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060" yWindow="740" windowWidth="18340" windowHeight="17740" tabRatio="600" firstSheet="0" activeTab="0" autoFilterDateGrouping="1"/>
  </bookViews>
  <sheets>
    <sheet name="lc_detailed" sheetId="1" state="visible" r:id="rId1"/>
    <sheet name="lc_summar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6"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color theme="0"/>
      <sz val="12"/>
      <scheme val="minor"/>
    </font>
    <font>
      <name val="Calibri"/>
      <family val="2"/>
      <b val="1"/>
      <color theme="1"/>
      <sz val="12"/>
      <scheme val="minor"/>
    </font>
  </fonts>
  <fills count="15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5D3D5"/>
        <bgColor indexed="64"/>
      </patternFill>
    </fill>
    <fill>
      <patternFill patternType="solid">
        <fgColor rgb="FFF7E9FF"/>
        <b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164" fontId="1" fillId="0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3" fillId="0" borderId="0" pivotButton="0" quotePrefix="0" xfId="0"/>
    <xf numFmtId="0" fontId="3" fillId="7" borderId="0" pivotButton="0" quotePrefix="0" xfId="0"/>
    <xf numFmtId="0" fontId="1" fillId="7" borderId="0" pivotButton="0" quotePrefix="0" xfId="0"/>
    <xf numFmtId="164" fontId="1" fillId="8" borderId="0" pivotButton="0" quotePrefix="0" xfId="0"/>
    <xf numFmtId="0" fontId="0" fillId="9" borderId="0" pivotButton="0" quotePrefix="0" xfId="0"/>
    <xf numFmtId="0" fontId="4" fillId="10" borderId="0" pivotButton="0" quotePrefix="0" xfId="0"/>
    <xf numFmtId="0" fontId="2" fillId="11" borderId="0" pivotButton="0" quotePrefix="0" xfId="0"/>
    <xf numFmtId="0" fontId="0" fillId="12" borderId="0" pivotButton="0" quotePrefix="0" xfId="0"/>
    <xf numFmtId="0" fontId="1" fillId="13" borderId="0" pivotButton="0" quotePrefix="0" xfId="0"/>
    <xf numFmtId="0" fontId="2" fillId="0" borderId="0" pivotButton="0" quotePrefix="0" xfId="0"/>
    <xf numFmtId="0" fontId="0" fillId="14" borderId="0" pivotButton="0" quotePrefix="0" xfId="0"/>
    <xf numFmtId="0" fontId="2" fillId="5" borderId="0" applyAlignment="1" pivotButton="0" quotePrefix="0" xfId="0">
      <alignment horizontal="left" wrapText="1"/>
    </xf>
    <xf numFmtId="0" fontId="5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07"/>
  <sheetViews>
    <sheetView tabSelected="1" topLeftCell="G1" zoomScale="75" zoomScaleNormal="157" workbookViewId="0">
      <selection activeCell="M28" sqref="M28"/>
    </sheetView>
  </sheetViews>
  <sheetFormatPr baseColWidth="10" defaultRowHeight="16"/>
  <cols>
    <col width="2.6640625" customWidth="1" style="1" min="1" max="1"/>
    <col width="27.1640625" customWidth="1" style="1" min="2" max="2"/>
    <col width="13" bestFit="1" customWidth="1" style="1" min="3" max="3"/>
    <col width="13.1640625" customWidth="1" style="1" min="4" max="4"/>
    <col width="14.83203125" customWidth="1" style="1" min="5" max="5"/>
    <col width="33.33203125" bestFit="1" customWidth="1" style="1" min="6" max="6"/>
    <col width="16.6640625" customWidth="1" style="1" min="7" max="7"/>
    <col width="17.33203125" customWidth="1" style="1" min="8" max="8"/>
    <col width="10.6640625" customWidth="1" style="1" min="9" max="9"/>
    <col width="11.33203125" customWidth="1" style="1" min="10" max="10"/>
    <col width="30.83203125" bestFit="1" customWidth="1" style="1" min="11" max="11"/>
    <col width="30" bestFit="1" customWidth="1" style="1" min="12" max="12"/>
    <col width="13.1640625" customWidth="1" style="1" min="13" max="13"/>
    <col width="11.6640625" customWidth="1" style="1" min="14" max="14"/>
    <col width="14" customWidth="1" style="1" min="15" max="15"/>
    <col width="3" customWidth="1" style="1" min="16" max="16"/>
    <col width="12.83203125" bestFit="1" customWidth="1" style="1" min="17" max="17"/>
    <col width="11" customWidth="1" style="1" min="18" max="18"/>
    <col width="16.83203125" bestFit="1" customWidth="1" style="1" min="19" max="19"/>
    <col width="12.83203125" customWidth="1" style="1" min="20" max="20"/>
    <col width="13.83203125" customWidth="1" style="1" min="21" max="21"/>
    <col width="12" customWidth="1" style="1" min="22" max="22"/>
    <col width="13.5" customWidth="1" style="1" min="23" max="23"/>
    <col width="14.33203125" customWidth="1" style="1" min="24" max="24"/>
    <col width="11" customWidth="1" style="1" min="25" max="25"/>
    <col width="9.33203125" customWidth="1" style="1" min="26" max="26"/>
    <col width="10.33203125" customWidth="1" style="1" min="27" max="27"/>
    <col width="14.83203125" customWidth="1" style="1" min="28" max="28"/>
    <col width="14.5" customWidth="1" style="1" min="29" max="29"/>
    <col width="12.5" customWidth="1" style="1" min="30" max="31"/>
    <col width="12.1640625" customWidth="1" style="1" min="32" max="32"/>
    <col width="13.1640625" customWidth="1" style="1" min="33" max="33"/>
    <col width="9.6640625" customWidth="1" style="1" min="34" max="34"/>
    <col width="9.83203125" customWidth="1" style="1" min="35" max="35"/>
    <col width="14.5" customWidth="1" style="1" min="36" max="36"/>
    <col width="15.33203125" customWidth="1" style="1" min="37" max="37"/>
    <col width="3.33203125" customWidth="1" min="38" max="38"/>
    <col width="18.83203125" customWidth="1" style="1" min="39" max="39"/>
    <col width="19.83203125" customWidth="1" style="1" min="40" max="40"/>
    <col width="18.83203125" bestFit="1" customWidth="1" style="1" min="41" max="42"/>
    <col width="16.5" bestFit="1" customWidth="1" style="1" min="43" max="44"/>
    <col width="27.83203125" bestFit="1" customWidth="1" style="1" min="45" max="45"/>
    <col width="12.6640625" bestFit="1" customWidth="1" style="1" min="46" max="46"/>
    <col width="15.1640625" bestFit="1" customWidth="1" style="1" min="47" max="47"/>
    <col width="18.5" bestFit="1" customWidth="1" style="1" min="48" max="48"/>
    <col width="17.1640625" bestFit="1" customWidth="1" style="1" min="49" max="49"/>
    <col width="13.6640625" bestFit="1" customWidth="1" style="1" min="50" max="50"/>
    <col width="12.1640625" bestFit="1" customWidth="1" style="1" min="51" max="51"/>
    <col width="14.5" bestFit="1" customWidth="1" style="1" min="52" max="52"/>
    <col width="10.5" customWidth="1" style="1" min="53" max="53"/>
    <col width="17.83203125" bestFit="1" customWidth="1" style="1" min="54" max="54"/>
    <col width="19.6640625" bestFit="1" customWidth="1" style="1" min="55" max="55"/>
    <col width="12.1640625" customWidth="1" style="1" min="56" max="56"/>
    <col width="17.83203125" bestFit="1" customWidth="1" style="1" min="57" max="57"/>
    <col width="19.33203125" bestFit="1" customWidth="1" style="1" min="58" max="58"/>
    <col width="3.33203125" customWidth="1" style="1" min="59" max="59"/>
    <col width="16.5" customWidth="1" style="1" min="60" max="60"/>
    <col width="10.6640625" customWidth="1" style="1" min="61" max="61"/>
    <col width="14.5" customWidth="1" style="1" min="62" max="62"/>
    <col width="3.6640625" customWidth="1" style="1" min="63" max="63"/>
    <col width="24.5" bestFit="1" customWidth="1" style="1" min="64" max="64"/>
    <col width="20.5" bestFit="1" customWidth="1" style="1" min="65" max="65"/>
    <col width="26.83203125" bestFit="1" customWidth="1" style="1" min="66" max="66"/>
    <col width="3.33203125" customWidth="1" style="1" min="67" max="67"/>
    <col width="24.1640625" bestFit="1" customWidth="1" style="1" min="68" max="68"/>
    <col width="25.6640625" bestFit="1" customWidth="1" style="1" min="69" max="69"/>
    <col width="25.33203125" bestFit="1" customWidth="1" style="1" min="70" max="70"/>
    <col width="28.1640625" bestFit="1" customWidth="1" style="1" min="71" max="71"/>
    <col width="10.83203125" customWidth="1" style="1" min="72" max="72"/>
    <col width="19.1640625" bestFit="1" customWidth="1" style="1" min="73" max="73"/>
    <col width="10.83203125" customWidth="1" style="1" min="74" max="88"/>
    <col width="10.83203125" customWidth="1" style="1" min="89" max="16384"/>
  </cols>
  <sheetData>
    <row r="1" ht="15" customHeight="1">
      <c r="AL1" s="1" t="n"/>
      <c r="AT1" s="17" t="n"/>
      <c r="AU1" s="17" t="n"/>
      <c r="AV1" s="17" t="n"/>
      <c r="AW1" s="17" t="n"/>
      <c r="AX1" s="17" t="n"/>
      <c r="AY1" s="17" t="n"/>
      <c r="AZ1" s="17" t="n"/>
      <c r="BA1" s="17" t="n"/>
    </row>
    <row r="2">
      <c r="B2" s="1" t="inlineStr">
        <is>
          <t>Asset Parameters (normalized by commodity feedstock)</t>
        </is>
      </c>
      <c r="Q2" s="1" t="inlineStr">
        <is>
          <t>Duals</t>
        </is>
      </c>
      <c r="AM2" s="1" t="inlineStr">
        <is>
          <t>LCOE for ethanol production ($/MWh-ethanol)</t>
        </is>
      </c>
      <c r="AO2" s="1" t="inlineStr">
        <is>
          <t>CI</t>
        </is>
      </c>
      <c r="AP2" s="1" t="inlineStr">
        <is>
          <t>CREDIT</t>
        </is>
      </c>
      <c r="AQ2" s="1" t="inlineStr">
        <is>
          <t>CI</t>
        </is>
      </c>
      <c r="AR2" s="1" t="inlineStr">
        <is>
          <t>CREDIT</t>
        </is>
      </c>
      <c r="BA2" s="1" t="inlineStr">
        <is>
          <t>NET CARBON INTENSITY + credit for capture</t>
        </is>
      </c>
      <c r="BD2" s="1" t="inlineStr">
        <is>
          <t>CREDIT for capture/storage + PAY for storage</t>
        </is>
      </c>
      <c r="BH2" s="1" t="inlineStr">
        <is>
          <t>Carbon Content</t>
        </is>
      </c>
      <c r="BL2" s="1" t="inlineStr">
        <is>
          <t>Carbon Inputs</t>
        </is>
      </c>
      <c r="BP2" s="1" t="inlineStr">
        <is>
          <t>Carbon Outputs</t>
        </is>
      </c>
      <c r="BU2" s="1" t="inlineStr">
        <is>
          <t>Sanity Checks</t>
        </is>
      </c>
    </row>
    <row r="3">
      <c r="B3" s="2" t="inlineStr">
        <is>
          <t>id</t>
        </is>
      </c>
      <c r="C3" s="2" t="inlineStr">
        <is>
          <t>commodity</t>
        </is>
      </c>
      <c r="D3" s="2" t="inlineStr">
        <is>
          <t>elec_production (MWh/t-bio)</t>
        </is>
      </c>
      <c r="E3" s="2" t="inlineStr">
        <is>
          <t>elec_consumption (MWh/t-bio)</t>
        </is>
      </c>
      <c r="F3" s="2" t="inlineStr">
        <is>
          <t>ethanol_production (MWh-ethanol/t-bio)</t>
        </is>
      </c>
      <c r="G3" s="2" t="inlineStr">
        <is>
          <t>natgas_consumption (MWh/t-bio)</t>
        </is>
      </c>
      <c r="H3" s="2" t="inlineStr">
        <is>
          <t>co2_biomass_content (t-CO2/t-bio)</t>
        </is>
      </c>
      <c r="I3" s="2" t="inlineStr">
        <is>
          <t>capture_rate (t-CO2/t-bio)</t>
        </is>
      </c>
      <c r="J3" s="2" t="inlineStr">
        <is>
          <t>emission_rate (t-CO2/t-bio)</t>
        </is>
      </c>
      <c r="K3" s="7" t="inlineStr">
        <is>
          <t>calculated_emission_rate (t-CO2/t-bio)</t>
        </is>
      </c>
      <c r="L3" s="7" t="inlineStr">
        <is>
          <t>calculated_capture_rate (t-CO2/t-bio)</t>
        </is>
      </c>
      <c r="M3" s="2" t="inlineStr">
        <is>
          <t>investment_cost ($/yr per t-bio/hr)</t>
        </is>
      </c>
      <c r="N3" s="2" t="inlineStr">
        <is>
          <t>fixed_om_cost ($/yr per t-bio/hr)</t>
        </is>
      </c>
      <c r="O3" s="2" t="inlineStr">
        <is>
          <t>variable_om_cost ($/t-bio)</t>
        </is>
      </c>
      <c r="Q3" s="14" t="inlineStr">
        <is>
          <t>co2_sink ($/t)</t>
        </is>
      </c>
      <c r="R3" s="14" t="inlineStr">
        <is>
          <t>co2_captured ($/t)</t>
        </is>
      </c>
      <c r="S3" s="14" t="inlineStr">
        <is>
          <t>biocorn_supply ($/t)</t>
        </is>
      </c>
      <c r="T3" s="14" t="inlineStr">
        <is>
          <t>bioherb_supply ($/t)</t>
        </is>
      </c>
      <c r="U3" s="14" t="inlineStr">
        <is>
          <t>biowood_supply ($/t)</t>
        </is>
      </c>
      <c r="V3" s="14" t="inlineStr">
        <is>
          <t>bioagri_supply ($/t)</t>
        </is>
      </c>
      <c r="W3" s="14" t="inlineStr">
        <is>
          <t>ethanol_balance ($/MWh)</t>
        </is>
      </c>
      <c r="X3" s="14" t="inlineStr">
        <is>
          <t>ethanol_demand ($/MWh)</t>
        </is>
      </c>
      <c r="Y3" s="14" t="inlineStr">
        <is>
          <t>elec_demand ($/MWh)</t>
        </is>
      </c>
      <c r="Z3" s="14" t="inlineStr">
        <is>
          <t>h2_balance ($/MWh)</t>
        </is>
      </c>
      <c r="AA3" s="14" t="inlineStr">
        <is>
          <t>h2_demand ($/MWh)</t>
        </is>
      </c>
      <c r="AB3" s="14" t="inlineStr">
        <is>
          <t>gasoline_balance ($/MWh)</t>
        </is>
      </c>
      <c r="AC3" s="14" t="inlineStr">
        <is>
          <t>gasoline_demand ($/MWh)</t>
        </is>
      </c>
      <c r="AD3" s="14" t="inlineStr">
        <is>
          <t>diesel_balance ($/MWh)</t>
        </is>
      </c>
      <c r="AE3" s="14" t="inlineStr">
        <is>
          <t>diesel_demand ($/MWh)</t>
        </is>
      </c>
      <c r="AF3" s="14" t="inlineStr">
        <is>
          <t>jetfuel_balance ($/MWh)</t>
        </is>
      </c>
      <c r="AG3" s="14" t="inlineStr">
        <is>
          <t>jetfuel_demand ($/MWh)</t>
        </is>
      </c>
      <c r="AH3" s="14" t="inlineStr">
        <is>
          <t>ng_balance ($/MWh)</t>
        </is>
      </c>
      <c r="AI3" s="14" t="inlineStr">
        <is>
          <t>ng_demand ($/MWh)</t>
        </is>
      </c>
      <c r="AJ3" s="14" t="inlineStr">
        <is>
          <t>ethylene_balance ($/t)</t>
        </is>
      </c>
      <c r="AK3" s="14" t="inlineStr">
        <is>
          <t>ethylene_demand ($/t)</t>
        </is>
      </c>
      <c r="AM3" s="4" t="inlineStr">
        <is>
          <t>id_LC</t>
        </is>
      </c>
      <c r="AN3" s="4" t="inlineStr">
        <is>
          <t>commodity_LC</t>
        </is>
      </c>
      <c r="AO3" s="3" t="inlineStr">
        <is>
          <t>LCOE ($/MWh-ethanol)</t>
        </is>
      </c>
      <c r="AP3" s="6" t="inlineStr">
        <is>
          <t>LCOE ($/MWh-ethanol)</t>
        </is>
      </c>
      <c r="AQ3" s="3" t="inlineStr">
        <is>
          <t>LCOE ($/GJ-ethanol)</t>
        </is>
      </c>
      <c r="AR3" s="6" t="inlineStr">
        <is>
          <t>LCOE ($/GJ-ethanol)</t>
        </is>
      </c>
      <c r="AS3" s="7" t="inlineStr">
        <is>
          <t>Diff. Between Methods ($/MWh)</t>
        </is>
      </c>
      <c r="AT3" s="4" t="inlineStr">
        <is>
          <t>elec_production</t>
        </is>
      </c>
      <c r="AU3" s="4" t="inlineStr">
        <is>
          <t>elec_consumption</t>
        </is>
      </c>
      <c r="AV3" s="4" t="inlineStr">
        <is>
          <t>biomass_consumption</t>
        </is>
      </c>
      <c r="AW3" s="4" t="inlineStr">
        <is>
          <t>natgas_consumption</t>
        </is>
      </c>
      <c r="AX3" s="4" t="inlineStr">
        <is>
          <t>investment_cost</t>
        </is>
      </c>
      <c r="AY3" s="4" t="inlineStr">
        <is>
          <t>fixed_om_cost</t>
        </is>
      </c>
      <c r="AZ3" s="4" t="inlineStr">
        <is>
          <t>variable_om_cost</t>
        </is>
      </c>
      <c r="BA3" s="3" t="inlineStr">
        <is>
          <t>CI</t>
        </is>
      </c>
      <c r="BB3" s="3" t="inlineStr">
        <is>
          <t>modified capture cost</t>
        </is>
      </c>
      <c r="BC3" s="3" t="inlineStr">
        <is>
          <t>modified emissions cost</t>
        </is>
      </c>
      <c r="BD3" s="6" t="inlineStr">
        <is>
          <t>CI</t>
        </is>
      </c>
      <c r="BE3" s="6" t="inlineStr">
        <is>
          <t>modified capture cost</t>
        </is>
      </c>
      <c r="BF3" s="6" t="inlineStr">
        <is>
          <t>modified emissions cost</t>
        </is>
      </c>
      <c r="BH3" s="7" t="inlineStr">
        <is>
          <t>Biomass CO2 content (t-CO2/t-bio)</t>
        </is>
      </c>
      <c r="BI3" s="7" t="inlineStr">
        <is>
          <t>NG (t-CO2/MWh-NG)</t>
        </is>
      </c>
      <c r="BJ3" s="7" t="inlineStr">
        <is>
          <t>Ethanol (t-CO2/MWh-ethanol)</t>
        </is>
      </c>
      <c r="BL3" s="7" t="inlineStr">
        <is>
          <t>Biomass (t-CO2/MWh-ethanol)</t>
        </is>
      </c>
      <c r="BM3" s="7" t="inlineStr">
        <is>
          <t>NG (t-CO2/MWh-ethanol)</t>
        </is>
      </c>
      <c r="BN3" s="7" t="inlineStr">
        <is>
          <t>Total input (t-CO2/MWh-ethanol)</t>
        </is>
      </c>
      <c r="BP3" s="7" t="inlineStr">
        <is>
          <t>Ethanol (t-CO2/MWh-ethanol)</t>
        </is>
      </c>
      <c r="BQ3" s="7" t="inlineStr">
        <is>
          <t>Emissions (t-CO2/MWh-ethanol)</t>
        </is>
      </c>
      <c r="BR3" s="7" t="inlineStr">
        <is>
          <t>Captured (t-CO2/MWh-ethanol)</t>
        </is>
      </c>
      <c r="BS3" s="7" t="inlineStr">
        <is>
          <t>Total Output (t-CO2/MWh-ethanol)</t>
        </is>
      </c>
      <c r="BU3" s="7" t="inlineStr">
        <is>
          <t>Carbon INPUT - OUTPUT</t>
        </is>
      </c>
    </row>
    <row r="4">
      <c r="B4" s="13" t="inlineStr">
        <is>
          <t>SE_Biochemical_CCS_20</t>
        </is>
      </c>
      <c r="C4" s="12" t="inlineStr">
        <is>
          <t>Biomass_Agri</t>
        </is>
      </c>
      <c r="D4" s="12" t="n">
        <v>0.1227</v>
      </c>
      <c r="E4" s="12" t="n">
        <v>0</v>
      </c>
      <c r="F4" s="12" t="n">
        <v>1.5509</v>
      </c>
      <c r="G4" s="12" t="n">
        <v>0</v>
      </c>
      <c r="H4" s="12" t="n">
        <v>1.32</v>
      </c>
      <c r="I4" s="12" t="n">
        <v>0.19</v>
      </c>
      <c r="J4" s="12" t="n">
        <v>0.77</v>
      </c>
      <c r="K4" s="18">
        <f>(BM4+(BL4-BP4-BR4))*F4</f>
        <v/>
      </c>
      <c r="L4" s="18">
        <f>BR4*F4</f>
        <v/>
      </c>
      <c r="M4" s="12" t="n">
        <v>658128.84</v>
      </c>
      <c r="N4" s="12" t="n">
        <v>195838.97</v>
      </c>
      <c r="O4" s="12" t="n">
        <v>55.71</v>
      </c>
      <c r="Q4" s="15" t="n">
        <v>73.71884</v>
      </c>
      <c r="R4" s="15" t="n">
        <v>-6.091002</v>
      </c>
      <c r="S4" s="15" t="n"/>
      <c r="T4" s="15" t="n">
        <v>59.252833</v>
      </c>
      <c r="U4" s="15" t="n">
        <v>23.691089</v>
      </c>
      <c r="V4" s="15" t="n">
        <v>31.789762</v>
      </c>
      <c r="W4" s="16" t="n">
        <v>-8.00727</v>
      </c>
      <c r="X4" s="16" t="n"/>
      <c r="Y4" s="15" t="n">
        <v>21.266241</v>
      </c>
      <c r="Z4" s="15" t="n">
        <v>7.267779</v>
      </c>
      <c r="AA4" s="15" t="n"/>
      <c r="AB4" s="16" t="n">
        <v>-128.077631</v>
      </c>
      <c r="AC4" s="16" t="n">
        <v>-128.077631</v>
      </c>
      <c r="AD4" s="16" t="n"/>
      <c r="AE4" s="16" t="n"/>
      <c r="AF4" s="16" t="n"/>
      <c r="AG4" s="16" t="n"/>
      <c r="AH4" s="15" t="n">
        <v>7.96358</v>
      </c>
      <c r="AI4" s="15" t="n">
        <v>0</v>
      </c>
      <c r="AJ4" s="15" t="n">
        <v>822.267522</v>
      </c>
      <c r="AK4" s="15" t="n">
        <v>822.267522</v>
      </c>
      <c r="AM4" s="1">
        <f>B4</f>
        <v/>
      </c>
      <c r="AN4" s="1">
        <f>C4</f>
        <v/>
      </c>
      <c r="AO4" s="11">
        <f>SUM(AT4:AZ4)+BB4+BC4</f>
        <v/>
      </c>
      <c r="AP4" s="11">
        <f>SUM(AT4:AZ4)+BE4+BF4</f>
        <v/>
      </c>
      <c r="AQ4" s="11">
        <f>AO4/3.6</f>
        <v/>
      </c>
      <c r="AR4" s="11">
        <f>AP4/3.6</f>
        <v/>
      </c>
      <c r="AS4" s="5">
        <f>AO4-AP4</f>
        <v/>
      </c>
      <c r="AT4" s="1">
        <f>D4/F4*Y4*-1</f>
        <v/>
      </c>
      <c r="AU4" s="1">
        <f>E4/F4*Y4</f>
        <v/>
      </c>
      <c r="AV4" s="1">
        <f t="array" ref="AV4">_xlfn.IFS(C4="Biomass_Corn", 1/F4*S4, C4="Biomass_Agri", 1/F4*V4, C4="Biomass_Wood", 1/F4*U4, C4="Biomass_Herb", 1/F4*T4)</f>
        <v/>
      </c>
      <c r="AW4" s="1">
        <f>G4/F4*AH4</f>
        <v/>
      </c>
      <c r="AX4" s="1">
        <f>M4/F4/(0.9*8760)</f>
        <v/>
      </c>
      <c r="AY4" s="1">
        <f>N4/F4/(0.9*8760)</f>
        <v/>
      </c>
      <c r="AZ4" s="1">
        <f>O4/F4</f>
        <v/>
      </c>
      <c r="BA4" s="1">
        <f>SUM(BP4:BR4)-BL4</f>
        <v/>
      </c>
      <c r="BB4" s="1">
        <f>(Q4+R4)*-1*I4/F4</f>
        <v/>
      </c>
      <c r="BC4" s="1">
        <f>BA4*Q4</f>
        <v/>
      </c>
      <c r="BD4" s="1">
        <f>SUM(BP4:BQ4)-BL4</f>
        <v/>
      </c>
      <c r="BE4" s="1">
        <f>I4/F4*-1*R4</f>
        <v/>
      </c>
      <c r="BF4" s="1">
        <f>BD4*Q4</f>
        <v/>
      </c>
      <c r="BH4" s="9">
        <f>H4</f>
        <v/>
      </c>
      <c r="BI4" s="10" t="n">
        <v>0.181048235160161</v>
      </c>
      <c r="BJ4" s="9" t="n">
        <v>0.230447</v>
      </c>
      <c r="BL4" s="10">
        <f>BH4/F4</f>
        <v/>
      </c>
      <c r="BM4" s="10">
        <f>BI4*G4/F4</f>
        <v/>
      </c>
      <c r="BN4" s="10">
        <f>SUM(BL4:BM4)</f>
        <v/>
      </c>
      <c r="BP4" s="10">
        <f>BJ4</f>
        <v/>
      </c>
      <c r="BQ4" s="10">
        <f>J4/F4</f>
        <v/>
      </c>
      <c r="BR4" s="10">
        <f>I4/F4</f>
        <v/>
      </c>
      <c r="BS4" s="10">
        <f>SUM(BP4:BR4)</f>
        <v/>
      </c>
      <c r="BU4" s="1">
        <f>BN4-BS4</f>
        <v/>
      </c>
    </row>
    <row r="5">
      <c r="B5" s="13" t="inlineStr">
        <is>
          <t>SE_Biochemical_CCS_86</t>
        </is>
      </c>
      <c r="C5" s="12" t="inlineStr">
        <is>
          <t>Biomass_Agri</t>
        </is>
      </c>
      <c r="D5" s="12" t="n">
        <v>0.1227</v>
      </c>
      <c r="E5" s="12" t="n">
        <v>0.26</v>
      </c>
      <c r="F5" s="12" t="n">
        <v>1.5509</v>
      </c>
      <c r="G5" s="12" t="n">
        <v>0</v>
      </c>
      <c r="H5" s="12" t="n">
        <v>1.32</v>
      </c>
      <c r="I5" s="12" t="n">
        <v>0.83</v>
      </c>
      <c r="J5" s="12" t="n">
        <v>0.13</v>
      </c>
      <c r="K5" s="18">
        <f>(BM5+(BL5-BP5-BR5))*F5</f>
        <v/>
      </c>
      <c r="L5" s="18">
        <f>BR5*F5</f>
        <v/>
      </c>
      <c r="M5" s="12" t="n">
        <v>727064.6</v>
      </c>
      <c r="N5" s="12" t="n">
        <v>233553.61</v>
      </c>
      <c r="O5" s="12" t="n">
        <v>56.9</v>
      </c>
      <c r="Q5" s="15" t="n">
        <v>73.71884</v>
      </c>
      <c r="R5" s="15" t="n">
        <v>-6.091002</v>
      </c>
      <c r="S5" s="15" t="n"/>
      <c r="T5" s="15" t="n">
        <v>59.252833</v>
      </c>
      <c r="U5" s="15" t="n">
        <v>23.691089</v>
      </c>
      <c r="V5" s="15" t="n">
        <v>31.789762</v>
      </c>
      <c r="W5" s="16" t="n">
        <v>-8.00727</v>
      </c>
      <c r="X5" s="16" t="n"/>
      <c r="Y5" s="15" t="n">
        <v>21.266241</v>
      </c>
      <c r="Z5" s="15" t="n">
        <v>7.267779</v>
      </c>
      <c r="AA5" s="15" t="n"/>
      <c r="AB5" s="16" t="n">
        <v>-128.077631</v>
      </c>
      <c r="AC5" s="16" t="n">
        <v>-128.077631</v>
      </c>
      <c r="AD5" s="16" t="n"/>
      <c r="AE5" s="16" t="n"/>
      <c r="AF5" s="16" t="n"/>
      <c r="AG5" s="16" t="n"/>
      <c r="AH5" s="15" t="n">
        <v>7.96358</v>
      </c>
      <c r="AI5" s="15" t="n">
        <v>0</v>
      </c>
      <c r="AJ5" s="15" t="n">
        <v>822.267522</v>
      </c>
      <c r="AK5" s="15" t="n">
        <v>822.267522</v>
      </c>
      <c r="AM5" s="1">
        <f>B5</f>
        <v/>
      </c>
      <c r="AN5" s="1">
        <f>C5</f>
        <v/>
      </c>
      <c r="AO5" s="11">
        <f>SUM(AT5:AZ5)+BB5+BC5</f>
        <v/>
      </c>
      <c r="AP5" s="11">
        <f>SUM(AT5:AZ5)+BE5+BF5</f>
        <v/>
      </c>
      <c r="AQ5" s="11">
        <f>AO5/3.6</f>
        <v/>
      </c>
      <c r="AR5" s="11">
        <f>AP5/3.6</f>
        <v/>
      </c>
      <c r="AS5" s="5">
        <f>AO5-AP5</f>
        <v/>
      </c>
      <c r="AT5" s="1">
        <f>D5/F5*Y5*-1</f>
        <v/>
      </c>
      <c r="AU5" s="1">
        <f>E5/F5*Y5</f>
        <v/>
      </c>
      <c r="AV5" s="1">
        <f t="array" ref="AV5">_xlfn.IFS(C5="Biomass_Corn", 1/F5*S5, C5="Biomass_Agri", 1/F5*V5, C5="Biomass_Wood", 1/F5*U5, C5="Biomass_Herb", 1/F5*T5)</f>
        <v/>
      </c>
      <c r="AW5" s="1">
        <f>G5/F5*AH5</f>
        <v/>
      </c>
      <c r="AX5" s="1">
        <f>M5/F5/(0.9*8760)</f>
        <v/>
      </c>
      <c r="AY5" s="1">
        <f>N5/F5/(0.9*8760)</f>
        <v/>
      </c>
      <c r="AZ5" s="1">
        <f>O5/F5</f>
        <v/>
      </c>
      <c r="BA5" s="1">
        <f>SUM(BP5:BR5)-BL5</f>
        <v/>
      </c>
      <c r="BB5" s="1">
        <f>(Q5+R5)*-1*I5/F5</f>
        <v/>
      </c>
      <c r="BC5" s="1">
        <f>BA5*Q5</f>
        <v/>
      </c>
      <c r="BD5" s="1">
        <f>SUM(BP5:BQ5)-BL5</f>
        <v/>
      </c>
      <c r="BE5" s="1">
        <f>I5/F5*-1*R5</f>
        <v/>
      </c>
      <c r="BF5" s="1">
        <f>BD5*Q5</f>
        <v/>
      </c>
      <c r="BH5" s="9">
        <f>H5</f>
        <v/>
      </c>
      <c r="BI5" s="10" t="n">
        <v>0.181048235160161</v>
      </c>
      <c r="BJ5" s="9" t="n">
        <v>0.230447</v>
      </c>
      <c r="BL5" s="10">
        <f>BH5/F5</f>
        <v/>
      </c>
      <c r="BM5" s="10">
        <f>BI5*G5/F5</f>
        <v/>
      </c>
      <c r="BN5" s="10">
        <f>SUM(BL5:BM5)</f>
        <v/>
      </c>
      <c r="BP5" s="10">
        <f>BJ5</f>
        <v/>
      </c>
      <c r="BQ5" s="10">
        <f>J5/F5</f>
        <v/>
      </c>
      <c r="BR5" s="10">
        <f>I5/F5</f>
        <v/>
      </c>
      <c r="BS5" s="10">
        <f>SUM(BP5:BR5)</f>
        <v/>
      </c>
      <c r="BU5" s="1">
        <f>BN5-BS5</f>
        <v/>
      </c>
    </row>
    <row r="6">
      <c r="B6" s="13" t="inlineStr">
        <is>
          <t>MIDAT_Biochemical_CCS_20</t>
        </is>
      </c>
      <c r="C6" s="12" t="inlineStr">
        <is>
          <t>Biomass_Agri</t>
        </is>
      </c>
      <c r="D6" s="12" t="n">
        <v>0.1227</v>
      </c>
      <c r="E6" s="12" t="n">
        <v>0</v>
      </c>
      <c r="F6" s="12" t="n">
        <v>1.5509</v>
      </c>
      <c r="G6" s="12" t="n">
        <v>0</v>
      </c>
      <c r="H6" s="12" t="n">
        <v>1.32</v>
      </c>
      <c r="I6" s="12" t="n">
        <v>0.19</v>
      </c>
      <c r="J6" s="12" t="n">
        <v>0.77</v>
      </c>
      <c r="K6" s="18">
        <f>(BM6+(BL6-BP6-BR6))*F6</f>
        <v/>
      </c>
      <c r="L6" s="18">
        <f>BR6*F6</f>
        <v/>
      </c>
      <c r="M6" s="12" t="n">
        <v>658128.84</v>
      </c>
      <c r="N6" s="12" t="n">
        <v>195838.97</v>
      </c>
      <c r="O6" s="12" t="n">
        <v>55.71</v>
      </c>
      <c r="Q6" s="15" t="n">
        <v>73.71884</v>
      </c>
      <c r="R6" s="15" t="n">
        <v>-16.179128</v>
      </c>
      <c r="S6" s="15" t="n"/>
      <c r="T6" s="15" t="n">
        <v>58.461202</v>
      </c>
      <c r="U6" s="15" t="n">
        <v>19.647223</v>
      </c>
      <c r="V6" s="15" t="n">
        <v>40.820307</v>
      </c>
      <c r="W6" s="16" t="n">
        <v>-2.203044</v>
      </c>
      <c r="X6" s="16" t="n"/>
      <c r="Y6" s="15" t="n">
        <v>21.500722</v>
      </c>
      <c r="Z6" s="15" t="n">
        <v>7.532437</v>
      </c>
      <c r="AA6" s="15" t="n"/>
      <c r="AB6" s="16" t="n">
        <v>-140.741334</v>
      </c>
      <c r="AC6" s="16" t="n">
        <v>-140.741334</v>
      </c>
      <c r="AD6" s="16" t="n"/>
      <c r="AE6" s="16" t="n"/>
      <c r="AF6" s="16" t="n"/>
      <c r="AG6" s="16" t="n"/>
      <c r="AH6" s="15" t="n">
        <v>5.407672</v>
      </c>
      <c r="AI6" s="15" t="n">
        <v>0</v>
      </c>
      <c r="AJ6" s="15" t="n">
        <v>822.267522</v>
      </c>
      <c r="AK6" s="15" t="n">
        <v>822.267522</v>
      </c>
      <c r="AM6" s="1">
        <f>B6</f>
        <v/>
      </c>
      <c r="AN6" s="1">
        <f>C6</f>
        <v/>
      </c>
      <c r="AO6" s="11">
        <f>SUM(AT6:AZ6)+BB6+BC6</f>
        <v/>
      </c>
      <c r="AP6" s="11">
        <f>SUM(AT6:AZ6)+BE6+BF6</f>
        <v/>
      </c>
      <c r="AQ6" s="11">
        <f>AO6/3.6</f>
        <v/>
      </c>
      <c r="AR6" s="11">
        <f>AP6/3.6</f>
        <v/>
      </c>
      <c r="AS6" s="5">
        <f>AO6-AP6</f>
        <v/>
      </c>
      <c r="AT6" s="1">
        <f>D6/F6*Y6*-1</f>
        <v/>
      </c>
      <c r="AU6" s="1">
        <f>E6/F6*Y6</f>
        <v/>
      </c>
      <c r="AV6" s="1">
        <f t="array" ref="AV6">_xlfn.IFS(C6="Biomass_Corn", 1/F6*S6, C6="Biomass_Agri", 1/F6*V6, C6="Biomass_Wood", 1/F6*U6, C6="Biomass_Herb", 1/F6*T6)</f>
        <v/>
      </c>
      <c r="AW6" s="1">
        <f>G6/F6*AH6</f>
        <v/>
      </c>
      <c r="AX6" s="1">
        <f>M6/F6/(0.9*8760)</f>
        <v/>
      </c>
      <c r="AY6" s="1">
        <f>N6/F6/(0.9*8760)</f>
        <v/>
      </c>
      <c r="AZ6" s="1">
        <f>O6/F6</f>
        <v/>
      </c>
      <c r="BA6" s="1">
        <f>SUM(BP6:BR6)-BL6</f>
        <v/>
      </c>
      <c r="BB6" s="1">
        <f>(Q6+R6)*-1*I6/F6</f>
        <v/>
      </c>
      <c r="BC6" s="1">
        <f>BA6*Q6</f>
        <v/>
      </c>
      <c r="BD6" s="1">
        <f>SUM(BP6:BQ6)-BL6</f>
        <v/>
      </c>
      <c r="BE6" s="1">
        <f>I6/F6*-1*R6</f>
        <v/>
      </c>
      <c r="BF6" s="1">
        <f>BD6*Q6</f>
        <v/>
      </c>
      <c r="BH6" s="9">
        <f>H6</f>
        <v/>
      </c>
      <c r="BI6" s="10" t="n">
        <v>0.181048235160161</v>
      </c>
      <c r="BJ6" s="9" t="n">
        <v>0.230447</v>
      </c>
      <c r="BL6" s="10">
        <f>BH6/F6</f>
        <v/>
      </c>
      <c r="BM6" s="10">
        <f>BI6*G6/F6</f>
        <v/>
      </c>
      <c r="BN6" s="10">
        <f>SUM(BL6:BM6)</f>
        <v/>
      </c>
      <c r="BP6" s="10">
        <f>BJ6</f>
        <v/>
      </c>
      <c r="BQ6" s="10">
        <f>J6/F6</f>
        <v/>
      </c>
      <c r="BR6" s="10">
        <f>I6/F6</f>
        <v/>
      </c>
      <c r="BS6" s="10">
        <f>SUM(BP6:BR6)</f>
        <v/>
      </c>
      <c r="BU6" s="1">
        <f>BN6-BS6</f>
        <v/>
      </c>
    </row>
    <row r="7">
      <c r="B7" s="13" t="inlineStr">
        <is>
          <t>MIDAT_Biochemical_CCS_86</t>
        </is>
      </c>
      <c r="C7" s="12" t="inlineStr">
        <is>
          <t>Biomass_Agri</t>
        </is>
      </c>
      <c r="D7" s="12" t="n">
        <v>0.1227</v>
      </c>
      <c r="E7" s="12" t="n">
        <v>0.26</v>
      </c>
      <c r="F7" s="12" t="n">
        <v>1.5509</v>
      </c>
      <c r="G7" s="12" t="n">
        <v>0</v>
      </c>
      <c r="H7" s="12" t="n">
        <v>1.32</v>
      </c>
      <c r="I7" s="12" t="n">
        <v>0.83</v>
      </c>
      <c r="J7" s="12" t="n">
        <v>0.13</v>
      </c>
      <c r="K7" s="18">
        <f>(BM7+(BL7-BP7-BR7))*F7</f>
        <v/>
      </c>
      <c r="L7" s="18">
        <f>BR7*F7</f>
        <v/>
      </c>
      <c r="M7" s="12" t="n">
        <v>727064.6</v>
      </c>
      <c r="N7" s="12" t="n">
        <v>233553.61</v>
      </c>
      <c r="O7" s="12" t="n">
        <v>56.9</v>
      </c>
      <c r="Q7" s="15" t="n">
        <v>73.71884</v>
      </c>
      <c r="R7" s="15" t="n">
        <v>-16.179128</v>
      </c>
      <c r="S7" s="15" t="n"/>
      <c r="T7" s="15" t="n">
        <v>58.461202</v>
      </c>
      <c r="U7" s="15" t="n">
        <v>19.647223</v>
      </c>
      <c r="V7" s="15" t="n">
        <v>40.820307</v>
      </c>
      <c r="W7" s="16" t="n">
        <v>-2.203044</v>
      </c>
      <c r="X7" s="16" t="n"/>
      <c r="Y7" s="15" t="n">
        <v>21.500722</v>
      </c>
      <c r="Z7" s="15" t="n">
        <v>7.532437</v>
      </c>
      <c r="AA7" s="15" t="n"/>
      <c r="AB7" s="16" t="n">
        <v>-140.741334</v>
      </c>
      <c r="AC7" s="16" t="n">
        <v>-140.741334</v>
      </c>
      <c r="AD7" s="16" t="n"/>
      <c r="AE7" s="16" t="n"/>
      <c r="AF7" s="16" t="n"/>
      <c r="AG7" s="16" t="n"/>
      <c r="AH7" s="15" t="n">
        <v>5.407672</v>
      </c>
      <c r="AI7" s="15" t="n">
        <v>0</v>
      </c>
      <c r="AJ7" s="15" t="n">
        <v>822.267522</v>
      </c>
      <c r="AK7" s="15" t="n">
        <v>822.267522</v>
      </c>
      <c r="AM7" s="1">
        <f>B7</f>
        <v/>
      </c>
      <c r="AN7" s="1">
        <f>C7</f>
        <v/>
      </c>
      <c r="AO7" s="11">
        <f>SUM(AT7:AZ7)+BB7+BC7</f>
        <v/>
      </c>
      <c r="AP7" s="11">
        <f>SUM(AT7:AZ7)+BE7+BF7</f>
        <v/>
      </c>
      <c r="AQ7" s="11">
        <f>AO7/3.6</f>
        <v/>
      </c>
      <c r="AR7" s="11">
        <f>AP7/3.6</f>
        <v/>
      </c>
      <c r="AS7" s="5">
        <f>AO7-AP7</f>
        <v/>
      </c>
      <c r="AT7" s="1">
        <f>D7/F7*Y7*-1</f>
        <v/>
      </c>
      <c r="AU7" s="1">
        <f>E7/F7*Y7</f>
        <v/>
      </c>
      <c r="AV7" s="1">
        <f t="array" ref="AV7">_xlfn.IFS(C7="Biomass_Corn", 1/F7*S7, C7="Biomass_Agri", 1/F7*V7, C7="Biomass_Wood", 1/F7*U7, C7="Biomass_Herb", 1/F7*T7)</f>
        <v/>
      </c>
      <c r="AW7" s="1">
        <f>G7/F7*AH7</f>
        <v/>
      </c>
      <c r="AX7" s="1">
        <f>M7/F7/(0.9*8760)</f>
        <v/>
      </c>
      <c r="AY7" s="1">
        <f>N7/F7/(0.9*8760)</f>
        <v/>
      </c>
      <c r="AZ7" s="1">
        <f>O7/F7</f>
        <v/>
      </c>
      <c r="BA7" s="1">
        <f>SUM(BP7:BR7)-BL7</f>
        <v/>
      </c>
      <c r="BB7" s="1">
        <f>(Q7+R7)*-1*I7/F7</f>
        <v/>
      </c>
      <c r="BC7" s="1">
        <f>BA7*Q7</f>
        <v/>
      </c>
      <c r="BD7" s="1">
        <f>SUM(BP7:BQ7)-BL7</f>
        <v/>
      </c>
      <c r="BE7" s="1">
        <f>I7/F7*-1*R7</f>
        <v/>
      </c>
      <c r="BF7" s="1">
        <f>BD7*Q7</f>
        <v/>
      </c>
      <c r="BH7" s="9">
        <f>H7</f>
        <v/>
      </c>
      <c r="BI7" s="10" t="n">
        <v>0.181048235160161</v>
      </c>
      <c r="BJ7" s="9" t="n">
        <v>0.230447</v>
      </c>
      <c r="BL7" s="10">
        <f>BH7/F7</f>
        <v/>
      </c>
      <c r="BM7" s="10">
        <f>BI7*G7/F7</f>
        <v/>
      </c>
      <c r="BN7" s="10">
        <f>SUM(BL7:BM7)</f>
        <v/>
      </c>
      <c r="BP7" s="10">
        <f>BJ7</f>
        <v/>
      </c>
      <c r="BQ7" s="10">
        <f>J7/F7</f>
        <v/>
      </c>
      <c r="BR7" s="10">
        <f>I7/F7</f>
        <v/>
      </c>
      <c r="BS7" s="10">
        <f>SUM(BP7:BR7)</f>
        <v/>
      </c>
      <c r="BU7" s="1">
        <f>BN7-BS7</f>
        <v/>
      </c>
    </row>
    <row r="8">
      <c r="B8" s="13" t="inlineStr">
        <is>
          <t>NE_Biochemical_CCS_20</t>
        </is>
      </c>
      <c r="C8" s="12" t="inlineStr">
        <is>
          <t>Biomass_Agri</t>
        </is>
      </c>
      <c r="D8" s="12" t="n">
        <v>0.1227</v>
      </c>
      <c r="E8" s="12" t="n">
        <v>0</v>
      </c>
      <c r="F8" s="12" t="n">
        <v>1.5509</v>
      </c>
      <c r="G8" s="12" t="n">
        <v>0</v>
      </c>
      <c r="H8" s="12" t="n">
        <v>1.32</v>
      </c>
      <c r="I8" s="12" t="n">
        <v>0.19</v>
      </c>
      <c r="J8" s="12" t="n">
        <v>0.77</v>
      </c>
      <c r="K8" s="18">
        <f>(BM8+(BL8-BP8-BR8))*F8</f>
        <v/>
      </c>
      <c r="L8" s="18">
        <f>BR8*F8</f>
        <v/>
      </c>
      <c r="M8" s="12" t="n">
        <v>658128.84</v>
      </c>
      <c r="N8" s="12" t="n">
        <v>195838.97</v>
      </c>
      <c r="O8" s="12" t="n">
        <v>55.71</v>
      </c>
      <c r="Q8" s="15" t="n">
        <v>73.71884</v>
      </c>
      <c r="R8" s="15" t="n">
        <v>-23.276809</v>
      </c>
      <c r="S8" s="15" t="n"/>
      <c r="T8" s="15" t="n">
        <v>60.47681</v>
      </c>
      <c r="U8" s="15" t="n">
        <v>28.904358</v>
      </c>
      <c r="V8" s="15" t="n">
        <v>39.957475</v>
      </c>
      <c r="W8" s="16" t="n">
        <v>-2.703157</v>
      </c>
      <c r="X8" s="16" t="n"/>
      <c r="Y8" s="15" t="n">
        <v>20.789991</v>
      </c>
      <c r="Z8" s="15" t="n">
        <v>9.19598</v>
      </c>
      <c r="AA8" s="15" t="n"/>
      <c r="AB8" s="16" t="n">
        <v>-150.755789</v>
      </c>
      <c r="AC8" s="16" t="n">
        <v>-150.755789</v>
      </c>
      <c r="AD8" s="16" t="n"/>
      <c r="AE8" s="16" t="n"/>
      <c r="AF8" s="16" t="n"/>
      <c r="AG8" s="16" t="n"/>
      <c r="AH8" s="15" t="n">
        <v>8.960454</v>
      </c>
      <c r="AI8" s="15" t="n">
        <v>0</v>
      </c>
      <c r="AJ8" s="15" t="n">
        <v>822.267522</v>
      </c>
      <c r="AK8" s="15" t="n">
        <v>0</v>
      </c>
      <c r="AM8" s="1">
        <f>B8</f>
        <v/>
      </c>
      <c r="AN8" s="1">
        <f>C8</f>
        <v/>
      </c>
      <c r="AO8" s="11">
        <f>SUM(AT8:AZ8)+BB8+BC8</f>
        <v/>
      </c>
      <c r="AP8" s="11">
        <f>SUM(AT8:AZ8)+BE8+BF8</f>
        <v/>
      </c>
      <c r="AQ8" s="11">
        <f>AO8/3.6</f>
        <v/>
      </c>
      <c r="AR8" s="11">
        <f>AP8/3.6</f>
        <v/>
      </c>
      <c r="AS8" s="5">
        <f>AO8-AP8</f>
        <v/>
      </c>
      <c r="AT8" s="1">
        <f>D8/F8*Y8*-1</f>
        <v/>
      </c>
      <c r="AU8" s="1">
        <f>E8/F8*Y8</f>
        <v/>
      </c>
      <c r="AV8" s="1">
        <f t="array" ref="AV8">_xlfn.IFS(C8="Biomass_Corn", 1/F8*S8, C8="Biomass_Agri", 1/F8*V8, C8="Biomass_Wood", 1/F8*U8, C8="Biomass_Herb", 1/F8*T8)</f>
        <v/>
      </c>
      <c r="AW8" s="1">
        <f>G8/F8*AH8</f>
        <v/>
      </c>
      <c r="AX8" s="1">
        <f>M8/F8/(0.9*8760)</f>
        <v/>
      </c>
      <c r="AY8" s="1">
        <f>N8/F8/(0.9*8760)</f>
        <v/>
      </c>
      <c r="AZ8" s="1">
        <f>O8/F8</f>
        <v/>
      </c>
      <c r="BA8" s="1">
        <f>SUM(BP8:BR8)-BL8</f>
        <v/>
      </c>
      <c r="BB8" s="1">
        <f>(Q8+R8)*-1*I8/F8</f>
        <v/>
      </c>
      <c r="BC8" s="1">
        <f>BA8*Q8</f>
        <v/>
      </c>
      <c r="BD8" s="1">
        <f>SUM(BP8:BQ8)-BL8</f>
        <v/>
      </c>
      <c r="BE8" s="1">
        <f>I8/F8*-1*R8</f>
        <v/>
      </c>
      <c r="BF8" s="1">
        <f>BD8*Q8</f>
        <v/>
      </c>
      <c r="BH8" s="9">
        <f>H8</f>
        <v/>
      </c>
      <c r="BI8" s="10" t="n">
        <v>0.181048235160161</v>
      </c>
      <c r="BJ8" s="9" t="n">
        <v>0.230447</v>
      </c>
      <c r="BL8" s="10">
        <f>BH8/F8</f>
        <v/>
      </c>
      <c r="BM8" s="10">
        <f>BI8*G8/F8</f>
        <v/>
      </c>
      <c r="BN8" s="10">
        <f>SUM(BL8:BM8)</f>
        <v/>
      </c>
      <c r="BP8" s="10">
        <f>BJ8</f>
        <v/>
      </c>
      <c r="BQ8" s="10">
        <f>J8/F8</f>
        <v/>
      </c>
      <c r="BR8" s="10">
        <f>I8/F8</f>
        <v/>
      </c>
      <c r="BS8" s="10">
        <f>SUM(BP8:BR8)</f>
        <v/>
      </c>
      <c r="BU8" s="1">
        <f>BN8-BS8</f>
        <v/>
      </c>
    </row>
    <row r="9" ht="17" customHeight="1">
      <c r="B9" s="13" t="inlineStr">
        <is>
          <t>NE_Biochemical_CCS_86</t>
        </is>
      </c>
      <c r="C9" s="12" t="inlineStr">
        <is>
          <t>Biomass_Agri</t>
        </is>
      </c>
      <c r="D9" s="12" t="n">
        <v>0.1227</v>
      </c>
      <c r="E9" s="12" t="n">
        <v>0.26</v>
      </c>
      <c r="F9" s="12" t="n">
        <v>1.5509</v>
      </c>
      <c r="G9" s="12" t="n">
        <v>0</v>
      </c>
      <c r="H9" s="12" t="n">
        <v>1.32</v>
      </c>
      <c r="I9" s="12" t="n">
        <v>0.83</v>
      </c>
      <c r="J9" s="12" t="n">
        <v>0.13</v>
      </c>
      <c r="K9" s="18">
        <f>(BM9+(BL9-BP9-BR9))*F9</f>
        <v/>
      </c>
      <c r="L9" s="18">
        <f>BR9*F9</f>
        <v/>
      </c>
      <c r="M9" s="12" t="n">
        <v>727064.6</v>
      </c>
      <c r="N9" s="12" t="n">
        <v>233553.61</v>
      </c>
      <c r="O9" s="12" t="n">
        <v>56.9</v>
      </c>
      <c r="Q9" s="15" t="n">
        <v>73.71884</v>
      </c>
      <c r="R9" s="15" t="n">
        <v>-23.276809</v>
      </c>
      <c r="S9" s="15" t="n"/>
      <c r="T9" s="15" t="n">
        <v>60.47681</v>
      </c>
      <c r="U9" s="15" t="n">
        <v>28.904358</v>
      </c>
      <c r="V9" s="15" t="n">
        <v>39.957475</v>
      </c>
      <c r="W9" s="16" t="n">
        <v>-2.703157</v>
      </c>
      <c r="X9" s="16" t="n"/>
      <c r="Y9" s="15" t="n">
        <v>20.789991</v>
      </c>
      <c r="Z9" s="15" t="n">
        <v>9.19598</v>
      </c>
      <c r="AA9" s="15" t="n"/>
      <c r="AB9" s="16" t="n">
        <v>-150.755789</v>
      </c>
      <c r="AC9" s="16" t="n">
        <v>-150.755789</v>
      </c>
      <c r="AD9" s="16" t="n"/>
      <c r="AE9" s="16" t="n"/>
      <c r="AF9" s="16" t="n"/>
      <c r="AG9" s="16" t="n"/>
      <c r="AH9" s="15" t="n">
        <v>8.960454</v>
      </c>
      <c r="AI9" s="15" t="n">
        <v>0</v>
      </c>
      <c r="AJ9" s="15" t="n">
        <v>822.267522</v>
      </c>
      <c r="AK9" s="15" t="n">
        <v>0</v>
      </c>
      <c r="AM9" s="1">
        <f>B9</f>
        <v/>
      </c>
      <c r="AN9" s="1">
        <f>C9</f>
        <v/>
      </c>
      <c r="AO9" s="11">
        <f>SUM(AT9:AZ9)+BB9+BC9</f>
        <v/>
      </c>
      <c r="AP9" s="11">
        <f>SUM(AT9:AZ9)+BE9+BF9</f>
        <v/>
      </c>
      <c r="AQ9" s="11">
        <f>AO9/3.6</f>
        <v/>
      </c>
      <c r="AR9" s="11">
        <f>AP9/3.6</f>
        <v/>
      </c>
      <c r="AS9" s="5">
        <f>AO9-AP9</f>
        <v/>
      </c>
      <c r="AT9" s="1">
        <f>D9/F9*Y9*-1</f>
        <v/>
      </c>
      <c r="AU9" s="1">
        <f>E9/F9*Y9</f>
        <v/>
      </c>
      <c r="AV9" s="1">
        <f t="array" ref="AV9">_xlfn.IFS(C9="Biomass_Corn", 1/F9*S9, C9="Biomass_Agri", 1/F9*V9, C9="Biomass_Wood", 1/F9*U9, C9="Biomass_Herb", 1/F9*T9)</f>
        <v/>
      </c>
      <c r="AW9" s="1">
        <f>G9/F9*AH9</f>
        <v/>
      </c>
      <c r="AX9" s="1">
        <f>M9/F9/(0.9*8760)</f>
        <v/>
      </c>
      <c r="AY9" s="1">
        <f>N9/F9/(0.9*8760)</f>
        <v/>
      </c>
      <c r="AZ9" s="1">
        <f>O9/F9</f>
        <v/>
      </c>
      <c r="BA9" s="1">
        <f>SUM(BP9:BR9)-BL9</f>
        <v/>
      </c>
      <c r="BB9" s="1">
        <f>(Q9+R9)*-1*I9/F9</f>
        <v/>
      </c>
      <c r="BC9" s="1">
        <f>BA9*Q9</f>
        <v/>
      </c>
      <c r="BD9" s="1">
        <f>SUM(BP9:BQ9)-BL9</f>
        <v/>
      </c>
      <c r="BE9" s="1">
        <f>I9/F9*-1*R9</f>
        <v/>
      </c>
      <c r="BF9" s="1">
        <f>BD9*Q9</f>
        <v/>
      </c>
      <c r="BH9" s="9">
        <f>H9</f>
        <v/>
      </c>
      <c r="BI9" s="10" t="n">
        <v>0.181048235160161</v>
      </c>
      <c r="BJ9" s="9" t="n">
        <v>0.230447</v>
      </c>
      <c r="BL9" s="10">
        <f>BH9/F9</f>
        <v/>
      </c>
      <c r="BM9" s="10">
        <f>BI9*G9/F9</f>
        <v/>
      </c>
      <c r="BN9" s="10">
        <f>SUM(BL9:BM9)</f>
        <v/>
      </c>
      <c r="BP9" s="10">
        <f>BJ9</f>
        <v/>
      </c>
      <c r="BQ9" s="10">
        <f>J9/F9</f>
        <v/>
      </c>
      <c r="BR9" s="10">
        <f>I9/F9</f>
        <v/>
      </c>
      <c r="BS9" s="10">
        <f>SUM(BP9:BR9)</f>
        <v/>
      </c>
      <c r="BU9" s="1">
        <f>BN9-BS9</f>
        <v/>
      </c>
    </row>
    <row r="10">
      <c r="B10" s="13" t="inlineStr">
        <is>
          <t>CA_Biochemical_CCS_20</t>
        </is>
      </c>
      <c r="C10" s="12" t="inlineStr">
        <is>
          <t>Biomass_Agri</t>
        </is>
      </c>
      <c r="D10" s="12" t="n">
        <v>0.1227</v>
      </c>
      <c r="E10" s="12" t="n">
        <v>0</v>
      </c>
      <c r="F10" s="12" t="n">
        <v>1.5509</v>
      </c>
      <c r="G10" s="12" t="n">
        <v>0</v>
      </c>
      <c r="H10" s="12" t="n">
        <v>1.32</v>
      </c>
      <c r="I10" s="12" t="n">
        <v>0.19</v>
      </c>
      <c r="J10" s="12" t="n">
        <v>0.77</v>
      </c>
      <c r="K10" s="18">
        <f>(BM10+(BL10-BP10-BR10))*F10</f>
        <v/>
      </c>
      <c r="L10" s="18">
        <f>BR10*F10</f>
        <v/>
      </c>
      <c r="M10" s="12" t="n">
        <v>658128.84</v>
      </c>
      <c r="N10" s="12" t="n">
        <v>195838.97</v>
      </c>
      <c r="O10" s="12" t="n">
        <v>55.71</v>
      </c>
      <c r="Q10" s="15" t="n">
        <v>73.71884</v>
      </c>
      <c r="R10" s="15" t="n">
        <v>3.828238</v>
      </c>
      <c r="S10" s="15" t="n"/>
      <c r="T10" s="15" t="n">
        <v>70.666428</v>
      </c>
      <c r="U10" s="15" t="n">
        <v>35.61527</v>
      </c>
      <c r="V10" s="15" t="n">
        <v>32.098216</v>
      </c>
      <c r="W10" s="16" t="n">
        <v>-9.011429</v>
      </c>
      <c r="X10" s="16" t="n"/>
      <c r="Y10" s="15" t="n">
        <v>20.274928</v>
      </c>
      <c r="Z10" s="15" t="n">
        <v>8.466452</v>
      </c>
      <c r="AA10" s="15" t="n"/>
      <c r="AB10" s="16" t="n">
        <v>-116.150516</v>
      </c>
      <c r="AC10" s="16" t="n">
        <v>-116.150516</v>
      </c>
      <c r="AD10" s="16" t="n"/>
      <c r="AE10" s="16" t="n"/>
      <c r="AF10" s="16" t="n"/>
      <c r="AG10" s="16" t="n"/>
      <c r="AH10" s="15" t="n">
        <v>12.963218</v>
      </c>
      <c r="AI10" s="15" t="n">
        <v>0</v>
      </c>
      <c r="AJ10" s="15" t="n">
        <v>822.267522</v>
      </c>
      <c r="AK10" s="15" t="n">
        <v>0</v>
      </c>
      <c r="AM10" s="1">
        <f>B10</f>
        <v/>
      </c>
      <c r="AN10" s="1">
        <f>C10</f>
        <v/>
      </c>
      <c r="AO10" s="11">
        <f>SUM(AT10:AZ10)+BB10+BC10</f>
        <v/>
      </c>
      <c r="AP10" s="11">
        <f>SUM(AT10:AZ10)+BE10+BF10</f>
        <v/>
      </c>
      <c r="AQ10" s="11">
        <f>AO10/3.6</f>
        <v/>
      </c>
      <c r="AR10" s="11">
        <f>AP10/3.6</f>
        <v/>
      </c>
      <c r="AS10" s="5">
        <f>AO10-AP10</f>
        <v/>
      </c>
      <c r="AT10" s="1">
        <f>D10/F10*Y10*-1</f>
        <v/>
      </c>
      <c r="AU10" s="1">
        <f>E10/F10*Y10</f>
        <v/>
      </c>
      <c r="AV10" s="1">
        <f t="array" ref="AV10">_xlfn.IFS(C10="Biomass_Corn", 1/F10*S10, C10="Biomass_Agri", 1/F10*V10, C10="Biomass_Wood", 1/F10*U10, C10="Biomass_Herb", 1/F10*T10)</f>
        <v/>
      </c>
      <c r="AW10" s="1">
        <f>G10/F10*AH10</f>
        <v/>
      </c>
      <c r="AX10" s="1">
        <f>M10/F10/(0.9*8760)</f>
        <v/>
      </c>
      <c r="AY10" s="1">
        <f>N10/F10/(0.9*8760)</f>
        <v/>
      </c>
      <c r="AZ10" s="1">
        <f>O10/F10</f>
        <v/>
      </c>
      <c r="BA10" s="1">
        <f>SUM(BP10:BR10)-BL10</f>
        <v/>
      </c>
      <c r="BB10" s="1">
        <f>(Q10+R10)*-1*I10/F10</f>
        <v/>
      </c>
      <c r="BC10" s="1">
        <f>BA10*Q10</f>
        <v/>
      </c>
      <c r="BD10" s="1">
        <f>SUM(BP10:BQ10)-BL10</f>
        <v/>
      </c>
      <c r="BE10" s="1">
        <f>I10/F10*-1*R10</f>
        <v/>
      </c>
      <c r="BF10" s="1">
        <f>BD10*Q10</f>
        <v/>
      </c>
      <c r="BH10" s="9">
        <f>H10</f>
        <v/>
      </c>
      <c r="BI10" s="10" t="n">
        <v>0.181048235160161</v>
      </c>
      <c r="BJ10" s="9" t="n">
        <v>0.230447</v>
      </c>
      <c r="BL10" s="10">
        <f>BH10/F10</f>
        <v/>
      </c>
      <c r="BM10" s="10">
        <f>BI10*G10/F10</f>
        <v/>
      </c>
      <c r="BN10" s="10">
        <f>SUM(BL10:BM10)</f>
        <v/>
      </c>
      <c r="BP10" s="10">
        <f>BJ10</f>
        <v/>
      </c>
      <c r="BQ10" s="10">
        <f>J10/F10</f>
        <v/>
      </c>
      <c r="BR10" s="10">
        <f>I10/F10</f>
        <v/>
      </c>
      <c r="BS10" s="10">
        <f>SUM(BP10:BR10)</f>
        <v/>
      </c>
      <c r="BU10" s="1">
        <f>BN10-BS10</f>
        <v/>
      </c>
    </row>
    <row r="11">
      <c r="B11" s="13" t="inlineStr">
        <is>
          <t>CA_Biochemical_CCS_86</t>
        </is>
      </c>
      <c r="C11" s="12" t="inlineStr">
        <is>
          <t>Biomass_Agri</t>
        </is>
      </c>
      <c r="D11" s="12" t="n">
        <v>0.1227</v>
      </c>
      <c r="E11" s="12" t="n">
        <v>0.26</v>
      </c>
      <c r="F11" s="12" t="n">
        <v>1.5509</v>
      </c>
      <c r="G11" s="12" t="n">
        <v>0</v>
      </c>
      <c r="H11" s="12" t="n">
        <v>1.32</v>
      </c>
      <c r="I11" s="12" t="n">
        <v>0.83</v>
      </c>
      <c r="J11" s="12" t="n">
        <v>0.13</v>
      </c>
      <c r="K11" s="18">
        <f>(BM11+(BL11-BP11-BR11))*F11</f>
        <v/>
      </c>
      <c r="L11" s="18">
        <f>BR11*F11</f>
        <v/>
      </c>
      <c r="M11" s="12" t="n">
        <v>727064.6</v>
      </c>
      <c r="N11" s="12" t="n">
        <v>233553.61</v>
      </c>
      <c r="O11" s="12" t="n">
        <v>56.9</v>
      </c>
      <c r="Q11" s="15" t="n">
        <v>73.71884</v>
      </c>
      <c r="R11" s="15" t="n">
        <v>3.828238</v>
      </c>
      <c r="S11" s="15" t="n"/>
      <c r="T11" s="15" t="n">
        <v>70.666428</v>
      </c>
      <c r="U11" s="15" t="n">
        <v>35.61527</v>
      </c>
      <c r="V11" s="15" t="n">
        <v>32.098216</v>
      </c>
      <c r="W11" s="16" t="n">
        <v>-9.011429</v>
      </c>
      <c r="X11" s="16" t="n"/>
      <c r="Y11" s="15" t="n">
        <v>20.274928</v>
      </c>
      <c r="Z11" s="15" t="n">
        <v>8.466452</v>
      </c>
      <c r="AA11" s="15" t="n"/>
      <c r="AB11" s="16" t="n">
        <v>-116.150516</v>
      </c>
      <c r="AC11" s="16" t="n">
        <v>-116.150516</v>
      </c>
      <c r="AD11" s="16" t="n"/>
      <c r="AE11" s="16" t="n"/>
      <c r="AF11" s="16" t="n"/>
      <c r="AG11" s="16" t="n"/>
      <c r="AH11" s="15" t="n">
        <v>12.963218</v>
      </c>
      <c r="AI11" s="15" t="n">
        <v>0</v>
      </c>
      <c r="AJ11" s="15" t="n">
        <v>822.267522</v>
      </c>
      <c r="AK11" s="15" t="n">
        <v>0</v>
      </c>
      <c r="AM11" s="1">
        <f>B11</f>
        <v/>
      </c>
      <c r="AN11" s="1">
        <f>C11</f>
        <v/>
      </c>
      <c r="AO11" s="11">
        <f>SUM(AT11:AZ11)+BB11+BC11</f>
        <v/>
      </c>
      <c r="AP11" s="11">
        <f>SUM(AT11:AZ11)+BE11+BF11</f>
        <v/>
      </c>
      <c r="AQ11" s="11">
        <f>AO11/3.6</f>
        <v/>
      </c>
      <c r="AR11" s="11">
        <f>AP11/3.6</f>
        <v/>
      </c>
      <c r="AS11" s="5">
        <f>AO11-AP11</f>
        <v/>
      </c>
      <c r="AT11" s="1">
        <f>D11/F11*Y11*-1</f>
        <v/>
      </c>
      <c r="AU11" s="1">
        <f>E11/F11*Y11</f>
        <v/>
      </c>
      <c r="AV11" s="1">
        <f t="array" ref="AV11">_xlfn.IFS(C11="Biomass_Corn", 1/F11*S11, C11="Biomass_Agri", 1/F11*V11, C11="Biomass_Wood", 1/F11*U11, C11="Biomass_Herb", 1/F11*T11)</f>
        <v/>
      </c>
      <c r="AW11" s="1">
        <f>G11/F11*AH11</f>
        <v/>
      </c>
      <c r="AX11" s="1">
        <f>M11/F11/(0.9*8760)</f>
        <v/>
      </c>
      <c r="AY11" s="1">
        <f>N11/F11/(0.9*8760)</f>
        <v/>
      </c>
      <c r="AZ11" s="1">
        <f>O11/F11</f>
        <v/>
      </c>
      <c r="BA11" s="1">
        <f>SUM(BP11:BR11)-BL11</f>
        <v/>
      </c>
      <c r="BB11" s="1">
        <f>(Q11+R11)*-1*I11/F11</f>
        <v/>
      </c>
      <c r="BC11" s="1">
        <f>BA11*Q11</f>
        <v/>
      </c>
      <c r="BD11" s="1">
        <f>SUM(BP11:BQ11)-BL11</f>
        <v/>
      </c>
      <c r="BE11" s="1">
        <f>I11/F11*-1*R11</f>
        <v/>
      </c>
      <c r="BF11" s="1">
        <f>BD11*Q11</f>
        <v/>
      </c>
      <c r="BH11" s="9">
        <f>H11</f>
        <v/>
      </c>
      <c r="BI11" s="10" t="n">
        <v>0.181048235160161</v>
      </c>
      <c r="BJ11" s="9" t="n">
        <v>0.230447</v>
      </c>
      <c r="BL11" s="10">
        <f>BH11/F11</f>
        <v/>
      </c>
      <c r="BM11" s="10">
        <f>BI11*G11/F11</f>
        <v/>
      </c>
      <c r="BN11" s="10">
        <f>SUM(BL11:BM11)</f>
        <v/>
      </c>
      <c r="BP11" s="10">
        <f>BJ11</f>
        <v/>
      </c>
      <c r="BQ11" s="10">
        <f>J11/F11</f>
        <v/>
      </c>
      <c r="BR11" s="10">
        <f>I11/F11</f>
        <v/>
      </c>
      <c r="BS11" s="10">
        <f>SUM(BP11:BR11)</f>
        <v/>
      </c>
      <c r="BU11" s="1">
        <f>BN11-BS11</f>
        <v/>
      </c>
    </row>
    <row r="12">
      <c r="B12" s="13" t="inlineStr">
        <is>
          <t>NW_Biochemical_CCS_20</t>
        </is>
      </c>
      <c r="C12" s="12" t="inlineStr">
        <is>
          <t>Biomass_Agri</t>
        </is>
      </c>
      <c r="D12" s="12" t="n">
        <v>0.1227</v>
      </c>
      <c r="E12" s="12" t="n">
        <v>0</v>
      </c>
      <c r="F12" s="12" t="n">
        <v>1.5509</v>
      </c>
      <c r="G12" s="12" t="n">
        <v>0</v>
      </c>
      <c r="H12" s="12" t="n">
        <v>1.32</v>
      </c>
      <c r="I12" s="12" t="n">
        <v>0.19</v>
      </c>
      <c r="J12" s="12" t="n">
        <v>0.77</v>
      </c>
      <c r="K12" s="18">
        <f>(BM12+(BL12-BP12-BR12))*F12</f>
        <v/>
      </c>
      <c r="L12" s="18">
        <f>BR12*F12</f>
        <v/>
      </c>
      <c r="M12" s="12" t="n">
        <v>658128.84</v>
      </c>
      <c r="N12" s="12" t="n">
        <v>195838.97</v>
      </c>
      <c r="O12" s="12" t="n">
        <v>55.71</v>
      </c>
      <c r="Q12" s="15" t="n">
        <v>73.71884</v>
      </c>
      <c r="R12" s="15" t="n">
        <v>6.341225</v>
      </c>
      <c r="S12" s="15" t="n"/>
      <c r="T12" s="15" t="n">
        <v>64.32980499999999</v>
      </c>
      <c r="U12" s="15" t="n">
        <v>37.86581</v>
      </c>
      <c r="V12" s="15" t="n">
        <v>42.137908</v>
      </c>
      <c r="W12" s="16" t="n">
        <v>-3.879455</v>
      </c>
      <c r="X12" s="16" t="n"/>
      <c r="Y12" s="15" t="n">
        <v>20.232007</v>
      </c>
      <c r="Z12" s="15" t="n">
        <v>8.132035999999999</v>
      </c>
      <c r="AA12" s="15" t="n"/>
      <c r="AB12" s="16" t="n">
        <v>-112.989964</v>
      </c>
      <c r="AC12" s="16" t="n">
        <v>-112.989964</v>
      </c>
      <c r="AD12" s="16" t="n"/>
      <c r="AE12" s="16" t="n"/>
      <c r="AF12" s="16" t="n"/>
      <c r="AG12" s="16" t="n"/>
      <c r="AH12" s="15" t="n">
        <v>12.309823</v>
      </c>
      <c r="AI12" s="15" t="n">
        <v>0</v>
      </c>
      <c r="AJ12" s="15" t="n">
        <v>822.267522</v>
      </c>
      <c r="AK12" s="15" t="n">
        <v>0</v>
      </c>
      <c r="AM12" s="1">
        <f>B12</f>
        <v/>
      </c>
      <c r="AN12" s="1">
        <f>C12</f>
        <v/>
      </c>
      <c r="AO12" s="11">
        <f>SUM(AT12:AZ12)+BB12+BC12</f>
        <v/>
      </c>
      <c r="AP12" s="11">
        <f>SUM(AT12:AZ12)+BE12+BF12</f>
        <v/>
      </c>
      <c r="AQ12" s="11">
        <f>AO12/3.6</f>
        <v/>
      </c>
      <c r="AR12" s="11">
        <f>AP12/3.6</f>
        <v/>
      </c>
      <c r="AS12" s="5">
        <f>AO12-AP12</f>
        <v/>
      </c>
      <c r="AT12" s="1">
        <f>D12/F12*Y12*-1</f>
        <v/>
      </c>
      <c r="AU12" s="1">
        <f>E12/F12*Y12</f>
        <v/>
      </c>
      <c r="AV12" s="1">
        <f t="array" ref="AV12">_xlfn.IFS(C12="Biomass_Corn", 1/F12*S12, C12="Biomass_Agri", 1/F12*V12, C12="Biomass_Wood", 1/F12*U12, C12="Biomass_Herb", 1/F12*T12)</f>
        <v/>
      </c>
      <c r="AW12" s="1">
        <f>G12/F12*AH12</f>
        <v/>
      </c>
      <c r="AX12" s="1">
        <f>M12/F12/(0.9*8760)</f>
        <v/>
      </c>
      <c r="AY12" s="1">
        <f>N12/F12/(0.9*8760)</f>
        <v/>
      </c>
      <c r="AZ12" s="1">
        <f>O12/F12</f>
        <v/>
      </c>
      <c r="BA12" s="1">
        <f>SUM(BP12:BR12)-BL12</f>
        <v/>
      </c>
      <c r="BB12" s="1">
        <f>(Q12+R12)*-1*I12/F12</f>
        <v/>
      </c>
      <c r="BC12" s="1">
        <f>BA12*Q12</f>
        <v/>
      </c>
      <c r="BD12" s="1">
        <f>SUM(BP12:BQ12)-BL12</f>
        <v/>
      </c>
      <c r="BE12" s="1">
        <f>I12/F12*-1*R12</f>
        <v/>
      </c>
      <c r="BF12" s="1">
        <f>BD12*Q12</f>
        <v/>
      </c>
      <c r="BH12" s="9">
        <f>H12</f>
        <v/>
      </c>
      <c r="BI12" s="10" t="n">
        <v>0.181048235160161</v>
      </c>
      <c r="BJ12" s="9" t="n">
        <v>0.230447</v>
      </c>
      <c r="BL12" s="10">
        <f>BH12/F12</f>
        <v/>
      </c>
      <c r="BM12" s="10">
        <f>BI12*G12/F12</f>
        <v/>
      </c>
      <c r="BN12" s="10">
        <f>SUM(BL12:BM12)</f>
        <v/>
      </c>
      <c r="BP12" s="10">
        <f>BJ12</f>
        <v/>
      </c>
      <c r="BQ12" s="10">
        <f>J12/F12</f>
        <v/>
      </c>
      <c r="BR12" s="10">
        <f>I12/F12</f>
        <v/>
      </c>
      <c r="BS12" s="10">
        <f>SUM(BP12:BR12)</f>
        <v/>
      </c>
      <c r="BU12" s="1">
        <f>BN12-BS12</f>
        <v/>
      </c>
    </row>
    <row r="13">
      <c r="B13" s="13" t="inlineStr">
        <is>
          <t>NW_Biochemical_CCS_86</t>
        </is>
      </c>
      <c r="C13" s="12" t="inlineStr">
        <is>
          <t>Biomass_Agri</t>
        </is>
      </c>
      <c r="D13" s="12" t="n">
        <v>0.1227</v>
      </c>
      <c r="E13" s="12" t="n">
        <v>0.26</v>
      </c>
      <c r="F13" s="12" t="n">
        <v>1.5509</v>
      </c>
      <c r="G13" s="12" t="n">
        <v>0</v>
      </c>
      <c r="H13" s="12" t="n">
        <v>1.32</v>
      </c>
      <c r="I13" s="12" t="n">
        <v>0.83</v>
      </c>
      <c r="J13" s="12" t="n">
        <v>0.13</v>
      </c>
      <c r="K13" s="18">
        <f>(BM13+(BL13-BP13-BR13))*F13</f>
        <v/>
      </c>
      <c r="L13" s="18">
        <f>BR13*F13</f>
        <v/>
      </c>
      <c r="M13" s="12" t="n">
        <v>727064.6</v>
      </c>
      <c r="N13" s="12" t="n">
        <v>233553.61</v>
      </c>
      <c r="O13" s="12" t="n">
        <v>56.9</v>
      </c>
      <c r="Q13" s="15" t="n">
        <v>73.71884</v>
      </c>
      <c r="R13" s="15" t="n">
        <v>6.341225</v>
      </c>
      <c r="S13" s="15" t="n"/>
      <c r="T13" s="15" t="n">
        <v>64.32980499999999</v>
      </c>
      <c r="U13" s="15" t="n">
        <v>37.86581</v>
      </c>
      <c r="V13" s="15" t="n">
        <v>42.137908</v>
      </c>
      <c r="W13" s="16" t="n">
        <v>-3.879455</v>
      </c>
      <c r="X13" s="16" t="n"/>
      <c r="Y13" s="15" t="n">
        <v>20.232007</v>
      </c>
      <c r="Z13" s="15" t="n">
        <v>8.132035999999999</v>
      </c>
      <c r="AA13" s="15" t="n"/>
      <c r="AB13" s="16" t="n">
        <v>-112.989964</v>
      </c>
      <c r="AC13" s="16" t="n">
        <v>-112.989964</v>
      </c>
      <c r="AD13" s="16" t="n"/>
      <c r="AE13" s="16" t="n"/>
      <c r="AF13" s="16" t="n"/>
      <c r="AG13" s="16" t="n"/>
      <c r="AH13" s="15" t="n">
        <v>12.309823</v>
      </c>
      <c r="AI13" s="15" t="n">
        <v>0</v>
      </c>
      <c r="AJ13" s="15" t="n">
        <v>822.267522</v>
      </c>
      <c r="AK13" s="15" t="n">
        <v>0</v>
      </c>
      <c r="AM13" s="1">
        <f>B13</f>
        <v/>
      </c>
      <c r="AN13" s="1">
        <f>C13</f>
        <v/>
      </c>
      <c r="AO13" s="11">
        <f>SUM(AT13:AZ13)+BB13+BC13</f>
        <v/>
      </c>
      <c r="AP13" s="11">
        <f>SUM(AT13:AZ13)+BE13+BF13</f>
        <v/>
      </c>
      <c r="AQ13" s="11">
        <f>AO13/3.6</f>
        <v/>
      </c>
      <c r="AR13" s="11">
        <f>AP13/3.6</f>
        <v/>
      </c>
      <c r="AS13" s="5">
        <f>AO13-AP13</f>
        <v/>
      </c>
      <c r="AT13" s="1">
        <f>D13/F13*Y13*-1</f>
        <v/>
      </c>
      <c r="AU13" s="1">
        <f>E13/F13*Y13</f>
        <v/>
      </c>
      <c r="AV13" s="1">
        <f t="array" ref="AV13">_xlfn.IFS(C13="Biomass_Corn", 1/F13*S13, C13="Biomass_Agri", 1/F13*V13, C13="Biomass_Wood", 1/F13*U13, C13="Biomass_Herb", 1/F13*T13)</f>
        <v/>
      </c>
      <c r="AW13" s="1">
        <f>G13/F13*AH13</f>
        <v/>
      </c>
      <c r="AX13" s="1">
        <f>M13/F13/(0.9*8760)</f>
        <v/>
      </c>
      <c r="AY13" s="1">
        <f>N13/F13/(0.9*8760)</f>
        <v/>
      </c>
      <c r="AZ13" s="1">
        <f>O13/F13</f>
        <v/>
      </c>
      <c r="BA13" s="1">
        <f>SUM(BP13:BR13)-BL13</f>
        <v/>
      </c>
      <c r="BB13" s="1">
        <f>(Q13+R13)*-1*I13/F13</f>
        <v/>
      </c>
      <c r="BC13" s="1">
        <f>BA13*Q13</f>
        <v/>
      </c>
      <c r="BD13" s="1">
        <f>SUM(BP13:BQ13)-BL13</f>
        <v/>
      </c>
      <c r="BE13" s="1">
        <f>I13/F13*-1*R13</f>
        <v/>
      </c>
      <c r="BF13" s="1">
        <f>BD13*Q13</f>
        <v/>
      </c>
      <c r="BH13" s="9">
        <f>H13</f>
        <v/>
      </c>
      <c r="BI13" s="10" t="n">
        <v>0.181048235160161</v>
      </c>
      <c r="BJ13" s="9" t="n">
        <v>0.230447</v>
      </c>
      <c r="BL13" s="10">
        <f>BH13/F13</f>
        <v/>
      </c>
      <c r="BM13" s="10">
        <f>BI13*G13/F13</f>
        <v/>
      </c>
      <c r="BN13" s="10">
        <f>SUM(BL13:BM13)</f>
        <v/>
      </c>
      <c r="BP13" s="10">
        <f>BJ13</f>
        <v/>
      </c>
      <c r="BQ13" s="10">
        <f>J13/F13</f>
        <v/>
      </c>
      <c r="BR13" s="10">
        <f>I13/F13</f>
        <v/>
      </c>
      <c r="BS13" s="10">
        <f>SUM(BP13:BR13)</f>
        <v/>
      </c>
      <c r="BU13" s="1">
        <f>BN13-BS13</f>
        <v/>
      </c>
    </row>
    <row r="14">
      <c r="B14" s="13" t="inlineStr">
        <is>
          <t>SW_Biochemical_CCS_20</t>
        </is>
      </c>
      <c r="C14" s="12" t="inlineStr">
        <is>
          <t>Biomass_Agri</t>
        </is>
      </c>
      <c r="D14" s="12" t="n">
        <v>0.1227</v>
      </c>
      <c r="E14" s="12" t="n">
        <v>0</v>
      </c>
      <c r="F14" s="12" t="n">
        <v>1.5509</v>
      </c>
      <c r="G14" s="12" t="n">
        <v>0</v>
      </c>
      <c r="H14" s="12" t="n">
        <v>1.32</v>
      </c>
      <c r="I14" s="12" t="n">
        <v>0.19</v>
      </c>
      <c r="J14" s="12" t="n">
        <v>0.77</v>
      </c>
      <c r="K14" s="18">
        <f>(BM14+(BL14-BP14-BR14))*F14</f>
        <v/>
      </c>
      <c r="L14" s="18">
        <f>BR14*F14</f>
        <v/>
      </c>
      <c r="M14" s="12" t="n">
        <v>658128.84</v>
      </c>
      <c r="N14" s="12" t="n">
        <v>195838.97</v>
      </c>
      <c r="O14" s="12" t="n">
        <v>55.71</v>
      </c>
      <c r="Q14" s="15" t="n">
        <v>73.71884</v>
      </c>
      <c r="R14" s="15" t="n">
        <v>-4.302149</v>
      </c>
      <c r="S14" s="15" t="n"/>
      <c r="T14" s="15" t="n">
        <v>61.152787</v>
      </c>
      <c r="U14" s="15" t="n">
        <v>40.832246</v>
      </c>
      <c r="V14" s="15" t="n">
        <v>41.356795</v>
      </c>
      <c r="W14" s="16" t="n">
        <v>-1.819211</v>
      </c>
      <c r="X14" s="16" t="n"/>
      <c r="Y14" s="15" t="n">
        <v>21.021514</v>
      </c>
      <c r="Z14" s="15" t="n">
        <v>9.044067999999999</v>
      </c>
      <c r="AA14" s="15" t="n"/>
      <c r="AB14" s="16" t="n">
        <v>-126.225199</v>
      </c>
      <c r="AC14" s="16" t="n">
        <v>-126.225199</v>
      </c>
      <c r="AD14" s="16" t="n"/>
      <c r="AE14" s="16" t="n"/>
      <c r="AF14" s="16" t="n"/>
      <c r="AG14" s="16" t="n"/>
      <c r="AH14" s="15" t="n">
        <v>10.321106</v>
      </c>
      <c r="AI14" s="15" t="n">
        <v>0</v>
      </c>
      <c r="AJ14" s="15" t="n">
        <v>822.267522</v>
      </c>
      <c r="AK14" s="15" t="n">
        <v>0</v>
      </c>
      <c r="AM14" s="1">
        <f>B14</f>
        <v/>
      </c>
      <c r="AN14" s="1">
        <f>C14</f>
        <v/>
      </c>
      <c r="AO14" s="11">
        <f>SUM(AT14:AZ14)+BB14+BC14</f>
        <v/>
      </c>
      <c r="AP14" s="11">
        <f>SUM(AT14:AZ14)+BE14+BF14</f>
        <v/>
      </c>
      <c r="AQ14" s="11">
        <f>AO14/3.6</f>
        <v/>
      </c>
      <c r="AR14" s="11">
        <f>AP14/3.6</f>
        <v/>
      </c>
      <c r="AS14" s="5">
        <f>AO14-AP14</f>
        <v/>
      </c>
      <c r="AT14" s="1">
        <f>D14/F14*Y14*-1</f>
        <v/>
      </c>
      <c r="AU14" s="1">
        <f>E14/F14*Y14</f>
        <v/>
      </c>
      <c r="AV14" s="1">
        <f t="array" ref="AV14">_xlfn.IFS(C14="Biomass_Corn", 1/F14*S14, C14="Biomass_Agri", 1/F14*V14, C14="Biomass_Wood", 1/F14*U14, C14="Biomass_Herb", 1/F14*T14)</f>
        <v/>
      </c>
      <c r="AW14" s="1">
        <f>G14/F14*AH14</f>
        <v/>
      </c>
      <c r="AX14" s="1">
        <f>M14/F14/(0.9*8760)</f>
        <v/>
      </c>
      <c r="AY14" s="1">
        <f>N14/F14/(0.9*8760)</f>
        <v/>
      </c>
      <c r="AZ14" s="1">
        <f>O14/F14</f>
        <v/>
      </c>
      <c r="BA14" s="1">
        <f>SUM(BP14:BR14)-BL14</f>
        <v/>
      </c>
      <c r="BB14" s="1">
        <f>(Q14+R14)*-1*I14/F14</f>
        <v/>
      </c>
      <c r="BC14" s="1">
        <f>BA14*Q14</f>
        <v/>
      </c>
      <c r="BD14" s="1">
        <f>SUM(BP14:BQ14)-BL14</f>
        <v/>
      </c>
      <c r="BE14" s="1">
        <f>I14/F14*-1*R14</f>
        <v/>
      </c>
      <c r="BF14" s="1">
        <f>BD14*Q14</f>
        <v/>
      </c>
      <c r="BH14" s="9">
        <f>H14</f>
        <v/>
      </c>
      <c r="BI14" s="10" t="n">
        <v>0.181048235160161</v>
      </c>
      <c r="BJ14" s="9" t="n">
        <v>0.230447</v>
      </c>
      <c r="BL14" s="10">
        <f>BH14/F14</f>
        <v/>
      </c>
      <c r="BM14" s="10">
        <f>BI14*G14/F14</f>
        <v/>
      </c>
      <c r="BN14" s="10">
        <f>SUM(BL14:BM14)</f>
        <v/>
      </c>
      <c r="BP14" s="10">
        <f>BJ14</f>
        <v/>
      </c>
      <c r="BQ14" s="10">
        <f>J14/F14</f>
        <v/>
      </c>
      <c r="BR14" s="10">
        <f>I14/F14</f>
        <v/>
      </c>
      <c r="BS14" s="10">
        <f>SUM(BP14:BR14)</f>
        <v/>
      </c>
      <c r="BU14" s="1">
        <f>BN14-BS14</f>
        <v/>
      </c>
    </row>
    <row r="15">
      <c r="B15" s="13" t="inlineStr">
        <is>
          <t>SW_Biochemical_CCS_86</t>
        </is>
      </c>
      <c r="C15" s="12" t="inlineStr">
        <is>
          <t>Biomass_Agri</t>
        </is>
      </c>
      <c r="D15" s="12" t="n">
        <v>0.1227</v>
      </c>
      <c r="E15" s="12" t="n">
        <v>0.26</v>
      </c>
      <c r="F15" s="12" t="n">
        <v>1.5509</v>
      </c>
      <c r="G15" s="12" t="n">
        <v>0</v>
      </c>
      <c r="H15" s="12" t="n">
        <v>1.32</v>
      </c>
      <c r="I15" s="12" t="n">
        <v>0.83</v>
      </c>
      <c r="J15" s="12" t="n">
        <v>0.13</v>
      </c>
      <c r="K15" s="18">
        <f>(BM15+(BL15-BP15-BR15))*F15</f>
        <v/>
      </c>
      <c r="L15" s="18">
        <f>BR15*F15</f>
        <v/>
      </c>
      <c r="M15" s="12" t="n">
        <v>727064.6</v>
      </c>
      <c r="N15" s="12" t="n">
        <v>233553.61</v>
      </c>
      <c r="O15" s="12" t="n">
        <v>56.9</v>
      </c>
      <c r="Q15" s="15" t="n">
        <v>73.71884</v>
      </c>
      <c r="R15" s="15" t="n">
        <v>-4.302149</v>
      </c>
      <c r="S15" s="15" t="n"/>
      <c r="T15" s="15" t="n">
        <v>61.152787</v>
      </c>
      <c r="U15" s="15" t="n">
        <v>40.832246</v>
      </c>
      <c r="V15" s="15" t="n">
        <v>41.356795</v>
      </c>
      <c r="W15" s="16" t="n">
        <v>-1.819211</v>
      </c>
      <c r="X15" s="16" t="n"/>
      <c r="Y15" s="15" t="n">
        <v>21.021514</v>
      </c>
      <c r="Z15" s="15" t="n">
        <v>9.044067999999999</v>
      </c>
      <c r="AA15" s="15" t="n"/>
      <c r="AB15" s="16" t="n">
        <v>-126.225199</v>
      </c>
      <c r="AC15" s="16" t="n">
        <v>-126.225199</v>
      </c>
      <c r="AD15" s="16" t="n"/>
      <c r="AE15" s="16" t="n"/>
      <c r="AF15" s="16" t="n"/>
      <c r="AG15" s="16" t="n"/>
      <c r="AH15" s="15" t="n">
        <v>10.321106</v>
      </c>
      <c r="AI15" s="15" t="n">
        <v>0</v>
      </c>
      <c r="AJ15" s="15" t="n">
        <v>822.267522</v>
      </c>
      <c r="AK15" s="15" t="n">
        <v>0</v>
      </c>
      <c r="AM15" s="1">
        <f>B15</f>
        <v/>
      </c>
      <c r="AN15" s="1">
        <f>C15</f>
        <v/>
      </c>
      <c r="AO15" s="11">
        <f>SUM(AT15:AZ15)+BB15+BC15</f>
        <v/>
      </c>
      <c r="AP15" s="11">
        <f>SUM(AT15:AZ15)+BE15+BF15</f>
        <v/>
      </c>
      <c r="AQ15" s="11">
        <f>AO15/3.6</f>
        <v/>
      </c>
      <c r="AR15" s="11">
        <f>AP15/3.6</f>
        <v/>
      </c>
      <c r="AS15" s="5">
        <f>AO15-AP15</f>
        <v/>
      </c>
      <c r="AT15" s="1">
        <f>D15/F15*Y15*-1</f>
        <v/>
      </c>
      <c r="AU15" s="1">
        <f>E15/F15*Y15</f>
        <v/>
      </c>
      <c r="AV15" s="1">
        <f t="array" ref="AV15">_xlfn.IFS(C15="Biomass_Corn", 1/F15*S15, C15="Biomass_Agri", 1/F15*V15, C15="Biomass_Wood", 1/F15*U15, C15="Biomass_Herb", 1/F15*T15)</f>
        <v/>
      </c>
      <c r="AW15" s="1">
        <f>G15/F15*AH15</f>
        <v/>
      </c>
      <c r="AX15" s="1">
        <f>M15/F15/(0.9*8760)</f>
        <v/>
      </c>
      <c r="AY15" s="1">
        <f>N15/F15/(0.9*8760)</f>
        <v/>
      </c>
      <c r="AZ15" s="1">
        <f>O15/F15</f>
        <v/>
      </c>
      <c r="BA15" s="1">
        <f>SUM(BP15:BR15)-BL15</f>
        <v/>
      </c>
      <c r="BB15" s="1">
        <f>(Q15+R15)*-1*I15/F15</f>
        <v/>
      </c>
      <c r="BC15" s="1">
        <f>BA15*Q15</f>
        <v/>
      </c>
      <c r="BD15" s="1">
        <f>SUM(BP15:BQ15)-BL15</f>
        <v/>
      </c>
      <c r="BE15" s="1">
        <f>I15/F15*-1*R15</f>
        <v/>
      </c>
      <c r="BF15" s="1">
        <f>BD15*Q15</f>
        <v/>
      </c>
      <c r="BH15" s="9">
        <f>H15</f>
        <v/>
      </c>
      <c r="BI15" s="10" t="n">
        <v>0.181048235160161</v>
      </c>
      <c r="BJ15" s="9" t="n">
        <v>0.230447</v>
      </c>
      <c r="BL15" s="10">
        <f>BH15/F15</f>
        <v/>
      </c>
      <c r="BM15" s="10">
        <f>BI15*G15/F15</f>
        <v/>
      </c>
      <c r="BN15" s="10">
        <f>SUM(BL15:BM15)</f>
        <v/>
      </c>
      <c r="BP15" s="10">
        <f>BJ15</f>
        <v/>
      </c>
      <c r="BQ15" s="10">
        <f>J15/F15</f>
        <v/>
      </c>
      <c r="BR15" s="10">
        <f>I15/F15</f>
        <v/>
      </c>
      <c r="BS15" s="10">
        <f>SUM(BP15:BR15)</f>
        <v/>
      </c>
      <c r="BU15" s="1">
        <f>BN15-BS15</f>
        <v/>
      </c>
    </row>
    <row r="16">
      <c r="B16" s="13" t="inlineStr">
        <is>
          <t>NCEN_Biochemical_CCS_20</t>
        </is>
      </c>
      <c r="C16" s="12" t="inlineStr">
        <is>
          <t>Biomass_Agri</t>
        </is>
      </c>
      <c r="D16" s="12" t="n">
        <v>0.1227</v>
      </c>
      <c r="E16" s="12" t="n">
        <v>0</v>
      </c>
      <c r="F16" s="12" t="n">
        <v>1.5509</v>
      </c>
      <c r="G16" s="12" t="n">
        <v>0</v>
      </c>
      <c r="H16" s="12" t="n">
        <v>1.32</v>
      </c>
      <c r="I16" s="12" t="n">
        <v>0.19</v>
      </c>
      <c r="J16" s="12" t="n">
        <v>0.77</v>
      </c>
      <c r="K16" s="18">
        <f>(BM16+(BL16-BP16-BR16))*F16</f>
        <v/>
      </c>
      <c r="L16" s="18">
        <f>BR16*F16</f>
        <v/>
      </c>
      <c r="M16" s="12" t="n">
        <v>658128.84</v>
      </c>
      <c r="N16" s="12" t="n">
        <v>195838.97</v>
      </c>
      <c r="O16" s="12" t="n">
        <v>55.71</v>
      </c>
      <c r="Q16" s="15" t="n">
        <v>73.71884</v>
      </c>
      <c r="R16" s="15" t="n">
        <v>-6.097314</v>
      </c>
      <c r="S16" s="15" t="n">
        <v>155</v>
      </c>
      <c r="T16" s="15" t="n">
        <v>61.343403</v>
      </c>
      <c r="U16" s="15" t="n">
        <v>33.004971</v>
      </c>
      <c r="V16" s="15" t="n">
        <v>42.19561</v>
      </c>
      <c r="W16" s="16" t="n">
        <v>51.423576</v>
      </c>
      <c r="X16" s="16" t="n"/>
      <c r="Y16" s="15" t="n">
        <v>22.90669</v>
      </c>
      <c r="Z16" s="15" t="n">
        <v>13.197062</v>
      </c>
      <c r="AA16" s="15" t="n"/>
      <c r="AB16" s="16" t="n">
        <v>-129.528977</v>
      </c>
      <c r="AC16" s="16" t="n">
        <v>-129.528977</v>
      </c>
      <c r="AD16" s="16" t="n"/>
      <c r="AE16" s="16" t="n"/>
      <c r="AF16" s="16" t="n"/>
      <c r="AG16" s="16" t="n"/>
      <c r="AH16" s="15" t="n">
        <v>14.953878</v>
      </c>
      <c r="AI16" s="15" t="n">
        <v>0</v>
      </c>
      <c r="AJ16" s="15" t="n">
        <v>822.267522</v>
      </c>
      <c r="AK16" s="15" t="n">
        <v>822.267522</v>
      </c>
      <c r="AM16" s="1">
        <f>B16</f>
        <v/>
      </c>
      <c r="AN16" s="1">
        <f>C16</f>
        <v/>
      </c>
      <c r="AO16" s="11">
        <f>SUM(AT16:AZ16)+BB16+BC16</f>
        <v/>
      </c>
      <c r="AP16" s="11">
        <f>SUM(AT16:AZ16)+BE16+BF16</f>
        <v/>
      </c>
      <c r="AQ16" s="11">
        <f>AO16/3.6</f>
        <v/>
      </c>
      <c r="AR16" s="11">
        <f>AP16/3.6</f>
        <v/>
      </c>
      <c r="AS16" s="5">
        <f>AO16-AP16</f>
        <v/>
      </c>
      <c r="AT16" s="1">
        <f>D16/F16*Y16*-1</f>
        <v/>
      </c>
      <c r="AU16" s="1">
        <f>E16/F16*Y16</f>
        <v/>
      </c>
      <c r="AV16" s="1">
        <f t="array" ref="AV16">_xlfn.IFS(C16="Biomass_Corn", 1/F16*S16, C16="Biomass_Agri", 1/F16*V16, C16="Biomass_Wood", 1/F16*U16, C16="Biomass_Herb", 1/F16*T16)</f>
        <v/>
      </c>
      <c r="AW16" s="1">
        <f>G16/F16*AH16</f>
        <v/>
      </c>
      <c r="AX16" s="1">
        <f>M16/F16/(0.9*8760)</f>
        <v/>
      </c>
      <c r="AY16" s="1">
        <f>N16/F16/(0.9*8760)</f>
        <v/>
      </c>
      <c r="AZ16" s="1">
        <f>O16/F16</f>
        <v/>
      </c>
      <c r="BA16" s="1">
        <f>SUM(BP16:BR16)-BL16</f>
        <v/>
      </c>
      <c r="BB16" s="1">
        <f>(Q16+R16)*-1*I16/F16</f>
        <v/>
      </c>
      <c r="BC16" s="1">
        <f>BA16*Q16</f>
        <v/>
      </c>
      <c r="BD16" s="1">
        <f>SUM(BP16:BQ16)-BL16</f>
        <v/>
      </c>
      <c r="BE16" s="1">
        <f>I16/F16*-1*R16</f>
        <v/>
      </c>
      <c r="BF16" s="1">
        <f>BD16*Q16</f>
        <v/>
      </c>
      <c r="BH16" s="9">
        <f>H16</f>
        <v/>
      </c>
      <c r="BI16" s="10" t="n">
        <v>0.181048235160161</v>
      </c>
      <c r="BJ16" s="9" t="n">
        <v>0.230447</v>
      </c>
      <c r="BL16" s="10">
        <f>BH16/F16</f>
        <v/>
      </c>
      <c r="BM16" s="10">
        <f>BI16*G16/F16</f>
        <v/>
      </c>
      <c r="BN16" s="10">
        <f>SUM(BL16:BM16)</f>
        <v/>
      </c>
      <c r="BP16" s="10">
        <f>BJ16</f>
        <v/>
      </c>
      <c r="BQ16" s="10">
        <f>J16/F16</f>
        <v/>
      </c>
      <c r="BR16" s="10">
        <f>I16/F16</f>
        <v/>
      </c>
      <c r="BS16" s="10">
        <f>SUM(BP16:BR16)</f>
        <v/>
      </c>
      <c r="BU16" s="1">
        <f>BN16-BS16</f>
        <v/>
      </c>
    </row>
    <row r="17">
      <c r="B17" s="13" t="inlineStr">
        <is>
          <t>NCEN_Biochemical_CCS_86</t>
        </is>
      </c>
      <c r="C17" s="12" t="inlineStr">
        <is>
          <t>Biomass_Agri</t>
        </is>
      </c>
      <c r="D17" s="12" t="n">
        <v>0.1227</v>
      </c>
      <c r="E17" s="12" t="n">
        <v>0.26</v>
      </c>
      <c r="F17" s="12" t="n">
        <v>1.5509</v>
      </c>
      <c r="G17" s="12" t="n">
        <v>0</v>
      </c>
      <c r="H17" s="12" t="n">
        <v>1.32</v>
      </c>
      <c r="I17" s="12" t="n">
        <v>0.83</v>
      </c>
      <c r="J17" s="12" t="n">
        <v>0.13</v>
      </c>
      <c r="K17" s="18">
        <f>(BM17+(BL17-BP17-BR17))*F17</f>
        <v/>
      </c>
      <c r="L17" s="18">
        <f>BR17*F17</f>
        <v/>
      </c>
      <c r="M17" s="12" t="n">
        <v>727064.6</v>
      </c>
      <c r="N17" s="12" t="n">
        <v>233553.61</v>
      </c>
      <c r="O17" s="12" t="n">
        <v>56.9</v>
      </c>
      <c r="Q17" s="15" t="n">
        <v>73.71884</v>
      </c>
      <c r="R17" s="15" t="n">
        <v>-6.097314</v>
      </c>
      <c r="S17" s="15" t="n">
        <v>155</v>
      </c>
      <c r="T17" s="15" t="n">
        <v>61.343403</v>
      </c>
      <c r="U17" s="15" t="n">
        <v>33.004971</v>
      </c>
      <c r="V17" s="15" t="n">
        <v>42.19561</v>
      </c>
      <c r="W17" s="16" t="n">
        <v>51.423576</v>
      </c>
      <c r="X17" s="16" t="n"/>
      <c r="Y17" s="15" t="n">
        <v>22.90669</v>
      </c>
      <c r="Z17" s="15" t="n">
        <v>13.197062</v>
      </c>
      <c r="AA17" s="15" t="n"/>
      <c r="AB17" s="16" t="n">
        <v>-129.528977</v>
      </c>
      <c r="AC17" s="16" t="n">
        <v>-129.528977</v>
      </c>
      <c r="AD17" s="16" t="n"/>
      <c r="AE17" s="16" t="n"/>
      <c r="AF17" s="16" t="n"/>
      <c r="AG17" s="16" t="n"/>
      <c r="AH17" s="15" t="n">
        <v>14.953878</v>
      </c>
      <c r="AI17" s="15" t="n">
        <v>0</v>
      </c>
      <c r="AJ17" s="15" t="n">
        <v>822.267522</v>
      </c>
      <c r="AK17" s="15" t="n">
        <v>822.267522</v>
      </c>
      <c r="AM17" s="1">
        <f>B17</f>
        <v/>
      </c>
      <c r="AN17" s="1">
        <f>C17</f>
        <v/>
      </c>
      <c r="AO17" s="11">
        <f>SUM(AT17:AZ17)+BB17+BC17</f>
        <v/>
      </c>
      <c r="AP17" s="11">
        <f>SUM(AT17:AZ17)+BE17+BF17</f>
        <v/>
      </c>
      <c r="AQ17" s="11">
        <f>AO17/3.6</f>
        <v/>
      </c>
      <c r="AR17" s="11">
        <f>AP17/3.6</f>
        <v/>
      </c>
      <c r="AS17" s="5">
        <f>AO17-AP17</f>
        <v/>
      </c>
      <c r="AT17" s="1">
        <f>D17/F17*Y17*-1</f>
        <v/>
      </c>
      <c r="AU17" s="1">
        <f>E17/F17*Y17</f>
        <v/>
      </c>
      <c r="AV17" s="1">
        <f t="array" ref="AV17">_xlfn.IFS(C17="Biomass_Corn", 1/F17*S17, C17="Biomass_Agri", 1/F17*V17, C17="Biomass_Wood", 1/F17*U17, C17="Biomass_Herb", 1/F17*T17)</f>
        <v/>
      </c>
      <c r="AW17" s="1">
        <f>G17/F17*AH17</f>
        <v/>
      </c>
      <c r="AX17" s="1">
        <f>M17/F17/(0.9*8760)</f>
        <v/>
      </c>
      <c r="AY17" s="1">
        <f>N17/F17/(0.9*8760)</f>
        <v/>
      </c>
      <c r="AZ17" s="1">
        <f>O17/F17</f>
        <v/>
      </c>
      <c r="BA17" s="1">
        <f>SUM(BP17:BR17)-BL17</f>
        <v/>
      </c>
      <c r="BB17" s="1">
        <f>(Q17+R17)*-1*I17/F17</f>
        <v/>
      </c>
      <c r="BC17" s="1">
        <f>BA17*Q17</f>
        <v/>
      </c>
      <c r="BD17" s="1">
        <f>SUM(BP17:BQ17)-BL17</f>
        <v/>
      </c>
      <c r="BE17" s="1">
        <f>I17/F17*-1*R17</f>
        <v/>
      </c>
      <c r="BF17" s="1">
        <f>BD17*Q17</f>
        <v/>
      </c>
      <c r="BH17" s="9">
        <f>H17</f>
        <v/>
      </c>
      <c r="BI17" s="10" t="n">
        <v>0.181048235160161</v>
      </c>
      <c r="BJ17" s="9" t="n">
        <v>0.230447</v>
      </c>
      <c r="BL17" s="10">
        <f>BH17/F17</f>
        <v/>
      </c>
      <c r="BM17" s="10">
        <f>BI17*G17/F17</f>
        <v/>
      </c>
      <c r="BN17" s="10">
        <f>SUM(BL17:BM17)</f>
        <v/>
      </c>
      <c r="BP17" s="10">
        <f>BJ17</f>
        <v/>
      </c>
      <c r="BQ17" s="10">
        <f>J17/F17</f>
        <v/>
      </c>
      <c r="BR17" s="10">
        <f>I17/F17</f>
        <v/>
      </c>
      <c r="BS17" s="10">
        <f>SUM(BP17:BR17)</f>
        <v/>
      </c>
      <c r="BU17" s="1">
        <f>BN17-BS17</f>
        <v/>
      </c>
    </row>
    <row r="18">
      <c r="B18" s="13" t="inlineStr">
        <is>
          <t>CEN_Biochemical_CCS_20</t>
        </is>
      </c>
      <c r="C18" s="12" t="inlineStr">
        <is>
          <t>Biomass_Agri</t>
        </is>
      </c>
      <c r="D18" s="12" t="n">
        <v>0.1227</v>
      </c>
      <c r="E18" s="12" t="n">
        <v>0</v>
      </c>
      <c r="F18" s="12" t="n">
        <v>1.5509</v>
      </c>
      <c r="G18" s="12" t="n">
        <v>0</v>
      </c>
      <c r="H18" s="12" t="n">
        <v>1.32</v>
      </c>
      <c r="I18" s="12" t="n">
        <v>0.19</v>
      </c>
      <c r="J18" s="12" t="n">
        <v>0.77</v>
      </c>
      <c r="K18" s="18">
        <f>(BM18+(BL18-BP18-BR18))*F18</f>
        <v/>
      </c>
      <c r="L18" s="18">
        <f>BR18*F18</f>
        <v/>
      </c>
      <c r="M18" s="12" t="n">
        <v>658128.84</v>
      </c>
      <c r="N18" s="12" t="n">
        <v>195838.97</v>
      </c>
      <c r="O18" s="12" t="n">
        <v>55.71</v>
      </c>
      <c r="Q18" s="15" t="n">
        <v>73.71884</v>
      </c>
      <c r="R18" s="15" t="n">
        <v>-6.199254</v>
      </c>
      <c r="S18" s="15" t="n">
        <v>155</v>
      </c>
      <c r="T18" s="15" t="n">
        <v>65.59151</v>
      </c>
      <c r="U18" s="15" t="n">
        <v>31.821489</v>
      </c>
      <c r="V18" s="15" t="n">
        <v>37.986239</v>
      </c>
      <c r="W18" s="16" t="n">
        <v>51.417555</v>
      </c>
      <c r="X18" s="16" t="n"/>
      <c r="Y18" s="15" t="n">
        <v>22.465142</v>
      </c>
      <c r="Z18" s="15" t="n">
        <v>13.285634</v>
      </c>
      <c r="AA18" s="15" t="n"/>
      <c r="AB18" s="16" t="n">
        <v>-129.681448</v>
      </c>
      <c r="AC18" s="16" t="n">
        <v>-129.681448</v>
      </c>
      <c r="AD18" s="16" t="n"/>
      <c r="AE18" s="16" t="n"/>
      <c r="AF18" s="16" t="n"/>
      <c r="AG18" s="16" t="n"/>
      <c r="AH18" s="15" t="n">
        <v>15.046749</v>
      </c>
      <c r="AI18" s="15" t="n">
        <v>0</v>
      </c>
      <c r="AJ18" s="15" t="n">
        <v>822.267522</v>
      </c>
      <c r="AK18" s="15" t="n">
        <v>822.267522</v>
      </c>
      <c r="AM18" s="1">
        <f>B18</f>
        <v/>
      </c>
      <c r="AN18" s="1">
        <f>C18</f>
        <v/>
      </c>
      <c r="AO18" s="11">
        <f>SUM(AT18:AZ18)+BB18+BC18</f>
        <v/>
      </c>
      <c r="AP18" s="11">
        <f>SUM(AT18:AZ18)+BE18+BF18</f>
        <v/>
      </c>
      <c r="AQ18" s="11">
        <f>AO18/3.6</f>
        <v/>
      </c>
      <c r="AR18" s="11">
        <f>AP18/3.6</f>
        <v/>
      </c>
      <c r="AS18" s="5">
        <f>AO18-AP18</f>
        <v/>
      </c>
      <c r="AT18" s="1">
        <f>D18/F18*Y18*-1</f>
        <v/>
      </c>
      <c r="AU18" s="1">
        <f>E18/F18*Y18</f>
        <v/>
      </c>
      <c r="AV18" s="1">
        <f t="array" ref="AV18">_xlfn.IFS(C18="Biomass_Corn", 1/F18*S18, C18="Biomass_Agri", 1/F18*V18, C18="Biomass_Wood", 1/F18*U18, C18="Biomass_Herb", 1/F18*T18)</f>
        <v/>
      </c>
      <c r="AW18" s="1">
        <f>G18/F18*AH18</f>
        <v/>
      </c>
      <c r="AX18" s="1">
        <f>M18/F18/(0.9*8760)</f>
        <v/>
      </c>
      <c r="AY18" s="1">
        <f>N18/F18/(0.9*8760)</f>
        <v/>
      </c>
      <c r="AZ18" s="1">
        <f>O18/F18</f>
        <v/>
      </c>
      <c r="BA18" s="1">
        <f>SUM(BP18:BR18)-BL18</f>
        <v/>
      </c>
      <c r="BB18" s="1">
        <f>(Q18+R18)*-1*I18/F18</f>
        <v/>
      </c>
      <c r="BC18" s="1">
        <f>BA18*Q18</f>
        <v/>
      </c>
      <c r="BD18" s="1">
        <f>SUM(BP18:BQ18)-BL18</f>
        <v/>
      </c>
      <c r="BE18" s="1">
        <f>I18/F18*-1*R18</f>
        <v/>
      </c>
      <c r="BF18" s="1">
        <f>BD18*Q18</f>
        <v/>
      </c>
      <c r="BH18" s="9">
        <f>H18</f>
        <v/>
      </c>
      <c r="BI18" s="10" t="n">
        <v>0.181048235160161</v>
      </c>
      <c r="BJ18" s="9" t="n">
        <v>0.230447</v>
      </c>
      <c r="BL18" s="10">
        <f>BH18/F18</f>
        <v/>
      </c>
      <c r="BM18" s="10">
        <f>BI18*G18/F18</f>
        <v/>
      </c>
      <c r="BN18" s="10">
        <f>SUM(BL18:BM18)</f>
        <v/>
      </c>
      <c r="BP18" s="10">
        <f>BJ18</f>
        <v/>
      </c>
      <c r="BQ18" s="10">
        <f>J18/F18</f>
        <v/>
      </c>
      <c r="BR18" s="10">
        <f>I18/F18</f>
        <v/>
      </c>
      <c r="BS18" s="10">
        <f>SUM(BP18:BR18)</f>
        <v/>
      </c>
      <c r="BU18" s="1">
        <f>BN18-BS18</f>
        <v/>
      </c>
    </row>
    <row r="19">
      <c r="B19" s="13" t="inlineStr">
        <is>
          <t>CEN_Biochemical_CCS_86</t>
        </is>
      </c>
      <c r="C19" s="12" t="inlineStr">
        <is>
          <t>Biomass_Agri</t>
        </is>
      </c>
      <c r="D19" s="12" t="n">
        <v>0.1227</v>
      </c>
      <c r="E19" s="12" t="n">
        <v>0.26</v>
      </c>
      <c r="F19" s="12" t="n">
        <v>1.5509</v>
      </c>
      <c r="G19" s="12" t="n">
        <v>0</v>
      </c>
      <c r="H19" s="12" t="n">
        <v>1.32</v>
      </c>
      <c r="I19" s="12" t="n">
        <v>0.83</v>
      </c>
      <c r="J19" s="12" t="n">
        <v>0.13</v>
      </c>
      <c r="K19" s="18">
        <f>(BM19+(BL19-BP19-BR19))*F19</f>
        <v/>
      </c>
      <c r="L19" s="18">
        <f>BR19*F19</f>
        <v/>
      </c>
      <c r="M19" s="12" t="n">
        <v>727064.6</v>
      </c>
      <c r="N19" s="12" t="n">
        <v>233553.61</v>
      </c>
      <c r="O19" s="12" t="n">
        <v>56.9</v>
      </c>
      <c r="Q19" s="15" t="n">
        <v>73.71884</v>
      </c>
      <c r="R19" s="15" t="n">
        <v>-6.199254</v>
      </c>
      <c r="S19" s="15" t="n">
        <v>155</v>
      </c>
      <c r="T19" s="15" t="n">
        <v>65.59151</v>
      </c>
      <c r="U19" s="15" t="n">
        <v>31.821489</v>
      </c>
      <c r="V19" s="15" t="n">
        <v>37.986239</v>
      </c>
      <c r="W19" s="16" t="n">
        <v>51.417555</v>
      </c>
      <c r="X19" s="16" t="n"/>
      <c r="Y19" s="15" t="n">
        <v>22.465142</v>
      </c>
      <c r="Z19" s="15" t="n">
        <v>13.285634</v>
      </c>
      <c r="AA19" s="15" t="n"/>
      <c r="AB19" s="16" t="n">
        <v>-129.681448</v>
      </c>
      <c r="AC19" s="16" t="n">
        <v>-129.681448</v>
      </c>
      <c r="AD19" s="16" t="n"/>
      <c r="AE19" s="16" t="n"/>
      <c r="AF19" s="16" t="n"/>
      <c r="AG19" s="16" t="n"/>
      <c r="AH19" s="15" t="n">
        <v>15.046749</v>
      </c>
      <c r="AI19" s="15" t="n">
        <v>0</v>
      </c>
      <c r="AJ19" s="15" t="n">
        <v>822.267522</v>
      </c>
      <c r="AK19" s="15" t="n">
        <v>822.267522</v>
      </c>
      <c r="AM19" s="1">
        <f>B19</f>
        <v/>
      </c>
      <c r="AN19" s="1">
        <f>C19</f>
        <v/>
      </c>
      <c r="AO19" s="11">
        <f>SUM(AT19:AZ19)+BB19+BC19</f>
        <v/>
      </c>
      <c r="AP19" s="11">
        <f>SUM(AT19:AZ19)+BE19+BF19</f>
        <v/>
      </c>
      <c r="AQ19" s="11">
        <f>AO19/3.6</f>
        <v/>
      </c>
      <c r="AR19" s="11">
        <f>AP19/3.6</f>
        <v/>
      </c>
      <c r="AS19" s="5">
        <f>AO19-AP19</f>
        <v/>
      </c>
      <c r="AT19" s="1">
        <f>D19/F19*Y19*-1</f>
        <v/>
      </c>
      <c r="AU19" s="1">
        <f>E19/F19*Y19</f>
        <v/>
      </c>
      <c r="AV19" s="1">
        <f t="array" ref="AV19">_xlfn.IFS(C19="Biomass_Corn", 1/F19*S19, C19="Biomass_Agri", 1/F19*V19, C19="Biomass_Wood", 1/F19*U19, C19="Biomass_Herb", 1/F19*T19)</f>
        <v/>
      </c>
      <c r="AW19" s="1">
        <f>G19/F19*AH19</f>
        <v/>
      </c>
      <c r="AX19" s="1">
        <f>M19/F19/(0.9*8760)</f>
        <v/>
      </c>
      <c r="AY19" s="1">
        <f>N19/F19/(0.9*8760)</f>
        <v/>
      </c>
      <c r="AZ19" s="1">
        <f>O19/F19</f>
        <v/>
      </c>
      <c r="BA19" s="1">
        <f>SUM(BP19:BR19)-BL19</f>
        <v/>
      </c>
      <c r="BB19" s="1">
        <f>(Q19+R19)*-1*I19/F19</f>
        <v/>
      </c>
      <c r="BC19" s="1">
        <f>BA19*Q19</f>
        <v/>
      </c>
      <c r="BD19" s="1">
        <f>SUM(BP19:BQ19)-BL19</f>
        <v/>
      </c>
      <c r="BE19" s="1">
        <f>I19/F19*-1*R19</f>
        <v/>
      </c>
      <c r="BF19" s="1">
        <f>BD19*Q19</f>
        <v/>
      </c>
      <c r="BH19" s="9">
        <f>H19</f>
        <v/>
      </c>
      <c r="BI19" s="10" t="n">
        <v>0.181048235160161</v>
      </c>
      <c r="BJ19" s="9" t="n">
        <v>0.230447</v>
      </c>
      <c r="BL19" s="10">
        <f>BH19/F19</f>
        <v/>
      </c>
      <c r="BM19" s="10">
        <f>BI19*G19/F19</f>
        <v/>
      </c>
      <c r="BN19" s="10">
        <f>SUM(BL19:BM19)</f>
        <v/>
      </c>
      <c r="BP19" s="10">
        <f>BJ19</f>
        <v/>
      </c>
      <c r="BQ19" s="10">
        <f>J19/F19</f>
        <v/>
      </c>
      <c r="BR19" s="10">
        <f>I19/F19</f>
        <v/>
      </c>
      <c r="BS19" s="10">
        <f>SUM(BP19:BR19)</f>
        <v/>
      </c>
      <c r="BU19" s="1">
        <f>BN19-BS19</f>
        <v/>
      </c>
    </row>
    <row r="20">
      <c r="B20" s="13" t="inlineStr">
        <is>
          <t>TX_Biochemical_CCS_20</t>
        </is>
      </c>
      <c r="C20" s="12" t="inlineStr">
        <is>
          <t>Biomass_Agri</t>
        </is>
      </c>
      <c r="D20" s="12" t="n">
        <v>0.1227</v>
      </c>
      <c r="E20" s="12" t="n">
        <v>0</v>
      </c>
      <c r="F20" s="12" t="n">
        <v>1.5509</v>
      </c>
      <c r="G20" s="12" t="n">
        <v>0</v>
      </c>
      <c r="H20" s="12" t="n">
        <v>1.32</v>
      </c>
      <c r="I20" s="12" t="n">
        <v>0.19</v>
      </c>
      <c r="J20" s="12" t="n">
        <v>0.77</v>
      </c>
      <c r="K20" s="18">
        <f>(BM20+(BL20-BP20-BR20))*F20</f>
        <v/>
      </c>
      <c r="L20" s="18">
        <f>BR20*F20</f>
        <v/>
      </c>
      <c r="M20" s="12" t="n">
        <v>658128.84</v>
      </c>
      <c r="N20" s="12" t="n">
        <v>195838.97</v>
      </c>
      <c r="O20" s="12" t="n">
        <v>55.71</v>
      </c>
      <c r="Q20" s="15" t="n">
        <v>73.71884</v>
      </c>
      <c r="R20" s="15" t="n">
        <v>-5.000084</v>
      </c>
      <c r="S20" s="15" t="n"/>
      <c r="T20" s="15" t="n">
        <v>62.617055</v>
      </c>
      <c r="U20" s="15" t="n">
        <v>37.705083</v>
      </c>
      <c r="V20" s="15" t="n">
        <v>30.684852</v>
      </c>
      <c r="W20" s="16" t="n">
        <v>-8.726944</v>
      </c>
      <c r="X20" s="16" t="n"/>
      <c r="Y20" s="15" t="n">
        <v>21.357777</v>
      </c>
      <c r="Z20" s="15" t="n">
        <v>7.54831</v>
      </c>
      <c r="AA20" s="15" t="n"/>
      <c r="AB20" s="16" t="n">
        <v>-126.782873</v>
      </c>
      <c r="AC20" s="16" t="n">
        <v>-126.782873</v>
      </c>
      <c r="AD20" s="16" t="n"/>
      <c r="AE20" s="16" t="n"/>
      <c r="AF20" s="16" t="n"/>
      <c r="AG20" s="16" t="n"/>
      <c r="AH20" s="15" t="n">
        <v>8.60172</v>
      </c>
      <c r="AI20" s="15" t="n">
        <v>0</v>
      </c>
      <c r="AJ20" s="15" t="n">
        <v>822.267522</v>
      </c>
      <c r="AK20" s="15" t="n">
        <v>822.267522</v>
      </c>
      <c r="AM20" s="1">
        <f>B20</f>
        <v/>
      </c>
      <c r="AN20" s="1">
        <f>C20</f>
        <v/>
      </c>
      <c r="AO20" s="11">
        <f>SUM(AT20:AZ20)+BB20+BC20</f>
        <v/>
      </c>
      <c r="AP20" s="11">
        <f>SUM(AT20:AZ20)+BE20+BF20</f>
        <v/>
      </c>
      <c r="AQ20" s="11">
        <f>AO20/3.6</f>
        <v/>
      </c>
      <c r="AR20" s="11">
        <f>AP20/3.6</f>
        <v/>
      </c>
      <c r="AS20" s="5">
        <f>AO20-AP20</f>
        <v/>
      </c>
      <c r="AT20" s="1">
        <f>D20/F20*Y20*-1</f>
        <v/>
      </c>
      <c r="AU20" s="1">
        <f>E20/F20*Y20</f>
        <v/>
      </c>
      <c r="AV20" s="1">
        <f t="array" ref="AV20">_xlfn.IFS(C20="Biomass_Corn", 1/F20*S20, C20="Biomass_Agri", 1/F20*V20, C20="Biomass_Wood", 1/F20*U20, C20="Biomass_Herb", 1/F20*T20)</f>
        <v/>
      </c>
      <c r="AW20" s="1">
        <f>G20/F20*AH20</f>
        <v/>
      </c>
      <c r="AX20" s="1">
        <f>M20/F20/(0.9*8760)</f>
        <v/>
      </c>
      <c r="AY20" s="1">
        <f>N20/F20/(0.9*8760)</f>
        <v/>
      </c>
      <c r="AZ20" s="1">
        <f>O20/F20</f>
        <v/>
      </c>
      <c r="BA20" s="1">
        <f>SUM(BP20:BR20)-BL20</f>
        <v/>
      </c>
      <c r="BB20" s="1">
        <f>(Q20+R20)*-1*I20/F20</f>
        <v/>
      </c>
      <c r="BC20" s="1">
        <f>BA20*Q20</f>
        <v/>
      </c>
      <c r="BD20" s="1">
        <f>SUM(BP20:BQ20)-BL20</f>
        <v/>
      </c>
      <c r="BE20" s="1">
        <f>I20/F20*-1*R20</f>
        <v/>
      </c>
      <c r="BF20" s="1">
        <f>BD20*Q20</f>
        <v/>
      </c>
      <c r="BH20" s="9">
        <f>H20</f>
        <v/>
      </c>
      <c r="BI20" s="10" t="n">
        <v>0.181048235160161</v>
      </c>
      <c r="BJ20" s="9" t="n">
        <v>0.230447</v>
      </c>
      <c r="BL20" s="10">
        <f>BH20/F20</f>
        <v/>
      </c>
      <c r="BM20" s="10">
        <f>BI20*G20/F20</f>
        <v/>
      </c>
      <c r="BN20" s="10">
        <f>SUM(BL20:BM20)</f>
        <v/>
      </c>
      <c r="BP20" s="10">
        <f>BJ20</f>
        <v/>
      </c>
      <c r="BQ20" s="10">
        <f>J20/F20</f>
        <v/>
      </c>
      <c r="BR20" s="10">
        <f>I20/F20</f>
        <v/>
      </c>
      <c r="BS20" s="10">
        <f>SUM(BP20:BR20)</f>
        <v/>
      </c>
      <c r="BU20" s="1">
        <f>BN20-BS20</f>
        <v/>
      </c>
    </row>
    <row r="21">
      <c r="B21" s="13" t="inlineStr">
        <is>
          <t>TX_Biochemical_CCS_86</t>
        </is>
      </c>
      <c r="C21" s="12" t="inlineStr">
        <is>
          <t>Biomass_Agri</t>
        </is>
      </c>
      <c r="D21" s="12" t="n">
        <v>0.1227</v>
      </c>
      <c r="E21" s="12" t="n">
        <v>0.26</v>
      </c>
      <c r="F21" s="12" t="n">
        <v>1.5509</v>
      </c>
      <c r="G21" s="12" t="n">
        <v>0</v>
      </c>
      <c r="H21" s="12" t="n">
        <v>1.32</v>
      </c>
      <c r="I21" s="12" t="n">
        <v>0.83</v>
      </c>
      <c r="J21" s="12" t="n">
        <v>0.13</v>
      </c>
      <c r="K21" s="18">
        <f>(BM21+(BL21-BP21-BR21))*F21</f>
        <v/>
      </c>
      <c r="L21" s="18">
        <f>BR21*F21</f>
        <v/>
      </c>
      <c r="M21" s="12" t="n">
        <v>727064.6</v>
      </c>
      <c r="N21" s="12" t="n">
        <v>233553.61</v>
      </c>
      <c r="O21" s="12" t="n">
        <v>56.9</v>
      </c>
      <c r="Q21" s="15" t="n">
        <v>73.71884</v>
      </c>
      <c r="R21" s="15" t="n">
        <v>-5.000084</v>
      </c>
      <c r="S21" s="15" t="n"/>
      <c r="T21" s="15" t="n">
        <v>62.617055</v>
      </c>
      <c r="U21" s="15" t="n">
        <v>37.705083</v>
      </c>
      <c r="V21" s="15" t="n">
        <v>30.684852</v>
      </c>
      <c r="W21" s="16" t="n">
        <v>-8.726944</v>
      </c>
      <c r="X21" s="16" t="n"/>
      <c r="Y21" s="15" t="n">
        <v>21.357777</v>
      </c>
      <c r="Z21" s="15" t="n">
        <v>7.54831</v>
      </c>
      <c r="AA21" s="15" t="n"/>
      <c r="AB21" s="16" t="n">
        <v>-126.782873</v>
      </c>
      <c r="AC21" s="16" t="n">
        <v>-126.782873</v>
      </c>
      <c r="AD21" s="16" t="n"/>
      <c r="AE21" s="16" t="n"/>
      <c r="AF21" s="16" t="n"/>
      <c r="AG21" s="16" t="n"/>
      <c r="AH21" s="15" t="n">
        <v>8.60172</v>
      </c>
      <c r="AI21" s="15" t="n">
        <v>0</v>
      </c>
      <c r="AJ21" s="15" t="n">
        <v>822.267522</v>
      </c>
      <c r="AK21" s="15" t="n">
        <v>822.267522</v>
      </c>
      <c r="AM21" s="1">
        <f>B21</f>
        <v/>
      </c>
      <c r="AN21" s="1">
        <f>C21</f>
        <v/>
      </c>
      <c r="AO21" s="11">
        <f>SUM(AT21:AZ21)+BB21+BC21</f>
        <v/>
      </c>
      <c r="AP21" s="11">
        <f>SUM(AT21:AZ21)+BE21+BF21</f>
        <v/>
      </c>
      <c r="AQ21" s="11">
        <f>AO21/3.6</f>
        <v/>
      </c>
      <c r="AR21" s="11">
        <f>AP21/3.6</f>
        <v/>
      </c>
      <c r="AS21" s="5">
        <f>AO21-AP21</f>
        <v/>
      </c>
      <c r="AT21" s="1">
        <f>D21/F21*Y21*-1</f>
        <v/>
      </c>
      <c r="AU21" s="1">
        <f>E21/F21*Y21</f>
        <v/>
      </c>
      <c r="AV21" s="1">
        <f t="array" ref="AV21">_xlfn.IFS(C21="Biomass_Corn", 1/F21*S21, C21="Biomass_Agri", 1/F21*V21, C21="Biomass_Wood", 1/F21*U21, C21="Biomass_Herb", 1/F21*T21)</f>
        <v/>
      </c>
      <c r="AW21" s="1">
        <f>G21/F21*AH21</f>
        <v/>
      </c>
      <c r="AX21" s="1">
        <f>M21/F21/(0.9*8760)</f>
        <v/>
      </c>
      <c r="AY21" s="1">
        <f>N21/F21/(0.9*8760)</f>
        <v/>
      </c>
      <c r="AZ21" s="1">
        <f>O21/F21</f>
        <v/>
      </c>
      <c r="BA21" s="1">
        <f>SUM(BP21:BR21)-BL21</f>
        <v/>
      </c>
      <c r="BB21" s="1">
        <f>(Q21+R21)*-1*I21/F21</f>
        <v/>
      </c>
      <c r="BC21" s="1">
        <f>BA21*Q21</f>
        <v/>
      </c>
      <c r="BD21" s="1">
        <f>SUM(BP21:BQ21)-BL21</f>
        <v/>
      </c>
      <c r="BE21" s="1">
        <f>I21/F21*-1*R21</f>
        <v/>
      </c>
      <c r="BF21" s="1">
        <f>BD21*Q21</f>
        <v/>
      </c>
      <c r="BH21" s="9">
        <f>H21</f>
        <v/>
      </c>
      <c r="BI21" s="10" t="n">
        <v>0.181048235160161</v>
      </c>
      <c r="BJ21" s="9" t="n">
        <v>0.230447</v>
      </c>
      <c r="BL21" s="10">
        <f>BH21/F21</f>
        <v/>
      </c>
      <c r="BM21" s="10">
        <f>BI21*G21/F21</f>
        <v/>
      </c>
      <c r="BN21" s="10">
        <f>SUM(BL21:BM21)</f>
        <v/>
      </c>
      <c r="BP21" s="10">
        <f>BJ21</f>
        <v/>
      </c>
      <c r="BQ21" s="10">
        <f>J21/F21</f>
        <v/>
      </c>
      <c r="BR21" s="10">
        <f>I21/F21</f>
        <v/>
      </c>
      <c r="BS21" s="10">
        <f>SUM(BP21:BR21)</f>
        <v/>
      </c>
      <c r="BU21" s="1">
        <f>BN21-BS21</f>
        <v/>
      </c>
    </row>
    <row r="22">
      <c r="B22" s="13" t="inlineStr">
        <is>
          <t>NCEN_Ethanol_DryMill</t>
        </is>
      </c>
      <c r="C22" s="12" t="inlineStr">
        <is>
          <t>Biomass_Corn</t>
        </is>
      </c>
      <c r="D22" s="12" t="n">
        <v>0</v>
      </c>
      <c r="E22" s="12" t="n">
        <v>0.06193</v>
      </c>
      <c r="F22" s="12" t="n">
        <v>3.2587</v>
      </c>
      <c r="G22" s="12" t="n">
        <v>0.7507</v>
      </c>
      <c r="H22" s="12" t="n">
        <v>1.65</v>
      </c>
      <c r="I22" s="12" t="n">
        <v>0</v>
      </c>
      <c r="J22" s="12" t="n">
        <v>0.73836</v>
      </c>
      <c r="K22" s="18">
        <f>(BM22+(BL22-BP22-BR22))*F22</f>
        <v/>
      </c>
      <c r="L22" s="18">
        <f>BR22*F22</f>
        <v/>
      </c>
      <c r="M22" s="12" t="n">
        <v>0</v>
      </c>
      <c r="N22" s="12" t="n">
        <v>154043.63</v>
      </c>
      <c r="O22" s="12" t="n">
        <v>79.65256660999999</v>
      </c>
      <c r="Q22" s="15" t="n">
        <v>73.71884</v>
      </c>
      <c r="R22" s="15" t="n">
        <v>-6.097314</v>
      </c>
      <c r="S22" s="15" t="n">
        <v>155</v>
      </c>
      <c r="T22" s="15" t="n">
        <v>61.343403</v>
      </c>
      <c r="U22" s="15" t="n">
        <v>33.004971</v>
      </c>
      <c r="V22" s="15" t="n">
        <v>42.19561</v>
      </c>
      <c r="W22" s="16" t="n">
        <v>51.423576</v>
      </c>
      <c r="X22" s="16" t="n"/>
      <c r="Y22" s="15" t="n">
        <v>22.90669</v>
      </c>
      <c r="Z22" s="15" t="n">
        <v>13.197062</v>
      </c>
      <c r="AA22" s="15" t="n"/>
      <c r="AB22" s="16" t="n">
        <v>-129.528977</v>
      </c>
      <c r="AC22" s="16" t="n">
        <v>-129.528977</v>
      </c>
      <c r="AD22" s="16" t="n"/>
      <c r="AE22" s="16" t="n"/>
      <c r="AF22" s="16" t="n"/>
      <c r="AG22" s="16" t="n"/>
      <c r="AH22" s="15" t="n">
        <v>14.953878</v>
      </c>
      <c r="AI22" s="15" t="n">
        <v>0</v>
      </c>
      <c r="AJ22" s="15" t="n">
        <v>822.267522</v>
      </c>
      <c r="AK22" s="15" t="n">
        <v>822.267522</v>
      </c>
      <c r="AM22" s="1">
        <f>B22</f>
        <v/>
      </c>
      <c r="AN22" s="1">
        <f>C22</f>
        <v/>
      </c>
      <c r="AO22" s="11">
        <f>SUM(AT22:AZ22)+BB22+BC22</f>
        <v/>
      </c>
      <c r="AP22" s="11">
        <f>SUM(AT22:AZ22)+BE22+BF22</f>
        <v/>
      </c>
      <c r="AQ22" s="11">
        <f>AO22/3.6</f>
        <v/>
      </c>
      <c r="AR22" s="11">
        <f>AP22/3.6</f>
        <v/>
      </c>
      <c r="AS22" s="5">
        <f>AO22-AP22</f>
        <v/>
      </c>
      <c r="AT22" s="1">
        <f>D22/F22*Y22*-1</f>
        <v/>
      </c>
      <c r="AU22" s="1">
        <f>E22/F22*Y22</f>
        <v/>
      </c>
      <c r="AV22" s="1">
        <f t="array" ref="AV22">_xlfn.IFS(C22="Biomass_Corn", 1/F22*S22, C22="Biomass_Agri", 1/F22*V22, C22="Biomass_Wood", 1/F22*U22, C22="Biomass_Herb", 1/F22*T22)</f>
        <v/>
      </c>
      <c r="AW22" s="1">
        <f>G22/F22*AH22</f>
        <v/>
      </c>
      <c r="AX22" s="1">
        <f>M22/F22/(0.9*8760)</f>
        <v/>
      </c>
      <c r="AY22" s="1">
        <f>N22/F22/(0.9*8760)</f>
        <v/>
      </c>
      <c r="AZ22" s="1">
        <f>O22/F22</f>
        <v/>
      </c>
      <c r="BA22" s="1">
        <f>SUM(BP22:BR22)-BL22</f>
        <v/>
      </c>
      <c r="BB22" s="1">
        <f>(Q22+R22)*-1*I22/F22</f>
        <v/>
      </c>
      <c r="BC22" s="1">
        <f>BA22*Q22</f>
        <v/>
      </c>
      <c r="BD22" s="1">
        <f>SUM(BP22:BQ22)-BL22</f>
        <v/>
      </c>
      <c r="BE22" s="1">
        <f>I22/F22*-1*R22</f>
        <v/>
      </c>
      <c r="BF22" s="1">
        <f>BD22*Q22</f>
        <v/>
      </c>
      <c r="BH22" s="9">
        <f>H22</f>
        <v/>
      </c>
      <c r="BI22" s="10" t="n">
        <v>0.181048235160161</v>
      </c>
      <c r="BJ22" s="9" t="n">
        <v>0.230447</v>
      </c>
      <c r="BL22" s="10">
        <f>BH22/F22</f>
        <v/>
      </c>
      <c r="BM22" s="10">
        <f>BI22*G22/F22</f>
        <v/>
      </c>
      <c r="BN22" s="10">
        <f>SUM(BL22:BM22)</f>
        <v/>
      </c>
      <c r="BP22" s="10">
        <f>BJ22</f>
        <v/>
      </c>
      <c r="BQ22" s="10">
        <f>J22/F22</f>
        <v/>
      </c>
      <c r="BR22" s="10">
        <f>I22/F22</f>
        <v/>
      </c>
      <c r="BS22" s="10">
        <f>SUM(BP22:BR22)</f>
        <v/>
      </c>
      <c r="BU22" s="1">
        <f>BN22-BS22</f>
        <v/>
      </c>
    </row>
    <row r="23">
      <c r="B23" s="13" t="inlineStr">
        <is>
          <t>CEN_Ethanol_DryMill</t>
        </is>
      </c>
      <c r="C23" s="12" t="inlineStr">
        <is>
          <t>Biomass_Corn</t>
        </is>
      </c>
      <c r="D23" s="12" t="n">
        <v>0</v>
      </c>
      <c r="E23" s="12" t="n">
        <v>0.06193</v>
      </c>
      <c r="F23" s="12" t="n">
        <v>3.2587</v>
      </c>
      <c r="G23" s="12" t="n">
        <v>0.7507</v>
      </c>
      <c r="H23" s="12" t="n">
        <v>1.65</v>
      </c>
      <c r="I23" s="12" t="n">
        <v>0</v>
      </c>
      <c r="J23" s="12" t="n">
        <v>0.73836</v>
      </c>
      <c r="K23" s="18">
        <f>(BM23+(BL23-BP23-BR23))*F23</f>
        <v/>
      </c>
      <c r="L23" s="18">
        <f>BR23*F23</f>
        <v/>
      </c>
      <c r="M23" s="12" t="n">
        <v>0</v>
      </c>
      <c r="N23" s="12" t="n">
        <v>154043.63</v>
      </c>
      <c r="O23" s="12" t="n">
        <v>79.65256660999999</v>
      </c>
      <c r="Q23" s="15" t="n">
        <v>73.71884</v>
      </c>
      <c r="R23" s="15" t="n">
        <v>-6.199254</v>
      </c>
      <c r="S23" s="15" t="n">
        <v>155</v>
      </c>
      <c r="T23" s="15" t="n">
        <v>65.59151</v>
      </c>
      <c r="U23" s="15" t="n">
        <v>31.821489</v>
      </c>
      <c r="V23" s="15" t="n">
        <v>37.986239</v>
      </c>
      <c r="W23" s="16" t="n">
        <v>51.417555</v>
      </c>
      <c r="X23" s="16" t="n"/>
      <c r="Y23" s="15" t="n">
        <v>22.465142</v>
      </c>
      <c r="Z23" s="15" t="n">
        <v>13.285634</v>
      </c>
      <c r="AA23" s="15" t="n"/>
      <c r="AB23" s="16" t="n">
        <v>-129.681448</v>
      </c>
      <c r="AC23" s="16" t="n">
        <v>-129.681448</v>
      </c>
      <c r="AD23" s="16" t="n"/>
      <c r="AE23" s="16" t="n"/>
      <c r="AF23" s="16" t="n"/>
      <c r="AG23" s="16" t="n"/>
      <c r="AH23" s="15" t="n">
        <v>15.046749</v>
      </c>
      <c r="AI23" s="15" t="n">
        <v>0</v>
      </c>
      <c r="AJ23" s="15" t="n">
        <v>822.267522</v>
      </c>
      <c r="AK23" s="15" t="n">
        <v>822.267522</v>
      </c>
      <c r="AM23" s="1">
        <f>B23</f>
        <v/>
      </c>
      <c r="AN23" s="1">
        <f>C23</f>
        <v/>
      </c>
      <c r="AO23" s="11">
        <f>SUM(AT23:AZ23)+BB23+BC23</f>
        <v/>
      </c>
      <c r="AP23" s="11">
        <f>SUM(AT23:AZ23)+BE23+BF23</f>
        <v/>
      </c>
      <c r="AQ23" s="11">
        <f>AO23/3.6</f>
        <v/>
      </c>
      <c r="AR23" s="11">
        <f>AP23/3.6</f>
        <v/>
      </c>
      <c r="AS23" s="5">
        <f>AO23-AP23</f>
        <v/>
      </c>
      <c r="AT23" s="1">
        <f>D23/F23*Y23*-1</f>
        <v/>
      </c>
      <c r="AU23" s="1">
        <f>E23/F23*Y23</f>
        <v/>
      </c>
      <c r="AV23" s="1">
        <f t="array" ref="AV23">_xlfn.IFS(C23="Biomass_Corn", 1/F23*S23, C23="Biomass_Agri", 1/F23*V23, C23="Biomass_Wood", 1/F23*U23, C23="Biomass_Herb", 1/F23*T23)</f>
        <v/>
      </c>
      <c r="AW23" s="1">
        <f>G23/F23*AH23</f>
        <v/>
      </c>
      <c r="AX23" s="1">
        <f>M23/F23/(0.9*8760)</f>
        <v/>
      </c>
      <c r="AY23" s="1">
        <f>N23/F23/(0.9*8760)</f>
        <v/>
      </c>
      <c r="AZ23" s="1">
        <f>O23/F23</f>
        <v/>
      </c>
      <c r="BA23" s="1">
        <f>SUM(BP23:BR23)-BL23</f>
        <v/>
      </c>
      <c r="BB23" s="1">
        <f>(Q23+R23)*-1*I23/F23</f>
        <v/>
      </c>
      <c r="BC23" s="1">
        <f>BA23*Q23</f>
        <v/>
      </c>
      <c r="BD23" s="1">
        <f>SUM(BP23:BQ23)-BL23</f>
        <v/>
      </c>
      <c r="BE23" s="1">
        <f>I23/F23*-1*R23</f>
        <v/>
      </c>
      <c r="BF23" s="1">
        <f>BD23*Q23</f>
        <v/>
      </c>
      <c r="BH23" s="9">
        <f>H23</f>
        <v/>
      </c>
      <c r="BI23" s="10" t="n">
        <v>0.181048235160161</v>
      </c>
      <c r="BJ23" s="9" t="n">
        <v>0.230447</v>
      </c>
      <c r="BL23" s="10">
        <f>BH23/F23</f>
        <v/>
      </c>
      <c r="BM23" s="10">
        <f>BI23*G23/F23</f>
        <v/>
      </c>
      <c r="BN23" s="10">
        <f>SUM(BL23:BM23)</f>
        <v/>
      </c>
      <c r="BP23" s="10">
        <f>BJ23</f>
        <v/>
      </c>
      <c r="BQ23" s="10">
        <f>J23/F23</f>
        <v/>
      </c>
      <c r="BR23" s="10">
        <f>I23/F23</f>
        <v/>
      </c>
      <c r="BS23" s="10">
        <f>SUM(BP23:BR23)</f>
        <v/>
      </c>
      <c r="BU23" s="1">
        <f>BN23-BS23</f>
        <v/>
      </c>
    </row>
    <row r="24">
      <c r="B24" s="13" t="inlineStr">
        <is>
          <t>NCEN_Ethanol_DryMillCCS_60</t>
        </is>
      </c>
      <c r="C24" s="12" t="inlineStr">
        <is>
          <t>Biomass_Corn</t>
        </is>
      </c>
      <c r="D24" s="12" t="n">
        <v>0</v>
      </c>
      <c r="E24" s="12" t="n">
        <v>0.06193</v>
      </c>
      <c r="F24" s="12" t="n">
        <v>3.2587</v>
      </c>
      <c r="G24" s="12" t="n">
        <v>0.7507</v>
      </c>
      <c r="H24" s="12" t="n">
        <v>1.65</v>
      </c>
      <c r="I24" s="12" t="n">
        <v>0.4430183081</v>
      </c>
      <c r="J24" s="12" t="n">
        <v>0.29535</v>
      </c>
      <c r="K24" s="18">
        <f>(BM24+(BL24-BP24-BR24))*F24</f>
        <v/>
      </c>
      <c r="L24" s="18">
        <f>BR24*F24</f>
        <v/>
      </c>
      <c r="M24" s="12" t="n">
        <v>0</v>
      </c>
      <c r="N24" s="12" t="n">
        <v>156598.49</v>
      </c>
      <c r="O24" s="12" t="n">
        <v>79.73999999999999</v>
      </c>
      <c r="Q24" s="15" t="n">
        <v>73.71884</v>
      </c>
      <c r="R24" s="15" t="n">
        <v>-6.097314</v>
      </c>
      <c r="S24" s="15" t="n">
        <v>155</v>
      </c>
      <c r="T24" s="15" t="n">
        <v>61.343403</v>
      </c>
      <c r="U24" s="15" t="n">
        <v>33.004971</v>
      </c>
      <c r="V24" s="15" t="n">
        <v>42.19561</v>
      </c>
      <c r="W24" s="16" t="n">
        <v>51.423576</v>
      </c>
      <c r="X24" s="16" t="n"/>
      <c r="Y24" s="15" t="n">
        <v>22.90669</v>
      </c>
      <c r="Z24" s="15" t="n">
        <v>13.197062</v>
      </c>
      <c r="AA24" s="15" t="n"/>
      <c r="AB24" s="16" t="n">
        <v>-129.528977</v>
      </c>
      <c r="AC24" s="16" t="n">
        <v>-129.528977</v>
      </c>
      <c r="AD24" s="16" t="n"/>
      <c r="AE24" s="16" t="n"/>
      <c r="AF24" s="16" t="n"/>
      <c r="AG24" s="16" t="n"/>
      <c r="AH24" s="15" t="n">
        <v>14.953878</v>
      </c>
      <c r="AI24" s="15" t="n">
        <v>0</v>
      </c>
      <c r="AJ24" s="15" t="n">
        <v>822.267522</v>
      </c>
      <c r="AK24" s="15" t="n">
        <v>822.267522</v>
      </c>
      <c r="AM24" s="1">
        <f>B24</f>
        <v/>
      </c>
      <c r="AN24" s="1">
        <f>C24</f>
        <v/>
      </c>
      <c r="AO24" s="11">
        <f>SUM(AT24:AZ24)+BB24+BC24</f>
        <v/>
      </c>
      <c r="AP24" s="11">
        <f>SUM(AT24:AZ24)+BE24+BF24</f>
        <v/>
      </c>
      <c r="AQ24" s="11">
        <f>AO24/3.6</f>
        <v/>
      </c>
      <c r="AR24" s="11">
        <f>AP24/3.6</f>
        <v/>
      </c>
      <c r="AS24" s="5">
        <f>AO24-AP24</f>
        <v/>
      </c>
      <c r="AT24" s="1">
        <f>D24/F24*Y24*-1</f>
        <v/>
      </c>
      <c r="AU24" s="1">
        <f>E24/F24*Y24</f>
        <v/>
      </c>
      <c r="AV24" s="1">
        <f t="array" ref="AV24">_xlfn.IFS(C24="Biomass_Corn", 1/F24*S24, C24="Biomass_Agri", 1/F24*V24, C24="Biomass_Wood", 1/F24*U24, C24="Biomass_Herb", 1/F24*T24)</f>
        <v/>
      </c>
      <c r="AW24" s="1">
        <f>G24/F24*AH24</f>
        <v/>
      </c>
      <c r="AX24" s="1">
        <f>M24/F24/(0.9*8760)</f>
        <v/>
      </c>
      <c r="AY24" s="1">
        <f>N24/F24/(0.9*8760)</f>
        <v/>
      </c>
      <c r="AZ24" s="1">
        <f>O24/F24</f>
        <v/>
      </c>
      <c r="BA24" s="1">
        <f>SUM(BP24:BR24)-BL24</f>
        <v/>
      </c>
      <c r="BB24" s="1">
        <f>(Q24+R24)*-1*I24/F24</f>
        <v/>
      </c>
      <c r="BC24" s="1">
        <f>BA24*Q24</f>
        <v/>
      </c>
      <c r="BD24" s="1">
        <f>SUM(BP24:BQ24)-BL24</f>
        <v/>
      </c>
      <c r="BE24" s="1">
        <f>I24/F24*-1*R24</f>
        <v/>
      </c>
      <c r="BF24" s="1">
        <f>BD24*Q24</f>
        <v/>
      </c>
      <c r="BH24" s="9">
        <f>H24</f>
        <v/>
      </c>
      <c r="BI24" s="10" t="n">
        <v>0.181048235160161</v>
      </c>
      <c r="BJ24" s="9" t="n">
        <v>0.230447</v>
      </c>
      <c r="BL24" s="10">
        <f>BH24/F24</f>
        <v/>
      </c>
      <c r="BM24" s="10">
        <f>BI24*G24/F24</f>
        <v/>
      </c>
      <c r="BN24" s="10">
        <f>SUM(BL24:BM24)</f>
        <v/>
      </c>
      <c r="BP24" s="10">
        <f>BJ24</f>
        <v/>
      </c>
      <c r="BQ24" s="10">
        <f>J24/F24</f>
        <v/>
      </c>
      <c r="BR24" s="10">
        <f>I24/F24</f>
        <v/>
      </c>
      <c r="BS24" s="10">
        <f>SUM(BP24:BR24)</f>
        <v/>
      </c>
      <c r="BU24" s="1">
        <f>BN24-BS24</f>
        <v/>
      </c>
    </row>
    <row r="25">
      <c r="B25" s="13" t="inlineStr">
        <is>
          <t>NCEN_Ethanol_DryMillCCS_90</t>
        </is>
      </c>
      <c r="C25" s="12" t="inlineStr">
        <is>
          <t>Biomass_Corn</t>
        </is>
      </c>
      <c r="D25" s="12" t="n">
        <v>0</v>
      </c>
      <c r="E25" s="12" t="n">
        <v>0.4049</v>
      </c>
      <c r="F25" s="12" t="n">
        <v>3.2587</v>
      </c>
      <c r="G25" s="12" t="n">
        <v>0.7507</v>
      </c>
      <c r="H25" s="12" t="n">
        <v>1.65</v>
      </c>
      <c r="I25" s="12" t="n">
        <v>0.6645274621</v>
      </c>
      <c r="J25" s="12" t="n">
        <v>0.07384</v>
      </c>
      <c r="K25" s="18">
        <f>(BM25+(BL25-BP25-BR25))*F25</f>
        <v/>
      </c>
      <c r="L25" s="18">
        <f>BR25*F25</f>
        <v/>
      </c>
      <c r="M25" s="12" t="n">
        <v>0</v>
      </c>
      <c r="N25" s="12" t="n">
        <v>173741.51</v>
      </c>
      <c r="O25" s="12" t="n">
        <v>80.28</v>
      </c>
      <c r="Q25" s="15" t="n">
        <v>73.71884</v>
      </c>
      <c r="R25" s="15" t="n">
        <v>-6.097314</v>
      </c>
      <c r="S25" s="15" t="n">
        <v>155</v>
      </c>
      <c r="T25" s="15" t="n">
        <v>61.343403</v>
      </c>
      <c r="U25" s="15" t="n">
        <v>33.004971</v>
      </c>
      <c r="V25" s="15" t="n">
        <v>42.19561</v>
      </c>
      <c r="W25" s="16" t="n">
        <v>51.423576</v>
      </c>
      <c r="X25" s="16" t="n"/>
      <c r="Y25" s="15" t="n">
        <v>22.90669</v>
      </c>
      <c r="Z25" s="15" t="n">
        <v>13.197062</v>
      </c>
      <c r="AA25" s="15" t="n"/>
      <c r="AB25" s="16" t="n">
        <v>-129.528977</v>
      </c>
      <c r="AC25" s="16" t="n">
        <v>-129.528977</v>
      </c>
      <c r="AD25" s="16" t="n"/>
      <c r="AE25" s="16" t="n"/>
      <c r="AF25" s="16" t="n"/>
      <c r="AG25" s="16" t="n"/>
      <c r="AH25" s="15" t="n">
        <v>14.953878</v>
      </c>
      <c r="AI25" s="15" t="n">
        <v>0</v>
      </c>
      <c r="AJ25" s="15" t="n">
        <v>822.267522</v>
      </c>
      <c r="AK25" s="15" t="n">
        <v>822.267522</v>
      </c>
      <c r="AM25" s="1">
        <f>B25</f>
        <v/>
      </c>
      <c r="AN25" s="1">
        <f>C25</f>
        <v/>
      </c>
      <c r="AO25" s="11">
        <f>SUM(AT25:AZ25)+BB25+BC25</f>
        <v/>
      </c>
      <c r="AP25" s="11">
        <f>SUM(AT25:AZ25)+BE25+BF25</f>
        <v/>
      </c>
      <c r="AQ25" s="11">
        <f>AO25/3.6</f>
        <v/>
      </c>
      <c r="AR25" s="11">
        <f>AP25/3.6</f>
        <v/>
      </c>
      <c r="AS25" s="5">
        <f>AO25-AP25</f>
        <v/>
      </c>
      <c r="AT25" s="1">
        <f>D25/F25*Y25*-1</f>
        <v/>
      </c>
      <c r="AU25" s="1">
        <f>E25/F25*Y25</f>
        <v/>
      </c>
      <c r="AV25" s="1">
        <f t="array" ref="AV25">_xlfn.IFS(C25="Biomass_Corn", 1/F25*S25, C25="Biomass_Agri", 1/F25*V25, C25="Biomass_Wood", 1/F25*U25, C25="Biomass_Herb", 1/F25*T25)</f>
        <v/>
      </c>
      <c r="AW25" s="1">
        <f>G25/F25*AH25</f>
        <v/>
      </c>
      <c r="AX25" s="1">
        <f>M25/F25/(0.9*8760)</f>
        <v/>
      </c>
      <c r="AY25" s="1">
        <f>N25/F25/(0.9*8760)</f>
        <v/>
      </c>
      <c r="AZ25" s="1">
        <f>O25/F25</f>
        <v/>
      </c>
      <c r="BA25" s="1">
        <f>SUM(BP25:BR25)-BL25</f>
        <v/>
      </c>
      <c r="BB25" s="1">
        <f>(Q25+R25)*-1*I25/F25</f>
        <v/>
      </c>
      <c r="BC25" s="1">
        <f>BA25*Q25</f>
        <v/>
      </c>
      <c r="BD25" s="1">
        <f>SUM(BP25:BQ25)-BL25</f>
        <v/>
      </c>
      <c r="BE25" s="1">
        <f>I25/F25*-1*R25</f>
        <v/>
      </c>
      <c r="BF25" s="1">
        <f>BD25*Q25</f>
        <v/>
      </c>
      <c r="BH25" s="9">
        <f>H25</f>
        <v/>
      </c>
      <c r="BI25" s="10" t="n">
        <v>0.181048235160161</v>
      </c>
      <c r="BJ25" s="9" t="n">
        <v>0.230447</v>
      </c>
      <c r="BL25" s="10">
        <f>BH25/F25</f>
        <v/>
      </c>
      <c r="BM25" s="10">
        <f>BI25*G25/F25</f>
        <v/>
      </c>
      <c r="BN25" s="10">
        <f>SUM(BL25:BM25)</f>
        <v/>
      </c>
      <c r="BP25" s="10">
        <f>BJ25</f>
        <v/>
      </c>
      <c r="BQ25" s="10">
        <f>J25/F25</f>
        <v/>
      </c>
      <c r="BR25" s="10">
        <f>I25/F25</f>
        <v/>
      </c>
      <c r="BS25" s="10">
        <f>SUM(BP25:BR25)</f>
        <v/>
      </c>
      <c r="BU25" s="1">
        <f>BN25-BS25</f>
        <v/>
      </c>
    </row>
    <row r="26">
      <c r="B26" s="13" t="inlineStr">
        <is>
          <t>CEN_Ethanol_DryMillCCS_60</t>
        </is>
      </c>
      <c r="C26" s="12" t="inlineStr">
        <is>
          <t>Biomass_Corn</t>
        </is>
      </c>
      <c r="D26" s="12" t="n">
        <v>0</v>
      </c>
      <c r="E26" s="12" t="n">
        <v>0.06193</v>
      </c>
      <c r="F26" s="12" t="n">
        <v>3.2587</v>
      </c>
      <c r="G26" s="12" t="n">
        <v>0.7507</v>
      </c>
      <c r="H26" s="12" t="n">
        <v>1.65</v>
      </c>
      <c r="I26" s="12" t="n">
        <v>0.4430183081</v>
      </c>
      <c r="J26" s="12" t="n">
        <v>0.29535</v>
      </c>
      <c r="K26" s="18">
        <f>(BM26+(BL26-BP26-BR26))*F26</f>
        <v/>
      </c>
      <c r="L26" s="18">
        <f>BR26*F26</f>
        <v/>
      </c>
      <c r="M26" s="12" t="n">
        <v>0</v>
      </c>
      <c r="N26" s="12" t="n">
        <v>156598.49</v>
      </c>
      <c r="O26" s="12" t="n">
        <v>79.73999999999999</v>
      </c>
      <c r="Q26" s="15" t="n">
        <v>73.71884</v>
      </c>
      <c r="R26" s="15" t="n">
        <v>-6.199254</v>
      </c>
      <c r="S26" s="15" t="n">
        <v>155</v>
      </c>
      <c r="T26" s="15" t="n">
        <v>65.59151</v>
      </c>
      <c r="U26" s="15" t="n">
        <v>31.821489</v>
      </c>
      <c r="V26" s="15" t="n">
        <v>37.986239</v>
      </c>
      <c r="W26" s="16" t="n">
        <v>51.417555</v>
      </c>
      <c r="X26" s="16" t="n"/>
      <c r="Y26" s="15" t="n">
        <v>22.465142</v>
      </c>
      <c r="Z26" s="15" t="n">
        <v>13.285634</v>
      </c>
      <c r="AA26" s="15" t="n"/>
      <c r="AB26" s="16" t="n">
        <v>-129.681448</v>
      </c>
      <c r="AC26" s="16" t="n">
        <v>-129.681448</v>
      </c>
      <c r="AD26" s="16" t="n"/>
      <c r="AE26" s="16" t="n"/>
      <c r="AF26" s="16" t="n"/>
      <c r="AG26" s="16" t="n"/>
      <c r="AH26" s="15" t="n">
        <v>15.046749</v>
      </c>
      <c r="AI26" s="15" t="n">
        <v>0</v>
      </c>
      <c r="AJ26" s="15" t="n">
        <v>822.267522</v>
      </c>
      <c r="AK26" s="15" t="n">
        <v>822.267522</v>
      </c>
      <c r="AM26" s="1">
        <f>B26</f>
        <v/>
      </c>
      <c r="AN26" s="1">
        <f>C26</f>
        <v/>
      </c>
      <c r="AO26" s="11">
        <f>SUM(AT26:AZ26)+BB26+BC26</f>
        <v/>
      </c>
      <c r="AP26" s="11">
        <f>SUM(AT26:AZ26)+BE26+BF26</f>
        <v/>
      </c>
      <c r="AQ26" s="11">
        <f>AO26/3.6</f>
        <v/>
      </c>
      <c r="AR26" s="11">
        <f>AP26/3.6</f>
        <v/>
      </c>
      <c r="AS26" s="5">
        <f>AO26-AP26</f>
        <v/>
      </c>
      <c r="AT26" s="1">
        <f>D26/F26*Y26*-1</f>
        <v/>
      </c>
      <c r="AU26" s="1">
        <f>E26/F26*Y26</f>
        <v/>
      </c>
      <c r="AV26" s="1">
        <f t="array" ref="AV26">_xlfn.IFS(C26="Biomass_Corn", 1/F26*S26, C26="Biomass_Agri", 1/F26*V26, C26="Biomass_Wood", 1/F26*U26, C26="Biomass_Herb", 1/F26*T26)</f>
        <v/>
      </c>
      <c r="AW26" s="1">
        <f>G26/F26*AH26</f>
        <v/>
      </c>
      <c r="AX26" s="1">
        <f>M26/F26/(0.9*8760)</f>
        <v/>
      </c>
      <c r="AY26" s="1">
        <f>N26/F26/(0.9*8760)</f>
        <v/>
      </c>
      <c r="AZ26" s="1">
        <f>O26/F26</f>
        <v/>
      </c>
      <c r="BA26" s="1">
        <f>SUM(BP26:BR26)-BL26</f>
        <v/>
      </c>
      <c r="BB26" s="1">
        <f>(Q26+R26)*-1*I26/F26</f>
        <v/>
      </c>
      <c r="BC26" s="1">
        <f>BA26*Q26</f>
        <v/>
      </c>
      <c r="BD26" s="1">
        <f>SUM(BP26:BQ26)-BL26</f>
        <v/>
      </c>
      <c r="BE26" s="1">
        <f>I26/F26*-1*R26</f>
        <v/>
      </c>
      <c r="BF26" s="1">
        <f>BD26*Q26</f>
        <v/>
      </c>
      <c r="BH26" s="9">
        <f>H26</f>
        <v/>
      </c>
      <c r="BI26" s="10" t="n">
        <v>0.181048235160161</v>
      </c>
      <c r="BJ26" s="9" t="n">
        <v>0.230447</v>
      </c>
      <c r="BL26" s="10">
        <f>BH26/F26</f>
        <v/>
      </c>
      <c r="BM26" s="10">
        <f>BI26*G26/F26</f>
        <v/>
      </c>
      <c r="BN26" s="10">
        <f>SUM(BL26:BM26)</f>
        <v/>
      </c>
      <c r="BP26" s="10">
        <f>BJ26</f>
        <v/>
      </c>
      <c r="BQ26" s="10">
        <f>J26/F26</f>
        <v/>
      </c>
      <c r="BR26" s="10">
        <f>I26/F26</f>
        <v/>
      </c>
      <c r="BS26" s="10">
        <f>SUM(BP26:BR26)</f>
        <v/>
      </c>
      <c r="BU26" s="1">
        <f>BN26-BS26</f>
        <v/>
      </c>
    </row>
    <row r="27">
      <c r="B27" s="13" t="inlineStr">
        <is>
          <t>CEN_Ethanol_DryMillCCS_90</t>
        </is>
      </c>
      <c r="C27" s="12" t="inlineStr">
        <is>
          <t>Biomass_Corn</t>
        </is>
      </c>
      <c r="D27" s="12" t="n">
        <v>0</v>
      </c>
      <c r="E27" s="12" t="n">
        <v>0.4049</v>
      </c>
      <c r="F27" s="12" t="n">
        <v>3.2587</v>
      </c>
      <c r="G27" s="12" t="n">
        <v>0.7507</v>
      </c>
      <c r="H27" s="12" t="n">
        <v>1.65</v>
      </c>
      <c r="I27" s="12" t="n">
        <v>0.6645274621</v>
      </c>
      <c r="J27" s="12" t="n">
        <v>0.07384</v>
      </c>
      <c r="K27" s="18">
        <f>(BM27+(BL27-BP27-BR27))*F27</f>
        <v/>
      </c>
      <c r="L27" s="18">
        <f>BR27*F27</f>
        <v/>
      </c>
      <c r="M27" s="12" t="n">
        <v>0</v>
      </c>
      <c r="N27" s="12" t="n">
        <v>173741.51</v>
      </c>
      <c r="O27" s="12" t="n">
        <v>80.28</v>
      </c>
      <c r="Q27" s="15" t="n">
        <v>73.71884</v>
      </c>
      <c r="R27" s="15" t="n">
        <v>-6.199254</v>
      </c>
      <c r="S27" s="15" t="n">
        <v>155</v>
      </c>
      <c r="T27" s="15" t="n">
        <v>65.59151</v>
      </c>
      <c r="U27" s="15" t="n">
        <v>31.821489</v>
      </c>
      <c r="V27" s="15" t="n">
        <v>37.986239</v>
      </c>
      <c r="W27" s="16" t="n">
        <v>51.417555</v>
      </c>
      <c r="X27" s="16" t="n"/>
      <c r="Y27" s="15" t="n">
        <v>22.465142</v>
      </c>
      <c r="Z27" s="15" t="n">
        <v>13.285634</v>
      </c>
      <c r="AA27" s="15" t="n"/>
      <c r="AB27" s="16" t="n">
        <v>-129.681448</v>
      </c>
      <c r="AC27" s="16" t="n">
        <v>-129.681448</v>
      </c>
      <c r="AD27" s="16" t="n"/>
      <c r="AE27" s="16" t="n"/>
      <c r="AF27" s="16" t="n"/>
      <c r="AG27" s="16" t="n"/>
      <c r="AH27" s="15" t="n">
        <v>15.046749</v>
      </c>
      <c r="AI27" s="15" t="n">
        <v>0</v>
      </c>
      <c r="AJ27" s="15" t="n">
        <v>822.267522</v>
      </c>
      <c r="AK27" s="15" t="n">
        <v>822.267522</v>
      </c>
      <c r="AM27" s="1">
        <f>B27</f>
        <v/>
      </c>
      <c r="AN27" s="1">
        <f>C27</f>
        <v/>
      </c>
      <c r="AO27" s="11">
        <f>SUM(AT27:AZ27)+BB27+BC27</f>
        <v/>
      </c>
      <c r="AP27" s="11">
        <f>SUM(AT27:AZ27)+BE27+BF27</f>
        <v/>
      </c>
      <c r="AQ27" s="11">
        <f>AO27/3.6</f>
        <v/>
      </c>
      <c r="AR27" s="11">
        <f>AP27/3.6</f>
        <v/>
      </c>
      <c r="AS27" s="5">
        <f>AO27-AP27</f>
        <v/>
      </c>
      <c r="AT27" s="1">
        <f>D27/F27*Y27*-1</f>
        <v/>
      </c>
      <c r="AU27" s="1">
        <f>E27/F27*Y27</f>
        <v/>
      </c>
      <c r="AV27" s="1">
        <f t="array" ref="AV27">_xlfn.IFS(C27="Biomass_Corn", 1/F27*S27, C27="Biomass_Agri", 1/F27*V27, C27="Biomass_Wood", 1/F27*U27, C27="Biomass_Herb", 1/F27*T27)</f>
        <v/>
      </c>
      <c r="AW27" s="1">
        <f>G27/F27*AH27</f>
        <v/>
      </c>
      <c r="AX27" s="1">
        <f>M27/F27/(0.9*8760)</f>
        <v/>
      </c>
      <c r="AY27" s="1">
        <f>N27/F27/(0.9*8760)</f>
        <v/>
      </c>
      <c r="AZ27" s="1">
        <f>O27/F27</f>
        <v/>
      </c>
      <c r="BA27" s="1">
        <f>SUM(BP27:BR27)-BL27</f>
        <v/>
      </c>
      <c r="BB27" s="1">
        <f>(Q27+R27)*-1*I27/F27</f>
        <v/>
      </c>
      <c r="BC27" s="1">
        <f>BA27*Q27</f>
        <v/>
      </c>
      <c r="BD27" s="1">
        <f>SUM(BP27:BQ27)-BL27</f>
        <v/>
      </c>
      <c r="BE27" s="1">
        <f>I27/F27*-1*R27</f>
        <v/>
      </c>
      <c r="BF27" s="1">
        <f>BD27*Q27</f>
        <v/>
      </c>
      <c r="BH27" s="9">
        <f>H27</f>
        <v/>
      </c>
      <c r="BI27" s="10" t="n">
        <v>0.181048235160161</v>
      </c>
      <c r="BJ27" s="9" t="n">
        <v>0.230447</v>
      </c>
      <c r="BL27" s="10">
        <f>BH27/F27</f>
        <v/>
      </c>
      <c r="BM27" s="10">
        <f>BI27*G27/F27</f>
        <v/>
      </c>
      <c r="BN27" s="10">
        <f>SUM(BL27:BM27)</f>
        <v/>
      </c>
      <c r="BP27" s="10">
        <f>BJ27</f>
        <v/>
      </c>
      <c r="BQ27" s="10">
        <f>J27/F27</f>
        <v/>
      </c>
      <c r="BR27" s="10">
        <f>I27/F27</f>
        <v/>
      </c>
      <c r="BS27" s="10">
        <f>SUM(BP27:BR27)</f>
        <v/>
      </c>
      <c r="BU27" s="1">
        <f>BN27-BS27</f>
        <v/>
      </c>
    </row>
    <row r="28">
      <c r="B28" s="13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8" t="n"/>
      <c r="L28" s="18" t="n"/>
      <c r="M28" s="12" t="n"/>
      <c r="N28" s="12" t="n"/>
      <c r="O28" s="12" t="n"/>
      <c r="Q28" s="15" t="n"/>
      <c r="R28" s="15" t="n"/>
      <c r="S28" s="15" t="n"/>
      <c r="T28" s="15" t="n"/>
      <c r="U28" s="15" t="n"/>
      <c r="V28" s="15" t="n"/>
      <c r="W28" s="16" t="n"/>
      <c r="X28" s="16" t="n"/>
      <c r="Y28" s="15" t="n"/>
      <c r="Z28" s="15" t="n"/>
      <c r="AA28" s="15" t="n"/>
      <c r="AB28" s="16" t="n"/>
      <c r="AC28" s="16" t="n"/>
      <c r="AD28" s="16" t="n"/>
      <c r="AE28" s="16" t="n"/>
      <c r="AF28" s="16" t="n"/>
      <c r="AG28" s="16" t="n"/>
      <c r="AH28" s="15" t="n"/>
      <c r="AI28" s="15" t="n"/>
      <c r="AJ28" s="15" t="n"/>
      <c r="AK28" s="15" t="n"/>
      <c r="AO28" s="11" t="n"/>
      <c r="AP28" s="11" t="n"/>
      <c r="AQ28" s="11" t="n"/>
      <c r="AR28" s="11" t="n"/>
      <c r="AS28" s="5" t="n"/>
      <c r="BH28" s="9" t="n"/>
      <c r="BI28" s="10" t="n"/>
      <c r="BJ28" s="9" t="n"/>
      <c r="BL28" s="10" t="n"/>
      <c r="BM28" s="10" t="n"/>
      <c r="BN28" s="10" t="n"/>
      <c r="BP28" s="10" t="n"/>
      <c r="BQ28" s="10" t="n"/>
      <c r="BR28" s="10" t="n"/>
      <c r="BS28" s="10" t="n"/>
    </row>
    <row r="29">
      <c r="B29" s="13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8" t="n"/>
      <c r="L29" s="18" t="n"/>
      <c r="M29" s="12" t="n"/>
      <c r="N29" s="12" t="n"/>
      <c r="O29" s="12" t="n"/>
      <c r="Q29" s="15" t="n"/>
      <c r="R29" s="15" t="n"/>
      <c r="S29" s="15" t="n"/>
      <c r="T29" s="15" t="n"/>
      <c r="U29" s="15" t="n"/>
      <c r="V29" s="15" t="n"/>
      <c r="W29" s="16" t="n"/>
      <c r="X29" s="16" t="n"/>
      <c r="Y29" s="15" t="n"/>
      <c r="Z29" s="15" t="n"/>
      <c r="AA29" s="15" t="n"/>
      <c r="AB29" s="16" t="n"/>
      <c r="AC29" s="16" t="n"/>
      <c r="AD29" s="16" t="n"/>
      <c r="AE29" s="16" t="n"/>
      <c r="AF29" s="16" t="n"/>
      <c r="AG29" s="16" t="n"/>
      <c r="AH29" s="15" t="n"/>
      <c r="AI29" s="15" t="n"/>
      <c r="AJ29" s="15" t="n"/>
      <c r="AK29" s="15" t="n"/>
      <c r="AO29" s="11" t="n"/>
      <c r="AP29" s="11" t="n"/>
      <c r="AQ29" s="11" t="n"/>
      <c r="AR29" s="11" t="n"/>
      <c r="AS29" s="5" t="n"/>
      <c r="BH29" s="9" t="n"/>
      <c r="BI29" s="10" t="n"/>
      <c r="BJ29" s="9" t="n"/>
      <c r="BL29" s="10" t="n"/>
      <c r="BM29" s="10" t="n"/>
      <c r="BN29" s="10" t="n"/>
      <c r="BP29" s="10" t="n"/>
      <c r="BQ29" s="10" t="n"/>
      <c r="BR29" s="10" t="n"/>
      <c r="BS29" s="10" t="n"/>
    </row>
    <row r="30">
      <c r="B30" s="13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8" t="n"/>
      <c r="L30" s="18" t="n"/>
      <c r="M30" s="12" t="n"/>
      <c r="N30" s="12" t="n"/>
      <c r="O30" s="12" t="n"/>
      <c r="Q30" s="15" t="n"/>
      <c r="R30" s="15" t="n"/>
      <c r="S30" s="15" t="n"/>
      <c r="T30" s="15" t="n"/>
      <c r="U30" s="15" t="n"/>
      <c r="V30" s="15" t="n"/>
      <c r="W30" s="16" t="n"/>
      <c r="X30" s="16" t="n"/>
      <c r="Y30" s="15" t="n"/>
      <c r="Z30" s="15" t="n"/>
      <c r="AA30" s="15" t="n"/>
      <c r="AB30" s="16" t="n"/>
      <c r="AC30" s="16" t="n"/>
      <c r="AD30" s="16" t="n"/>
      <c r="AE30" s="16" t="n"/>
      <c r="AF30" s="16" t="n"/>
      <c r="AG30" s="16" t="n"/>
      <c r="AH30" s="15" t="n"/>
      <c r="AI30" s="15" t="n"/>
      <c r="AJ30" s="15" t="n"/>
      <c r="AK30" s="15" t="n"/>
      <c r="AO30" s="11" t="n"/>
      <c r="AP30" s="11" t="n"/>
      <c r="AQ30" s="11" t="n"/>
      <c r="AR30" s="11" t="n"/>
      <c r="AS30" s="5" t="n"/>
      <c r="BH30" s="9" t="n"/>
      <c r="BI30" s="10" t="n"/>
      <c r="BJ30" s="9" t="n"/>
      <c r="BL30" s="10" t="n"/>
      <c r="BM30" s="10" t="n"/>
      <c r="BN30" s="10" t="n"/>
      <c r="BP30" s="10" t="n"/>
      <c r="BQ30" s="10" t="n"/>
      <c r="BR30" s="10" t="n"/>
      <c r="BS30" s="10" t="n"/>
    </row>
    <row r="31">
      <c r="B31" s="13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8" t="n"/>
      <c r="L31" s="18" t="n"/>
      <c r="M31" s="12" t="n"/>
      <c r="N31" s="12" t="n"/>
      <c r="O31" s="12" t="n"/>
      <c r="Q31" s="15" t="n"/>
      <c r="R31" s="15" t="n"/>
      <c r="S31" s="15" t="n"/>
      <c r="T31" s="15" t="n"/>
      <c r="U31" s="15" t="n"/>
      <c r="V31" s="15" t="n"/>
      <c r="W31" s="16" t="n"/>
      <c r="X31" s="16" t="n"/>
      <c r="Y31" s="15" t="n"/>
      <c r="Z31" s="15" t="n"/>
      <c r="AA31" s="15" t="n"/>
      <c r="AB31" s="16" t="n"/>
      <c r="AC31" s="16" t="n"/>
      <c r="AD31" s="16" t="n"/>
      <c r="AE31" s="16" t="n"/>
      <c r="AF31" s="16" t="n"/>
      <c r="AG31" s="16" t="n"/>
      <c r="AH31" s="15" t="n"/>
      <c r="AI31" s="15" t="n"/>
      <c r="AJ31" s="15" t="n"/>
      <c r="AK31" s="15" t="n"/>
      <c r="AO31" s="11" t="n"/>
      <c r="AP31" s="11" t="n"/>
      <c r="AQ31" s="11" t="n"/>
      <c r="AR31" s="11" t="n"/>
      <c r="AS31" s="5" t="n"/>
      <c r="BH31" s="9" t="n"/>
      <c r="BI31" s="10" t="n"/>
      <c r="BJ31" s="9" t="n"/>
      <c r="BL31" s="10" t="n"/>
      <c r="BM31" s="10" t="n"/>
      <c r="BN31" s="10" t="n"/>
      <c r="BP31" s="10" t="n"/>
      <c r="BQ31" s="10" t="n"/>
      <c r="BR31" s="10" t="n"/>
      <c r="BS31" s="10" t="n"/>
    </row>
    <row r="32">
      <c r="B32" s="13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8" t="n"/>
      <c r="L32" s="18" t="n"/>
      <c r="M32" s="12" t="n"/>
      <c r="N32" s="12" t="n"/>
      <c r="O32" s="12" t="n"/>
      <c r="Q32" s="15" t="n"/>
      <c r="R32" s="15" t="n"/>
      <c r="S32" s="15" t="n"/>
      <c r="T32" s="15" t="n"/>
      <c r="U32" s="15" t="n"/>
      <c r="V32" s="15" t="n"/>
      <c r="W32" s="16" t="n"/>
      <c r="X32" s="16" t="n"/>
      <c r="Y32" s="15" t="n"/>
      <c r="Z32" s="15" t="n"/>
      <c r="AA32" s="15" t="n"/>
      <c r="AB32" s="16" t="n"/>
      <c r="AC32" s="16" t="n"/>
      <c r="AD32" s="16" t="n"/>
      <c r="AE32" s="16" t="n"/>
      <c r="AF32" s="16" t="n"/>
      <c r="AG32" s="16" t="n"/>
      <c r="AH32" s="15" t="n"/>
      <c r="AI32" s="15" t="n"/>
      <c r="AJ32" s="15" t="n"/>
      <c r="AK32" s="15" t="n"/>
      <c r="AO32" s="11" t="n"/>
      <c r="AP32" s="11" t="n"/>
      <c r="AQ32" s="11" t="n"/>
      <c r="AR32" s="11" t="n"/>
      <c r="AS32" s="5" t="n"/>
      <c r="BH32" s="9" t="n"/>
      <c r="BI32" s="10" t="n"/>
      <c r="BJ32" s="9" t="n"/>
      <c r="BL32" s="10" t="n"/>
      <c r="BM32" s="10" t="n"/>
      <c r="BN32" s="10" t="n"/>
      <c r="BP32" s="10" t="n"/>
      <c r="BQ32" s="10" t="n"/>
      <c r="BR32" s="10" t="n"/>
      <c r="BS32" s="10" t="n"/>
    </row>
    <row r="33">
      <c r="B33" s="13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8" t="n"/>
      <c r="L33" s="18" t="n"/>
      <c r="M33" s="12" t="n"/>
      <c r="N33" s="12" t="n"/>
      <c r="O33" s="12" t="n"/>
      <c r="Q33" s="15" t="n"/>
      <c r="R33" s="15" t="n"/>
      <c r="S33" s="15" t="n"/>
      <c r="T33" s="15" t="n"/>
      <c r="U33" s="15" t="n"/>
      <c r="V33" s="15" t="n"/>
      <c r="W33" s="16" t="n"/>
      <c r="X33" s="16" t="n"/>
      <c r="Y33" s="15" t="n"/>
      <c r="Z33" s="15" t="n"/>
      <c r="AA33" s="15" t="n"/>
      <c r="AB33" s="16" t="n"/>
      <c r="AC33" s="16" t="n"/>
      <c r="AD33" s="16" t="n"/>
      <c r="AE33" s="16" t="n"/>
      <c r="AF33" s="16" t="n"/>
      <c r="AG33" s="16" t="n"/>
      <c r="AH33" s="15" t="n"/>
      <c r="AI33" s="15" t="n"/>
      <c r="AJ33" s="15" t="n"/>
      <c r="AK33" s="15" t="n"/>
      <c r="AO33" s="11" t="n"/>
      <c r="AP33" s="11" t="n"/>
      <c r="AQ33" s="11" t="n"/>
      <c r="AR33" s="11" t="n"/>
      <c r="AS33" s="5" t="n"/>
      <c r="BH33" s="9" t="n"/>
      <c r="BI33" s="10" t="n"/>
      <c r="BJ33" s="9" t="n"/>
      <c r="BL33" s="10" t="n"/>
      <c r="BM33" s="10" t="n"/>
      <c r="BN33" s="10" t="n"/>
      <c r="BP33" s="10" t="n"/>
      <c r="BQ33" s="10" t="n"/>
      <c r="BR33" s="10" t="n"/>
      <c r="BS33" s="10" t="n"/>
    </row>
    <row r="34">
      <c r="B34" s="13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8" t="n"/>
      <c r="L34" s="18" t="n"/>
      <c r="M34" s="12" t="n"/>
      <c r="N34" s="12" t="n"/>
      <c r="O34" s="12" t="n"/>
      <c r="Q34" s="15" t="n"/>
      <c r="R34" s="15" t="n"/>
      <c r="S34" s="15" t="n"/>
      <c r="T34" s="15" t="n"/>
      <c r="U34" s="15" t="n"/>
      <c r="V34" s="15" t="n"/>
      <c r="W34" s="16" t="n"/>
      <c r="X34" s="16" t="n"/>
      <c r="Y34" s="15" t="n"/>
      <c r="Z34" s="15" t="n"/>
      <c r="AA34" s="15" t="n"/>
      <c r="AB34" s="16" t="n"/>
      <c r="AC34" s="16" t="n"/>
      <c r="AD34" s="16" t="n"/>
      <c r="AE34" s="16" t="n"/>
      <c r="AF34" s="16" t="n"/>
      <c r="AG34" s="16" t="n"/>
      <c r="AH34" s="15" t="n"/>
      <c r="AI34" s="15" t="n"/>
      <c r="AJ34" s="15" t="n"/>
      <c r="AK34" s="15" t="n"/>
      <c r="AO34" s="11" t="n"/>
      <c r="AP34" s="11" t="n"/>
      <c r="AQ34" s="11" t="n"/>
      <c r="AR34" s="11" t="n"/>
      <c r="AS34" s="5" t="n"/>
      <c r="BH34" s="9" t="n"/>
      <c r="BI34" s="10" t="n"/>
      <c r="BJ34" s="9" t="n"/>
      <c r="BL34" s="10" t="n"/>
      <c r="BM34" s="10" t="n"/>
      <c r="BN34" s="10" t="n"/>
      <c r="BP34" s="10" t="n"/>
      <c r="BQ34" s="10" t="n"/>
      <c r="BR34" s="10" t="n"/>
      <c r="BS34" s="10" t="n"/>
    </row>
    <row r="35">
      <c r="B35" s="13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8" t="n"/>
      <c r="L35" s="18" t="n"/>
      <c r="M35" s="12" t="n"/>
      <c r="N35" s="12" t="n"/>
      <c r="O35" s="12" t="n"/>
      <c r="Q35" s="15" t="n"/>
      <c r="R35" s="15" t="n"/>
      <c r="S35" s="15" t="n"/>
      <c r="T35" s="15" t="n"/>
      <c r="U35" s="15" t="n"/>
      <c r="V35" s="15" t="n"/>
      <c r="W35" s="16" t="n"/>
      <c r="X35" s="16" t="n"/>
      <c r="Y35" s="15" t="n"/>
      <c r="Z35" s="15" t="n"/>
      <c r="AA35" s="15" t="n"/>
      <c r="AB35" s="16" t="n"/>
      <c r="AC35" s="16" t="n"/>
      <c r="AD35" s="16" t="n"/>
      <c r="AE35" s="16" t="n"/>
      <c r="AF35" s="16" t="n"/>
      <c r="AG35" s="16" t="n"/>
      <c r="AH35" s="15" t="n"/>
      <c r="AI35" s="15" t="n"/>
      <c r="AJ35" s="15" t="n"/>
      <c r="AK35" s="15" t="n"/>
      <c r="AO35" s="11" t="n"/>
      <c r="AP35" s="11" t="n"/>
      <c r="AQ35" s="11" t="n"/>
      <c r="AR35" s="11" t="n"/>
      <c r="AS35" s="5" t="n"/>
      <c r="BH35" s="9" t="n"/>
      <c r="BI35" s="10" t="n"/>
      <c r="BJ35" s="9" t="n"/>
      <c r="BL35" s="10" t="n"/>
      <c r="BM35" s="10" t="n"/>
      <c r="BN35" s="10" t="n"/>
      <c r="BP35" s="10" t="n"/>
      <c r="BQ35" s="10" t="n"/>
      <c r="BR35" s="10" t="n"/>
      <c r="BS35" s="10" t="n"/>
    </row>
    <row r="36">
      <c r="B36" s="13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8" t="n"/>
      <c r="L36" s="18" t="n"/>
      <c r="M36" s="12" t="n"/>
      <c r="N36" s="12" t="n"/>
      <c r="O36" s="12" t="n"/>
      <c r="Q36" s="15" t="n"/>
      <c r="R36" s="15" t="n"/>
      <c r="S36" s="15" t="n"/>
      <c r="T36" s="15" t="n"/>
      <c r="U36" s="15" t="n"/>
      <c r="V36" s="15" t="n"/>
      <c r="W36" s="16" t="n"/>
      <c r="X36" s="16" t="n"/>
      <c r="Y36" s="15" t="n"/>
      <c r="Z36" s="15" t="n"/>
      <c r="AA36" s="15" t="n"/>
      <c r="AB36" s="16" t="n"/>
      <c r="AC36" s="16" t="n"/>
      <c r="AD36" s="16" t="n"/>
      <c r="AE36" s="16" t="n"/>
      <c r="AF36" s="16" t="n"/>
      <c r="AG36" s="16" t="n"/>
      <c r="AH36" s="15" t="n"/>
      <c r="AI36" s="15" t="n"/>
      <c r="AJ36" s="15" t="n"/>
      <c r="AK36" s="15" t="n"/>
      <c r="AO36" s="11" t="n"/>
      <c r="AP36" s="11" t="n"/>
      <c r="AQ36" s="11" t="n"/>
      <c r="AR36" s="11" t="n"/>
      <c r="AS36" s="5" t="n"/>
      <c r="BH36" s="9" t="n"/>
      <c r="BI36" s="10" t="n"/>
      <c r="BJ36" s="9" t="n"/>
      <c r="BL36" s="10" t="n"/>
      <c r="BM36" s="10" t="n"/>
      <c r="BN36" s="10" t="n"/>
      <c r="BP36" s="10" t="n"/>
      <c r="BQ36" s="10" t="n"/>
      <c r="BR36" s="10" t="n"/>
      <c r="BS36" s="10" t="n"/>
    </row>
    <row r="37">
      <c r="B37" s="13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8" t="n"/>
      <c r="L37" s="18" t="n"/>
      <c r="M37" s="12" t="n"/>
      <c r="N37" s="12" t="n"/>
      <c r="O37" s="12" t="n"/>
      <c r="Q37" s="15" t="n"/>
      <c r="R37" s="15" t="n"/>
      <c r="S37" s="15" t="n"/>
      <c r="T37" s="15" t="n"/>
      <c r="U37" s="15" t="n"/>
      <c r="V37" s="15" t="n"/>
      <c r="W37" s="16" t="n"/>
      <c r="X37" s="16" t="n"/>
      <c r="Y37" s="15" t="n"/>
      <c r="Z37" s="15" t="n"/>
      <c r="AA37" s="15" t="n"/>
      <c r="AB37" s="16" t="n"/>
      <c r="AC37" s="16" t="n"/>
      <c r="AD37" s="16" t="n"/>
      <c r="AE37" s="16" t="n"/>
      <c r="AF37" s="16" t="n"/>
      <c r="AG37" s="16" t="n"/>
      <c r="AH37" s="15" t="n"/>
      <c r="AI37" s="15" t="n"/>
      <c r="AJ37" s="15" t="n"/>
      <c r="AK37" s="15" t="n"/>
      <c r="AO37" s="11" t="n"/>
      <c r="AP37" s="11" t="n"/>
      <c r="AQ37" s="11" t="n"/>
      <c r="AR37" s="11" t="n"/>
      <c r="AS37" s="5" t="n"/>
      <c r="BH37" s="9" t="n"/>
      <c r="BI37" s="10" t="n"/>
      <c r="BJ37" s="9" t="n"/>
      <c r="BL37" s="10" t="n"/>
      <c r="BM37" s="10" t="n"/>
      <c r="BN37" s="10" t="n"/>
      <c r="BP37" s="10" t="n"/>
      <c r="BQ37" s="10" t="n"/>
      <c r="BR37" s="10" t="n"/>
      <c r="BS37" s="10" t="n"/>
    </row>
    <row r="38">
      <c r="B38" s="13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8" t="n"/>
      <c r="L38" s="18" t="n"/>
      <c r="M38" s="12" t="n"/>
      <c r="N38" s="12" t="n"/>
      <c r="O38" s="12" t="n"/>
      <c r="Q38" s="15" t="n"/>
      <c r="R38" s="15" t="n"/>
      <c r="S38" s="15" t="n"/>
      <c r="T38" s="15" t="n"/>
      <c r="U38" s="15" t="n"/>
      <c r="V38" s="15" t="n"/>
      <c r="W38" s="16" t="n"/>
      <c r="X38" s="16" t="n"/>
      <c r="Y38" s="15" t="n"/>
      <c r="Z38" s="15" t="n"/>
      <c r="AA38" s="15" t="n"/>
      <c r="AB38" s="16" t="n"/>
      <c r="AC38" s="16" t="n"/>
      <c r="AD38" s="16" t="n"/>
      <c r="AE38" s="16" t="n"/>
      <c r="AF38" s="16" t="n"/>
      <c r="AG38" s="16" t="n"/>
      <c r="AH38" s="15" t="n"/>
      <c r="AI38" s="15" t="n"/>
      <c r="AJ38" s="15" t="n"/>
      <c r="AK38" s="15" t="n"/>
      <c r="AO38" s="11" t="n"/>
      <c r="AP38" s="11" t="n"/>
      <c r="AQ38" s="11" t="n"/>
      <c r="AR38" s="11" t="n"/>
      <c r="AS38" s="5" t="n"/>
      <c r="BH38" s="9" t="n"/>
      <c r="BI38" s="10" t="n"/>
      <c r="BJ38" s="9" t="n"/>
      <c r="BL38" s="10" t="n"/>
      <c r="BM38" s="10" t="n"/>
      <c r="BN38" s="10" t="n"/>
      <c r="BP38" s="10" t="n"/>
      <c r="BQ38" s="10" t="n"/>
      <c r="BR38" s="10" t="n"/>
      <c r="BS38" s="10" t="n"/>
    </row>
    <row r="39">
      <c r="B39" s="13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8" t="n"/>
      <c r="L39" s="18" t="n"/>
      <c r="M39" s="12" t="n"/>
      <c r="N39" s="12" t="n"/>
      <c r="O39" s="12" t="n"/>
      <c r="Q39" s="15" t="n"/>
      <c r="R39" s="15" t="n"/>
      <c r="S39" s="15" t="n"/>
      <c r="T39" s="15" t="n"/>
      <c r="U39" s="15" t="n"/>
      <c r="V39" s="15" t="n"/>
      <c r="W39" s="16" t="n"/>
      <c r="X39" s="16" t="n"/>
      <c r="Y39" s="15" t="n"/>
      <c r="Z39" s="15" t="n"/>
      <c r="AA39" s="15" t="n"/>
      <c r="AB39" s="16" t="n"/>
      <c r="AC39" s="16" t="n"/>
      <c r="AD39" s="16" t="n"/>
      <c r="AE39" s="16" t="n"/>
      <c r="AF39" s="16" t="n"/>
      <c r="AG39" s="16" t="n"/>
      <c r="AH39" s="15" t="n"/>
      <c r="AI39" s="15" t="n"/>
      <c r="AJ39" s="15" t="n"/>
      <c r="AK39" s="15" t="n"/>
      <c r="AO39" s="11" t="n"/>
      <c r="AP39" s="11" t="n"/>
      <c r="AQ39" s="11" t="n"/>
      <c r="AR39" s="11" t="n"/>
      <c r="AS39" s="5" t="n"/>
      <c r="BH39" s="9" t="n"/>
      <c r="BI39" s="10" t="n"/>
      <c r="BJ39" s="9" t="n"/>
      <c r="BL39" s="10" t="n"/>
      <c r="BM39" s="10" t="n"/>
      <c r="BN39" s="10" t="n"/>
      <c r="BP39" s="10" t="n"/>
      <c r="BQ39" s="10" t="n"/>
      <c r="BR39" s="10" t="n"/>
      <c r="BS39" s="10" t="n"/>
    </row>
    <row r="40">
      <c r="B40" s="13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8" t="n"/>
      <c r="L40" s="18" t="n"/>
      <c r="M40" s="12" t="n"/>
      <c r="N40" s="12" t="n"/>
      <c r="O40" s="12" t="n"/>
      <c r="Q40" s="15" t="n"/>
      <c r="R40" s="15" t="n"/>
      <c r="S40" s="15" t="n"/>
      <c r="T40" s="15" t="n"/>
      <c r="U40" s="15" t="n"/>
      <c r="V40" s="15" t="n"/>
      <c r="W40" s="16" t="n"/>
      <c r="X40" s="16" t="n"/>
      <c r="Y40" s="15" t="n"/>
      <c r="Z40" s="15" t="n"/>
      <c r="AA40" s="15" t="n"/>
      <c r="AB40" s="16" t="n"/>
      <c r="AC40" s="16" t="n"/>
      <c r="AD40" s="16" t="n"/>
      <c r="AE40" s="16" t="n"/>
      <c r="AF40" s="16" t="n"/>
      <c r="AG40" s="16" t="n"/>
      <c r="AH40" s="15" t="n"/>
      <c r="AI40" s="15" t="n"/>
      <c r="AJ40" s="15" t="n"/>
      <c r="AK40" s="15" t="n"/>
      <c r="AO40" s="11" t="n"/>
      <c r="AP40" s="11" t="n"/>
      <c r="AQ40" s="11" t="n"/>
      <c r="AR40" s="11" t="n"/>
      <c r="AS40" s="5" t="n"/>
      <c r="BH40" s="9" t="n"/>
      <c r="BI40" s="10" t="n"/>
      <c r="BJ40" s="9" t="n"/>
      <c r="BL40" s="10" t="n"/>
      <c r="BM40" s="10" t="n"/>
      <c r="BN40" s="10" t="n"/>
      <c r="BP40" s="10" t="n"/>
      <c r="BQ40" s="10" t="n"/>
      <c r="BR40" s="10" t="n"/>
      <c r="BS40" s="10" t="n"/>
    </row>
    <row r="41">
      <c r="B41" s="13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8" t="n"/>
      <c r="L41" s="18" t="n"/>
      <c r="M41" s="12" t="n"/>
      <c r="N41" s="12" t="n"/>
      <c r="O41" s="12" t="n"/>
      <c r="Q41" s="15" t="n"/>
      <c r="R41" s="15" t="n"/>
      <c r="S41" s="15" t="n"/>
      <c r="T41" s="15" t="n"/>
      <c r="U41" s="15" t="n"/>
      <c r="V41" s="15" t="n"/>
      <c r="W41" s="16" t="n"/>
      <c r="X41" s="16" t="n"/>
      <c r="Y41" s="15" t="n"/>
      <c r="Z41" s="15" t="n"/>
      <c r="AA41" s="15" t="n"/>
      <c r="AB41" s="16" t="n"/>
      <c r="AC41" s="16" t="n"/>
      <c r="AD41" s="16" t="n"/>
      <c r="AE41" s="16" t="n"/>
      <c r="AF41" s="16" t="n"/>
      <c r="AG41" s="16" t="n"/>
      <c r="AH41" s="15" t="n"/>
      <c r="AI41" s="15" t="n"/>
      <c r="AJ41" s="15" t="n"/>
      <c r="AK41" s="15" t="n"/>
      <c r="AO41" s="11" t="n"/>
      <c r="AP41" s="11" t="n"/>
      <c r="AQ41" s="11" t="n"/>
      <c r="AR41" s="11" t="n"/>
      <c r="AS41" s="5" t="n"/>
      <c r="BH41" s="9" t="n"/>
      <c r="BI41" s="10" t="n"/>
      <c r="BJ41" s="9" t="n"/>
      <c r="BL41" s="10" t="n"/>
      <c r="BM41" s="10" t="n"/>
      <c r="BN41" s="10" t="n"/>
      <c r="BP41" s="10" t="n"/>
      <c r="BQ41" s="10" t="n"/>
      <c r="BR41" s="10" t="n"/>
      <c r="BS41" s="10" t="n"/>
    </row>
    <row r="42">
      <c r="B42" s="13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8" t="n"/>
      <c r="L42" s="18" t="n"/>
      <c r="M42" s="12" t="n"/>
      <c r="N42" s="12" t="n"/>
      <c r="O42" s="12" t="n"/>
      <c r="Q42" s="15" t="n"/>
      <c r="R42" s="15" t="n"/>
      <c r="S42" s="15" t="n"/>
      <c r="T42" s="15" t="n"/>
      <c r="U42" s="15" t="n"/>
      <c r="V42" s="15" t="n"/>
      <c r="W42" s="16" t="n"/>
      <c r="X42" s="16" t="n"/>
      <c r="Y42" s="15" t="n"/>
      <c r="Z42" s="15" t="n"/>
      <c r="AA42" s="15" t="n"/>
      <c r="AB42" s="16" t="n"/>
      <c r="AC42" s="16" t="n"/>
      <c r="AD42" s="16" t="n"/>
      <c r="AE42" s="16" t="n"/>
      <c r="AF42" s="16" t="n"/>
      <c r="AG42" s="16" t="n"/>
      <c r="AH42" s="15" t="n"/>
      <c r="AI42" s="15" t="n"/>
      <c r="AJ42" s="15" t="n"/>
      <c r="AK42" s="15" t="n"/>
      <c r="AO42" s="11" t="n"/>
      <c r="AP42" s="11" t="n"/>
      <c r="AQ42" s="11" t="n"/>
      <c r="AR42" s="11" t="n"/>
      <c r="AS42" s="5" t="n"/>
      <c r="BH42" s="9" t="n"/>
      <c r="BI42" s="10" t="n"/>
      <c r="BJ42" s="9" t="n"/>
      <c r="BL42" s="10" t="n"/>
      <c r="BM42" s="10" t="n"/>
      <c r="BN42" s="10" t="n"/>
      <c r="BP42" s="10" t="n"/>
      <c r="BQ42" s="10" t="n"/>
      <c r="BR42" s="10" t="n"/>
      <c r="BS42" s="10" t="n"/>
    </row>
    <row r="43">
      <c r="B43" s="13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8" t="n"/>
      <c r="L43" s="18" t="n"/>
      <c r="M43" s="12" t="n"/>
      <c r="N43" s="12" t="n"/>
      <c r="O43" s="12" t="n"/>
      <c r="Q43" s="15" t="n"/>
      <c r="R43" s="15" t="n"/>
      <c r="S43" s="15" t="n"/>
      <c r="T43" s="15" t="n"/>
      <c r="U43" s="15" t="n"/>
      <c r="V43" s="15" t="n"/>
      <c r="W43" s="16" t="n"/>
      <c r="X43" s="16" t="n"/>
      <c r="Y43" s="15" t="n"/>
      <c r="Z43" s="15" t="n"/>
      <c r="AA43" s="15" t="n"/>
      <c r="AB43" s="16" t="n"/>
      <c r="AC43" s="16" t="n"/>
      <c r="AD43" s="16" t="n"/>
      <c r="AE43" s="16" t="n"/>
      <c r="AF43" s="16" t="n"/>
      <c r="AG43" s="16" t="n"/>
      <c r="AH43" s="15" t="n"/>
      <c r="AI43" s="15" t="n"/>
      <c r="AJ43" s="15" t="n"/>
      <c r="AK43" s="15" t="n"/>
      <c r="AO43" s="11" t="n"/>
      <c r="AP43" s="11" t="n"/>
      <c r="AQ43" s="11" t="n"/>
      <c r="AR43" s="11" t="n"/>
      <c r="AS43" s="5" t="n"/>
      <c r="BH43" s="9" t="n"/>
      <c r="BI43" s="10" t="n"/>
      <c r="BJ43" s="9" t="n"/>
      <c r="BL43" s="10" t="n"/>
      <c r="BM43" s="10" t="n"/>
      <c r="BN43" s="10" t="n"/>
      <c r="BP43" s="10" t="n"/>
      <c r="BQ43" s="10" t="n"/>
      <c r="BR43" s="10" t="n"/>
      <c r="BS43" s="10" t="n"/>
    </row>
    <row r="44">
      <c r="B44" s="13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8" t="n"/>
      <c r="L44" s="18" t="n"/>
      <c r="M44" s="12" t="n"/>
      <c r="N44" s="12" t="n"/>
      <c r="O44" s="12" t="n"/>
      <c r="Q44" s="15" t="n"/>
      <c r="R44" s="15" t="n"/>
      <c r="S44" s="15" t="n"/>
      <c r="T44" s="15" t="n"/>
      <c r="U44" s="15" t="n"/>
      <c r="V44" s="15" t="n"/>
      <c r="W44" s="16" t="n"/>
      <c r="X44" s="16" t="n"/>
      <c r="Y44" s="15" t="n"/>
      <c r="Z44" s="15" t="n"/>
      <c r="AA44" s="15" t="n"/>
      <c r="AB44" s="16" t="n"/>
      <c r="AC44" s="16" t="n"/>
      <c r="AD44" s="16" t="n"/>
      <c r="AE44" s="16" t="n"/>
      <c r="AF44" s="16" t="n"/>
      <c r="AG44" s="16" t="n"/>
      <c r="AH44" s="15" t="n"/>
      <c r="AI44" s="15" t="n"/>
      <c r="AJ44" s="15" t="n"/>
      <c r="AK44" s="15" t="n"/>
      <c r="AO44" s="11" t="n"/>
      <c r="AP44" s="11" t="n"/>
      <c r="AQ44" s="11" t="n"/>
      <c r="AR44" s="11" t="n"/>
      <c r="AS44" s="5" t="n"/>
      <c r="BH44" s="9" t="n"/>
      <c r="BI44" s="10" t="n"/>
      <c r="BJ44" s="9" t="n"/>
      <c r="BL44" s="10" t="n"/>
      <c r="BM44" s="10" t="n"/>
      <c r="BN44" s="10" t="n"/>
      <c r="BP44" s="10" t="n"/>
      <c r="BQ44" s="10" t="n"/>
      <c r="BR44" s="10" t="n"/>
      <c r="BS44" s="10" t="n"/>
    </row>
    <row r="45">
      <c r="B45" s="13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8" t="n"/>
      <c r="L45" s="18" t="n"/>
      <c r="M45" s="12" t="n"/>
      <c r="N45" s="12" t="n"/>
      <c r="O45" s="12" t="n"/>
      <c r="Q45" s="15" t="n"/>
      <c r="R45" s="15" t="n"/>
      <c r="S45" s="15" t="n"/>
      <c r="T45" s="15" t="n"/>
      <c r="U45" s="15" t="n"/>
      <c r="V45" s="15" t="n"/>
      <c r="W45" s="16" t="n"/>
      <c r="X45" s="16" t="n"/>
      <c r="Y45" s="15" t="n"/>
      <c r="Z45" s="15" t="n"/>
      <c r="AA45" s="15" t="n"/>
      <c r="AB45" s="16" t="n"/>
      <c r="AC45" s="16" t="n"/>
      <c r="AD45" s="16" t="n"/>
      <c r="AE45" s="16" t="n"/>
      <c r="AF45" s="16" t="n"/>
      <c r="AG45" s="16" t="n"/>
      <c r="AH45" s="15" t="n"/>
      <c r="AI45" s="15" t="n"/>
      <c r="AJ45" s="15" t="n"/>
      <c r="AK45" s="15" t="n"/>
      <c r="AO45" s="11" t="n"/>
      <c r="AP45" s="11" t="n"/>
      <c r="AQ45" s="11" t="n"/>
      <c r="AR45" s="11" t="n"/>
      <c r="AS45" s="5" t="n"/>
      <c r="BH45" s="9" t="n"/>
      <c r="BI45" s="10" t="n"/>
      <c r="BJ45" s="9" t="n"/>
      <c r="BL45" s="10" t="n"/>
      <c r="BM45" s="10" t="n"/>
      <c r="BN45" s="10" t="n"/>
      <c r="BP45" s="10" t="n"/>
      <c r="BQ45" s="10" t="n"/>
      <c r="BR45" s="10" t="n"/>
      <c r="BS45" s="10" t="n"/>
    </row>
    <row r="46">
      <c r="B46" s="13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8" t="n"/>
      <c r="L46" s="18" t="n"/>
      <c r="M46" s="12" t="n"/>
      <c r="N46" s="12" t="n"/>
      <c r="O46" s="12" t="n"/>
      <c r="Q46" s="15" t="n"/>
      <c r="R46" s="15" t="n"/>
      <c r="S46" s="15" t="n"/>
      <c r="T46" s="15" t="n"/>
      <c r="U46" s="15" t="n"/>
      <c r="V46" s="15" t="n"/>
      <c r="W46" s="16" t="n"/>
      <c r="X46" s="16" t="n"/>
      <c r="Y46" s="15" t="n"/>
      <c r="Z46" s="15" t="n"/>
      <c r="AA46" s="15" t="n"/>
      <c r="AB46" s="16" t="n"/>
      <c r="AC46" s="16" t="n"/>
      <c r="AD46" s="16" t="n"/>
      <c r="AE46" s="16" t="n"/>
      <c r="AF46" s="16" t="n"/>
      <c r="AG46" s="16" t="n"/>
      <c r="AH46" s="15" t="n"/>
      <c r="AI46" s="15" t="n"/>
      <c r="AJ46" s="15" t="n"/>
      <c r="AK46" s="15" t="n"/>
      <c r="AO46" s="11" t="n"/>
      <c r="AP46" s="11" t="n"/>
      <c r="AQ46" s="11" t="n"/>
      <c r="AR46" s="11" t="n"/>
      <c r="AS46" s="5" t="n"/>
      <c r="BH46" s="9" t="n"/>
      <c r="BI46" s="10" t="n"/>
      <c r="BJ46" s="9" t="n"/>
      <c r="BL46" s="10" t="n"/>
      <c r="BM46" s="10" t="n"/>
      <c r="BN46" s="10" t="n"/>
      <c r="BP46" s="10" t="n"/>
      <c r="BQ46" s="10" t="n"/>
      <c r="BR46" s="10" t="n"/>
      <c r="BS46" s="10" t="n"/>
    </row>
    <row r="47">
      <c r="B47" s="13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8" t="n"/>
      <c r="L47" s="18" t="n"/>
      <c r="M47" s="12" t="n"/>
      <c r="N47" s="12" t="n"/>
      <c r="O47" s="12" t="n"/>
      <c r="Q47" s="15" t="n"/>
      <c r="R47" s="15" t="n"/>
      <c r="S47" s="15" t="n"/>
      <c r="T47" s="15" t="n"/>
      <c r="U47" s="15" t="n"/>
      <c r="V47" s="15" t="n"/>
      <c r="W47" s="16" t="n"/>
      <c r="X47" s="16" t="n"/>
      <c r="Y47" s="15" t="n"/>
      <c r="Z47" s="15" t="n"/>
      <c r="AA47" s="15" t="n"/>
      <c r="AB47" s="16" t="n"/>
      <c r="AC47" s="16" t="n"/>
      <c r="AD47" s="16" t="n"/>
      <c r="AE47" s="16" t="n"/>
      <c r="AF47" s="16" t="n"/>
      <c r="AG47" s="16" t="n"/>
      <c r="AH47" s="15" t="n"/>
      <c r="AI47" s="15" t="n"/>
      <c r="AJ47" s="15" t="n"/>
      <c r="AK47" s="15" t="n"/>
      <c r="AO47" s="11" t="n"/>
      <c r="AP47" s="11" t="n"/>
      <c r="AQ47" s="11" t="n"/>
      <c r="AR47" s="11" t="n"/>
      <c r="AS47" s="5" t="n"/>
      <c r="BH47" s="9" t="n"/>
      <c r="BI47" s="10" t="n"/>
      <c r="BJ47" s="9" t="n"/>
      <c r="BL47" s="10" t="n"/>
      <c r="BM47" s="10" t="n"/>
      <c r="BN47" s="10" t="n"/>
      <c r="BP47" s="10" t="n"/>
      <c r="BQ47" s="10" t="n"/>
      <c r="BR47" s="10" t="n"/>
      <c r="BS47" s="10" t="n"/>
    </row>
    <row r="48">
      <c r="B48" s="13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8" t="n"/>
      <c r="L48" s="18" t="n"/>
      <c r="M48" s="12" t="n"/>
      <c r="N48" s="12" t="n"/>
      <c r="O48" s="12" t="n"/>
      <c r="Q48" s="15" t="n"/>
      <c r="R48" s="15" t="n"/>
      <c r="S48" s="15" t="n"/>
      <c r="T48" s="15" t="n"/>
      <c r="U48" s="15" t="n"/>
      <c r="V48" s="15" t="n"/>
      <c r="W48" s="16" t="n"/>
      <c r="X48" s="16" t="n"/>
      <c r="Y48" s="15" t="n"/>
      <c r="Z48" s="15" t="n"/>
      <c r="AA48" s="15" t="n"/>
      <c r="AB48" s="16" t="n"/>
      <c r="AC48" s="16" t="n"/>
      <c r="AD48" s="16" t="n"/>
      <c r="AE48" s="16" t="n"/>
      <c r="AF48" s="16" t="n"/>
      <c r="AG48" s="16" t="n"/>
      <c r="AH48" s="15" t="n"/>
      <c r="AI48" s="15" t="n"/>
      <c r="AJ48" s="15" t="n"/>
      <c r="AK48" s="15" t="n"/>
      <c r="AO48" s="11" t="n"/>
      <c r="AP48" s="11" t="n"/>
      <c r="AQ48" s="11" t="n"/>
      <c r="AR48" s="11" t="n"/>
      <c r="AS48" s="5" t="n"/>
      <c r="BH48" s="9" t="n"/>
      <c r="BI48" s="10" t="n"/>
      <c r="BJ48" s="9" t="n"/>
      <c r="BL48" s="10" t="n"/>
      <c r="BM48" s="10" t="n"/>
      <c r="BN48" s="10" t="n"/>
      <c r="BP48" s="10" t="n"/>
      <c r="BQ48" s="10" t="n"/>
      <c r="BR48" s="10" t="n"/>
      <c r="BS48" s="10" t="n"/>
    </row>
    <row r="49">
      <c r="B49" s="13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8" t="n"/>
      <c r="L49" s="18" t="n"/>
      <c r="M49" s="12" t="n"/>
      <c r="N49" s="12" t="n"/>
      <c r="O49" s="12" t="n"/>
      <c r="Q49" s="15" t="n"/>
      <c r="R49" s="15" t="n"/>
      <c r="S49" s="15" t="n"/>
      <c r="T49" s="15" t="n"/>
      <c r="U49" s="15" t="n"/>
      <c r="V49" s="15" t="n"/>
      <c r="W49" s="16" t="n"/>
      <c r="X49" s="16" t="n"/>
      <c r="Y49" s="15" t="n"/>
      <c r="Z49" s="15" t="n"/>
      <c r="AA49" s="15" t="n"/>
      <c r="AB49" s="16" t="n"/>
      <c r="AC49" s="16" t="n"/>
      <c r="AD49" s="16" t="n"/>
      <c r="AE49" s="16" t="n"/>
      <c r="AF49" s="16" t="n"/>
      <c r="AG49" s="16" t="n"/>
      <c r="AH49" s="15" t="n"/>
      <c r="AI49" s="15" t="n"/>
      <c r="AJ49" s="15" t="n"/>
      <c r="AK49" s="15" t="n"/>
      <c r="AO49" s="11" t="n"/>
      <c r="AP49" s="11" t="n"/>
      <c r="AQ49" s="11" t="n"/>
      <c r="AR49" s="11" t="n"/>
      <c r="AS49" s="5" t="n"/>
      <c r="BH49" s="9" t="n"/>
      <c r="BI49" s="10" t="n"/>
      <c r="BJ49" s="9" t="n"/>
      <c r="BL49" s="10" t="n"/>
      <c r="BM49" s="10" t="n"/>
      <c r="BN49" s="10" t="n"/>
      <c r="BP49" s="10" t="n"/>
      <c r="BQ49" s="10" t="n"/>
      <c r="BR49" s="10" t="n"/>
      <c r="BS49" s="10" t="n"/>
    </row>
    <row r="50">
      <c r="B50" s="13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8" t="n"/>
      <c r="L50" s="18" t="n"/>
      <c r="M50" s="12" t="n"/>
      <c r="N50" s="12" t="n"/>
      <c r="O50" s="12" t="n"/>
      <c r="Q50" s="15" t="n"/>
      <c r="R50" s="15" t="n"/>
      <c r="S50" s="15" t="n"/>
      <c r="T50" s="15" t="n"/>
      <c r="U50" s="15" t="n"/>
      <c r="V50" s="15" t="n"/>
      <c r="W50" s="16" t="n"/>
      <c r="X50" s="16" t="n"/>
      <c r="Y50" s="15" t="n"/>
      <c r="Z50" s="15" t="n"/>
      <c r="AA50" s="15" t="n"/>
      <c r="AB50" s="16" t="n"/>
      <c r="AC50" s="16" t="n"/>
      <c r="AD50" s="16" t="n"/>
      <c r="AE50" s="16" t="n"/>
      <c r="AF50" s="16" t="n"/>
      <c r="AG50" s="16" t="n"/>
      <c r="AH50" s="15" t="n"/>
      <c r="AI50" s="15" t="n"/>
      <c r="AJ50" s="15" t="n"/>
      <c r="AK50" s="15" t="n"/>
      <c r="AO50" s="11" t="n"/>
      <c r="AP50" s="11" t="n"/>
      <c r="AQ50" s="11" t="n"/>
      <c r="AR50" s="11" t="n"/>
      <c r="AS50" s="5" t="n"/>
      <c r="BH50" s="9" t="n"/>
      <c r="BI50" s="10" t="n"/>
      <c r="BJ50" s="9" t="n"/>
      <c r="BL50" s="10" t="n"/>
      <c r="BM50" s="10" t="n"/>
      <c r="BN50" s="10" t="n"/>
      <c r="BP50" s="10" t="n"/>
      <c r="BQ50" s="10" t="n"/>
      <c r="BR50" s="10" t="n"/>
      <c r="BS50" s="10" t="n"/>
    </row>
    <row r="51">
      <c r="B51" s="13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8" t="n"/>
      <c r="L51" s="18" t="n"/>
      <c r="M51" s="12" t="n"/>
      <c r="N51" s="12" t="n"/>
      <c r="O51" s="12" t="n"/>
      <c r="Q51" s="15" t="n"/>
      <c r="R51" s="15" t="n"/>
      <c r="S51" s="15" t="n"/>
      <c r="T51" s="15" t="n"/>
      <c r="U51" s="15" t="n"/>
      <c r="V51" s="15" t="n"/>
      <c r="W51" s="16" t="n"/>
      <c r="X51" s="16" t="n"/>
      <c r="Y51" s="15" t="n"/>
      <c r="Z51" s="15" t="n"/>
      <c r="AA51" s="15" t="n"/>
      <c r="AB51" s="16" t="n"/>
      <c r="AC51" s="16" t="n"/>
      <c r="AD51" s="16" t="n"/>
      <c r="AE51" s="16" t="n"/>
      <c r="AF51" s="16" t="n"/>
      <c r="AG51" s="16" t="n"/>
      <c r="AH51" s="15" t="n"/>
      <c r="AI51" s="15" t="n"/>
      <c r="AJ51" s="15" t="n"/>
      <c r="AK51" s="15" t="n"/>
      <c r="AO51" s="11" t="n"/>
      <c r="AP51" s="11" t="n"/>
      <c r="AQ51" s="11" t="n"/>
      <c r="AR51" s="11" t="n"/>
      <c r="AS51" s="5" t="n"/>
      <c r="BH51" s="9" t="n"/>
      <c r="BI51" s="10" t="n"/>
      <c r="BJ51" s="9" t="n"/>
      <c r="BL51" s="10" t="n"/>
      <c r="BM51" s="10" t="n"/>
      <c r="BN51" s="10" t="n"/>
      <c r="BP51" s="10" t="n"/>
      <c r="BQ51" s="10" t="n"/>
      <c r="BR51" s="10" t="n"/>
      <c r="BS51" s="10" t="n"/>
    </row>
    <row r="52">
      <c r="B52" s="13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8" t="n"/>
      <c r="L52" s="18" t="n"/>
      <c r="M52" s="12" t="n"/>
      <c r="N52" s="12" t="n"/>
      <c r="O52" s="12" t="n"/>
      <c r="Q52" s="15" t="n"/>
      <c r="R52" s="15" t="n"/>
      <c r="S52" s="15" t="n"/>
      <c r="T52" s="15" t="n"/>
      <c r="U52" s="15" t="n"/>
      <c r="V52" s="15" t="n"/>
      <c r="W52" s="16" t="n"/>
      <c r="X52" s="16" t="n"/>
      <c r="Y52" s="15" t="n"/>
      <c r="Z52" s="15" t="n"/>
      <c r="AA52" s="15" t="n"/>
      <c r="AB52" s="16" t="n"/>
      <c r="AC52" s="16" t="n"/>
      <c r="AD52" s="16" t="n"/>
      <c r="AE52" s="16" t="n"/>
      <c r="AF52" s="16" t="n"/>
      <c r="AG52" s="16" t="n"/>
      <c r="AH52" s="15" t="n"/>
      <c r="AI52" s="15" t="n"/>
      <c r="AJ52" s="15" t="n"/>
      <c r="AK52" s="15" t="n"/>
      <c r="AO52" s="11" t="n"/>
      <c r="AP52" s="11" t="n"/>
      <c r="AQ52" s="11" t="n"/>
      <c r="AR52" s="11" t="n"/>
      <c r="AS52" s="5" t="n"/>
      <c r="BH52" s="9" t="n"/>
      <c r="BI52" s="10" t="n"/>
      <c r="BJ52" s="9" t="n"/>
      <c r="BL52" s="10" t="n"/>
      <c r="BM52" s="10" t="n"/>
      <c r="BN52" s="10" t="n"/>
      <c r="BP52" s="10" t="n"/>
      <c r="BQ52" s="10" t="n"/>
      <c r="BR52" s="10" t="n"/>
      <c r="BS52" s="10" t="n"/>
    </row>
    <row r="53">
      <c r="B53" s="13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8" t="n"/>
      <c r="L53" s="18" t="n"/>
      <c r="M53" s="12" t="n"/>
      <c r="N53" s="12" t="n"/>
      <c r="O53" s="12" t="n"/>
      <c r="Q53" s="15" t="n"/>
      <c r="R53" s="15" t="n"/>
      <c r="S53" s="15" t="n"/>
      <c r="T53" s="15" t="n"/>
      <c r="U53" s="15" t="n"/>
      <c r="V53" s="15" t="n"/>
      <c r="W53" s="16" t="n"/>
      <c r="X53" s="16" t="n"/>
      <c r="Y53" s="15" t="n"/>
      <c r="Z53" s="15" t="n"/>
      <c r="AA53" s="15" t="n"/>
      <c r="AB53" s="16" t="n"/>
      <c r="AC53" s="16" t="n"/>
      <c r="AD53" s="16" t="n"/>
      <c r="AE53" s="16" t="n"/>
      <c r="AF53" s="16" t="n"/>
      <c r="AG53" s="16" t="n"/>
      <c r="AH53" s="15" t="n"/>
      <c r="AI53" s="15" t="n"/>
      <c r="AJ53" s="15" t="n"/>
      <c r="AK53" s="15" t="n"/>
      <c r="AO53" s="11" t="n"/>
      <c r="AP53" s="11" t="n"/>
      <c r="AQ53" s="11" t="n"/>
      <c r="AR53" s="11" t="n"/>
      <c r="AS53" s="5" t="n"/>
      <c r="BH53" s="9" t="n"/>
      <c r="BI53" s="10" t="n"/>
      <c r="BJ53" s="9" t="n"/>
      <c r="BL53" s="10" t="n"/>
      <c r="BM53" s="10" t="n"/>
      <c r="BN53" s="10" t="n"/>
      <c r="BP53" s="10" t="n"/>
      <c r="BQ53" s="10" t="n"/>
      <c r="BR53" s="10" t="n"/>
      <c r="BS53" s="10" t="n"/>
    </row>
    <row r="54">
      <c r="B54" s="13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8" t="n"/>
      <c r="L54" s="18" t="n"/>
      <c r="M54" s="12" t="n"/>
      <c r="N54" s="12" t="n"/>
      <c r="O54" s="12" t="n"/>
      <c r="Q54" s="15" t="n"/>
      <c r="R54" s="15" t="n"/>
      <c r="S54" s="15" t="n"/>
      <c r="T54" s="15" t="n"/>
      <c r="U54" s="15" t="n"/>
      <c r="V54" s="15" t="n"/>
      <c r="W54" s="16" t="n"/>
      <c r="X54" s="16" t="n"/>
      <c r="Y54" s="15" t="n"/>
      <c r="Z54" s="15" t="n"/>
      <c r="AA54" s="15" t="n"/>
      <c r="AB54" s="16" t="n"/>
      <c r="AC54" s="16" t="n"/>
      <c r="AD54" s="16" t="n"/>
      <c r="AE54" s="16" t="n"/>
      <c r="AF54" s="16" t="n"/>
      <c r="AG54" s="16" t="n"/>
      <c r="AH54" s="15" t="n"/>
      <c r="AI54" s="15" t="n"/>
      <c r="AJ54" s="15" t="n"/>
      <c r="AK54" s="15" t="n"/>
      <c r="AO54" s="11" t="n"/>
      <c r="AP54" s="11" t="n"/>
      <c r="AQ54" s="11" t="n"/>
      <c r="AR54" s="11" t="n"/>
      <c r="AS54" s="5" t="n"/>
      <c r="BH54" s="9" t="n"/>
      <c r="BI54" s="10" t="n"/>
      <c r="BJ54" s="9" t="n"/>
      <c r="BL54" s="10" t="n"/>
      <c r="BM54" s="10" t="n"/>
      <c r="BN54" s="10" t="n"/>
      <c r="BP54" s="10" t="n"/>
      <c r="BQ54" s="10" t="n"/>
      <c r="BR54" s="10" t="n"/>
      <c r="BS54" s="10" t="n"/>
    </row>
    <row r="55">
      <c r="B55" s="13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8" t="n"/>
      <c r="L55" s="18" t="n"/>
      <c r="M55" s="12" t="n"/>
      <c r="N55" s="12" t="n"/>
      <c r="O55" s="12" t="n"/>
      <c r="Q55" s="15" t="n"/>
      <c r="R55" s="15" t="n"/>
      <c r="S55" s="15" t="n"/>
      <c r="T55" s="15" t="n"/>
      <c r="U55" s="15" t="n"/>
      <c r="V55" s="15" t="n"/>
      <c r="W55" s="16" t="n"/>
      <c r="X55" s="16" t="n"/>
      <c r="Y55" s="15" t="n"/>
      <c r="Z55" s="15" t="n"/>
      <c r="AA55" s="15" t="n"/>
      <c r="AB55" s="16" t="n"/>
      <c r="AC55" s="16" t="n"/>
      <c r="AD55" s="16" t="n"/>
      <c r="AE55" s="16" t="n"/>
      <c r="AF55" s="16" t="n"/>
      <c r="AG55" s="16" t="n"/>
      <c r="AH55" s="15" t="n"/>
      <c r="AI55" s="15" t="n"/>
      <c r="AJ55" s="15" t="n"/>
      <c r="AK55" s="15" t="n"/>
      <c r="AO55" s="11" t="n"/>
      <c r="AP55" s="11" t="n"/>
      <c r="AQ55" s="11" t="n"/>
      <c r="AR55" s="11" t="n"/>
      <c r="AS55" s="5" t="n"/>
      <c r="BH55" s="9" t="n"/>
      <c r="BI55" s="10" t="n"/>
      <c r="BJ55" s="9" t="n"/>
      <c r="BL55" s="10" t="n"/>
      <c r="BM55" s="10" t="n"/>
      <c r="BN55" s="10" t="n"/>
      <c r="BP55" s="10" t="n"/>
      <c r="BQ55" s="10" t="n"/>
      <c r="BR55" s="10" t="n"/>
      <c r="BS55" s="10" t="n"/>
    </row>
    <row r="56">
      <c r="B56" s="13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8" t="n"/>
      <c r="L56" s="18" t="n"/>
      <c r="M56" s="12" t="n"/>
      <c r="N56" s="12" t="n"/>
      <c r="O56" s="12" t="n"/>
      <c r="Q56" s="15" t="n"/>
      <c r="R56" s="15" t="n"/>
      <c r="S56" s="15" t="n"/>
      <c r="T56" s="15" t="n"/>
      <c r="U56" s="15" t="n"/>
      <c r="V56" s="15" t="n"/>
      <c r="W56" s="16" t="n"/>
      <c r="X56" s="16" t="n"/>
      <c r="Y56" s="15" t="n"/>
      <c r="Z56" s="15" t="n"/>
      <c r="AA56" s="15" t="n"/>
      <c r="AB56" s="16" t="n"/>
      <c r="AC56" s="16" t="n"/>
      <c r="AD56" s="16" t="n"/>
      <c r="AE56" s="16" t="n"/>
      <c r="AF56" s="16" t="n"/>
      <c r="AG56" s="16" t="n"/>
      <c r="AH56" s="15" t="n"/>
      <c r="AI56" s="15" t="n"/>
      <c r="AJ56" s="15" t="n"/>
      <c r="AK56" s="15" t="n"/>
      <c r="AO56" s="11" t="n"/>
      <c r="AP56" s="11" t="n"/>
      <c r="AQ56" s="11" t="n"/>
      <c r="AR56" s="11" t="n"/>
      <c r="AS56" s="5" t="n"/>
      <c r="BH56" s="9" t="n"/>
      <c r="BI56" s="10" t="n"/>
      <c r="BJ56" s="9" t="n"/>
      <c r="BL56" s="10" t="n"/>
      <c r="BM56" s="10" t="n"/>
      <c r="BN56" s="10" t="n"/>
      <c r="BP56" s="10" t="n"/>
      <c r="BQ56" s="10" t="n"/>
      <c r="BR56" s="10" t="n"/>
      <c r="BS56" s="10" t="n"/>
    </row>
    <row r="57">
      <c r="B57" s="13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8" t="n"/>
      <c r="L57" s="18" t="n"/>
      <c r="M57" s="12" t="n"/>
      <c r="N57" s="12" t="n"/>
      <c r="O57" s="12" t="n"/>
      <c r="Q57" s="15" t="n"/>
      <c r="R57" s="15" t="n"/>
      <c r="S57" s="15" t="n"/>
      <c r="T57" s="15" t="n"/>
      <c r="U57" s="15" t="n"/>
      <c r="V57" s="15" t="n"/>
      <c r="W57" s="16" t="n"/>
      <c r="X57" s="16" t="n"/>
      <c r="Y57" s="15" t="n"/>
      <c r="Z57" s="15" t="n"/>
      <c r="AA57" s="15" t="n"/>
      <c r="AB57" s="16" t="n"/>
      <c r="AC57" s="16" t="n"/>
      <c r="AD57" s="16" t="n"/>
      <c r="AE57" s="16" t="n"/>
      <c r="AF57" s="16" t="n"/>
      <c r="AG57" s="16" t="n"/>
      <c r="AH57" s="15" t="n"/>
      <c r="AI57" s="15" t="n"/>
      <c r="AJ57" s="15" t="n"/>
      <c r="AK57" s="15" t="n"/>
      <c r="AO57" s="11" t="n"/>
      <c r="AP57" s="11" t="n"/>
      <c r="AQ57" s="11" t="n"/>
      <c r="AR57" s="11" t="n"/>
      <c r="AS57" s="5" t="n"/>
      <c r="BH57" s="9" t="n"/>
      <c r="BI57" s="10" t="n"/>
      <c r="BJ57" s="9" t="n"/>
      <c r="BL57" s="10" t="n"/>
      <c r="BM57" s="10" t="n"/>
      <c r="BN57" s="10" t="n"/>
      <c r="BP57" s="10" t="n"/>
      <c r="BQ57" s="10" t="n"/>
      <c r="BR57" s="10" t="n"/>
      <c r="BS57" s="10" t="n"/>
    </row>
    <row r="58">
      <c r="B58" s="13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8" t="n"/>
      <c r="L58" s="18" t="n"/>
      <c r="M58" s="12" t="n"/>
      <c r="N58" s="12" t="n"/>
      <c r="O58" s="12" t="n"/>
      <c r="Q58" s="16" t="n"/>
      <c r="R58" s="16" t="n"/>
      <c r="S58" s="16" t="n"/>
      <c r="T58" s="15" t="n"/>
      <c r="U58" s="15" t="n"/>
      <c r="V58" s="15" t="n"/>
      <c r="W58" s="16" t="n"/>
      <c r="X58" s="16" t="n"/>
      <c r="Y58" s="15" t="n"/>
      <c r="Z58" s="15" t="n"/>
      <c r="AA58" s="16" t="n"/>
      <c r="AB58" s="16" t="n"/>
      <c r="AC58" s="16" t="n"/>
      <c r="AD58" s="16" t="n"/>
      <c r="AE58" s="16" t="n"/>
      <c r="AF58" s="16" t="n"/>
      <c r="AG58" s="16" t="n"/>
      <c r="AH58" s="15" t="n"/>
      <c r="AI58" s="15" t="n"/>
      <c r="AJ58" s="15" t="n"/>
      <c r="AK58" s="15" t="n"/>
      <c r="AO58" s="11" t="n"/>
      <c r="AP58" s="11" t="n"/>
      <c r="AQ58" s="11" t="n"/>
      <c r="AR58" s="11" t="n"/>
      <c r="AS58" s="5" t="n"/>
      <c r="BH58" s="9" t="n"/>
      <c r="BI58" s="10" t="n"/>
      <c r="BJ58" s="9" t="n"/>
      <c r="BL58" s="10" t="n"/>
      <c r="BM58" s="10" t="n"/>
      <c r="BN58" s="10" t="n"/>
      <c r="BP58" s="10" t="n"/>
      <c r="BQ58" s="10" t="n"/>
      <c r="BR58" s="10" t="n"/>
      <c r="BS58" s="10" t="n"/>
    </row>
    <row r="59">
      <c r="B59" s="13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8" t="n"/>
      <c r="L59" s="18" t="n"/>
      <c r="M59" s="12" t="n"/>
      <c r="N59" s="12" t="n"/>
      <c r="O59" s="12" t="n"/>
      <c r="Q59" s="16" t="n"/>
      <c r="R59" s="16" t="n"/>
      <c r="S59" s="16" t="n"/>
      <c r="T59" s="15" t="n"/>
      <c r="U59" s="15" t="n"/>
      <c r="V59" s="15" t="n"/>
      <c r="W59" s="16" t="n"/>
      <c r="X59" s="16" t="n"/>
      <c r="Y59" s="15" t="n"/>
      <c r="Z59" s="15" t="n"/>
      <c r="AA59" s="16" t="n"/>
      <c r="AB59" s="16" t="n"/>
      <c r="AC59" s="16" t="n"/>
      <c r="AD59" s="16" t="n"/>
      <c r="AE59" s="16" t="n"/>
      <c r="AF59" s="16" t="n"/>
      <c r="AG59" s="16" t="n"/>
      <c r="AH59" s="15" t="n"/>
      <c r="AI59" s="15" t="n"/>
      <c r="AJ59" s="15" t="n"/>
      <c r="AK59" s="15" t="n"/>
      <c r="AO59" s="11" t="n"/>
      <c r="AP59" s="11" t="n"/>
      <c r="AQ59" s="11" t="n"/>
      <c r="AR59" s="11" t="n"/>
      <c r="AS59" s="5" t="n"/>
      <c r="BH59" s="9" t="n"/>
      <c r="BI59" s="10" t="n"/>
      <c r="BJ59" s="9" t="n"/>
      <c r="BL59" s="10" t="n"/>
      <c r="BM59" s="10" t="n"/>
      <c r="BN59" s="10" t="n"/>
      <c r="BP59" s="10" t="n"/>
      <c r="BQ59" s="10" t="n"/>
      <c r="BR59" s="10" t="n"/>
      <c r="BS59" s="10" t="n"/>
    </row>
    <row r="60">
      <c r="B60" s="13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8" t="n"/>
      <c r="L60" s="18" t="n"/>
      <c r="M60" s="12" t="n"/>
      <c r="N60" s="12" t="n"/>
      <c r="O60" s="12" t="n"/>
      <c r="Q60" s="16" t="n"/>
      <c r="R60" s="16" t="n"/>
      <c r="S60" s="16" t="n"/>
      <c r="T60" s="15" t="n"/>
      <c r="U60" s="15" t="n"/>
      <c r="V60" s="15" t="n"/>
      <c r="W60" s="16" t="n"/>
      <c r="X60" s="16" t="n"/>
      <c r="Y60" s="15" t="n"/>
      <c r="Z60" s="15" t="n"/>
      <c r="AA60" s="16" t="n"/>
      <c r="AB60" s="16" t="n"/>
      <c r="AC60" s="16" t="n"/>
      <c r="AD60" s="16" t="n"/>
      <c r="AE60" s="16" t="n"/>
      <c r="AF60" s="16" t="n"/>
      <c r="AG60" s="16" t="n"/>
      <c r="AH60" s="15" t="n"/>
      <c r="AI60" s="15" t="n"/>
      <c r="AJ60" s="15" t="n"/>
      <c r="AK60" s="15" t="n"/>
      <c r="AO60" s="11" t="n"/>
      <c r="AP60" s="11" t="n"/>
      <c r="AQ60" s="11" t="n"/>
      <c r="AR60" s="11" t="n"/>
      <c r="AS60" s="5" t="n"/>
      <c r="BH60" s="9" t="n"/>
      <c r="BI60" s="10" t="n"/>
      <c r="BJ60" s="9" t="n"/>
      <c r="BL60" s="10" t="n"/>
      <c r="BM60" s="10" t="n"/>
      <c r="BN60" s="10" t="n"/>
      <c r="BP60" s="10" t="n"/>
      <c r="BQ60" s="10" t="n"/>
      <c r="BR60" s="10" t="n"/>
      <c r="BS60" s="10" t="n"/>
    </row>
    <row r="61">
      <c r="B61" s="13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8" t="n"/>
      <c r="L61" s="18" t="n"/>
      <c r="M61" s="12" t="n"/>
      <c r="N61" s="12" t="n"/>
      <c r="O61" s="12" t="n"/>
      <c r="Q61" s="16" t="n"/>
      <c r="R61" s="16" t="n"/>
      <c r="S61" s="16" t="n"/>
      <c r="T61" s="15" t="n"/>
      <c r="U61" s="15" t="n"/>
      <c r="V61" s="15" t="n"/>
      <c r="W61" s="16" t="n"/>
      <c r="X61" s="16" t="n"/>
      <c r="Y61" s="15" t="n"/>
      <c r="Z61" s="15" t="n"/>
      <c r="AA61" s="16" t="n"/>
      <c r="AB61" s="16" t="n"/>
      <c r="AC61" s="16" t="n"/>
      <c r="AD61" s="16" t="n"/>
      <c r="AE61" s="16" t="n"/>
      <c r="AF61" s="16" t="n"/>
      <c r="AG61" s="16" t="n"/>
      <c r="AH61" s="15" t="n"/>
      <c r="AI61" s="15" t="n"/>
      <c r="AJ61" s="15" t="n"/>
      <c r="AK61" s="15" t="n"/>
      <c r="AO61" s="11" t="n"/>
      <c r="AP61" s="11" t="n"/>
      <c r="AQ61" s="11" t="n"/>
      <c r="AR61" s="11" t="n"/>
      <c r="AS61" s="5" t="n"/>
      <c r="BH61" s="9" t="n"/>
      <c r="BI61" s="10" t="n"/>
      <c r="BJ61" s="9" t="n"/>
      <c r="BL61" s="10" t="n"/>
      <c r="BM61" s="10" t="n"/>
      <c r="BN61" s="10" t="n"/>
      <c r="BP61" s="10" t="n"/>
      <c r="BQ61" s="10" t="n"/>
      <c r="BR61" s="10" t="n"/>
      <c r="BS61" s="10" t="n"/>
    </row>
    <row r="62">
      <c r="B62" s="13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8" t="n"/>
      <c r="L62" s="18" t="n"/>
      <c r="M62" s="12" t="n"/>
      <c r="N62" s="12" t="n"/>
      <c r="O62" s="12" t="n"/>
      <c r="Q62" s="16" t="n"/>
      <c r="R62" s="16" t="n"/>
      <c r="S62" s="16" t="n"/>
      <c r="T62" s="15" t="n"/>
      <c r="U62" s="15" t="n"/>
      <c r="V62" s="15" t="n"/>
      <c r="W62" s="16" t="n"/>
      <c r="X62" s="16" t="n"/>
      <c r="Y62" s="15" t="n"/>
      <c r="Z62" s="15" t="n"/>
      <c r="AA62" s="16" t="n"/>
      <c r="AB62" s="16" t="n"/>
      <c r="AC62" s="16" t="n"/>
      <c r="AD62" s="16" t="n"/>
      <c r="AE62" s="16" t="n"/>
      <c r="AF62" s="16" t="n"/>
      <c r="AG62" s="16" t="n"/>
      <c r="AH62" s="15" t="n"/>
      <c r="AI62" s="15" t="n"/>
      <c r="AJ62" s="15" t="n"/>
      <c r="AK62" s="15" t="n"/>
      <c r="AO62" s="11" t="n"/>
      <c r="AP62" s="11" t="n"/>
      <c r="AQ62" s="11" t="n"/>
      <c r="AR62" s="11" t="n"/>
      <c r="AS62" s="5" t="n"/>
      <c r="BH62" s="9" t="n"/>
      <c r="BI62" s="10" t="n"/>
      <c r="BJ62" s="9" t="n"/>
      <c r="BL62" s="10" t="n"/>
      <c r="BM62" s="10" t="n"/>
      <c r="BN62" s="10" t="n"/>
      <c r="BP62" s="10" t="n"/>
      <c r="BQ62" s="10" t="n"/>
      <c r="BR62" s="10" t="n"/>
      <c r="BS62" s="10" t="n"/>
    </row>
    <row r="63">
      <c r="B63" s="13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8" t="n"/>
      <c r="L63" s="18" t="n"/>
      <c r="M63" s="12" t="n"/>
      <c r="N63" s="12" t="n"/>
      <c r="O63" s="12" t="n"/>
      <c r="Q63" s="16" t="n"/>
      <c r="R63" s="16" t="n"/>
      <c r="S63" s="16" t="n"/>
      <c r="T63" s="15" t="n"/>
      <c r="U63" s="15" t="n"/>
      <c r="V63" s="15" t="n"/>
      <c r="W63" s="16" t="n"/>
      <c r="X63" s="16" t="n"/>
      <c r="Y63" s="15" t="n"/>
      <c r="Z63" s="15" t="n"/>
      <c r="AA63" s="16" t="n"/>
      <c r="AB63" s="16" t="n"/>
      <c r="AC63" s="16" t="n"/>
      <c r="AD63" s="16" t="n"/>
      <c r="AE63" s="16" t="n"/>
      <c r="AF63" s="16" t="n"/>
      <c r="AG63" s="16" t="n"/>
      <c r="AH63" s="15" t="n"/>
      <c r="AI63" s="15" t="n"/>
      <c r="AJ63" s="15" t="n"/>
      <c r="AK63" s="15" t="n"/>
      <c r="AO63" s="11" t="n"/>
      <c r="AP63" s="11" t="n"/>
      <c r="AQ63" s="11" t="n"/>
      <c r="AR63" s="11" t="n"/>
      <c r="AS63" s="5" t="n"/>
      <c r="BH63" s="9" t="n"/>
      <c r="BI63" s="10" t="n"/>
      <c r="BJ63" s="9" t="n"/>
      <c r="BL63" s="10" t="n"/>
      <c r="BM63" s="10" t="n"/>
      <c r="BN63" s="10" t="n"/>
      <c r="BP63" s="10" t="n"/>
      <c r="BQ63" s="10" t="n"/>
      <c r="BR63" s="10" t="n"/>
      <c r="BS63" s="10" t="n"/>
    </row>
    <row r="64">
      <c r="B64" s="13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8" t="n"/>
      <c r="L64" s="18" t="n"/>
      <c r="M64" s="12" t="n"/>
      <c r="N64" s="12" t="n"/>
      <c r="O64" s="12" t="n"/>
      <c r="Q64" s="16" t="n"/>
      <c r="R64" s="16" t="n"/>
      <c r="S64" s="16" t="n"/>
      <c r="T64" s="15" t="n"/>
      <c r="U64" s="15" t="n"/>
      <c r="V64" s="15" t="n"/>
      <c r="W64" s="16" t="n"/>
      <c r="X64" s="16" t="n"/>
      <c r="Y64" s="15" t="n"/>
      <c r="Z64" s="15" t="n"/>
      <c r="AA64" s="16" t="n"/>
      <c r="AB64" s="16" t="n"/>
      <c r="AC64" s="16" t="n"/>
      <c r="AD64" s="16" t="n"/>
      <c r="AE64" s="16" t="n"/>
      <c r="AF64" s="16" t="n"/>
      <c r="AG64" s="16" t="n"/>
      <c r="AH64" s="15" t="n"/>
      <c r="AI64" s="15" t="n"/>
      <c r="AJ64" s="15" t="n"/>
      <c r="AK64" s="15" t="n"/>
      <c r="AO64" s="11" t="n"/>
      <c r="AP64" s="11" t="n"/>
      <c r="AQ64" s="11" t="n"/>
      <c r="AR64" s="11" t="n"/>
      <c r="AS64" s="5" t="n"/>
      <c r="BH64" s="9" t="n"/>
      <c r="BI64" s="10" t="n"/>
      <c r="BJ64" s="9" t="n"/>
      <c r="BL64" s="10" t="n"/>
      <c r="BM64" s="10" t="n"/>
      <c r="BN64" s="10" t="n"/>
      <c r="BP64" s="10" t="n"/>
      <c r="BQ64" s="10" t="n"/>
      <c r="BR64" s="10" t="n"/>
      <c r="BS64" s="10" t="n"/>
    </row>
    <row r="65">
      <c r="B65" s="13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8" t="n"/>
      <c r="L65" s="18" t="n"/>
      <c r="M65" s="12" t="n"/>
      <c r="N65" s="12" t="n"/>
      <c r="O65" s="12" t="n"/>
      <c r="Q65" s="16" t="n"/>
      <c r="R65" s="16" t="n"/>
      <c r="S65" s="16" t="n"/>
      <c r="T65" s="15" t="n"/>
      <c r="U65" s="15" t="n"/>
      <c r="V65" s="15" t="n"/>
      <c r="W65" s="16" t="n"/>
      <c r="X65" s="16" t="n"/>
      <c r="Y65" s="15" t="n"/>
      <c r="Z65" s="15" t="n"/>
      <c r="AA65" s="16" t="n"/>
      <c r="AB65" s="16" t="n"/>
      <c r="AC65" s="16" t="n"/>
      <c r="AD65" s="16" t="n"/>
      <c r="AE65" s="16" t="n"/>
      <c r="AF65" s="16" t="n"/>
      <c r="AG65" s="16" t="n"/>
      <c r="AH65" s="15" t="n"/>
      <c r="AI65" s="15" t="n"/>
      <c r="AJ65" s="15" t="n"/>
      <c r="AK65" s="15" t="n"/>
      <c r="AO65" s="11" t="n"/>
      <c r="AP65" s="11" t="n"/>
      <c r="AQ65" s="11" t="n"/>
      <c r="AR65" s="11" t="n"/>
      <c r="AS65" s="5" t="n"/>
      <c r="BH65" s="9" t="n"/>
      <c r="BI65" s="10" t="n"/>
      <c r="BJ65" s="9" t="n"/>
      <c r="BL65" s="10" t="n"/>
      <c r="BM65" s="10" t="n"/>
      <c r="BN65" s="10" t="n"/>
      <c r="BP65" s="10" t="n"/>
      <c r="BQ65" s="10" t="n"/>
      <c r="BR65" s="10" t="n"/>
      <c r="BS65" s="10" t="n"/>
    </row>
    <row r="66">
      <c r="B66" s="13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8" t="n"/>
      <c r="L66" s="18" t="n"/>
      <c r="M66" s="12" t="n"/>
      <c r="N66" s="12" t="n"/>
      <c r="O66" s="12" t="n"/>
      <c r="Q66" s="16" t="n"/>
      <c r="R66" s="16" t="n"/>
      <c r="S66" s="16" t="n"/>
      <c r="T66" s="15" t="n"/>
      <c r="U66" s="15" t="n"/>
      <c r="V66" s="15" t="n"/>
      <c r="W66" s="16" t="n"/>
      <c r="X66" s="16" t="n"/>
      <c r="Y66" s="15" t="n"/>
      <c r="Z66" s="15" t="n"/>
      <c r="AA66" s="16" t="n"/>
      <c r="AB66" s="16" t="n"/>
      <c r="AC66" s="16" t="n"/>
      <c r="AD66" s="16" t="n"/>
      <c r="AE66" s="16" t="n"/>
      <c r="AF66" s="16" t="n"/>
      <c r="AG66" s="16" t="n"/>
      <c r="AH66" s="15" t="n"/>
      <c r="AI66" s="15" t="n"/>
      <c r="AJ66" s="15" t="n"/>
      <c r="AK66" s="15" t="n"/>
      <c r="AO66" s="11" t="n"/>
      <c r="AP66" s="11" t="n"/>
      <c r="AQ66" s="11" t="n"/>
      <c r="AR66" s="11" t="n"/>
      <c r="AS66" s="5" t="n"/>
      <c r="BH66" s="9" t="n"/>
      <c r="BI66" s="10" t="n"/>
      <c r="BJ66" s="9" t="n"/>
      <c r="BL66" s="10" t="n"/>
      <c r="BM66" s="10" t="n"/>
      <c r="BN66" s="10" t="n"/>
      <c r="BP66" s="10" t="n"/>
      <c r="BQ66" s="10" t="n"/>
      <c r="BR66" s="10" t="n"/>
      <c r="BS66" s="10" t="n"/>
    </row>
    <row r="67">
      <c r="AO67" s="5" t="n"/>
      <c r="AP67" s="5" t="n"/>
      <c r="AQ67" s="5" t="n"/>
      <c r="AR67" s="5" t="n"/>
      <c r="AS67" s="5" t="n"/>
      <c r="BH67" s="8" t="n"/>
      <c r="BJ67" s="8" t="n"/>
    </row>
    <row r="68">
      <c r="AO68" s="5" t="n"/>
      <c r="AP68" s="5" t="n"/>
      <c r="AQ68" s="5" t="n"/>
      <c r="AR68" s="5" t="n"/>
      <c r="AS68" s="5" t="n"/>
      <c r="BH68" s="8" t="n"/>
      <c r="BJ68" s="8" t="n"/>
    </row>
    <row r="69">
      <c r="AO69" s="5" t="n"/>
      <c r="AP69" s="5" t="n"/>
      <c r="AQ69" s="5" t="n"/>
      <c r="AR69" s="5" t="n"/>
      <c r="AS69" s="5" t="n"/>
      <c r="BH69" s="8" t="n"/>
      <c r="BJ69" s="8" t="n"/>
    </row>
    <row r="70">
      <c r="AO70" s="5" t="n"/>
      <c r="AP70" s="5" t="n"/>
      <c r="AQ70" s="5" t="n"/>
      <c r="AR70" s="5" t="n"/>
      <c r="AS70" s="5" t="n"/>
      <c r="BH70" s="8" t="n"/>
      <c r="BJ70" s="8" t="n"/>
    </row>
    <row r="71">
      <c r="AO71" s="5" t="n"/>
      <c r="AP71" s="5" t="n"/>
      <c r="AQ71" s="5" t="n"/>
      <c r="AR71" s="5" t="n"/>
      <c r="AS71" s="5" t="n"/>
      <c r="BH71" s="8" t="n"/>
      <c r="BJ71" s="8" t="n"/>
    </row>
    <row r="72">
      <c r="AO72" s="5" t="n"/>
      <c r="AP72" s="5" t="n"/>
      <c r="AQ72" s="5" t="n"/>
      <c r="AR72" s="5" t="n"/>
      <c r="AS72" s="5" t="n"/>
      <c r="BH72" s="8" t="n"/>
      <c r="BJ72" s="8" t="n"/>
    </row>
    <row r="73">
      <c r="AO73" s="5" t="n"/>
      <c r="AP73" s="5" t="n"/>
      <c r="AQ73" s="5" t="n"/>
      <c r="AR73" s="5" t="n"/>
      <c r="AS73" s="5" t="n"/>
      <c r="BH73" s="8" t="n"/>
      <c r="BJ73" s="8" t="n"/>
    </row>
    <row r="74">
      <c r="AO74" s="5" t="n"/>
      <c r="AP74" s="5" t="n"/>
      <c r="AQ74" s="5" t="n"/>
      <c r="AR74" s="5" t="n"/>
      <c r="AS74" s="5" t="n"/>
      <c r="BH74" s="8" t="n"/>
      <c r="BJ74" s="8" t="n"/>
    </row>
    <row r="75">
      <c r="AO75" s="5" t="n"/>
      <c r="AP75" s="5" t="n"/>
      <c r="AQ75" s="5" t="n"/>
      <c r="AR75" s="5" t="n"/>
      <c r="AS75" s="5" t="n"/>
      <c r="BH75" s="8" t="n"/>
      <c r="BJ75" s="8" t="n"/>
    </row>
    <row r="76">
      <c r="AO76" s="5" t="n"/>
      <c r="AP76" s="5" t="n"/>
      <c r="AQ76" s="5" t="n"/>
      <c r="AR76" s="5" t="n"/>
      <c r="AS76" s="5" t="n"/>
      <c r="BH76" s="8" t="n"/>
      <c r="BJ76" s="8" t="n"/>
    </row>
    <row r="77">
      <c r="AO77" s="5" t="n"/>
      <c r="AP77" s="5" t="n"/>
      <c r="AQ77" s="5" t="n"/>
      <c r="AR77" s="5" t="n"/>
      <c r="AS77" s="5" t="n"/>
      <c r="BH77" s="8" t="n"/>
      <c r="BJ77" s="8" t="n"/>
    </row>
    <row r="78">
      <c r="AO78" s="5" t="n"/>
      <c r="AP78" s="5" t="n"/>
      <c r="AQ78" s="5" t="n"/>
      <c r="AR78" s="5" t="n"/>
      <c r="AS78" s="5" t="n"/>
      <c r="BH78" s="8" t="n"/>
      <c r="BJ78" s="8" t="n"/>
    </row>
    <row r="79">
      <c r="AO79" s="5" t="n"/>
      <c r="AP79" s="5" t="n"/>
      <c r="AQ79" s="5" t="n"/>
      <c r="AR79" s="5" t="n"/>
      <c r="AS79" s="5" t="n"/>
      <c r="BH79" s="8" t="n"/>
      <c r="BJ79" s="8" t="n"/>
    </row>
    <row r="80">
      <c r="AO80" s="5" t="n"/>
      <c r="AP80" s="5" t="n"/>
      <c r="AQ80" s="5" t="n"/>
      <c r="AR80" s="5" t="n"/>
      <c r="AS80" s="5" t="n"/>
      <c r="BH80" s="8" t="n"/>
      <c r="BJ80" s="8" t="n"/>
    </row>
    <row r="81">
      <c r="AO81" s="5" t="n"/>
      <c r="AP81" s="5" t="n"/>
      <c r="AQ81" s="5" t="n"/>
      <c r="AR81" s="5" t="n"/>
      <c r="AS81" s="5" t="n"/>
      <c r="BH81" s="8" t="n"/>
      <c r="BJ81" s="8" t="n"/>
    </row>
    <row r="82">
      <c r="AO82" s="5" t="n"/>
      <c r="AP82" s="5" t="n"/>
      <c r="AQ82" s="5" t="n"/>
      <c r="AR82" s="5" t="n"/>
      <c r="AS82" s="5" t="n"/>
      <c r="BH82" s="8" t="n"/>
      <c r="BJ82" s="8" t="n"/>
    </row>
    <row r="83">
      <c r="AO83" s="5" t="n"/>
      <c r="AP83" s="5" t="n"/>
      <c r="AQ83" s="5" t="n"/>
      <c r="AR83" s="5" t="n"/>
      <c r="AS83" s="5" t="n"/>
      <c r="BH83" s="8" t="n"/>
      <c r="BJ83" s="8" t="n"/>
    </row>
    <row r="84">
      <c r="AO84" s="5" t="n"/>
      <c r="AP84" s="5" t="n"/>
      <c r="AQ84" s="5" t="n"/>
      <c r="AR84" s="5" t="n"/>
      <c r="AS84" s="5" t="n"/>
      <c r="BH84" s="8" t="n"/>
      <c r="BJ84" s="8" t="n"/>
    </row>
    <row r="85">
      <c r="AO85" s="5" t="n"/>
      <c r="AP85" s="5" t="n"/>
      <c r="AQ85" s="5" t="n"/>
      <c r="AR85" s="5" t="n"/>
      <c r="AS85" s="5" t="n"/>
      <c r="BH85" s="8" t="n"/>
      <c r="BJ85" s="8" t="n"/>
    </row>
    <row r="86">
      <c r="AO86" s="5" t="n"/>
      <c r="AP86" s="5" t="n"/>
      <c r="AQ86" s="5" t="n"/>
      <c r="AR86" s="5" t="n"/>
      <c r="AS86" s="5" t="n"/>
      <c r="BH86" s="8" t="n"/>
      <c r="BJ86" s="8" t="n"/>
    </row>
    <row r="87">
      <c r="AO87" s="5" t="n"/>
      <c r="AP87" s="5" t="n"/>
      <c r="AQ87" s="5" t="n"/>
      <c r="AR87" s="5" t="n"/>
      <c r="AS87" s="5" t="n"/>
      <c r="BH87" s="8" t="n"/>
      <c r="BJ87" s="8" t="n"/>
    </row>
    <row r="88">
      <c r="AO88" s="5" t="n"/>
      <c r="AP88" s="5" t="n"/>
      <c r="AQ88" s="5" t="n"/>
      <c r="AR88" s="5" t="n"/>
      <c r="AS88" s="5" t="n"/>
      <c r="BH88" s="8" t="n"/>
      <c r="BJ88" s="8" t="n"/>
    </row>
    <row r="89">
      <c r="AO89" s="5" t="n"/>
      <c r="AP89" s="5" t="n"/>
      <c r="AQ89" s="5" t="n"/>
      <c r="AR89" s="5" t="n"/>
      <c r="AS89" s="5" t="n"/>
      <c r="BH89" s="8" t="n"/>
      <c r="BJ89" s="8" t="n"/>
    </row>
    <row r="90">
      <c r="AO90" s="5" t="n"/>
      <c r="AP90" s="5" t="n"/>
      <c r="AQ90" s="5" t="n"/>
      <c r="AR90" s="5" t="n"/>
      <c r="AS90" s="5" t="n"/>
      <c r="BH90" s="8" t="n"/>
      <c r="BJ90" s="8" t="n"/>
    </row>
    <row r="91">
      <c r="AO91" s="5" t="n"/>
      <c r="AP91" s="5" t="n"/>
      <c r="AQ91" s="5" t="n"/>
      <c r="AR91" s="5" t="n"/>
      <c r="AS91" s="5" t="n"/>
      <c r="BH91" s="8" t="n"/>
      <c r="BJ91" s="8" t="n"/>
    </row>
    <row r="92">
      <c r="AO92" s="5" t="n"/>
      <c r="AP92" s="5" t="n"/>
      <c r="AQ92" s="5" t="n"/>
      <c r="AR92" s="5" t="n"/>
      <c r="AS92" s="5" t="n"/>
      <c r="BH92" s="8" t="n"/>
      <c r="BJ92" s="8" t="n"/>
    </row>
    <row r="93">
      <c r="AO93" s="5" t="n"/>
      <c r="AP93" s="5" t="n"/>
      <c r="AQ93" s="5" t="n"/>
      <c r="AR93" s="5" t="n"/>
      <c r="AS93" s="5" t="n"/>
      <c r="BH93" s="8" t="n"/>
      <c r="BJ93" s="8" t="n"/>
    </row>
    <row r="94">
      <c r="AO94" s="5" t="n"/>
      <c r="AP94" s="5" t="n"/>
      <c r="AQ94" s="5" t="n"/>
      <c r="AR94" s="5" t="n"/>
      <c r="AS94" s="5" t="n"/>
      <c r="BH94" s="8" t="n"/>
      <c r="BJ94" s="8" t="n"/>
    </row>
    <row r="95">
      <c r="AO95" s="5" t="n"/>
      <c r="AP95" s="5" t="n"/>
      <c r="AQ95" s="5" t="n"/>
      <c r="AR95" s="5" t="n"/>
      <c r="AS95" s="5" t="n"/>
      <c r="BH95" s="8" t="n"/>
      <c r="BJ95" s="8" t="n"/>
    </row>
    <row r="96">
      <c r="AO96" s="5" t="n"/>
      <c r="AP96" s="5" t="n"/>
      <c r="AQ96" s="5" t="n"/>
      <c r="AR96" s="5" t="n"/>
      <c r="AS96" s="5" t="n"/>
      <c r="BH96" s="8" t="n"/>
      <c r="BJ96" s="8" t="n"/>
    </row>
    <row r="97">
      <c r="AO97" s="5" t="n"/>
      <c r="AP97" s="5" t="n"/>
      <c r="AQ97" s="5" t="n"/>
      <c r="AR97" s="5" t="n"/>
      <c r="AS97" s="5" t="n"/>
      <c r="BH97" s="8" t="n"/>
      <c r="BJ97" s="8" t="n"/>
    </row>
    <row r="98">
      <c r="AO98" s="5" t="n"/>
      <c r="AP98" s="5" t="n"/>
      <c r="AQ98" s="5" t="n"/>
      <c r="AR98" s="5" t="n"/>
      <c r="AS98" s="5" t="n"/>
      <c r="BH98" s="8" t="n"/>
      <c r="BJ98" s="8" t="n"/>
    </row>
    <row r="99">
      <c r="AO99" s="5" t="n"/>
      <c r="AP99" s="5" t="n"/>
      <c r="AQ99" s="5" t="n"/>
      <c r="AR99" s="5" t="n"/>
      <c r="AS99" s="5" t="n"/>
      <c r="BH99" s="8" t="n"/>
      <c r="BJ99" s="8" t="n"/>
    </row>
    <row r="100">
      <c r="AO100" s="5" t="n"/>
      <c r="AP100" s="5" t="n"/>
      <c r="AQ100" s="5" t="n"/>
      <c r="AR100" s="5" t="n"/>
      <c r="AS100" s="5" t="n"/>
      <c r="BH100" s="8" t="n"/>
      <c r="BJ100" s="8" t="n"/>
    </row>
    <row r="101">
      <c r="AO101" s="5" t="n"/>
      <c r="AP101" s="5" t="n"/>
      <c r="AQ101" s="5" t="n"/>
      <c r="AR101" s="5" t="n"/>
      <c r="AS101" s="5" t="n"/>
      <c r="BH101" s="8" t="n"/>
      <c r="BJ101" s="8" t="n"/>
    </row>
    <row r="102">
      <c r="AO102" s="5" t="n"/>
      <c r="AP102" s="5" t="n"/>
      <c r="AQ102" s="5" t="n"/>
      <c r="AR102" s="5" t="n"/>
      <c r="AS102" s="5" t="n"/>
      <c r="BH102" s="8" t="n"/>
      <c r="BJ102" s="8" t="n"/>
    </row>
    <row r="103">
      <c r="AO103" s="5" t="n"/>
      <c r="AP103" s="5" t="n"/>
      <c r="AQ103" s="5" t="n"/>
      <c r="AR103" s="5" t="n"/>
      <c r="AS103" s="5" t="n"/>
      <c r="BH103" s="8" t="n"/>
      <c r="BJ103" s="8" t="n"/>
    </row>
    <row r="104">
      <c r="AO104" s="5" t="n"/>
      <c r="AP104" s="5" t="n"/>
      <c r="AQ104" s="5" t="n"/>
      <c r="AR104" s="5" t="n"/>
      <c r="AS104" s="5" t="n"/>
      <c r="BH104" s="8" t="n"/>
      <c r="BJ104" s="8" t="n"/>
    </row>
    <row r="105">
      <c r="AO105" s="5" t="n"/>
      <c r="AP105" s="5" t="n"/>
      <c r="AQ105" s="5" t="n"/>
      <c r="AR105" s="5" t="n"/>
      <c r="AS105" s="5" t="n"/>
    </row>
    <row r="106">
      <c r="AO106" s="5" t="n"/>
      <c r="AP106" s="5" t="n"/>
      <c r="AQ106" s="5" t="n"/>
      <c r="AR106" s="5" t="n"/>
      <c r="AS106" s="5" t="n"/>
    </row>
    <row r="107">
      <c r="AO107" s="5" t="n"/>
      <c r="AP107" s="5" t="n"/>
      <c r="AQ107" s="5" t="n"/>
      <c r="AR107" s="5" t="n"/>
      <c r="AS107" s="5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J39"/>
  <sheetViews>
    <sheetView zoomScale="64" workbookViewId="0">
      <selection activeCell="X4" sqref="X4"/>
    </sheetView>
  </sheetViews>
  <sheetFormatPr baseColWidth="10" defaultRowHeight="16"/>
  <cols>
    <col width="2.5" customWidth="1" min="1" max="1"/>
    <col width="29" bestFit="1" customWidth="1" min="2" max="2"/>
    <col width="12.83203125" bestFit="1" customWidth="1" min="3" max="3"/>
    <col width="13.6640625" bestFit="1" customWidth="1" min="4" max="4"/>
    <col width="15.1640625" bestFit="1" customWidth="1" min="5" max="5"/>
    <col width="18.5" bestFit="1" customWidth="1" min="6" max="6"/>
    <col width="17.1640625" bestFit="1" customWidth="1" min="7" max="7"/>
    <col width="13.6640625" bestFit="1" customWidth="1" min="8" max="8"/>
    <col width="12.1640625" bestFit="1" customWidth="1" min="9" max="9"/>
    <col width="14.5" bestFit="1" customWidth="1" min="10" max="10"/>
    <col width="17.83203125" bestFit="1" customWidth="1" min="11" max="11"/>
    <col width="19.33203125" bestFit="1" customWidth="1" min="12" max="12"/>
    <col width="5.1640625" bestFit="1" customWidth="1" min="13" max="13"/>
    <col width="12" bestFit="1" customWidth="1" min="14" max="14"/>
    <col width="10" bestFit="1" customWidth="1" min="15" max="15"/>
    <col width="12" bestFit="1" customWidth="1" min="16" max="16"/>
    <col width="2.6640625" customWidth="1" min="17" max="17"/>
    <col width="3" customWidth="1" min="21" max="21"/>
    <col width="37.83203125" bestFit="1" customWidth="1" min="22" max="22"/>
  </cols>
  <sheetData>
    <row r="2">
      <c r="B2" s="20" t="inlineStr">
        <is>
          <t>LC for bioethanol production $/GJ</t>
        </is>
      </c>
      <c r="R2" s="20" t="inlineStr">
        <is>
          <t>Conversion</t>
        </is>
      </c>
      <c r="V2" s="20" t="inlineStr">
        <is>
          <t>LC for bioethanol production $/GJ - SORTED</t>
        </is>
      </c>
    </row>
    <row r="3" ht="32" customHeight="1">
      <c r="B3" s="4" t="inlineStr">
        <is>
          <t>id_LC</t>
        </is>
      </c>
      <c r="C3" s="4" t="inlineStr">
        <is>
          <t>commodity_LC</t>
        </is>
      </c>
      <c r="D3" s="4" t="inlineStr">
        <is>
          <t>elec_production</t>
        </is>
      </c>
      <c r="E3" s="4" t="inlineStr">
        <is>
          <t>elec_consumption</t>
        </is>
      </c>
      <c r="F3" s="4" t="inlineStr">
        <is>
          <t>biomass_consumption</t>
        </is>
      </c>
      <c r="G3" s="4" t="inlineStr">
        <is>
          <t>natgas_consumption</t>
        </is>
      </c>
      <c r="H3" s="4" t="inlineStr">
        <is>
          <t>investment_cost</t>
        </is>
      </c>
      <c r="I3" s="4" t="inlineStr">
        <is>
          <t>fixed_om_cost</t>
        </is>
      </c>
      <c r="J3" s="4" t="inlineStr">
        <is>
          <t>variable_om_cost</t>
        </is>
      </c>
      <c r="K3" s="3" t="inlineStr">
        <is>
          <t>modified capture cost</t>
        </is>
      </c>
      <c r="L3" s="3" t="inlineStr">
        <is>
          <t>modified emissions cost</t>
        </is>
      </c>
      <c r="M3" s="3" t="inlineStr">
        <is>
          <t>CI</t>
        </is>
      </c>
      <c r="N3" s="19" t="inlineStr">
        <is>
          <t>LCOE ($/MWh-ethanol)</t>
        </is>
      </c>
      <c r="O3" s="19" t="inlineStr">
        <is>
          <t>LCOE ($/GJ-ethanol)</t>
        </is>
      </c>
      <c r="P3" s="19" t="inlineStr">
        <is>
          <t>CHECK LCOE ($/GJ-ethanol)</t>
        </is>
      </c>
      <c r="R3" t="inlineStr">
        <is>
          <t>Conversion</t>
        </is>
      </c>
      <c r="S3" t="n">
        <v>3.6</v>
      </c>
      <c r="T3" t="inlineStr">
        <is>
          <t>GJ/MWh</t>
        </is>
      </c>
      <c r="V3" s="4" t="inlineStr">
        <is>
          <t>id_LC</t>
        </is>
      </c>
      <c r="W3" s="4" t="inlineStr">
        <is>
          <t>commodity_LC</t>
        </is>
      </c>
      <c r="X3" s="4" t="inlineStr">
        <is>
          <t>elec_production</t>
        </is>
      </c>
      <c r="Y3" s="4" t="inlineStr">
        <is>
          <t>elec_consumption</t>
        </is>
      </c>
      <c r="Z3" s="4" t="inlineStr">
        <is>
          <t>biomass_consumption</t>
        </is>
      </c>
      <c r="AA3" s="4" t="inlineStr">
        <is>
          <t>natgas_consumption</t>
        </is>
      </c>
      <c r="AB3" s="4" t="inlineStr">
        <is>
          <t>investment_cost</t>
        </is>
      </c>
      <c r="AC3" s="4" t="inlineStr">
        <is>
          <t>fixed_om_cost</t>
        </is>
      </c>
      <c r="AD3" s="4" t="inlineStr">
        <is>
          <t>variable_om_cost</t>
        </is>
      </c>
      <c r="AE3" s="3" t="inlineStr">
        <is>
          <t>modified capture cost</t>
        </is>
      </c>
      <c r="AF3" s="3" t="inlineStr">
        <is>
          <t>modified emissions cost</t>
        </is>
      </c>
      <c r="AG3" s="3" t="inlineStr">
        <is>
          <t>CI</t>
        </is>
      </c>
      <c r="AH3" s="19" t="inlineStr">
        <is>
          <t>LCOE ($/MWh-ethanol)</t>
        </is>
      </c>
      <c r="AI3" s="19" t="inlineStr">
        <is>
          <t>LCOE ($/GJ-ethanol)</t>
        </is>
      </c>
      <c r="AJ3" s="19" t="inlineStr">
        <is>
          <t>CHECK LCOE ($/GJ-ethanol)</t>
        </is>
      </c>
    </row>
    <row r="4">
      <c r="B4" s="21">
        <f>lc_detailed!AM4</f>
        <v/>
      </c>
      <c r="C4" s="21">
        <f>lc_detailed!AN4</f>
        <v/>
      </c>
      <c r="D4" s="21">
        <f>lc_detailed!AT4/$S$3</f>
        <v/>
      </c>
      <c r="E4" s="21">
        <f>lc_detailed!AU4/$S$3</f>
        <v/>
      </c>
      <c r="F4" s="21">
        <f>lc_detailed!AV4/$S$3</f>
        <v/>
      </c>
      <c r="G4" s="21">
        <f>lc_detailed!AW4/$S$3</f>
        <v/>
      </c>
      <c r="H4" s="21">
        <f>lc_detailed!AX4/$S$3</f>
        <v/>
      </c>
      <c r="I4" s="21">
        <f>lc_detailed!AY4/$S$3</f>
        <v/>
      </c>
      <c r="J4" s="21">
        <f>lc_detailed!AZ4/$S$3</f>
        <v/>
      </c>
      <c r="K4" s="21">
        <f>lc_detailed!BB4/$S$3</f>
        <v/>
      </c>
      <c r="L4" s="21">
        <f>lc_detailed!BC4/$S$3</f>
        <v/>
      </c>
      <c r="M4" s="21">
        <f>lc_detailed!BA4</f>
        <v/>
      </c>
      <c r="N4" s="21">
        <f>lc_detailed!AO4</f>
        <v/>
      </c>
      <c r="O4" s="21">
        <f>N4/$S$3</f>
        <v/>
      </c>
      <c r="P4" s="21">
        <f>SUM(D4:L4)</f>
        <v/>
      </c>
      <c r="V4">
        <f t="array" ref="V4:AJ39">_xlfn._xlws.SORT(B4:P39, 13, 1)</f>
        <v/>
      </c>
      <c r="W4" t="inlineStr">
        <is>
          <t>Biomass_Corn</t>
        </is>
      </c>
      <c r="X4" t="n">
        <v>0</v>
      </c>
      <c r="Y4" t="n">
        <v>0.7762487495269075</v>
      </c>
      <c r="Z4" t="n">
        <v>13.21249441665558</v>
      </c>
      <c r="AA4" t="n">
        <v>0.9627522792490529</v>
      </c>
      <c r="AB4" t="n">
        <v>0.3904449847370984</v>
      </c>
      <c r="AC4" t="n">
        <v>1.87849522169548</v>
      </c>
      <c r="AD4" t="n">
        <v>6.84321968883297</v>
      </c>
      <c r="AE4" t="n">
        <v>-3.824994019411014</v>
      </c>
      <c r="AF4" t="n">
        <v>-1.009734249434564</v>
      </c>
      <c r="AG4" t="n">
        <v>-0.04930644091202008</v>
      </c>
      <c r="AH4" t="n">
        <v>69.22413745866547</v>
      </c>
      <c r="AI4" t="n">
        <v>19.22892707185152</v>
      </c>
      <c r="AJ4" t="n">
        <v>19.22892707185151</v>
      </c>
    </row>
    <row r="5">
      <c r="B5" s="21">
        <f>lc_detailed!AM5</f>
        <v/>
      </c>
      <c r="C5" s="21">
        <f>lc_detailed!AN5</f>
        <v/>
      </c>
      <c r="D5" s="21">
        <f>lc_detailed!AT5/$S$3</f>
        <v/>
      </c>
      <c r="E5" s="21">
        <f>lc_detailed!AU5/$S$3</f>
        <v/>
      </c>
      <c r="F5" s="21">
        <f>lc_detailed!AV5/$S$3</f>
        <v/>
      </c>
      <c r="G5" s="21">
        <f>lc_detailed!AW5/$S$3</f>
        <v/>
      </c>
      <c r="H5" s="21">
        <f>lc_detailed!AX5/$S$3</f>
        <v/>
      </c>
      <c r="I5" s="21">
        <f>lc_detailed!AY5/$S$3</f>
        <v/>
      </c>
      <c r="J5" s="21">
        <f>lc_detailed!AZ5/$S$3</f>
        <v/>
      </c>
      <c r="K5" s="21">
        <f>lc_detailed!BB5/$S$3</f>
        <v/>
      </c>
      <c r="L5" s="21">
        <f>lc_detailed!BC5/$S$3</f>
        <v/>
      </c>
      <c r="M5" s="21">
        <f>lc_detailed!BA5</f>
        <v/>
      </c>
      <c r="N5" s="21">
        <f>lc_detailed!AO5</f>
        <v/>
      </c>
      <c r="O5" s="21">
        <f>N5/$S$3</f>
        <v/>
      </c>
      <c r="P5" s="21">
        <f>SUM(D5:L5)</f>
        <v/>
      </c>
      <c r="V5" t="inlineStr">
        <is>
          <t>NCEN_Ethanol_DryMillCCS_90</t>
        </is>
      </c>
      <c r="W5" t="inlineStr">
        <is>
          <t>Biomass_Corn</t>
        </is>
      </c>
      <c r="X5" t="n">
        <v>0</v>
      </c>
      <c r="Y5" t="n">
        <v>0.7943962376697592</v>
      </c>
      <c r="Z5" t="n">
        <v>13.21249441665558</v>
      </c>
      <c r="AA5" t="n">
        <v>0.9556874705063028</v>
      </c>
      <c r="AB5" t="n">
        <v>0.3904449847370984</v>
      </c>
      <c r="AC5" t="n">
        <v>1.87849522169548</v>
      </c>
      <c r="AD5" t="n">
        <v>6.84321968883297</v>
      </c>
      <c r="AE5" t="n">
        <v>-3.831227072794575</v>
      </c>
      <c r="AF5" t="n">
        <v>-1.009734249434564</v>
      </c>
      <c r="AG5" t="n">
        <v>-0.04930644091202008</v>
      </c>
      <c r="AH5" t="n">
        <v>69.241596112325</v>
      </c>
      <c r="AI5" t="n">
        <v>19.23377669786806</v>
      </c>
      <c r="AJ5" t="n">
        <v>19.23377669786805</v>
      </c>
    </row>
    <row r="6">
      <c r="B6" s="21">
        <f>lc_detailed!AM6</f>
        <v/>
      </c>
      <c r="C6" s="21">
        <f>lc_detailed!AN6</f>
        <v/>
      </c>
      <c r="D6" s="21">
        <f>lc_detailed!AT6/$S$3</f>
        <v/>
      </c>
      <c r="E6" s="21">
        <f>lc_detailed!AU6/$S$3</f>
        <v/>
      </c>
      <c r="F6" s="21">
        <f>lc_detailed!AV6/$S$3</f>
        <v/>
      </c>
      <c r="G6" s="21">
        <f>lc_detailed!AW6/$S$3</f>
        <v/>
      </c>
      <c r="H6" s="21">
        <f>lc_detailed!AX6/$S$3</f>
        <v/>
      </c>
      <c r="I6" s="21">
        <f>lc_detailed!AY6/$S$3</f>
        <v/>
      </c>
      <c r="J6" s="21">
        <f>lc_detailed!AZ6/$S$3</f>
        <v/>
      </c>
      <c r="K6" s="21">
        <f>lc_detailed!BB6/$S$3</f>
        <v/>
      </c>
      <c r="L6" s="21">
        <f>lc_detailed!BC6/$S$3</f>
        <v/>
      </c>
      <c r="M6" s="21">
        <f>lc_detailed!BA6</f>
        <v/>
      </c>
      <c r="N6" s="21">
        <f>lc_detailed!AO6</f>
        <v/>
      </c>
      <c r="O6" s="21">
        <f>N6/$S$3</f>
        <v/>
      </c>
      <c r="P6" s="21">
        <f>SUM(D6:L6)</f>
        <v/>
      </c>
      <c r="V6" t="inlineStr">
        <is>
          <t>NCEN_Ethanol_DryMillCCS_60</t>
        </is>
      </c>
      <c r="W6" t="inlineStr">
        <is>
          <t>Biomass_Corn</t>
        </is>
      </c>
      <c r="X6" t="n">
        <v>0</v>
      </c>
      <c r="Y6" t="n">
        <v>0.1215039738179506</v>
      </c>
      <c r="Z6" t="n">
        <v>13.21249441665558</v>
      </c>
      <c r="AA6" t="n">
        <v>0.9556874705063028</v>
      </c>
      <c r="AB6" t="n">
        <v>0.05165665594621983</v>
      </c>
      <c r="AC6" t="n">
        <v>1.693144690579283</v>
      </c>
      <c r="AD6" t="n">
        <v>6.797189063123331</v>
      </c>
      <c r="AE6" t="n">
        <v>-2.554151382055228</v>
      </c>
      <c r="AF6" t="n">
        <v>-1.009728932890535</v>
      </c>
      <c r="AG6" t="n">
        <v>-0.0493061812992911</v>
      </c>
      <c r="AH6" t="n">
        <v>69.36406544045848</v>
      </c>
      <c r="AI6" t="n">
        <v>19.26779595568291</v>
      </c>
      <c r="AJ6" t="n">
        <v>19.26779595568291</v>
      </c>
    </row>
    <row r="7">
      <c r="B7" s="21">
        <f>lc_detailed!AM7</f>
        <v/>
      </c>
      <c r="C7" s="21">
        <f>lc_detailed!AN7</f>
        <v/>
      </c>
      <c r="D7" s="21">
        <f>lc_detailed!AT7/$S$3</f>
        <v/>
      </c>
      <c r="E7" s="21">
        <f>lc_detailed!AU7/$S$3</f>
        <v/>
      </c>
      <c r="F7" s="21">
        <f>lc_detailed!AV7/$S$3</f>
        <v/>
      </c>
      <c r="G7" s="21">
        <f>lc_detailed!AW7/$S$3</f>
        <v/>
      </c>
      <c r="H7" s="21">
        <f>lc_detailed!AX7/$S$3</f>
        <v/>
      </c>
      <c r="I7" s="21">
        <f>lc_detailed!AY7/$S$3</f>
        <v/>
      </c>
      <c r="J7" s="21">
        <f>lc_detailed!AZ7/$S$3</f>
        <v/>
      </c>
      <c r="K7" s="21">
        <f>lc_detailed!BB7/$S$3</f>
        <v/>
      </c>
      <c r="L7" s="21">
        <f>lc_detailed!BC7/$S$3</f>
        <v/>
      </c>
      <c r="M7" s="21">
        <f>lc_detailed!BA7</f>
        <v/>
      </c>
      <c r="N7" s="21">
        <f>lc_detailed!AO7</f>
        <v/>
      </c>
      <c r="O7" s="21">
        <f>N7/$S$3</f>
        <v/>
      </c>
      <c r="P7" s="21">
        <f>SUM(D7:L7)</f>
        <v/>
      </c>
      <c r="V7" t="inlineStr">
        <is>
          <t>CEN_Ethanol_DryMillCCS_60</t>
        </is>
      </c>
      <c r="W7" t="inlineStr">
        <is>
          <t>Biomass_Corn</t>
        </is>
      </c>
      <c r="X7" t="n">
        <v>0</v>
      </c>
      <c r="Y7" t="n">
        <v>0.1187282910797762</v>
      </c>
      <c r="Z7" t="n">
        <v>13.21249441665558</v>
      </c>
      <c r="AA7" t="n">
        <v>0.9627522792490529</v>
      </c>
      <c r="AB7" t="n">
        <v>0.05165665594621983</v>
      </c>
      <c r="AC7" t="n">
        <v>1.693144690579283</v>
      </c>
      <c r="AD7" t="n">
        <v>6.797189063123331</v>
      </c>
      <c r="AE7" t="n">
        <v>-2.549996013132541</v>
      </c>
      <c r="AF7" t="n">
        <v>-1.009728932890535</v>
      </c>
      <c r="AG7" t="n">
        <v>-0.0493061812992911</v>
      </c>
      <c r="AH7" t="n">
        <v>69.39446562219662</v>
      </c>
      <c r="AI7" t="n">
        <v>19.27624045061017</v>
      </c>
      <c r="AJ7" t="n">
        <v>19.27624045061017</v>
      </c>
    </row>
    <row r="8">
      <c r="B8" s="21">
        <f>lc_detailed!AM8</f>
        <v/>
      </c>
      <c r="C8" s="21">
        <f>lc_detailed!AN8</f>
        <v/>
      </c>
      <c r="D8" s="21">
        <f>lc_detailed!AT8/$S$3</f>
        <v/>
      </c>
      <c r="E8" s="21">
        <f>lc_detailed!AU8/$S$3</f>
        <v/>
      </c>
      <c r="F8" s="21">
        <f>lc_detailed!AV8/$S$3</f>
        <v/>
      </c>
      <c r="G8" s="21">
        <f>lc_detailed!AW8/$S$3</f>
        <v/>
      </c>
      <c r="H8" s="21">
        <f>lc_detailed!AX8/$S$3</f>
        <v/>
      </c>
      <c r="I8" s="21">
        <f>lc_detailed!AY8/$S$3</f>
        <v/>
      </c>
      <c r="J8" s="21">
        <f>lc_detailed!AZ8/$S$3</f>
        <v/>
      </c>
      <c r="K8" s="21">
        <f>lc_detailed!BB8/$S$3</f>
        <v/>
      </c>
      <c r="L8" s="21">
        <f>lc_detailed!BC8/$S$3</f>
        <v/>
      </c>
      <c r="M8" s="21">
        <f>lc_detailed!BA8</f>
        <v/>
      </c>
      <c r="N8" s="21">
        <f>lc_detailed!AO8</f>
        <v/>
      </c>
      <c r="O8" s="21">
        <f>N8/$S$3</f>
        <v/>
      </c>
      <c r="P8" s="21">
        <f>SUM(D8:L8)</f>
        <v/>
      </c>
      <c r="V8" t="inlineStr">
        <is>
          <t>NCEN_Ethanol_DryMill</t>
        </is>
      </c>
      <c r="W8" t="inlineStr">
        <is>
          <t>Biomass_Corn</t>
        </is>
      </c>
      <c r="X8" t="n">
        <v>0</v>
      </c>
      <c r="Y8" t="n">
        <v>0.1215039738179506</v>
      </c>
      <c r="Z8" t="n">
        <v>13.21249441665558</v>
      </c>
      <c r="AA8" t="n">
        <v>0.9556874705063028</v>
      </c>
      <c r="AB8" t="n">
        <v>0</v>
      </c>
      <c r="AC8" t="n">
        <v>1.665521514620349</v>
      </c>
      <c r="AD8" t="n">
        <v>6.789736074883303</v>
      </c>
      <c r="AE8" t="n">
        <v>0</v>
      </c>
      <c r="AF8" t="n">
        <v>-1.009781143740953</v>
      </c>
      <c r="AG8" t="n">
        <v>-0.04930873081290077</v>
      </c>
      <c r="AH8" t="n">
        <v>78.24658430427314</v>
      </c>
      <c r="AI8" t="n">
        <v>21.73516230674254</v>
      </c>
      <c r="AJ8" t="n">
        <v>21.73516230674254</v>
      </c>
    </row>
    <row r="9">
      <c r="B9" s="21">
        <f>lc_detailed!AM9</f>
        <v/>
      </c>
      <c r="C9" s="21">
        <f>lc_detailed!AN9</f>
        <v/>
      </c>
      <c r="D9" s="21">
        <f>lc_detailed!AT9/$S$3</f>
        <v/>
      </c>
      <c r="E9" s="21">
        <f>lc_detailed!AU9/$S$3</f>
        <v/>
      </c>
      <c r="F9" s="21">
        <f>lc_detailed!AV9/$S$3</f>
        <v/>
      </c>
      <c r="G9" s="21">
        <f>lc_detailed!AW9/$S$3</f>
        <v/>
      </c>
      <c r="H9" s="21">
        <f>lc_detailed!AX9/$S$3</f>
        <v/>
      </c>
      <c r="I9" s="21">
        <f>lc_detailed!AY9/$S$3</f>
        <v/>
      </c>
      <c r="J9" s="21">
        <f>lc_detailed!AZ9/$S$3</f>
        <v/>
      </c>
      <c r="K9" s="21">
        <f>lc_detailed!BB9/$S$3</f>
        <v/>
      </c>
      <c r="L9" s="21">
        <f>lc_detailed!BC9/$S$3</f>
        <v/>
      </c>
      <c r="M9" s="21">
        <f>lc_detailed!BA9</f>
        <v/>
      </c>
      <c r="N9" s="21">
        <f>lc_detailed!AO9</f>
        <v/>
      </c>
      <c r="O9" s="21">
        <f>N9/$S$3</f>
        <v/>
      </c>
      <c r="P9" s="21">
        <f>SUM(D9:L9)</f>
        <v/>
      </c>
      <c r="V9" t="inlineStr">
        <is>
          <t>CEN_Ethanol_DryMill</t>
        </is>
      </c>
      <c r="W9" t="inlineStr">
        <is>
          <t>Biomass_Corn</t>
        </is>
      </c>
      <c r="X9" t="n">
        <v>0</v>
      </c>
      <c r="Y9" t="n">
        <v>0.1187282910797762</v>
      </c>
      <c r="Z9" t="n">
        <v>13.21249441665558</v>
      </c>
      <c r="AA9" t="n">
        <v>0.9627522792490529</v>
      </c>
      <c r="AB9" t="n">
        <v>0</v>
      </c>
      <c r="AC9" t="n">
        <v>1.665521514620349</v>
      </c>
      <c r="AD9" t="n">
        <v>6.789736074883303</v>
      </c>
      <c r="AE9" t="n">
        <v>0</v>
      </c>
      <c r="AF9" t="n">
        <v>-1.009781143740953</v>
      </c>
      <c r="AG9" t="n">
        <v>-0.04930873081290077</v>
      </c>
      <c r="AH9" t="n">
        <v>78.26202515788961</v>
      </c>
      <c r="AI9" t="n">
        <v>21.73945143274711</v>
      </c>
      <c r="AJ9" t="n">
        <v>21.73945143274711</v>
      </c>
    </row>
    <row r="10">
      <c r="B10" s="21">
        <f>lc_detailed!AM10</f>
        <v/>
      </c>
      <c r="C10" s="21">
        <f>lc_detailed!AN10</f>
        <v/>
      </c>
      <c r="D10" s="21">
        <f>lc_detailed!AT10/$S$3</f>
        <v/>
      </c>
      <c r="E10" s="21">
        <f>lc_detailed!AU10/$S$3</f>
        <v/>
      </c>
      <c r="F10" s="21">
        <f>lc_detailed!AV10/$S$3</f>
        <v/>
      </c>
      <c r="G10" s="21">
        <f>lc_detailed!AW10/$S$3</f>
        <v/>
      </c>
      <c r="H10" s="21">
        <f>lc_detailed!AX10/$S$3</f>
        <v/>
      </c>
      <c r="I10" s="21">
        <f>lc_detailed!AY10/$S$3</f>
        <v/>
      </c>
      <c r="J10" s="21">
        <f>lc_detailed!AZ10/$S$3</f>
        <v/>
      </c>
      <c r="K10" s="21">
        <f>lc_detailed!BB10/$S$3</f>
        <v/>
      </c>
      <c r="L10" s="21">
        <f>lc_detailed!BC10/$S$3</f>
        <v/>
      </c>
      <c r="M10" s="21">
        <f>lc_detailed!BA10</f>
        <v/>
      </c>
      <c r="N10" s="21">
        <f>lc_detailed!AO10</f>
        <v/>
      </c>
      <c r="O10" s="21">
        <f>N10/$S$3</f>
        <v/>
      </c>
      <c r="P10" s="21">
        <f>SUM(D10:L10)</f>
        <v/>
      </c>
      <c r="V10" t="inlineStr">
        <is>
          <t>CA_Biochemical_CCS_86</t>
        </is>
      </c>
      <c r="W10" t="inlineStr">
        <is>
          <t>Biomass_Agri</t>
        </is>
      </c>
      <c r="X10" t="n">
        <v>-0.4427746076471727</v>
      </c>
      <c r="Y10" t="n">
        <v>0.9382347024308467</v>
      </c>
      <c r="Z10" t="n">
        <v>6.519455190892743</v>
      </c>
      <c r="AA10" t="n">
        <v>0</v>
      </c>
      <c r="AB10" t="n">
        <v>16.5173391971393</v>
      </c>
      <c r="AC10" t="n">
        <v>5.305834168086832</v>
      </c>
      <c r="AD10" t="n">
        <v>10.19121513673064</v>
      </c>
      <c r="AE10" t="n">
        <v>-11.40733453872662</v>
      </c>
      <c r="AF10" t="n">
        <v>-0.03432818477469186</v>
      </c>
      <c r="AG10" t="n">
        <v>-0.001676283254884225</v>
      </c>
      <c r="AH10" t="n">
        <v>99.31550783087478</v>
      </c>
      <c r="AI10" t="n">
        <v>27.58764106413188</v>
      </c>
      <c r="AJ10" t="n">
        <v>27.58764106413188</v>
      </c>
    </row>
    <row r="11">
      <c r="B11" s="21">
        <f>lc_detailed!AM11</f>
        <v/>
      </c>
      <c r="C11" s="21">
        <f>lc_detailed!AN11</f>
        <v/>
      </c>
      <c r="D11" s="21">
        <f>lc_detailed!AT11/$S$3</f>
        <v/>
      </c>
      <c r="E11" s="21">
        <f>lc_detailed!AU11/$S$3</f>
        <v/>
      </c>
      <c r="F11" s="21">
        <f>lc_detailed!AV11/$S$3</f>
        <v/>
      </c>
      <c r="G11" s="21">
        <f>lc_detailed!AW11/$S$3</f>
        <v/>
      </c>
      <c r="H11" s="21">
        <f>lc_detailed!AX11/$S$3</f>
        <v/>
      </c>
      <c r="I11" s="21">
        <f>lc_detailed!AY11/$S$3</f>
        <v/>
      </c>
      <c r="J11" s="21">
        <f>lc_detailed!AZ11/$S$3</f>
        <v/>
      </c>
      <c r="K11" s="21">
        <f>lc_detailed!BB11/$S$3</f>
        <v/>
      </c>
      <c r="L11" s="21">
        <f>lc_detailed!BC11/$S$3</f>
        <v/>
      </c>
      <c r="M11" s="21">
        <f>lc_detailed!BA11</f>
        <v/>
      </c>
      <c r="N11" s="21">
        <f>lc_detailed!AO11</f>
        <v/>
      </c>
      <c r="O11" s="21">
        <f>N11/$S$3</f>
        <v/>
      </c>
      <c r="P11" s="21">
        <f>SUM(D11:L11)</f>
        <v/>
      </c>
      <c r="V11" t="inlineStr">
        <is>
          <t>NW_Biochemical_CCS_86</t>
        </is>
      </c>
      <c r="W11" t="inlineStr">
        <is>
          <t>Biomass_Agri</t>
        </is>
      </c>
      <c r="X11" t="n">
        <v>-0.4400837187009694</v>
      </c>
      <c r="Y11" t="n">
        <v>0.9325327372636677</v>
      </c>
      <c r="Z11" t="n">
        <v>7.363724110014973</v>
      </c>
      <c r="AA11" t="n">
        <v>0</v>
      </c>
      <c r="AB11" t="n">
        <v>16.5173391971393</v>
      </c>
      <c r="AC11" t="n">
        <v>5.305834168086832</v>
      </c>
      <c r="AD11" t="n">
        <v>10.19121513673064</v>
      </c>
      <c r="AE11" t="n">
        <v>-11.79479601629162</v>
      </c>
      <c r="AF11" t="n">
        <v>-0.03432818477469186</v>
      </c>
      <c r="AG11" t="n">
        <v>-0.001676283254884225</v>
      </c>
      <c r="AH11" t="n">
        <v>100.9491747460853</v>
      </c>
      <c r="AI11" t="n">
        <v>28.04143742946814</v>
      </c>
      <c r="AJ11" t="n">
        <v>28.04143742946813</v>
      </c>
    </row>
    <row r="12">
      <c r="B12" s="21">
        <f>lc_detailed!AM12</f>
        <v/>
      </c>
      <c r="C12" s="21">
        <f>lc_detailed!AN12</f>
        <v/>
      </c>
      <c r="D12" s="21">
        <f>lc_detailed!AT12/$S$3</f>
        <v/>
      </c>
      <c r="E12" s="21">
        <f>lc_detailed!AU12/$S$3</f>
        <v/>
      </c>
      <c r="F12" s="21">
        <f>lc_detailed!AV12/$S$3</f>
        <v/>
      </c>
      <c r="G12" s="21">
        <f>lc_detailed!AW12/$S$3</f>
        <v/>
      </c>
      <c r="H12" s="21">
        <f>lc_detailed!AX12/$S$3</f>
        <v/>
      </c>
      <c r="I12" s="21">
        <f>lc_detailed!AY12/$S$3</f>
        <v/>
      </c>
      <c r="J12" s="21">
        <f>lc_detailed!AZ12/$S$3</f>
        <v/>
      </c>
      <c r="K12" s="21">
        <f>lc_detailed!BB12/$S$3</f>
        <v/>
      </c>
      <c r="L12" s="21">
        <f>lc_detailed!BC12/$S$3</f>
        <v/>
      </c>
      <c r="M12" s="21">
        <f>lc_detailed!BA12</f>
        <v/>
      </c>
      <c r="N12" s="21">
        <f>lc_detailed!AO12</f>
        <v/>
      </c>
      <c r="O12" s="21">
        <f>N12/$S$3</f>
        <v/>
      </c>
      <c r="P12" s="21">
        <f>SUM(D12:L12)</f>
        <v/>
      </c>
      <c r="V12" t="inlineStr">
        <is>
          <t>SW_Biochemical_CCS_86</t>
        </is>
      </c>
      <c r="W12" t="inlineStr">
        <is>
          <t>Biomass_Agri</t>
        </is>
      </c>
      <c r="X12" t="n">
        <v>-0.4613855493047048</v>
      </c>
      <c r="Y12" t="n">
        <v>0.9776710906212164</v>
      </c>
      <c r="Z12" t="n">
        <v>6.161387115724919</v>
      </c>
      <c r="AA12" t="n">
        <v>0</v>
      </c>
      <c r="AB12" t="n">
        <v>16.5173391971393</v>
      </c>
      <c r="AC12" t="n">
        <v>5.305834168086832</v>
      </c>
      <c r="AD12" t="n">
        <v>10.19121513673064</v>
      </c>
      <c r="AE12" t="n">
        <v>-10.30775430753469</v>
      </c>
      <c r="AF12" t="n">
        <v>-0.03432818477469186</v>
      </c>
      <c r="AG12" t="n">
        <v>-0.001676283254884225</v>
      </c>
      <c r="AH12" t="n">
        <v>102.0599232000798</v>
      </c>
      <c r="AI12" t="n">
        <v>28.34997866668882</v>
      </c>
      <c r="AJ12" t="n">
        <v>28.34997866668882</v>
      </c>
    </row>
    <row r="13">
      <c r="B13" s="21">
        <f>lc_detailed!AM13</f>
        <v/>
      </c>
      <c r="C13" s="21">
        <f>lc_detailed!AN13</f>
        <v/>
      </c>
      <c r="D13" s="21">
        <f>lc_detailed!AT13/$S$3</f>
        <v/>
      </c>
      <c r="E13" s="21">
        <f>lc_detailed!AU13/$S$3</f>
        <v/>
      </c>
      <c r="F13" s="21">
        <f>lc_detailed!AV13/$S$3</f>
        <v/>
      </c>
      <c r="G13" s="21">
        <f>lc_detailed!AW13/$S$3</f>
        <v/>
      </c>
      <c r="H13" s="21">
        <f>lc_detailed!AX13/$S$3</f>
        <v/>
      </c>
      <c r="I13" s="21">
        <f>lc_detailed!AY13/$S$3</f>
        <v/>
      </c>
      <c r="J13" s="21">
        <f>lc_detailed!AZ13/$S$3</f>
        <v/>
      </c>
      <c r="K13" s="21">
        <f>lc_detailed!BB13/$S$3</f>
        <v/>
      </c>
      <c r="L13" s="21">
        <f>lc_detailed!BC13/$S$3</f>
        <v/>
      </c>
      <c r="M13" s="21">
        <f>lc_detailed!BA13</f>
        <v/>
      </c>
      <c r="N13" s="21">
        <f>lc_detailed!AO13</f>
        <v/>
      </c>
      <c r="O13" s="21">
        <f>N13/$S$3</f>
        <v/>
      </c>
      <c r="P13" s="21">
        <f>SUM(D13:L13)</f>
        <v/>
      </c>
      <c r="V13" t="inlineStr">
        <is>
          <t>TX_Biochemical_CCS_86</t>
        </is>
      </c>
      <c r="W13" t="inlineStr">
        <is>
          <t>Biomass_Agri</t>
        </is>
      </c>
      <c r="X13" t="n">
        <v>-0.4699227770971694</v>
      </c>
      <c r="Y13" t="n">
        <v>0.9957613858619727</v>
      </c>
      <c r="Z13" t="n">
        <v>6.580517047449151</v>
      </c>
      <c r="AA13" t="n">
        <v>0</v>
      </c>
      <c r="AB13" t="n">
        <v>16.5173391971393</v>
      </c>
      <c r="AC13" t="n">
        <v>5.305834168086832</v>
      </c>
      <c r="AD13" t="n">
        <v>10.19121513673064</v>
      </c>
      <c r="AE13" t="n">
        <v>-10.21670664166326</v>
      </c>
      <c r="AF13" t="n">
        <v>-0.03432818477469186</v>
      </c>
      <c r="AG13" t="n">
        <v>-0.001676283254884225</v>
      </c>
      <c r="AH13" t="n">
        <v>103.930953594238</v>
      </c>
      <c r="AI13" t="n">
        <v>28.86970933173277</v>
      </c>
      <c r="AJ13" t="n">
        <v>28.86970933173277</v>
      </c>
    </row>
    <row r="14">
      <c r="B14" s="21">
        <f>lc_detailed!AM14</f>
        <v/>
      </c>
      <c r="C14" s="21">
        <f>lc_detailed!AN14</f>
        <v/>
      </c>
      <c r="D14" s="21">
        <f>lc_detailed!AT14/$S$3</f>
        <v/>
      </c>
      <c r="E14" s="21">
        <f>lc_detailed!AU14/$S$3</f>
        <v/>
      </c>
      <c r="F14" s="21">
        <f>lc_detailed!AV14/$S$3</f>
        <v/>
      </c>
      <c r="G14" s="21">
        <f>lc_detailed!AW14/$S$3</f>
        <v/>
      </c>
      <c r="H14" s="21">
        <f>lc_detailed!AX14/$S$3</f>
        <v/>
      </c>
      <c r="I14" s="21">
        <f>lc_detailed!AY14/$S$3</f>
        <v/>
      </c>
      <c r="J14" s="21">
        <f>lc_detailed!AZ14/$S$3</f>
        <v/>
      </c>
      <c r="K14" s="21">
        <f>lc_detailed!BB14/$S$3</f>
        <v/>
      </c>
      <c r="L14" s="21">
        <f>lc_detailed!BC14/$S$3</f>
        <v/>
      </c>
      <c r="M14" s="21">
        <f>lc_detailed!BA14</f>
        <v/>
      </c>
      <c r="N14" s="21">
        <f>lc_detailed!AO14</f>
        <v/>
      </c>
      <c r="O14" s="21">
        <f>N14/$S$3</f>
        <v/>
      </c>
      <c r="P14" s="21">
        <f>SUM(D14:L14)</f>
        <v/>
      </c>
      <c r="V14" t="inlineStr">
        <is>
          <t>SE_Biochemical_CCS_86</t>
        </is>
      </c>
      <c r="W14" t="inlineStr">
        <is>
          <t>Biomass_Agri</t>
        </is>
      </c>
      <c r="X14" t="n">
        <v>-0.467215779386163</v>
      </c>
      <c r="Y14" t="n">
        <v>0.9900252863928473</v>
      </c>
      <c r="Z14" t="n">
        <v>6.735588833723787</v>
      </c>
      <c r="AA14" t="n">
        <v>0</v>
      </c>
      <c r="AB14" t="n">
        <v>16.5173391971393</v>
      </c>
      <c r="AC14" t="n">
        <v>5.305834168086832</v>
      </c>
      <c r="AD14" t="n">
        <v>10.19121513673064</v>
      </c>
      <c r="AE14" t="n">
        <v>-10.05475894283606</v>
      </c>
      <c r="AF14" t="n">
        <v>-0.03432818477469186</v>
      </c>
      <c r="AG14" t="n">
        <v>-0.001676283254884225</v>
      </c>
      <c r="AH14" t="n">
        <v>105.0613189742754</v>
      </c>
      <c r="AI14" t="n">
        <v>29.18369971507649</v>
      </c>
      <c r="AJ14" t="n">
        <v>29.18369971507649</v>
      </c>
    </row>
    <row r="15">
      <c r="B15" s="21">
        <f>lc_detailed!AM15</f>
        <v/>
      </c>
      <c r="C15" s="21">
        <f>lc_detailed!AN15</f>
        <v/>
      </c>
      <c r="D15" s="21">
        <f>lc_detailed!AT15/$S$3</f>
        <v/>
      </c>
      <c r="E15" s="21">
        <f>lc_detailed!AU15/$S$3</f>
        <v/>
      </c>
      <c r="F15" s="21">
        <f>lc_detailed!AV15/$S$3</f>
        <v/>
      </c>
      <c r="G15" s="21">
        <f>lc_detailed!AW15/$S$3</f>
        <v/>
      </c>
      <c r="H15" s="21">
        <f>lc_detailed!AX15/$S$3</f>
        <v/>
      </c>
      <c r="I15" s="21">
        <f>lc_detailed!AY15/$S$3</f>
        <v/>
      </c>
      <c r="J15" s="21">
        <f>lc_detailed!AZ15/$S$3</f>
        <v/>
      </c>
      <c r="K15" s="21">
        <f>lc_detailed!BB15/$S$3</f>
        <v/>
      </c>
      <c r="L15" s="21">
        <f>lc_detailed!BC15/$S$3</f>
        <v/>
      </c>
      <c r="M15" s="21">
        <f>lc_detailed!BA15</f>
        <v/>
      </c>
      <c r="N15" s="21">
        <f>lc_detailed!AO15</f>
        <v/>
      </c>
      <c r="O15" s="21">
        <f>N15/$S$3</f>
        <v/>
      </c>
      <c r="P15" s="21">
        <f>SUM(D15:L15)</f>
        <v/>
      </c>
      <c r="V15" t="inlineStr">
        <is>
          <t>CEN_Biochemical_CCS_86</t>
        </is>
      </c>
      <c r="W15" t="inlineStr">
        <is>
          <t>Biomass_Agri</t>
        </is>
      </c>
      <c r="X15" t="n">
        <v>-0.4942632086208009</v>
      </c>
      <c r="Y15" t="n">
        <v>1.047338502374965</v>
      </c>
      <c r="Z15" t="n">
        <v>7.265328375638518</v>
      </c>
      <c r="AA15" t="n">
        <v>0</v>
      </c>
      <c r="AB15" t="n">
        <v>16.5173391971393</v>
      </c>
      <c r="AC15" t="n">
        <v>5.305834168086832</v>
      </c>
      <c r="AD15" t="n">
        <v>10.19121513673064</v>
      </c>
      <c r="AE15" t="n">
        <v>-10.03821525494157</v>
      </c>
      <c r="AF15" t="n">
        <v>-0.03432818477469186</v>
      </c>
      <c r="AG15" t="n">
        <v>-0.001676283254884225</v>
      </c>
      <c r="AH15" t="n">
        <v>107.1368954338795</v>
      </c>
      <c r="AI15" t="n">
        <v>29.76024873163319</v>
      </c>
      <c r="AJ15" t="n">
        <v>29.76024873163319</v>
      </c>
    </row>
    <row r="16">
      <c r="B16" s="21">
        <f>lc_detailed!AM16</f>
        <v/>
      </c>
      <c r="C16" s="21">
        <f>lc_detailed!AN16</f>
        <v/>
      </c>
      <c r="D16" s="21">
        <f>lc_detailed!AT16/$S$3</f>
        <v/>
      </c>
      <c r="E16" s="21">
        <f>lc_detailed!AU16/$S$3</f>
        <v/>
      </c>
      <c r="F16" s="21">
        <f>lc_detailed!AV16/$S$3</f>
        <v/>
      </c>
      <c r="G16" s="21">
        <f>lc_detailed!AW16/$S$3</f>
        <v/>
      </c>
      <c r="H16" s="21">
        <f>lc_detailed!AX16/$S$3</f>
        <v/>
      </c>
      <c r="I16" s="21">
        <f>lc_detailed!AY16/$S$3</f>
        <v/>
      </c>
      <c r="J16" s="21">
        <f>lc_detailed!AZ16/$S$3</f>
        <v/>
      </c>
      <c r="K16" s="21">
        <f>lc_detailed!BB16/$S$3</f>
        <v/>
      </c>
      <c r="L16" s="21">
        <f>lc_detailed!BC16/$S$3</f>
        <v/>
      </c>
      <c r="M16" s="21">
        <f>lc_detailed!BA16</f>
        <v/>
      </c>
      <c r="N16" s="21">
        <f>lc_detailed!AO16</f>
        <v/>
      </c>
      <c r="O16" s="21">
        <f>N16/$S$3</f>
        <v/>
      </c>
      <c r="P16" s="21">
        <f>SUM(D16:L16)</f>
        <v/>
      </c>
      <c r="V16" t="inlineStr">
        <is>
          <t>NCEN_Biochemical_CCS_86</t>
        </is>
      </c>
      <c r="W16" t="inlineStr">
        <is>
          <t>Biomass_Agri</t>
        </is>
      </c>
      <c r="X16" t="n">
        <v>-0.5058183135061363</v>
      </c>
      <c r="Y16" t="n">
        <v>1.071823647201267</v>
      </c>
      <c r="Z16" t="n">
        <v>7.462060201603369</v>
      </c>
      <c r="AA16" t="n">
        <v>0</v>
      </c>
      <c r="AB16" t="n">
        <v>16.5173391971393</v>
      </c>
      <c r="AC16" t="n">
        <v>5.305834168086832</v>
      </c>
      <c r="AD16" t="n">
        <v>10.19121513673064</v>
      </c>
      <c r="AE16" t="n">
        <v>-10.05457311883423</v>
      </c>
      <c r="AF16" t="n">
        <v>-0.03432818477469186</v>
      </c>
      <c r="AG16" t="n">
        <v>-0.001676283254884225</v>
      </c>
      <c r="AH16" t="n">
        <v>107.8327898411269</v>
      </c>
      <c r="AI16" t="n">
        <v>29.95355273364635</v>
      </c>
      <c r="AJ16" t="n">
        <v>29.95355273364635</v>
      </c>
    </row>
    <row r="17">
      <c r="B17" s="21">
        <f>lc_detailed!AM17</f>
        <v/>
      </c>
      <c r="C17" s="21">
        <f>lc_detailed!AN17</f>
        <v/>
      </c>
      <c r="D17" s="21">
        <f>lc_detailed!AT17/$S$3</f>
        <v/>
      </c>
      <c r="E17" s="21">
        <f>lc_detailed!AU17/$S$3</f>
        <v/>
      </c>
      <c r="F17" s="21">
        <f>lc_detailed!AV17/$S$3</f>
        <v/>
      </c>
      <c r="G17" s="21">
        <f>lc_detailed!AW17/$S$3</f>
        <v/>
      </c>
      <c r="H17" s="21">
        <f>lc_detailed!AX17/$S$3</f>
        <v/>
      </c>
      <c r="I17" s="21">
        <f>lc_detailed!AY17/$S$3</f>
        <v/>
      </c>
      <c r="J17" s="21">
        <f>lc_detailed!AZ17/$S$3</f>
        <v/>
      </c>
      <c r="K17" s="21">
        <f>lc_detailed!BB17/$S$3</f>
        <v/>
      </c>
      <c r="L17" s="21">
        <f>lc_detailed!BC17/$S$3</f>
        <v/>
      </c>
      <c r="M17" s="21">
        <f>lc_detailed!BA17</f>
        <v/>
      </c>
      <c r="N17" s="21">
        <f>lc_detailed!AO17</f>
        <v/>
      </c>
      <c r="O17" s="21">
        <f>N17/$S$3</f>
        <v/>
      </c>
      <c r="P17" s="21">
        <f>SUM(D17:L17)</f>
        <v/>
      </c>
      <c r="V17" t="inlineStr">
        <is>
          <t>MIDAT_Biochemical_CCS_86</t>
        </is>
      </c>
      <c r="W17" t="inlineStr">
        <is>
          <t>Biomass_Agri</t>
        </is>
      </c>
      <c r="X17" t="n">
        <v>-0.4745107862638898</v>
      </c>
      <c r="Y17" t="n">
        <v>1.005483328676539</v>
      </c>
      <c r="Z17" t="n">
        <v>7.087507970282489</v>
      </c>
      <c r="AA17" t="n">
        <v>0</v>
      </c>
      <c r="AB17" t="n">
        <v>16.5173391971393</v>
      </c>
      <c r="AC17" t="n">
        <v>5.305834168086832</v>
      </c>
      <c r="AD17" t="n">
        <v>10.19121513673064</v>
      </c>
      <c r="AE17" t="n">
        <v>-8.564835475458693</v>
      </c>
      <c r="AF17" t="n">
        <v>-0.03432818477469186</v>
      </c>
      <c r="AG17" t="n">
        <v>-0.001676283254884225</v>
      </c>
      <c r="AH17" t="n">
        <v>111.7213392759067</v>
      </c>
      <c r="AI17" t="n">
        <v>31.03370535441853</v>
      </c>
      <c r="AJ17" t="n">
        <v>31.03370535441853</v>
      </c>
    </row>
    <row r="18">
      <c r="B18" s="21">
        <f>lc_detailed!AM18</f>
        <v/>
      </c>
      <c r="C18" s="21">
        <f>lc_detailed!AN18</f>
        <v/>
      </c>
      <c r="D18" s="21">
        <f>lc_detailed!AT18/$S$3</f>
        <v/>
      </c>
      <c r="E18" s="21">
        <f>lc_detailed!AU18/$S$3</f>
        <v/>
      </c>
      <c r="F18" s="21">
        <f>lc_detailed!AV18/$S$3</f>
        <v/>
      </c>
      <c r="G18" s="21">
        <f>lc_detailed!AW18/$S$3</f>
        <v/>
      </c>
      <c r="H18" s="21">
        <f>lc_detailed!AX18/$S$3</f>
        <v/>
      </c>
      <c r="I18" s="21">
        <f>lc_detailed!AY18/$S$3</f>
        <v/>
      </c>
      <c r="J18" s="21">
        <f>lc_detailed!AZ18/$S$3</f>
        <v/>
      </c>
      <c r="K18" s="21">
        <f>lc_detailed!BB18/$S$3</f>
        <v/>
      </c>
      <c r="L18" s="21">
        <f>lc_detailed!BC18/$S$3</f>
        <v/>
      </c>
      <c r="M18" s="21">
        <f>lc_detailed!BA18</f>
        <v/>
      </c>
      <c r="N18" s="21">
        <f>lc_detailed!AO18</f>
        <v/>
      </c>
      <c r="O18" s="21">
        <f>N18/$S$3</f>
        <v/>
      </c>
      <c r="P18" s="21">
        <f>SUM(D18:L18)</f>
        <v/>
      </c>
      <c r="V18" t="inlineStr">
        <is>
          <t>NE_Biochemical_CCS_86</t>
        </is>
      </c>
      <c r="W18" t="inlineStr">
        <is>
          <t>Biomass_Agri</t>
        </is>
      </c>
      <c r="X18" t="n">
        <v>-0.456890149053238</v>
      </c>
      <c r="Y18" t="n">
        <v>0.9681453851168856</v>
      </c>
      <c r="Z18" t="n">
        <v>7.168293499831639</v>
      </c>
      <c r="AA18" t="n">
        <v>0</v>
      </c>
      <c r="AB18" t="n">
        <v>16.5173391971393</v>
      </c>
      <c r="AC18" t="n">
        <v>5.305834168086832</v>
      </c>
      <c r="AD18" t="n">
        <v>10.19121513673064</v>
      </c>
      <c r="AE18" t="n">
        <v>-7.73897072846591</v>
      </c>
      <c r="AF18" t="n">
        <v>-0.03432818477469186</v>
      </c>
      <c r="AG18" t="n">
        <v>-0.001676283254884225</v>
      </c>
      <c r="AH18" t="n">
        <v>114.9142979686012</v>
      </c>
      <c r="AI18" t="n">
        <v>31.92063832461145</v>
      </c>
      <c r="AJ18" t="n">
        <v>31.92063832461146</v>
      </c>
    </row>
    <row r="19">
      <c r="B19" s="21">
        <f>lc_detailed!AM19</f>
        <v/>
      </c>
      <c r="C19" s="21">
        <f>lc_detailed!AN19</f>
        <v/>
      </c>
      <c r="D19" s="21">
        <f>lc_detailed!AT19/$S$3</f>
        <v/>
      </c>
      <c r="E19" s="21">
        <f>lc_detailed!AU19/$S$3</f>
        <v/>
      </c>
      <c r="F19" s="21">
        <f>lc_detailed!AV19/$S$3</f>
        <v/>
      </c>
      <c r="G19" s="21">
        <f>lc_detailed!AW19/$S$3</f>
        <v/>
      </c>
      <c r="H19" s="21">
        <f>lc_detailed!AX19/$S$3</f>
        <v/>
      </c>
      <c r="I19" s="21">
        <f>lc_detailed!AY19/$S$3</f>
        <v/>
      </c>
      <c r="J19" s="21">
        <f>lc_detailed!AZ19/$S$3</f>
        <v/>
      </c>
      <c r="K19" s="21">
        <f>lc_detailed!BB19/$S$3</f>
        <v/>
      </c>
      <c r="L19" s="21">
        <f>lc_detailed!BC19/$S$3</f>
        <v/>
      </c>
      <c r="M19" s="21">
        <f>lc_detailed!BA19</f>
        <v/>
      </c>
      <c r="N19" s="21">
        <f>lc_detailed!AO19</f>
        <v/>
      </c>
      <c r="O19" s="21">
        <f>N19/$S$3</f>
        <v/>
      </c>
      <c r="P19" s="21">
        <f>SUM(D19:L19)</f>
        <v/>
      </c>
      <c r="V19" t="inlineStr">
        <is>
          <t>SW_Biochemical_CCS_20</t>
        </is>
      </c>
      <c r="W19" t="inlineStr">
        <is>
          <t>Biomass_Agri</t>
        </is>
      </c>
      <c r="X19" t="n">
        <v>-0.4613855493047048</v>
      </c>
      <c r="Y19" t="n">
        <v>0</v>
      </c>
      <c r="Z19" t="n">
        <v>6.161387115724919</v>
      </c>
      <c r="AA19" t="n">
        <v>0</v>
      </c>
      <c r="AB19" t="n">
        <v>14.95126744679884</v>
      </c>
      <c r="AC19" t="n">
        <v>4.449038910034111</v>
      </c>
      <c r="AD19" t="n">
        <v>9.978077245470372</v>
      </c>
      <c r="AE19" t="n">
        <v>-2.359606407748906</v>
      </c>
      <c r="AF19" t="n">
        <v>-0.03432818477469186</v>
      </c>
      <c r="AG19" t="n">
        <v>-0.001676283254884225</v>
      </c>
      <c r="AH19" t="n">
        <v>117.6640220743198</v>
      </c>
      <c r="AI19" t="n">
        <v>32.68445057619994</v>
      </c>
      <c r="AJ19" t="n">
        <v>32.68445057619994</v>
      </c>
    </row>
    <row r="20">
      <c r="B20" s="21">
        <f>lc_detailed!AM20</f>
        <v/>
      </c>
      <c r="C20" s="21">
        <f>lc_detailed!AN20</f>
        <v/>
      </c>
      <c r="D20" s="21">
        <f>lc_detailed!AT20/$S$3</f>
        <v/>
      </c>
      <c r="E20" s="21">
        <f>lc_detailed!AU20/$S$3</f>
        <v/>
      </c>
      <c r="F20" s="21">
        <f>lc_detailed!AV20/$S$3</f>
        <v/>
      </c>
      <c r="G20" s="21">
        <f>lc_detailed!AW20/$S$3</f>
        <v/>
      </c>
      <c r="H20" s="21">
        <f>lc_detailed!AX20/$S$3</f>
        <v/>
      </c>
      <c r="I20" s="21">
        <f>lc_detailed!AY20/$S$3</f>
        <v/>
      </c>
      <c r="J20" s="21">
        <f>lc_detailed!AZ20/$S$3</f>
        <v/>
      </c>
      <c r="K20" s="21">
        <f>lc_detailed!BB20/$S$3</f>
        <v/>
      </c>
      <c r="L20" s="21">
        <f>lc_detailed!BC20/$S$3</f>
        <v/>
      </c>
      <c r="M20" s="21">
        <f>lc_detailed!BA20</f>
        <v/>
      </c>
      <c r="N20" s="21">
        <f>lc_detailed!AO20</f>
        <v/>
      </c>
      <c r="O20" s="21">
        <f>N20/$S$3</f>
        <v/>
      </c>
      <c r="P20" s="21">
        <f>SUM(D20:L20)</f>
        <v/>
      </c>
      <c r="V20" t="inlineStr">
        <is>
          <t>CA_Biochemical_CCS_20</t>
        </is>
      </c>
      <c r="W20" t="inlineStr">
        <is>
          <t>Biomass_Agri</t>
        </is>
      </c>
      <c r="X20" t="n">
        <v>-0.4427746076471727</v>
      </c>
      <c r="Y20" t="n">
        <v>0</v>
      </c>
      <c r="Z20" t="n">
        <v>6.519455190892743</v>
      </c>
      <c r="AA20" t="n">
        <v>0</v>
      </c>
      <c r="AB20" t="n">
        <v>14.95126744679884</v>
      </c>
      <c r="AC20" t="n">
        <v>4.449038910034111</v>
      </c>
      <c r="AD20" t="n">
        <v>9.978077245470372</v>
      </c>
      <c r="AE20" t="n">
        <v>-2.611317545009708</v>
      </c>
      <c r="AF20" t="n">
        <v>-0.03432818477469186</v>
      </c>
      <c r="AG20" t="n">
        <v>-0.001676283254884225</v>
      </c>
      <c r="AH20" t="n">
        <v>118.1139064407522</v>
      </c>
      <c r="AI20" t="n">
        <v>32.80941845576449</v>
      </c>
      <c r="AJ20" t="n">
        <v>32.80941845576449</v>
      </c>
    </row>
    <row r="21">
      <c r="B21" s="21">
        <f>lc_detailed!AM21</f>
        <v/>
      </c>
      <c r="C21" s="21">
        <f>lc_detailed!AN21</f>
        <v/>
      </c>
      <c r="D21" s="21">
        <f>lc_detailed!AT21/$S$3</f>
        <v/>
      </c>
      <c r="E21" s="21">
        <f>lc_detailed!AU21/$S$3</f>
        <v/>
      </c>
      <c r="F21" s="21">
        <f>lc_detailed!AV21/$S$3</f>
        <v/>
      </c>
      <c r="G21" s="21">
        <f>lc_detailed!AW21/$S$3</f>
        <v/>
      </c>
      <c r="H21" s="21">
        <f>lc_detailed!AX21/$S$3</f>
        <v/>
      </c>
      <c r="I21" s="21">
        <f>lc_detailed!AY21/$S$3</f>
        <v/>
      </c>
      <c r="J21" s="21">
        <f>lc_detailed!AZ21/$S$3</f>
        <v/>
      </c>
      <c r="K21" s="21">
        <f>lc_detailed!BB21/$S$3</f>
        <v/>
      </c>
      <c r="L21" s="21">
        <f>lc_detailed!BC21/$S$3</f>
        <v/>
      </c>
      <c r="M21" s="21">
        <f>lc_detailed!BA21</f>
        <v/>
      </c>
      <c r="N21" s="21">
        <f>lc_detailed!AO21</f>
        <v/>
      </c>
      <c r="O21" s="21">
        <f>N21/$S$3</f>
        <v/>
      </c>
      <c r="P21" s="21">
        <f>SUM(D21:L21)</f>
        <v/>
      </c>
      <c r="V21" t="inlineStr">
        <is>
          <t>TX_Biochemical_CCS_20</t>
        </is>
      </c>
      <c r="W21" t="inlineStr">
        <is>
          <t>Biomass_Agri</t>
        </is>
      </c>
      <c r="X21" t="n">
        <v>-0.4699227770971694</v>
      </c>
      <c r="Y21" t="n">
        <v>0</v>
      </c>
      <c r="Z21" t="n">
        <v>6.580517047449151</v>
      </c>
      <c r="AA21" t="n">
        <v>0</v>
      </c>
      <c r="AB21" t="n">
        <v>14.95126744679884</v>
      </c>
      <c r="AC21" t="n">
        <v>4.449038910034111</v>
      </c>
      <c r="AD21" t="n">
        <v>9.978077245470372</v>
      </c>
      <c r="AE21" t="n">
        <v>-2.338764170983157</v>
      </c>
      <c r="AF21" t="n">
        <v>-0.03432818477469186</v>
      </c>
      <c r="AG21" t="n">
        <v>-0.001676283254884225</v>
      </c>
      <c r="AH21" t="n">
        <v>119.2171878608308</v>
      </c>
      <c r="AI21" t="n">
        <v>33.11588551689745</v>
      </c>
      <c r="AJ21" t="n">
        <v>33.11588551689746</v>
      </c>
    </row>
    <row r="22">
      <c r="B22" s="21">
        <f>lc_detailed!AM22</f>
        <v/>
      </c>
      <c r="C22" s="21">
        <f>lc_detailed!AN22</f>
        <v/>
      </c>
      <c r="D22" s="21">
        <f>lc_detailed!AT22/$S$3</f>
        <v/>
      </c>
      <c r="E22" s="21">
        <f>lc_detailed!AU22/$S$3</f>
        <v/>
      </c>
      <c r="F22" s="21">
        <f>lc_detailed!AV22/$S$3</f>
        <v/>
      </c>
      <c r="G22" s="21">
        <f>lc_detailed!AW22/$S$3</f>
        <v/>
      </c>
      <c r="H22" s="21">
        <f>lc_detailed!AX22/$S$3</f>
        <v/>
      </c>
      <c r="I22" s="21">
        <f>lc_detailed!AY22/$S$3</f>
        <v/>
      </c>
      <c r="J22" s="21">
        <f>lc_detailed!AZ22/$S$3</f>
        <v/>
      </c>
      <c r="K22" s="21">
        <f>lc_detailed!BB22/$S$3</f>
        <v/>
      </c>
      <c r="L22" s="21">
        <f>lc_detailed!BC22/$S$3</f>
        <v/>
      </c>
      <c r="M22" s="21">
        <f>lc_detailed!BA22</f>
        <v/>
      </c>
      <c r="N22" s="21">
        <f>lc_detailed!AO22</f>
        <v/>
      </c>
      <c r="O22" s="21">
        <f>N22/$S$3</f>
        <v/>
      </c>
      <c r="P22" s="21">
        <f>SUM(D22:L22)</f>
        <v/>
      </c>
      <c r="V22" t="inlineStr">
        <is>
          <t>SE_Biochemical_CCS_20</t>
        </is>
      </c>
      <c r="W22" t="inlineStr">
        <is>
          <t>Biomass_Agri</t>
        </is>
      </c>
      <c r="X22" t="n">
        <v>-0.467215779386163</v>
      </c>
      <c r="Y22" t="n">
        <v>0</v>
      </c>
      <c r="Z22" t="n">
        <v>6.735588833723787</v>
      </c>
      <c r="AA22" t="n">
        <v>0</v>
      </c>
      <c r="AB22" t="n">
        <v>14.95126744679884</v>
      </c>
      <c r="AC22" t="n">
        <v>4.449038910034111</v>
      </c>
      <c r="AD22" t="n">
        <v>9.978077245470372</v>
      </c>
      <c r="AE22" t="n">
        <v>-2.301691806191388</v>
      </c>
      <c r="AF22" t="n">
        <v>-0.03432818477469186</v>
      </c>
      <c r="AG22" t="n">
        <v>-0.001676283254884225</v>
      </c>
      <c r="AH22" t="n">
        <v>119.9186519964295</v>
      </c>
      <c r="AI22" t="n">
        <v>33.31073666567487</v>
      </c>
      <c r="AJ22" t="n">
        <v>33.31073666567487</v>
      </c>
    </row>
    <row r="23">
      <c r="B23" s="21">
        <f>lc_detailed!AM23</f>
        <v/>
      </c>
      <c r="C23" s="21">
        <f>lc_detailed!AN23</f>
        <v/>
      </c>
      <c r="D23" s="21">
        <f>lc_detailed!AT23/$S$3</f>
        <v/>
      </c>
      <c r="E23" s="21">
        <f>lc_detailed!AU23/$S$3</f>
        <v/>
      </c>
      <c r="F23" s="21">
        <f>lc_detailed!AV23/$S$3</f>
        <v/>
      </c>
      <c r="G23" s="21">
        <f>lc_detailed!AW23/$S$3</f>
        <v/>
      </c>
      <c r="H23" s="21">
        <f>lc_detailed!AX23/$S$3</f>
        <v/>
      </c>
      <c r="I23" s="21">
        <f>lc_detailed!AY23/$S$3</f>
        <v/>
      </c>
      <c r="J23" s="21">
        <f>lc_detailed!AZ23/$S$3</f>
        <v/>
      </c>
      <c r="K23" s="21">
        <f>lc_detailed!BB23/$S$3</f>
        <v/>
      </c>
      <c r="L23" s="21">
        <f>lc_detailed!BC23/$S$3</f>
        <v/>
      </c>
      <c r="M23" s="21">
        <f>lc_detailed!BA23</f>
        <v/>
      </c>
      <c r="N23" s="21">
        <f>lc_detailed!AO23</f>
        <v/>
      </c>
      <c r="O23" s="21">
        <f>N23/$S$3</f>
        <v/>
      </c>
      <c r="P23" s="21">
        <f>SUM(D23:L23)</f>
        <v/>
      </c>
      <c r="V23" t="inlineStr">
        <is>
          <t>NW_Biochemical_CCS_20</t>
        </is>
      </c>
      <c r="W23" t="inlineStr">
        <is>
          <t>Biomass_Agri</t>
        </is>
      </c>
      <c r="X23" t="n">
        <v>-0.4400837187009694</v>
      </c>
      <c r="Y23" t="n">
        <v>0</v>
      </c>
      <c r="Z23" t="n">
        <v>7.363724110014973</v>
      </c>
      <c r="AA23" t="n">
        <v>0</v>
      </c>
      <c r="AB23" t="n">
        <v>14.95126744679884</v>
      </c>
      <c r="AC23" t="n">
        <v>4.449038910034111</v>
      </c>
      <c r="AD23" t="n">
        <v>9.978077245470372</v>
      </c>
      <c r="AE23" t="n">
        <v>-2.700013545898081</v>
      </c>
      <c r="AF23" t="n">
        <v>-0.03432818477469186</v>
      </c>
      <c r="AG23" t="n">
        <v>-0.001676283254884225</v>
      </c>
      <c r="AH23" t="n">
        <v>120.8436561466004</v>
      </c>
      <c r="AI23" t="n">
        <v>33.56768226294456</v>
      </c>
      <c r="AJ23" t="n">
        <v>33.56768226294455</v>
      </c>
    </row>
    <row r="24">
      <c r="B24" s="21">
        <f>lc_detailed!AM24</f>
        <v/>
      </c>
      <c r="C24" s="21">
        <f>lc_detailed!AN24</f>
        <v/>
      </c>
      <c r="D24" s="21">
        <f>lc_detailed!AT24/$S$3</f>
        <v/>
      </c>
      <c r="E24" s="21">
        <f>lc_detailed!AU24/$S$3</f>
        <v/>
      </c>
      <c r="F24" s="21">
        <f>lc_detailed!AV24/$S$3</f>
        <v/>
      </c>
      <c r="G24" s="21">
        <f>lc_detailed!AW24/$S$3</f>
        <v/>
      </c>
      <c r="H24" s="21">
        <f>lc_detailed!AX24/$S$3</f>
        <v/>
      </c>
      <c r="I24" s="21">
        <f>lc_detailed!AY24/$S$3</f>
        <v/>
      </c>
      <c r="J24" s="21">
        <f>lc_detailed!AZ24/$S$3</f>
        <v/>
      </c>
      <c r="K24" s="21">
        <f>lc_detailed!BB24/$S$3</f>
        <v/>
      </c>
      <c r="L24" s="21">
        <f>lc_detailed!BC24/$S$3</f>
        <v/>
      </c>
      <c r="M24" s="21">
        <f>lc_detailed!BA24</f>
        <v/>
      </c>
      <c r="N24" s="21">
        <f>lc_detailed!AO24</f>
        <v/>
      </c>
      <c r="O24" s="21">
        <f>N24/$S$3</f>
        <v/>
      </c>
      <c r="P24" s="21">
        <f>SUM(D24:L24)</f>
        <v/>
      </c>
      <c r="V24" t="inlineStr">
        <is>
          <t>CEN_Biochemical_CCS_20</t>
        </is>
      </c>
      <c r="W24" t="inlineStr">
        <is>
          <t>Biomass_Agri</t>
        </is>
      </c>
      <c r="X24" t="n">
        <v>-0.4942632086208009</v>
      </c>
      <c r="Y24" t="n">
        <v>0</v>
      </c>
      <c r="Z24" t="n">
        <v>7.265328375638518</v>
      </c>
      <c r="AA24" t="n">
        <v>0</v>
      </c>
      <c r="AB24" t="n">
        <v>14.95126744679884</v>
      </c>
      <c r="AC24" t="n">
        <v>4.449038910034111</v>
      </c>
      <c r="AD24" t="n">
        <v>9.978077245470372</v>
      </c>
      <c r="AE24" t="n">
        <v>-2.297904696914337</v>
      </c>
      <c r="AF24" t="n">
        <v>-0.03432818477469186</v>
      </c>
      <c r="AG24" t="n">
        <v>-0.001676283254884225</v>
      </c>
      <c r="AH24" t="n">
        <v>121.7419771954752</v>
      </c>
      <c r="AI24" t="n">
        <v>33.81721588763201</v>
      </c>
      <c r="AJ24" t="n">
        <v>33.81721588763201</v>
      </c>
    </row>
    <row r="25">
      <c r="B25" s="21">
        <f>lc_detailed!AM25</f>
        <v/>
      </c>
      <c r="C25" s="21">
        <f>lc_detailed!AN25</f>
        <v/>
      </c>
      <c r="D25" s="21">
        <f>lc_detailed!AT25/$S$3</f>
        <v/>
      </c>
      <c r="E25" s="21">
        <f>lc_detailed!AU25/$S$3</f>
        <v/>
      </c>
      <c r="F25" s="21">
        <f>lc_detailed!AV25/$S$3</f>
        <v/>
      </c>
      <c r="G25" s="21">
        <f>lc_detailed!AW25/$S$3</f>
        <v/>
      </c>
      <c r="H25" s="21">
        <f>lc_detailed!AX25/$S$3</f>
        <v/>
      </c>
      <c r="I25" s="21">
        <f>lc_detailed!AY25/$S$3</f>
        <v/>
      </c>
      <c r="J25" s="21">
        <f>lc_detailed!AZ25/$S$3</f>
        <v/>
      </c>
      <c r="K25" s="21">
        <f>lc_detailed!BB25/$S$3</f>
        <v/>
      </c>
      <c r="L25" s="21">
        <f>lc_detailed!BC25/$S$3</f>
        <v/>
      </c>
      <c r="M25" s="21">
        <f>lc_detailed!BA25</f>
        <v/>
      </c>
      <c r="N25" s="21">
        <f>lc_detailed!AO25</f>
        <v/>
      </c>
      <c r="O25" s="21">
        <f>N25/$S$3</f>
        <v/>
      </c>
      <c r="P25" s="21">
        <f>SUM(D25:L25)</f>
        <v/>
      </c>
      <c r="V25" t="inlineStr">
        <is>
          <t>MIDAT_Biochemical_CCS_20</t>
        </is>
      </c>
      <c r="W25" t="inlineStr">
        <is>
          <t>Biomass_Agri</t>
        </is>
      </c>
      <c r="X25" t="n">
        <v>-0.4745107862638898</v>
      </c>
      <c r="Y25" t="n">
        <v>0</v>
      </c>
      <c r="Z25" t="n">
        <v>7.087507970282489</v>
      </c>
      <c r="AA25" t="n">
        <v>0</v>
      </c>
      <c r="AB25" t="n">
        <v>14.95126744679884</v>
      </c>
      <c r="AC25" t="n">
        <v>4.449038910034111</v>
      </c>
      <c r="AD25" t="n">
        <v>9.978077245470372</v>
      </c>
      <c r="AE25" t="n">
        <v>-1.960624988358015</v>
      </c>
      <c r="AF25" t="n">
        <v>-0.03432818477469186</v>
      </c>
      <c r="AG25" t="n">
        <v>-0.001676283254884225</v>
      </c>
      <c r="AH25" t="n">
        <v>122.3871394074812</v>
      </c>
      <c r="AI25" t="n">
        <v>33.99642761318922</v>
      </c>
      <c r="AJ25" t="n">
        <v>33.99642761318921</v>
      </c>
    </row>
    <row r="26">
      <c r="B26" s="21">
        <f>lc_detailed!AM26</f>
        <v/>
      </c>
      <c r="C26" s="21">
        <f>lc_detailed!AN26</f>
        <v/>
      </c>
      <c r="D26" s="21">
        <f>lc_detailed!AT26/$S$3</f>
        <v/>
      </c>
      <c r="E26" s="21">
        <f>lc_detailed!AU26/$S$3</f>
        <v/>
      </c>
      <c r="F26" s="21">
        <f>lc_detailed!AV26/$S$3</f>
        <v/>
      </c>
      <c r="G26" s="21">
        <f>lc_detailed!AW26/$S$3</f>
        <v/>
      </c>
      <c r="H26" s="21">
        <f>lc_detailed!AX26/$S$3</f>
        <v/>
      </c>
      <c r="I26" s="21">
        <f>lc_detailed!AY26/$S$3</f>
        <v/>
      </c>
      <c r="J26" s="21">
        <f>lc_detailed!AZ26/$S$3</f>
        <v/>
      </c>
      <c r="K26" s="21">
        <f>lc_detailed!BB26/$S$3</f>
        <v/>
      </c>
      <c r="L26" s="21">
        <f>lc_detailed!BC26/$S$3</f>
        <v/>
      </c>
      <c r="M26" s="21">
        <f>lc_detailed!BA26</f>
        <v/>
      </c>
      <c r="N26" s="21">
        <f>lc_detailed!AO26</f>
        <v/>
      </c>
      <c r="O26" s="21">
        <f>N26/$S$3</f>
        <v/>
      </c>
      <c r="P26" s="21">
        <f>SUM(D26:L26)</f>
        <v/>
      </c>
      <c r="V26" t="inlineStr">
        <is>
          <t>NCEN_Biochemical_CCS_20</t>
        </is>
      </c>
      <c r="W26" t="inlineStr">
        <is>
          <t>Biomass_Agri</t>
        </is>
      </c>
      <c r="X26" t="n">
        <v>-0.5058183135061363</v>
      </c>
      <c r="Y26" t="n">
        <v>0</v>
      </c>
      <c r="Z26" t="n">
        <v>7.462060201603369</v>
      </c>
      <c r="AA26" t="n">
        <v>0</v>
      </c>
      <c r="AB26" t="n">
        <v>14.95126744679884</v>
      </c>
      <c r="AC26" t="n">
        <v>4.449038910034111</v>
      </c>
      <c r="AD26" t="n">
        <v>9.978077245470372</v>
      </c>
      <c r="AE26" t="n">
        <v>-2.301649268166871</v>
      </c>
      <c r="AF26" t="n">
        <v>-0.03432818477469186</v>
      </c>
      <c r="AG26" t="n">
        <v>-0.001676283254884225</v>
      </c>
      <c r="AH26" t="n">
        <v>122.3951329348524</v>
      </c>
      <c r="AI26" t="n">
        <v>33.99864803745899</v>
      </c>
      <c r="AJ26" t="n">
        <v>33.99864803745899</v>
      </c>
    </row>
    <row r="27">
      <c r="B27" s="21">
        <f>lc_detailed!AM27</f>
        <v/>
      </c>
      <c r="C27" s="21">
        <f>lc_detailed!AN27</f>
        <v/>
      </c>
      <c r="D27" s="21">
        <f>lc_detailed!AT27/$S$3</f>
        <v/>
      </c>
      <c r="E27" s="21">
        <f>lc_detailed!AU27/$S$3</f>
        <v/>
      </c>
      <c r="F27" s="21">
        <f>lc_detailed!AV27/$S$3</f>
        <v/>
      </c>
      <c r="G27" s="21">
        <f>lc_detailed!AW27/$S$3</f>
        <v/>
      </c>
      <c r="H27" s="21">
        <f>lc_detailed!AX27/$S$3</f>
        <v/>
      </c>
      <c r="I27" s="21">
        <f>lc_detailed!AY27/$S$3</f>
        <v/>
      </c>
      <c r="J27" s="21">
        <f>lc_detailed!AZ27/$S$3</f>
        <v/>
      </c>
      <c r="K27" s="21">
        <f>lc_detailed!BB27/$S$3</f>
        <v/>
      </c>
      <c r="L27" s="21">
        <f>lc_detailed!BC27/$S$3</f>
        <v/>
      </c>
      <c r="M27" s="21">
        <f>lc_detailed!BA27</f>
        <v/>
      </c>
      <c r="N27" s="21">
        <f>lc_detailed!AO27</f>
        <v/>
      </c>
      <c r="O27" s="21">
        <f>N27/$S$3</f>
        <v/>
      </c>
      <c r="P27" s="21">
        <f>SUM(D27:L27)</f>
        <v/>
      </c>
      <c r="V27" t="inlineStr">
        <is>
          <t>NE_Biochemical_CCS_20</t>
        </is>
      </c>
      <c r="W27" t="inlineStr">
        <is>
          <t>Biomass_Agri</t>
        </is>
      </c>
      <c r="X27" t="n">
        <v>-0.456890149053238</v>
      </c>
      <c r="Y27" t="n">
        <v>0</v>
      </c>
      <c r="Z27" t="n">
        <v>7.168293499831639</v>
      </c>
      <c r="AA27" t="n">
        <v>0</v>
      </c>
      <c r="AB27" t="n">
        <v>14.95126744679884</v>
      </c>
      <c r="AC27" t="n">
        <v>4.449038910034111</v>
      </c>
      <c r="AD27" t="n">
        <v>9.978077245470372</v>
      </c>
      <c r="AE27" t="n">
        <v>-1.771571612540389</v>
      </c>
      <c r="AF27" t="n">
        <v>-0.03432818477469186</v>
      </c>
      <c r="AG27" t="n">
        <v>-0.001676283254884225</v>
      </c>
      <c r="AH27" t="n">
        <v>123.4219937607599</v>
      </c>
      <c r="AI27" t="n">
        <v>34.28388715576664</v>
      </c>
      <c r="AJ27" t="n">
        <v>34.28388715576664</v>
      </c>
    </row>
    <row r="28"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Abigail Cheng</dc:creator>
  <dcterms:created xsi:type="dcterms:W3CDTF">2026-04-05T17:24:30Z</dcterms:created>
  <dcterms:modified xsi:type="dcterms:W3CDTF">2026-04-13T20:07:30Z</dcterms:modified>
  <cp:lastModifiedBy>Abigail Cheng</cp:lastModifiedBy>
</cp:coreProperties>
</file>