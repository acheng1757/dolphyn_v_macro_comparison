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1" autoFilterDateGrouping="1"/>
  </bookViews>
  <sheets>
    <sheet name="lc_detailed" sheetId="1" state="visible" r:id="rId1"/>
    <sheet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4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0.7360518117574211</v>
                </pt>
                <pt idx="1">
                  <v>1.00483237199334</v>
                </pt>
                <pt idx="2">
                  <v>0.7697008801892076</v>
                </pt>
                <pt idx="3">
                  <v>0.5561594320343651</v>
                </pt>
                <pt idx="4">
                  <v>0.7360518117574211</v>
                </pt>
                <pt idx="5">
                  <v>0.6962115810715788</v>
                </pt>
                <pt idx="6">
                  <v>1.00483237199334</v>
                </pt>
                <pt idx="7">
                  <v>0.7697008801892076</v>
                </pt>
                <pt idx="8">
                  <v>0.5561594320343651</v>
                </pt>
                <pt idx="9">
                  <v>0.8442129170953</v>
                </pt>
                <pt idx="10">
                  <v>0.6962115810715788</v>
                </pt>
                <pt idx="11">
                  <v>1.050681386499588</v>
                </pt>
                <pt idx="12">
                  <v>0.8442129170953</v>
                </pt>
                <pt idx="13">
                  <v>1.082049872275071</v>
                </pt>
                <pt idx="14">
                  <v>1.050681386499588</v>
                </pt>
                <pt idx="15">
                  <v>1.082049872275071</v>
                </pt>
                <pt idx="16">
                  <v>1.304361127893429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0.8442129170953</v>
                </pt>
                <pt idx="22">
                  <v>0.7697008801892076</v>
                </pt>
                <pt idx="23">
                  <v>1.050681386499588</v>
                </pt>
                <pt idx="24">
                  <v>1.082049872275071</v>
                </pt>
                <pt idx="25">
                  <v>1.00483237199334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4.46583800725881</v>
                </pt>
                <pt idx="1">
                  <v>4.465258239850543</v>
                </pt>
                <pt idx="2">
                  <v>4.46578838752567</v>
                </pt>
                <pt idx="3">
                  <v>4.350197260502561</v>
                </pt>
                <pt idx="4">
                  <v>4.46583800725881</v>
                </pt>
                <pt idx="5">
                  <v>4.381524613731323</v>
                </pt>
                <pt idx="6">
                  <v>4.465258239850543</v>
                </pt>
                <pt idx="7">
                  <v>4.46578838752567</v>
                </pt>
                <pt idx="8">
                  <v>4.350197260502561</v>
                </pt>
                <pt idx="9">
                  <v>4.381553993836472</v>
                </pt>
                <pt idx="10">
                  <v>4.381524613731323</v>
                </pt>
                <pt idx="11">
                  <v>4.38152298150326</v>
                </pt>
                <pt idx="12">
                  <v>4.381553993836472</v>
                </pt>
                <pt idx="13">
                  <v>4.381919286477154</v>
                </pt>
                <pt idx="14">
                  <v>4.38152298150326</v>
                </pt>
                <pt idx="15">
                  <v>4.381919286477154</v>
                </pt>
                <pt idx="16">
                  <v>4.381809600751265</v>
                </pt>
                <pt idx="17">
                  <v>4.381809600751265</v>
                </pt>
                <pt idx="18">
                  <v>4.350197260502561</v>
                </pt>
                <pt idx="19">
                  <v>4.381524613731323</v>
                </pt>
                <pt idx="20">
                  <v>4.46583800725881</v>
                </pt>
                <pt idx="21">
                  <v>4.381553993836472</v>
                </pt>
                <pt idx="22">
                  <v>4.46578838752567</v>
                </pt>
                <pt idx="23">
                  <v>4.38152298150326</v>
                </pt>
                <pt idx="24">
                  <v>4.381919286477154</v>
                </pt>
                <pt idx="25">
                  <v>4.465258239850543</v>
                </pt>
                <pt idx="26">
                  <v>4.381809600751265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1.845971685370083</v>
                </pt>
                <pt idx="2">
                  <v>1.845971685370083</v>
                </pt>
                <pt idx="3">
                  <v>1.845971685370083</v>
                </pt>
                <pt idx="4">
                  <v>1.121917381925237</v>
                </pt>
                <pt idx="5">
                  <v>1.845971685370083</v>
                </pt>
                <pt idx="6">
                  <v>1.121917381925237</v>
                </pt>
                <pt idx="7">
                  <v>1.121917381925237</v>
                </pt>
                <pt idx="8">
                  <v>1.121917381925237</v>
                </pt>
                <pt idx="9">
                  <v>1.845971685370083</v>
                </pt>
                <pt idx="10">
                  <v>1.121917381925237</v>
                </pt>
                <pt idx="11">
                  <v>1.845971685370083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1.121917381925237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8.232258905337231</v>
                </pt>
                <pt idx="2">
                  <v>8.232258905337231</v>
                </pt>
                <pt idx="3">
                  <v>8.232258905337231</v>
                </pt>
                <pt idx="4">
                  <v>7.835557847855159</v>
                </pt>
                <pt idx="5">
                  <v>8.232258905337231</v>
                </pt>
                <pt idx="6">
                  <v>7.835557847855159</v>
                </pt>
                <pt idx="7">
                  <v>7.835557847855159</v>
                </pt>
                <pt idx="8">
                  <v>7.835557847855159</v>
                </pt>
                <pt idx="9">
                  <v>8.232258905337231</v>
                </pt>
                <pt idx="10">
                  <v>7.835557847855159</v>
                </pt>
                <pt idx="11">
                  <v>8.232258905337231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7.835557847855159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-8.143443156227582</v>
                </pt>
                <pt idx="2">
                  <v>-8.143443156227582</v>
                </pt>
                <pt idx="3">
                  <v>-8.143443156227582</v>
                </pt>
                <pt idx="4">
                  <v>-8.172434844679341</v>
                </pt>
                <pt idx="5">
                  <v>-8.143443156227582</v>
                </pt>
                <pt idx="6">
                  <v>-8.172434844679341</v>
                </pt>
                <pt idx="7">
                  <v>-8.172434844679341</v>
                </pt>
                <pt idx="8">
                  <v>-8.172434844679341</v>
                </pt>
                <pt idx="9">
                  <v>-8.143443156227582</v>
                </pt>
                <pt idx="10">
                  <v>-8.172434844679341</v>
                </pt>
                <pt idx="11">
                  <v>-8.143443156227582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-8.172434844679341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-16.7972729919125</v>
                </pt>
                <pt idx="1">
                  <v>-16.93853985080741</v>
                </pt>
                <pt idx="2">
                  <v>-15.2768723906009</v>
                </pt>
                <pt idx="3">
                  <v>-14.46960575265155</v>
                </pt>
                <pt idx="4">
                  <v>-11.76703281777212</v>
                </pt>
                <pt idx="5">
                  <v>-12.79246571916594</v>
                </pt>
                <pt idx="6">
                  <v>-11.86599481984712</v>
                </pt>
                <pt idx="7">
                  <v>-10.70194303918676</v>
                </pt>
                <pt idx="8">
                  <v>-10.13642665887811</v>
                </pt>
                <pt idx="9">
                  <v>-11.1454403847841</v>
                </pt>
                <pt idx="10">
                  <v>-8.961535840378785</v>
                </pt>
                <pt idx="11">
                  <v>-10.16124337217478</v>
                </pt>
                <pt idx="12">
                  <v>-7.807741342265638</v>
                </pt>
                <pt idx="13">
                  <v>-9.106196313105217</v>
                </pt>
                <pt idx="14">
                  <v>-7.118279514021063</v>
                </pt>
                <pt idx="15">
                  <v>-6.379184937517909</v>
                </pt>
                <pt idx="16">
                  <v>-7.706768500740922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6.536371719746121</v>
                </pt>
                <pt idx="1">
                  <v>6.536371719746121</v>
                </pt>
                <pt idx="2">
                  <v>6.536371719746121</v>
                </pt>
                <pt idx="3">
                  <v>6.536371719746121</v>
                </pt>
                <pt idx="4">
                  <v>6.536371719746121</v>
                </pt>
                <pt idx="5">
                  <v>6.536371719746121</v>
                </pt>
                <pt idx="6">
                  <v>6.536371719746121</v>
                </pt>
                <pt idx="7">
                  <v>6.536371719746121</v>
                </pt>
                <pt idx="8">
                  <v>6.536371719746121</v>
                </pt>
                <pt idx="9">
                  <v>6.536371719746121</v>
                </pt>
                <pt idx="10">
                  <v>6.536371719746121</v>
                </pt>
                <pt idx="11">
                  <v>6.536371719746121</v>
                </pt>
                <pt idx="12">
                  <v>6.536371719746121</v>
                </pt>
                <pt idx="13">
                  <v>6.536371719746121</v>
                </pt>
                <pt idx="14">
                  <v>6.536371719746121</v>
                </pt>
                <pt idx="15">
                  <v>6.536371719746121</v>
                </pt>
                <pt idx="16">
                  <v>6.536371719746121</v>
                </pt>
                <pt idx="17">
                  <v>6.536371719746121</v>
                </pt>
                <pt idx="18">
                  <v>6.536371719746121</v>
                </pt>
                <pt idx="19">
                  <v>6.536371719746121</v>
                </pt>
                <pt idx="20">
                  <v>6.536371719746121</v>
                </pt>
                <pt idx="21">
                  <v>6.536371719746121</v>
                </pt>
                <pt idx="22">
                  <v>6.536371719746121</v>
                </pt>
                <pt idx="23">
                  <v>6.536371719746121</v>
                </pt>
                <pt idx="24">
                  <v>6.536371719746121</v>
                </pt>
                <pt idx="25">
                  <v>6.536371719746121</v>
                </pt>
                <pt idx="26">
                  <v>6.536371719746121</v>
                </pt>
                <pt idx="27">
                  <v>0.0005670615760721495</v>
                </pt>
                <pt idx="28">
                  <v>0.0004590114696282092</v>
                </pt>
                <pt idx="29">
                  <v>-0.0001543202596078881</v>
                </pt>
                <pt idx="30">
                  <v>0.0001293467884676551</v>
                </pt>
                <pt idx="31">
                  <v>-0.0001543202595835787</v>
                </pt>
                <pt idx="32">
                  <v>-0.0004565465633691233</v>
                </pt>
                <pt idx="33">
                  <v>-0.0005047929057952382</v>
                </pt>
                <pt idx="34">
                  <v>-0.0001583560618109812</v>
                </pt>
                <pt idx="35">
                  <v>2.961781674667092e-05</v>
                </pt>
                <pt idx="36">
                  <v>-0.000214006668135875</v>
                </pt>
                <pt idx="37">
                  <v>-0.0004565304797245588</v>
                </pt>
                <pt idx="38">
                  <v>0.0001293628717475786</v>
                </pt>
                <pt idx="39">
                  <v>-0.000351038535385354</v>
                </pt>
                <pt idx="40">
                  <v>-0.0005047929058195476</v>
                </pt>
                <pt idx="41">
                  <v>0.0001293467884555004</v>
                </pt>
                <pt idx="42">
                  <v>0.0001895915054659443</v>
                </pt>
                <pt idx="43">
                  <v>0.0005670615760721495</v>
                </pt>
                <pt idx="44">
                  <v>0.0001802689401646539</v>
                </pt>
                <pt idx="45">
                  <v>2.963390012383203e-05</v>
                </pt>
                <pt idx="46">
                  <v>0.0001896075887458678</v>
                </pt>
                <pt idx="47">
                  <v>2.961781673451622e-05</v>
                </pt>
                <pt idx="48">
                  <v>-0.0004691546664156318</v>
                </pt>
                <pt idx="49">
                  <v>-0.0001543041761213347</v>
                </pt>
                <pt idx="50">
                  <v>0.000180285023420268</v>
                </pt>
                <pt idx="51">
                  <v>-0.0004691546663791677</v>
                </pt>
                <pt idx="52">
                  <v>0.0004590114696160544</v>
                </pt>
                <pt idx="53">
                  <v>-0.0003510385353731992</v>
                </pt>
                <pt idx="54">
                  <v>-0.0004565465633448139</v>
                </pt>
                <pt idx="55">
                  <v>-0.0005047768221020549</v>
                </pt>
                <pt idx="56">
                  <v>-0.0004691385827102938</v>
                </pt>
                <pt idx="57">
                  <v>0.0005871314174957825</v>
                </pt>
                <pt idx="58">
                  <v>0.0001802689401768086</v>
                </pt>
                <pt idx="59">
                  <v>0.0001895915054659443</v>
                </pt>
                <pt idx="60">
                  <v>-0.0003510224517650988</v>
                </pt>
                <pt idx="61">
                  <v>0.000567077659108979</v>
                </pt>
                <pt idx="62">
                  <v>-0.0002140066681115656</v>
                </pt>
                <pt idx="63">
                  <v>-0.0001118098880148094</v>
                </pt>
                <pt idx="64">
                  <v>0.0004590275527258122</v>
                </pt>
                <pt idx="65">
                  <v>-0.0001583560618109812</v>
                </pt>
                <pt idx="66">
                  <v>-0.0002139905846371669</v>
                </pt>
                <pt idx="67">
                  <v>0.000587131417471473</v>
                </pt>
                <pt idx="68">
                  <v>-0.0001583399783487372</v>
                </pt>
                <pt idx="69">
                  <v>-0.0001118098880391188</v>
                </pt>
                <pt idx="70">
                  <v>0.0005871475004596838</v>
                </pt>
                <pt idx="71">
                  <v>-0.0001117938045768748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51.63785416798657</v>
                </pt>
                <pt idx="1">
                  <v>51.76478810191932</v>
                </pt>
                <pt idx="2">
                  <v>53.19185421799682</v>
                </pt>
                <pt idx="3">
                  <v>53.66998828076822</v>
                </pt>
                <pt idx="4">
                  <v>55.51834729274827</v>
                </pt>
                <pt idx="5">
                  <v>55.51850781651981</v>
                </pt>
                <pt idx="6">
                  <v>55.68758608350092</v>
                </pt>
                <pt idx="7">
                  <v>56.61703652003228</v>
                </pt>
                <pt idx="8">
                  <v>56.85342032516298</v>
                </pt>
                <pt idx="9">
                  <v>57.31356386703051</v>
                </pt>
                <pt idx="10">
                  <v>58.19969064592828</v>
                </pt>
                <pt idx="11">
                  <v>58.50419833671093</v>
                </pt>
                <pt idx="12">
                  <v>59.50151586017029</v>
                </pt>
                <pt idx="13">
                  <v>59.59101018652986</v>
                </pt>
                <pt idx="14">
                  <v>60.39741514548594</v>
                </pt>
                <pt idx="15">
                  <v>61.16827451273848</v>
                </pt>
                <pt idx="16">
                  <v>61.21263956878661</v>
                </pt>
                <pt idx="17">
                  <v>62.37082051128447</v>
                </pt>
                <pt idx="18">
                  <v>65.2403589971743</v>
                </pt>
                <pt idx="19">
                  <v>65.41173849944028</v>
                </pt>
                <pt idx="20">
                  <v>65.5358921236536</v>
                </pt>
                <pt idx="21">
                  <v>65.55976921556913</v>
                </pt>
                <pt idx="22">
                  <v>65.56949157235223</v>
                </pt>
                <pt idx="23">
                  <v>65.76620667264021</v>
                </pt>
                <pt idx="24">
                  <v>65.79797146338959</v>
                </pt>
                <pt idx="25">
                  <v>65.80409291648124</v>
                </pt>
                <pt idx="26">
                  <v>66.02017303328206</v>
                </pt>
                <pt idx="27">
                  <v>66.03514006678735</v>
                </pt>
                <pt idx="28">
                  <v>68.17588496792168</v>
                </pt>
                <pt idx="29">
                  <v>68.29822864313223</v>
                </pt>
                <pt idx="30">
                  <v>69.43914147056684</v>
                </pt>
                <pt idx="31">
                  <v>69.89297691290221</v>
                </pt>
                <pt idx="32">
                  <v>70.31221074382313</v>
                </pt>
                <pt idx="33">
                  <v>70.38246413817703</v>
                </pt>
                <pt idx="34">
                  <v>70.56536572980855</v>
                </pt>
                <pt idx="35">
                  <v>71.15407744005228</v>
                </pt>
                <pt idx="36">
                  <v>71.46544968643619</v>
                </pt>
                <pt idx="37">
                  <v>71.65290653786067</v>
                </pt>
                <pt idx="38">
                  <v>71.69200061723967</v>
                </pt>
                <pt idx="39">
                  <v>71.96023896591439</v>
                </pt>
                <pt idx="40">
                  <v>71.97415650915791</v>
                </pt>
                <pt idx="41">
                  <v>71.9846189003388</v>
                </pt>
                <pt idx="42">
                  <v>72.07457690363428</v>
                </pt>
                <pt idx="43">
                  <v>72.709748291442</v>
                </pt>
                <pt idx="44">
                  <v>72.91112556951985</v>
                </pt>
                <pt idx="45">
                  <v>73.09042529459596</v>
                </pt>
                <pt idx="46">
                  <v>73.11720289632035</v>
                </pt>
                <pt idx="47">
                  <v>73.48865328167471</v>
                </pt>
                <pt idx="48">
                  <v>73.6960361556674</v>
                </pt>
                <pt idx="49">
                  <v>73.88829071072635</v>
                </pt>
                <pt idx="50">
                  <v>74.04278629500979</v>
                </pt>
                <pt idx="51">
                  <v>74.34835528482412</v>
                </pt>
                <pt idx="52">
                  <v>74.37001311179216</v>
                </pt>
                <pt idx="53">
                  <v>74.435215978459</v>
                </pt>
                <pt idx="54">
                  <v>75.4841929968519</v>
                </pt>
                <pt idx="55">
                  <v>75.58253247212305</v>
                </pt>
                <pt idx="56">
                  <v>75.8218594203331</v>
                </pt>
                <pt idx="57">
                  <v>76.33741489746345</v>
                </pt>
                <pt idx="58">
                  <v>76.65188236136932</v>
                </pt>
                <pt idx="59">
                  <v>76.91400778945577</v>
                </pt>
                <pt idx="60">
                  <v>78.07670975619448</v>
                </pt>
                <pt idx="61">
                  <v>78.68430435890913</v>
                </pt>
                <pt idx="62">
                  <v>78.81373284973115</v>
                </pt>
                <pt idx="63">
                  <v>79.75240737551495</v>
                </pt>
                <pt idx="64">
                  <v>79.80893369052572</v>
                </pt>
                <pt idx="65">
                  <v>81.24767409299976</v>
                </pt>
                <pt idx="66">
                  <v>84.33673649817788</v>
                </pt>
                <pt idx="67">
                  <v>87.32689659865908</v>
                </pt>
                <pt idx="68">
                  <v>89.02035358653519</v>
                </pt>
                <pt idx="69">
                  <v>92.78501595927455</v>
                </pt>
                <pt idx="70">
                  <v>94.62557476455869</v>
                </pt>
                <pt idx="71">
                  <v>100.4786226122161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7"/>
  <sheetViews>
    <sheetView topLeftCell="AK1" zoomScale="75" zoomScaleNormal="157" workbookViewId="0">
      <selection activeCell="AO3" sqref="AO3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3.33203125" bestFit="1" customWidth="1" style="1" min="6" max="6"/>
    <col width="27.33203125" bestFit="1" customWidth="1" style="1" min="7" max="7"/>
    <col width="28.33203125" bestFit="1" customWidth="1" style="1" min="8" max="8"/>
    <col width="27.83203125" bestFit="1" customWidth="1" style="1" min="9" max="9"/>
    <col width="21" customWidth="1" style="1" min="10" max="11"/>
    <col width="22" bestFit="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21.33203125" bestFit="1" customWidth="1" style="1" min="23" max="23"/>
    <col width="21.6640625" bestFit="1" customWidth="1" style="1" min="24" max="24"/>
    <col width="18.83203125" bestFit="1" customWidth="1" style="1" min="25" max="25"/>
    <col width="17.6640625" bestFit="1" customWidth="1" style="1" min="26" max="26"/>
    <col width="18" bestFit="1" customWidth="1" style="1" min="27" max="27"/>
    <col width="21.6640625" bestFit="1" customWidth="1" style="1" min="28" max="28"/>
    <col width="22.33203125" bestFit="1" customWidth="1" style="1" min="29" max="29"/>
    <col width="19.83203125" bestFit="1" customWidth="1" style="1" min="30" max="30"/>
    <col width="20.33203125" bestFit="1" customWidth="1" style="1" min="31" max="32"/>
    <col width="20.6640625" bestFit="1" customWidth="1" style="1" min="33" max="33"/>
    <col width="17.5" bestFit="1" customWidth="1" style="1" min="34" max="34"/>
    <col width="17.83203125" bestFit="1" customWidth="1" style="1" min="35" max="35"/>
    <col width="18.33203125" bestFit="1" customWidth="1" style="1" min="36" max="36"/>
    <col width="18.6640625" bestFit="1" customWidth="1" style="1" min="37" max="37"/>
    <col width="3.33203125" customWidth="1" min="38" max="38"/>
    <col width="37.83203125" bestFit="1" customWidth="1" style="1" min="39" max="39"/>
    <col width="19.83203125" customWidth="1" style="1" min="40" max="40"/>
    <col width="18.83203125" bestFit="1" customWidth="1" style="1" min="41" max="42"/>
    <col width="16.5" bestFit="1" customWidth="1" style="1" min="43" max="44"/>
    <col width="27.83203125" bestFit="1" customWidth="1" style="1" min="45" max="45"/>
    <col width="12.6640625" bestFit="1" customWidth="1" style="1" min="46" max="46"/>
    <col width="15.1640625" bestFit="1" customWidth="1" style="1" min="47" max="47"/>
    <col width="18.5" bestFit="1" customWidth="1" style="1" min="48" max="48"/>
    <col width="17.1640625" bestFit="1" customWidth="1" style="1" min="49" max="49"/>
    <col width="13.6640625" bestFit="1" customWidth="1" style="1" min="50" max="50"/>
    <col width="12.1640625" bestFit="1" customWidth="1" style="1" min="51" max="51"/>
    <col width="14.5" bestFit="1" customWidth="1" style="1" min="52" max="52"/>
    <col width="10.5" customWidth="1" style="1" min="53" max="53"/>
    <col width="17.83203125" bestFit="1" customWidth="1" style="1" min="54" max="54"/>
    <col width="19.6640625" bestFit="1" customWidth="1" style="1" min="55" max="55"/>
    <col width="12.1640625" customWidth="1" style="1" min="56" max="56"/>
    <col width="17.83203125" bestFit="1" customWidth="1" style="1" min="57" max="57"/>
    <col width="19.33203125" bestFit="1" customWidth="1" style="1" min="58" max="58"/>
    <col width="3.33203125" customWidth="1" style="1" min="59" max="59"/>
    <col width="27.6640625" bestFit="1" customWidth="1" style="1" min="60" max="60"/>
    <col width="17" bestFit="1" customWidth="1" style="1" min="61" max="61"/>
    <col width="24.1640625" bestFit="1" customWidth="1" style="1" min="62" max="62"/>
    <col width="3.6640625" customWidth="1" style="1" min="63" max="63"/>
    <col width="24.5" bestFit="1" customWidth="1" style="1" min="64" max="64"/>
    <col width="20.5" bestFit="1" customWidth="1" style="1" min="65" max="65"/>
    <col width="26.83203125" bestFit="1" customWidth="1" style="1" min="66" max="66"/>
    <col width="3.33203125" customWidth="1" style="1" min="67" max="67"/>
    <col width="24.1640625" bestFit="1" customWidth="1" style="1" min="68" max="68"/>
    <col width="24.1640625" customWidth="1" style="1" min="69" max="69"/>
    <col width="25.6640625" bestFit="1" customWidth="1" style="1" min="70" max="70"/>
    <col width="25.6640625" customWidth="1" style="1" min="71" max="71"/>
    <col width="25.33203125" bestFit="1" customWidth="1" style="1" min="72" max="72"/>
    <col width="28.1640625" bestFit="1" customWidth="1" style="1" min="73" max="73"/>
    <col width="10.83203125" customWidth="1" style="1" min="74" max="74"/>
    <col width="19.1640625" bestFit="1" customWidth="1" style="1" min="75" max="75"/>
    <col width="10.83203125" customWidth="1" style="1" min="76" max="92"/>
    <col width="10.83203125" customWidth="1" style="1" min="93" max="16384"/>
  </cols>
  <sheetData>
    <row r="1" ht="15" customHeight="1">
      <c r="AL1" s="1" t="n"/>
      <c r="AT1" s="17" t="n"/>
      <c r="AU1" s="17" t="n"/>
      <c r="AV1" s="17" t="n"/>
      <c r="AW1" s="17" t="n"/>
      <c r="AX1" s="17" t="n"/>
      <c r="AY1" s="17" t="n"/>
      <c r="AZ1" s="17" t="n"/>
      <c r="BA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AM2" s="1" t="inlineStr">
        <is>
          <t>LCOE for ethanol production ($/MWh-ethanol)</t>
        </is>
      </c>
      <c r="AO2" s="1" t="inlineStr">
        <is>
          <t>CI</t>
        </is>
      </c>
      <c r="AP2" s="1" t="inlineStr">
        <is>
          <t>CREDIT</t>
        </is>
      </c>
      <c r="AQ2" s="1" t="inlineStr">
        <is>
          <t>CI</t>
        </is>
      </c>
      <c r="AR2" s="1" t="inlineStr">
        <is>
          <t>CREDIT</t>
        </is>
      </c>
      <c r="BA2" s="1" t="inlineStr">
        <is>
          <t>NET CARBON INTENSITY + credit for capture</t>
        </is>
      </c>
      <c r="BD2" s="1" t="inlineStr">
        <is>
          <t>CREDIT for capture/storage + PAY for storage</t>
        </is>
      </c>
      <c r="BH2" s="1" t="inlineStr">
        <is>
          <t>Carbon Content</t>
        </is>
      </c>
      <c r="BL2" s="1" t="inlineStr">
        <is>
          <t>Carbon Inputs</t>
        </is>
      </c>
      <c r="BP2" s="1" t="inlineStr">
        <is>
          <t>Carbon Outputs</t>
        </is>
      </c>
      <c r="BW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ethanol_production (MWh-ethanol/t-bio)</t>
        </is>
      </c>
      <c r="G3" s="2" t="inlineStr">
        <is>
          <t>natgas_consumption (MWh/t-bio)</t>
        </is>
      </c>
      <c r="H3" s="2" t="inlineStr">
        <is>
          <t>co2_biomass_content (t-CO2/t-bio)</t>
        </is>
      </c>
      <c r="I3" s="2" t="inlineStr">
        <is>
          <t>process_capture_rate (t-CO2/t-bio)</t>
        </is>
      </c>
      <c r="J3" s="2" t="inlineStr">
        <is>
          <t>process_emission_rate (t-CO2/t-bio)</t>
        </is>
      </c>
      <c r="K3" s="2" t="inlineStr">
        <is>
          <t>fuel_capture_rate (t-CO2/t-bio)</t>
        </is>
      </c>
      <c r="L3" s="2" t="inlineStr">
        <is>
          <t>fuel_emission_rate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ethanol_balance ($/MWh)</t>
        </is>
      </c>
      <c r="X3" s="14" t="inlineStr">
        <is>
          <t>ethanol_demand ($/MWh)</t>
        </is>
      </c>
      <c r="Y3" s="14" t="inlineStr">
        <is>
          <t>elec_demand ($/MWh)</t>
        </is>
      </c>
      <c r="Z3" s="14" t="inlineStr">
        <is>
          <t>h2_balance ($/MWh)</t>
        </is>
      </c>
      <c r="AA3" s="14" t="inlineStr">
        <is>
          <t>h2_demand ($/MWh)</t>
        </is>
      </c>
      <c r="AB3" s="14" t="inlineStr">
        <is>
          <t>gasoline_balance ($/MWh)</t>
        </is>
      </c>
      <c r="AC3" s="14" t="inlineStr">
        <is>
          <t>gasoline_demand ($/MWh)</t>
        </is>
      </c>
      <c r="AD3" s="14" t="inlineStr">
        <is>
          <t>diesel_balance ($/MWh)</t>
        </is>
      </c>
      <c r="AE3" s="14" t="inlineStr">
        <is>
          <t>diesel_demand ($/MWh)</t>
        </is>
      </c>
      <c r="AF3" s="14" t="inlineStr">
        <is>
          <t>jetfuel_balance ($/MWh)</t>
        </is>
      </c>
      <c r="AG3" s="14" t="inlineStr">
        <is>
          <t>jetfuel_demand ($/MWh)</t>
        </is>
      </c>
      <c r="AH3" s="14" t="inlineStr">
        <is>
          <t>ng_balance ($/MWh)</t>
        </is>
      </c>
      <c r="AI3" s="14" t="inlineStr">
        <is>
          <t>ng_demand ($/MWh)</t>
        </is>
      </c>
      <c r="AJ3" s="14" t="inlineStr">
        <is>
          <t>ethylene_balance ($/t)</t>
        </is>
      </c>
      <c r="AK3" s="14" t="inlineStr">
        <is>
          <t>ethylene_demand ($/t)</t>
        </is>
      </c>
      <c r="AM3" s="4" t="inlineStr">
        <is>
          <t>id_LC</t>
        </is>
      </c>
      <c r="AN3" s="4" t="inlineStr">
        <is>
          <t>commodity_LC</t>
        </is>
      </c>
      <c r="AO3" s="3" t="inlineStr">
        <is>
          <t>LCOE ($/MWh-ethanol)</t>
        </is>
      </c>
      <c r="AP3" s="6" t="inlineStr">
        <is>
          <t>LCOE ($/MWh-ethanol)</t>
        </is>
      </c>
      <c r="AQ3" s="3" t="inlineStr">
        <is>
          <t>LCOE ($/GJ-ethanol)</t>
        </is>
      </c>
      <c r="AR3" s="6" t="inlineStr">
        <is>
          <t>LCOE ($/GJ-ethanol)</t>
        </is>
      </c>
      <c r="AS3" s="7" t="inlineStr">
        <is>
          <t>Diff. Between Methods ($/MWh)</t>
        </is>
      </c>
      <c r="AT3" s="4" t="inlineStr">
        <is>
          <t>elec_production</t>
        </is>
      </c>
      <c r="AU3" s="4" t="inlineStr">
        <is>
          <t>elec_consumption</t>
        </is>
      </c>
      <c r="AV3" s="4" t="inlineStr">
        <is>
          <t>biomass_consumption</t>
        </is>
      </c>
      <c r="AW3" s="4" t="inlineStr">
        <is>
          <t>natgas_consumption</t>
        </is>
      </c>
      <c r="AX3" s="4" t="inlineStr">
        <is>
          <t>investment_cost</t>
        </is>
      </c>
      <c r="AY3" s="4" t="inlineStr">
        <is>
          <t>fixed_om_cost</t>
        </is>
      </c>
      <c r="AZ3" s="4" t="inlineStr">
        <is>
          <t>variable_om_cost</t>
        </is>
      </c>
      <c r="BA3" s="3" t="inlineStr">
        <is>
          <t>CI</t>
        </is>
      </c>
      <c r="BB3" s="3" t="inlineStr">
        <is>
          <t>modified capture cost</t>
        </is>
      </c>
      <c r="BC3" s="3" t="inlineStr">
        <is>
          <t>modified emissions cost</t>
        </is>
      </c>
      <c r="BD3" s="6" t="inlineStr">
        <is>
          <t>CI</t>
        </is>
      </c>
      <c r="BE3" s="6" t="inlineStr">
        <is>
          <t>modified capture cost</t>
        </is>
      </c>
      <c r="BF3" s="6" t="inlineStr">
        <is>
          <t>modified emissions cost</t>
        </is>
      </c>
      <c r="BH3" s="7" t="inlineStr">
        <is>
          <t>Biomass CO2 content (t-CO2/t-bio)</t>
        </is>
      </c>
      <c r="BI3" s="7" t="inlineStr">
        <is>
          <t>NG (t-CO2/MWh-NG)</t>
        </is>
      </c>
      <c r="BJ3" s="7" t="inlineStr">
        <is>
          <t>Ethanol (t-CO2/MWh-ethanol)</t>
        </is>
      </c>
      <c r="BL3" s="7" t="inlineStr">
        <is>
          <t>Biomass (t-CO2/MWh-ethanol)</t>
        </is>
      </c>
      <c r="BM3" s="7" t="inlineStr">
        <is>
          <t>NG (t-CO2/MWh-ethanol)</t>
        </is>
      </c>
      <c r="BN3" s="7" t="inlineStr">
        <is>
          <t>Total input (t-CO2/MWh-ethanol)</t>
        </is>
      </c>
      <c r="BP3" s="7" t="inlineStr">
        <is>
          <t>Ethanol (t-CO2/MWh-ethanol)</t>
        </is>
      </c>
      <c r="BQ3" s="7" t="inlineStr">
        <is>
          <t>Process Emissions (t-CO2/MWh-ethanol)</t>
        </is>
      </c>
      <c r="BR3" s="7" t="inlineStr">
        <is>
          <t>Fuel Emissions (t-CO2/MWh-ethanol)</t>
        </is>
      </c>
      <c r="BS3" s="7" t="inlineStr">
        <is>
          <t>Process Captured (t-CO2/MWh-ethanol)</t>
        </is>
      </c>
      <c r="BT3" s="7" t="inlineStr">
        <is>
          <t>Fuel Captured (t-CO2/MWh-ethanol)</t>
        </is>
      </c>
      <c r="BU3" s="7" t="inlineStr">
        <is>
          <t>Total Output (t-CO2/MWh-ethanol)</t>
        </is>
      </c>
      <c r="BW3" s="7" t="inlineStr">
        <is>
          <t>Carbon INPUT - OUTPUT</t>
        </is>
      </c>
    </row>
    <row r="4">
      <c r="B4" s="13" t="inlineStr">
        <is>
          <t>CEN_Bio_Ethanol_Herb</t>
        </is>
      </c>
      <c r="C4" s="12" t="inlineStr">
        <is>
          <t>Biomass_Herb</t>
        </is>
      </c>
      <c r="D4" s="12" t="n">
        <v>0.2142</v>
      </c>
      <c r="E4" s="12" t="n">
        <v>0</v>
      </c>
      <c r="F4" s="12" t="n">
        <v>1.9848</v>
      </c>
      <c r="G4" s="12" t="n">
        <v>0</v>
      </c>
      <c r="H4" s="12" t="n">
        <v>1.723</v>
      </c>
      <c r="I4" s="12" t="n">
        <v>0</v>
      </c>
      <c r="J4" s="12" t="n">
        <v>1.265760200513555</v>
      </c>
      <c r="K4" s="12" t="n">
        <v>0</v>
      </c>
      <c r="L4" s="12" t="n">
        <v>0</v>
      </c>
      <c r="M4" s="12" t="n">
        <v>273134.22</v>
      </c>
      <c r="N4" s="12" t="n">
        <v>144062.46</v>
      </c>
      <c r="O4" s="12" t="n">
        <v>0.45</v>
      </c>
      <c r="Q4" s="15" t="n">
        <v>0</v>
      </c>
      <c r="R4" s="15" t="n">
        <v>6.223991</v>
      </c>
      <c r="S4" s="15" t="n">
        <v>100</v>
      </c>
      <c r="T4" s="15" t="n">
        <v>72.30436899999999</v>
      </c>
      <c r="U4" s="15" t="n">
        <v>59.390495</v>
      </c>
      <c r="V4" s="15" t="n">
        <v>42.94088</v>
      </c>
      <c r="W4" s="16" t="n">
        <v>45.289647</v>
      </c>
      <c r="X4" s="16" t="n">
        <v>45.289647</v>
      </c>
      <c r="Y4" s="15" t="n">
        <v>22.958189</v>
      </c>
      <c r="Z4" s="15" t="n">
        <v>28.593352</v>
      </c>
      <c r="AA4" s="15" t="n"/>
      <c r="AB4" s="16" t="n">
        <v>51.059951</v>
      </c>
      <c r="AC4" s="16" t="n">
        <v>51.059951</v>
      </c>
      <c r="AD4" s="16" t="n">
        <v>107.876772</v>
      </c>
      <c r="AE4" s="16" t="n">
        <v>107.876772</v>
      </c>
      <c r="AF4" s="16" t="n">
        <v>96.945356</v>
      </c>
      <c r="AG4" s="16" t="n">
        <v>96.945356</v>
      </c>
      <c r="AH4" s="15" t="n">
        <v>14.066295</v>
      </c>
      <c r="AI4" s="15" t="n">
        <v>14.066295</v>
      </c>
      <c r="AJ4" s="15" t="n">
        <v>0</v>
      </c>
      <c r="AK4" s="15" t="n">
        <v>5000</v>
      </c>
      <c r="AM4" s="1">
        <f>B4</f>
        <v/>
      </c>
      <c r="AN4" s="1">
        <f>C4</f>
        <v/>
      </c>
      <c r="AO4" s="11">
        <f>SUM(AT4:AZ4)+BB4+BC4</f>
        <v/>
      </c>
      <c r="AP4" s="11">
        <f>SUM(AT4:AZ4)+BE4+BF4</f>
        <v/>
      </c>
      <c r="AQ4" s="11">
        <f>AO4/3.6</f>
        <v/>
      </c>
      <c r="AR4" s="11">
        <f>AP4/3.6</f>
        <v/>
      </c>
      <c r="AS4" s="5">
        <f>AO4-AP4</f>
        <v/>
      </c>
      <c r="AT4" s="1">
        <f>D4/F4*Y4*-1</f>
        <v/>
      </c>
      <c r="AU4" s="1">
        <f>E4/F4*Y4</f>
        <v/>
      </c>
      <c r="AV4" s="1">
        <f t="array" ref="AV4">_xlfn.IFS(C4="Biomass_Corn", 1/F4*S4, C4="Biomass_Agri", 1/F4*V4, C4="Biomass_Wood", 1/F4*U4, C4="Biomass_Herb", 1/F4*T4)</f>
        <v/>
      </c>
      <c r="AW4" s="1">
        <f>G4/F4*AH4</f>
        <v/>
      </c>
      <c r="AX4" s="1">
        <f>M4/F4/(0.9*8760)</f>
        <v/>
      </c>
      <c r="AY4" s="1">
        <f>N4/F4/(0.9*8760)</f>
        <v/>
      </c>
      <c r="AZ4" s="1">
        <f>O4/F4</f>
        <v/>
      </c>
      <c r="BA4" s="1">
        <f>BP4+BQ4+BS4-BL4+BR4+BT4</f>
        <v/>
      </c>
      <c r="BB4" s="1">
        <f>(Q4+R4)*-1*(I4+K4)/F4</f>
        <v/>
      </c>
      <c r="BC4" s="1">
        <f>BA4*Q4</f>
        <v/>
      </c>
      <c r="BD4" s="1">
        <f>SUM(BP4:BR4)-BL4</f>
        <v/>
      </c>
      <c r="BE4" s="1">
        <f>(I4+K4)/F4*-1*R4</f>
        <v/>
      </c>
      <c r="BF4" s="1">
        <f>BD4*Q4</f>
        <v/>
      </c>
      <c r="BH4" s="9">
        <f>H4</f>
        <v/>
      </c>
      <c r="BI4" s="10" t="n">
        <v>0.181048235160161</v>
      </c>
      <c r="BJ4" s="9" t="n">
        <v>0.23037491</v>
      </c>
      <c r="BL4" s="10">
        <f>BH4/F4</f>
        <v/>
      </c>
      <c r="BM4" s="10">
        <f>BI4*G4/F4</f>
        <v/>
      </c>
      <c r="BN4" s="10">
        <f>SUM(BL4:BM4)</f>
        <v/>
      </c>
      <c r="BP4" s="10">
        <f>BJ4</f>
        <v/>
      </c>
      <c r="BQ4" s="10">
        <f>J4/F4</f>
        <v/>
      </c>
      <c r="BR4" s="10">
        <f>L4/F4</f>
        <v/>
      </c>
      <c r="BS4" s="10">
        <f>I4/F4</f>
        <v/>
      </c>
      <c r="BT4" s="10">
        <f>K4/F4</f>
        <v/>
      </c>
      <c r="BU4" s="10">
        <f>SUM(BP4:BT4)</f>
        <v/>
      </c>
      <c r="BW4" s="1">
        <f>BN4-BU4</f>
        <v/>
      </c>
    </row>
    <row r="5">
      <c r="B5" s="13" t="inlineStr">
        <is>
          <t>MIDAT_Bio_Ethanol_Herb</t>
        </is>
      </c>
      <c r="C5" s="12" t="inlineStr">
        <is>
          <t>Biomass_Herb</t>
        </is>
      </c>
      <c r="D5" s="12" t="n">
        <v>0.215</v>
      </c>
      <c r="E5" s="12" t="n">
        <v>0</v>
      </c>
      <c r="F5" s="12" t="n">
        <v>1.9924</v>
      </c>
      <c r="G5" s="12" t="n">
        <v>0</v>
      </c>
      <c r="H5" s="12" t="n">
        <v>1.736</v>
      </c>
      <c r="I5" s="12" t="n">
        <v>0</v>
      </c>
      <c r="J5" s="12" t="n">
        <v>1.277004479945039</v>
      </c>
      <c r="K5" s="12" t="n">
        <v>0</v>
      </c>
      <c r="L5" s="12" t="n">
        <v>0</v>
      </c>
      <c r="M5" s="12" t="n">
        <v>273134.22</v>
      </c>
      <c r="N5" s="12" t="n">
        <v>144062.46</v>
      </c>
      <c r="O5" s="12" t="n">
        <v>0.45</v>
      </c>
      <c r="Q5" s="15" t="n">
        <v>0</v>
      </c>
      <c r="R5" s="15" t="n">
        <v>-14.741173</v>
      </c>
      <c r="S5" s="15" t="n">
        <v>100</v>
      </c>
      <c r="T5" s="15" t="n">
        <v>69.370717</v>
      </c>
      <c r="U5" s="15" t="n">
        <v>45.972292</v>
      </c>
      <c r="V5" s="15" t="n">
        <v>42.940257</v>
      </c>
      <c r="W5" s="16" t="n">
        <v>45.289647</v>
      </c>
      <c r="X5" s="16" t="n">
        <v>45.289647</v>
      </c>
      <c r="Y5" s="15" t="n">
        <v>35.672332</v>
      </c>
      <c r="Z5" s="15" t="n">
        <v>37.202448</v>
      </c>
      <c r="AA5" s="15" t="n"/>
      <c r="AB5" s="16" t="n">
        <v>51.059951</v>
      </c>
      <c r="AC5" s="16" t="n">
        <v>51.059951</v>
      </c>
      <c r="AD5" s="16" t="n">
        <v>107.876772</v>
      </c>
      <c r="AE5" s="16" t="n">
        <v>107.876772</v>
      </c>
      <c r="AF5" s="16" t="n">
        <v>96.945356</v>
      </c>
      <c r="AG5" s="16" t="n">
        <v>96.945356</v>
      </c>
      <c r="AH5" s="15" t="n">
        <v>15.046822</v>
      </c>
      <c r="AI5" s="15" t="n">
        <v>15.046822</v>
      </c>
      <c r="AJ5" s="15" t="n">
        <v>0</v>
      </c>
      <c r="AK5" s="15" t="n">
        <v>5000</v>
      </c>
      <c r="AM5" s="1">
        <f>B5</f>
        <v/>
      </c>
      <c r="AN5" s="1">
        <f>C5</f>
        <v/>
      </c>
      <c r="AO5" s="11">
        <f>SUM(AT5:AZ5)+BB5+BC5</f>
        <v/>
      </c>
      <c r="AP5" s="11">
        <f>SUM(AT5:AZ5)+BE5+BF5</f>
        <v/>
      </c>
      <c r="AQ5" s="11">
        <f>AO5/3.6</f>
        <v/>
      </c>
      <c r="AR5" s="11">
        <f>AP5/3.6</f>
        <v/>
      </c>
      <c r="AS5" s="5">
        <f>AO5-AP5</f>
        <v/>
      </c>
      <c r="AT5" s="1">
        <f>D5/F5*Y5*-1</f>
        <v/>
      </c>
      <c r="AU5" s="1">
        <f>E5/F5*Y5</f>
        <v/>
      </c>
      <c r="AV5" s="1">
        <f t="array" ref="AV5">_xlfn.IFS(C5="Biomass_Corn", 1/F5*S5, C5="Biomass_Agri", 1/F5*V5, C5="Biomass_Wood", 1/F5*U5, C5="Biomass_Herb", 1/F5*T5)</f>
        <v/>
      </c>
      <c r="AW5" s="1">
        <f>G5/F5*AH5</f>
        <v/>
      </c>
      <c r="AX5" s="1">
        <f>M5/F5/(0.9*8760)</f>
        <v/>
      </c>
      <c r="AY5" s="1">
        <f>N5/F5/(0.9*8760)</f>
        <v/>
      </c>
      <c r="AZ5" s="1">
        <f>O5/F5</f>
        <v/>
      </c>
      <c r="BA5" s="1">
        <f>BP5+BQ5+BS5-BL5+BR5+BT5</f>
        <v/>
      </c>
      <c r="BB5" s="1">
        <f>(Q5+R5)*-1*(I5+K5)/F5</f>
        <v/>
      </c>
      <c r="BC5" s="1">
        <f>BA5*Q5</f>
        <v/>
      </c>
      <c r="BD5" s="1">
        <f>SUM(BP5:BR5)-BL5</f>
        <v/>
      </c>
      <c r="BE5" s="1">
        <f>(I5+K5)/F5*-1*R5</f>
        <v/>
      </c>
      <c r="BF5" s="1">
        <f>BD5*Q5</f>
        <v/>
      </c>
      <c r="BH5" s="9">
        <f>H5</f>
        <v/>
      </c>
      <c r="BI5" s="10" t="n">
        <v>0.181048235160161</v>
      </c>
      <c r="BJ5" s="9" t="n">
        <v>0.23037491</v>
      </c>
      <c r="BL5" s="10">
        <f>BH5/F5</f>
        <v/>
      </c>
      <c r="BM5" s="10">
        <f>BI5*G5/F5</f>
        <v/>
      </c>
      <c r="BN5" s="10">
        <f>SUM(BL5:BM5)</f>
        <v/>
      </c>
      <c r="BP5" s="10">
        <f>BJ5</f>
        <v/>
      </c>
      <c r="BQ5" s="10">
        <f>J5/F5</f>
        <v/>
      </c>
      <c r="BR5" s="10">
        <f>L5/F5</f>
        <v/>
      </c>
      <c r="BS5" s="10">
        <f>I5/F5</f>
        <v/>
      </c>
      <c r="BT5" s="10">
        <f>K5/F5</f>
        <v/>
      </c>
      <c r="BU5" s="10">
        <f>SUM(BP5:BT5)</f>
        <v/>
      </c>
      <c r="BW5" s="1">
        <f>BN5-BU5</f>
        <v/>
      </c>
    </row>
    <row r="6">
      <c r="B6" s="13" t="inlineStr">
        <is>
          <t>NCEN_Bio_Ethanol_Herb</t>
        </is>
      </c>
      <c r="C6" s="12" t="inlineStr">
        <is>
          <t>Biomass_Herb</t>
        </is>
      </c>
      <c r="D6" s="12" t="n">
        <v>0.2155</v>
      </c>
      <c r="E6" s="12" t="n">
        <v>0</v>
      </c>
      <c r="F6" s="12" t="n">
        <v>1.9967</v>
      </c>
      <c r="G6" s="12" t="n">
        <v>0</v>
      </c>
      <c r="H6" s="12" t="n">
        <v>1.74</v>
      </c>
      <c r="I6" s="12" t="n">
        <v>0</v>
      </c>
      <c r="J6" s="12" t="n">
        <v>1.280001211048744</v>
      </c>
      <c r="K6" s="12" t="n">
        <v>0</v>
      </c>
      <c r="L6" s="12" t="n">
        <v>0</v>
      </c>
      <c r="M6" s="12" t="n">
        <v>273134.22</v>
      </c>
      <c r="N6" s="12" t="n">
        <v>144062.46</v>
      </c>
      <c r="O6" s="12" t="n">
        <v>0.45</v>
      </c>
      <c r="Q6" s="15" t="n">
        <v>0</v>
      </c>
      <c r="R6" s="15" t="n">
        <v>-0.911528</v>
      </c>
      <c r="S6" s="15" t="n">
        <v>100</v>
      </c>
      <c r="T6" s="15" t="n">
        <v>69.911137</v>
      </c>
      <c r="U6" s="15" t="n">
        <v>44.79442</v>
      </c>
      <c r="V6" s="15" t="n">
        <v>43.323942</v>
      </c>
      <c r="W6" s="16" t="n">
        <v>45.289647</v>
      </c>
      <c r="X6" s="16" t="n">
        <v>45.289647</v>
      </c>
      <c r="Y6" s="15" t="n">
        <v>29.249237</v>
      </c>
      <c r="Z6" s="15" t="n">
        <v>34.631601</v>
      </c>
      <c r="AA6" s="15" t="n"/>
      <c r="AB6" s="16" t="n">
        <v>51.059951</v>
      </c>
      <c r="AC6" s="16" t="n">
        <v>51.059951</v>
      </c>
      <c r="AD6" s="16" t="n">
        <v>107.876772</v>
      </c>
      <c r="AE6" s="16" t="n">
        <v>107.876772</v>
      </c>
      <c r="AF6" s="16" t="n">
        <v>96.945356</v>
      </c>
      <c r="AG6" s="16" t="n">
        <v>96.945356</v>
      </c>
      <c r="AH6" s="15" t="n">
        <v>14.089942</v>
      </c>
      <c r="AI6" s="15" t="n">
        <v>14.089942</v>
      </c>
      <c r="AJ6" s="15" t="n">
        <v>0</v>
      </c>
      <c r="AK6" s="15" t="n">
        <v>5000</v>
      </c>
      <c r="AM6" s="1">
        <f>B6</f>
        <v/>
      </c>
      <c r="AN6" s="1">
        <f>C6</f>
        <v/>
      </c>
      <c r="AO6" s="11">
        <f>SUM(AT6:AZ6)+BB6+BC6</f>
        <v/>
      </c>
      <c r="AP6" s="11">
        <f>SUM(AT6:AZ6)+BE6+BF6</f>
        <v/>
      </c>
      <c r="AQ6" s="11">
        <f>AO6/3.6</f>
        <v/>
      </c>
      <c r="AR6" s="11">
        <f>AP6/3.6</f>
        <v/>
      </c>
      <c r="AS6" s="5">
        <f>AO6-AP6</f>
        <v/>
      </c>
      <c r="AT6" s="1">
        <f>D6/F6*Y6*-1</f>
        <v/>
      </c>
      <c r="AU6" s="1">
        <f>E6/F6*Y6</f>
        <v/>
      </c>
      <c r="AV6" s="1">
        <f t="array" ref="AV6">_xlfn.IFS(C6="Biomass_Corn", 1/F6*S6, C6="Biomass_Agri", 1/F6*V6, C6="Biomass_Wood", 1/F6*U6, C6="Biomass_Herb", 1/F6*T6)</f>
        <v/>
      </c>
      <c r="AW6" s="1">
        <f>G6/F6*AH6</f>
        <v/>
      </c>
      <c r="AX6" s="1">
        <f>M6/F6/(0.9*8760)</f>
        <v/>
      </c>
      <c r="AY6" s="1">
        <f>N6/F6/(0.9*8760)</f>
        <v/>
      </c>
      <c r="AZ6" s="1">
        <f>O6/F6</f>
        <v/>
      </c>
      <c r="BA6" s="1">
        <f>BP6+BQ6+BS6-BL6+BR6+BT6</f>
        <v/>
      </c>
      <c r="BB6" s="1">
        <f>(Q6+R6)*-1*(I6+K6)/F6</f>
        <v/>
      </c>
      <c r="BC6" s="1">
        <f>BA6*Q6</f>
        <v/>
      </c>
      <c r="BD6" s="1">
        <f>SUM(BP6:BR6)-BL6</f>
        <v/>
      </c>
      <c r="BE6" s="1">
        <f>(I6+K6)/F6*-1*R6</f>
        <v/>
      </c>
      <c r="BF6" s="1">
        <f>BD6*Q6</f>
        <v/>
      </c>
      <c r="BH6" s="9">
        <f>H6</f>
        <v/>
      </c>
      <c r="BI6" s="10" t="n">
        <v>0.181048235160161</v>
      </c>
      <c r="BJ6" s="9" t="n">
        <v>0.23037491</v>
      </c>
      <c r="BL6" s="10">
        <f>BH6/F6</f>
        <v/>
      </c>
      <c r="BM6" s="10">
        <f>BI6*G6/F6</f>
        <v/>
      </c>
      <c r="BN6" s="10">
        <f>SUM(BL6:BM6)</f>
        <v/>
      </c>
      <c r="BP6" s="10">
        <f>BJ6</f>
        <v/>
      </c>
      <c r="BQ6" s="10">
        <f>J6/F6</f>
        <v/>
      </c>
      <c r="BR6" s="10">
        <f>L6/F6</f>
        <v/>
      </c>
      <c r="BS6" s="10">
        <f>I6/F6</f>
        <v/>
      </c>
      <c r="BT6" s="10">
        <f>K6/F6</f>
        <v/>
      </c>
      <c r="BU6" s="10">
        <f>SUM(BP6:BT6)</f>
        <v/>
      </c>
      <c r="BW6" s="1">
        <f>BN6-BU6</f>
        <v/>
      </c>
    </row>
    <row r="7">
      <c r="B7" s="13" t="inlineStr">
        <is>
          <t>SE_Bio_Ethanol_Herb</t>
        </is>
      </c>
      <c r="C7" s="12" t="inlineStr">
        <is>
          <t>Biomass_Herb</t>
        </is>
      </c>
      <c r="D7" s="12" t="n">
        <v>0.2138</v>
      </c>
      <c r="E7" s="12" t="n">
        <v>0</v>
      </c>
      <c r="F7" s="12" t="n">
        <v>1.9815</v>
      </c>
      <c r="G7" s="12" t="n">
        <v>0</v>
      </c>
      <c r="H7" s="12" t="n">
        <v>1.717</v>
      </c>
      <c r="I7" s="12" t="n">
        <v>0</v>
      </c>
      <c r="J7" s="12" t="n">
        <v>1.260512652185777</v>
      </c>
      <c r="K7" s="12" t="n">
        <v>0</v>
      </c>
      <c r="L7" s="12" t="n">
        <v>0</v>
      </c>
      <c r="M7" s="12" t="n">
        <v>273134.22</v>
      </c>
      <c r="N7" s="12" t="n">
        <v>144062.46</v>
      </c>
      <c r="O7" s="12" t="n">
        <v>0.45</v>
      </c>
      <c r="Q7" s="15" t="n">
        <v>0</v>
      </c>
      <c r="R7" s="15" t="n">
        <v>-5.914702</v>
      </c>
      <c r="S7" s="15" t="n">
        <v>100</v>
      </c>
      <c r="T7" s="15" t="n">
        <v>69.166622</v>
      </c>
      <c r="U7" s="15" t="n">
        <v>46.05675</v>
      </c>
      <c r="V7" s="15" t="n">
        <v>41.170372</v>
      </c>
      <c r="W7" s="16" t="n">
        <v>45.289647</v>
      </c>
      <c r="X7" s="16" t="n">
        <v>45.289647</v>
      </c>
      <c r="Y7" s="15" t="n">
        <v>33.298446</v>
      </c>
      <c r="Z7" s="15" t="n">
        <v>36.471022</v>
      </c>
      <c r="AA7" s="15" t="n"/>
      <c r="AB7" s="16" t="n">
        <v>51.059951</v>
      </c>
      <c r="AC7" s="16" t="n">
        <v>51.059951</v>
      </c>
      <c r="AD7" s="16" t="n">
        <v>107.876772</v>
      </c>
      <c r="AE7" s="16" t="n">
        <v>107.876772</v>
      </c>
      <c r="AF7" s="16" t="n">
        <v>96.945356</v>
      </c>
      <c r="AG7" s="16" t="n">
        <v>96.945356</v>
      </c>
      <c r="AH7" s="15" t="n">
        <v>14.089638</v>
      </c>
      <c r="AI7" s="15" t="n">
        <v>14.089638</v>
      </c>
      <c r="AJ7" s="15" t="n">
        <v>0</v>
      </c>
      <c r="AK7" s="15" t="n">
        <v>5000</v>
      </c>
      <c r="AM7" s="1">
        <f>B7</f>
        <v/>
      </c>
      <c r="AN7" s="1">
        <f>C7</f>
        <v/>
      </c>
      <c r="AO7" s="11">
        <f>SUM(AT7:AZ7)+BB7+BC7</f>
        <v/>
      </c>
      <c r="AP7" s="11">
        <f>SUM(AT7:AZ7)+BE7+BF7</f>
        <v/>
      </c>
      <c r="AQ7" s="11">
        <f>AO7/3.6</f>
        <v/>
      </c>
      <c r="AR7" s="11">
        <f>AP7/3.6</f>
        <v/>
      </c>
      <c r="AS7" s="5">
        <f>AO7-AP7</f>
        <v/>
      </c>
      <c r="AT7" s="1">
        <f>D7/F7*Y7*-1</f>
        <v/>
      </c>
      <c r="AU7" s="1">
        <f>E7/F7*Y7</f>
        <v/>
      </c>
      <c r="AV7" s="1">
        <f t="array" ref="AV7">_xlfn.IFS(C7="Biomass_Corn", 1/F7*S7, C7="Biomass_Agri", 1/F7*V7, C7="Biomass_Wood", 1/F7*U7, C7="Biomass_Herb", 1/F7*T7)</f>
        <v/>
      </c>
      <c r="AW7" s="1">
        <f>G7/F7*AH7</f>
        <v/>
      </c>
      <c r="AX7" s="1">
        <f>M7/F7/(0.9*8760)</f>
        <v/>
      </c>
      <c r="AY7" s="1">
        <f>N7/F7/(0.9*8760)</f>
        <v/>
      </c>
      <c r="AZ7" s="1">
        <f>O7/F7</f>
        <v/>
      </c>
      <c r="BA7" s="1">
        <f>BP7+BQ7+BS7-BL7+BR7+BT7</f>
        <v/>
      </c>
      <c r="BB7" s="1">
        <f>(Q7+R7)*-1*(I7+K7)/F7</f>
        <v/>
      </c>
      <c r="BC7" s="1">
        <f>BA7*Q7</f>
        <v/>
      </c>
      <c r="BD7" s="1">
        <f>SUM(BP7:BR7)-BL7</f>
        <v/>
      </c>
      <c r="BE7" s="1">
        <f>(I7+K7)/F7*-1*R7</f>
        <v/>
      </c>
      <c r="BF7" s="1">
        <f>BD7*Q7</f>
        <v/>
      </c>
      <c r="BH7" s="9">
        <f>H7</f>
        <v/>
      </c>
      <c r="BI7" s="10" t="n">
        <v>0.181048235160161</v>
      </c>
      <c r="BJ7" s="9" t="n">
        <v>0.23037491</v>
      </c>
      <c r="BL7" s="10">
        <f>BH7/F7</f>
        <v/>
      </c>
      <c r="BM7" s="10">
        <f>BI7*G7/F7</f>
        <v/>
      </c>
      <c r="BN7" s="10">
        <f>SUM(BL7:BM7)</f>
        <v/>
      </c>
      <c r="BP7" s="10">
        <f>BJ7</f>
        <v/>
      </c>
      <c r="BQ7" s="10">
        <f>J7/F7</f>
        <v/>
      </c>
      <c r="BR7" s="10">
        <f>L7/F7</f>
        <v/>
      </c>
      <c r="BS7" s="10">
        <f>I7/F7</f>
        <v/>
      </c>
      <c r="BT7" s="10">
        <f>K7/F7</f>
        <v/>
      </c>
      <c r="BU7" s="10">
        <f>SUM(BP7:BT7)</f>
        <v/>
      </c>
      <c r="BW7" s="1">
        <f>BN7-BU7</f>
        <v/>
      </c>
    </row>
    <row r="8">
      <c r="B8" s="13" t="inlineStr">
        <is>
          <t>TX_Bio_Ethanol_Herb</t>
        </is>
      </c>
      <c r="C8" s="12" t="inlineStr">
        <is>
          <t>Biomass_Herb</t>
        </is>
      </c>
      <c r="D8" s="12" t="n">
        <v>0.2132</v>
      </c>
      <c r="E8" s="12" t="n">
        <v>0</v>
      </c>
      <c r="F8" s="12" t="n">
        <v>1.9761</v>
      </c>
      <c r="G8" s="12" t="n">
        <v>0</v>
      </c>
      <c r="H8" s="12" t="n">
        <v>1.714</v>
      </c>
      <c r="I8" s="12" t="n">
        <v>0</v>
      </c>
      <c r="J8" s="12" t="n">
        <v>1.258766738306145</v>
      </c>
      <c r="K8" s="12" t="n">
        <v>0</v>
      </c>
      <c r="L8" s="12" t="n">
        <v>0</v>
      </c>
      <c r="M8" s="12" t="n">
        <v>273134.22</v>
      </c>
      <c r="N8" s="12" t="n">
        <v>144062.46</v>
      </c>
      <c r="O8" s="12" t="n">
        <v>0.45</v>
      </c>
      <c r="Q8" s="15" t="n">
        <v>0</v>
      </c>
      <c r="R8" s="15" t="n">
        <v>14.732097</v>
      </c>
      <c r="S8" s="15" t="n">
        <v>100</v>
      </c>
      <c r="T8" s="15" t="n">
        <v>73.00646</v>
      </c>
      <c r="U8" s="15" t="n">
        <v>69.643664</v>
      </c>
      <c r="V8" s="15" t="n">
        <v>43.030303</v>
      </c>
      <c r="W8" s="16" t="n">
        <v>45.289647</v>
      </c>
      <c r="X8" s="16" t="n">
        <v>45.289647</v>
      </c>
      <c r="Y8" s="15" t="n">
        <v>19.019146</v>
      </c>
      <c r="Z8" s="15" t="n">
        <v>23.790747</v>
      </c>
      <c r="AA8" s="15" t="n"/>
      <c r="AB8" s="16" t="n">
        <v>51.059951</v>
      </c>
      <c r="AC8" s="16" t="n">
        <v>51.059951</v>
      </c>
      <c r="AD8" s="16" t="n">
        <v>107.876772</v>
      </c>
      <c r="AE8" s="16" t="n">
        <v>107.876772</v>
      </c>
      <c r="AF8" s="16" t="n">
        <v>96.945356</v>
      </c>
      <c r="AG8" s="16" t="n">
        <v>96.945356</v>
      </c>
      <c r="AH8" s="15" t="n">
        <v>13.326077</v>
      </c>
      <c r="AI8" s="15" t="n">
        <v>13.326077</v>
      </c>
      <c r="AJ8" s="15" t="n">
        <v>0</v>
      </c>
      <c r="AK8" s="15" t="n">
        <v>5000</v>
      </c>
      <c r="AM8" s="1">
        <f>B8</f>
        <v/>
      </c>
      <c r="AN8" s="1">
        <f>C8</f>
        <v/>
      </c>
      <c r="AO8" s="11">
        <f>SUM(AT8:AZ8)+BB8+BC8</f>
        <v/>
      </c>
      <c r="AP8" s="11">
        <f>SUM(AT8:AZ8)+BE8+BF8</f>
        <v/>
      </c>
      <c r="AQ8" s="11">
        <f>AO8/3.6</f>
        <v/>
      </c>
      <c r="AR8" s="11">
        <f>AP8/3.6</f>
        <v/>
      </c>
      <c r="AS8" s="5">
        <f>AO8-AP8</f>
        <v/>
      </c>
      <c r="AT8" s="1">
        <f>D8/F8*Y8*-1</f>
        <v/>
      </c>
      <c r="AU8" s="1">
        <f>E8/F8*Y8</f>
        <v/>
      </c>
      <c r="AV8" s="1">
        <f t="array" ref="AV8">_xlfn.IFS(C8="Biomass_Corn", 1/F8*S8, C8="Biomass_Agri", 1/F8*V8, C8="Biomass_Wood", 1/F8*U8, C8="Biomass_Herb", 1/F8*T8)</f>
        <v/>
      </c>
      <c r="AW8" s="1">
        <f>G8/F8*AH8</f>
        <v/>
      </c>
      <c r="AX8" s="1">
        <f>M8/F8/(0.9*8760)</f>
        <v/>
      </c>
      <c r="AY8" s="1">
        <f>N8/F8/(0.9*8760)</f>
        <v/>
      </c>
      <c r="AZ8" s="1">
        <f>O8/F8</f>
        <v/>
      </c>
      <c r="BA8" s="1">
        <f>BP8+BQ8+BS8-BL8+BR8+BT8</f>
        <v/>
      </c>
      <c r="BB8" s="1">
        <f>(Q8+R8)*-1*(I8+K8)/F8</f>
        <v/>
      </c>
      <c r="BC8" s="1">
        <f>BA8*Q8</f>
        <v/>
      </c>
      <c r="BD8" s="1">
        <f>SUM(BP8:BR8)-BL8</f>
        <v/>
      </c>
      <c r="BE8" s="1">
        <f>(I8+K8)/F8*-1*R8</f>
        <v/>
      </c>
      <c r="BF8" s="1">
        <f>BD8*Q8</f>
        <v/>
      </c>
      <c r="BH8" s="9">
        <f>H8</f>
        <v/>
      </c>
      <c r="BI8" s="10" t="n">
        <v>0.181048235160161</v>
      </c>
      <c r="BJ8" s="9" t="n">
        <v>0.23037491</v>
      </c>
      <c r="BL8" s="10">
        <f>BH8/F8</f>
        <v/>
      </c>
      <c r="BM8" s="10">
        <f>BI8*G8/F8</f>
        <v/>
      </c>
      <c r="BN8" s="10">
        <f>SUM(BL8:BM8)</f>
        <v/>
      </c>
      <c r="BP8" s="10">
        <f>BJ8</f>
        <v/>
      </c>
      <c r="BQ8" s="10">
        <f>J8/F8</f>
        <v/>
      </c>
      <c r="BR8" s="10">
        <f>L8/F8</f>
        <v/>
      </c>
      <c r="BS8" s="10">
        <f>I8/F8</f>
        <v/>
      </c>
      <c r="BT8" s="10">
        <f>K8/F8</f>
        <v/>
      </c>
      <c r="BU8" s="10">
        <f>SUM(BP8:BT8)</f>
        <v/>
      </c>
      <c r="BW8" s="1">
        <f>BN8-BU8</f>
        <v/>
      </c>
    </row>
    <row r="9" ht="17" customHeight="1">
      <c r="B9" s="13" t="inlineStr">
        <is>
          <t>CEN_Bio_Ethanol_Wood</t>
        </is>
      </c>
      <c r="C9" s="12" t="inlineStr">
        <is>
          <t>Biomass_Wood</t>
        </is>
      </c>
      <c r="D9" s="12" t="n">
        <v>0.2241</v>
      </c>
      <c r="E9" s="12" t="n">
        <v>0</v>
      </c>
      <c r="F9" s="12" t="n">
        <v>2.0762</v>
      </c>
      <c r="G9" s="12" t="n">
        <v>0</v>
      </c>
      <c r="H9" s="12" t="n">
        <v>1.802</v>
      </c>
      <c r="I9" s="12" t="n">
        <v>0</v>
      </c>
      <c r="J9" s="12" t="n">
        <v>1.32369155369136</v>
      </c>
      <c r="K9" s="12" t="n">
        <v>0</v>
      </c>
      <c r="L9" s="12" t="n">
        <v>0</v>
      </c>
      <c r="M9" s="12" t="n">
        <v>273134.22</v>
      </c>
      <c r="N9" s="12" t="n">
        <v>144062.46</v>
      </c>
      <c r="O9" s="12" t="n">
        <v>0.45</v>
      </c>
      <c r="Q9" s="15" t="n">
        <v>0</v>
      </c>
      <c r="R9" s="15" t="n">
        <v>6.223991</v>
      </c>
      <c r="S9" s="15" t="n">
        <v>100</v>
      </c>
      <c r="T9" s="15" t="n">
        <v>72.30436899999999</v>
      </c>
      <c r="U9" s="15" t="n">
        <v>59.390495</v>
      </c>
      <c r="V9" s="15" t="n">
        <v>42.94088</v>
      </c>
      <c r="W9" s="16" t="n">
        <v>45.289647</v>
      </c>
      <c r="X9" s="16" t="n">
        <v>45.289647</v>
      </c>
      <c r="Y9" s="15" t="n">
        <v>22.958189</v>
      </c>
      <c r="Z9" s="15" t="n">
        <v>28.593352</v>
      </c>
      <c r="AA9" s="15" t="n"/>
      <c r="AB9" s="16" t="n">
        <v>51.059951</v>
      </c>
      <c r="AC9" s="16" t="n">
        <v>51.059951</v>
      </c>
      <c r="AD9" s="16" t="n">
        <v>107.876772</v>
      </c>
      <c r="AE9" s="16" t="n">
        <v>107.876772</v>
      </c>
      <c r="AF9" s="16" t="n">
        <v>96.945356</v>
      </c>
      <c r="AG9" s="16" t="n">
        <v>96.945356</v>
      </c>
      <c r="AH9" s="15" t="n">
        <v>14.066295</v>
      </c>
      <c r="AI9" s="15" t="n">
        <v>14.066295</v>
      </c>
      <c r="AJ9" s="15" t="n">
        <v>0</v>
      </c>
      <c r="AK9" s="15" t="n">
        <v>5000</v>
      </c>
      <c r="AM9" s="1">
        <f>B9</f>
        <v/>
      </c>
      <c r="AN9" s="1">
        <f>C9</f>
        <v/>
      </c>
      <c r="AO9" s="11">
        <f>SUM(AT9:AZ9)+BB9+BC9</f>
        <v/>
      </c>
      <c r="AP9" s="11">
        <f>SUM(AT9:AZ9)+BE9+BF9</f>
        <v/>
      </c>
      <c r="AQ9" s="11">
        <f>AO9/3.6</f>
        <v/>
      </c>
      <c r="AR9" s="11">
        <f>AP9/3.6</f>
        <v/>
      </c>
      <c r="AS9" s="5">
        <f>AO9-AP9</f>
        <v/>
      </c>
      <c r="AT9" s="1">
        <f>D9/F9*Y9*-1</f>
        <v/>
      </c>
      <c r="AU9" s="1">
        <f>E9/F9*Y9</f>
        <v/>
      </c>
      <c r="AV9" s="1">
        <f t="array" ref="AV9">_xlfn.IFS(C9="Biomass_Corn", 1/F9*S9, C9="Biomass_Agri", 1/F9*V9, C9="Biomass_Wood", 1/F9*U9, C9="Biomass_Herb", 1/F9*T9)</f>
        <v/>
      </c>
      <c r="AW9" s="1">
        <f>G9/F9*AH9</f>
        <v/>
      </c>
      <c r="AX9" s="1">
        <f>M9/F9/(0.9*8760)</f>
        <v/>
      </c>
      <c r="AY9" s="1">
        <f>N9/F9/(0.9*8760)</f>
        <v/>
      </c>
      <c r="AZ9" s="1">
        <f>O9/F9</f>
        <v/>
      </c>
      <c r="BA9" s="1">
        <f>BP9+BQ9+BS9-BL9+BR9+BT9</f>
        <v/>
      </c>
      <c r="BB9" s="1">
        <f>(Q9+R9)*-1*(I9+K9)/F9</f>
        <v/>
      </c>
      <c r="BC9" s="1">
        <f>BA9*Q9</f>
        <v/>
      </c>
      <c r="BD9" s="1">
        <f>SUM(BP9:BR9)-BL9</f>
        <v/>
      </c>
      <c r="BE9" s="1">
        <f>(I9+K9)/F9*-1*R9</f>
        <v/>
      </c>
      <c r="BF9" s="1">
        <f>BD9*Q9</f>
        <v/>
      </c>
      <c r="BH9" s="9">
        <f>H9</f>
        <v/>
      </c>
      <c r="BI9" s="10" t="n">
        <v>0.181048235160161</v>
      </c>
      <c r="BJ9" s="9" t="n">
        <v>0.23037491</v>
      </c>
      <c r="BL9" s="10">
        <f>BH9/F9</f>
        <v/>
      </c>
      <c r="BM9" s="10">
        <f>BI9*G9/F9</f>
        <v/>
      </c>
      <c r="BN9" s="10">
        <f>SUM(BL9:BM9)</f>
        <v/>
      </c>
      <c r="BP9" s="10">
        <f>BJ9</f>
        <v/>
      </c>
      <c r="BQ9" s="10">
        <f>J9/F9</f>
        <v/>
      </c>
      <c r="BR9" s="10">
        <f>L9/F9</f>
        <v/>
      </c>
      <c r="BS9" s="10">
        <f>I9/F9</f>
        <v/>
      </c>
      <c r="BT9" s="10">
        <f>K9/F9</f>
        <v/>
      </c>
      <c r="BU9" s="10">
        <f>SUM(BP9:BT9)</f>
        <v/>
      </c>
      <c r="BW9" s="1">
        <f>BN9-BU9</f>
        <v/>
      </c>
    </row>
    <row r="10">
      <c r="B10" s="13" t="inlineStr">
        <is>
          <t>MIDAT_Bio_Ethanol_Wood</t>
        </is>
      </c>
      <c r="C10" s="12" t="inlineStr">
        <is>
          <t>Biomass_Wood</t>
        </is>
      </c>
      <c r="D10" s="12" t="n">
        <v>0.2233</v>
      </c>
      <c r="E10" s="12" t="n">
        <v>0</v>
      </c>
      <c r="F10" s="12" t="n">
        <v>2.0697</v>
      </c>
      <c r="G10" s="12" t="n">
        <v>0</v>
      </c>
      <c r="H10" s="12" t="n">
        <v>1.806</v>
      </c>
      <c r="I10" s="12" t="n">
        <v>0</v>
      </c>
      <c r="J10" s="12" t="n">
        <v>1.329196457035803</v>
      </c>
      <c r="K10" s="12" t="n">
        <v>0</v>
      </c>
      <c r="L10" s="12" t="n">
        <v>0</v>
      </c>
      <c r="M10" s="12" t="n">
        <v>273134.22</v>
      </c>
      <c r="N10" s="12" t="n">
        <v>144062.46</v>
      </c>
      <c r="O10" s="12" t="n">
        <v>0.45</v>
      </c>
      <c r="Q10" s="15" t="n">
        <v>0</v>
      </c>
      <c r="R10" s="15" t="n">
        <v>-14.741173</v>
      </c>
      <c r="S10" s="15" t="n">
        <v>100</v>
      </c>
      <c r="T10" s="15" t="n">
        <v>69.370717</v>
      </c>
      <c r="U10" s="15" t="n">
        <v>45.972292</v>
      </c>
      <c r="V10" s="15" t="n">
        <v>42.940257</v>
      </c>
      <c r="W10" s="16" t="n">
        <v>45.289647</v>
      </c>
      <c r="X10" s="16" t="n">
        <v>45.289647</v>
      </c>
      <c r="Y10" s="15" t="n">
        <v>35.672332</v>
      </c>
      <c r="Z10" s="15" t="n">
        <v>37.202448</v>
      </c>
      <c r="AA10" s="15" t="n"/>
      <c r="AB10" s="16" t="n">
        <v>51.059951</v>
      </c>
      <c r="AC10" s="16" t="n">
        <v>51.059951</v>
      </c>
      <c r="AD10" s="16" t="n">
        <v>107.876772</v>
      </c>
      <c r="AE10" s="16" t="n">
        <v>107.876772</v>
      </c>
      <c r="AF10" s="16" t="n">
        <v>96.945356</v>
      </c>
      <c r="AG10" s="16" t="n">
        <v>96.945356</v>
      </c>
      <c r="AH10" s="15" t="n">
        <v>15.046822</v>
      </c>
      <c r="AI10" s="15" t="n">
        <v>15.046822</v>
      </c>
      <c r="AJ10" s="15" t="n">
        <v>0</v>
      </c>
      <c r="AK10" s="15" t="n">
        <v>5000</v>
      </c>
      <c r="AM10" s="1">
        <f>B10</f>
        <v/>
      </c>
      <c r="AN10" s="1">
        <f>C10</f>
        <v/>
      </c>
      <c r="AO10" s="11">
        <f>SUM(AT10:AZ10)+BB10+BC10</f>
        <v/>
      </c>
      <c r="AP10" s="11">
        <f>SUM(AT10:AZ10)+BE10+BF10</f>
        <v/>
      </c>
      <c r="AQ10" s="11">
        <f>AO10/3.6</f>
        <v/>
      </c>
      <c r="AR10" s="11">
        <f>AP10/3.6</f>
        <v/>
      </c>
      <c r="AS10" s="5">
        <f>AO10-AP10</f>
        <v/>
      </c>
      <c r="AT10" s="1">
        <f>D10/F10*Y10*-1</f>
        <v/>
      </c>
      <c r="AU10" s="1">
        <f>E10/F10*Y10</f>
        <v/>
      </c>
      <c r="AV10" s="1">
        <f t="array" ref="AV10">_xlfn.IFS(C10="Biomass_Corn", 1/F10*S10, C10="Biomass_Agri", 1/F10*V10, C10="Biomass_Wood", 1/F10*U10, C10="Biomass_Herb", 1/F10*T10)</f>
        <v/>
      </c>
      <c r="AW10" s="1">
        <f>G10/F10*AH10</f>
        <v/>
      </c>
      <c r="AX10" s="1">
        <f>M10/F10/(0.9*8760)</f>
        <v/>
      </c>
      <c r="AY10" s="1">
        <f>N10/F10/(0.9*8760)</f>
        <v/>
      </c>
      <c r="AZ10" s="1">
        <f>O10/F10</f>
        <v/>
      </c>
      <c r="BA10" s="1">
        <f>BP10+BQ10+BS10-BL10+BR10+BT10</f>
        <v/>
      </c>
      <c r="BB10" s="1">
        <f>(Q10+R10)*-1*(I10+K10)/F10</f>
        <v/>
      </c>
      <c r="BC10" s="1">
        <f>BA10*Q10</f>
        <v/>
      </c>
      <c r="BD10" s="1">
        <f>SUM(BP10:BR10)-BL10</f>
        <v/>
      </c>
      <c r="BE10" s="1">
        <f>(I10+K10)/F10*-1*R10</f>
        <v/>
      </c>
      <c r="BF10" s="1">
        <f>BD10*Q10</f>
        <v/>
      </c>
      <c r="BH10" s="9">
        <f>H10</f>
        <v/>
      </c>
      <c r="BI10" s="10" t="n">
        <v>0.181048235160161</v>
      </c>
      <c r="BJ10" s="9" t="n">
        <v>0.23037491</v>
      </c>
      <c r="BL10" s="10">
        <f>BH10/F10</f>
        <v/>
      </c>
      <c r="BM10" s="10">
        <f>BI10*G10/F10</f>
        <v/>
      </c>
      <c r="BN10" s="10">
        <f>SUM(BL10:BM10)</f>
        <v/>
      </c>
      <c r="BP10" s="10">
        <f>BJ10</f>
        <v/>
      </c>
      <c r="BQ10" s="10">
        <f>J10/F10</f>
        <v/>
      </c>
      <c r="BR10" s="10">
        <f>L10/F10</f>
        <v/>
      </c>
      <c r="BS10" s="10">
        <f>I10/F10</f>
        <v/>
      </c>
      <c r="BT10" s="10">
        <f>K10/F10</f>
        <v/>
      </c>
      <c r="BU10" s="10">
        <f>SUM(BP10:BT10)</f>
        <v/>
      </c>
      <c r="BW10" s="1">
        <f>BN10-BU10</f>
        <v/>
      </c>
    </row>
    <row r="11">
      <c r="B11" s="13" t="inlineStr">
        <is>
          <t>NCEN_Bio_Ethanol_Wood</t>
        </is>
      </c>
      <c r="C11" s="12" t="inlineStr">
        <is>
          <t>Biomass_Wood</t>
        </is>
      </c>
      <c r="D11" s="12" t="n">
        <v>0.2239</v>
      </c>
      <c r="E11" s="12" t="n">
        <v>0</v>
      </c>
      <c r="F11" s="12" t="n">
        <v>2.0751</v>
      </c>
      <c r="G11" s="12" t="n">
        <v>0</v>
      </c>
      <c r="H11" s="12" t="n">
        <v>1.802</v>
      </c>
      <c r="I11" s="12" t="n">
        <v>0</v>
      </c>
      <c r="J11" s="12" t="n">
        <v>1.323942370915434</v>
      </c>
      <c r="K11" s="12" t="n">
        <v>0</v>
      </c>
      <c r="L11" s="12" t="n">
        <v>0</v>
      </c>
      <c r="M11" s="12" t="n">
        <v>273134.22</v>
      </c>
      <c r="N11" s="12" t="n">
        <v>144062.46</v>
      </c>
      <c r="O11" s="12" t="n">
        <v>0.45</v>
      </c>
      <c r="Q11" s="15" t="n">
        <v>0</v>
      </c>
      <c r="R11" s="15" t="n">
        <v>-0.911528</v>
      </c>
      <c r="S11" s="15" t="n">
        <v>100</v>
      </c>
      <c r="T11" s="15" t="n">
        <v>69.911137</v>
      </c>
      <c r="U11" s="15" t="n">
        <v>44.79442</v>
      </c>
      <c r="V11" s="15" t="n">
        <v>43.323942</v>
      </c>
      <c r="W11" s="16" t="n">
        <v>45.289647</v>
      </c>
      <c r="X11" s="16" t="n">
        <v>45.289647</v>
      </c>
      <c r="Y11" s="15" t="n">
        <v>29.249237</v>
      </c>
      <c r="Z11" s="15" t="n">
        <v>34.631601</v>
      </c>
      <c r="AA11" s="15" t="n"/>
      <c r="AB11" s="16" t="n">
        <v>51.059951</v>
      </c>
      <c r="AC11" s="16" t="n">
        <v>51.059951</v>
      </c>
      <c r="AD11" s="16" t="n">
        <v>107.876772</v>
      </c>
      <c r="AE11" s="16" t="n">
        <v>107.876772</v>
      </c>
      <c r="AF11" s="16" t="n">
        <v>96.945356</v>
      </c>
      <c r="AG11" s="16" t="n">
        <v>96.945356</v>
      </c>
      <c r="AH11" s="15" t="n">
        <v>14.089942</v>
      </c>
      <c r="AI11" s="15" t="n">
        <v>14.089942</v>
      </c>
      <c r="AJ11" s="15" t="n">
        <v>0</v>
      </c>
      <c r="AK11" s="15" t="n">
        <v>5000</v>
      </c>
      <c r="AM11" s="1">
        <f>B11</f>
        <v/>
      </c>
      <c r="AN11" s="1">
        <f>C11</f>
        <v/>
      </c>
      <c r="AO11" s="11">
        <f>SUM(AT11:AZ11)+BB11+BC11</f>
        <v/>
      </c>
      <c r="AP11" s="11">
        <f>SUM(AT11:AZ11)+BE11+BF11</f>
        <v/>
      </c>
      <c r="AQ11" s="11">
        <f>AO11/3.6</f>
        <v/>
      </c>
      <c r="AR11" s="11">
        <f>AP11/3.6</f>
        <v/>
      </c>
      <c r="AS11" s="5">
        <f>AO11-AP11</f>
        <v/>
      </c>
      <c r="AT11" s="1">
        <f>D11/F11*Y11*-1</f>
        <v/>
      </c>
      <c r="AU11" s="1">
        <f>E11/F11*Y11</f>
        <v/>
      </c>
      <c r="AV11" s="1">
        <f t="array" ref="AV11">_xlfn.IFS(C11="Biomass_Corn", 1/F11*S11, C11="Biomass_Agri", 1/F11*V11, C11="Biomass_Wood", 1/F11*U11, C11="Biomass_Herb", 1/F11*T11)</f>
        <v/>
      </c>
      <c r="AW11" s="1">
        <f>G11/F11*AH11</f>
        <v/>
      </c>
      <c r="AX11" s="1">
        <f>M11/F11/(0.9*8760)</f>
        <v/>
      </c>
      <c r="AY11" s="1">
        <f>N11/F11/(0.9*8760)</f>
        <v/>
      </c>
      <c r="AZ11" s="1">
        <f>O11/F11</f>
        <v/>
      </c>
      <c r="BA11" s="1">
        <f>BP11+BQ11+BS11-BL11+BR11+BT11</f>
        <v/>
      </c>
      <c r="BB11" s="1">
        <f>(Q11+R11)*-1*(I11+K11)/F11</f>
        <v/>
      </c>
      <c r="BC11" s="1">
        <f>BA11*Q11</f>
        <v/>
      </c>
      <c r="BD11" s="1">
        <f>SUM(BP11:BR11)-BL11</f>
        <v/>
      </c>
      <c r="BE11" s="1">
        <f>(I11+K11)/F11*-1*R11</f>
        <v/>
      </c>
      <c r="BF11" s="1">
        <f>BD11*Q11</f>
        <v/>
      </c>
      <c r="BH11" s="9">
        <f>H11</f>
        <v/>
      </c>
      <c r="BI11" s="10" t="n">
        <v>0.181048235160161</v>
      </c>
      <c r="BJ11" s="9" t="n">
        <v>0.23037491</v>
      </c>
      <c r="BL11" s="10">
        <f>BH11/F11</f>
        <v/>
      </c>
      <c r="BM11" s="10">
        <f>BI11*G11/F11</f>
        <v/>
      </c>
      <c r="BN11" s="10">
        <f>SUM(BL11:BM11)</f>
        <v/>
      </c>
      <c r="BP11" s="10">
        <f>BJ11</f>
        <v/>
      </c>
      <c r="BQ11" s="10">
        <f>J11/F11</f>
        <v/>
      </c>
      <c r="BR11" s="10">
        <f>L11/F11</f>
        <v/>
      </c>
      <c r="BS11" s="10">
        <f>I11/F11</f>
        <v/>
      </c>
      <c r="BT11" s="10">
        <f>K11/F11</f>
        <v/>
      </c>
      <c r="BU11" s="10">
        <f>SUM(BP11:BT11)</f>
        <v/>
      </c>
      <c r="BW11" s="1">
        <f>BN11-BU11</f>
        <v/>
      </c>
    </row>
    <row r="12">
      <c r="B12" s="13" t="inlineStr">
        <is>
          <t>SE_Bio_Ethanol_Wood</t>
        </is>
      </c>
      <c r="C12" s="12" t="inlineStr">
        <is>
          <t>Biomass_Wood</t>
        </is>
      </c>
      <c r="D12" s="12" t="n">
        <v>0.2249</v>
      </c>
      <c r="E12" s="12" t="n">
        <v>0</v>
      </c>
      <c r="F12" s="12" t="n">
        <v>2.0838</v>
      </c>
      <c r="G12" s="12" t="n">
        <v>0</v>
      </c>
      <c r="H12" s="12" t="n">
        <v>1.821</v>
      </c>
      <c r="I12" s="12" t="n">
        <v>0</v>
      </c>
      <c r="J12" s="12" t="n">
        <v>1.340935833122844</v>
      </c>
      <c r="K12" s="12" t="n">
        <v>0</v>
      </c>
      <c r="L12" s="12" t="n">
        <v>0</v>
      </c>
      <c r="M12" s="12" t="n">
        <v>273134.22</v>
      </c>
      <c r="N12" s="12" t="n">
        <v>144062.46</v>
      </c>
      <c r="O12" s="12" t="n">
        <v>0.45</v>
      </c>
      <c r="Q12" s="15" t="n">
        <v>0</v>
      </c>
      <c r="R12" s="15" t="n">
        <v>-5.914702</v>
      </c>
      <c r="S12" s="15" t="n">
        <v>100</v>
      </c>
      <c r="T12" s="15" t="n">
        <v>69.166622</v>
      </c>
      <c r="U12" s="15" t="n">
        <v>46.05675</v>
      </c>
      <c r="V12" s="15" t="n">
        <v>41.170372</v>
      </c>
      <c r="W12" s="16" t="n">
        <v>45.289647</v>
      </c>
      <c r="X12" s="16" t="n">
        <v>45.289647</v>
      </c>
      <c r="Y12" s="15" t="n">
        <v>33.298446</v>
      </c>
      <c r="Z12" s="15" t="n">
        <v>36.471022</v>
      </c>
      <c r="AA12" s="15" t="n"/>
      <c r="AB12" s="16" t="n">
        <v>51.059951</v>
      </c>
      <c r="AC12" s="16" t="n">
        <v>51.059951</v>
      </c>
      <c r="AD12" s="16" t="n">
        <v>107.876772</v>
      </c>
      <c r="AE12" s="16" t="n">
        <v>107.876772</v>
      </c>
      <c r="AF12" s="16" t="n">
        <v>96.945356</v>
      </c>
      <c r="AG12" s="16" t="n">
        <v>96.945356</v>
      </c>
      <c r="AH12" s="15" t="n">
        <v>14.089638</v>
      </c>
      <c r="AI12" s="15" t="n">
        <v>14.089638</v>
      </c>
      <c r="AJ12" s="15" t="n">
        <v>0</v>
      </c>
      <c r="AK12" s="15" t="n">
        <v>5000</v>
      </c>
      <c r="AM12" s="1">
        <f>B12</f>
        <v/>
      </c>
      <c r="AN12" s="1">
        <f>C12</f>
        <v/>
      </c>
      <c r="AO12" s="11">
        <f>SUM(AT12:AZ12)+BB12+BC12</f>
        <v/>
      </c>
      <c r="AP12" s="11">
        <f>SUM(AT12:AZ12)+BE12+BF12</f>
        <v/>
      </c>
      <c r="AQ12" s="11">
        <f>AO12/3.6</f>
        <v/>
      </c>
      <c r="AR12" s="11">
        <f>AP12/3.6</f>
        <v/>
      </c>
      <c r="AS12" s="5">
        <f>AO12-AP12</f>
        <v/>
      </c>
      <c r="AT12" s="1">
        <f>D12/F12*Y12*-1</f>
        <v/>
      </c>
      <c r="AU12" s="1">
        <f>E12/F12*Y12</f>
        <v/>
      </c>
      <c r="AV12" s="1">
        <f t="array" ref="AV12">_xlfn.IFS(C12="Biomass_Corn", 1/F12*S12, C12="Biomass_Agri", 1/F12*V12, C12="Biomass_Wood", 1/F12*U12, C12="Biomass_Herb", 1/F12*T12)</f>
        <v/>
      </c>
      <c r="AW12" s="1">
        <f>G12/F12*AH12</f>
        <v/>
      </c>
      <c r="AX12" s="1">
        <f>M12/F12/(0.9*8760)</f>
        <v/>
      </c>
      <c r="AY12" s="1">
        <f>N12/F12/(0.9*8760)</f>
        <v/>
      </c>
      <c r="AZ12" s="1">
        <f>O12/F12</f>
        <v/>
      </c>
      <c r="BA12" s="1">
        <f>BP12+BQ12+BS12-BL12+BR12+BT12</f>
        <v/>
      </c>
      <c r="BB12" s="1">
        <f>(Q12+R12)*-1*(I12+K12)/F12</f>
        <v/>
      </c>
      <c r="BC12" s="1">
        <f>BA12*Q12</f>
        <v/>
      </c>
      <c r="BD12" s="1">
        <f>SUM(BP12:BR12)-BL12</f>
        <v/>
      </c>
      <c r="BE12" s="1">
        <f>(I12+K12)/F12*-1*R12</f>
        <v/>
      </c>
      <c r="BF12" s="1">
        <f>BD12*Q12</f>
        <v/>
      </c>
      <c r="BH12" s="9">
        <f>H12</f>
        <v/>
      </c>
      <c r="BI12" s="10" t="n">
        <v>0.181048235160161</v>
      </c>
      <c r="BJ12" s="9" t="n">
        <v>0.23037491</v>
      </c>
      <c r="BL12" s="10">
        <f>BH12/F12</f>
        <v/>
      </c>
      <c r="BM12" s="10">
        <f>BI12*G12/F12</f>
        <v/>
      </c>
      <c r="BN12" s="10">
        <f>SUM(BL12:BM12)</f>
        <v/>
      </c>
      <c r="BP12" s="10">
        <f>BJ12</f>
        <v/>
      </c>
      <c r="BQ12" s="10">
        <f>J12/F12</f>
        <v/>
      </c>
      <c r="BR12" s="10">
        <f>L12/F12</f>
        <v/>
      </c>
      <c r="BS12" s="10">
        <f>I12/F12</f>
        <v/>
      </c>
      <c r="BT12" s="10">
        <f>K12/F12</f>
        <v/>
      </c>
      <c r="BU12" s="10">
        <f>SUM(BP12:BT12)</f>
        <v/>
      </c>
      <c r="BW12" s="1">
        <f>BN12-BU12</f>
        <v/>
      </c>
    </row>
    <row r="13">
      <c r="B13" s="13" t="inlineStr">
        <is>
          <t>TX_Bio_Ethanol_Wood</t>
        </is>
      </c>
      <c r="C13" s="12" t="inlineStr">
        <is>
          <t>Biomass_Wood</t>
        </is>
      </c>
      <c r="D13" s="12" t="n">
        <v>0.2221</v>
      </c>
      <c r="E13" s="12" t="n">
        <v>0</v>
      </c>
      <c r="F13" s="12" t="n">
        <v>2.0577</v>
      </c>
      <c r="G13" s="12" t="n">
        <v>0</v>
      </c>
      <c r="H13" s="12" t="n">
        <v>1.821</v>
      </c>
      <c r="I13" s="12" t="n">
        <v>0</v>
      </c>
      <c r="J13" s="12" t="n">
        <v>1.346955446500614</v>
      </c>
      <c r="K13" s="12" t="n">
        <v>0</v>
      </c>
      <c r="L13" s="12" t="n">
        <v>0</v>
      </c>
      <c r="M13" s="12" t="n">
        <v>273134.22</v>
      </c>
      <c r="N13" s="12" t="n">
        <v>144062.46</v>
      </c>
      <c r="O13" s="12" t="n">
        <v>0.45</v>
      </c>
      <c r="Q13" s="15" t="n">
        <v>0</v>
      </c>
      <c r="R13" s="15" t="n">
        <v>14.732097</v>
      </c>
      <c r="S13" s="15" t="n">
        <v>100</v>
      </c>
      <c r="T13" s="15" t="n">
        <v>73.00646</v>
      </c>
      <c r="U13" s="15" t="n">
        <v>69.643664</v>
      </c>
      <c r="V13" s="15" t="n">
        <v>43.030303</v>
      </c>
      <c r="W13" s="16" t="n">
        <v>45.289647</v>
      </c>
      <c r="X13" s="16" t="n">
        <v>45.289647</v>
      </c>
      <c r="Y13" s="15" t="n">
        <v>19.019146</v>
      </c>
      <c r="Z13" s="15" t="n">
        <v>23.790747</v>
      </c>
      <c r="AA13" s="15" t="n"/>
      <c r="AB13" s="16" t="n">
        <v>51.059951</v>
      </c>
      <c r="AC13" s="16" t="n">
        <v>51.059951</v>
      </c>
      <c r="AD13" s="16" t="n">
        <v>107.876772</v>
      </c>
      <c r="AE13" s="16" t="n">
        <v>107.876772</v>
      </c>
      <c r="AF13" s="16" t="n">
        <v>96.945356</v>
      </c>
      <c r="AG13" s="16" t="n">
        <v>96.945356</v>
      </c>
      <c r="AH13" s="15" t="n">
        <v>13.326077</v>
      </c>
      <c r="AI13" s="15" t="n">
        <v>13.326077</v>
      </c>
      <c r="AJ13" s="15" t="n">
        <v>0</v>
      </c>
      <c r="AK13" s="15" t="n">
        <v>5000</v>
      </c>
      <c r="AM13" s="1">
        <f>B13</f>
        <v/>
      </c>
      <c r="AN13" s="1">
        <f>C13</f>
        <v/>
      </c>
      <c r="AO13" s="11">
        <f>SUM(AT13:AZ13)+BB13+BC13</f>
        <v/>
      </c>
      <c r="AP13" s="11">
        <f>SUM(AT13:AZ13)+BE13+BF13</f>
        <v/>
      </c>
      <c r="AQ13" s="11">
        <f>AO13/3.6</f>
        <v/>
      </c>
      <c r="AR13" s="11">
        <f>AP13/3.6</f>
        <v/>
      </c>
      <c r="AS13" s="5">
        <f>AO13-AP13</f>
        <v/>
      </c>
      <c r="AT13" s="1">
        <f>D13/F13*Y13*-1</f>
        <v/>
      </c>
      <c r="AU13" s="1">
        <f>E13/F13*Y13</f>
        <v/>
      </c>
      <c r="AV13" s="1">
        <f t="array" ref="AV13">_xlfn.IFS(C13="Biomass_Corn", 1/F13*S13, C13="Biomass_Agri", 1/F13*V13, C13="Biomass_Wood", 1/F13*U13, C13="Biomass_Herb", 1/F13*T13)</f>
        <v/>
      </c>
      <c r="AW13" s="1">
        <f>G13/F13*AH13</f>
        <v/>
      </c>
      <c r="AX13" s="1">
        <f>M13/F13/(0.9*8760)</f>
        <v/>
      </c>
      <c r="AY13" s="1">
        <f>N13/F13/(0.9*8760)</f>
        <v/>
      </c>
      <c r="AZ13" s="1">
        <f>O13/F13</f>
        <v/>
      </c>
      <c r="BA13" s="1">
        <f>BP13+BQ13+BS13-BL13+BR13+BT13</f>
        <v/>
      </c>
      <c r="BB13" s="1">
        <f>(Q13+R13)*-1*(I13+K13)/F13</f>
        <v/>
      </c>
      <c r="BC13" s="1">
        <f>BA13*Q13</f>
        <v/>
      </c>
      <c r="BD13" s="1">
        <f>SUM(BP13:BR13)-BL13</f>
        <v/>
      </c>
      <c r="BE13" s="1">
        <f>(I13+K13)/F13*-1*R13</f>
        <v/>
      </c>
      <c r="BF13" s="1">
        <f>BD13*Q13</f>
        <v/>
      </c>
      <c r="BH13" s="9">
        <f>H13</f>
        <v/>
      </c>
      <c r="BI13" s="10" t="n">
        <v>0.181048235160161</v>
      </c>
      <c r="BJ13" s="9" t="n">
        <v>0.23037491</v>
      </c>
      <c r="BL13" s="10">
        <f>BH13/F13</f>
        <v/>
      </c>
      <c r="BM13" s="10">
        <f>BI13*G13/F13</f>
        <v/>
      </c>
      <c r="BN13" s="10">
        <f>SUM(BL13:BM13)</f>
        <v/>
      </c>
      <c r="BP13" s="10">
        <f>BJ13</f>
        <v/>
      </c>
      <c r="BQ13" s="10">
        <f>J13/F13</f>
        <v/>
      </c>
      <c r="BR13" s="10">
        <f>L13/F13</f>
        <v/>
      </c>
      <c r="BS13" s="10">
        <f>I13/F13</f>
        <v/>
      </c>
      <c r="BT13" s="10">
        <f>K13/F13</f>
        <v/>
      </c>
      <c r="BU13" s="10">
        <f>SUM(BP13:BT13)</f>
        <v/>
      </c>
      <c r="BW13" s="1">
        <f>BN13-BU13</f>
        <v/>
      </c>
    </row>
    <row r="14">
      <c r="B14" s="13" t="inlineStr">
        <is>
          <t>CEN_Bio_Ethanol_Agri</t>
        </is>
      </c>
      <c r="C14" s="12" t="inlineStr">
        <is>
          <t>Biomass_Agri</t>
        </is>
      </c>
      <c r="D14" s="12" t="n">
        <v>0.2017</v>
      </c>
      <c r="E14" s="12" t="n">
        <v>0</v>
      </c>
      <c r="F14" s="12" t="n">
        <v>1.8694</v>
      </c>
      <c r="G14" s="12" t="n">
        <v>0</v>
      </c>
      <c r="H14" s="12" t="n">
        <v>1.7</v>
      </c>
      <c r="I14" s="12" t="n">
        <v>0</v>
      </c>
      <c r="J14" s="12" t="n">
        <v>1.269346826265373</v>
      </c>
      <c r="K14" s="12" t="n">
        <v>0</v>
      </c>
      <c r="L14" s="12" t="n">
        <v>0</v>
      </c>
      <c r="M14" s="12" t="n">
        <v>273134.22</v>
      </c>
      <c r="N14" s="12" t="n">
        <v>144062.46</v>
      </c>
      <c r="O14" s="12" t="n">
        <v>0.45</v>
      </c>
      <c r="Q14" s="15" t="n">
        <v>0</v>
      </c>
      <c r="R14" s="15" t="n">
        <v>6.223991</v>
      </c>
      <c r="S14" s="15" t="n">
        <v>100</v>
      </c>
      <c r="T14" s="15" t="n">
        <v>72.30436899999999</v>
      </c>
      <c r="U14" s="15" t="n">
        <v>59.390495</v>
      </c>
      <c r="V14" s="15" t="n">
        <v>42.94088</v>
      </c>
      <c r="W14" s="16" t="n">
        <v>45.289647</v>
      </c>
      <c r="X14" s="16" t="n">
        <v>45.289647</v>
      </c>
      <c r="Y14" s="15" t="n">
        <v>22.958189</v>
      </c>
      <c r="Z14" s="15" t="n">
        <v>28.593352</v>
      </c>
      <c r="AA14" s="15" t="n"/>
      <c r="AB14" s="16" t="n">
        <v>51.059951</v>
      </c>
      <c r="AC14" s="16" t="n">
        <v>51.059951</v>
      </c>
      <c r="AD14" s="16" t="n">
        <v>107.876772</v>
      </c>
      <c r="AE14" s="16" t="n">
        <v>107.876772</v>
      </c>
      <c r="AF14" s="16" t="n">
        <v>96.945356</v>
      </c>
      <c r="AG14" s="16" t="n">
        <v>96.945356</v>
      </c>
      <c r="AH14" s="15" t="n">
        <v>14.066295</v>
      </c>
      <c r="AI14" s="15" t="n">
        <v>14.066295</v>
      </c>
      <c r="AJ14" s="15" t="n">
        <v>0</v>
      </c>
      <c r="AK14" s="15" t="n">
        <v>5000</v>
      </c>
      <c r="AM14" s="1">
        <f>B14</f>
        <v/>
      </c>
      <c r="AN14" s="1">
        <f>C14</f>
        <v/>
      </c>
      <c r="AO14" s="11">
        <f>SUM(AT14:AZ14)+BB14+BC14</f>
        <v/>
      </c>
      <c r="AP14" s="11">
        <f>SUM(AT14:AZ14)+BE14+BF14</f>
        <v/>
      </c>
      <c r="AQ14" s="11">
        <f>AO14/3.6</f>
        <v/>
      </c>
      <c r="AR14" s="11">
        <f>AP14/3.6</f>
        <v/>
      </c>
      <c r="AS14" s="5">
        <f>AO14-AP14</f>
        <v/>
      </c>
      <c r="AT14" s="1">
        <f>D14/F14*Y14*-1</f>
        <v/>
      </c>
      <c r="AU14" s="1">
        <f>E14/F14*Y14</f>
        <v/>
      </c>
      <c r="AV14" s="1">
        <f t="array" ref="AV14">_xlfn.IFS(C14="Biomass_Corn", 1/F14*S14, C14="Biomass_Agri", 1/F14*V14, C14="Biomass_Wood", 1/F14*U14, C14="Biomass_Herb", 1/F14*T14)</f>
        <v/>
      </c>
      <c r="AW14" s="1">
        <f>G14/F14*AH14</f>
        <v/>
      </c>
      <c r="AX14" s="1">
        <f>M14/F14/(0.9*8760)</f>
        <v/>
      </c>
      <c r="AY14" s="1">
        <f>N14/F14/(0.9*8760)</f>
        <v/>
      </c>
      <c r="AZ14" s="1">
        <f>O14/F14</f>
        <v/>
      </c>
      <c r="BA14" s="1">
        <f>BP14+BQ14+BS14-BL14+BR14+BT14</f>
        <v/>
      </c>
      <c r="BB14" s="1">
        <f>(Q14+R14)*-1*(I14+K14)/F14</f>
        <v/>
      </c>
      <c r="BC14" s="1">
        <f>BA14*Q14</f>
        <v/>
      </c>
      <c r="BD14" s="1">
        <f>SUM(BP14:BR14)-BL14</f>
        <v/>
      </c>
      <c r="BE14" s="1">
        <f>(I14+K14)/F14*-1*R14</f>
        <v/>
      </c>
      <c r="BF14" s="1">
        <f>BD14*Q14</f>
        <v/>
      </c>
      <c r="BH14" s="9">
        <f>H14</f>
        <v/>
      </c>
      <c r="BI14" s="10" t="n">
        <v>0.181048235160161</v>
      </c>
      <c r="BJ14" s="9" t="n">
        <v>0.23037491</v>
      </c>
      <c r="BL14" s="10">
        <f>BH14/F14</f>
        <v/>
      </c>
      <c r="BM14" s="10">
        <f>BI14*G14/F14</f>
        <v/>
      </c>
      <c r="BN14" s="10">
        <f>SUM(BL14:BM14)</f>
        <v/>
      </c>
      <c r="BP14" s="10">
        <f>BJ14</f>
        <v/>
      </c>
      <c r="BQ14" s="10">
        <f>J14/F14</f>
        <v/>
      </c>
      <c r="BR14" s="10">
        <f>L14/F14</f>
        <v/>
      </c>
      <c r="BS14" s="10">
        <f>I14/F14</f>
        <v/>
      </c>
      <c r="BT14" s="10">
        <f>K14/F14</f>
        <v/>
      </c>
      <c r="BU14" s="10">
        <f>SUM(BP14:BT14)</f>
        <v/>
      </c>
      <c r="BW14" s="1">
        <f>BN14-BU14</f>
        <v/>
      </c>
    </row>
    <row r="15">
      <c r="B15" s="13" t="inlineStr">
        <is>
          <t>MIDAT_Bio_Ethanol_Agri</t>
        </is>
      </c>
      <c r="C15" s="12" t="inlineStr">
        <is>
          <t>Biomass_Agri</t>
        </is>
      </c>
      <c r="D15" s="12" t="n">
        <v>0.203</v>
      </c>
      <c r="E15" s="12" t="n">
        <v>0</v>
      </c>
      <c r="F15" s="12" t="n">
        <v>1.8813</v>
      </c>
      <c r="G15" s="12" t="n">
        <v>0</v>
      </c>
      <c r="H15" s="12" t="n">
        <v>1.708</v>
      </c>
      <c r="I15" s="12" t="n">
        <v>0</v>
      </c>
      <c r="J15" s="12" t="n">
        <v>1.274587836800561</v>
      </c>
      <c r="K15" s="12" t="n">
        <v>0</v>
      </c>
      <c r="L15" s="12" t="n">
        <v>0</v>
      </c>
      <c r="M15" s="12" t="n">
        <v>273134.22</v>
      </c>
      <c r="N15" s="12" t="n">
        <v>144062.46</v>
      </c>
      <c r="O15" s="12" t="n">
        <v>0.45</v>
      </c>
      <c r="Q15" s="15" t="n">
        <v>0</v>
      </c>
      <c r="R15" s="15" t="n">
        <v>-14.741173</v>
      </c>
      <c r="S15" s="15" t="n">
        <v>100</v>
      </c>
      <c r="T15" s="15" t="n">
        <v>69.370717</v>
      </c>
      <c r="U15" s="15" t="n">
        <v>45.972292</v>
      </c>
      <c r="V15" s="15" t="n">
        <v>42.940257</v>
      </c>
      <c r="W15" s="16" t="n">
        <v>45.289647</v>
      </c>
      <c r="X15" s="16" t="n">
        <v>45.289647</v>
      </c>
      <c r="Y15" s="15" t="n">
        <v>35.672332</v>
      </c>
      <c r="Z15" s="15" t="n">
        <v>37.202448</v>
      </c>
      <c r="AA15" s="15" t="n"/>
      <c r="AB15" s="16" t="n">
        <v>51.059951</v>
      </c>
      <c r="AC15" s="16" t="n">
        <v>51.059951</v>
      </c>
      <c r="AD15" s="16" t="n">
        <v>107.876772</v>
      </c>
      <c r="AE15" s="16" t="n">
        <v>107.876772</v>
      </c>
      <c r="AF15" s="16" t="n">
        <v>96.945356</v>
      </c>
      <c r="AG15" s="16" t="n">
        <v>96.945356</v>
      </c>
      <c r="AH15" s="15" t="n">
        <v>15.046822</v>
      </c>
      <c r="AI15" s="15" t="n">
        <v>15.046822</v>
      </c>
      <c r="AJ15" s="15" t="n">
        <v>0</v>
      </c>
      <c r="AK15" s="15" t="n">
        <v>5000</v>
      </c>
      <c r="AM15" s="1">
        <f>B15</f>
        <v/>
      </c>
      <c r="AN15" s="1">
        <f>C15</f>
        <v/>
      </c>
      <c r="AO15" s="11">
        <f>SUM(AT15:AZ15)+BB15+BC15</f>
        <v/>
      </c>
      <c r="AP15" s="11">
        <f>SUM(AT15:AZ15)+BE15+BF15</f>
        <v/>
      </c>
      <c r="AQ15" s="11">
        <f>AO15/3.6</f>
        <v/>
      </c>
      <c r="AR15" s="11">
        <f>AP15/3.6</f>
        <v/>
      </c>
      <c r="AS15" s="5">
        <f>AO15-AP15</f>
        <v/>
      </c>
      <c r="AT15" s="1">
        <f>D15/F15*Y15*-1</f>
        <v/>
      </c>
      <c r="AU15" s="1">
        <f>E15/F15*Y15</f>
        <v/>
      </c>
      <c r="AV15" s="1">
        <f t="array" ref="AV15">_xlfn.IFS(C15="Biomass_Corn", 1/F15*S15, C15="Biomass_Agri", 1/F15*V15, C15="Biomass_Wood", 1/F15*U15, C15="Biomass_Herb", 1/F15*T15)</f>
        <v/>
      </c>
      <c r="AW15" s="1">
        <f>G15/F15*AH15</f>
        <v/>
      </c>
      <c r="AX15" s="1">
        <f>M15/F15/(0.9*8760)</f>
        <v/>
      </c>
      <c r="AY15" s="1">
        <f>N15/F15/(0.9*8760)</f>
        <v/>
      </c>
      <c r="AZ15" s="1">
        <f>O15/F15</f>
        <v/>
      </c>
      <c r="BA15" s="1">
        <f>BP15+BQ15+BS15-BL15+BR15+BT15</f>
        <v/>
      </c>
      <c r="BB15" s="1">
        <f>(Q15+R15)*-1*(I15+K15)/F15</f>
        <v/>
      </c>
      <c r="BC15" s="1">
        <f>BA15*Q15</f>
        <v/>
      </c>
      <c r="BD15" s="1">
        <f>SUM(BP15:BR15)-BL15</f>
        <v/>
      </c>
      <c r="BE15" s="1">
        <f>(I15+K15)/F15*-1*R15</f>
        <v/>
      </c>
      <c r="BF15" s="1">
        <f>BD15*Q15</f>
        <v/>
      </c>
      <c r="BH15" s="9">
        <f>H15</f>
        <v/>
      </c>
      <c r="BI15" s="10" t="n">
        <v>0.181048235160161</v>
      </c>
      <c r="BJ15" s="9" t="n">
        <v>0.23037491</v>
      </c>
      <c r="BL15" s="10">
        <f>BH15/F15</f>
        <v/>
      </c>
      <c r="BM15" s="10">
        <f>BI15*G15/F15</f>
        <v/>
      </c>
      <c r="BN15" s="10">
        <f>SUM(BL15:BM15)</f>
        <v/>
      </c>
      <c r="BP15" s="10">
        <f>BJ15</f>
        <v/>
      </c>
      <c r="BQ15" s="10">
        <f>J15/F15</f>
        <v/>
      </c>
      <c r="BR15" s="10">
        <f>L15/F15</f>
        <v/>
      </c>
      <c r="BS15" s="10">
        <f>I15/F15</f>
        <v/>
      </c>
      <c r="BT15" s="10">
        <f>K15/F15</f>
        <v/>
      </c>
      <c r="BU15" s="10">
        <f>SUM(BP15:BT15)</f>
        <v/>
      </c>
      <c r="BW15" s="1">
        <f>BN15-BU15</f>
        <v/>
      </c>
    </row>
    <row r="16">
      <c r="B16" s="13" t="inlineStr">
        <is>
          <t>NCEN_Bio_Ethanol_Agri</t>
        </is>
      </c>
      <c r="C16" s="12" t="inlineStr">
        <is>
          <t>Biomass_Agri</t>
        </is>
      </c>
      <c r="D16" s="12" t="n">
        <v>0.2033</v>
      </c>
      <c r="E16" s="12" t="n">
        <v>0</v>
      </c>
      <c r="F16" s="12" t="n">
        <v>1.8835</v>
      </c>
      <c r="G16" s="12" t="n">
        <v>0</v>
      </c>
      <c r="H16" s="12" t="n">
        <v>1.71</v>
      </c>
      <c r="I16" s="12" t="n">
        <v>0</v>
      </c>
      <c r="J16" s="12" t="n">
        <v>1.276086202352414</v>
      </c>
      <c r="K16" s="12" t="n">
        <v>0</v>
      </c>
      <c r="L16" s="12" t="n">
        <v>0</v>
      </c>
      <c r="M16" s="12" t="n">
        <v>273134.22</v>
      </c>
      <c r="N16" s="12" t="n">
        <v>144062.46</v>
      </c>
      <c r="O16" s="12" t="n">
        <v>0.45</v>
      </c>
      <c r="Q16" s="15" t="n">
        <v>0</v>
      </c>
      <c r="R16" s="15" t="n">
        <v>-0.911528</v>
      </c>
      <c r="S16" s="15" t="n">
        <v>100</v>
      </c>
      <c r="T16" s="15" t="n">
        <v>69.911137</v>
      </c>
      <c r="U16" s="15" t="n">
        <v>44.79442</v>
      </c>
      <c r="V16" s="15" t="n">
        <v>43.323942</v>
      </c>
      <c r="W16" s="16" t="n">
        <v>45.289647</v>
      </c>
      <c r="X16" s="16" t="n">
        <v>45.289647</v>
      </c>
      <c r="Y16" s="15" t="n">
        <v>29.249237</v>
      </c>
      <c r="Z16" s="15" t="n">
        <v>34.631601</v>
      </c>
      <c r="AA16" s="15" t="n"/>
      <c r="AB16" s="16" t="n">
        <v>51.059951</v>
      </c>
      <c r="AC16" s="16" t="n">
        <v>51.059951</v>
      </c>
      <c r="AD16" s="16" t="n">
        <v>107.876772</v>
      </c>
      <c r="AE16" s="16" t="n">
        <v>107.876772</v>
      </c>
      <c r="AF16" s="16" t="n">
        <v>96.945356</v>
      </c>
      <c r="AG16" s="16" t="n">
        <v>96.945356</v>
      </c>
      <c r="AH16" s="15" t="n">
        <v>14.089942</v>
      </c>
      <c r="AI16" s="15" t="n">
        <v>14.089942</v>
      </c>
      <c r="AJ16" s="15" t="n">
        <v>0</v>
      </c>
      <c r="AK16" s="15" t="n">
        <v>5000</v>
      </c>
      <c r="AM16" s="1">
        <f>B16</f>
        <v/>
      </c>
      <c r="AN16" s="1">
        <f>C16</f>
        <v/>
      </c>
      <c r="AO16" s="11">
        <f>SUM(AT16:AZ16)+BB16+BC16</f>
        <v/>
      </c>
      <c r="AP16" s="11">
        <f>SUM(AT16:AZ16)+BE16+BF16</f>
        <v/>
      </c>
      <c r="AQ16" s="11">
        <f>AO16/3.6</f>
        <v/>
      </c>
      <c r="AR16" s="11">
        <f>AP16/3.6</f>
        <v/>
      </c>
      <c r="AS16" s="5">
        <f>AO16-AP16</f>
        <v/>
      </c>
      <c r="AT16" s="1">
        <f>D16/F16*Y16*-1</f>
        <v/>
      </c>
      <c r="AU16" s="1">
        <f>E16/F16*Y16</f>
        <v/>
      </c>
      <c r="AV16" s="1">
        <f t="array" ref="AV16">_xlfn.IFS(C16="Biomass_Corn", 1/F16*S16, C16="Biomass_Agri", 1/F16*V16, C16="Biomass_Wood", 1/F16*U16, C16="Biomass_Herb", 1/F16*T16)</f>
        <v/>
      </c>
      <c r="AW16" s="1">
        <f>G16/F16*AH16</f>
        <v/>
      </c>
      <c r="AX16" s="1">
        <f>M16/F16/(0.9*8760)</f>
        <v/>
      </c>
      <c r="AY16" s="1">
        <f>N16/F16/(0.9*8760)</f>
        <v/>
      </c>
      <c r="AZ16" s="1">
        <f>O16/F16</f>
        <v/>
      </c>
      <c r="BA16" s="1">
        <f>BP16+BQ16+BS16-BL16+BR16+BT16</f>
        <v/>
      </c>
      <c r="BB16" s="1">
        <f>(Q16+R16)*-1*(I16+K16)/F16</f>
        <v/>
      </c>
      <c r="BC16" s="1">
        <f>BA16*Q16</f>
        <v/>
      </c>
      <c r="BD16" s="1">
        <f>SUM(BP16:BR16)-BL16</f>
        <v/>
      </c>
      <c r="BE16" s="1">
        <f>(I16+K16)/F16*-1*R16</f>
        <v/>
      </c>
      <c r="BF16" s="1">
        <f>BD16*Q16</f>
        <v/>
      </c>
      <c r="BH16" s="9">
        <f>H16</f>
        <v/>
      </c>
      <c r="BI16" s="10" t="n">
        <v>0.181048235160161</v>
      </c>
      <c r="BJ16" s="9" t="n">
        <v>0.23037491</v>
      </c>
      <c r="BL16" s="10">
        <f>BH16/F16</f>
        <v/>
      </c>
      <c r="BM16" s="10">
        <f>BI16*G16/F16</f>
        <v/>
      </c>
      <c r="BN16" s="10">
        <f>SUM(BL16:BM16)</f>
        <v/>
      </c>
      <c r="BP16" s="10">
        <f>BJ16</f>
        <v/>
      </c>
      <c r="BQ16" s="10">
        <f>J16/F16</f>
        <v/>
      </c>
      <c r="BR16" s="10">
        <f>L16/F16</f>
        <v/>
      </c>
      <c r="BS16" s="10">
        <f>I16/F16</f>
        <v/>
      </c>
      <c r="BT16" s="10">
        <f>K16/F16</f>
        <v/>
      </c>
      <c r="BU16" s="10">
        <f>SUM(BP16:BT16)</f>
        <v/>
      </c>
      <c r="BW16" s="1">
        <f>BN16-BU16</f>
        <v/>
      </c>
    </row>
    <row r="17">
      <c r="B17" s="13" t="inlineStr">
        <is>
          <t>SE_Bio_Ethanol_Agri</t>
        </is>
      </c>
      <c r="C17" s="12" t="inlineStr">
        <is>
          <t>Biomass_Agri</t>
        </is>
      </c>
      <c r="D17" s="12" t="n">
        <v>0.2024</v>
      </c>
      <c r="E17" s="12" t="n">
        <v>0</v>
      </c>
      <c r="F17" s="12" t="n">
        <v>1.8759</v>
      </c>
      <c r="G17" s="12" t="n">
        <v>0</v>
      </c>
      <c r="H17" s="12" t="n">
        <v>1.689</v>
      </c>
      <c r="I17" s="12" t="n">
        <v>0</v>
      </c>
      <c r="J17" s="12" t="n">
        <v>1.25684192292093</v>
      </c>
      <c r="K17" s="12" t="n">
        <v>0</v>
      </c>
      <c r="L17" s="12" t="n">
        <v>0</v>
      </c>
      <c r="M17" s="12" t="n">
        <v>273134.22</v>
      </c>
      <c r="N17" s="12" t="n">
        <v>144062.46</v>
      </c>
      <c r="O17" s="12" t="n">
        <v>0.45</v>
      </c>
      <c r="Q17" s="15" t="n">
        <v>0</v>
      </c>
      <c r="R17" s="15" t="n">
        <v>-5.914702</v>
      </c>
      <c r="S17" s="15" t="n">
        <v>100</v>
      </c>
      <c r="T17" s="15" t="n">
        <v>69.166622</v>
      </c>
      <c r="U17" s="15" t="n">
        <v>46.05675</v>
      </c>
      <c r="V17" s="15" t="n">
        <v>41.170372</v>
      </c>
      <c r="W17" s="16" t="n">
        <v>45.289647</v>
      </c>
      <c r="X17" s="16" t="n">
        <v>45.289647</v>
      </c>
      <c r="Y17" s="15" t="n">
        <v>33.298446</v>
      </c>
      <c r="Z17" s="15" t="n">
        <v>36.471022</v>
      </c>
      <c r="AA17" s="15" t="n"/>
      <c r="AB17" s="16" t="n">
        <v>51.059951</v>
      </c>
      <c r="AC17" s="16" t="n">
        <v>51.059951</v>
      </c>
      <c r="AD17" s="16" t="n">
        <v>107.876772</v>
      </c>
      <c r="AE17" s="16" t="n">
        <v>107.876772</v>
      </c>
      <c r="AF17" s="16" t="n">
        <v>96.945356</v>
      </c>
      <c r="AG17" s="16" t="n">
        <v>96.945356</v>
      </c>
      <c r="AH17" s="15" t="n">
        <v>14.089638</v>
      </c>
      <c r="AI17" s="15" t="n">
        <v>14.089638</v>
      </c>
      <c r="AJ17" s="15" t="n">
        <v>0</v>
      </c>
      <c r="AK17" s="15" t="n">
        <v>5000</v>
      </c>
      <c r="AM17" s="1">
        <f>B17</f>
        <v/>
      </c>
      <c r="AN17" s="1">
        <f>C17</f>
        <v/>
      </c>
      <c r="AO17" s="11">
        <f>SUM(AT17:AZ17)+BB17+BC17</f>
        <v/>
      </c>
      <c r="AP17" s="11">
        <f>SUM(AT17:AZ17)+BE17+BF17</f>
        <v/>
      </c>
      <c r="AQ17" s="11">
        <f>AO17/3.6</f>
        <v/>
      </c>
      <c r="AR17" s="11">
        <f>AP17/3.6</f>
        <v/>
      </c>
      <c r="AS17" s="5">
        <f>AO17-AP17</f>
        <v/>
      </c>
      <c r="AT17" s="1">
        <f>D17/F17*Y17*-1</f>
        <v/>
      </c>
      <c r="AU17" s="1">
        <f>E17/F17*Y17</f>
        <v/>
      </c>
      <c r="AV17" s="1">
        <f t="array" ref="AV17">_xlfn.IFS(C17="Biomass_Corn", 1/F17*S17, C17="Biomass_Agri", 1/F17*V17, C17="Biomass_Wood", 1/F17*U17, C17="Biomass_Herb", 1/F17*T17)</f>
        <v/>
      </c>
      <c r="AW17" s="1">
        <f>G17/F17*AH17</f>
        <v/>
      </c>
      <c r="AX17" s="1">
        <f>M17/F17/(0.9*8760)</f>
        <v/>
      </c>
      <c r="AY17" s="1">
        <f>N17/F17/(0.9*8760)</f>
        <v/>
      </c>
      <c r="AZ17" s="1">
        <f>O17/F17</f>
        <v/>
      </c>
      <c r="BA17" s="1">
        <f>BP17+BQ17+BS17-BL17+BR17+BT17</f>
        <v/>
      </c>
      <c r="BB17" s="1">
        <f>(Q17+R17)*-1*(I17+K17)/F17</f>
        <v/>
      </c>
      <c r="BC17" s="1">
        <f>BA17*Q17</f>
        <v/>
      </c>
      <c r="BD17" s="1">
        <f>SUM(BP17:BR17)-BL17</f>
        <v/>
      </c>
      <c r="BE17" s="1">
        <f>(I17+K17)/F17*-1*R17</f>
        <v/>
      </c>
      <c r="BF17" s="1">
        <f>BD17*Q17</f>
        <v/>
      </c>
      <c r="BH17" s="9">
        <f>H17</f>
        <v/>
      </c>
      <c r="BI17" s="10" t="n">
        <v>0.181048235160161</v>
      </c>
      <c r="BJ17" s="9" t="n">
        <v>0.23037491</v>
      </c>
      <c r="BL17" s="10">
        <f>BH17/F17</f>
        <v/>
      </c>
      <c r="BM17" s="10">
        <f>BI17*G17/F17</f>
        <v/>
      </c>
      <c r="BN17" s="10">
        <f>SUM(BL17:BM17)</f>
        <v/>
      </c>
      <c r="BP17" s="10">
        <f>BJ17</f>
        <v/>
      </c>
      <c r="BQ17" s="10">
        <f>J17/F17</f>
        <v/>
      </c>
      <c r="BR17" s="10">
        <f>L17/F17</f>
        <v/>
      </c>
      <c r="BS17" s="10">
        <f>I17/F17</f>
        <v/>
      </c>
      <c r="BT17" s="10">
        <f>K17/F17</f>
        <v/>
      </c>
      <c r="BU17" s="10">
        <f>SUM(BP17:BT17)</f>
        <v/>
      </c>
      <c r="BW17" s="1">
        <f>BN17-BU17</f>
        <v/>
      </c>
    </row>
    <row r="18">
      <c r="B18" s="13" t="inlineStr">
        <is>
          <t>TX_Bio_Ethanol_Agri</t>
        </is>
      </c>
      <c r="C18" s="12" t="inlineStr">
        <is>
          <t>Biomass_Agri</t>
        </is>
      </c>
      <c r="D18" s="12" t="n">
        <v>0.1949</v>
      </c>
      <c r="E18" s="12" t="n">
        <v>0</v>
      </c>
      <c r="F18" s="12" t="n">
        <v>1.8062</v>
      </c>
      <c r="G18" s="12" t="n">
        <v>0</v>
      </c>
      <c r="H18" s="12" t="n">
        <v>1.633</v>
      </c>
      <c r="I18" s="12" t="n">
        <v>0</v>
      </c>
      <c r="J18" s="12" t="n">
        <v>1.21689422526165</v>
      </c>
      <c r="K18" s="12" t="n">
        <v>0</v>
      </c>
      <c r="L18" s="12" t="n">
        <v>0</v>
      </c>
      <c r="M18" s="12" t="n">
        <v>273134.22</v>
      </c>
      <c r="N18" s="12" t="n">
        <v>144062.46</v>
      </c>
      <c r="O18" s="12" t="n">
        <v>0.45</v>
      </c>
      <c r="Q18" s="15" t="n">
        <v>0</v>
      </c>
      <c r="R18" s="15" t="n">
        <v>14.732097</v>
      </c>
      <c r="S18" s="15" t="n">
        <v>100</v>
      </c>
      <c r="T18" s="15" t="n">
        <v>73.00646</v>
      </c>
      <c r="U18" s="15" t="n">
        <v>69.643664</v>
      </c>
      <c r="V18" s="15" t="n">
        <v>43.030303</v>
      </c>
      <c r="W18" s="16" t="n">
        <v>45.289647</v>
      </c>
      <c r="X18" s="16" t="n">
        <v>45.289647</v>
      </c>
      <c r="Y18" s="15" t="n">
        <v>19.019146</v>
      </c>
      <c r="Z18" s="15" t="n">
        <v>23.790747</v>
      </c>
      <c r="AA18" s="15" t="n"/>
      <c r="AB18" s="16" t="n">
        <v>51.059951</v>
      </c>
      <c r="AC18" s="16" t="n">
        <v>51.059951</v>
      </c>
      <c r="AD18" s="16" t="n">
        <v>107.876772</v>
      </c>
      <c r="AE18" s="16" t="n">
        <v>107.876772</v>
      </c>
      <c r="AF18" s="16" t="n">
        <v>96.945356</v>
      </c>
      <c r="AG18" s="16" t="n">
        <v>96.945356</v>
      </c>
      <c r="AH18" s="15" t="n">
        <v>13.326077</v>
      </c>
      <c r="AI18" s="15" t="n">
        <v>13.326077</v>
      </c>
      <c r="AJ18" s="15" t="n">
        <v>0</v>
      </c>
      <c r="AK18" s="15" t="n">
        <v>5000</v>
      </c>
      <c r="AM18" s="1">
        <f>B18</f>
        <v/>
      </c>
      <c r="AN18" s="1">
        <f>C18</f>
        <v/>
      </c>
      <c r="AO18" s="11">
        <f>SUM(AT18:AZ18)+BB18+BC18</f>
        <v/>
      </c>
      <c r="AP18" s="11">
        <f>SUM(AT18:AZ18)+BE18+BF18</f>
        <v/>
      </c>
      <c r="AQ18" s="11">
        <f>AO18/3.6</f>
        <v/>
      </c>
      <c r="AR18" s="11">
        <f>AP18/3.6</f>
        <v/>
      </c>
      <c r="AS18" s="5">
        <f>AO18-AP18</f>
        <v/>
      </c>
      <c r="AT18" s="1">
        <f>D18/F18*Y18*-1</f>
        <v/>
      </c>
      <c r="AU18" s="1">
        <f>E18/F18*Y18</f>
        <v/>
      </c>
      <c r="AV18" s="1">
        <f t="array" ref="AV18">_xlfn.IFS(C18="Biomass_Corn", 1/F18*S18, C18="Biomass_Agri", 1/F18*V18, C18="Biomass_Wood", 1/F18*U18, C18="Biomass_Herb", 1/F18*T18)</f>
        <v/>
      </c>
      <c r="AW18" s="1">
        <f>G18/F18*AH18</f>
        <v/>
      </c>
      <c r="AX18" s="1">
        <f>M18/F18/(0.9*8760)</f>
        <v/>
      </c>
      <c r="AY18" s="1">
        <f>N18/F18/(0.9*8760)</f>
        <v/>
      </c>
      <c r="AZ18" s="1">
        <f>O18/F18</f>
        <v/>
      </c>
      <c r="BA18" s="1">
        <f>BP18+BQ18+BS18-BL18+BR18+BT18</f>
        <v/>
      </c>
      <c r="BB18" s="1">
        <f>(Q18+R18)*-1*(I18+K18)/F18</f>
        <v/>
      </c>
      <c r="BC18" s="1">
        <f>BA18*Q18</f>
        <v/>
      </c>
      <c r="BD18" s="1">
        <f>SUM(BP18:BR18)-BL18</f>
        <v/>
      </c>
      <c r="BE18" s="1">
        <f>(I18+K18)/F18*-1*R18</f>
        <v/>
      </c>
      <c r="BF18" s="1">
        <f>BD18*Q18</f>
        <v/>
      </c>
      <c r="BH18" s="9">
        <f>H18</f>
        <v/>
      </c>
      <c r="BI18" s="10" t="n">
        <v>0.181048235160161</v>
      </c>
      <c r="BJ18" s="9" t="n">
        <v>0.23037491</v>
      </c>
      <c r="BL18" s="10">
        <f>BH18/F18</f>
        <v/>
      </c>
      <c r="BM18" s="10">
        <f>BI18*G18/F18</f>
        <v/>
      </c>
      <c r="BN18" s="10">
        <f>SUM(BL18:BM18)</f>
        <v/>
      </c>
      <c r="BP18" s="10">
        <f>BJ18</f>
        <v/>
      </c>
      <c r="BQ18" s="10">
        <f>J18/F18</f>
        <v/>
      </c>
      <c r="BR18" s="10">
        <f>L18/F18</f>
        <v/>
      </c>
      <c r="BS18" s="10">
        <f>I18/F18</f>
        <v/>
      </c>
      <c r="BT18" s="10">
        <f>K18/F18</f>
        <v/>
      </c>
      <c r="BU18" s="10">
        <f>SUM(BP18:BT18)</f>
        <v/>
      </c>
      <c r="BW18" s="1">
        <f>BN18-BU18</f>
        <v/>
      </c>
    </row>
    <row r="19">
      <c r="B19" s="13" t="inlineStr">
        <is>
          <t>CEN_Bio_Ethanol_CCS_20_Herb</t>
        </is>
      </c>
      <c r="C19" s="12" t="inlineStr">
        <is>
          <t>Biomass_Herb</t>
        </is>
      </c>
      <c r="D19" s="12" t="n">
        <v>0</v>
      </c>
      <c r="E19" s="12" t="n">
        <v>0</v>
      </c>
      <c r="F19" s="12" t="n">
        <v>1.9848</v>
      </c>
      <c r="G19" s="12" t="n">
        <v>0</v>
      </c>
      <c r="H19" s="12" t="n">
        <v>1.723</v>
      </c>
      <c r="I19" s="12" t="n">
        <v>0.2591264281894435</v>
      </c>
      <c r="J19" s="12" t="n">
        <v>1.006633772032535</v>
      </c>
      <c r="K19" s="12" t="n">
        <v>0</v>
      </c>
      <c r="L19" s="12" t="n">
        <v>0</v>
      </c>
      <c r="M19" s="12" t="n">
        <v>293026.95</v>
      </c>
      <c r="N19" s="12" t="n">
        <v>154950.42</v>
      </c>
      <c r="O19" s="12" t="n">
        <v>0.48</v>
      </c>
      <c r="Q19" s="15" t="n">
        <v>0</v>
      </c>
      <c r="R19" s="15" t="n">
        <v>6.223991</v>
      </c>
      <c r="S19" s="15" t="n">
        <v>100</v>
      </c>
      <c r="T19" s="15" t="n">
        <v>72.30436899999999</v>
      </c>
      <c r="U19" s="15" t="n">
        <v>59.390495</v>
      </c>
      <c r="V19" s="15" t="n">
        <v>42.94088</v>
      </c>
      <c r="W19" s="16" t="n">
        <v>45.289647</v>
      </c>
      <c r="X19" s="16" t="n">
        <v>45.289647</v>
      </c>
      <c r="Y19" s="15" t="n">
        <v>22.958189</v>
      </c>
      <c r="Z19" s="15" t="n">
        <v>28.593352</v>
      </c>
      <c r="AA19" s="15" t="n"/>
      <c r="AB19" s="16" t="n">
        <v>51.059951</v>
      </c>
      <c r="AC19" s="16" t="n">
        <v>51.059951</v>
      </c>
      <c r="AD19" s="16" t="n">
        <v>107.876772</v>
      </c>
      <c r="AE19" s="16" t="n">
        <v>107.876772</v>
      </c>
      <c r="AF19" s="16" t="n">
        <v>96.945356</v>
      </c>
      <c r="AG19" s="16" t="n">
        <v>96.945356</v>
      </c>
      <c r="AH19" s="15" t="n">
        <v>14.066295</v>
      </c>
      <c r="AI19" s="15" t="n">
        <v>14.066295</v>
      </c>
      <c r="AJ19" s="15" t="n">
        <v>0</v>
      </c>
      <c r="AK19" s="15" t="n">
        <v>5000</v>
      </c>
      <c r="AM19" s="1">
        <f>B19</f>
        <v/>
      </c>
      <c r="AN19" s="1">
        <f>C19</f>
        <v/>
      </c>
      <c r="AO19" s="11">
        <f>SUM(AT19:AZ19)+BB19+BC19</f>
        <v/>
      </c>
      <c r="AP19" s="11">
        <f>SUM(AT19:AZ19)+BE19+BF19</f>
        <v/>
      </c>
      <c r="AQ19" s="11">
        <f>AO19/3.6</f>
        <v/>
      </c>
      <c r="AR19" s="11">
        <f>AP19/3.6</f>
        <v/>
      </c>
      <c r="AS19" s="5">
        <f>AO19-AP19</f>
        <v/>
      </c>
      <c r="AT19" s="1">
        <f>D19/F19*Y19*-1</f>
        <v/>
      </c>
      <c r="AU19" s="1">
        <f>E19/F19*Y19</f>
        <v/>
      </c>
      <c r="AV19" s="1">
        <f t="array" ref="AV19">_xlfn.IFS(C19="Biomass_Corn", 1/F19*S19, C19="Biomass_Agri", 1/F19*V19, C19="Biomass_Wood", 1/F19*U19, C19="Biomass_Herb", 1/F19*T19)</f>
        <v/>
      </c>
      <c r="AW19" s="1">
        <f>G19/F19*AH19</f>
        <v/>
      </c>
      <c r="AX19" s="1">
        <f>M19/F19/(0.9*8760)</f>
        <v/>
      </c>
      <c r="AY19" s="1">
        <f>N19/F19/(0.9*8760)</f>
        <v/>
      </c>
      <c r="AZ19" s="1">
        <f>O19/F19</f>
        <v/>
      </c>
      <c r="BA19" s="1">
        <f>BP19+BQ19+BS19-BL19+BR19+BT19</f>
        <v/>
      </c>
      <c r="BB19" s="1">
        <f>(Q19+R19)*-1*(I19+K19)/F19</f>
        <v/>
      </c>
      <c r="BC19" s="1">
        <f>BA19*Q19</f>
        <v/>
      </c>
      <c r="BD19" s="1">
        <f>SUM(BP19:BR19)-BL19</f>
        <v/>
      </c>
      <c r="BE19" s="1">
        <f>(I19+K19)/F19*-1*R19</f>
        <v/>
      </c>
      <c r="BF19" s="1">
        <f>BD19*Q19</f>
        <v/>
      </c>
      <c r="BH19" s="9">
        <f>H19</f>
        <v/>
      </c>
      <c r="BI19" s="10" t="n">
        <v>0.181048235160161</v>
      </c>
      <c r="BJ19" s="9" t="n">
        <v>0.23037491</v>
      </c>
      <c r="BL19" s="10">
        <f>BH19/F19</f>
        <v/>
      </c>
      <c r="BM19" s="10">
        <f>BI19*G19/F19</f>
        <v/>
      </c>
      <c r="BN19" s="10">
        <f>SUM(BL19:BM19)</f>
        <v/>
      </c>
      <c r="BP19" s="10">
        <f>BJ19</f>
        <v/>
      </c>
      <c r="BQ19" s="10">
        <f>J19/F19</f>
        <v/>
      </c>
      <c r="BR19" s="10">
        <f>L19/F19</f>
        <v/>
      </c>
      <c r="BS19" s="10">
        <f>I19/F19</f>
        <v/>
      </c>
      <c r="BT19" s="10">
        <f>K19/F19</f>
        <v/>
      </c>
      <c r="BU19" s="10">
        <f>SUM(BP19:BT19)</f>
        <v/>
      </c>
      <c r="BW19" s="1">
        <f>BN19-BU19</f>
        <v/>
      </c>
    </row>
    <row r="20">
      <c r="B20" s="13" t="inlineStr">
        <is>
          <t>MIDAT_Bio_Ethanol_CCS_20_Herb</t>
        </is>
      </c>
      <c r="C20" s="12" t="inlineStr">
        <is>
          <t>Biomass_Herb</t>
        </is>
      </c>
      <c r="D20" s="12" t="n">
        <v>0</v>
      </c>
      <c r="E20" s="12" t="n">
        <v>0</v>
      </c>
      <c r="F20" s="12" t="n">
        <v>1.9924</v>
      </c>
      <c r="G20" s="12" t="n">
        <v>0</v>
      </c>
      <c r="H20" s="12" t="n">
        <v>1.736</v>
      </c>
      <c r="I20" s="12" t="n">
        <v>0.2614283570744277</v>
      </c>
      <c r="J20" s="12" t="n">
        <v>1.015576122577915</v>
      </c>
      <c r="K20" s="12" t="n">
        <v>0</v>
      </c>
      <c r="L20" s="12" t="n">
        <v>0</v>
      </c>
      <c r="M20" s="12" t="n">
        <v>293026.95</v>
      </c>
      <c r="N20" s="12" t="n">
        <v>154950.42</v>
      </c>
      <c r="O20" s="12" t="n">
        <v>0.48</v>
      </c>
      <c r="Q20" s="15" t="n">
        <v>0</v>
      </c>
      <c r="R20" s="15" t="n">
        <v>-14.741173</v>
      </c>
      <c r="S20" s="15" t="n">
        <v>100</v>
      </c>
      <c r="T20" s="15" t="n">
        <v>69.370717</v>
      </c>
      <c r="U20" s="15" t="n">
        <v>45.972292</v>
      </c>
      <c r="V20" s="15" t="n">
        <v>42.940257</v>
      </c>
      <c r="W20" s="16" t="n">
        <v>45.289647</v>
      </c>
      <c r="X20" s="16" t="n">
        <v>45.289647</v>
      </c>
      <c r="Y20" s="15" t="n">
        <v>35.672332</v>
      </c>
      <c r="Z20" s="15" t="n">
        <v>37.202448</v>
      </c>
      <c r="AA20" s="15" t="n"/>
      <c r="AB20" s="16" t="n">
        <v>51.059951</v>
      </c>
      <c r="AC20" s="16" t="n">
        <v>51.059951</v>
      </c>
      <c r="AD20" s="16" t="n">
        <v>107.876772</v>
      </c>
      <c r="AE20" s="16" t="n">
        <v>107.876772</v>
      </c>
      <c r="AF20" s="16" t="n">
        <v>96.945356</v>
      </c>
      <c r="AG20" s="16" t="n">
        <v>96.945356</v>
      </c>
      <c r="AH20" s="15" t="n">
        <v>15.046822</v>
      </c>
      <c r="AI20" s="15" t="n">
        <v>15.046822</v>
      </c>
      <c r="AJ20" s="15" t="n">
        <v>0</v>
      </c>
      <c r="AK20" s="15" t="n">
        <v>5000</v>
      </c>
      <c r="AM20" s="1">
        <f>B20</f>
        <v/>
      </c>
      <c r="AN20" s="1">
        <f>C20</f>
        <v/>
      </c>
      <c r="AO20" s="11">
        <f>SUM(AT20:AZ20)+BB20+BC20</f>
        <v/>
      </c>
      <c r="AP20" s="11">
        <f>SUM(AT20:AZ20)+BE20+BF20</f>
        <v/>
      </c>
      <c r="AQ20" s="11">
        <f>AO20/3.6</f>
        <v/>
      </c>
      <c r="AR20" s="11">
        <f>AP20/3.6</f>
        <v/>
      </c>
      <c r="AS20" s="5">
        <f>AO20-AP20</f>
        <v/>
      </c>
      <c r="AT20" s="1">
        <f>D20/F20*Y20*-1</f>
        <v/>
      </c>
      <c r="AU20" s="1">
        <f>E20/F20*Y20</f>
        <v/>
      </c>
      <c r="AV20" s="1">
        <f t="array" ref="AV20">_xlfn.IFS(C20="Biomass_Corn", 1/F20*S20, C20="Biomass_Agri", 1/F20*V20, C20="Biomass_Wood", 1/F20*U20, C20="Biomass_Herb", 1/F20*T20)</f>
        <v/>
      </c>
      <c r="AW20" s="1">
        <f>G20/F20*AH20</f>
        <v/>
      </c>
      <c r="AX20" s="1">
        <f>M20/F20/(0.9*8760)</f>
        <v/>
      </c>
      <c r="AY20" s="1">
        <f>N20/F20/(0.9*8760)</f>
        <v/>
      </c>
      <c r="AZ20" s="1">
        <f>O20/F20</f>
        <v/>
      </c>
      <c r="BA20" s="1">
        <f>BP20+BQ20+BS20-BL20+BR20+BT20</f>
        <v/>
      </c>
      <c r="BB20" s="1">
        <f>(Q20+R20)*-1*(I20+K20)/F20</f>
        <v/>
      </c>
      <c r="BC20" s="1">
        <f>BA20*Q20</f>
        <v/>
      </c>
      <c r="BD20" s="1">
        <f>SUM(BP20:BR20)-BL20</f>
        <v/>
      </c>
      <c r="BE20" s="1">
        <f>(I20+K20)/F20*-1*R20</f>
        <v/>
      </c>
      <c r="BF20" s="1">
        <f>BD20*Q20</f>
        <v/>
      </c>
      <c r="BH20" s="9">
        <f>H20</f>
        <v/>
      </c>
      <c r="BI20" s="10" t="n">
        <v>0.181048235160161</v>
      </c>
      <c r="BJ20" s="9" t="n">
        <v>0.23037491</v>
      </c>
      <c r="BL20" s="10">
        <f>BH20/F20</f>
        <v/>
      </c>
      <c r="BM20" s="10">
        <f>BI20*G20/F20</f>
        <v/>
      </c>
      <c r="BN20" s="10">
        <f>SUM(BL20:BM20)</f>
        <v/>
      </c>
      <c r="BP20" s="10">
        <f>BJ20</f>
        <v/>
      </c>
      <c r="BQ20" s="10">
        <f>J20/F20</f>
        <v/>
      </c>
      <c r="BR20" s="10">
        <f>L20/F20</f>
        <v/>
      </c>
      <c r="BS20" s="10">
        <f>I20/F20</f>
        <v/>
      </c>
      <c r="BT20" s="10">
        <f>K20/F20</f>
        <v/>
      </c>
      <c r="BU20" s="10">
        <f>SUM(BP20:BT20)</f>
        <v/>
      </c>
      <c r="BW20" s="1">
        <f>BN20-BU20</f>
        <v/>
      </c>
    </row>
    <row r="21">
      <c r="B21" s="13" t="inlineStr">
        <is>
          <t>NCEN_Bio_Ethanol_CCS_20_Herb</t>
        </is>
      </c>
      <c r="C21" s="12" t="inlineStr">
        <is>
          <t>Biomass_Herb</t>
        </is>
      </c>
      <c r="D21" s="12" t="n">
        <v>0</v>
      </c>
      <c r="E21" s="12" t="n">
        <v>0</v>
      </c>
      <c r="F21" s="12" t="n">
        <v>1.9967</v>
      </c>
      <c r="G21" s="12" t="n">
        <v>0</v>
      </c>
      <c r="H21" s="12" t="n">
        <v>1.74</v>
      </c>
      <c r="I21" s="12" t="n">
        <v>0.2620418478658472</v>
      </c>
      <c r="J21" s="12" t="n">
        <v>1.017959362889561</v>
      </c>
      <c r="K21" s="12" t="n">
        <v>0</v>
      </c>
      <c r="L21" s="12" t="n">
        <v>0</v>
      </c>
      <c r="M21" s="12" t="n">
        <v>293026.95</v>
      </c>
      <c r="N21" s="12" t="n">
        <v>154950.42</v>
      </c>
      <c r="O21" s="12" t="n">
        <v>0.48</v>
      </c>
      <c r="Q21" s="15" t="n">
        <v>0</v>
      </c>
      <c r="R21" s="15" t="n">
        <v>-0.911528</v>
      </c>
      <c r="S21" s="15" t="n">
        <v>100</v>
      </c>
      <c r="T21" s="15" t="n">
        <v>69.911137</v>
      </c>
      <c r="U21" s="15" t="n">
        <v>44.79442</v>
      </c>
      <c r="V21" s="15" t="n">
        <v>43.323942</v>
      </c>
      <c r="W21" s="16" t="n">
        <v>45.289647</v>
      </c>
      <c r="X21" s="16" t="n">
        <v>45.289647</v>
      </c>
      <c r="Y21" s="15" t="n">
        <v>29.249237</v>
      </c>
      <c r="Z21" s="15" t="n">
        <v>34.631601</v>
      </c>
      <c r="AA21" s="15" t="n"/>
      <c r="AB21" s="16" t="n">
        <v>51.059951</v>
      </c>
      <c r="AC21" s="16" t="n">
        <v>51.059951</v>
      </c>
      <c r="AD21" s="16" t="n">
        <v>107.876772</v>
      </c>
      <c r="AE21" s="16" t="n">
        <v>107.876772</v>
      </c>
      <c r="AF21" s="16" t="n">
        <v>96.945356</v>
      </c>
      <c r="AG21" s="16" t="n">
        <v>96.945356</v>
      </c>
      <c r="AH21" s="15" t="n">
        <v>14.089942</v>
      </c>
      <c r="AI21" s="15" t="n">
        <v>14.089942</v>
      </c>
      <c r="AJ21" s="15" t="n">
        <v>0</v>
      </c>
      <c r="AK21" s="15" t="n">
        <v>5000</v>
      </c>
      <c r="AM21" s="1">
        <f>B21</f>
        <v/>
      </c>
      <c r="AN21" s="1">
        <f>C21</f>
        <v/>
      </c>
      <c r="AO21" s="11">
        <f>SUM(AT21:AZ21)+BB21+BC21</f>
        <v/>
      </c>
      <c r="AP21" s="11">
        <f>SUM(AT21:AZ21)+BE21+BF21</f>
        <v/>
      </c>
      <c r="AQ21" s="11">
        <f>AO21/3.6</f>
        <v/>
      </c>
      <c r="AR21" s="11">
        <f>AP21/3.6</f>
        <v/>
      </c>
      <c r="AS21" s="5">
        <f>AO21-AP21</f>
        <v/>
      </c>
      <c r="AT21" s="1">
        <f>D21/F21*Y21*-1</f>
        <v/>
      </c>
      <c r="AU21" s="1">
        <f>E21/F21*Y21</f>
        <v/>
      </c>
      <c r="AV21" s="1">
        <f t="array" ref="AV21">_xlfn.IFS(C21="Biomass_Corn", 1/F21*S21, C21="Biomass_Agri", 1/F21*V21, C21="Biomass_Wood", 1/F21*U21, C21="Biomass_Herb", 1/F21*T21)</f>
        <v/>
      </c>
      <c r="AW21" s="1">
        <f>G21/F21*AH21</f>
        <v/>
      </c>
      <c r="AX21" s="1">
        <f>M21/F21/(0.9*8760)</f>
        <v/>
      </c>
      <c r="AY21" s="1">
        <f>N21/F21/(0.9*8760)</f>
        <v/>
      </c>
      <c r="AZ21" s="1">
        <f>O21/F21</f>
        <v/>
      </c>
      <c r="BA21" s="1">
        <f>BP21+BQ21+BS21-BL21+BR21+BT21</f>
        <v/>
      </c>
      <c r="BB21" s="1">
        <f>(Q21+R21)*-1*(I21+K21)/F21</f>
        <v/>
      </c>
      <c r="BC21" s="1">
        <f>BA21*Q21</f>
        <v/>
      </c>
      <c r="BD21" s="1">
        <f>SUM(BP21:BR21)-BL21</f>
        <v/>
      </c>
      <c r="BE21" s="1">
        <f>(I21+K21)/F21*-1*R21</f>
        <v/>
      </c>
      <c r="BF21" s="1">
        <f>BD21*Q21</f>
        <v/>
      </c>
      <c r="BH21" s="9">
        <f>H21</f>
        <v/>
      </c>
      <c r="BI21" s="10" t="n">
        <v>0.181048235160161</v>
      </c>
      <c r="BJ21" s="9" t="n">
        <v>0.23037491</v>
      </c>
      <c r="BL21" s="10">
        <f>BH21/F21</f>
        <v/>
      </c>
      <c r="BM21" s="10">
        <f>BI21*G21/F21</f>
        <v/>
      </c>
      <c r="BN21" s="10">
        <f>SUM(BL21:BM21)</f>
        <v/>
      </c>
      <c r="BP21" s="10">
        <f>BJ21</f>
        <v/>
      </c>
      <c r="BQ21" s="10">
        <f>J21/F21</f>
        <v/>
      </c>
      <c r="BR21" s="10">
        <f>L21/F21</f>
        <v/>
      </c>
      <c r="BS21" s="10">
        <f>I21/F21</f>
        <v/>
      </c>
      <c r="BT21" s="10">
        <f>K21/F21</f>
        <v/>
      </c>
      <c r="BU21" s="10">
        <f>SUM(BP21:BT21)</f>
        <v/>
      </c>
      <c r="BW21" s="1">
        <f>BN21-BU21</f>
        <v/>
      </c>
    </row>
    <row r="22">
      <c r="B22" s="13" t="inlineStr">
        <is>
          <t>SE_Bio_Ethanol_CCS_20_Herb</t>
        </is>
      </c>
      <c r="C22" s="12" t="inlineStr">
        <is>
          <t>Biomass_Herb</t>
        </is>
      </c>
      <c r="D22" s="12" t="n">
        <v>0</v>
      </c>
      <c r="E22" s="12" t="n">
        <v>0</v>
      </c>
      <c r="F22" s="12" t="n">
        <v>1.9815</v>
      </c>
      <c r="G22" s="12" t="n">
        <v>0</v>
      </c>
      <c r="H22" s="12" t="n">
        <v>1.717</v>
      </c>
      <c r="I22" s="12" t="n">
        <v>0.2580521500958789</v>
      </c>
      <c r="J22" s="12" t="n">
        <v>1.002460501798801</v>
      </c>
      <c r="K22" s="12" t="n">
        <v>0</v>
      </c>
      <c r="L22" s="12" t="n">
        <v>0</v>
      </c>
      <c r="M22" s="12" t="n">
        <v>293026.95</v>
      </c>
      <c r="N22" s="12" t="n">
        <v>154950.42</v>
      </c>
      <c r="O22" s="12" t="n">
        <v>0.48</v>
      </c>
      <c r="Q22" s="15" t="n">
        <v>0</v>
      </c>
      <c r="R22" s="15" t="n">
        <v>-5.914702</v>
      </c>
      <c r="S22" s="15" t="n">
        <v>100</v>
      </c>
      <c r="T22" s="15" t="n">
        <v>69.166622</v>
      </c>
      <c r="U22" s="15" t="n">
        <v>46.05675</v>
      </c>
      <c r="V22" s="15" t="n">
        <v>41.170372</v>
      </c>
      <c r="W22" s="16" t="n">
        <v>45.289647</v>
      </c>
      <c r="X22" s="16" t="n">
        <v>45.289647</v>
      </c>
      <c r="Y22" s="15" t="n">
        <v>33.298446</v>
      </c>
      <c r="Z22" s="15" t="n">
        <v>36.471022</v>
      </c>
      <c r="AA22" s="15" t="n"/>
      <c r="AB22" s="16" t="n">
        <v>51.059951</v>
      </c>
      <c r="AC22" s="16" t="n">
        <v>51.059951</v>
      </c>
      <c r="AD22" s="16" t="n">
        <v>107.876772</v>
      </c>
      <c r="AE22" s="16" t="n">
        <v>107.876772</v>
      </c>
      <c r="AF22" s="16" t="n">
        <v>96.945356</v>
      </c>
      <c r="AG22" s="16" t="n">
        <v>96.945356</v>
      </c>
      <c r="AH22" s="15" t="n">
        <v>14.089638</v>
      </c>
      <c r="AI22" s="15" t="n">
        <v>14.089638</v>
      </c>
      <c r="AJ22" s="15" t="n">
        <v>0</v>
      </c>
      <c r="AK22" s="15" t="n">
        <v>5000</v>
      </c>
      <c r="AM22" s="1">
        <f>B22</f>
        <v/>
      </c>
      <c r="AN22" s="1">
        <f>C22</f>
        <v/>
      </c>
      <c r="AO22" s="11">
        <f>SUM(AT22:AZ22)+BB22+BC22</f>
        <v/>
      </c>
      <c r="AP22" s="11">
        <f>SUM(AT22:AZ22)+BE22+BF22</f>
        <v/>
      </c>
      <c r="AQ22" s="11">
        <f>AO22/3.6</f>
        <v/>
      </c>
      <c r="AR22" s="11">
        <f>AP22/3.6</f>
        <v/>
      </c>
      <c r="AS22" s="5">
        <f>AO22-AP22</f>
        <v/>
      </c>
      <c r="AT22" s="1">
        <f>D22/F22*Y22*-1</f>
        <v/>
      </c>
      <c r="AU22" s="1">
        <f>E22/F22*Y22</f>
        <v/>
      </c>
      <c r="AV22" s="1">
        <f t="array" ref="AV22">_xlfn.IFS(C22="Biomass_Corn", 1/F22*S22, C22="Biomass_Agri", 1/F22*V22, C22="Biomass_Wood", 1/F22*U22, C22="Biomass_Herb", 1/F22*T22)</f>
        <v/>
      </c>
      <c r="AW22" s="1">
        <f>G22/F22*AH22</f>
        <v/>
      </c>
      <c r="AX22" s="1">
        <f>M22/F22/(0.9*8760)</f>
        <v/>
      </c>
      <c r="AY22" s="1">
        <f>N22/F22/(0.9*8760)</f>
        <v/>
      </c>
      <c r="AZ22" s="1">
        <f>O22/F22</f>
        <v/>
      </c>
      <c r="BA22" s="1">
        <f>BP22+BQ22+BS22-BL22+BR22+BT22</f>
        <v/>
      </c>
      <c r="BB22" s="1">
        <f>(Q22+R22)*-1*(I22+K22)/F22</f>
        <v/>
      </c>
      <c r="BC22" s="1">
        <f>BA22*Q22</f>
        <v/>
      </c>
      <c r="BD22" s="1">
        <f>SUM(BP22:BR22)-BL22</f>
        <v/>
      </c>
      <c r="BE22" s="1">
        <f>(I22+K22)/F22*-1*R22</f>
        <v/>
      </c>
      <c r="BF22" s="1">
        <f>BD22*Q22</f>
        <v/>
      </c>
      <c r="BH22" s="9">
        <f>H22</f>
        <v/>
      </c>
      <c r="BI22" s="10" t="n">
        <v>0.181048235160161</v>
      </c>
      <c r="BJ22" s="9" t="n">
        <v>0.23037491</v>
      </c>
      <c r="BL22" s="10">
        <f>BH22/F22</f>
        <v/>
      </c>
      <c r="BM22" s="10">
        <f>BI22*G22/F22</f>
        <v/>
      </c>
      <c r="BN22" s="10">
        <f>SUM(BL22:BM22)</f>
        <v/>
      </c>
      <c r="BP22" s="10">
        <f>BJ22</f>
        <v/>
      </c>
      <c r="BQ22" s="10">
        <f>J22/F22</f>
        <v/>
      </c>
      <c r="BR22" s="10">
        <f>L22/F22</f>
        <v/>
      </c>
      <c r="BS22" s="10">
        <f>I22/F22</f>
        <v/>
      </c>
      <c r="BT22" s="10">
        <f>K22/F22</f>
        <v/>
      </c>
      <c r="BU22" s="10">
        <f>SUM(BP22:BT22)</f>
        <v/>
      </c>
      <c r="BW22" s="1">
        <f>BN22-BU22</f>
        <v/>
      </c>
    </row>
    <row r="23">
      <c r="B23" s="13" t="inlineStr">
        <is>
          <t>TX_Bio_Ethanol_CCS_20_Herb</t>
        </is>
      </c>
      <c r="C23" s="12" t="inlineStr">
        <is>
          <t>Biomass_Herb</t>
        </is>
      </c>
      <c r="D23" s="12" t="n">
        <v>0</v>
      </c>
      <c r="E23" s="12" t="n">
        <v>0</v>
      </c>
      <c r="F23" s="12" t="n">
        <v>1.9761</v>
      </c>
      <c r="G23" s="12" t="n">
        <v>0</v>
      </c>
      <c r="H23" s="12" t="n">
        <v>1.714</v>
      </c>
      <c r="I23" s="12" t="n">
        <v>0.2576947266066045</v>
      </c>
      <c r="J23" s="12" t="n">
        <v>1.001072011409244</v>
      </c>
      <c r="K23" s="12" t="n">
        <v>0</v>
      </c>
      <c r="L23" s="12" t="n">
        <v>0</v>
      </c>
      <c r="M23" s="12" t="n">
        <v>293026.95</v>
      </c>
      <c r="N23" s="12" t="n">
        <v>154950.42</v>
      </c>
      <c r="O23" s="12" t="n">
        <v>0.48</v>
      </c>
      <c r="Q23" s="15" t="n">
        <v>0</v>
      </c>
      <c r="R23" s="15" t="n">
        <v>14.732097</v>
      </c>
      <c r="S23" s="15" t="n">
        <v>100</v>
      </c>
      <c r="T23" s="15" t="n">
        <v>73.00646</v>
      </c>
      <c r="U23" s="15" t="n">
        <v>69.643664</v>
      </c>
      <c r="V23" s="15" t="n">
        <v>43.030303</v>
      </c>
      <c r="W23" s="16" t="n">
        <v>45.289647</v>
      </c>
      <c r="X23" s="16" t="n">
        <v>45.289647</v>
      </c>
      <c r="Y23" s="15" t="n">
        <v>19.019146</v>
      </c>
      <c r="Z23" s="15" t="n">
        <v>23.790747</v>
      </c>
      <c r="AA23" s="15" t="n"/>
      <c r="AB23" s="16" t="n">
        <v>51.059951</v>
      </c>
      <c r="AC23" s="16" t="n">
        <v>51.059951</v>
      </c>
      <c r="AD23" s="16" t="n">
        <v>107.876772</v>
      </c>
      <c r="AE23" s="16" t="n">
        <v>107.876772</v>
      </c>
      <c r="AF23" s="16" t="n">
        <v>96.945356</v>
      </c>
      <c r="AG23" s="16" t="n">
        <v>96.945356</v>
      </c>
      <c r="AH23" s="15" t="n">
        <v>13.326077</v>
      </c>
      <c r="AI23" s="15" t="n">
        <v>13.326077</v>
      </c>
      <c r="AJ23" s="15" t="n">
        <v>0</v>
      </c>
      <c r="AK23" s="15" t="n">
        <v>5000</v>
      </c>
      <c r="AM23" s="1">
        <f>B23</f>
        <v/>
      </c>
      <c r="AN23" s="1">
        <f>C23</f>
        <v/>
      </c>
      <c r="AO23" s="11">
        <f>SUM(AT23:AZ23)+BB23+BC23</f>
        <v/>
      </c>
      <c r="AP23" s="11">
        <f>SUM(AT23:AZ23)+BE23+BF23</f>
        <v/>
      </c>
      <c r="AQ23" s="11">
        <f>AO23/3.6</f>
        <v/>
      </c>
      <c r="AR23" s="11">
        <f>AP23/3.6</f>
        <v/>
      </c>
      <c r="AS23" s="5">
        <f>AO23-AP23</f>
        <v/>
      </c>
      <c r="AT23" s="1">
        <f>D23/F23*Y23*-1</f>
        <v/>
      </c>
      <c r="AU23" s="1">
        <f>E23/F23*Y23</f>
        <v/>
      </c>
      <c r="AV23" s="1">
        <f t="array" ref="AV23">_xlfn.IFS(C23="Biomass_Corn", 1/F23*S23, C23="Biomass_Agri", 1/F23*V23, C23="Biomass_Wood", 1/F23*U23, C23="Biomass_Herb", 1/F23*T23)</f>
        <v/>
      </c>
      <c r="AW23" s="1">
        <f>G23/F23*AH23</f>
        <v/>
      </c>
      <c r="AX23" s="1">
        <f>M23/F23/(0.9*8760)</f>
        <v/>
      </c>
      <c r="AY23" s="1">
        <f>N23/F23/(0.9*8760)</f>
        <v/>
      </c>
      <c r="AZ23" s="1">
        <f>O23/F23</f>
        <v/>
      </c>
      <c r="BA23" s="1">
        <f>BP23+BQ23+BS23-BL23+BR23+BT23</f>
        <v/>
      </c>
      <c r="BB23" s="1">
        <f>(Q23+R23)*-1*(I23+K23)/F23</f>
        <v/>
      </c>
      <c r="BC23" s="1">
        <f>BA23*Q23</f>
        <v/>
      </c>
      <c r="BD23" s="1">
        <f>SUM(BP23:BR23)-BL23</f>
        <v/>
      </c>
      <c r="BE23" s="1">
        <f>(I23+K23)/F23*-1*R23</f>
        <v/>
      </c>
      <c r="BF23" s="1">
        <f>BD23*Q23</f>
        <v/>
      </c>
      <c r="BH23" s="9">
        <f>H23</f>
        <v/>
      </c>
      <c r="BI23" s="10" t="n">
        <v>0.181048235160161</v>
      </c>
      <c r="BJ23" s="9" t="n">
        <v>0.23037491</v>
      </c>
      <c r="BL23" s="10">
        <f>BH23/F23</f>
        <v/>
      </c>
      <c r="BM23" s="10">
        <f>BI23*G23/F23</f>
        <v/>
      </c>
      <c r="BN23" s="10">
        <f>SUM(BL23:BM23)</f>
        <v/>
      </c>
      <c r="BP23" s="10">
        <f>BJ23</f>
        <v/>
      </c>
      <c r="BQ23" s="10">
        <f>J23/F23</f>
        <v/>
      </c>
      <c r="BR23" s="10">
        <f>L23/F23</f>
        <v/>
      </c>
      <c r="BS23" s="10">
        <f>I23/F23</f>
        <v/>
      </c>
      <c r="BT23" s="10">
        <f>K23/F23</f>
        <v/>
      </c>
      <c r="BU23" s="10">
        <f>SUM(BP23:BT23)</f>
        <v/>
      </c>
      <c r="BW23" s="1">
        <f>BN23-BU23</f>
        <v/>
      </c>
    </row>
    <row r="24">
      <c r="B24" s="13" t="inlineStr">
        <is>
          <t>CEN_Bio_Ethanol_CCS_20_Wood</t>
        </is>
      </c>
      <c r="C24" s="12" t="inlineStr">
        <is>
          <t>Biomass_Wood</t>
        </is>
      </c>
      <c r="D24" s="12" t="n">
        <v>0</v>
      </c>
      <c r="E24" s="12" t="n">
        <v>0</v>
      </c>
      <c r="F24" s="12" t="n">
        <v>2.0762</v>
      </c>
      <c r="G24" s="12" t="n">
        <v>0</v>
      </c>
      <c r="H24" s="12" t="n">
        <v>1.802</v>
      </c>
      <c r="I24" s="12" t="n">
        <v>0.2709861348092534</v>
      </c>
      <c r="J24" s="12" t="n">
        <v>1.052705418577096</v>
      </c>
      <c r="K24" s="12" t="n">
        <v>0</v>
      </c>
      <c r="L24" s="12" t="n">
        <v>0</v>
      </c>
      <c r="M24" s="12" t="n">
        <v>293026.95</v>
      </c>
      <c r="N24" s="12" t="n">
        <v>154950.42</v>
      </c>
      <c r="O24" s="12" t="n">
        <v>0.48</v>
      </c>
      <c r="Q24" s="15" t="n">
        <v>0</v>
      </c>
      <c r="R24" s="15" t="n">
        <v>6.223991</v>
      </c>
      <c r="S24" s="15" t="n">
        <v>100</v>
      </c>
      <c r="T24" s="15" t="n">
        <v>72.30436899999999</v>
      </c>
      <c r="U24" s="15" t="n">
        <v>59.390495</v>
      </c>
      <c r="V24" s="15" t="n">
        <v>42.94088</v>
      </c>
      <c r="W24" s="16" t="n">
        <v>45.289647</v>
      </c>
      <c r="X24" s="16" t="n">
        <v>45.289647</v>
      </c>
      <c r="Y24" s="15" t="n">
        <v>22.958189</v>
      </c>
      <c r="Z24" s="15" t="n">
        <v>28.593352</v>
      </c>
      <c r="AA24" s="15" t="n"/>
      <c r="AB24" s="16" t="n">
        <v>51.059951</v>
      </c>
      <c r="AC24" s="16" t="n">
        <v>51.059951</v>
      </c>
      <c r="AD24" s="16" t="n">
        <v>107.876772</v>
      </c>
      <c r="AE24" s="16" t="n">
        <v>107.876772</v>
      </c>
      <c r="AF24" s="16" t="n">
        <v>96.945356</v>
      </c>
      <c r="AG24" s="16" t="n">
        <v>96.945356</v>
      </c>
      <c r="AH24" s="15" t="n">
        <v>14.066295</v>
      </c>
      <c r="AI24" s="15" t="n">
        <v>14.066295</v>
      </c>
      <c r="AJ24" s="15" t="n">
        <v>0</v>
      </c>
      <c r="AK24" s="15" t="n">
        <v>5000</v>
      </c>
      <c r="AM24" s="1">
        <f>B24</f>
        <v/>
      </c>
      <c r="AN24" s="1">
        <f>C24</f>
        <v/>
      </c>
      <c r="AO24" s="11">
        <f>SUM(AT24:AZ24)+BB24+BC24</f>
        <v/>
      </c>
      <c r="AP24" s="11">
        <f>SUM(AT24:AZ24)+BE24+BF24</f>
        <v/>
      </c>
      <c r="AQ24" s="11">
        <f>AO24/3.6</f>
        <v/>
      </c>
      <c r="AR24" s="11">
        <f>AP24/3.6</f>
        <v/>
      </c>
      <c r="AS24" s="5">
        <f>AO24-AP24</f>
        <v/>
      </c>
      <c r="AT24" s="1">
        <f>D24/F24*Y24*-1</f>
        <v/>
      </c>
      <c r="AU24" s="1">
        <f>E24/F24*Y24</f>
        <v/>
      </c>
      <c r="AV24" s="1">
        <f t="array" ref="AV24">_xlfn.IFS(C24="Biomass_Corn", 1/F24*S24, C24="Biomass_Agri", 1/F24*V24, C24="Biomass_Wood", 1/F24*U24, C24="Biomass_Herb", 1/F24*T24)</f>
        <v/>
      </c>
      <c r="AW24" s="1">
        <f>G24/F24*AH24</f>
        <v/>
      </c>
      <c r="AX24" s="1">
        <f>M24/F24/(0.9*8760)</f>
        <v/>
      </c>
      <c r="AY24" s="1">
        <f>N24/F24/(0.9*8760)</f>
        <v/>
      </c>
      <c r="AZ24" s="1">
        <f>O24/F24</f>
        <v/>
      </c>
      <c r="BA24" s="1">
        <f>BP24+BQ24+BS24-BL24+BR24+BT24</f>
        <v/>
      </c>
      <c r="BB24" s="1">
        <f>(Q24+R24)*-1*(I24+K24)/F24</f>
        <v/>
      </c>
      <c r="BC24" s="1">
        <f>BA24*Q24</f>
        <v/>
      </c>
      <c r="BD24" s="1">
        <f>SUM(BP24:BR24)-BL24</f>
        <v/>
      </c>
      <c r="BE24" s="1">
        <f>(I24+K24)/F24*-1*R24</f>
        <v/>
      </c>
      <c r="BF24" s="1">
        <f>BD24*Q24</f>
        <v/>
      </c>
      <c r="BH24" s="9">
        <f>H24</f>
        <v/>
      </c>
      <c r="BI24" s="10" t="n">
        <v>0.181048235160161</v>
      </c>
      <c r="BJ24" s="9" t="n">
        <v>0.23037491</v>
      </c>
      <c r="BL24" s="10">
        <f>BH24/F24</f>
        <v/>
      </c>
      <c r="BM24" s="10">
        <f>BI24*G24/F24</f>
        <v/>
      </c>
      <c r="BN24" s="10">
        <f>SUM(BL24:BM24)</f>
        <v/>
      </c>
      <c r="BP24" s="10">
        <f>BJ24</f>
        <v/>
      </c>
      <c r="BQ24" s="10">
        <f>J24/F24</f>
        <v/>
      </c>
      <c r="BR24" s="10">
        <f>L24/F24</f>
        <v/>
      </c>
      <c r="BS24" s="10">
        <f>I24/F24</f>
        <v/>
      </c>
      <c r="BT24" s="10">
        <f>K24/F24</f>
        <v/>
      </c>
      <c r="BU24" s="10">
        <f>SUM(BP24:BT24)</f>
        <v/>
      </c>
      <c r="BW24" s="1">
        <f>BN24-BU24</f>
        <v/>
      </c>
    </row>
    <row r="25">
      <c r="B25" s="13" t="inlineStr">
        <is>
          <t>MIDAT_Bio_Ethanol_CCS_20_Wood</t>
        </is>
      </c>
      <c r="C25" s="12" t="inlineStr">
        <is>
          <t>Biomass_Wood</t>
        </is>
      </c>
      <c r="D25" s="12" t="n">
        <v>0</v>
      </c>
      <c r="E25" s="12" t="n">
        <v>0</v>
      </c>
      <c r="F25" s="12" t="n">
        <v>2.0697</v>
      </c>
      <c r="G25" s="12" t="n">
        <v>0</v>
      </c>
      <c r="H25" s="12" t="n">
        <v>1.806</v>
      </c>
      <c r="I25" s="12" t="n">
        <v>0.2721130986221241</v>
      </c>
      <c r="J25" s="12" t="n">
        <v>1.057083358109627</v>
      </c>
      <c r="K25" s="12" t="n">
        <v>0</v>
      </c>
      <c r="L25" s="12" t="n">
        <v>0</v>
      </c>
      <c r="M25" s="12" t="n">
        <v>293026.95</v>
      </c>
      <c r="N25" s="12" t="n">
        <v>154950.42</v>
      </c>
      <c r="O25" s="12" t="n">
        <v>0.48</v>
      </c>
      <c r="Q25" s="15" t="n">
        <v>0</v>
      </c>
      <c r="R25" s="15" t="n">
        <v>-14.741173</v>
      </c>
      <c r="S25" s="15" t="n">
        <v>100</v>
      </c>
      <c r="T25" s="15" t="n">
        <v>69.370717</v>
      </c>
      <c r="U25" s="15" t="n">
        <v>45.972292</v>
      </c>
      <c r="V25" s="15" t="n">
        <v>42.940257</v>
      </c>
      <c r="W25" s="16" t="n">
        <v>45.289647</v>
      </c>
      <c r="X25" s="16" t="n">
        <v>45.289647</v>
      </c>
      <c r="Y25" s="15" t="n">
        <v>35.672332</v>
      </c>
      <c r="Z25" s="15" t="n">
        <v>37.202448</v>
      </c>
      <c r="AA25" s="15" t="n"/>
      <c r="AB25" s="16" t="n">
        <v>51.059951</v>
      </c>
      <c r="AC25" s="16" t="n">
        <v>51.059951</v>
      </c>
      <c r="AD25" s="16" t="n">
        <v>107.876772</v>
      </c>
      <c r="AE25" s="16" t="n">
        <v>107.876772</v>
      </c>
      <c r="AF25" s="16" t="n">
        <v>96.945356</v>
      </c>
      <c r="AG25" s="16" t="n">
        <v>96.945356</v>
      </c>
      <c r="AH25" s="15" t="n">
        <v>15.046822</v>
      </c>
      <c r="AI25" s="15" t="n">
        <v>15.046822</v>
      </c>
      <c r="AJ25" s="15" t="n">
        <v>0</v>
      </c>
      <c r="AK25" s="15" t="n">
        <v>5000</v>
      </c>
      <c r="AM25" s="1">
        <f>B25</f>
        <v/>
      </c>
      <c r="AN25" s="1">
        <f>C25</f>
        <v/>
      </c>
      <c r="AO25" s="11">
        <f>SUM(AT25:AZ25)+BB25+BC25</f>
        <v/>
      </c>
      <c r="AP25" s="11">
        <f>SUM(AT25:AZ25)+BE25+BF25</f>
        <v/>
      </c>
      <c r="AQ25" s="11">
        <f>AO25/3.6</f>
        <v/>
      </c>
      <c r="AR25" s="11">
        <f>AP25/3.6</f>
        <v/>
      </c>
      <c r="AS25" s="5">
        <f>AO25-AP25</f>
        <v/>
      </c>
      <c r="AT25" s="1">
        <f>D25/F25*Y25*-1</f>
        <v/>
      </c>
      <c r="AU25" s="1">
        <f>E25/F25*Y25</f>
        <v/>
      </c>
      <c r="AV25" s="1">
        <f t="array" ref="AV25">_xlfn.IFS(C25="Biomass_Corn", 1/F25*S25, C25="Biomass_Agri", 1/F25*V25, C25="Biomass_Wood", 1/F25*U25, C25="Biomass_Herb", 1/F25*T25)</f>
        <v/>
      </c>
      <c r="AW25" s="1">
        <f>G25/F25*AH25</f>
        <v/>
      </c>
      <c r="AX25" s="1">
        <f>M25/F25/(0.9*8760)</f>
        <v/>
      </c>
      <c r="AY25" s="1">
        <f>N25/F25/(0.9*8760)</f>
        <v/>
      </c>
      <c r="AZ25" s="1">
        <f>O25/F25</f>
        <v/>
      </c>
      <c r="BA25" s="1">
        <f>BP25+BQ25+BS25-BL25+BR25+BT25</f>
        <v/>
      </c>
      <c r="BB25" s="1">
        <f>(Q25+R25)*-1*(I25+K25)/F25</f>
        <v/>
      </c>
      <c r="BC25" s="1">
        <f>BA25*Q25</f>
        <v/>
      </c>
      <c r="BD25" s="1">
        <f>SUM(BP25:BR25)-BL25</f>
        <v/>
      </c>
      <c r="BE25" s="1">
        <f>(I25+K25)/F25*-1*R25</f>
        <v/>
      </c>
      <c r="BF25" s="1">
        <f>BD25*Q25</f>
        <v/>
      </c>
      <c r="BH25" s="9">
        <f>H25</f>
        <v/>
      </c>
      <c r="BI25" s="10" t="n">
        <v>0.181048235160161</v>
      </c>
      <c r="BJ25" s="9" t="n">
        <v>0.23037491</v>
      </c>
      <c r="BL25" s="10">
        <f>BH25/F25</f>
        <v/>
      </c>
      <c r="BM25" s="10">
        <f>BI25*G25/F25</f>
        <v/>
      </c>
      <c r="BN25" s="10">
        <f>SUM(BL25:BM25)</f>
        <v/>
      </c>
      <c r="BP25" s="10">
        <f>BJ25</f>
        <v/>
      </c>
      <c r="BQ25" s="10">
        <f>J25/F25</f>
        <v/>
      </c>
      <c r="BR25" s="10">
        <f>L25/F25</f>
        <v/>
      </c>
      <c r="BS25" s="10">
        <f>I25/F25</f>
        <v/>
      </c>
      <c r="BT25" s="10">
        <f>K25/F25</f>
        <v/>
      </c>
      <c r="BU25" s="10">
        <f>SUM(BP25:BT25)</f>
        <v/>
      </c>
      <c r="BW25" s="1">
        <f>BN25-BU25</f>
        <v/>
      </c>
    </row>
    <row r="26">
      <c r="B26" s="13" t="inlineStr">
        <is>
          <t>NCEN_Bio_Ethanol_CCS_20_Wood</t>
        </is>
      </c>
      <c r="C26" s="12" t="inlineStr">
        <is>
          <t>Biomass_Wood</t>
        </is>
      </c>
      <c r="D26" s="12" t="n">
        <v>0</v>
      </c>
      <c r="E26" s="12" t="n">
        <v>0</v>
      </c>
      <c r="F26" s="12" t="n">
        <v>2.0751</v>
      </c>
      <c r="G26" s="12" t="n">
        <v>0</v>
      </c>
      <c r="H26" s="12" t="n">
        <v>1.802</v>
      </c>
      <c r="I26" s="12" t="n">
        <v>0.2710374821113985</v>
      </c>
      <c r="J26" s="12" t="n">
        <v>1.052904888499184</v>
      </c>
      <c r="K26" s="12" t="n">
        <v>0</v>
      </c>
      <c r="L26" s="12" t="n">
        <v>0</v>
      </c>
      <c r="M26" s="12" t="n">
        <v>293026.95</v>
      </c>
      <c r="N26" s="12" t="n">
        <v>154950.42</v>
      </c>
      <c r="O26" s="12" t="n">
        <v>0.48</v>
      </c>
      <c r="Q26" s="15" t="n">
        <v>0</v>
      </c>
      <c r="R26" s="15" t="n">
        <v>-0.911528</v>
      </c>
      <c r="S26" s="15" t="n">
        <v>100</v>
      </c>
      <c r="T26" s="15" t="n">
        <v>69.911137</v>
      </c>
      <c r="U26" s="15" t="n">
        <v>44.79442</v>
      </c>
      <c r="V26" s="15" t="n">
        <v>43.323942</v>
      </c>
      <c r="W26" s="16" t="n">
        <v>45.289647</v>
      </c>
      <c r="X26" s="16" t="n">
        <v>45.289647</v>
      </c>
      <c r="Y26" s="15" t="n">
        <v>29.249237</v>
      </c>
      <c r="Z26" s="15" t="n">
        <v>34.631601</v>
      </c>
      <c r="AA26" s="15" t="n"/>
      <c r="AB26" s="16" t="n">
        <v>51.059951</v>
      </c>
      <c r="AC26" s="16" t="n">
        <v>51.059951</v>
      </c>
      <c r="AD26" s="16" t="n">
        <v>107.876772</v>
      </c>
      <c r="AE26" s="16" t="n">
        <v>107.876772</v>
      </c>
      <c r="AF26" s="16" t="n">
        <v>96.945356</v>
      </c>
      <c r="AG26" s="16" t="n">
        <v>96.945356</v>
      </c>
      <c r="AH26" s="15" t="n">
        <v>14.089942</v>
      </c>
      <c r="AI26" s="15" t="n">
        <v>14.089942</v>
      </c>
      <c r="AJ26" s="15" t="n">
        <v>0</v>
      </c>
      <c r="AK26" s="15" t="n">
        <v>5000</v>
      </c>
      <c r="AM26" s="1">
        <f>B26</f>
        <v/>
      </c>
      <c r="AN26" s="1">
        <f>C26</f>
        <v/>
      </c>
      <c r="AO26" s="11">
        <f>SUM(AT26:AZ26)+BB26+BC26</f>
        <v/>
      </c>
      <c r="AP26" s="11">
        <f>SUM(AT26:AZ26)+BE26+BF26</f>
        <v/>
      </c>
      <c r="AQ26" s="11">
        <f>AO26/3.6</f>
        <v/>
      </c>
      <c r="AR26" s="11">
        <f>AP26/3.6</f>
        <v/>
      </c>
      <c r="AS26" s="5">
        <f>AO26-AP26</f>
        <v/>
      </c>
      <c r="AT26" s="1">
        <f>D26/F26*Y26*-1</f>
        <v/>
      </c>
      <c r="AU26" s="1">
        <f>E26/F26*Y26</f>
        <v/>
      </c>
      <c r="AV26" s="1">
        <f t="array" ref="AV26">_xlfn.IFS(C26="Biomass_Corn", 1/F26*S26, C26="Biomass_Agri", 1/F26*V26, C26="Biomass_Wood", 1/F26*U26, C26="Biomass_Herb", 1/F26*T26)</f>
        <v/>
      </c>
      <c r="AW26" s="1">
        <f>G26/F26*AH26</f>
        <v/>
      </c>
      <c r="AX26" s="1">
        <f>M26/F26/(0.9*8760)</f>
        <v/>
      </c>
      <c r="AY26" s="1">
        <f>N26/F26/(0.9*8760)</f>
        <v/>
      </c>
      <c r="AZ26" s="1">
        <f>O26/F26</f>
        <v/>
      </c>
      <c r="BA26" s="1">
        <f>BP26+BQ26+BS26-BL26+BR26+BT26</f>
        <v/>
      </c>
      <c r="BB26" s="1">
        <f>(Q26+R26)*-1*(I26+K26)/F26</f>
        <v/>
      </c>
      <c r="BC26" s="1">
        <f>BA26*Q26</f>
        <v/>
      </c>
      <c r="BD26" s="1">
        <f>SUM(BP26:BR26)-BL26</f>
        <v/>
      </c>
      <c r="BE26" s="1">
        <f>(I26+K26)/F26*-1*R26</f>
        <v/>
      </c>
      <c r="BF26" s="1">
        <f>BD26*Q26</f>
        <v/>
      </c>
      <c r="BH26" s="9">
        <f>H26</f>
        <v/>
      </c>
      <c r="BI26" s="10" t="n">
        <v>0.181048235160161</v>
      </c>
      <c r="BJ26" s="9" t="n">
        <v>0.23037491</v>
      </c>
      <c r="BL26" s="10">
        <f>BH26/F26</f>
        <v/>
      </c>
      <c r="BM26" s="10">
        <f>BI26*G26/F26</f>
        <v/>
      </c>
      <c r="BN26" s="10">
        <f>SUM(BL26:BM26)</f>
        <v/>
      </c>
      <c r="BP26" s="10">
        <f>BJ26</f>
        <v/>
      </c>
      <c r="BQ26" s="10">
        <f>J26/F26</f>
        <v/>
      </c>
      <c r="BR26" s="10">
        <f>L26/F26</f>
        <v/>
      </c>
      <c r="BS26" s="10">
        <f>I26/F26</f>
        <v/>
      </c>
      <c r="BT26" s="10">
        <f>K26/F26</f>
        <v/>
      </c>
      <c r="BU26" s="10">
        <f>SUM(BP26:BT26)</f>
        <v/>
      </c>
      <c r="BW26" s="1">
        <f>BN26-BU26</f>
        <v/>
      </c>
    </row>
    <row r="27">
      <c r="B27" s="13" t="inlineStr">
        <is>
          <t>SE_Bio_Ethanol_CCS_20_Wood</t>
        </is>
      </c>
      <c r="C27" s="12" t="inlineStr">
        <is>
          <t>Biomass_Wood</t>
        </is>
      </c>
      <c r="D27" s="12" t="n">
        <v>0</v>
      </c>
      <c r="E27" s="12" t="n">
        <v>0</v>
      </c>
      <c r="F27" s="12" t="n">
        <v>2.0838</v>
      </c>
      <c r="G27" s="12" t="n">
        <v>0</v>
      </c>
      <c r="H27" s="12" t="n">
        <v>1.821</v>
      </c>
      <c r="I27" s="12" t="n">
        <v>0.2745163836942375</v>
      </c>
      <c r="J27" s="12" t="n">
        <v>1.066419449122475</v>
      </c>
      <c r="K27" s="12" t="n">
        <v>0</v>
      </c>
      <c r="L27" s="12" t="n">
        <v>0</v>
      </c>
      <c r="M27" s="12" t="n">
        <v>293026.95</v>
      </c>
      <c r="N27" s="12" t="n">
        <v>154950.42</v>
      </c>
      <c r="O27" s="12" t="n">
        <v>0.48</v>
      </c>
      <c r="Q27" s="15" t="n">
        <v>0</v>
      </c>
      <c r="R27" s="15" t="n">
        <v>-5.914702</v>
      </c>
      <c r="S27" s="15" t="n">
        <v>100</v>
      </c>
      <c r="T27" s="15" t="n">
        <v>69.166622</v>
      </c>
      <c r="U27" s="15" t="n">
        <v>46.05675</v>
      </c>
      <c r="V27" s="15" t="n">
        <v>41.170372</v>
      </c>
      <c r="W27" s="16" t="n">
        <v>45.289647</v>
      </c>
      <c r="X27" s="16" t="n">
        <v>45.289647</v>
      </c>
      <c r="Y27" s="15" t="n">
        <v>33.298446</v>
      </c>
      <c r="Z27" s="15" t="n">
        <v>36.471022</v>
      </c>
      <c r="AA27" s="15" t="n"/>
      <c r="AB27" s="16" t="n">
        <v>51.059951</v>
      </c>
      <c r="AC27" s="16" t="n">
        <v>51.059951</v>
      </c>
      <c r="AD27" s="16" t="n">
        <v>107.876772</v>
      </c>
      <c r="AE27" s="16" t="n">
        <v>107.876772</v>
      </c>
      <c r="AF27" s="16" t="n">
        <v>96.945356</v>
      </c>
      <c r="AG27" s="16" t="n">
        <v>96.945356</v>
      </c>
      <c r="AH27" s="15" t="n">
        <v>14.089638</v>
      </c>
      <c r="AI27" s="15" t="n">
        <v>14.089638</v>
      </c>
      <c r="AJ27" s="15" t="n">
        <v>0</v>
      </c>
      <c r="AK27" s="15" t="n">
        <v>5000</v>
      </c>
      <c r="AM27" s="1">
        <f>B27</f>
        <v/>
      </c>
      <c r="AN27" s="1">
        <f>C27</f>
        <v/>
      </c>
      <c r="AO27" s="11">
        <f>SUM(AT27:AZ27)+BB27+BC27</f>
        <v/>
      </c>
      <c r="AP27" s="11">
        <f>SUM(AT27:AZ27)+BE27+BF27</f>
        <v/>
      </c>
      <c r="AQ27" s="11">
        <f>AO27/3.6</f>
        <v/>
      </c>
      <c r="AR27" s="11">
        <f>AP27/3.6</f>
        <v/>
      </c>
      <c r="AS27" s="5">
        <f>AO27-AP27</f>
        <v/>
      </c>
      <c r="AT27" s="1">
        <f>D27/F27*Y27*-1</f>
        <v/>
      </c>
      <c r="AU27" s="1">
        <f>E27/F27*Y27</f>
        <v/>
      </c>
      <c r="AV27" s="1">
        <f t="array" ref="AV27">_xlfn.IFS(C27="Biomass_Corn", 1/F27*S27, C27="Biomass_Agri", 1/F27*V27, C27="Biomass_Wood", 1/F27*U27, C27="Biomass_Herb", 1/F27*T27)</f>
        <v/>
      </c>
      <c r="AW27" s="1">
        <f>G27/F27*AH27</f>
        <v/>
      </c>
      <c r="AX27" s="1">
        <f>M27/F27/(0.9*8760)</f>
        <v/>
      </c>
      <c r="AY27" s="1">
        <f>N27/F27/(0.9*8760)</f>
        <v/>
      </c>
      <c r="AZ27" s="1">
        <f>O27/F27</f>
        <v/>
      </c>
      <c r="BA27" s="1">
        <f>BP27+BQ27+BS27-BL27+BR27+BT27</f>
        <v/>
      </c>
      <c r="BB27" s="1">
        <f>(Q27+R27)*-1*(I27+K27)/F27</f>
        <v/>
      </c>
      <c r="BC27" s="1">
        <f>BA27*Q27</f>
        <v/>
      </c>
      <c r="BD27" s="1">
        <f>SUM(BP27:BR27)-BL27</f>
        <v/>
      </c>
      <c r="BE27" s="1">
        <f>(I27+K27)/F27*-1*R27</f>
        <v/>
      </c>
      <c r="BF27" s="1">
        <f>BD27*Q27</f>
        <v/>
      </c>
      <c r="BH27" s="9">
        <f>H27</f>
        <v/>
      </c>
      <c r="BI27" s="10" t="n">
        <v>0.181048235160161</v>
      </c>
      <c r="BJ27" s="9" t="n">
        <v>0.23037491</v>
      </c>
      <c r="BL27" s="10">
        <f>BH27/F27</f>
        <v/>
      </c>
      <c r="BM27" s="10">
        <f>BI27*G27/F27</f>
        <v/>
      </c>
      <c r="BN27" s="10">
        <f>SUM(BL27:BM27)</f>
        <v/>
      </c>
      <c r="BP27" s="10">
        <f>BJ27</f>
        <v/>
      </c>
      <c r="BQ27" s="10">
        <f>J27/F27</f>
        <v/>
      </c>
      <c r="BR27" s="10">
        <f>L27/F27</f>
        <v/>
      </c>
      <c r="BS27" s="10">
        <f>I27/F27</f>
        <v/>
      </c>
      <c r="BT27" s="10">
        <f>K27/F27</f>
        <v/>
      </c>
      <c r="BU27" s="10">
        <f>SUM(BP27:BT27)</f>
        <v/>
      </c>
      <c r="BW27" s="1">
        <f>BN27-BU27</f>
        <v/>
      </c>
    </row>
    <row r="28">
      <c r="B28" s="13" t="inlineStr">
        <is>
          <t>TX_Bio_Ethanol_CCS_20_Wood</t>
        </is>
      </c>
      <c r="C28" s="12" t="inlineStr">
        <is>
          <t>Biomass_Wood</t>
        </is>
      </c>
      <c r="D28" s="12" t="n">
        <v>0</v>
      </c>
      <c r="E28" s="12" t="n">
        <v>0</v>
      </c>
      <c r="F28" s="12" t="n">
        <v>2.0577</v>
      </c>
      <c r="G28" s="12" t="n">
        <v>0</v>
      </c>
      <c r="H28" s="12" t="n">
        <v>1.821</v>
      </c>
      <c r="I28" s="12" t="n">
        <v>0.2757487189457204</v>
      </c>
      <c r="J28" s="12" t="n">
        <v>1.071206727252601</v>
      </c>
      <c r="K28" s="12" t="n">
        <v>0</v>
      </c>
      <c r="L28" s="12" t="n">
        <v>0</v>
      </c>
      <c r="M28" s="12" t="n">
        <v>293026.95</v>
      </c>
      <c r="N28" s="12" t="n">
        <v>154950.42</v>
      </c>
      <c r="O28" s="12" t="n">
        <v>0.48</v>
      </c>
      <c r="Q28" s="15" t="n">
        <v>0</v>
      </c>
      <c r="R28" s="15" t="n">
        <v>14.732097</v>
      </c>
      <c r="S28" s="15" t="n">
        <v>100</v>
      </c>
      <c r="T28" s="15" t="n">
        <v>73.00646</v>
      </c>
      <c r="U28" s="15" t="n">
        <v>69.643664</v>
      </c>
      <c r="V28" s="15" t="n">
        <v>43.030303</v>
      </c>
      <c r="W28" s="16" t="n">
        <v>45.289647</v>
      </c>
      <c r="X28" s="16" t="n">
        <v>45.289647</v>
      </c>
      <c r="Y28" s="15" t="n">
        <v>19.019146</v>
      </c>
      <c r="Z28" s="15" t="n">
        <v>23.790747</v>
      </c>
      <c r="AA28" s="15" t="n"/>
      <c r="AB28" s="16" t="n">
        <v>51.059951</v>
      </c>
      <c r="AC28" s="16" t="n">
        <v>51.059951</v>
      </c>
      <c r="AD28" s="16" t="n">
        <v>107.876772</v>
      </c>
      <c r="AE28" s="16" t="n">
        <v>107.876772</v>
      </c>
      <c r="AF28" s="16" t="n">
        <v>96.945356</v>
      </c>
      <c r="AG28" s="16" t="n">
        <v>96.945356</v>
      </c>
      <c r="AH28" s="15" t="n">
        <v>13.326077</v>
      </c>
      <c r="AI28" s="15" t="n">
        <v>13.326077</v>
      </c>
      <c r="AJ28" s="15" t="n">
        <v>0</v>
      </c>
      <c r="AK28" s="15" t="n">
        <v>5000</v>
      </c>
      <c r="AM28">
        <f>B28</f>
        <v/>
      </c>
      <c r="AN28">
        <f>C28</f>
        <v/>
      </c>
      <c r="AO28" s="11">
        <f>SUM(AT28:AZ28)+BB28+BC28</f>
        <v/>
      </c>
      <c r="AP28" s="11">
        <f>SUM(AT28:AZ28)+BE28+BF28</f>
        <v/>
      </c>
      <c r="AQ28" s="11">
        <f>AO28/3.6</f>
        <v/>
      </c>
      <c r="AR28" s="11">
        <f>AP28/3.6</f>
        <v/>
      </c>
      <c r="AS28" s="5">
        <f>AO28-AP28</f>
        <v/>
      </c>
      <c r="AT28">
        <f>D28/F28*Y28*-1</f>
        <v/>
      </c>
      <c r="AU28">
        <f>E28/F28*Y28</f>
        <v/>
      </c>
      <c r="AV28" s="1">
        <f t="array" ref="AV28">_xlfn.IFS(C28="Biomass_Corn", 1/F28*S28, C28="Biomass_Agri", 1/F28*V28, C28="Biomass_Wood", 1/F28*U28, C28="Biomass_Herb", 1/F28*T28)</f>
        <v/>
      </c>
      <c r="AW28">
        <f>G28/F28*AH28</f>
        <v/>
      </c>
      <c r="AX28">
        <f>M28/F28/(0.9*8760)</f>
        <v/>
      </c>
      <c r="AY28">
        <f>N28/F28/(0.9*8760)</f>
        <v/>
      </c>
      <c r="AZ28">
        <f>O28/F28</f>
        <v/>
      </c>
      <c r="BA28" s="1">
        <f>BP28+BQ28+BS28-BL28+BR28+BT28</f>
        <v/>
      </c>
      <c r="BB28" s="1">
        <f>(Q28+R28)*-1*(I28+K28)/F28</f>
        <v/>
      </c>
      <c r="BC28">
        <f>BA28*Q28</f>
        <v/>
      </c>
      <c r="BD28">
        <f>SUM(BP28:BR28)-BL28</f>
        <v/>
      </c>
      <c r="BE28" s="1">
        <f>(I28+K28)/F28*-1*R28</f>
        <v/>
      </c>
      <c r="BF28">
        <f>BD28*Q28</f>
        <v/>
      </c>
      <c r="BH28" s="9">
        <f>H28</f>
        <v/>
      </c>
      <c r="BI28" s="10" t="n">
        <v>0.181048235160161</v>
      </c>
      <c r="BJ28" s="9" t="n">
        <v>0.23037491</v>
      </c>
      <c r="BL28" s="10">
        <f>BH28/F28</f>
        <v/>
      </c>
      <c r="BM28" s="10">
        <f>BI28*G28/F28</f>
        <v/>
      </c>
      <c r="BN28" s="10">
        <f>SUM(BL28:BM28)</f>
        <v/>
      </c>
      <c r="BP28" s="10">
        <f>BJ28</f>
        <v/>
      </c>
      <c r="BQ28" s="10">
        <f>J28/F28</f>
        <v/>
      </c>
      <c r="BR28" s="10">
        <f>L28/F28</f>
        <v/>
      </c>
      <c r="BS28" s="10">
        <f>I28/F28</f>
        <v/>
      </c>
      <c r="BT28" s="10">
        <f>K28/F28</f>
        <v/>
      </c>
      <c r="BU28" s="10">
        <f>SUM(BP28:BT28)</f>
        <v/>
      </c>
      <c r="BW28">
        <f>BN28-BU28</f>
        <v/>
      </c>
    </row>
    <row r="29">
      <c r="B29" s="13" t="inlineStr">
        <is>
          <t>CEN_Bio_Ethanol_CCS_20_Agri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1.8694</v>
      </c>
      <c r="G29" s="12" t="n">
        <v>0</v>
      </c>
      <c r="H29" s="12" t="n">
        <v>1.7</v>
      </c>
      <c r="I29" s="12" t="n">
        <v>0.2598606822168264</v>
      </c>
      <c r="J29" s="12" t="n">
        <v>1.009486143773924</v>
      </c>
      <c r="K29" s="12" t="n">
        <v>0</v>
      </c>
      <c r="L29" s="12" t="n">
        <v>0</v>
      </c>
      <c r="M29" s="12" t="n">
        <v>293026.95</v>
      </c>
      <c r="N29" s="12" t="n">
        <v>154950.42</v>
      </c>
      <c r="O29" s="12" t="n">
        <v>0.48</v>
      </c>
      <c r="Q29" s="15" t="n">
        <v>0</v>
      </c>
      <c r="R29" s="15" t="n">
        <v>6.223991</v>
      </c>
      <c r="S29" s="15" t="n">
        <v>100</v>
      </c>
      <c r="T29" s="15" t="n">
        <v>72.30436899999999</v>
      </c>
      <c r="U29" s="15" t="n">
        <v>59.390495</v>
      </c>
      <c r="V29" s="15" t="n">
        <v>42.94088</v>
      </c>
      <c r="W29" s="16" t="n">
        <v>45.289647</v>
      </c>
      <c r="X29" s="16" t="n">
        <v>45.289647</v>
      </c>
      <c r="Y29" s="15" t="n">
        <v>22.958189</v>
      </c>
      <c r="Z29" s="15" t="n">
        <v>28.593352</v>
      </c>
      <c r="AA29" s="15" t="n"/>
      <c r="AB29" s="16" t="n">
        <v>51.059951</v>
      </c>
      <c r="AC29" s="16" t="n">
        <v>51.059951</v>
      </c>
      <c r="AD29" s="16" t="n">
        <v>107.876772</v>
      </c>
      <c r="AE29" s="16" t="n">
        <v>107.876772</v>
      </c>
      <c r="AF29" s="16" t="n">
        <v>96.945356</v>
      </c>
      <c r="AG29" s="16" t="n">
        <v>96.945356</v>
      </c>
      <c r="AH29" s="15" t="n">
        <v>14.066295</v>
      </c>
      <c r="AI29" s="15" t="n">
        <v>14.066295</v>
      </c>
      <c r="AJ29" s="15" t="n">
        <v>0</v>
      </c>
      <c r="AK29" s="15" t="n">
        <v>5000</v>
      </c>
      <c r="AM29">
        <f>B29</f>
        <v/>
      </c>
      <c r="AN29">
        <f>C29</f>
        <v/>
      </c>
      <c r="AO29" s="11">
        <f>SUM(AT29:AZ29)+BB29+BC29</f>
        <v/>
      </c>
      <c r="AP29" s="11">
        <f>SUM(AT29:AZ29)+BE29+BF29</f>
        <v/>
      </c>
      <c r="AQ29" s="11">
        <f>AO29/3.6</f>
        <v/>
      </c>
      <c r="AR29" s="11">
        <f>AP29/3.6</f>
        <v/>
      </c>
      <c r="AS29" s="5">
        <f>AO29-AP29</f>
        <v/>
      </c>
      <c r="AT29">
        <f>D29/F29*Y29*-1</f>
        <v/>
      </c>
      <c r="AU29">
        <f>E29/F29*Y29</f>
        <v/>
      </c>
      <c r="AV29" s="1">
        <f t="array" ref="AV29">_xlfn.IFS(C29="Biomass_Corn", 1/F29*S29, C29="Biomass_Agri", 1/F29*V29, C29="Biomass_Wood", 1/F29*U29, C29="Biomass_Herb", 1/F29*T29)</f>
        <v/>
      </c>
      <c r="AW29">
        <f>G29/F29*AH29</f>
        <v/>
      </c>
      <c r="AX29">
        <f>M29/F29/(0.9*8760)</f>
        <v/>
      </c>
      <c r="AY29">
        <f>N29/F29/(0.9*8760)</f>
        <v/>
      </c>
      <c r="AZ29">
        <f>O29/F29</f>
        <v/>
      </c>
      <c r="BA29" s="1">
        <f>BP29+BQ29+BS29-BL29+BR29+BT29</f>
        <v/>
      </c>
      <c r="BB29" s="1">
        <f>(Q29+R29)*-1*(I29+K29)/F29</f>
        <v/>
      </c>
      <c r="BC29">
        <f>BA29*Q29</f>
        <v/>
      </c>
      <c r="BD29">
        <f>SUM(BP29:BR29)-BL29</f>
        <v/>
      </c>
      <c r="BE29" s="1">
        <f>(I29+K29)/F29*-1*R29</f>
        <v/>
      </c>
      <c r="BF29">
        <f>BD29*Q29</f>
        <v/>
      </c>
      <c r="BH29" s="9">
        <f>H29</f>
        <v/>
      </c>
      <c r="BI29" s="10" t="n">
        <v>0.181048235160161</v>
      </c>
      <c r="BJ29" s="9" t="n">
        <v>0.23037491</v>
      </c>
      <c r="BL29" s="10">
        <f>BH29/F29</f>
        <v/>
      </c>
      <c r="BM29" s="10">
        <f>BI29*G29/F29</f>
        <v/>
      </c>
      <c r="BN29" s="10">
        <f>SUM(BL29:BM29)</f>
        <v/>
      </c>
      <c r="BP29" s="10">
        <f>BJ29</f>
        <v/>
      </c>
      <c r="BQ29" s="10">
        <f>J29/F29</f>
        <v/>
      </c>
      <c r="BR29" s="10">
        <f>L29/F29</f>
        <v/>
      </c>
      <c r="BS29" s="10">
        <f>I29/F29</f>
        <v/>
      </c>
      <c r="BT29" s="10">
        <f>K29/F29</f>
        <v/>
      </c>
      <c r="BU29" s="10">
        <f>SUM(BP29:BT29)</f>
        <v/>
      </c>
      <c r="BW29">
        <f>BN29-BU29</f>
        <v/>
      </c>
    </row>
    <row r="30">
      <c r="B30" s="13" t="inlineStr">
        <is>
          <t>MIDAT_Bio_Ethanol_CCS_20_Agri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1.8813</v>
      </c>
      <c r="G30" s="12" t="n">
        <v>0</v>
      </c>
      <c r="H30" s="12" t="n">
        <v>1.708</v>
      </c>
      <c r="I30" s="12" t="n">
        <v>0.26093362189323</v>
      </c>
      <c r="J30" s="12" t="n">
        <v>1.01365421463095</v>
      </c>
      <c r="K30" s="12" t="n">
        <v>0</v>
      </c>
      <c r="L30" s="12" t="n">
        <v>0</v>
      </c>
      <c r="M30" s="12" t="n">
        <v>293026.95</v>
      </c>
      <c r="N30" s="12" t="n">
        <v>154950.42</v>
      </c>
      <c r="O30" s="12" t="n">
        <v>0.48</v>
      </c>
      <c r="Q30" s="15" t="n">
        <v>0</v>
      </c>
      <c r="R30" s="15" t="n">
        <v>-14.741173</v>
      </c>
      <c r="S30" s="15" t="n">
        <v>100</v>
      </c>
      <c r="T30" s="15" t="n">
        <v>69.370717</v>
      </c>
      <c r="U30" s="15" t="n">
        <v>45.972292</v>
      </c>
      <c r="V30" s="15" t="n">
        <v>42.940257</v>
      </c>
      <c r="W30" s="16" t="n">
        <v>45.289647</v>
      </c>
      <c r="X30" s="16" t="n">
        <v>45.289647</v>
      </c>
      <c r="Y30" s="15" t="n">
        <v>35.672332</v>
      </c>
      <c r="Z30" s="15" t="n">
        <v>37.202448</v>
      </c>
      <c r="AA30" s="15" t="n"/>
      <c r="AB30" s="16" t="n">
        <v>51.059951</v>
      </c>
      <c r="AC30" s="16" t="n">
        <v>51.059951</v>
      </c>
      <c r="AD30" s="16" t="n">
        <v>107.876772</v>
      </c>
      <c r="AE30" s="16" t="n">
        <v>107.876772</v>
      </c>
      <c r="AF30" s="16" t="n">
        <v>96.945356</v>
      </c>
      <c r="AG30" s="16" t="n">
        <v>96.945356</v>
      </c>
      <c r="AH30" s="15" t="n">
        <v>15.046822</v>
      </c>
      <c r="AI30" s="15" t="n">
        <v>15.046822</v>
      </c>
      <c r="AJ30" s="15" t="n">
        <v>0</v>
      </c>
      <c r="AK30" s="15" t="n">
        <v>5000</v>
      </c>
      <c r="AM30">
        <f>B30</f>
        <v/>
      </c>
      <c r="AN30">
        <f>C30</f>
        <v/>
      </c>
      <c r="AO30" s="11">
        <f>SUM(AT30:AZ30)+BB30+BC30</f>
        <v/>
      </c>
      <c r="AP30" s="11">
        <f>SUM(AT30:AZ30)+BE30+BF30</f>
        <v/>
      </c>
      <c r="AQ30" s="11">
        <f>AO30/3.6</f>
        <v/>
      </c>
      <c r="AR30" s="11">
        <f>AP30/3.6</f>
        <v/>
      </c>
      <c r="AS30" s="5">
        <f>AO30-AP30</f>
        <v/>
      </c>
      <c r="AT30">
        <f>D30/F30*Y30*-1</f>
        <v/>
      </c>
      <c r="AU30">
        <f>E30/F30*Y30</f>
        <v/>
      </c>
      <c r="AV30" s="1">
        <f t="array" ref="AV30">_xlfn.IFS(C30="Biomass_Corn", 1/F30*S30, C30="Biomass_Agri", 1/F30*V30, C30="Biomass_Wood", 1/F30*U30, C30="Biomass_Herb", 1/F30*T30)</f>
        <v/>
      </c>
      <c r="AW30">
        <f>G30/F30*AH30</f>
        <v/>
      </c>
      <c r="AX30">
        <f>M30/F30/(0.9*8760)</f>
        <v/>
      </c>
      <c r="AY30">
        <f>N30/F30/(0.9*8760)</f>
        <v/>
      </c>
      <c r="AZ30">
        <f>O30/F30</f>
        <v/>
      </c>
      <c r="BA30" s="1">
        <f>BP30+BQ30+BS30-BL30+BR30+BT30</f>
        <v/>
      </c>
      <c r="BB30" s="1">
        <f>(Q30+R30)*-1*(I30+K30)/F30</f>
        <v/>
      </c>
      <c r="BC30">
        <f>BA30*Q30</f>
        <v/>
      </c>
      <c r="BD30">
        <f>SUM(BP30:BR30)-BL30</f>
        <v/>
      </c>
      <c r="BE30" s="1">
        <f>(I30+K30)/F30*-1*R30</f>
        <v/>
      </c>
      <c r="BF30">
        <f>BD30*Q30</f>
        <v/>
      </c>
      <c r="BH30" s="9">
        <f>H30</f>
        <v/>
      </c>
      <c r="BI30" s="10" t="n">
        <v>0.181048235160161</v>
      </c>
      <c r="BJ30" s="9" t="n">
        <v>0.23037491</v>
      </c>
      <c r="BL30" s="10">
        <f>BH30/F30</f>
        <v/>
      </c>
      <c r="BM30" s="10">
        <f>BI30*G30/F30</f>
        <v/>
      </c>
      <c r="BN30" s="10">
        <f>SUM(BL30:BM30)</f>
        <v/>
      </c>
      <c r="BP30" s="10">
        <f>BJ30</f>
        <v/>
      </c>
      <c r="BQ30" s="10">
        <f>J30/F30</f>
        <v/>
      </c>
      <c r="BR30" s="10">
        <f>L30/F30</f>
        <v/>
      </c>
      <c r="BS30" s="10">
        <f>I30/F30</f>
        <v/>
      </c>
      <c r="BT30" s="10">
        <f>K30/F30</f>
        <v/>
      </c>
      <c r="BU30" s="10">
        <f>SUM(BP30:BT30)</f>
        <v/>
      </c>
      <c r="BW30">
        <f>BN30-BU30</f>
        <v/>
      </c>
    </row>
    <row r="31">
      <c r="B31" s="13" t="inlineStr">
        <is>
          <t>NCEN_Bio_Ethanol_CCS_20_Agri</t>
        </is>
      </c>
      <c r="C31" s="12" t="inlineStr">
        <is>
          <t>Biomass_Agri</t>
        </is>
      </c>
      <c r="D31" s="12" t="n">
        <v>0</v>
      </c>
      <c r="E31" s="12" t="n">
        <v>0</v>
      </c>
      <c r="F31" s="12" t="n">
        <v>1.8835</v>
      </c>
      <c r="G31" s="12" t="n">
        <v>0</v>
      </c>
      <c r="H31" s="12" t="n">
        <v>1.71</v>
      </c>
      <c r="I31" s="12" t="n">
        <v>0.2612403672889398</v>
      </c>
      <c r="J31" s="12" t="n">
        <v>1.014845834786773</v>
      </c>
      <c r="K31" s="12" t="n">
        <v>0</v>
      </c>
      <c r="L31" s="12" t="n">
        <v>0</v>
      </c>
      <c r="M31" s="12" t="n">
        <v>293026.95</v>
      </c>
      <c r="N31" s="12" t="n">
        <v>154950.42</v>
      </c>
      <c r="O31" s="12" t="n">
        <v>0.48</v>
      </c>
      <c r="Q31" s="15" t="n">
        <v>0</v>
      </c>
      <c r="R31" s="15" t="n">
        <v>-0.911528</v>
      </c>
      <c r="S31" s="15" t="n">
        <v>100</v>
      </c>
      <c r="T31" s="15" t="n">
        <v>69.911137</v>
      </c>
      <c r="U31" s="15" t="n">
        <v>44.79442</v>
      </c>
      <c r="V31" s="15" t="n">
        <v>43.323942</v>
      </c>
      <c r="W31" s="16" t="n">
        <v>45.289647</v>
      </c>
      <c r="X31" s="16" t="n">
        <v>45.289647</v>
      </c>
      <c r="Y31" s="15" t="n">
        <v>29.249237</v>
      </c>
      <c r="Z31" s="15" t="n">
        <v>34.631601</v>
      </c>
      <c r="AA31" s="15" t="n"/>
      <c r="AB31" s="16" t="n">
        <v>51.059951</v>
      </c>
      <c r="AC31" s="16" t="n">
        <v>51.059951</v>
      </c>
      <c r="AD31" s="16" t="n">
        <v>107.876772</v>
      </c>
      <c r="AE31" s="16" t="n">
        <v>107.876772</v>
      </c>
      <c r="AF31" s="16" t="n">
        <v>96.945356</v>
      </c>
      <c r="AG31" s="16" t="n">
        <v>96.945356</v>
      </c>
      <c r="AH31" s="15" t="n">
        <v>14.089942</v>
      </c>
      <c r="AI31" s="15" t="n">
        <v>14.089942</v>
      </c>
      <c r="AJ31" s="15" t="n">
        <v>0</v>
      </c>
      <c r="AK31" s="15" t="n">
        <v>5000</v>
      </c>
      <c r="AM31">
        <f>B31</f>
        <v/>
      </c>
      <c r="AN31">
        <f>C31</f>
        <v/>
      </c>
      <c r="AO31" s="11">
        <f>SUM(AT31:AZ31)+BB31+BC31</f>
        <v/>
      </c>
      <c r="AP31" s="11">
        <f>SUM(AT31:AZ31)+BE31+BF31</f>
        <v/>
      </c>
      <c r="AQ31" s="11">
        <f>AO31/3.6</f>
        <v/>
      </c>
      <c r="AR31" s="11">
        <f>AP31/3.6</f>
        <v/>
      </c>
      <c r="AS31" s="5">
        <f>AO31-AP31</f>
        <v/>
      </c>
      <c r="AT31">
        <f>D31/F31*Y31*-1</f>
        <v/>
      </c>
      <c r="AU31">
        <f>E31/F31*Y31</f>
        <v/>
      </c>
      <c r="AV31" s="1">
        <f t="array" ref="AV31">_xlfn.IFS(C31="Biomass_Corn", 1/F31*S31, C31="Biomass_Agri", 1/F31*V31, C31="Biomass_Wood", 1/F31*U31, C31="Biomass_Herb", 1/F31*T31)</f>
        <v/>
      </c>
      <c r="AW31">
        <f>G31/F31*AH31</f>
        <v/>
      </c>
      <c r="AX31">
        <f>M31/F31/(0.9*8760)</f>
        <v/>
      </c>
      <c r="AY31">
        <f>N31/F31/(0.9*8760)</f>
        <v/>
      </c>
      <c r="AZ31">
        <f>O31/F31</f>
        <v/>
      </c>
      <c r="BA31" s="1">
        <f>BP31+BQ31+BS31-BL31+BR31+BT31</f>
        <v/>
      </c>
      <c r="BB31" s="1">
        <f>(Q31+R31)*-1*(I31+K31)/F31</f>
        <v/>
      </c>
      <c r="BC31">
        <f>BA31*Q31</f>
        <v/>
      </c>
      <c r="BD31">
        <f>SUM(BP31:BR31)-BL31</f>
        <v/>
      </c>
      <c r="BE31" s="1">
        <f>(I31+K31)/F31*-1*R31</f>
        <v/>
      </c>
      <c r="BF31">
        <f>BD31*Q31</f>
        <v/>
      </c>
      <c r="BH31" s="9">
        <f>H31</f>
        <v/>
      </c>
      <c r="BI31" s="10" t="n">
        <v>0.181048235160161</v>
      </c>
      <c r="BJ31" s="9" t="n">
        <v>0.23037491</v>
      </c>
      <c r="BL31" s="10">
        <f>BH31/F31</f>
        <v/>
      </c>
      <c r="BM31" s="10">
        <f>BI31*G31/F31</f>
        <v/>
      </c>
      <c r="BN31" s="10">
        <f>SUM(BL31:BM31)</f>
        <v/>
      </c>
      <c r="BP31" s="10">
        <f>BJ31</f>
        <v/>
      </c>
      <c r="BQ31" s="10">
        <f>J31/F31</f>
        <v/>
      </c>
      <c r="BR31" s="10">
        <f>L31/F31</f>
        <v/>
      </c>
      <c r="BS31" s="10">
        <f>I31/F31</f>
        <v/>
      </c>
      <c r="BT31" s="10">
        <f>K31/F31</f>
        <v/>
      </c>
      <c r="BU31" s="10">
        <f>SUM(BP31:BT31)</f>
        <v/>
      </c>
      <c r="BW31">
        <f>BN31-BU31</f>
        <v/>
      </c>
    </row>
    <row r="32">
      <c r="B32" s="13" t="inlineStr">
        <is>
          <t>SE_Bio_Ethanol_CCS_20_Agri</t>
        </is>
      </c>
      <c r="C32" s="12" t="inlineStr">
        <is>
          <t>Biomass_Agri</t>
        </is>
      </c>
      <c r="D32" s="12" t="n">
        <v>0</v>
      </c>
      <c r="E32" s="12" t="n">
        <v>0</v>
      </c>
      <c r="F32" s="12" t="n">
        <v>1.8759</v>
      </c>
      <c r="G32" s="12" t="n">
        <v>0</v>
      </c>
      <c r="H32" s="12" t="n">
        <v>1.689</v>
      </c>
      <c r="I32" s="12" t="n">
        <v>0.2573006784039557</v>
      </c>
      <c r="J32" s="12" t="n">
        <v>0.9995412442413926</v>
      </c>
      <c r="K32" s="12" t="n">
        <v>0</v>
      </c>
      <c r="L32" s="12" t="n">
        <v>0</v>
      </c>
      <c r="M32" s="12" t="n">
        <v>293026.95</v>
      </c>
      <c r="N32" s="12" t="n">
        <v>154950.42</v>
      </c>
      <c r="O32" s="12" t="n">
        <v>0.48</v>
      </c>
      <c r="Q32" s="15" t="n">
        <v>0</v>
      </c>
      <c r="R32" s="15" t="n">
        <v>-5.914702</v>
      </c>
      <c r="S32" s="15" t="n">
        <v>100</v>
      </c>
      <c r="T32" s="15" t="n">
        <v>69.166622</v>
      </c>
      <c r="U32" s="15" t="n">
        <v>46.05675</v>
      </c>
      <c r="V32" s="15" t="n">
        <v>41.170372</v>
      </c>
      <c r="W32" s="16" t="n">
        <v>45.289647</v>
      </c>
      <c r="X32" s="16" t="n">
        <v>45.289647</v>
      </c>
      <c r="Y32" s="15" t="n">
        <v>33.298446</v>
      </c>
      <c r="Z32" s="15" t="n">
        <v>36.471022</v>
      </c>
      <c r="AA32" s="15" t="n"/>
      <c r="AB32" s="16" t="n">
        <v>51.059951</v>
      </c>
      <c r="AC32" s="16" t="n">
        <v>51.059951</v>
      </c>
      <c r="AD32" s="16" t="n">
        <v>107.876772</v>
      </c>
      <c r="AE32" s="16" t="n">
        <v>107.876772</v>
      </c>
      <c r="AF32" s="16" t="n">
        <v>96.945356</v>
      </c>
      <c r="AG32" s="16" t="n">
        <v>96.945356</v>
      </c>
      <c r="AH32" s="15" t="n">
        <v>14.089638</v>
      </c>
      <c r="AI32" s="15" t="n">
        <v>14.089638</v>
      </c>
      <c r="AJ32" s="15" t="n">
        <v>0</v>
      </c>
      <c r="AK32" s="15" t="n">
        <v>5000</v>
      </c>
      <c r="AM32">
        <f>B32</f>
        <v/>
      </c>
      <c r="AN32">
        <f>C32</f>
        <v/>
      </c>
      <c r="AO32" s="11">
        <f>SUM(AT32:AZ32)+BB32+BC32</f>
        <v/>
      </c>
      <c r="AP32" s="11">
        <f>SUM(AT32:AZ32)+BE32+BF32</f>
        <v/>
      </c>
      <c r="AQ32" s="11">
        <f>AO32/3.6</f>
        <v/>
      </c>
      <c r="AR32" s="11">
        <f>AP32/3.6</f>
        <v/>
      </c>
      <c r="AS32" s="5">
        <f>AO32-AP32</f>
        <v/>
      </c>
      <c r="AT32">
        <f>D32/F32*Y32*-1</f>
        <v/>
      </c>
      <c r="AU32">
        <f>E32/F32*Y32</f>
        <v/>
      </c>
      <c r="AV32" s="1">
        <f t="array" ref="AV32">_xlfn.IFS(C32="Biomass_Corn", 1/F32*S32, C32="Biomass_Agri", 1/F32*V32, C32="Biomass_Wood", 1/F32*U32, C32="Biomass_Herb", 1/F32*T32)</f>
        <v/>
      </c>
      <c r="AW32">
        <f>G32/F32*AH32</f>
        <v/>
      </c>
      <c r="AX32">
        <f>M32/F32/(0.9*8760)</f>
        <v/>
      </c>
      <c r="AY32">
        <f>N32/F32/(0.9*8760)</f>
        <v/>
      </c>
      <c r="AZ32">
        <f>O32/F32</f>
        <v/>
      </c>
      <c r="BA32" s="1">
        <f>BP32+BQ32+BS32-BL32+BR32+BT32</f>
        <v/>
      </c>
      <c r="BB32" s="1">
        <f>(Q32+R32)*-1*(I32+K32)/F32</f>
        <v/>
      </c>
      <c r="BC32">
        <f>BA32*Q32</f>
        <v/>
      </c>
      <c r="BD32">
        <f>SUM(BP32:BR32)-BL32</f>
        <v/>
      </c>
      <c r="BE32" s="1">
        <f>(I32+K32)/F32*-1*R32</f>
        <v/>
      </c>
      <c r="BF32">
        <f>BD32*Q32</f>
        <v/>
      </c>
      <c r="BH32" s="9">
        <f>H32</f>
        <v/>
      </c>
      <c r="BI32" s="10" t="n">
        <v>0.181048235160161</v>
      </c>
      <c r="BJ32" s="9" t="n">
        <v>0.23037491</v>
      </c>
      <c r="BL32" s="10">
        <f>BH32/F32</f>
        <v/>
      </c>
      <c r="BM32" s="10">
        <f>BI32*G32/F32</f>
        <v/>
      </c>
      <c r="BN32" s="10">
        <f>SUM(BL32:BM32)</f>
        <v/>
      </c>
      <c r="BP32" s="10">
        <f>BJ32</f>
        <v/>
      </c>
      <c r="BQ32" s="10">
        <f>J32/F32</f>
        <v/>
      </c>
      <c r="BR32" s="10">
        <f>L32/F32</f>
        <v/>
      </c>
      <c r="BS32" s="10">
        <f>I32/F32</f>
        <v/>
      </c>
      <c r="BT32" s="10">
        <f>K32/F32</f>
        <v/>
      </c>
      <c r="BU32" s="10">
        <f>SUM(BP32:BT32)</f>
        <v/>
      </c>
      <c r="BW32">
        <f>BN32-BU32</f>
        <v/>
      </c>
    </row>
    <row r="33">
      <c r="B33" s="13" t="inlineStr">
        <is>
          <t>TX_Bio_Ethanol_CCS_20_Agri</t>
        </is>
      </c>
      <c r="C33" s="12" t="inlineStr">
        <is>
          <t>Biomass_Agri</t>
        </is>
      </c>
      <c r="D33" s="12" t="n">
        <v>0</v>
      </c>
      <c r="E33" s="12" t="n">
        <v>0</v>
      </c>
      <c r="F33" s="12" t="n">
        <v>1.8062</v>
      </c>
      <c r="G33" s="12" t="n">
        <v>0</v>
      </c>
      <c r="H33" s="12" t="n">
        <v>1.633</v>
      </c>
      <c r="I33" s="12" t="n">
        <v>0.2491225857412435</v>
      </c>
      <c r="J33" s="12" t="n">
        <v>0.9677716392550612</v>
      </c>
      <c r="K33" s="12" t="n">
        <v>0</v>
      </c>
      <c r="L33" s="12" t="n">
        <v>0</v>
      </c>
      <c r="M33" s="12" t="n">
        <v>293026.95</v>
      </c>
      <c r="N33" s="12" t="n">
        <v>154950.42</v>
      </c>
      <c r="O33" s="12" t="n">
        <v>0.48</v>
      </c>
      <c r="Q33" s="15" t="n">
        <v>0</v>
      </c>
      <c r="R33" s="15" t="n">
        <v>14.732097</v>
      </c>
      <c r="S33" s="15" t="n">
        <v>100</v>
      </c>
      <c r="T33" s="15" t="n">
        <v>73.00646</v>
      </c>
      <c r="U33" s="15" t="n">
        <v>69.643664</v>
      </c>
      <c r="V33" s="15" t="n">
        <v>43.030303</v>
      </c>
      <c r="W33" s="16" t="n">
        <v>45.289647</v>
      </c>
      <c r="X33" s="16" t="n">
        <v>45.289647</v>
      </c>
      <c r="Y33" s="15" t="n">
        <v>19.019146</v>
      </c>
      <c r="Z33" s="15" t="n">
        <v>23.790747</v>
      </c>
      <c r="AA33" s="15" t="n"/>
      <c r="AB33" s="16" t="n">
        <v>51.059951</v>
      </c>
      <c r="AC33" s="16" t="n">
        <v>51.059951</v>
      </c>
      <c r="AD33" s="16" t="n">
        <v>107.876772</v>
      </c>
      <c r="AE33" s="16" t="n">
        <v>107.876772</v>
      </c>
      <c r="AF33" s="16" t="n">
        <v>96.945356</v>
      </c>
      <c r="AG33" s="16" t="n">
        <v>96.945356</v>
      </c>
      <c r="AH33" s="15" t="n">
        <v>13.326077</v>
      </c>
      <c r="AI33" s="15" t="n">
        <v>13.326077</v>
      </c>
      <c r="AJ33" s="15" t="n">
        <v>0</v>
      </c>
      <c r="AK33" s="15" t="n">
        <v>5000</v>
      </c>
      <c r="AM33">
        <f>B33</f>
        <v/>
      </c>
      <c r="AN33">
        <f>C33</f>
        <v/>
      </c>
      <c r="AO33" s="11">
        <f>SUM(AT33:AZ33)+BB33+BC33</f>
        <v/>
      </c>
      <c r="AP33" s="11">
        <f>SUM(AT33:AZ33)+BE33+BF33</f>
        <v/>
      </c>
      <c r="AQ33" s="11">
        <f>AO33/3.6</f>
        <v/>
      </c>
      <c r="AR33" s="11">
        <f>AP33/3.6</f>
        <v/>
      </c>
      <c r="AS33" s="5">
        <f>AO33-AP33</f>
        <v/>
      </c>
      <c r="AT33">
        <f>D33/F33*Y33*-1</f>
        <v/>
      </c>
      <c r="AU33">
        <f>E33/F33*Y33</f>
        <v/>
      </c>
      <c r="AV33" s="1">
        <f t="array" ref="AV33">_xlfn.IFS(C33="Biomass_Corn", 1/F33*S33, C33="Biomass_Agri", 1/F33*V33, C33="Biomass_Wood", 1/F33*U33, C33="Biomass_Herb", 1/F33*T33)</f>
        <v/>
      </c>
      <c r="AW33">
        <f>G33/F33*AH33</f>
        <v/>
      </c>
      <c r="AX33">
        <f>M33/F33/(0.9*8760)</f>
        <v/>
      </c>
      <c r="AY33">
        <f>N33/F33/(0.9*8760)</f>
        <v/>
      </c>
      <c r="AZ33">
        <f>O33/F33</f>
        <v/>
      </c>
      <c r="BA33" s="1">
        <f>BP33+BQ33+BS33-BL33+BR33+BT33</f>
        <v/>
      </c>
      <c r="BB33" s="1">
        <f>(Q33+R33)*-1*(I33+K33)/F33</f>
        <v/>
      </c>
      <c r="BC33">
        <f>BA33*Q33</f>
        <v/>
      </c>
      <c r="BD33">
        <f>SUM(BP33:BR33)-BL33</f>
        <v/>
      </c>
      <c r="BE33" s="1">
        <f>(I33+K33)/F33*-1*R33</f>
        <v/>
      </c>
      <c r="BF33">
        <f>BD33*Q33</f>
        <v/>
      </c>
      <c r="BH33" s="9">
        <f>H33</f>
        <v/>
      </c>
      <c r="BI33" s="10" t="n">
        <v>0.181048235160161</v>
      </c>
      <c r="BJ33" s="9" t="n">
        <v>0.23037491</v>
      </c>
      <c r="BL33" s="10">
        <f>BH33/F33</f>
        <v/>
      </c>
      <c r="BM33" s="10">
        <f>BI33*G33/F33</f>
        <v/>
      </c>
      <c r="BN33" s="10">
        <f>SUM(BL33:BM33)</f>
        <v/>
      </c>
      <c r="BP33" s="10">
        <f>BJ33</f>
        <v/>
      </c>
      <c r="BQ33" s="10">
        <f>J33/F33</f>
        <v/>
      </c>
      <c r="BR33" s="10">
        <f>L33/F33</f>
        <v/>
      </c>
      <c r="BS33" s="10">
        <f>I33/F33</f>
        <v/>
      </c>
      <c r="BT33" s="10">
        <f>K33/F33</f>
        <v/>
      </c>
      <c r="BU33" s="10">
        <f>SUM(BP33:BT33)</f>
        <v/>
      </c>
      <c r="BW33">
        <f>BN33-BU33</f>
        <v/>
      </c>
    </row>
    <row r="34">
      <c r="B34" s="13" t="inlineStr">
        <is>
          <t>CEN_Bio_Ethanol_CCS_86_Herb</t>
        </is>
      </c>
      <c r="C34" s="12" t="inlineStr">
        <is>
          <t>Biomass_Herb</t>
        </is>
      </c>
      <c r="D34" s="12" t="n">
        <v>0</v>
      </c>
      <c r="E34" s="12" t="n">
        <v>0.2632</v>
      </c>
      <c r="F34" s="12" t="n">
        <v>1.9848</v>
      </c>
      <c r="G34" s="12" t="n">
        <v>0</v>
      </c>
      <c r="H34" s="12" t="n">
        <v>1.723</v>
      </c>
      <c r="I34" s="12" t="n">
        <v>1.09133844463139</v>
      </c>
      <c r="J34" s="12" t="n">
        <v>0.1744217555905887</v>
      </c>
      <c r="K34" s="12" t="n">
        <v>0</v>
      </c>
      <c r="L34" s="12" t="n">
        <v>0</v>
      </c>
      <c r="M34" s="12" t="n">
        <v>520155.64</v>
      </c>
      <c r="N34" s="12" t="n">
        <v>279265.62</v>
      </c>
      <c r="O34" s="12" t="n">
        <v>1.67</v>
      </c>
      <c r="Q34" s="15" t="n">
        <v>0</v>
      </c>
      <c r="R34" s="15" t="n">
        <v>6.223991</v>
      </c>
      <c r="S34" s="15" t="n">
        <v>100</v>
      </c>
      <c r="T34" s="15" t="n">
        <v>72.30436899999999</v>
      </c>
      <c r="U34" s="15" t="n">
        <v>59.390495</v>
      </c>
      <c r="V34" s="15" t="n">
        <v>42.94088</v>
      </c>
      <c r="W34" s="16" t="n">
        <v>45.289647</v>
      </c>
      <c r="X34" s="16" t="n">
        <v>45.289647</v>
      </c>
      <c r="Y34" s="15" t="n">
        <v>22.958189</v>
      </c>
      <c r="Z34" s="15" t="n">
        <v>28.593352</v>
      </c>
      <c r="AA34" s="15" t="n"/>
      <c r="AB34" s="16" t="n">
        <v>51.059951</v>
      </c>
      <c r="AC34" s="16" t="n">
        <v>51.059951</v>
      </c>
      <c r="AD34" s="16" t="n">
        <v>107.876772</v>
      </c>
      <c r="AE34" s="16" t="n">
        <v>107.876772</v>
      </c>
      <c r="AF34" s="16" t="n">
        <v>96.945356</v>
      </c>
      <c r="AG34" s="16" t="n">
        <v>96.945356</v>
      </c>
      <c r="AH34" s="15" t="n">
        <v>14.066295</v>
      </c>
      <c r="AI34" s="15" t="n">
        <v>14.066295</v>
      </c>
      <c r="AJ34" s="15" t="n">
        <v>0</v>
      </c>
      <c r="AK34" s="15" t="n">
        <v>5000</v>
      </c>
      <c r="AM34">
        <f>B34</f>
        <v/>
      </c>
      <c r="AN34">
        <f>C34</f>
        <v/>
      </c>
      <c r="AO34" s="11">
        <f>SUM(AT34:AZ34)+BB34+BC34</f>
        <v/>
      </c>
      <c r="AP34" s="11">
        <f>SUM(AT34:AZ34)+BE34+BF34</f>
        <v/>
      </c>
      <c r="AQ34" s="11">
        <f>AO34/3.6</f>
        <v/>
      </c>
      <c r="AR34" s="11">
        <f>AP34/3.6</f>
        <v/>
      </c>
      <c r="AS34" s="5">
        <f>AO34-AP34</f>
        <v/>
      </c>
      <c r="AT34">
        <f>D34/F34*Y34*-1</f>
        <v/>
      </c>
      <c r="AU34">
        <f>E34/F34*Y34</f>
        <v/>
      </c>
      <c r="AV34" s="1">
        <f t="array" ref="AV34">_xlfn.IFS(C34="Biomass_Corn", 1/F34*S34, C34="Biomass_Agri", 1/F34*V34, C34="Biomass_Wood", 1/F34*U34, C34="Biomass_Herb", 1/F34*T34)</f>
        <v/>
      </c>
      <c r="AW34">
        <f>G34/F34*AH34</f>
        <v/>
      </c>
      <c r="AX34">
        <f>M34/F34/(0.9*8760)</f>
        <v/>
      </c>
      <c r="AY34">
        <f>N34/F34/(0.9*8760)</f>
        <v/>
      </c>
      <c r="AZ34">
        <f>O34/F34</f>
        <v/>
      </c>
      <c r="BA34" s="1">
        <f>BP34+BQ34+BS34-BL34+BR34+BT34</f>
        <v/>
      </c>
      <c r="BB34" s="1">
        <f>(Q34+R34)*-1*(I34+K34)/F34</f>
        <v/>
      </c>
      <c r="BC34">
        <f>BA34*Q34</f>
        <v/>
      </c>
      <c r="BD34">
        <f>SUM(BP34:BR34)-BL34</f>
        <v/>
      </c>
      <c r="BE34" s="1">
        <f>(I34+K34)/F34*-1*R34</f>
        <v/>
      </c>
      <c r="BF34">
        <f>BD34*Q34</f>
        <v/>
      </c>
      <c r="BH34" s="9">
        <f>H34</f>
        <v/>
      </c>
      <c r="BI34" s="10" t="n">
        <v>0.181048235160161</v>
      </c>
      <c r="BJ34" s="9" t="n">
        <v>0.23037491</v>
      </c>
      <c r="BL34" s="10">
        <f>BH34/F34</f>
        <v/>
      </c>
      <c r="BM34" s="10">
        <f>BI34*G34/F34</f>
        <v/>
      </c>
      <c r="BN34" s="10">
        <f>SUM(BL34:BM34)</f>
        <v/>
      </c>
      <c r="BP34" s="10">
        <f>BJ34</f>
        <v/>
      </c>
      <c r="BQ34" s="10">
        <f>J34/F34</f>
        <v/>
      </c>
      <c r="BR34" s="10">
        <f>L34/F34</f>
        <v/>
      </c>
      <c r="BS34" s="10">
        <f>I34/F34</f>
        <v/>
      </c>
      <c r="BT34" s="10">
        <f>K34/F34</f>
        <v/>
      </c>
      <c r="BU34" s="10">
        <f>SUM(BP34:BT34)</f>
        <v/>
      </c>
      <c r="BW34">
        <f>BN34-BU34</f>
        <v/>
      </c>
    </row>
    <row r="35">
      <c r="B35" s="13" t="inlineStr">
        <is>
          <t>MIDAT_Bio_Ethanol_CCS_86_Herb</t>
        </is>
      </c>
      <c r="C35" s="12" t="inlineStr">
        <is>
          <t>Biomass_Herb</t>
        </is>
      </c>
      <c r="D35" s="12" t="n">
        <v>0</v>
      </c>
      <c r="E35" s="12" t="n">
        <v>0.2632</v>
      </c>
      <c r="F35" s="12" t="n">
        <v>1.9924</v>
      </c>
      <c r="G35" s="12" t="n">
        <v>0</v>
      </c>
      <c r="H35" s="12" t="n">
        <v>1.736</v>
      </c>
      <c r="I35" s="12" t="n">
        <v>1.10103326235625</v>
      </c>
      <c r="J35" s="12" t="n">
        <v>0.1759712172960929</v>
      </c>
      <c r="K35" s="12" t="n">
        <v>0</v>
      </c>
      <c r="L35" s="12" t="n">
        <v>0</v>
      </c>
      <c r="M35" s="12" t="n">
        <v>520155.64</v>
      </c>
      <c r="N35" s="12" t="n">
        <v>279265.62</v>
      </c>
      <c r="O35" s="12" t="n">
        <v>1.67</v>
      </c>
      <c r="Q35" s="15" t="n">
        <v>0</v>
      </c>
      <c r="R35" s="15" t="n">
        <v>-14.741173</v>
      </c>
      <c r="S35" s="15" t="n">
        <v>100</v>
      </c>
      <c r="T35" s="15" t="n">
        <v>69.370717</v>
      </c>
      <c r="U35" s="15" t="n">
        <v>45.972292</v>
      </c>
      <c r="V35" s="15" t="n">
        <v>42.940257</v>
      </c>
      <c r="W35" s="16" t="n">
        <v>45.289647</v>
      </c>
      <c r="X35" s="16" t="n">
        <v>45.289647</v>
      </c>
      <c r="Y35" s="15" t="n">
        <v>35.672332</v>
      </c>
      <c r="Z35" s="15" t="n">
        <v>37.202448</v>
      </c>
      <c r="AA35" s="15" t="n"/>
      <c r="AB35" s="16" t="n">
        <v>51.059951</v>
      </c>
      <c r="AC35" s="16" t="n">
        <v>51.059951</v>
      </c>
      <c r="AD35" s="16" t="n">
        <v>107.876772</v>
      </c>
      <c r="AE35" s="16" t="n">
        <v>107.876772</v>
      </c>
      <c r="AF35" s="16" t="n">
        <v>96.945356</v>
      </c>
      <c r="AG35" s="16" t="n">
        <v>96.945356</v>
      </c>
      <c r="AH35" s="15" t="n">
        <v>15.046822</v>
      </c>
      <c r="AI35" s="15" t="n">
        <v>15.046822</v>
      </c>
      <c r="AJ35" s="15" t="n">
        <v>0</v>
      </c>
      <c r="AK35" s="15" t="n">
        <v>5000</v>
      </c>
      <c r="AM35">
        <f>B35</f>
        <v/>
      </c>
      <c r="AN35">
        <f>C35</f>
        <v/>
      </c>
      <c r="AO35" s="11">
        <f>SUM(AT35:AZ35)+BB35+BC35</f>
        <v/>
      </c>
      <c r="AP35" s="11">
        <f>SUM(AT35:AZ35)+BE35+BF35</f>
        <v/>
      </c>
      <c r="AQ35" s="11">
        <f>AO35/3.6</f>
        <v/>
      </c>
      <c r="AR35" s="11">
        <f>AP35/3.6</f>
        <v/>
      </c>
      <c r="AS35" s="5">
        <f>AO35-AP35</f>
        <v/>
      </c>
      <c r="AT35">
        <f>D35/F35*Y35*-1</f>
        <v/>
      </c>
      <c r="AU35">
        <f>E35/F35*Y35</f>
        <v/>
      </c>
      <c r="AV35" s="1">
        <f t="array" ref="AV35">_xlfn.IFS(C35="Biomass_Corn", 1/F35*S35, C35="Biomass_Agri", 1/F35*V35, C35="Biomass_Wood", 1/F35*U35, C35="Biomass_Herb", 1/F35*T35)</f>
        <v/>
      </c>
      <c r="AW35">
        <f>G35/F35*AH35</f>
        <v/>
      </c>
      <c r="AX35">
        <f>M35/F35/(0.9*8760)</f>
        <v/>
      </c>
      <c r="AY35">
        <f>N35/F35/(0.9*8760)</f>
        <v/>
      </c>
      <c r="AZ35">
        <f>O35/F35</f>
        <v/>
      </c>
      <c r="BA35" s="1">
        <f>BP35+BQ35+BS35-BL35+BR35+BT35</f>
        <v/>
      </c>
      <c r="BB35" s="1">
        <f>(Q35+R35)*-1*(I35+K35)/F35</f>
        <v/>
      </c>
      <c r="BC35">
        <f>BA35*Q35</f>
        <v/>
      </c>
      <c r="BD35">
        <f>SUM(BP35:BR35)-BL35</f>
        <v/>
      </c>
      <c r="BE35" s="1">
        <f>(I35+K35)/F35*-1*R35</f>
        <v/>
      </c>
      <c r="BF35">
        <f>BD35*Q35</f>
        <v/>
      </c>
      <c r="BH35" s="9">
        <f>H35</f>
        <v/>
      </c>
      <c r="BI35" s="10" t="n">
        <v>0.181048235160161</v>
      </c>
      <c r="BJ35" s="9" t="n">
        <v>0.23037491</v>
      </c>
      <c r="BL35" s="10">
        <f>BH35/F35</f>
        <v/>
      </c>
      <c r="BM35" s="10">
        <f>BI35*G35/F35</f>
        <v/>
      </c>
      <c r="BN35" s="10">
        <f>SUM(BL35:BM35)</f>
        <v/>
      </c>
      <c r="BP35" s="10">
        <f>BJ35</f>
        <v/>
      </c>
      <c r="BQ35" s="10">
        <f>J35/F35</f>
        <v/>
      </c>
      <c r="BR35" s="10">
        <f>L35/F35</f>
        <v/>
      </c>
      <c r="BS35" s="10">
        <f>I35/F35</f>
        <v/>
      </c>
      <c r="BT35" s="10">
        <f>K35/F35</f>
        <v/>
      </c>
      <c r="BU35" s="10">
        <f>SUM(BP35:BT35)</f>
        <v/>
      </c>
      <c r="BW35">
        <f>BN35-BU35</f>
        <v/>
      </c>
    </row>
    <row r="36">
      <c r="B36" s="13" t="inlineStr">
        <is>
          <t>NCEN_Bio_Ethanol_CCS_86_Herb</t>
        </is>
      </c>
      <c r="C36" s="12" t="inlineStr">
        <is>
          <t>Biomass_Herb</t>
        </is>
      </c>
      <c r="D36" s="12" t="n">
        <v>0</v>
      </c>
      <c r="E36" s="12" t="n">
        <v>0.2632</v>
      </c>
      <c r="F36" s="12" t="n">
        <v>1.9967</v>
      </c>
      <c r="G36" s="12" t="n">
        <v>0</v>
      </c>
      <c r="H36" s="12" t="n">
        <v>1.74</v>
      </c>
      <c r="I36" s="12" t="n">
        <v>1.103617043913313</v>
      </c>
      <c r="J36" s="12" t="n">
        <v>0.1763841668420953</v>
      </c>
      <c r="K36" s="12" t="n">
        <v>0</v>
      </c>
      <c r="L36" s="12" t="n">
        <v>0</v>
      </c>
      <c r="M36" s="12" t="n">
        <v>520155.64</v>
      </c>
      <c r="N36" s="12" t="n">
        <v>279265.62</v>
      </c>
      <c r="O36" s="12" t="n">
        <v>1.67</v>
      </c>
      <c r="Q36" s="15" t="n">
        <v>0</v>
      </c>
      <c r="R36" s="15" t="n">
        <v>-0.911528</v>
      </c>
      <c r="S36" s="15" t="n">
        <v>100</v>
      </c>
      <c r="T36" s="15" t="n">
        <v>69.911137</v>
      </c>
      <c r="U36" s="15" t="n">
        <v>44.79442</v>
      </c>
      <c r="V36" s="15" t="n">
        <v>43.323942</v>
      </c>
      <c r="W36" s="16" t="n">
        <v>45.289647</v>
      </c>
      <c r="X36" s="16" t="n">
        <v>45.289647</v>
      </c>
      <c r="Y36" s="15" t="n">
        <v>29.249237</v>
      </c>
      <c r="Z36" s="15" t="n">
        <v>34.631601</v>
      </c>
      <c r="AA36" s="15" t="n"/>
      <c r="AB36" s="16" t="n">
        <v>51.059951</v>
      </c>
      <c r="AC36" s="16" t="n">
        <v>51.059951</v>
      </c>
      <c r="AD36" s="16" t="n">
        <v>107.876772</v>
      </c>
      <c r="AE36" s="16" t="n">
        <v>107.876772</v>
      </c>
      <c r="AF36" s="16" t="n">
        <v>96.945356</v>
      </c>
      <c r="AG36" s="16" t="n">
        <v>96.945356</v>
      </c>
      <c r="AH36" s="15" t="n">
        <v>14.089942</v>
      </c>
      <c r="AI36" s="15" t="n">
        <v>14.089942</v>
      </c>
      <c r="AJ36" s="15" t="n">
        <v>0</v>
      </c>
      <c r="AK36" s="15" t="n">
        <v>5000</v>
      </c>
      <c r="AM36">
        <f>B36</f>
        <v/>
      </c>
      <c r="AN36">
        <f>C36</f>
        <v/>
      </c>
      <c r="AO36" s="11">
        <f>SUM(AT36:AZ36)+BB36+BC36</f>
        <v/>
      </c>
      <c r="AP36" s="11">
        <f>SUM(AT36:AZ36)+BE36+BF36</f>
        <v/>
      </c>
      <c r="AQ36" s="11">
        <f>AO36/3.6</f>
        <v/>
      </c>
      <c r="AR36" s="11">
        <f>AP36/3.6</f>
        <v/>
      </c>
      <c r="AS36" s="5">
        <f>AO36-AP36</f>
        <v/>
      </c>
      <c r="AT36">
        <f>D36/F36*Y36*-1</f>
        <v/>
      </c>
      <c r="AU36">
        <f>E36/F36*Y36</f>
        <v/>
      </c>
      <c r="AV36" s="1">
        <f t="array" ref="AV36">_xlfn.IFS(C36="Biomass_Corn", 1/F36*S36, C36="Biomass_Agri", 1/F36*V36, C36="Biomass_Wood", 1/F36*U36, C36="Biomass_Herb", 1/F36*T36)</f>
        <v/>
      </c>
      <c r="AW36">
        <f>G36/F36*AH36</f>
        <v/>
      </c>
      <c r="AX36">
        <f>M36/F36/(0.9*8760)</f>
        <v/>
      </c>
      <c r="AY36">
        <f>N36/F36/(0.9*8760)</f>
        <v/>
      </c>
      <c r="AZ36">
        <f>O36/F36</f>
        <v/>
      </c>
      <c r="BA36" s="1">
        <f>BP36+BQ36+BS36-BL36+BR36+BT36</f>
        <v/>
      </c>
      <c r="BB36" s="1">
        <f>(Q36+R36)*-1*(I36+K36)/F36</f>
        <v/>
      </c>
      <c r="BC36">
        <f>BA36*Q36</f>
        <v/>
      </c>
      <c r="BD36">
        <f>SUM(BP36:BR36)-BL36</f>
        <v/>
      </c>
      <c r="BE36" s="1">
        <f>(I36+K36)/F36*-1*R36</f>
        <v/>
      </c>
      <c r="BF36">
        <f>BD36*Q36</f>
        <v/>
      </c>
      <c r="BH36" s="9">
        <f>H36</f>
        <v/>
      </c>
      <c r="BI36" s="10" t="n">
        <v>0.181048235160161</v>
      </c>
      <c r="BJ36" s="9" t="n">
        <v>0.23037491</v>
      </c>
      <c r="BL36" s="10">
        <f>BH36/F36</f>
        <v/>
      </c>
      <c r="BM36" s="10">
        <f>BI36*G36/F36</f>
        <v/>
      </c>
      <c r="BN36" s="10">
        <f>SUM(BL36:BM36)</f>
        <v/>
      </c>
      <c r="BP36" s="10">
        <f>BJ36</f>
        <v/>
      </c>
      <c r="BQ36" s="10">
        <f>J36/F36</f>
        <v/>
      </c>
      <c r="BR36" s="10">
        <f>L36/F36</f>
        <v/>
      </c>
      <c r="BS36" s="10">
        <f>I36/F36</f>
        <v/>
      </c>
      <c r="BT36" s="10">
        <f>K36/F36</f>
        <v/>
      </c>
      <c r="BU36" s="10">
        <f>SUM(BP36:BT36)</f>
        <v/>
      </c>
      <c r="BW36">
        <f>BN36-BU36</f>
        <v/>
      </c>
    </row>
    <row r="37">
      <c r="B37" s="13" t="inlineStr">
        <is>
          <t>SE_Bio_Ethanol_CCS_86_Herb</t>
        </is>
      </c>
      <c r="C37" s="12" t="inlineStr">
        <is>
          <t>Biomass_Herb</t>
        </is>
      </c>
      <c r="D37" s="12" t="n">
        <v>0</v>
      </c>
      <c r="E37" s="12" t="n">
        <v>0.2632</v>
      </c>
      <c r="F37" s="12" t="n">
        <v>1.9815</v>
      </c>
      <c r="G37" s="12" t="n">
        <v>0</v>
      </c>
      <c r="H37" s="12" t="n">
        <v>1.717</v>
      </c>
      <c r="I37" s="12" t="n">
        <v>1.086814008463593</v>
      </c>
      <c r="J37" s="12" t="n">
        <v>0.1736986434310869</v>
      </c>
      <c r="K37" s="12" t="n">
        <v>0</v>
      </c>
      <c r="L37" s="12" t="n">
        <v>0</v>
      </c>
      <c r="M37" s="12" t="n">
        <v>520155.64</v>
      </c>
      <c r="N37" s="12" t="n">
        <v>279265.62</v>
      </c>
      <c r="O37" s="12" t="n">
        <v>1.67</v>
      </c>
      <c r="Q37" s="15" t="n">
        <v>0</v>
      </c>
      <c r="R37" s="15" t="n">
        <v>-5.914702</v>
      </c>
      <c r="S37" s="15" t="n">
        <v>100</v>
      </c>
      <c r="T37" s="15" t="n">
        <v>69.166622</v>
      </c>
      <c r="U37" s="15" t="n">
        <v>46.05675</v>
      </c>
      <c r="V37" s="15" t="n">
        <v>41.170372</v>
      </c>
      <c r="W37" s="16" t="n">
        <v>45.289647</v>
      </c>
      <c r="X37" s="16" t="n">
        <v>45.289647</v>
      </c>
      <c r="Y37" s="15" t="n">
        <v>33.298446</v>
      </c>
      <c r="Z37" s="15" t="n">
        <v>36.471022</v>
      </c>
      <c r="AA37" s="15" t="n"/>
      <c r="AB37" s="16" t="n">
        <v>51.059951</v>
      </c>
      <c r="AC37" s="16" t="n">
        <v>51.059951</v>
      </c>
      <c r="AD37" s="16" t="n">
        <v>107.876772</v>
      </c>
      <c r="AE37" s="16" t="n">
        <v>107.876772</v>
      </c>
      <c r="AF37" s="16" t="n">
        <v>96.945356</v>
      </c>
      <c r="AG37" s="16" t="n">
        <v>96.945356</v>
      </c>
      <c r="AH37" s="15" t="n">
        <v>14.089638</v>
      </c>
      <c r="AI37" s="15" t="n">
        <v>14.089638</v>
      </c>
      <c r="AJ37" s="15" t="n">
        <v>0</v>
      </c>
      <c r="AK37" s="15" t="n">
        <v>5000</v>
      </c>
      <c r="AM37">
        <f>B37</f>
        <v/>
      </c>
      <c r="AN37">
        <f>C37</f>
        <v/>
      </c>
      <c r="AO37" s="11">
        <f>SUM(AT37:AZ37)+BB37+BC37</f>
        <v/>
      </c>
      <c r="AP37" s="11">
        <f>SUM(AT37:AZ37)+BE37+BF37</f>
        <v/>
      </c>
      <c r="AQ37" s="11">
        <f>AO37/3.6</f>
        <v/>
      </c>
      <c r="AR37" s="11">
        <f>AP37/3.6</f>
        <v/>
      </c>
      <c r="AS37" s="5">
        <f>AO37-AP37</f>
        <v/>
      </c>
      <c r="AT37">
        <f>D37/F37*Y37*-1</f>
        <v/>
      </c>
      <c r="AU37">
        <f>E37/F37*Y37</f>
        <v/>
      </c>
      <c r="AV37" s="1">
        <f t="array" ref="AV37">_xlfn.IFS(C37="Biomass_Corn", 1/F37*S37, C37="Biomass_Agri", 1/F37*V37, C37="Biomass_Wood", 1/F37*U37, C37="Biomass_Herb", 1/F37*T37)</f>
        <v/>
      </c>
      <c r="AW37">
        <f>G37/F37*AH37</f>
        <v/>
      </c>
      <c r="AX37">
        <f>M37/F37/(0.9*8760)</f>
        <v/>
      </c>
      <c r="AY37">
        <f>N37/F37/(0.9*8760)</f>
        <v/>
      </c>
      <c r="AZ37">
        <f>O37/F37</f>
        <v/>
      </c>
      <c r="BA37" s="1">
        <f>BP37+BQ37+BS37-BL37+BR37+BT37</f>
        <v/>
      </c>
      <c r="BB37" s="1">
        <f>(Q37+R37)*-1*(I37+K37)/F37</f>
        <v/>
      </c>
      <c r="BC37">
        <f>BA37*Q37</f>
        <v/>
      </c>
      <c r="BD37">
        <f>SUM(BP37:BR37)-BL37</f>
        <v/>
      </c>
      <c r="BE37" s="1">
        <f>(I37+K37)/F37*-1*R37</f>
        <v/>
      </c>
      <c r="BF37">
        <f>BD37*Q37</f>
        <v/>
      </c>
      <c r="BH37" s="9">
        <f>H37</f>
        <v/>
      </c>
      <c r="BI37" s="10" t="n">
        <v>0.181048235160161</v>
      </c>
      <c r="BJ37" s="9" t="n">
        <v>0.23037491</v>
      </c>
      <c r="BL37" s="10">
        <f>BH37/F37</f>
        <v/>
      </c>
      <c r="BM37" s="10">
        <f>BI37*G37/F37</f>
        <v/>
      </c>
      <c r="BN37" s="10">
        <f>SUM(BL37:BM37)</f>
        <v/>
      </c>
      <c r="BP37" s="10">
        <f>BJ37</f>
        <v/>
      </c>
      <c r="BQ37" s="10">
        <f>J37/F37</f>
        <v/>
      </c>
      <c r="BR37" s="10">
        <f>L37/F37</f>
        <v/>
      </c>
      <c r="BS37" s="10">
        <f>I37/F37</f>
        <v/>
      </c>
      <c r="BT37" s="10">
        <f>K37/F37</f>
        <v/>
      </c>
      <c r="BU37" s="10">
        <f>SUM(BP37:BT37)</f>
        <v/>
      </c>
      <c r="BW37">
        <f>BN37-BU37</f>
        <v/>
      </c>
    </row>
    <row r="38">
      <c r="B38" s="13" t="inlineStr">
        <is>
          <t>TX_Bio_Ethanol_CCS_86_Herb</t>
        </is>
      </c>
      <c r="C38" s="12" t="inlineStr">
        <is>
          <t>Biomass_Herb</t>
        </is>
      </c>
      <c r="D38" s="12" t="n">
        <v>0</v>
      </c>
      <c r="E38" s="12" t="n">
        <v>0.2632</v>
      </c>
      <c r="F38" s="12" t="n">
        <v>1.9761</v>
      </c>
      <c r="G38" s="12" t="n">
        <v>0</v>
      </c>
      <c r="H38" s="12" t="n">
        <v>1.714</v>
      </c>
      <c r="I38" s="12" t="n">
        <v>1.085308681517265</v>
      </c>
      <c r="J38" s="12" t="n">
        <v>0.1734580564985839</v>
      </c>
      <c r="K38" s="12" t="n">
        <v>0</v>
      </c>
      <c r="L38" s="12" t="n">
        <v>0</v>
      </c>
      <c r="M38" s="12" t="n">
        <v>520155.64</v>
      </c>
      <c r="N38" s="12" t="n">
        <v>279265.62</v>
      </c>
      <c r="O38" s="12" t="n">
        <v>1.67</v>
      </c>
      <c r="Q38" s="15" t="n">
        <v>0</v>
      </c>
      <c r="R38" s="15" t="n">
        <v>14.732097</v>
      </c>
      <c r="S38" s="15" t="n">
        <v>100</v>
      </c>
      <c r="T38" s="15" t="n">
        <v>73.00646</v>
      </c>
      <c r="U38" s="15" t="n">
        <v>69.643664</v>
      </c>
      <c r="V38" s="15" t="n">
        <v>43.030303</v>
      </c>
      <c r="W38" s="16" t="n">
        <v>45.289647</v>
      </c>
      <c r="X38" s="16" t="n">
        <v>45.289647</v>
      </c>
      <c r="Y38" s="15" t="n">
        <v>19.019146</v>
      </c>
      <c r="Z38" s="15" t="n">
        <v>23.790747</v>
      </c>
      <c r="AA38" s="15" t="n"/>
      <c r="AB38" s="16" t="n">
        <v>51.059951</v>
      </c>
      <c r="AC38" s="16" t="n">
        <v>51.059951</v>
      </c>
      <c r="AD38" s="16" t="n">
        <v>107.876772</v>
      </c>
      <c r="AE38" s="16" t="n">
        <v>107.876772</v>
      </c>
      <c r="AF38" s="16" t="n">
        <v>96.945356</v>
      </c>
      <c r="AG38" s="16" t="n">
        <v>96.945356</v>
      </c>
      <c r="AH38" s="15" t="n">
        <v>13.326077</v>
      </c>
      <c r="AI38" s="15" t="n">
        <v>13.326077</v>
      </c>
      <c r="AJ38" s="15" t="n">
        <v>0</v>
      </c>
      <c r="AK38" s="15" t="n">
        <v>5000</v>
      </c>
      <c r="AM38">
        <f>B38</f>
        <v/>
      </c>
      <c r="AN38">
        <f>C38</f>
        <v/>
      </c>
      <c r="AO38" s="11">
        <f>SUM(AT38:AZ38)+BB38+BC38</f>
        <v/>
      </c>
      <c r="AP38" s="11">
        <f>SUM(AT38:AZ38)+BE38+BF38</f>
        <v/>
      </c>
      <c r="AQ38" s="11">
        <f>AO38/3.6</f>
        <v/>
      </c>
      <c r="AR38" s="11">
        <f>AP38/3.6</f>
        <v/>
      </c>
      <c r="AS38" s="5">
        <f>AO38-AP38</f>
        <v/>
      </c>
      <c r="AT38">
        <f>D38/F38*Y38*-1</f>
        <v/>
      </c>
      <c r="AU38">
        <f>E38/F38*Y38</f>
        <v/>
      </c>
      <c r="AV38" s="1">
        <f t="array" ref="AV38">_xlfn.IFS(C38="Biomass_Corn", 1/F38*S38, C38="Biomass_Agri", 1/F38*V38, C38="Biomass_Wood", 1/F38*U38, C38="Biomass_Herb", 1/F38*T38)</f>
        <v/>
      </c>
      <c r="AW38">
        <f>G38/F38*AH38</f>
        <v/>
      </c>
      <c r="AX38">
        <f>M38/F38/(0.9*8760)</f>
        <v/>
      </c>
      <c r="AY38">
        <f>N38/F38/(0.9*8760)</f>
        <v/>
      </c>
      <c r="AZ38">
        <f>O38/F38</f>
        <v/>
      </c>
      <c r="BA38" s="1">
        <f>BP38+BQ38+BS38-BL38+BR38+BT38</f>
        <v/>
      </c>
      <c r="BB38" s="1">
        <f>(Q38+R38)*-1*(I38+K38)/F38</f>
        <v/>
      </c>
      <c r="BC38">
        <f>BA38*Q38</f>
        <v/>
      </c>
      <c r="BD38">
        <f>SUM(BP38:BR38)-BL38</f>
        <v/>
      </c>
      <c r="BE38" s="1">
        <f>(I38+K38)/F38*-1*R38</f>
        <v/>
      </c>
      <c r="BF38">
        <f>BD38*Q38</f>
        <v/>
      </c>
      <c r="BH38" s="9">
        <f>H38</f>
        <v/>
      </c>
      <c r="BI38" s="10" t="n">
        <v>0.181048235160161</v>
      </c>
      <c r="BJ38" s="9" t="n">
        <v>0.23037491</v>
      </c>
      <c r="BL38" s="10">
        <f>BH38/F38</f>
        <v/>
      </c>
      <c r="BM38" s="10">
        <f>BI38*G38/F38</f>
        <v/>
      </c>
      <c r="BN38" s="10">
        <f>SUM(BL38:BM38)</f>
        <v/>
      </c>
      <c r="BP38" s="10">
        <f>BJ38</f>
        <v/>
      </c>
      <c r="BQ38" s="10">
        <f>J38/F38</f>
        <v/>
      </c>
      <c r="BR38" s="10">
        <f>L38/F38</f>
        <v/>
      </c>
      <c r="BS38" s="10">
        <f>I38/F38</f>
        <v/>
      </c>
      <c r="BT38" s="10">
        <f>K38/F38</f>
        <v/>
      </c>
      <c r="BU38" s="10">
        <f>SUM(BP38:BT38)</f>
        <v/>
      </c>
      <c r="BW38">
        <f>BN38-BU38</f>
        <v/>
      </c>
    </row>
    <row r="39">
      <c r="B39" s="13" t="inlineStr">
        <is>
          <t>CEN_Bio_Ethanol_CCS_86_Wood</t>
        </is>
      </c>
      <c r="C39" s="12" t="inlineStr">
        <is>
          <t>Biomass_Wood</t>
        </is>
      </c>
      <c r="D39" s="12" t="n">
        <v>0</v>
      </c>
      <c r="E39" s="12" t="n">
        <v>0.2632</v>
      </c>
      <c r="F39" s="12" t="n">
        <v>2.0762</v>
      </c>
      <c r="G39" s="12" t="n">
        <v>0</v>
      </c>
      <c r="H39" s="12" t="n">
        <v>1.802</v>
      </c>
      <c r="I39" s="12" t="n">
        <v>1.14128685732971</v>
      </c>
      <c r="J39" s="12" t="n">
        <v>0.1824046960566389</v>
      </c>
      <c r="K39" s="12" t="n">
        <v>0</v>
      </c>
      <c r="L39" s="12" t="n">
        <v>0</v>
      </c>
      <c r="M39" s="12" t="n">
        <v>520155.64</v>
      </c>
      <c r="N39" s="12" t="n">
        <v>279265.62</v>
      </c>
      <c r="O39" s="12" t="n">
        <v>1.67</v>
      </c>
      <c r="Q39" s="15" t="n">
        <v>0</v>
      </c>
      <c r="R39" s="15" t="n">
        <v>6.223991</v>
      </c>
      <c r="S39" s="15" t="n">
        <v>100</v>
      </c>
      <c r="T39" s="15" t="n">
        <v>72.30436899999999</v>
      </c>
      <c r="U39" s="15" t="n">
        <v>59.390495</v>
      </c>
      <c r="V39" s="15" t="n">
        <v>42.94088</v>
      </c>
      <c r="W39" s="16" t="n">
        <v>45.289647</v>
      </c>
      <c r="X39" s="16" t="n">
        <v>45.289647</v>
      </c>
      <c r="Y39" s="15" t="n">
        <v>22.958189</v>
      </c>
      <c r="Z39" s="15" t="n">
        <v>28.593352</v>
      </c>
      <c r="AA39" s="15" t="n"/>
      <c r="AB39" s="16" t="n">
        <v>51.059951</v>
      </c>
      <c r="AC39" s="16" t="n">
        <v>51.059951</v>
      </c>
      <c r="AD39" s="16" t="n">
        <v>107.876772</v>
      </c>
      <c r="AE39" s="16" t="n">
        <v>107.876772</v>
      </c>
      <c r="AF39" s="16" t="n">
        <v>96.945356</v>
      </c>
      <c r="AG39" s="16" t="n">
        <v>96.945356</v>
      </c>
      <c r="AH39" s="15" t="n">
        <v>14.066295</v>
      </c>
      <c r="AI39" s="15" t="n">
        <v>14.066295</v>
      </c>
      <c r="AJ39" s="15" t="n">
        <v>0</v>
      </c>
      <c r="AK39" s="15" t="n">
        <v>5000</v>
      </c>
      <c r="AM39">
        <f>B39</f>
        <v/>
      </c>
      <c r="AN39">
        <f>C39</f>
        <v/>
      </c>
      <c r="AO39" s="11">
        <f>SUM(AT39:AZ39)+BB39+BC39</f>
        <v/>
      </c>
      <c r="AP39" s="11">
        <f>SUM(AT39:AZ39)+BE39+BF39</f>
        <v/>
      </c>
      <c r="AQ39" s="11">
        <f>AO39/3.6</f>
        <v/>
      </c>
      <c r="AR39" s="11">
        <f>AP39/3.6</f>
        <v/>
      </c>
      <c r="AS39" s="5">
        <f>AO39-AP39</f>
        <v/>
      </c>
      <c r="AT39">
        <f>D39/F39*Y39*-1</f>
        <v/>
      </c>
      <c r="AU39">
        <f>E39/F39*Y39</f>
        <v/>
      </c>
      <c r="AV39" s="1">
        <f t="array" ref="AV39">_xlfn.IFS(C39="Biomass_Corn", 1/F39*S39, C39="Biomass_Agri", 1/F39*V39, C39="Biomass_Wood", 1/F39*U39, C39="Biomass_Herb", 1/F39*T39)</f>
        <v/>
      </c>
      <c r="AW39">
        <f>G39/F39*AH39</f>
        <v/>
      </c>
      <c r="AX39">
        <f>M39/F39/(0.9*8760)</f>
        <v/>
      </c>
      <c r="AY39">
        <f>N39/F39/(0.9*8760)</f>
        <v/>
      </c>
      <c r="AZ39">
        <f>O39/F39</f>
        <v/>
      </c>
      <c r="BA39" s="1">
        <f>BP39+BQ39+BS39-BL39+BR39+BT39</f>
        <v/>
      </c>
      <c r="BB39" s="1">
        <f>(Q39+R39)*-1*(I39+K39)/F39</f>
        <v/>
      </c>
      <c r="BC39">
        <f>BA39*Q39</f>
        <v/>
      </c>
      <c r="BD39">
        <f>SUM(BP39:BR39)-BL39</f>
        <v/>
      </c>
      <c r="BE39" s="1">
        <f>(I39+K39)/F39*-1*R39</f>
        <v/>
      </c>
      <c r="BF39">
        <f>BD39*Q39</f>
        <v/>
      </c>
      <c r="BH39" s="9">
        <f>H39</f>
        <v/>
      </c>
      <c r="BI39" s="10" t="n">
        <v>0.181048235160161</v>
      </c>
      <c r="BJ39" s="9" t="n">
        <v>0.23037491</v>
      </c>
      <c r="BL39" s="10">
        <f>BH39/F39</f>
        <v/>
      </c>
      <c r="BM39" s="10">
        <f>BI39*G39/F39</f>
        <v/>
      </c>
      <c r="BN39" s="10">
        <f>SUM(BL39:BM39)</f>
        <v/>
      </c>
      <c r="BP39" s="10">
        <f>BJ39</f>
        <v/>
      </c>
      <c r="BQ39" s="10">
        <f>J39/F39</f>
        <v/>
      </c>
      <c r="BR39" s="10">
        <f>L39/F39</f>
        <v/>
      </c>
      <c r="BS39" s="10">
        <f>I39/F39</f>
        <v/>
      </c>
      <c r="BT39" s="10">
        <f>K39/F39</f>
        <v/>
      </c>
      <c r="BU39" s="10">
        <f>SUM(BP39:BT39)</f>
        <v/>
      </c>
      <c r="BW39">
        <f>BN39-BU39</f>
        <v/>
      </c>
    </row>
    <row r="40">
      <c r="B40" s="13" t="inlineStr">
        <is>
          <t>MIDAT_Bio_Ethanol_CCS_86_Wood</t>
        </is>
      </c>
      <c r="C40" s="12" t="inlineStr">
        <is>
          <t>Biomass_Wood</t>
        </is>
      </c>
      <c r="D40" s="12" t="n">
        <v>0</v>
      </c>
      <c r="E40" s="12" t="n">
        <v>0.2632</v>
      </c>
      <c r="F40" s="12" t="n">
        <v>2.0697</v>
      </c>
      <c r="G40" s="12" t="n">
        <v>0</v>
      </c>
      <c r="H40" s="12" t="n">
        <v>1.806</v>
      </c>
      <c r="I40" s="12" t="n">
        <v>1.146033184994116</v>
      </c>
      <c r="J40" s="12" t="n">
        <v>0.1831632717376353</v>
      </c>
      <c r="K40" s="12" t="n">
        <v>0</v>
      </c>
      <c r="L40" s="12" t="n">
        <v>0</v>
      </c>
      <c r="M40" s="12" t="n">
        <v>520155.64</v>
      </c>
      <c r="N40" s="12" t="n">
        <v>279265.62</v>
      </c>
      <c r="O40" s="12" t="n">
        <v>1.67</v>
      </c>
      <c r="Q40" s="15" t="n">
        <v>0</v>
      </c>
      <c r="R40" s="15" t="n">
        <v>-14.741173</v>
      </c>
      <c r="S40" s="15" t="n">
        <v>100</v>
      </c>
      <c r="T40" s="15" t="n">
        <v>69.370717</v>
      </c>
      <c r="U40" s="15" t="n">
        <v>45.972292</v>
      </c>
      <c r="V40" s="15" t="n">
        <v>42.940257</v>
      </c>
      <c r="W40" s="16" t="n">
        <v>45.289647</v>
      </c>
      <c r="X40" s="16" t="n">
        <v>45.289647</v>
      </c>
      <c r="Y40" s="15" t="n">
        <v>35.672332</v>
      </c>
      <c r="Z40" s="15" t="n">
        <v>37.202448</v>
      </c>
      <c r="AA40" s="15" t="n"/>
      <c r="AB40" s="16" t="n">
        <v>51.059951</v>
      </c>
      <c r="AC40" s="16" t="n">
        <v>51.059951</v>
      </c>
      <c r="AD40" s="16" t="n">
        <v>107.876772</v>
      </c>
      <c r="AE40" s="16" t="n">
        <v>107.876772</v>
      </c>
      <c r="AF40" s="16" t="n">
        <v>96.945356</v>
      </c>
      <c r="AG40" s="16" t="n">
        <v>96.945356</v>
      </c>
      <c r="AH40" s="15" t="n">
        <v>15.046822</v>
      </c>
      <c r="AI40" s="15" t="n">
        <v>15.046822</v>
      </c>
      <c r="AJ40" s="15" t="n">
        <v>0</v>
      </c>
      <c r="AK40" s="15" t="n">
        <v>5000</v>
      </c>
      <c r="AM40">
        <f>B40</f>
        <v/>
      </c>
      <c r="AN40">
        <f>C40</f>
        <v/>
      </c>
      <c r="AO40" s="11">
        <f>SUM(AT40:AZ40)+BB40+BC40</f>
        <v/>
      </c>
      <c r="AP40" s="11">
        <f>SUM(AT40:AZ40)+BE40+BF40</f>
        <v/>
      </c>
      <c r="AQ40" s="11">
        <f>AO40/3.6</f>
        <v/>
      </c>
      <c r="AR40" s="11">
        <f>AP40/3.6</f>
        <v/>
      </c>
      <c r="AS40" s="5">
        <f>AO40-AP40</f>
        <v/>
      </c>
      <c r="AT40">
        <f>D40/F40*Y40*-1</f>
        <v/>
      </c>
      <c r="AU40">
        <f>E40/F40*Y40</f>
        <v/>
      </c>
      <c r="AV40" s="1">
        <f t="array" ref="AV40">_xlfn.IFS(C40="Biomass_Corn", 1/F40*S40, C40="Biomass_Agri", 1/F40*V40, C40="Biomass_Wood", 1/F40*U40, C40="Biomass_Herb", 1/F40*T40)</f>
        <v/>
      </c>
      <c r="AW40">
        <f>G40/F40*AH40</f>
        <v/>
      </c>
      <c r="AX40">
        <f>M40/F40/(0.9*8760)</f>
        <v/>
      </c>
      <c r="AY40">
        <f>N40/F40/(0.9*8760)</f>
        <v/>
      </c>
      <c r="AZ40">
        <f>O40/F40</f>
        <v/>
      </c>
      <c r="BA40" s="1">
        <f>BP40+BQ40+BS40-BL40+BR40+BT40</f>
        <v/>
      </c>
      <c r="BB40" s="1">
        <f>(Q40+R40)*-1*(I40+K40)/F40</f>
        <v/>
      </c>
      <c r="BC40">
        <f>BA40*Q40</f>
        <v/>
      </c>
      <c r="BD40">
        <f>SUM(BP40:BR40)-BL40</f>
        <v/>
      </c>
      <c r="BE40" s="1">
        <f>(I40+K40)/F40*-1*R40</f>
        <v/>
      </c>
      <c r="BF40">
        <f>BD40*Q40</f>
        <v/>
      </c>
      <c r="BH40" s="9">
        <f>H40</f>
        <v/>
      </c>
      <c r="BI40" s="10" t="n">
        <v>0.181048235160161</v>
      </c>
      <c r="BJ40" s="9" t="n">
        <v>0.23037491</v>
      </c>
      <c r="BL40" s="10">
        <f>BH40/F40</f>
        <v/>
      </c>
      <c r="BM40" s="10">
        <f>BI40*G40/F40</f>
        <v/>
      </c>
      <c r="BN40" s="10">
        <f>SUM(BL40:BM40)</f>
        <v/>
      </c>
      <c r="BP40" s="10">
        <f>BJ40</f>
        <v/>
      </c>
      <c r="BQ40" s="10">
        <f>J40/F40</f>
        <v/>
      </c>
      <c r="BR40" s="10">
        <f>L40/F40</f>
        <v/>
      </c>
      <c r="BS40" s="10">
        <f>I40/F40</f>
        <v/>
      </c>
      <c r="BT40" s="10">
        <f>K40/F40</f>
        <v/>
      </c>
      <c r="BU40" s="10">
        <f>SUM(BP40:BT40)</f>
        <v/>
      </c>
      <c r="BW40">
        <f>BN40-BU40</f>
        <v/>
      </c>
    </row>
    <row r="41">
      <c r="B41" s="13" t="inlineStr">
        <is>
          <t>NCEN_Bio_Ethanol_CCS_86_Wood</t>
        </is>
      </c>
      <c r="C41" s="12" t="inlineStr">
        <is>
          <t>Biomass_Wood</t>
        </is>
      </c>
      <c r="D41" s="12" t="n">
        <v>0</v>
      </c>
      <c r="E41" s="12" t="n">
        <v>0.2632</v>
      </c>
      <c r="F41" s="12" t="n">
        <v>2.0751</v>
      </c>
      <c r="G41" s="12" t="n">
        <v>0</v>
      </c>
      <c r="H41" s="12" t="n">
        <v>1.802</v>
      </c>
      <c r="I41" s="12" t="n">
        <v>1.141503111940444</v>
      </c>
      <c r="J41" s="12" t="n">
        <v>0.1824392586701383</v>
      </c>
      <c r="K41" s="12" t="n">
        <v>0</v>
      </c>
      <c r="L41" s="12" t="n">
        <v>0</v>
      </c>
      <c r="M41" s="12" t="n">
        <v>520155.64</v>
      </c>
      <c r="N41" s="12" t="n">
        <v>279265.62</v>
      </c>
      <c r="O41" s="12" t="n">
        <v>1.67</v>
      </c>
      <c r="Q41" s="15" t="n">
        <v>0</v>
      </c>
      <c r="R41" s="15" t="n">
        <v>-0.911528</v>
      </c>
      <c r="S41" s="15" t="n">
        <v>100</v>
      </c>
      <c r="T41" s="15" t="n">
        <v>69.911137</v>
      </c>
      <c r="U41" s="15" t="n">
        <v>44.79442</v>
      </c>
      <c r="V41" s="15" t="n">
        <v>43.323942</v>
      </c>
      <c r="W41" s="16" t="n">
        <v>45.289647</v>
      </c>
      <c r="X41" s="16" t="n">
        <v>45.289647</v>
      </c>
      <c r="Y41" s="15" t="n">
        <v>29.249237</v>
      </c>
      <c r="Z41" s="15" t="n">
        <v>34.631601</v>
      </c>
      <c r="AA41" s="15" t="n"/>
      <c r="AB41" s="16" t="n">
        <v>51.059951</v>
      </c>
      <c r="AC41" s="16" t="n">
        <v>51.059951</v>
      </c>
      <c r="AD41" s="16" t="n">
        <v>107.876772</v>
      </c>
      <c r="AE41" s="16" t="n">
        <v>107.876772</v>
      </c>
      <c r="AF41" s="16" t="n">
        <v>96.945356</v>
      </c>
      <c r="AG41" s="16" t="n">
        <v>96.945356</v>
      </c>
      <c r="AH41" s="15" t="n">
        <v>14.089942</v>
      </c>
      <c r="AI41" s="15" t="n">
        <v>14.089942</v>
      </c>
      <c r="AJ41" s="15" t="n">
        <v>0</v>
      </c>
      <c r="AK41" s="15" t="n">
        <v>5000</v>
      </c>
      <c r="AM41">
        <f>B41</f>
        <v/>
      </c>
      <c r="AN41">
        <f>C41</f>
        <v/>
      </c>
      <c r="AO41" s="11">
        <f>SUM(AT41:AZ41)+BB41+BC41</f>
        <v/>
      </c>
      <c r="AP41" s="11">
        <f>SUM(AT41:AZ41)+BE41+BF41</f>
        <v/>
      </c>
      <c r="AQ41" s="11">
        <f>AO41/3.6</f>
        <v/>
      </c>
      <c r="AR41" s="11">
        <f>AP41/3.6</f>
        <v/>
      </c>
      <c r="AS41" s="5">
        <f>AO41-AP41</f>
        <v/>
      </c>
      <c r="AT41">
        <f>D41/F41*Y41*-1</f>
        <v/>
      </c>
      <c r="AU41">
        <f>E41/F41*Y41</f>
        <v/>
      </c>
      <c r="AV41" s="1">
        <f t="array" ref="AV41">_xlfn.IFS(C41="Biomass_Corn", 1/F41*S41, C41="Biomass_Agri", 1/F41*V41, C41="Biomass_Wood", 1/F41*U41, C41="Biomass_Herb", 1/F41*T41)</f>
        <v/>
      </c>
      <c r="AW41">
        <f>G41/F41*AH41</f>
        <v/>
      </c>
      <c r="AX41">
        <f>M41/F41/(0.9*8760)</f>
        <v/>
      </c>
      <c r="AY41">
        <f>N41/F41/(0.9*8760)</f>
        <v/>
      </c>
      <c r="AZ41">
        <f>O41/F41</f>
        <v/>
      </c>
      <c r="BA41" s="1">
        <f>BP41+BQ41+BS41-BL41+BR41+BT41</f>
        <v/>
      </c>
      <c r="BB41" s="1">
        <f>(Q41+R41)*-1*(I41+K41)/F41</f>
        <v/>
      </c>
      <c r="BC41">
        <f>BA41*Q41</f>
        <v/>
      </c>
      <c r="BD41">
        <f>SUM(BP41:BR41)-BL41</f>
        <v/>
      </c>
      <c r="BE41" s="1">
        <f>(I41+K41)/F41*-1*R41</f>
        <v/>
      </c>
      <c r="BF41">
        <f>BD41*Q41</f>
        <v/>
      </c>
      <c r="BH41" s="9">
        <f>H41</f>
        <v/>
      </c>
      <c r="BI41" s="10" t="n">
        <v>0.181048235160161</v>
      </c>
      <c r="BJ41" s="9" t="n">
        <v>0.23037491</v>
      </c>
      <c r="BL41" s="10">
        <f>BH41/F41</f>
        <v/>
      </c>
      <c r="BM41" s="10">
        <f>BI41*G41/F41</f>
        <v/>
      </c>
      <c r="BN41" s="10">
        <f>SUM(BL41:BM41)</f>
        <v/>
      </c>
      <c r="BP41" s="10">
        <f>BJ41</f>
        <v/>
      </c>
      <c r="BQ41" s="10">
        <f>J41/F41</f>
        <v/>
      </c>
      <c r="BR41" s="10">
        <f>L41/F41</f>
        <v/>
      </c>
      <c r="BS41" s="10">
        <f>I41/F41</f>
        <v/>
      </c>
      <c r="BT41" s="10">
        <f>K41/F41</f>
        <v/>
      </c>
      <c r="BU41" s="10">
        <f>SUM(BP41:BT41)</f>
        <v/>
      </c>
      <c r="BW41">
        <f>BN41-BU41</f>
        <v/>
      </c>
    </row>
    <row r="42">
      <c r="B42" s="13" t="inlineStr">
        <is>
          <t>SE_Bio_Ethanol_CCS_86_Wood</t>
        </is>
      </c>
      <c r="C42" s="12" t="inlineStr">
        <is>
          <t>Biomass_Wood</t>
        </is>
      </c>
      <c r="D42" s="12" t="n">
        <v>0</v>
      </c>
      <c r="E42" s="12" t="n">
        <v>0.2632</v>
      </c>
      <c r="F42" s="12" t="n">
        <v>2.0838</v>
      </c>
      <c r="G42" s="12" t="n">
        <v>0</v>
      </c>
      <c r="H42" s="12" t="n">
        <v>1.821</v>
      </c>
      <c r="I42" s="12" t="n">
        <v>1.15615487505457</v>
      </c>
      <c r="J42" s="12" t="n">
        <v>0.1847809577621431</v>
      </c>
      <c r="K42" s="12" t="n">
        <v>0</v>
      </c>
      <c r="L42" s="12" t="n">
        <v>0</v>
      </c>
      <c r="M42" s="12" t="n">
        <v>520155.64</v>
      </c>
      <c r="N42" s="12" t="n">
        <v>279265.62</v>
      </c>
      <c r="O42" s="12" t="n">
        <v>1.67</v>
      </c>
      <c r="Q42" s="15" t="n">
        <v>0</v>
      </c>
      <c r="R42" s="15" t="n">
        <v>-5.914702</v>
      </c>
      <c r="S42" s="15" t="n">
        <v>100</v>
      </c>
      <c r="T42" s="15" t="n">
        <v>69.166622</v>
      </c>
      <c r="U42" s="15" t="n">
        <v>46.05675</v>
      </c>
      <c r="V42" s="15" t="n">
        <v>41.170372</v>
      </c>
      <c r="W42" s="16" t="n">
        <v>45.289647</v>
      </c>
      <c r="X42" s="16" t="n">
        <v>45.289647</v>
      </c>
      <c r="Y42" s="15" t="n">
        <v>33.298446</v>
      </c>
      <c r="Z42" s="15" t="n">
        <v>36.471022</v>
      </c>
      <c r="AA42" s="15" t="n"/>
      <c r="AB42" s="16" t="n">
        <v>51.059951</v>
      </c>
      <c r="AC42" s="16" t="n">
        <v>51.059951</v>
      </c>
      <c r="AD42" s="16" t="n">
        <v>107.876772</v>
      </c>
      <c r="AE42" s="16" t="n">
        <v>107.876772</v>
      </c>
      <c r="AF42" s="16" t="n">
        <v>96.945356</v>
      </c>
      <c r="AG42" s="16" t="n">
        <v>96.945356</v>
      </c>
      <c r="AH42" s="15" t="n">
        <v>14.089638</v>
      </c>
      <c r="AI42" s="15" t="n">
        <v>14.089638</v>
      </c>
      <c r="AJ42" s="15" t="n">
        <v>0</v>
      </c>
      <c r="AK42" s="15" t="n">
        <v>5000</v>
      </c>
      <c r="AM42">
        <f>B42</f>
        <v/>
      </c>
      <c r="AN42">
        <f>C42</f>
        <v/>
      </c>
      <c r="AO42" s="11">
        <f>SUM(AT42:AZ42)+BB42+BC42</f>
        <v/>
      </c>
      <c r="AP42" s="11">
        <f>SUM(AT42:AZ42)+BE42+BF42</f>
        <v/>
      </c>
      <c r="AQ42" s="11">
        <f>AO42/3.6</f>
        <v/>
      </c>
      <c r="AR42" s="11">
        <f>AP42/3.6</f>
        <v/>
      </c>
      <c r="AS42" s="5">
        <f>AO42-AP42</f>
        <v/>
      </c>
      <c r="AT42">
        <f>D42/F42*Y42*-1</f>
        <v/>
      </c>
      <c r="AU42">
        <f>E42/F42*Y42</f>
        <v/>
      </c>
      <c r="AV42" s="1">
        <f t="array" ref="AV42">_xlfn.IFS(C42="Biomass_Corn", 1/F42*S42, C42="Biomass_Agri", 1/F42*V42, C42="Biomass_Wood", 1/F42*U42, C42="Biomass_Herb", 1/F42*T42)</f>
        <v/>
      </c>
      <c r="AW42">
        <f>G42/F42*AH42</f>
        <v/>
      </c>
      <c r="AX42">
        <f>M42/F42/(0.9*8760)</f>
        <v/>
      </c>
      <c r="AY42">
        <f>N42/F42/(0.9*8760)</f>
        <v/>
      </c>
      <c r="AZ42">
        <f>O42/F42</f>
        <v/>
      </c>
      <c r="BA42" s="1">
        <f>BP42+BQ42+BS42-BL42+BR42+BT42</f>
        <v/>
      </c>
      <c r="BB42" s="1">
        <f>(Q42+R42)*-1*(I42+K42)/F42</f>
        <v/>
      </c>
      <c r="BC42">
        <f>BA42*Q42</f>
        <v/>
      </c>
      <c r="BD42">
        <f>SUM(BP42:BR42)-BL42</f>
        <v/>
      </c>
      <c r="BE42" s="1">
        <f>(I42+K42)/F42*-1*R42</f>
        <v/>
      </c>
      <c r="BF42">
        <f>BD42*Q42</f>
        <v/>
      </c>
      <c r="BH42" s="9">
        <f>H42</f>
        <v/>
      </c>
      <c r="BI42" s="10" t="n">
        <v>0.181048235160161</v>
      </c>
      <c r="BJ42" s="9" t="n">
        <v>0.23037491</v>
      </c>
      <c r="BL42" s="10">
        <f>BH42/F42</f>
        <v/>
      </c>
      <c r="BM42" s="10">
        <f>BI42*G42/F42</f>
        <v/>
      </c>
      <c r="BN42" s="10">
        <f>SUM(BL42:BM42)</f>
        <v/>
      </c>
      <c r="BP42" s="10">
        <f>BJ42</f>
        <v/>
      </c>
      <c r="BQ42" s="10">
        <f>J42/F42</f>
        <v/>
      </c>
      <c r="BR42" s="10">
        <f>L42/F42</f>
        <v/>
      </c>
      <c r="BS42" s="10">
        <f>I42/F42</f>
        <v/>
      </c>
      <c r="BT42" s="10">
        <f>K42/F42</f>
        <v/>
      </c>
      <c r="BU42" s="10">
        <f>SUM(BP42:BT42)</f>
        <v/>
      </c>
      <c r="BW42">
        <f>BN42-BU42</f>
        <v/>
      </c>
    </row>
    <row r="43">
      <c r="B43" s="13" t="inlineStr">
        <is>
          <t>TX_Bio_Ethanol_CCS_86_Wood</t>
        </is>
      </c>
      <c r="C43" s="12" t="inlineStr">
        <is>
          <t>Biomass_Wood</t>
        </is>
      </c>
      <c r="D43" s="12" t="n">
        <v>0</v>
      </c>
      <c r="E43" s="12" t="n">
        <v>0.2632</v>
      </c>
      <c r="F43" s="12" t="n">
        <v>2.0577</v>
      </c>
      <c r="G43" s="12" t="n">
        <v>0</v>
      </c>
      <c r="H43" s="12" t="n">
        <v>1.821</v>
      </c>
      <c r="I43" s="12" t="n">
        <v>1.161344985712193</v>
      </c>
      <c r="J43" s="12" t="n">
        <v>0.1856104604861287</v>
      </c>
      <c r="K43" s="12" t="n">
        <v>0</v>
      </c>
      <c r="L43" s="12" t="n">
        <v>0</v>
      </c>
      <c r="M43" s="12" t="n">
        <v>520155.64</v>
      </c>
      <c r="N43" s="12" t="n">
        <v>279265.62</v>
      </c>
      <c r="O43" s="12" t="n">
        <v>1.67</v>
      </c>
      <c r="Q43" s="15" t="n">
        <v>0</v>
      </c>
      <c r="R43" s="15" t="n">
        <v>14.732097</v>
      </c>
      <c r="S43" s="15" t="n">
        <v>100</v>
      </c>
      <c r="T43" s="15" t="n">
        <v>73.00646</v>
      </c>
      <c r="U43" s="15" t="n">
        <v>69.643664</v>
      </c>
      <c r="V43" s="15" t="n">
        <v>43.030303</v>
      </c>
      <c r="W43" s="16" t="n">
        <v>45.289647</v>
      </c>
      <c r="X43" s="16" t="n">
        <v>45.289647</v>
      </c>
      <c r="Y43" s="15" t="n">
        <v>19.019146</v>
      </c>
      <c r="Z43" s="15" t="n">
        <v>23.790747</v>
      </c>
      <c r="AA43" s="15" t="n"/>
      <c r="AB43" s="16" t="n">
        <v>51.059951</v>
      </c>
      <c r="AC43" s="16" t="n">
        <v>51.059951</v>
      </c>
      <c r="AD43" s="16" t="n">
        <v>107.876772</v>
      </c>
      <c r="AE43" s="16" t="n">
        <v>107.876772</v>
      </c>
      <c r="AF43" s="16" t="n">
        <v>96.945356</v>
      </c>
      <c r="AG43" s="16" t="n">
        <v>96.945356</v>
      </c>
      <c r="AH43" s="15" t="n">
        <v>13.326077</v>
      </c>
      <c r="AI43" s="15" t="n">
        <v>13.326077</v>
      </c>
      <c r="AJ43" s="15" t="n">
        <v>0</v>
      </c>
      <c r="AK43" s="15" t="n">
        <v>5000</v>
      </c>
      <c r="AM43">
        <f>B43</f>
        <v/>
      </c>
      <c r="AN43">
        <f>C43</f>
        <v/>
      </c>
      <c r="AO43" s="11">
        <f>SUM(AT43:AZ43)+BB43+BC43</f>
        <v/>
      </c>
      <c r="AP43" s="11">
        <f>SUM(AT43:AZ43)+BE43+BF43</f>
        <v/>
      </c>
      <c r="AQ43" s="11">
        <f>AO43/3.6</f>
        <v/>
      </c>
      <c r="AR43" s="11">
        <f>AP43/3.6</f>
        <v/>
      </c>
      <c r="AS43" s="5">
        <f>AO43-AP43</f>
        <v/>
      </c>
      <c r="AT43">
        <f>D43/F43*Y43*-1</f>
        <v/>
      </c>
      <c r="AU43">
        <f>E43/F43*Y43</f>
        <v/>
      </c>
      <c r="AV43" s="1">
        <f t="array" ref="AV43">_xlfn.IFS(C43="Biomass_Corn", 1/F43*S43, C43="Biomass_Agri", 1/F43*V43, C43="Biomass_Wood", 1/F43*U43, C43="Biomass_Herb", 1/F43*T43)</f>
        <v/>
      </c>
      <c r="AW43">
        <f>G43/F43*AH43</f>
        <v/>
      </c>
      <c r="AX43">
        <f>M43/F43/(0.9*8760)</f>
        <v/>
      </c>
      <c r="AY43">
        <f>N43/F43/(0.9*8760)</f>
        <v/>
      </c>
      <c r="AZ43">
        <f>O43/F43</f>
        <v/>
      </c>
      <c r="BA43" s="1">
        <f>BP43+BQ43+BS43-BL43+BR43+BT43</f>
        <v/>
      </c>
      <c r="BB43" s="1">
        <f>(Q43+R43)*-1*(I43+K43)/F43</f>
        <v/>
      </c>
      <c r="BC43">
        <f>BA43*Q43</f>
        <v/>
      </c>
      <c r="BD43">
        <f>SUM(BP43:BR43)-BL43</f>
        <v/>
      </c>
      <c r="BE43" s="1">
        <f>(I43+K43)/F43*-1*R43</f>
        <v/>
      </c>
      <c r="BF43">
        <f>BD43*Q43</f>
        <v/>
      </c>
      <c r="BH43" s="9">
        <f>H43</f>
        <v/>
      </c>
      <c r="BI43" s="10" t="n">
        <v>0.181048235160161</v>
      </c>
      <c r="BJ43" s="9" t="n">
        <v>0.23037491</v>
      </c>
      <c r="BL43" s="10">
        <f>BH43/F43</f>
        <v/>
      </c>
      <c r="BM43" s="10">
        <f>BI43*G43/F43</f>
        <v/>
      </c>
      <c r="BN43" s="10">
        <f>SUM(BL43:BM43)</f>
        <v/>
      </c>
      <c r="BP43" s="10">
        <f>BJ43</f>
        <v/>
      </c>
      <c r="BQ43" s="10">
        <f>J43/F43</f>
        <v/>
      </c>
      <c r="BR43" s="10">
        <f>L43/F43</f>
        <v/>
      </c>
      <c r="BS43" s="10">
        <f>I43/F43</f>
        <v/>
      </c>
      <c r="BT43" s="10">
        <f>K43/F43</f>
        <v/>
      </c>
      <c r="BU43" s="10">
        <f>SUM(BP43:BT43)</f>
        <v/>
      </c>
      <c r="BW43">
        <f>BN43-BU43</f>
        <v/>
      </c>
    </row>
    <row r="44">
      <c r="B44" s="13" t="inlineStr">
        <is>
          <t>CEN_Bio_Ethanol_CCS_86_Agri</t>
        </is>
      </c>
      <c r="C44" s="12" t="inlineStr">
        <is>
          <t>Biomass_Agri</t>
        </is>
      </c>
      <c r="D44" s="12" t="n">
        <v>0</v>
      </c>
      <c r="E44" s="12" t="n">
        <v>0.2632</v>
      </c>
      <c r="F44" s="12" t="n">
        <v>1.8694</v>
      </c>
      <c r="G44" s="12" t="n">
        <v>0</v>
      </c>
      <c r="H44" s="12" t="n">
        <v>1.7</v>
      </c>
      <c r="I44" s="12" t="n">
        <v>1.094430833369225</v>
      </c>
      <c r="J44" s="12" t="n">
        <v>0.1749159926215254</v>
      </c>
      <c r="K44" s="12" t="n">
        <v>0</v>
      </c>
      <c r="L44" s="12" t="n">
        <v>0</v>
      </c>
      <c r="M44" s="12" t="n">
        <v>520155.64</v>
      </c>
      <c r="N44" s="12" t="n">
        <v>279265.62</v>
      </c>
      <c r="O44" s="12" t="n">
        <v>1.67</v>
      </c>
      <c r="Q44" s="15" t="n">
        <v>0</v>
      </c>
      <c r="R44" s="15" t="n">
        <v>6.223991</v>
      </c>
      <c r="S44" s="15" t="n">
        <v>100</v>
      </c>
      <c r="T44" s="15" t="n">
        <v>72.30436899999999</v>
      </c>
      <c r="U44" s="15" t="n">
        <v>59.390495</v>
      </c>
      <c r="V44" s="15" t="n">
        <v>42.94088</v>
      </c>
      <c r="W44" s="16" t="n">
        <v>45.289647</v>
      </c>
      <c r="X44" s="16" t="n">
        <v>45.289647</v>
      </c>
      <c r="Y44" s="15" t="n">
        <v>22.958189</v>
      </c>
      <c r="Z44" s="15" t="n">
        <v>28.593352</v>
      </c>
      <c r="AA44" s="15" t="n"/>
      <c r="AB44" s="16" t="n">
        <v>51.059951</v>
      </c>
      <c r="AC44" s="16" t="n">
        <v>51.059951</v>
      </c>
      <c r="AD44" s="16" t="n">
        <v>107.876772</v>
      </c>
      <c r="AE44" s="16" t="n">
        <v>107.876772</v>
      </c>
      <c r="AF44" s="16" t="n">
        <v>96.945356</v>
      </c>
      <c r="AG44" s="16" t="n">
        <v>96.945356</v>
      </c>
      <c r="AH44" s="15" t="n">
        <v>14.066295</v>
      </c>
      <c r="AI44" s="15" t="n">
        <v>14.066295</v>
      </c>
      <c r="AJ44" s="15" t="n">
        <v>0</v>
      </c>
      <c r="AK44" s="15" t="n">
        <v>5000</v>
      </c>
      <c r="AM44">
        <f>B44</f>
        <v/>
      </c>
      <c r="AN44">
        <f>C44</f>
        <v/>
      </c>
      <c r="AO44" s="11">
        <f>SUM(AT44:AZ44)+BB44+BC44</f>
        <v/>
      </c>
      <c r="AP44" s="11">
        <f>SUM(AT44:AZ44)+BE44+BF44</f>
        <v/>
      </c>
      <c r="AQ44" s="11">
        <f>AO44/3.6</f>
        <v/>
      </c>
      <c r="AR44" s="11">
        <f>AP44/3.6</f>
        <v/>
      </c>
      <c r="AS44" s="5">
        <f>AO44-AP44</f>
        <v/>
      </c>
      <c r="AT44">
        <f>D44/F44*Y44*-1</f>
        <v/>
      </c>
      <c r="AU44">
        <f>E44/F44*Y44</f>
        <v/>
      </c>
      <c r="AV44" s="1">
        <f t="array" ref="AV44">_xlfn.IFS(C44="Biomass_Corn", 1/F44*S44, C44="Biomass_Agri", 1/F44*V44, C44="Biomass_Wood", 1/F44*U44, C44="Biomass_Herb", 1/F44*T44)</f>
        <v/>
      </c>
      <c r="AW44">
        <f>G44/F44*AH44</f>
        <v/>
      </c>
      <c r="AX44">
        <f>M44/F44/(0.9*8760)</f>
        <v/>
      </c>
      <c r="AY44">
        <f>N44/F44/(0.9*8760)</f>
        <v/>
      </c>
      <c r="AZ44">
        <f>O44/F44</f>
        <v/>
      </c>
      <c r="BA44" s="1">
        <f>BP44+BQ44+BS44-BL44+BR44+BT44</f>
        <v/>
      </c>
      <c r="BB44" s="1">
        <f>(Q44+R44)*-1*(I44+K44)/F44</f>
        <v/>
      </c>
      <c r="BC44">
        <f>BA44*Q44</f>
        <v/>
      </c>
      <c r="BD44">
        <f>SUM(BP44:BR44)-BL44</f>
        <v/>
      </c>
      <c r="BE44" s="1">
        <f>(I44+K44)/F44*-1*R44</f>
        <v/>
      </c>
      <c r="BF44">
        <f>BD44*Q44</f>
        <v/>
      </c>
      <c r="BH44" s="9">
        <f>H44</f>
        <v/>
      </c>
      <c r="BI44" s="10" t="n">
        <v>0.181048235160161</v>
      </c>
      <c r="BJ44" s="9" t="n">
        <v>0.23037491</v>
      </c>
      <c r="BL44" s="10">
        <f>BH44/F44</f>
        <v/>
      </c>
      <c r="BM44" s="10">
        <f>BI44*G44/F44</f>
        <v/>
      </c>
      <c r="BN44" s="10">
        <f>SUM(BL44:BM44)</f>
        <v/>
      </c>
      <c r="BP44" s="10">
        <f>BJ44</f>
        <v/>
      </c>
      <c r="BQ44" s="10">
        <f>J44/F44</f>
        <v/>
      </c>
      <c r="BR44" s="10">
        <f>L44/F44</f>
        <v/>
      </c>
      <c r="BS44" s="10">
        <f>I44/F44</f>
        <v/>
      </c>
      <c r="BT44" s="10">
        <f>K44/F44</f>
        <v/>
      </c>
      <c r="BU44" s="10">
        <f>SUM(BP44:BT44)</f>
        <v/>
      </c>
      <c r="BW44">
        <f>BN44-BU44</f>
        <v/>
      </c>
    </row>
    <row r="45">
      <c r="B45" s="13" t="inlineStr">
        <is>
          <t>MIDAT_Bio_Ethanol_CCS_86_Agri</t>
        </is>
      </c>
      <c r="C45" s="12" t="inlineStr">
        <is>
          <t>Biomass_Agri</t>
        </is>
      </c>
      <c r="D45" s="12" t="n">
        <v>0</v>
      </c>
      <c r="E45" s="12" t="n">
        <v>0.2632</v>
      </c>
      <c r="F45" s="12" t="n">
        <v>1.8813</v>
      </c>
      <c r="G45" s="12" t="n">
        <v>0</v>
      </c>
      <c r="H45" s="12" t="n">
        <v>1.708</v>
      </c>
      <c r="I45" s="12" t="n">
        <v>1.098949632651148</v>
      </c>
      <c r="J45" s="12" t="n">
        <v>0.175638203873032</v>
      </c>
      <c r="K45" s="12" t="n">
        <v>0</v>
      </c>
      <c r="L45" s="12" t="n">
        <v>0</v>
      </c>
      <c r="M45" s="12" t="n">
        <v>520155.64</v>
      </c>
      <c r="N45" s="12" t="n">
        <v>279265.62</v>
      </c>
      <c r="O45" s="12" t="n">
        <v>1.67</v>
      </c>
      <c r="Q45" s="15" t="n">
        <v>0</v>
      </c>
      <c r="R45" s="15" t="n">
        <v>-14.741173</v>
      </c>
      <c r="S45" s="15" t="n">
        <v>100</v>
      </c>
      <c r="T45" s="15" t="n">
        <v>69.370717</v>
      </c>
      <c r="U45" s="15" t="n">
        <v>45.972292</v>
      </c>
      <c r="V45" s="15" t="n">
        <v>42.940257</v>
      </c>
      <c r="W45" s="16" t="n">
        <v>45.289647</v>
      </c>
      <c r="X45" s="16" t="n">
        <v>45.289647</v>
      </c>
      <c r="Y45" s="15" t="n">
        <v>35.672332</v>
      </c>
      <c r="Z45" s="15" t="n">
        <v>37.202448</v>
      </c>
      <c r="AA45" s="15" t="n"/>
      <c r="AB45" s="16" t="n">
        <v>51.059951</v>
      </c>
      <c r="AC45" s="16" t="n">
        <v>51.059951</v>
      </c>
      <c r="AD45" s="16" t="n">
        <v>107.876772</v>
      </c>
      <c r="AE45" s="16" t="n">
        <v>107.876772</v>
      </c>
      <c r="AF45" s="16" t="n">
        <v>96.945356</v>
      </c>
      <c r="AG45" s="16" t="n">
        <v>96.945356</v>
      </c>
      <c r="AH45" s="15" t="n">
        <v>15.046822</v>
      </c>
      <c r="AI45" s="15" t="n">
        <v>15.046822</v>
      </c>
      <c r="AJ45" s="15" t="n">
        <v>0</v>
      </c>
      <c r="AK45" s="15" t="n">
        <v>5000</v>
      </c>
      <c r="AM45">
        <f>B45</f>
        <v/>
      </c>
      <c r="AN45">
        <f>C45</f>
        <v/>
      </c>
      <c r="AO45" s="11">
        <f>SUM(AT45:AZ45)+BB45+BC45</f>
        <v/>
      </c>
      <c r="AP45" s="11">
        <f>SUM(AT45:AZ45)+BE45+BF45</f>
        <v/>
      </c>
      <c r="AQ45" s="11">
        <f>AO45/3.6</f>
        <v/>
      </c>
      <c r="AR45" s="11">
        <f>AP45/3.6</f>
        <v/>
      </c>
      <c r="AS45" s="5">
        <f>AO45-AP45</f>
        <v/>
      </c>
      <c r="AT45">
        <f>D45/F45*Y45*-1</f>
        <v/>
      </c>
      <c r="AU45">
        <f>E45/F45*Y45</f>
        <v/>
      </c>
      <c r="AV45" s="1">
        <f t="array" ref="AV45">_xlfn.IFS(C45="Biomass_Corn", 1/F45*S45, C45="Biomass_Agri", 1/F45*V45, C45="Biomass_Wood", 1/F45*U45, C45="Biomass_Herb", 1/F45*T45)</f>
        <v/>
      </c>
      <c r="AW45">
        <f>G45/F45*AH45</f>
        <v/>
      </c>
      <c r="AX45">
        <f>M45/F45/(0.9*8760)</f>
        <v/>
      </c>
      <c r="AY45">
        <f>N45/F45/(0.9*8760)</f>
        <v/>
      </c>
      <c r="AZ45">
        <f>O45/F45</f>
        <v/>
      </c>
      <c r="BA45" s="1">
        <f>BP45+BQ45+BS45-BL45+BR45+BT45</f>
        <v/>
      </c>
      <c r="BB45" s="1">
        <f>(Q45+R45)*-1*(I45+K45)/F45</f>
        <v/>
      </c>
      <c r="BC45">
        <f>BA45*Q45</f>
        <v/>
      </c>
      <c r="BD45">
        <f>SUM(BP45:BR45)-BL45</f>
        <v/>
      </c>
      <c r="BE45" s="1">
        <f>(I45+K45)/F45*-1*R45</f>
        <v/>
      </c>
      <c r="BF45">
        <f>BD45*Q45</f>
        <v/>
      </c>
      <c r="BH45" s="9">
        <f>H45</f>
        <v/>
      </c>
      <c r="BI45" s="10" t="n">
        <v>0.181048235160161</v>
      </c>
      <c r="BJ45" s="9" t="n">
        <v>0.23037491</v>
      </c>
      <c r="BL45" s="10">
        <f>BH45/F45</f>
        <v/>
      </c>
      <c r="BM45" s="10">
        <f>BI45*G45/F45</f>
        <v/>
      </c>
      <c r="BN45" s="10">
        <f>SUM(BL45:BM45)</f>
        <v/>
      </c>
      <c r="BP45" s="10">
        <f>BJ45</f>
        <v/>
      </c>
      <c r="BQ45" s="10">
        <f>J45/F45</f>
        <v/>
      </c>
      <c r="BR45" s="10">
        <f>L45/F45</f>
        <v/>
      </c>
      <c r="BS45" s="10">
        <f>I45/F45</f>
        <v/>
      </c>
      <c r="BT45" s="10">
        <f>K45/F45</f>
        <v/>
      </c>
      <c r="BU45" s="10">
        <f>SUM(BP45:BT45)</f>
        <v/>
      </c>
      <c r="BW45">
        <f>BN45-BU45</f>
        <v/>
      </c>
    </row>
    <row r="46">
      <c r="B46" s="13" t="inlineStr">
        <is>
          <t>NCEN_Bio_Ethanol_CCS_86_Agri</t>
        </is>
      </c>
      <c r="C46" s="12" t="inlineStr">
        <is>
          <t>Biomass_Agri</t>
        </is>
      </c>
      <c r="D46" s="12" t="n">
        <v>0</v>
      </c>
      <c r="E46" s="12" t="n">
        <v>0.2632</v>
      </c>
      <c r="F46" s="12" t="n">
        <v>1.8835</v>
      </c>
      <c r="G46" s="12" t="n">
        <v>0</v>
      </c>
      <c r="H46" s="12" t="n">
        <v>1.71</v>
      </c>
      <c r="I46" s="12" t="n">
        <v>1.100241523429679</v>
      </c>
      <c r="J46" s="12" t="n">
        <v>0.1758446786460332</v>
      </c>
      <c r="K46" s="12" t="n">
        <v>0</v>
      </c>
      <c r="L46" s="12" t="n">
        <v>0</v>
      </c>
      <c r="M46" s="12" t="n">
        <v>520155.64</v>
      </c>
      <c r="N46" s="12" t="n">
        <v>279265.62</v>
      </c>
      <c r="O46" s="12" t="n">
        <v>1.67</v>
      </c>
      <c r="Q46" s="15" t="n">
        <v>0</v>
      </c>
      <c r="R46" s="15" t="n">
        <v>-0.911528</v>
      </c>
      <c r="S46" s="15" t="n">
        <v>100</v>
      </c>
      <c r="T46" s="15" t="n">
        <v>69.911137</v>
      </c>
      <c r="U46" s="15" t="n">
        <v>44.79442</v>
      </c>
      <c r="V46" s="15" t="n">
        <v>43.323942</v>
      </c>
      <c r="W46" s="16" t="n">
        <v>45.289647</v>
      </c>
      <c r="X46" s="16" t="n">
        <v>45.289647</v>
      </c>
      <c r="Y46" s="15" t="n">
        <v>29.249237</v>
      </c>
      <c r="Z46" s="15" t="n">
        <v>34.631601</v>
      </c>
      <c r="AA46" s="15" t="n"/>
      <c r="AB46" s="16" t="n">
        <v>51.059951</v>
      </c>
      <c r="AC46" s="16" t="n">
        <v>51.059951</v>
      </c>
      <c r="AD46" s="16" t="n">
        <v>107.876772</v>
      </c>
      <c r="AE46" s="16" t="n">
        <v>107.876772</v>
      </c>
      <c r="AF46" s="16" t="n">
        <v>96.945356</v>
      </c>
      <c r="AG46" s="16" t="n">
        <v>96.945356</v>
      </c>
      <c r="AH46" s="15" t="n">
        <v>14.089942</v>
      </c>
      <c r="AI46" s="15" t="n">
        <v>14.089942</v>
      </c>
      <c r="AJ46" s="15" t="n">
        <v>0</v>
      </c>
      <c r="AK46" s="15" t="n">
        <v>5000</v>
      </c>
      <c r="AM46">
        <f>B46</f>
        <v/>
      </c>
      <c r="AN46">
        <f>C46</f>
        <v/>
      </c>
      <c r="AO46" s="11">
        <f>SUM(AT46:AZ46)+BB46+BC46</f>
        <v/>
      </c>
      <c r="AP46" s="11">
        <f>SUM(AT46:AZ46)+BE46+BF46</f>
        <v/>
      </c>
      <c r="AQ46" s="11">
        <f>AO46/3.6</f>
        <v/>
      </c>
      <c r="AR46" s="11">
        <f>AP46/3.6</f>
        <v/>
      </c>
      <c r="AS46" s="5">
        <f>AO46-AP46</f>
        <v/>
      </c>
      <c r="AT46">
        <f>D46/F46*Y46*-1</f>
        <v/>
      </c>
      <c r="AU46">
        <f>E46/F46*Y46</f>
        <v/>
      </c>
      <c r="AV46" s="1">
        <f t="array" ref="AV46">_xlfn.IFS(C46="Biomass_Corn", 1/F46*S46, C46="Biomass_Agri", 1/F46*V46, C46="Biomass_Wood", 1/F46*U46, C46="Biomass_Herb", 1/F46*T46)</f>
        <v/>
      </c>
      <c r="AW46">
        <f>G46/F46*AH46</f>
        <v/>
      </c>
      <c r="AX46">
        <f>M46/F46/(0.9*8760)</f>
        <v/>
      </c>
      <c r="AY46">
        <f>N46/F46/(0.9*8760)</f>
        <v/>
      </c>
      <c r="AZ46">
        <f>O46/F46</f>
        <v/>
      </c>
      <c r="BA46" s="1">
        <f>BP46+BQ46+BS46-BL46+BR46+BT46</f>
        <v/>
      </c>
      <c r="BB46" s="1">
        <f>(Q46+R46)*-1*(I46+K46)/F46</f>
        <v/>
      </c>
      <c r="BC46">
        <f>BA46*Q46</f>
        <v/>
      </c>
      <c r="BD46">
        <f>SUM(BP46:BR46)-BL46</f>
        <v/>
      </c>
      <c r="BE46" s="1">
        <f>(I46+K46)/F46*-1*R46</f>
        <v/>
      </c>
      <c r="BF46">
        <f>BD46*Q46</f>
        <v/>
      </c>
      <c r="BH46" s="9">
        <f>H46</f>
        <v/>
      </c>
      <c r="BI46" s="10" t="n">
        <v>0.181048235160161</v>
      </c>
      <c r="BJ46" s="9" t="n">
        <v>0.23037491</v>
      </c>
      <c r="BL46" s="10">
        <f>BH46/F46</f>
        <v/>
      </c>
      <c r="BM46" s="10">
        <f>BI46*G46/F46</f>
        <v/>
      </c>
      <c r="BN46" s="10">
        <f>SUM(BL46:BM46)</f>
        <v/>
      </c>
      <c r="BP46" s="10">
        <f>BJ46</f>
        <v/>
      </c>
      <c r="BQ46" s="10">
        <f>J46/F46</f>
        <v/>
      </c>
      <c r="BR46" s="10">
        <f>L46/F46</f>
        <v/>
      </c>
      <c r="BS46" s="10">
        <f>I46/F46</f>
        <v/>
      </c>
      <c r="BT46" s="10">
        <f>K46/F46</f>
        <v/>
      </c>
      <c r="BU46" s="10">
        <f>SUM(BP46:BT46)</f>
        <v/>
      </c>
      <c r="BW46">
        <f>BN46-BU46</f>
        <v/>
      </c>
    </row>
    <row r="47">
      <c r="B47" s="13" t="inlineStr">
        <is>
          <t>SE_Bio_Ethanol_CCS_86_Agri</t>
        </is>
      </c>
      <c r="C47" s="12" t="inlineStr">
        <is>
          <t>Biomass_Agri</t>
        </is>
      </c>
      <c r="D47" s="12" t="n">
        <v>0</v>
      </c>
      <c r="E47" s="12" t="n">
        <v>0.2632</v>
      </c>
      <c r="F47" s="12" t="n">
        <v>1.8759</v>
      </c>
      <c r="G47" s="12" t="n">
        <v>0</v>
      </c>
      <c r="H47" s="12" t="n">
        <v>1.689</v>
      </c>
      <c r="I47" s="12" t="n">
        <v>1.083649105704819</v>
      </c>
      <c r="J47" s="12" t="n">
        <v>0.173192816940529</v>
      </c>
      <c r="K47" s="12" t="n">
        <v>0</v>
      </c>
      <c r="L47" s="12" t="n">
        <v>0</v>
      </c>
      <c r="M47" s="12" t="n">
        <v>520155.64</v>
      </c>
      <c r="N47" s="12" t="n">
        <v>279265.62</v>
      </c>
      <c r="O47" s="12" t="n">
        <v>1.67</v>
      </c>
      <c r="Q47" s="15" t="n">
        <v>0</v>
      </c>
      <c r="R47" s="15" t="n">
        <v>-5.914702</v>
      </c>
      <c r="S47" s="15" t="n">
        <v>100</v>
      </c>
      <c r="T47" s="15" t="n">
        <v>69.166622</v>
      </c>
      <c r="U47" s="15" t="n">
        <v>46.05675</v>
      </c>
      <c r="V47" s="15" t="n">
        <v>41.170372</v>
      </c>
      <c r="W47" s="16" t="n">
        <v>45.289647</v>
      </c>
      <c r="X47" s="16" t="n">
        <v>45.289647</v>
      </c>
      <c r="Y47" s="15" t="n">
        <v>33.298446</v>
      </c>
      <c r="Z47" s="15" t="n">
        <v>36.471022</v>
      </c>
      <c r="AA47" s="15" t="n"/>
      <c r="AB47" s="16" t="n">
        <v>51.059951</v>
      </c>
      <c r="AC47" s="16" t="n">
        <v>51.059951</v>
      </c>
      <c r="AD47" s="16" t="n">
        <v>107.876772</v>
      </c>
      <c r="AE47" s="16" t="n">
        <v>107.876772</v>
      </c>
      <c r="AF47" s="16" t="n">
        <v>96.945356</v>
      </c>
      <c r="AG47" s="16" t="n">
        <v>96.945356</v>
      </c>
      <c r="AH47" s="15" t="n">
        <v>14.089638</v>
      </c>
      <c r="AI47" s="15" t="n">
        <v>14.089638</v>
      </c>
      <c r="AJ47" s="15" t="n">
        <v>0</v>
      </c>
      <c r="AK47" s="15" t="n">
        <v>5000</v>
      </c>
      <c r="AM47">
        <f>B47</f>
        <v/>
      </c>
      <c r="AN47">
        <f>C47</f>
        <v/>
      </c>
      <c r="AO47" s="11">
        <f>SUM(AT47:AZ47)+BB47+BC47</f>
        <v/>
      </c>
      <c r="AP47" s="11">
        <f>SUM(AT47:AZ47)+BE47+BF47</f>
        <v/>
      </c>
      <c r="AQ47" s="11">
        <f>AO47/3.6</f>
        <v/>
      </c>
      <c r="AR47" s="11">
        <f>AP47/3.6</f>
        <v/>
      </c>
      <c r="AS47" s="5">
        <f>AO47-AP47</f>
        <v/>
      </c>
      <c r="AT47">
        <f>D47/F47*Y47*-1</f>
        <v/>
      </c>
      <c r="AU47">
        <f>E47/F47*Y47</f>
        <v/>
      </c>
      <c r="AV47" s="1">
        <f t="array" ref="AV47">_xlfn.IFS(C47="Biomass_Corn", 1/F47*S47, C47="Biomass_Agri", 1/F47*V47, C47="Biomass_Wood", 1/F47*U47, C47="Biomass_Herb", 1/F47*T47)</f>
        <v/>
      </c>
      <c r="AW47">
        <f>G47/F47*AH47</f>
        <v/>
      </c>
      <c r="AX47">
        <f>M47/F47/(0.9*8760)</f>
        <v/>
      </c>
      <c r="AY47">
        <f>N47/F47/(0.9*8760)</f>
        <v/>
      </c>
      <c r="AZ47">
        <f>O47/F47</f>
        <v/>
      </c>
      <c r="BA47" s="1">
        <f>BP47+BQ47+BS47-BL47+BR47+BT47</f>
        <v/>
      </c>
      <c r="BB47" s="1">
        <f>(Q47+R47)*-1*(I47+K47)/F47</f>
        <v/>
      </c>
      <c r="BC47">
        <f>BA47*Q47</f>
        <v/>
      </c>
      <c r="BD47">
        <f>SUM(BP47:BR47)-BL47</f>
        <v/>
      </c>
      <c r="BE47" s="1">
        <f>(I47+K47)/F47*-1*R47</f>
        <v/>
      </c>
      <c r="BF47">
        <f>BD47*Q47</f>
        <v/>
      </c>
      <c r="BH47" s="9">
        <f>H47</f>
        <v/>
      </c>
      <c r="BI47" s="10" t="n">
        <v>0.181048235160161</v>
      </c>
      <c r="BJ47" s="9" t="n">
        <v>0.23037491</v>
      </c>
      <c r="BL47" s="10">
        <f>BH47/F47</f>
        <v/>
      </c>
      <c r="BM47" s="10">
        <f>BI47*G47/F47</f>
        <v/>
      </c>
      <c r="BN47" s="10">
        <f>SUM(BL47:BM47)</f>
        <v/>
      </c>
      <c r="BP47" s="10">
        <f>BJ47</f>
        <v/>
      </c>
      <c r="BQ47" s="10">
        <f>J47/F47</f>
        <v/>
      </c>
      <c r="BR47" s="10">
        <f>L47/F47</f>
        <v/>
      </c>
      <c r="BS47" s="10">
        <f>I47/F47</f>
        <v/>
      </c>
      <c r="BT47" s="10">
        <f>K47/F47</f>
        <v/>
      </c>
      <c r="BU47" s="10">
        <f>SUM(BP47:BT47)</f>
        <v/>
      </c>
      <c r="BW47">
        <f>BN47-BU47</f>
        <v/>
      </c>
    </row>
    <row r="48">
      <c r="B48" s="13" t="inlineStr">
        <is>
          <t>TX_Bio_Ethanol_CCS_86_Agri</t>
        </is>
      </c>
      <c r="C48" s="12" t="inlineStr">
        <is>
          <t>Biomass_Agri</t>
        </is>
      </c>
      <c r="D48" s="12" t="n">
        <v>0</v>
      </c>
      <c r="E48" s="12" t="n">
        <v>0.2632</v>
      </c>
      <c r="F48" s="12" t="n">
        <v>1.8062</v>
      </c>
      <c r="G48" s="12" t="n">
        <v>0</v>
      </c>
      <c r="H48" s="12" t="n">
        <v>1.633</v>
      </c>
      <c r="I48" s="12" t="n">
        <v>1.049206200791814</v>
      </c>
      <c r="J48" s="12" t="n">
        <v>0.1676880242044908</v>
      </c>
      <c r="K48" s="12" t="n">
        <v>0</v>
      </c>
      <c r="L48" s="12" t="n">
        <v>0</v>
      </c>
      <c r="M48" s="12" t="n">
        <v>520155.64</v>
      </c>
      <c r="N48" s="12" t="n">
        <v>279265.62</v>
      </c>
      <c r="O48" s="12" t="n">
        <v>1.67</v>
      </c>
      <c r="Q48" s="15" t="n">
        <v>0</v>
      </c>
      <c r="R48" s="15" t="n">
        <v>14.732097</v>
      </c>
      <c r="S48" s="15" t="n">
        <v>100</v>
      </c>
      <c r="T48" s="15" t="n">
        <v>73.00646</v>
      </c>
      <c r="U48" s="15" t="n">
        <v>69.643664</v>
      </c>
      <c r="V48" s="15" t="n">
        <v>43.030303</v>
      </c>
      <c r="W48" s="16" t="n">
        <v>45.289647</v>
      </c>
      <c r="X48" s="16" t="n">
        <v>45.289647</v>
      </c>
      <c r="Y48" s="15" t="n">
        <v>19.019146</v>
      </c>
      <c r="Z48" s="15" t="n">
        <v>23.790747</v>
      </c>
      <c r="AA48" s="15" t="n"/>
      <c r="AB48" s="16" t="n">
        <v>51.059951</v>
      </c>
      <c r="AC48" s="16" t="n">
        <v>51.059951</v>
      </c>
      <c r="AD48" s="16" t="n">
        <v>107.876772</v>
      </c>
      <c r="AE48" s="16" t="n">
        <v>107.876772</v>
      </c>
      <c r="AF48" s="16" t="n">
        <v>96.945356</v>
      </c>
      <c r="AG48" s="16" t="n">
        <v>96.945356</v>
      </c>
      <c r="AH48" s="15" t="n">
        <v>13.326077</v>
      </c>
      <c r="AI48" s="15" t="n">
        <v>13.326077</v>
      </c>
      <c r="AJ48" s="15" t="n">
        <v>0</v>
      </c>
      <c r="AK48" s="15" t="n">
        <v>5000</v>
      </c>
      <c r="AM48">
        <f>B48</f>
        <v/>
      </c>
      <c r="AN48">
        <f>C48</f>
        <v/>
      </c>
      <c r="AO48" s="11">
        <f>SUM(AT48:AZ48)+BB48+BC48</f>
        <v/>
      </c>
      <c r="AP48" s="11">
        <f>SUM(AT48:AZ48)+BE48+BF48</f>
        <v/>
      </c>
      <c r="AQ48" s="11">
        <f>AO48/3.6</f>
        <v/>
      </c>
      <c r="AR48" s="11">
        <f>AP48/3.6</f>
        <v/>
      </c>
      <c r="AS48" s="5">
        <f>AO48-AP48</f>
        <v/>
      </c>
      <c r="AT48">
        <f>D48/F48*Y48*-1</f>
        <v/>
      </c>
      <c r="AU48">
        <f>E48/F48*Y48</f>
        <v/>
      </c>
      <c r="AV48" s="1">
        <f t="array" ref="AV48">_xlfn.IFS(C48="Biomass_Corn", 1/F48*S48, C48="Biomass_Agri", 1/F48*V48, C48="Biomass_Wood", 1/F48*U48, C48="Biomass_Herb", 1/F48*T48)</f>
        <v/>
      </c>
      <c r="AW48">
        <f>G48/F48*AH48</f>
        <v/>
      </c>
      <c r="AX48">
        <f>M48/F48/(0.9*8760)</f>
        <v/>
      </c>
      <c r="AY48">
        <f>N48/F48/(0.9*8760)</f>
        <v/>
      </c>
      <c r="AZ48">
        <f>O48/F48</f>
        <v/>
      </c>
      <c r="BA48" s="1">
        <f>BP48+BQ48+BS48-BL48+BR48+BT48</f>
        <v/>
      </c>
      <c r="BB48" s="1">
        <f>(Q48+R48)*-1*(I48+K48)/F48</f>
        <v/>
      </c>
      <c r="BC48">
        <f>BA48*Q48</f>
        <v/>
      </c>
      <c r="BD48">
        <f>SUM(BP48:BR48)-BL48</f>
        <v/>
      </c>
      <c r="BE48" s="1">
        <f>(I48+K48)/F48*-1*R48</f>
        <v/>
      </c>
      <c r="BF48">
        <f>BD48*Q48</f>
        <v/>
      </c>
      <c r="BH48" s="9">
        <f>H48</f>
        <v/>
      </c>
      <c r="BI48" s="10" t="n">
        <v>0.181048235160161</v>
      </c>
      <c r="BJ48" s="9" t="n">
        <v>0.23037491</v>
      </c>
      <c r="BL48" s="10">
        <f>BH48/F48</f>
        <v/>
      </c>
      <c r="BM48" s="10">
        <f>BI48*G48/F48</f>
        <v/>
      </c>
      <c r="BN48" s="10">
        <f>SUM(BL48:BM48)</f>
        <v/>
      </c>
      <c r="BP48" s="10">
        <f>BJ48</f>
        <v/>
      </c>
      <c r="BQ48" s="10">
        <f>J48/F48</f>
        <v/>
      </c>
      <c r="BR48" s="10">
        <f>L48/F48</f>
        <v/>
      </c>
      <c r="BS48" s="10">
        <f>I48/F48</f>
        <v/>
      </c>
      <c r="BT48" s="10">
        <f>K48/F48</f>
        <v/>
      </c>
      <c r="BU48" s="10">
        <f>SUM(BP48:BT48)</f>
        <v/>
      </c>
      <c r="BW48">
        <f>BN48-BU48</f>
        <v/>
      </c>
    </row>
    <row r="49">
      <c r="B49" s="13" t="inlineStr">
        <is>
          <t>CA_DryMill_Existing_Non_CCS</t>
        </is>
      </c>
      <c r="C49" s="12" t="inlineStr">
        <is>
          <t>Biomass_Corn</t>
        </is>
      </c>
      <c r="D49" s="12" t="n">
        <v>0</v>
      </c>
      <c r="E49" s="12" t="n">
        <v>0.085342825</v>
      </c>
      <c r="F49" s="12" t="n">
        <v>3.104337995</v>
      </c>
      <c r="G49" s="12" t="n">
        <v>1.013397519</v>
      </c>
      <c r="H49" s="12" t="n">
        <v>1.758866658</v>
      </c>
      <c r="I49" s="12" t="n">
        <v>0</v>
      </c>
      <c r="J49" s="12" t="n">
        <v>1.043705066</v>
      </c>
      <c r="K49" s="12" t="n">
        <v>0</v>
      </c>
      <c r="L49" s="12" t="n">
        <v>0.185341119</v>
      </c>
      <c r="M49" s="12" t="n">
        <v>322562.05</v>
      </c>
      <c r="N49" s="12" t="n">
        <v>176727.97</v>
      </c>
      <c r="O49" s="12" t="n">
        <v>-25.41</v>
      </c>
      <c r="Q49" s="15" t="n">
        <v>0</v>
      </c>
      <c r="R49" s="15" t="n">
        <v>-16.309543</v>
      </c>
      <c r="S49" s="15" t="n">
        <v>100</v>
      </c>
      <c r="T49" s="15" t="n"/>
      <c r="U49" s="15" t="n">
        <v>39.347116</v>
      </c>
      <c r="V49" s="15" t="n">
        <v>34.413449</v>
      </c>
      <c r="W49" s="16" t="n">
        <v>45.289647</v>
      </c>
      <c r="X49" s="16" t="n">
        <v>45.289647</v>
      </c>
      <c r="Y49" s="15" t="n">
        <v>39.400687</v>
      </c>
      <c r="Z49" s="15" t="n">
        <v>35.007561</v>
      </c>
      <c r="AA49" s="15" t="n"/>
      <c r="AB49" s="16" t="n">
        <v>51.059951</v>
      </c>
      <c r="AC49" s="16" t="n">
        <v>51.059951</v>
      </c>
      <c r="AD49" s="16" t="n">
        <v>107.876772</v>
      </c>
      <c r="AE49" s="16" t="n">
        <v>107.876772</v>
      </c>
      <c r="AF49" s="16" t="n">
        <v>96.945356</v>
      </c>
      <c r="AG49" s="16" t="n">
        <v>96.945356</v>
      </c>
      <c r="AH49" s="15" t="n">
        <v>16.900485</v>
      </c>
      <c r="AI49" s="15" t="n">
        <v>16.900485</v>
      </c>
      <c r="AJ49" s="15" t="n">
        <v>0</v>
      </c>
      <c r="AK49" s="15" t="n">
        <v>5000</v>
      </c>
      <c r="AM49">
        <f>B49</f>
        <v/>
      </c>
      <c r="AN49">
        <f>C49</f>
        <v/>
      </c>
      <c r="AO49" s="11">
        <f>SUM(AT49:AZ49)+BB49+BC49</f>
        <v/>
      </c>
      <c r="AP49" s="11">
        <f>SUM(AT49:AZ49)+BE49+BF49</f>
        <v/>
      </c>
      <c r="AQ49" s="11">
        <f>AO49/3.6</f>
        <v/>
      </c>
      <c r="AR49" s="11">
        <f>AP49/3.6</f>
        <v/>
      </c>
      <c r="AS49" s="5">
        <f>AO49-AP49</f>
        <v/>
      </c>
      <c r="AT49">
        <f>D49/F49*Y49*-1</f>
        <v/>
      </c>
      <c r="AU49">
        <f>E49/F49*Y49</f>
        <v/>
      </c>
      <c r="AV49" s="1">
        <f t="array" ref="AV49">_xlfn.IFS(C49="Biomass_Corn", 1/F49*S49, C49="Biomass_Agri", 1/F49*V49, C49="Biomass_Wood", 1/F49*U49, C49="Biomass_Herb", 1/F49*T49)</f>
        <v/>
      </c>
      <c r="AW49">
        <f>G49/F49*AH49</f>
        <v/>
      </c>
      <c r="AX49">
        <f>M49/F49/(0.9*8760)</f>
        <v/>
      </c>
      <c r="AY49">
        <f>N49/F49/(0.9*8760)</f>
        <v/>
      </c>
      <c r="AZ49">
        <f>O49/F49</f>
        <v/>
      </c>
      <c r="BA49" s="1">
        <f>BP49+BQ49+BS49-BL49+BR49+BT49</f>
        <v/>
      </c>
      <c r="BB49" s="1">
        <f>(Q49+R49)*-1*(I49+K49)/F49</f>
        <v/>
      </c>
      <c r="BC49">
        <f>BA49*Q49</f>
        <v/>
      </c>
      <c r="BD49">
        <f>SUM(BP49:BR49)-BL49</f>
        <v/>
      </c>
      <c r="BE49" s="1">
        <f>(I49+K49)/F49*-1*R49</f>
        <v/>
      </c>
      <c r="BF49">
        <f>BD49*Q49</f>
        <v/>
      </c>
      <c r="BH49" s="9">
        <f>H49</f>
        <v/>
      </c>
      <c r="BI49" s="10" t="n">
        <v>0.181048235160161</v>
      </c>
      <c r="BJ49" s="9" t="n">
        <v>0.23037491</v>
      </c>
      <c r="BL49" s="10">
        <f>BH49/F49</f>
        <v/>
      </c>
      <c r="BM49" s="10">
        <f>BI49*G49/F49</f>
        <v/>
      </c>
      <c r="BN49" s="10">
        <f>SUM(BL49:BM49)</f>
        <v/>
      </c>
      <c r="BP49" s="10">
        <f>BJ49</f>
        <v/>
      </c>
      <c r="BQ49" s="10">
        <f>J49/F49</f>
        <v/>
      </c>
      <c r="BR49" s="10">
        <f>L49/F49</f>
        <v/>
      </c>
      <c r="BS49" s="10">
        <f>I49/F49</f>
        <v/>
      </c>
      <c r="BT49" s="10">
        <f>K49/F49</f>
        <v/>
      </c>
      <c r="BU49" s="10">
        <f>SUM(BP49:BT49)</f>
        <v/>
      </c>
      <c r="BW49">
        <f>BN49-BU49</f>
        <v/>
      </c>
    </row>
    <row r="50">
      <c r="B50" s="13" t="inlineStr">
        <is>
          <t>NW_DryMill_Existing_Non_CCS</t>
        </is>
      </c>
      <c r="C50" s="12" t="inlineStr">
        <is>
          <t>Biomass_Corn</t>
        </is>
      </c>
      <c r="D50" s="12" t="n">
        <v>0</v>
      </c>
      <c r="E50" s="12" t="n">
        <v>0.085342825</v>
      </c>
      <c r="F50" s="12" t="n">
        <v>3.104337995</v>
      </c>
      <c r="G50" s="12" t="n">
        <v>1.013397519</v>
      </c>
      <c r="H50" s="12" t="n">
        <v>1.758866658</v>
      </c>
      <c r="I50" s="12" t="n">
        <v>0</v>
      </c>
      <c r="J50" s="12" t="n">
        <v>1.043705066</v>
      </c>
      <c r="K50" s="12" t="n">
        <v>0</v>
      </c>
      <c r="L50" s="12" t="n">
        <v>0.185341119</v>
      </c>
      <c r="M50" s="12" t="n">
        <v>322562.05</v>
      </c>
      <c r="N50" s="12" t="n">
        <v>176727.97</v>
      </c>
      <c r="O50" s="12" t="n">
        <v>-25.41</v>
      </c>
      <c r="Q50" s="15" t="n">
        <v>0</v>
      </c>
      <c r="R50" s="15" t="n">
        <v>-3.557382</v>
      </c>
      <c r="S50" s="15" t="n">
        <v>100</v>
      </c>
      <c r="T50" s="15" t="n">
        <v>70.61086299999999</v>
      </c>
      <c r="U50" s="15" t="n">
        <v>48.120714</v>
      </c>
      <c r="V50" s="15" t="n">
        <v>39.234002</v>
      </c>
      <c r="W50" s="16" t="n">
        <v>45.289647</v>
      </c>
      <c r="X50" s="16" t="n">
        <v>45.289647</v>
      </c>
      <c r="Y50" s="15" t="n">
        <v>28.009811</v>
      </c>
      <c r="Z50" s="15" t="n">
        <v>31.329838</v>
      </c>
      <c r="AA50" s="15" t="n"/>
      <c r="AB50" s="16" t="n">
        <v>51.059951</v>
      </c>
      <c r="AC50" s="16" t="n">
        <v>51.059951</v>
      </c>
      <c r="AD50" s="16" t="n">
        <v>107.876772</v>
      </c>
      <c r="AE50" s="16" t="n">
        <v>107.876772</v>
      </c>
      <c r="AF50" s="16" t="n">
        <v>96.945356</v>
      </c>
      <c r="AG50" s="16" t="n">
        <v>96.945356</v>
      </c>
      <c r="AH50" s="15" t="n">
        <v>15.780879</v>
      </c>
      <c r="AI50" s="15" t="n">
        <v>15.780879</v>
      </c>
      <c r="AJ50" s="15" t="n">
        <v>0</v>
      </c>
      <c r="AK50" s="15" t="n">
        <v>5000</v>
      </c>
      <c r="AM50">
        <f>B50</f>
        <v/>
      </c>
      <c r="AN50">
        <f>C50</f>
        <v/>
      </c>
      <c r="AO50" s="11">
        <f>SUM(AT50:AZ50)+BB50+BC50</f>
        <v/>
      </c>
      <c r="AP50" s="11">
        <f>SUM(AT50:AZ50)+BE50+BF50</f>
        <v/>
      </c>
      <c r="AQ50" s="11">
        <f>AO50/3.6</f>
        <v/>
      </c>
      <c r="AR50" s="11">
        <f>AP50/3.6</f>
        <v/>
      </c>
      <c r="AS50" s="5">
        <f>AO50-AP50</f>
        <v/>
      </c>
      <c r="AT50">
        <f>D50/F50*Y50*-1</f>
        <v/>
      </c>
      <c r="AU50">
        <f>E50/F50*Y50</f>
        <v/>
      </c>
      <c r="AV50" s="1">
        <f t="array" ref="AV50">_xlfn.IFS(C50="Biomass_Corn", 1/F50*S50, C50="Biomass_Agri", 1/F50*V50, C50="Biomass_Wood", 1/F50*U50, C50="Biomass_Herb", 1/F50*T50)</f>
        <v/>
      </c>
      <c r="AW50">
        <f>G50/F50*AH50</f>
        <v/>
      </c>
      <c r="AX50">
        <f>M50/F50/(0.9*8760)</f>
        <v/>
      </c>
      <c r="AY50">
        <f>N50/F50/(0.9*8760)</f>
        <v/>
      </c>
      <c r="AZ50">
        <f>O50/F50</f>
        <v/>
      </c>
      <c r="BA50" s="1">
        <f>BP50+BQ50+BS50-BL50+BR50+BT50</f>
        <v/>
      </c>
      <c r="BB50" s="1">
        <f>(Q50+R50)*-1*(I50+K50)/F50</f>
        <v/>
      </c>
      <c r="BC50">
        <f>BA50*Q50</f>
        <v/>
      </c>
      <c r="BD50">
        <f>SUM(BP50:BR50)-BL50</f>
        <v/>
      </c>
      <c r="BE50" s="1">
        <f>(I50+K50)/F50*-1*R50</f>
        <v/>
      </c>
      <c r="BF50">
        <f>BD50*Q50</f>
        <v/>
      </c>
      <c r="BH50" s="9">
        <f>H50</f>
        <v/>
      </c>
      <c r="BI50" s="10" t="n">
        <v>0.181048235160161</v>
      </c>
      <c r="BJ50" s="9" t="n">
        <v>0.23037491</v>
      </c>
      <c r="BL50" s="10">
        <f>BH50/F50</f>
        <v/>
      </c>
      <c r="BM50" s="10">
        <f>BI50*G50/F50</f>
        <v/>
      </c>
      <c r="BN50" s="10">
        <f>SUM(BL50:BM50)</f>
        <v/>
      </c>
      <c r="BP50" s="10">
        <f>BJ50</f>
        <v/>
      </c>
      <c r="BQ50" s="10">
        <f>J50/F50</f>
        <v/>
      </c>
      <c r="BR50" s="10">
        <f>L50/F50</f>
        <v/>
      </c>
      <c r="BS50" s="10">
        <f>I50/F50</f>
        <v/>
      </c>
      <c r="BT50" s="10">
        <f>K50/F50</f>
        <v/>
      </c>
      <c r="BU50" s="10">
        <f>SUM(BP50:BT50)</f>
        <v/>
      </c>
      <c r="BW50">
        <f>BN50-BU50</f>
        <v/>
      </c>
    </row>
    <row r="51">
      <c r="B51" s="13" t="inlineStr">
        <is>
          <t>SW_DryMill_Existing_Non_CCS</t>
        </is>
      </c>
      <c r="C51" s="12" t="inlineStr">
        <is>
          <t>Biomass_Corn</t>
        </is>
      </c>
      <c r="D51" s="12" t="n">
        <v>0</v>
      </c>
      <c r="E51" s="12" t="n">
        <v>0.085342825</v>
      </c>
      <c r="F51" s="12" t="n">
        <v>3.104337995</v>
      </c>
      <c r="G51" s="12" t="n">
        <v>1.013397519</v>
      </c>
      <c r="H51" s="12" t="n">
        <v>1.758866658</v>
      </c>
      <c r="I51" s="12" t="n">
        <v>0</v>
      </c>
      <c r="J51" s="12" t="n">
        <v>1.043705066</v>
      </c>
      <c r="K51" s="12" t="n">
        <v>0</v>
      </c>
      <c r="L51" s="12" t="n">
        <v>0.185341119</v>
      </c>
      <c r="M51" s="12" t="n">
        <v>322562.05</v>
      </c>
      <c r="N51" s="12" t="n">
        <v>176727.97</v>
      </c>
      <c r="O51" s="12" t="n">
        <v>-25.41</v>
      </c>
      <c r="Q51" s="15" t="n">
        <v>0</v>
      </c>
      <c r="R51" s="15" t="n">
        <v>-6.203351</v>
      </c>
      <c r="S51" s="15" t="n">
        <v>100</v>
      </c>
      <c r="T51" s="15" t="n">
        <v>67.594672</v>
      </c>
      <c r="U51" s="15" t="n">
        <v>47.542838</v>
      </c>
      <c r="V51" s="15" t="n">
        <v>39.757567</v>
      </c>
      <c r="W51" s="16" t="n">
        <v>45.289647</v>
      </c>
      <c r="X51" s="16" t="n">
        <v>45.289647</v>
      </c>
      <c r="Y51" s="15" t="n">
        <v>27.4329</v>
      </c>
      <c r="Z51" s="15" t="n">
        <v>29.313567</v>
      </c>
      <c r="AA51" s="15" t="n"/>
      <c r="AB51" s="16" t="n">
        <v>51.059951</v>
      </c>
      <c r="AC51" s="16" t="n">
        <v>51.059951</v>
      </c>
      <c r="AD51" s="16" t="n">
        <v>107.876772</v>
      </c>
      <c r="AE51" s="16" t="n">
        <v>107.876772</v>
      </c>
      <c r="AF51" s="16" t="n">
        <v>96.945356</v>
      </c>
      <c r="AG51" s="16" t="n">
        <v>96.945356</v>
      </c>
      <c r="AH51" s="15" t="n">
        <v>15.780712</v>
      </c>
      <c r="AI51" s="15" t="n">
        <v>15.780712</v>
      </c>
      <c r="AJ51" s="15" t="n">
        <v>0</v>
      </c>
      <c r="AK51" s="15" t="n">
        <v>5000</v>
      </c>
      <c r="AM51">
        <f>B51</f>
        <v/>
      </c>
      <c r="AN51">
        <f>C51</f>
        <v/>
      </c>
      <c r="AO51" s="11">
        <f>SUM(AT51:AZ51)+BB51+BC51</f>
        <v/>
      </c>
      <c r="AP51" s="11">
        <f>SUM(AT51:AZ51)+BE51+BF51</f>
        <v/>
      </c>
      <c r="AQ51" s="11">
        <f>AO51/3.6</f>
        <v/>
      </c>
      <c r="AR51" s="11">
        <f>AP51/3.6</f>
        <v/>
      </c>
      <c r="AS51" s="5">
        <f>AO51-AP51</f>
        <v/>
      </c>
      <c r="AT51">
        <f>D51/F51*Y51*-1</f>
        <v/>
      </c>
      <c r="AU51">
        <f>E51/F51*Y51</f>
        <v/>
      </c>
      <c r="AV51" s="1">
        <f t="array" ref="AV51">_xlfn.IFS(C51="Biomass_Corn", 1/F51*S51, C51="Biomass_Agri", 1/F51*V51, C51="Biomass_Wood", 1/F51*U51, C51="Biomass_Herb", 1/F51*T51)</f>
        <v/>
      </c>
      <c r="AW51">
        <f>G51/F51*AH51</f>
        <v/>
      </c>
      <c r="AX51">
        <f>M51/F51/(0.9*8760)</f>
        <v/>
      </c>
      <c r="AY51">
        <f>N51/F51/(0.9*8760)</f>
        <v/>
      </c>
      <c r="AZ51">
        <f>O51/F51</f>
        <v/>
      </c>
      <c r="BA51" s="1">
        <f>BP51+BQ51+BS51-BL51+BR51+BT51</f>
        <v/>
      </c>
      <c r="BB51" s="1">
        <f>(Q51+R51)*-1*(I51+K51)/F51</f>
        <v/>
      </c>
      <c r="BC51">
        <f>BA51*Q51</f>
        <v/>
      </c>
      <c r="BD51">
        <f>SUM(BP51:BR51)-BL51</f>
        <v/>
      </c>
      <c r="BE51" s="1">
        <f>(I51+K51)/F51*-1*R51</f>
        <v/>
      </c>
      <c r="BF51">
        <f>BD51*Q51</f>
        <v/>
      </c>
      <c r="BH51" s="9">
        <f>H51</f>
        <v/>
      </c>
      <c r="BI51" s="10" t="n">
        <v>0.181048235160161</v>
      </c>
      <c r="BJ51" s="9" t="n">
        <v>0.23037491</v>
      </c>
      <c r="BL51" s="10">
        <f>BH51/F51</f>
        <v/>
      </c>
      <c r="BM51" s="10">
        <f>BI51*G51/F51</f>
        <v/>
      </c>
      <c r="BN51" s="10">
        <f>SUM(BL51:BM51)</f>
        <v/>
      </c>
      <c r="BP51" s="10">
        <f>BJ51</f>
        <v/>
      </c>
      <c r="BQ51" s="10">
        <f>J51/F51</f>
        <v/>
      </c>
      <c r="BR51" s="10">
        <f>L51/F51</f>
        <v/>
      </c>
      <c r="BS51" s="10">
        <f>I51/F51</f>
        <v/>
      </c>
      <c r="BT51" s="10">
        <f>K51/F51</f>
        <v/>
      </c>
      <c r="BU51" s="10">
        <f>SUM(BP51:BT51)</f>
        <v/>
      </c>
      <c r="BW51">
        <f>BN51-BU51</f>
        <v/>
      </c>
    </row>
    <row r="52">
      <c r="B52" s="13" t="inlineStr">
        <is>
          <t>TX_DryMill_Existing_Non_CCS</t>
        </is>
      </c>
      <c r="C52" s="12" t="inlineStr">
        <is>
          <t>Biomass_Corn</t>
        </is>
      </c>
      <c r="D52" s="12" t="n">
        <v>0</v>
      </c>
      <c r="E52" s="12" t="n">
        <v>0.085342825</v>
      </c>
      <c r="F52" s="12" t="n">
        <v>3.104337995</v>
      </c>
      <c r="G52" s="12" t="n">
        <v>1.013397519</v>
      </c>
      <c r="H52" s="12" t="n">
        <v>1.758866658</v>
      </c>
      <c r="I52" s="12" t="n">
        <v>0</v>
      </c>
      <c r="J52" s="12" t="n">
        <v>1.043705066</v>
      </c>
      <c r="K52" s="12" t="n">
        <v>0</v>
      </c>
      <c r="L52" s="12" t="n">
        <v>0.185341119</v>
      </c>
      <c r="M52" s="12" t="n">
        <v>322562.05</v>
      </c>
      <c r="N52" s="12" t="n">
        <v>176727.97</v>
      </c>
      <c r="O52" s="12" t="n">
        <v>-25.41</v>
      </c>
      <c r="Q52" s="15" t="n">
        <v>0</v>
      </c>
      <c r="R52" s="15" t="n">
        <v>14.732097</v>
      </c>
      <c r="S52" s="15" t="n">
        <v>100</v>
      </c>
      <c r="T52" s="15" t="n">
        <v>73.00646</v>
      </c>
      <c r="U52" s="15" t="n">
        <v>69.643664</v>
      </c>
      <c r="V52" s="15" t="n">
        <v>43.030303</v>
      </c>
      <c r="W52" s="16" t="n">
        <v>45.289647</v>
      </c>
      <c r="X52" s="16" t="n">
        <v>45.289647</v>
      </c>
      <c r="Y52" s="15" t="n">
        <v>19.019146</v>
      </c>
      <c r="Z52" s="15" t="n">
        <v>23.790747</v>
      </c>
      <c r="AA52" s="15" t="n"/>
      <c r="AB52" s="16" t="n">
        <v>51.059951</v>
      </c>
      <c r="AC52" s="16" t="n">
        <v>51.059951</v>
      </c>
      <c r="AD52" s="16" t="n">
        <v>107.876772</v>
      </c>
      <c r="AE52" s="16" t="n">
        <v>107.876772</v>
      </c>
      <c r="AF52" s="16" t="n">
        <v>96.945356</v>
      </c>
      <c r="AG52" s="16" t="n">
        <v>96.945356</v>
      </c>
      <c r="AH52" s="15" t="n">
        <v>13.326077</v>
      </c>
      <c r="AI52" s="15" t="n">
        <v>13.326077</v>
      </c>
      <c r="AJ52" s="15" t="n">
        <v>0</v>
      </c>
      <c r="AK52" s="15" t="n">
        <v>5000</v>
      </c>
      <c r="AM52">
        <f>B52</f>
        <v/>
      </c>
      <c r="AN52">
        <f>C52</f>
        <v/>
      </c>
      <c r="AO52" s="11">
        <f>SUM(AT52:AZ52)+BB52+BC52</f>
        <v/>
      </c>
      <c r="AP52" s="11">
        <f>SUM(AT52:AZ52)+BE52+BF52</f>
        <v/>
      </c>
      <c r="AQ52" s="11">
        <f>AO52/3.6</f>
        <v/>
      </c>
      <c r="AR52" s="11">
        <f>AP52/3.6</f>
        <v/>
      </c>
      <c r="AS52" s="5">
        <f>AO52-AP52</f>
        <v/>
      </c>
      <c r="AT52">
        <f>D52/F52*Y52*-1</f>
        <v/>
      </c>
      <c r="AU52">
        <f>E52/F52*Y52</f>
        <v/>
      </c>
      <c r="AV52" s="1">
        <f t="array" ref="AV52">_xlfn.IFS(C52="Biomass_Corn", 1/F52*S52, C52="Biomass_Agri", 1/F52*V52, C52="Biomass_Wood", 1/F52*U52, C52="Biomass_Herb", 1/F52*T52)</f>
        <v/>
      </c>
      <c r="AW52">
        <f>G52/F52*AH52</f>
        <v/>
      </c>
      <c r="AX52">
        <f>M52/F52/(0.9*8760)</f>
        <v/>
      </c>
      <c r="AY52">
        <f>N52/F52/(0.9*8760)</f>
        <v/>
      </c>
      <c r="AZ52">
        <f>O52/F52</f>
        <v/>
      </c>
      <c r="BA52" s="1">
        <f>BP52+BQ52+BS52-BL52+BR52+BT52</f>
        <v/>
      </c>
      <c r="BB52" s="1">
        <f>(Q52+R52)*-1*(I52+K52)/F52</f>
        <v/>
      </c>
      <c r="BC52">
        <f>BA52*Q52</f>
        <v/>
      </c>
      <c r="BD52">
        <f>SUM(BP52:BR52)-BL52</f>
        <v/>
      </c>
      <c r="BE52" s="1">
        <f>(I52+K52)/F52*-1*R52</f>
        <v/>
      </c>
      <c r="BF52">
        <f>BD52*Q52</f>
        <v/>
      </c>
      <c r="BH52" s="9">
        <f>H52</f>
        <v/>
      </c>
      <c r="BI52" s="10" t="n">
        <v>0.181048235160161</v>
      </c>
      <c r="BJ52" s="9" t="n">
        <v>0.23037491</v>
      </c>
      <c r="BL52" s="10">
        <f>BH52/F52</f>
        <v/>
      </c>
      <c r="BM52" s="10">
        <f>BI52*G52/F52</f>
        <v/>
      </c>
      <c r="BN52" s="10">
        <f>SUM(BL52:BM52)</f>
        <v/>
      </c>
      <c r="BP52" s="10">
        <f>BJ52</f>
        <v/>
      </c>
      <c r="BQ52" s="10">
        <f>J52/F52</f>
        <v/>
      </c>
      <c r="BR52" s="10">
        <f>L52/F52</f>
        <v/>
      </c>
      <c r="BS52" s="10">
        <f>I52/F52</f>
        <v/>
      </c>
      <c r="BT52" s="10">
        <f>K52/F52</f>
        <v/>
      </c>
      <c r="BU52" s="10">
        <f>SUM(BP52:BT52)</f>
        <v/>
      </c>
      <c r="BW52">
        <f>BN52-BU52</f>
        <v/>
      </c>
    </row>
    <row r="53">
      <c r="B53" s="13" t="inlineStr">
        <is>
          <t>NCEN_DryMill_Existing_Non_CCS</t>
        </is>
      </c>
      <c r="C53" s="12" t="inlineStr">
        <is>
          <t>Biomass_Corn</t>
        </is>
      </c>
      <c r="D53" s="12" t="n">
        <v>0</v>
      </c>
      <c r="E53" s="12" t="n">
        <v>0.085342825</v>
      </c>
      <c r="F53" s="12" t="n">
        <v>3.104337995</v>
      </c>
      <c r="G53" s="12" t="n">
        <v>1.013397519</v>
      </c>
      <c r="H53" s="12" t="n">
        <v>1.758866658</v>
      </c>
      <c r="I53" s="12" t="n">
        <v>0</v>
      </c>
      <c r="J53" s="12" t="n">
        <v>1.043705066</v>
      </c>
      <c r="K53" s="12" t="n">
        <v>0</v>
      </c>
      <c r="L53" s="12" t="n">
        <v>0.185341119</v>
      </c>
      <c r="M53" s="12" t="n">
        <v>322562.05</v>
      </c>
      <c r="N53" s="12" t="n">
        <v>176727.97</v>
      </c>
      <c r="O53" s="12" t="n">
        <v>-25.41</v>
      </c>
      <c r="Q53" s="15" t="n">
        <v>0</v>
      </c>
      <c r="R53" s="15" t="n">
        <v>-0.911528</v>
      </c>
      <c r="S53" s="15" t="n">
        <v>100</v>
      </c>
      <c r="T53" s="15" t="n">
        <v>69.911137</v>
      </c>
      <c r="U53" s="15" t="n">
        <v>44.79442</v>
      </c>
      <c r="V53" s="15" t="n">
        <v>43.323942</v>
      </c>
      <c r="W53" s="16" t="n">
        <v>45.289647</v>
      </c>
      <c r="X53" s="16" t="n">
        <v>45.289647</v>
      </c>
      <c r="Y53" s="15" t="n">
        <v>29.249237</v>
      </c>
      <c r="Z53" s="15" t="n">
        <v>34.631601</v>
      </c>
      <c r="AA53" s="15" t="n"/>
      <c r="AB53" s="16" t="n">
        <v>51.059951</v>
      </c>
      <c r="AC53" s="16" t="n">
        <v>51.059951</v>
      </c>
      <c r="AD53" s="16" t="n">
        <v>107.876772</v>
      </c>
      <c r="AE53" s="16" t="n">
        <v>107.876772</v>
      </c>
      <c r="AF53" s="16" t="n">
        <v>96.945356</v>
      </c>
      <c r="AG53" s="16" t="n">
        <v>96.945356</v>
      </c>
      <c r="AH53" s="15" t="n">
        <v>14.089942</v>
      </c>
      <c r="AI53" s="15" t="n">
        <v>14.089942</v>
      </c>
      <c r="AJ53" s="15" t="n">
        <v>0</v>
      </c>
      <c r="AK53" s="15" t="n">
        <v>5000</v>
      </c>
      <c r="AM53">
        <f>B53</f>
        <v/>
      </c>
      <c r="AN53">
        <f>C53</f>
        <v/>
      </c>
      <c r="AO53" s="11">
        <f>SUM(AT53:AZ53)+BB53+BC53</f>
        <v/>
      </c>
      <c r="AP53" s="11">
        <f>SUM(AT53:AZ53)+BE53+BF53</f>
        <v/>
      </c>
      <c r="AQ53" s="11">
        <f>AO53/3.6</f>
        <v/>
      </c>
      <c r="AR53" s="11">
        <f>AP53/3.6</f>
        <v/>
      </c>
      <c r="AS53" s="5">
        <f>AO53-AP53</f>
        <v/>
      </c>
      <c r="AT53">
        <f>D53/F53*Y53*-1</f>
        <v/>
      </c>
      <c r="AU53">
        <f>E53/F53*Y53</f>
        <v/>
      </c>
      <c r="AV53" s="1">
        <f t="array" ref="AV53">_xlfn.IFS(C53="Biomass_Corn", 1/F53*S53, C53="Biomass_Agri", 1/F53*V53, C53="Biomass_Wood", 1/F53*U53, C53="Biomass_Herb", 1/F53*T53)</f>
        <v/>
      </c>
      <c r="AW53">
        <f>G53/F53*AH53</f>
        <v/>
      </c>
      <c r="AX53">
        <f>M53/F53/(0.9*8760)</f>
        <v/>
      </c>
      <c r="AY53">
        <f>N53/F53/(0.9*8760)</f>
        <v/>
      </c>
      <c r="AZ53">
        <f>O53/F53</f>
        <v/>
      </c>
      <c r="BA53" s="1">
        <f>BP53+BQ53+BS53-BL53+BR53+BT53</f>
        <v/>
      </c>
      <c r="BB53" s="1">
        <f>(Q53+R53)*-1*(I53+K53)/F53</f>
        <v/>
      </c>
      <c r="BC53">
        <f>BA53*Q53</f>
        <v/>
      </c>
      <c r="BD53">
        <f>SUM(BP53:BR53)-BL53</f>
        <v/>
      </c>
      <c r="BE53" s="1">
        <f>(I53+K53)/F53*-1*R53</f>
        <v/>
      </c>
      <c r="BF53">
        <f>BD53*Q53</f>
        <v/>
      </c>
      <c r="BH53" s="9">
        <f>H53</f>
        <v/>
      </c>
      <c r="BI53" s="10" t="n">
        <v>0.181048235160161</v>
      </c>
      <c r="BJ53" s="9" t="n">
        <v>0.23037491</v>
      </c>
      <c r="BL53" s="10">
        <f>BH53/F53</f>
        <v/>
      </c>
      <c r="BM53" s="10">
        <f>BI53*G53/F53</f>
        <v/>
      </c>
      <c r="BN53" s="10">
        <f>SUM(BL53:BM53)</f>
        <v/>
      </c>
      <c r="BP53" s="10">
        <f>BJ53</f>
        <v/>
      </c>
      <c r="BQ53" s="10">
        <f>J53/F53</f>
        <v/>
      </c>
      <c r="BR53" s="10">
        <f>L53/F53</f>
        <v/>
      </c>
      <c r="BS53" s="10">
        <f>I53/F53</f>
        <v/>
      </c>
      <c r="BT53" s="10">
        <f>K53/F53</f>
        <v/>
      </c>
      <c r="BU53" s="10">
        <f>SUM(BP53:BT53)</f>
        <v/>
      </c>
      <c r="BW53">
        <f>BN53-BU53</f>
        <v/>
      </c>
    </row>
    <row r="54">
      <c r="B54" s="13" t="inlineStr">
        <is>
          <t>CEN_DryMill_Existing_Non_CCS</t>
        </is>
      </c>
      <c r="C54" s="12" t="inlineStr">
        <is>
          <t>Biomass_Corn</t>
        </is>
      </c>
      <c r="D54" s="12" t="n">
        <v>0</v>
      </c>
      <c r="E54" s="12" t="n">
        <v>0.085342825</v>
      </c>
      <c r="F54" s="12" t="n">
        <v>3.104337995</v>
      </c>
      <c r="G54" s="12" t="n">
        <v>1.013397519</v>
      </c>
      <c r="H54" s="12" t="n">
        <v>1.758866658</v>
      </c>
      <c r="I54" s="12" t="n">
        <v>0</v>
      </c>
      <c r="J54" s="12" t="n">
        <v>1.043705066</v>
      </c>
      <c r="K54" s="12" t="n">
        <v>0</v>
      </c>
      <c r="L54" s="12" t="n">
        <v>0.185341119</v>
      </c>
      <c r="M54" s="12" t="n">
        <v>322562.05</v>
      </c>
      <c r="N54" s="12" t="n">
        <v>176727.97</v>
      </c>
      <c r="O54" s="12" t="n">
        <v>-25.41</v>
      </c>
      <c r="Q54" s="15" t="n">
        <v>0</v>
      </c>
      <c r="R54" s="15" t="n">
        <v>6.223991</v>
      </c>
      <c r="S54" s="15" t="n">
        <v>100</v>
      </c>
      <c r="T54" s="15" t="n">
        <v>72.30436899999999</v>
      </c>
      <c r="U54" s="15" t="n">
        <v>59.390495</v>
      </c>
      <c r="V54" s="15" t="n">
        <v>42.94088</v>
      </c>
      <c r="W54" s="16" t="n">
        <v>45.289647</v>
      </c>
      <c r="X54" s="16" t="n">
        <v>45.289647</v>
      </c>
      <c r="Y54" s="15" t="n">
        <v>22.958189</v>
      </c>
      <c r="Z54" s="15" t="n">
        <v>28.593352</v>
      </c>
      <c r="AA54" s="15" t="n"/>
      <c r="AB54" s="16" t="n">
        <v>51.059951</v>
      </c>
      <c r="AC54" s="16" t="n">
        <v>51.059951</v>
      </c>
      <c r="AD54" s="16" t="n">
        <v>107.876772</v>
      </c>
      <c r="AE54" s="16" t="n">
        <v>107.876772</v>
      </c>
      <c r="AF54" s="16" t="n">
        <v>96.945356</v>
      </c>
      <c r="AG54" s="16" t="n">
        <v>96.945356</v>
      </c>
      <c r="AH54" s="15" t="n">
        <v>14.066295</v>
      </c>
      <c r="AI54" s="15" t="n">
        <v>14.066295</v>
      </c>
      <c r="AJ54" s="15" t="n">
        <v>0</v>
      </c>
      <c r="AK54" s="15" t="n">
        <v>5000</v>
      </c>
      <c r="AM54">
        <f>B54</f>
        <v/>
      </c>
      <c r="AN54">
        <f>C54</f>
        <v/>
      </c>
      <c r="AO54" s="11">
        <f>SUM(AT54:AZ54)+BB54+BC54</f>
        <v/>
      </c>
      <c r="AP54" s="11">
        <f>SUM(AT54:AZ54)+BE54+BF54</f>
        <v/>
      </c>
      <c r="AQ54" s="11">
        <f>AO54/3.6</f>
        <v/>
      </c>
      <c r="AR54" s="11">
        <f>AP54/3.6</f>
        <v/>
      </c>
      <c r="AS54" s="5">
        <f>AO54-AP54</f>
        <v/>
      </c>
      <c r="AT54">
        <f>D54/F54*Y54*-1</f>
        <v/>
      </c>
      <c r="AU54">
        <f>E54/F54*Y54</f>
        <v/>
      </c>
      <c r="AV54" s="1">
        <f t="array" ref="AV54">_xlfn.IFS(C54="Biomass_Corn", 1/F54*S54, C54="Biomass_Agri", 1/F54*V54, C54="Biomass_Wood", 1/F54*U54, C54="Biomass_Herb", 1/F54*T54)</f>
        <v/>
      </c>
      <c r="AW54">
        <f>G54/F54*AH54</f>
        <v/>
      </c>
      <c r="AX54">
        <f>M54/F54/(0.9*8760)</f>
        <v/>
      </c>
      <c r="AY54">
        <f>N54/F54/(0.9*8760)</f>
        <v/>
      </c>
      <c r="AZ54">
        <f>O54/F54</f>
        <v/>
      </c>
      <c r="BA54" s="1">
        <f>BP54+BQ54+BS54-BL54+BR54+BT54</f>
        <v/>
      </c>
      <c r="BB54" s="1">
        <f>(Q54+R54)*-1*(I54+K54)/F54</f>
        <v/>
      </c>
      <c r="BC54">
        <f>BA54*Q54</f>
        <v/>
      </c>
      <c r="BD54">
        <f>SUM(BP54:BR54)-BL54</f>
        <v/>
      </c>
      <c r="BE54" s="1">
        <f>(I54+K54)/F54*-1*R54</f>
        <v/>
      </c>
      <c r="BF54">
        <f>BD54*Q54</f>
        <v/>
      </c>
      <c r="BH54" s="9">
        <f>H54</f>
        <v/>
      </c>
      <c r="BI54" s="10" t="n">
        <v>0.181048235160161</v>
      </c>
      <c r="BJ54" s="9" t="n">
        <v>0.23037491</v>
      </c>
      <c r="BL54" s="10">
        <f>BH54/F54</f>
        <v/>
      </c>
      <c r="BM54" s="10">
        <f>BI54*G54/F54</f>
        <v/>
      </c>
      <c r="BN54" s="10">
        <f>SUM(BL54:BM54)</f>
        <v/>
      </c>
      <c r="BP54" s="10">
        <f>BJ54</f>
        <v/>
      </c>
      <c r="BQ54" s="10">
        <f>J54/F54</f>
        <v/>
      </c>
      <c r="BR54" s="10">
        <f>L54/F54</f>
        <v/>
      </c>
      <c r="BS54" s="10">
        <f>I54/F54</f>
        <v/>
      </c>
      <c r="BT54" s="10">
        <f>K54/F54</f>
        <v/>
      </c>
      <c r="BU54" s="10">
        <f>SUM(BP54:BT54)</f>
        <v/>
      </c>
      <c r="BW54">
        <f>BN54-BU54</f>
        <v/>
      </c>
    </row>
    <row r="55">
      <c r="B55" s="13" t="inlineStr">
        <is>
          <t>SE_DryMill_Existing_Non_CCS</t>
        </is>
      </c>
      <c r="C55" s="12" t="inlineStr">
        <is>
          <t>Biomass_Corn</t>
        </is>
      </c>
      <c r="D55" s="12" t="n">
        <v>0</v>
      </c>
      <c r="E55" s="12" t="n">
        <v>0.085342825</v>
      </c>
      <c r="F55" s="12" t="n">
        <v>3.104337995</v>
      </c>
      <c r="G55" s="12" t="n">
        <v>1.013397519</v>
      </c>
      <c r="H55" s="12" t="n">
        <v>1.758866658</v>
      </c>
      <c r="I55" s="12" t="n">
        <v>0</v>
      </c>
      <c r="J55" s="12" t="n">
        <v>1.043705066</v>
      </c>
      <c r="K55" s="12" t="n">
        <v>0</v>
      </c>
      <c r="L55" s="12" t="n">
        <v>0.185341119</v>
      </c>
      <c r="M55" s="12" t="n">
        <v>322562.05</v>
      </c>
      <c r="N55" s="12" t="n">
        <v>176727.97</v>
      </c>
      <c r="O55" s="12" t="n">
        <v>-25.41</v>
      </c>
      <c r="Q55" s="15" t="n">
        <v>0</v>
      </c>
      <c r="R55" s="15" t="n">
        <v>-5.914702</v>
      </c>
      <c r="S55" s="15" t="n">
        <v>100</v>
      </c>
      <c r="T55" s="15" t="n">
        <v>69.166622</v>
      </c>
      <c r="U55" s="15" t="n">
        <v>46.05675</v>
      </c>
      <c r="V55" s="15" t="n">
        <v>41.170372</v>
      </c>
      <c r="W55" s="16" t="n">
        <v>45.289647</v>
      </c>
      <c r="X55" s="16" t="n">
        <v>45.289647</v>
      </c>
      <c r="Y55" s="15" t="n">
        <v>33.298446</v>
      </c>
      <c r="Z55" s="15" t="n">
        <v>36.471022</v>
      </c>
      <c r="AA55" s="15" t="n"/>
      <c r="AB55" s="16" t="n">
        <v>51.059951</v>
      </c>
      <c r="AC55" s="16" t="n">
        <v>51.059951</v>
      </c>
      <c r="AD55" s="16" t="n">
        <v>107.876772</v>
      </c>
      <c r="AE55" s="16" t="n">
        <v>107.876772</v>
      </c>
      <c r="AF55" s="16" t="n">
        <v>96.945356</v>
      </c>
      <c r="AG55" s="16" t="n">
        <v>96.945356</v>
      </c>
      <c r="AH55" s="15" t="n">
        <v>14.089638</v>
      </c>
      <c r="AI55" s="15" t="n">
        <v>14.089638</v>
      </c>
      <c r="AJ55" s="15" t="n">
        <v>0</v>
      </c>
      <c r="AK55" s="15" t="n">
        <v>5000</v>
      </c>
      <c r="AM55">
        <f>B55</f>
        <v/>
      </c>
      <c r="AN55">
        <f>C55</f>
        <v/>
      </c>
      <c r="AO55" s="11">
        <f>SUM(AT55:AZ55)+BB55+BC55</f>
        <v/>
      </c>
      <c r="AP55" s="11">
        <f>SUM(AT55:AZ55)+BE55+BF55</f>
        <v/>
      </c>
      <c r="AQ55" s="11">
        <f>AO55/3.6</f>
        <v/>
      </c>
      <c r="AR55" s="11">
        <f>AP55/3.6</f>
        <v/>
      </c>
      <c r="AS55" s="5">
        <f>AO55-AP55</f>
        <v/>
      </c>
      <c r="AT55">
        <f>D55/F55*Y55*-1</f>
        <v/>
      </c>
      <c r="AU55">
        <f>E55/F55*Y55</f>
        <v/>
      </c>
      <c r="AV55" s="1">
        <f t="array" ref="AV55">_xlfn.IFS(C55="Biomass_Corn", 1/F55*S55, C55="Biomass_Agri", 1/F55*V55, C55="Biomass_Wood", 1/F55*U55, C55="Biomass_Herb", 1/F55*T55)</f>
        <v/>
      </c>
      <c r="AW55">
        <f>G55/F55*AH55</f>
        <v/>
      </c>
      <c r="AX55">
        <f>M55/F55/(0.9*8760)</f>
        <v/>
      </c>
      <c r="AY55">
        <f>N55/F55/(0.9*8760)</f>
        <v/>
      </c>
      <c r="AZ55">
        <f>O55/F55</f>
        <v/>
      </c>
      <c r="BA55" s="1">
        <f>BP55+BQ55+BS55-BL55+BR55+BT55</f>
        <v/>
      </c>
      <c r="BB55" s="1">
        <f>(Q55+R55)*-1*(I55+K55)/F55</f>
        <v/>
      </c>
      <c r="BC55">
        <f>BA55*Q55</f>
        <v/>
      </c>
      <c r="BD55">
        <f>SUM(BP55:BR55)-BL55</f>
        <v/>
      </c>
      <c r="BE55" s="1">
        <f>(I55+K55)/F55*-1*R55</f>
        <v/>
      </c>
      <c r="BF55">
        <f>BD55*Q55</f>
        <v/>
      </c>
      <c r="BH55" s="9">
        <f>H55</f>
        <v/>
      </c>
      <c r="BI55" s="10" t="n">
        <v>0.181048235160161</v>
      </c>
      <c r="BJ55" s="9" t="n">
        <v>0.23037491</v>
      </c>
      <c r="BL55" s="10">
        <f>BH55/F55</f>
        <v/>
      </c>
      <c r="BM55" s="10">
        <f>BI55*G55/F55</f>
        <v/>
      </c>
      <c r="BN55" s="10">
        <f>SUM(BL55:BM55)</f>
        <v/>
      </c>
      <c r="BP55" s="10">
        <f>BJ55</f>
        <v/>
      </c>
      <c r="BQ55" s="10">
        <f>J55/F55</f>
        <v/>
      </c>
      <c r="BR55" s="10">
        <f>L55/F55</f>
        <v/>
      </c>
      <c r="BS55" s="10">
        <f>I55/F55</f>
        <v/>
      </c>
      <c r="BT55" s="10">
        <f>K55/F55</f>
        <v/>
      </c>
      <c r="BU55" s="10">
        <f>SUM(BP55:BT55)</f>
        <v/>
      </c>
      <c r="BW55">
        <f>BN55-BU55</f>
        <v/>
      </c>
    </row>
    <row r="56">
      <c r="B56" s="13" t="inlineStr">
        <is>
          <t>MIDAT_DryMill_Existing_Non_CCS</t>
        </is>
      </c>
      <c r="C56" s="12" t="inlineStr">
        <is>
          <t>Biomass_Corn</t>
        </is>
      </c>
      <c r="D56" s="12" t="n">
        <v>0</v>
      </c>
      <c r="E56" s="12" t="n">
        <v>0.085342825</v>
      </c>
      <c r="F56" s="12" t="n">
        <v>3.104337995</v>
      </c>
      <c r="G56" s="12" t="n">
        <v>1.013397519</v>
      </c>
      <c r="H56" s="12" t="n">
        <v>1.758866658</v>
      </c>
      <c r="I56" s="12" t="n">
        <v>0</v>
      </c>
      <c r="J56" s="12" t="n">
        <v>1.043705066</v>
      </c>
      <c r="K56" s="12" t="n">
        <v>0</v>
      </c>
      <c r="L56" s="12" t="n">
        <v>0.185341119</v>
      </c>
      <c r="M56" s="12" t="n">
        <v>322562.05</v>
      </c>
      <c r="N56" s="12" t="n">
        <v>176727.97</v>
      </c>
      <c r="O56" s="12" t="n">
        <v>-25.41</v>
      </c>
      <c r="Q56" s="15" t="n">
        <v>0</v>
      </c>
      <c r="R56" s="15" t="n">
        <v>-14.741173</v>
      </c>
      <c r="S56" s="15" t="n">
        <v>100</v>
      </c>
      <c r="T56" s="15" t="n">
        <v>69.370717</v>
      </c>
      <c r="U56" s="15" t="n">
        <v>45.972292</v>
      </c>
      <c r="V56" s="15" t="n">
        <v>42.940257</v>
      </c>
      <c r="W56" s="16" t="n">
        <v>45.289647</v>
      </c>
      <c r="X56" s="16" t="n">
        <v>45.289647</v>
      </c>
      <c r="Y56" s="15" t="n">
        <v>35.672332</v>
      </c>
      <c r="Z56" s="15" t="n">
        <v>37.202448</v>
      </c>
      <c r="AA56" s="15" t="n"/>
      <c r="AB56" s="16" t="n">
        <v>51.059951</v>
      </c>
      <c r="AC56" s="16" t="n">
        <v>51.059951</v>
      </c>
      <c r="AD56" s="16" t="n">
        <v>107.876772</v>
      </c>
      <c r="AE56" s="16" t="n">
        <v>107.876772</v>
      </c>
      <c r="AF56" s="16" t="n">
        <v>96.945356</v>
      </c>
      <c r="AG56" s="16" t="n">
        <v>96.945356</v>
      </c>
      <c r="AH56" s="15" t="n">
        <v>15.046822</v>
      </c>
      <c r="AI56" s="15" t="n">
        <v>15.046822</v>
      </c>
      <c r="AJ56" s="15" t="n">
        <v>0</v>
      </c>
      <c r="AK56" s="15" t="n">
        <v>5000</v>
      </c>
      <c r="AM56">
        <f>B56</f>
        <v/>
      </c>
      <c r="AN56">
        <f>C56</f>
        <v/>
      </c>
      <c r="AO56" s="11">
        <f>SUM(AT56:AZ56)+BB56+BC56</f>
        <v/>
      </c>
      <c r="AP56" s="11">
        <f>SUM(AT56:AZ56)+BE56+BF56</f>
        <v/>
      </c>
      <c r="AQ56" s="11">
        <f>AO56/3.6</f>
        <v/>
      </c>
      <c r="AR56" s="11">
        <f>AP56/3.6</f>
        <v/>
      </c>
      <c r="AS56" s="5">
        <f>AO56-AP56</f>
        <v/>
      </c>
      <c r="AT56">
        <f>D56/F56*Y56*-1</f>
        <v/>
      </c>
      <c r="AU56">
        <f>E56/F56*Y56</f>
        <v/>
      </c>
      <c r="AV56" s="1">
        <f t="array" ref="AV56">_xlfn.IFS(C56="Biomass_Corn", 1/F56*S56, C56="Biomass_Agri", 1/F56*V56, C56="Biomass_Wood", 1/F56*U56, C56="Biomass_Herb", 1/F56*T56)</f>
        <v/>
      </c>
      <c r="AW56">
        <f>G56/F56*AH56</f>
        <v/>
      </c>
      <c r="AX56">
        <f>M56/F56/(0.9*8760)</f>
        <v/>
      </c>
      <c r="AY56">
        <f>N56/F56/(0.9*8760)</f>
        <v/>
      </c>
      <c r="AZ56">
        <f>O56/F56</f>
        <v/>
      </c>
      <c r="BA56" s="1">
        <f>BP56+BQ56+BS56-BL56+BR56+BT56</f>
        <v/>
      </c>
      <c r="BB56" s="1">
        <f>(Q56+R56)*-1*(I56+K56)/F56</f>
        <v/>
      </c>
      <c r="BC56">
        <f>BA56*Q56</f>
        <v/>
      </c>
      <c r="BD56">
        <f>SUM(BP56:BR56)-BL56</f>
        <v/>
      </c>
      <c r="BE56" s="1">
        <f>(I56+K56)/F56*-1*R56</f>
        <v/>
      </c>
      <c r="BF56">
        <f>BD56*Q56</f>
        <v/>
      </c>
      <c r="BH56" s="9">
        <f>H56</f>
        <v/>
      </c>
      <c r="BI56" s="10" t="n">
        <v>0.181048235160161</v>
      </c>
      <c r="BJ56" s="9" t="n">
        <v>0.23037491</v>
      </c>
      <c r="BL56" s="10">
        <f>BH56/F56</f>
        <v/>
      </c>
      <c r="BM56" s="10">
        <f>BI56*G56/F56</f>
        <v/>
      </c>
      <c r="BN56" s="10">
        <f>SUM(BL56:BM56)</f>
        <v/>
      </c>
      <c r="BP56" s="10">
        <f>BJ56</f>
        <v/>
      </c>
      <c r="BQ56" s="10">
        <f>J56/F56</f>
        <v/>
      </c>
      <c r="BR56" s="10">
        <f>L56/F56</f>
        <v/>
      </c>
      <c r="BS56" s="10">
        <f>I56/F56</f>
        <v/>
      </c>
      <c r="BT56" s="10">
        <f>K56/F56</f>
        <v/>
      </c>
      <c r="BU56" s="10">
        <f>SUM(BP56:BT56)</f>
        <v/>
      </c>
      <c r="BW56">
        <f>BN56-BU56</f>
        <v/>
      </c>
    </row>
    <row r="57">
      <c r="B57" s="13" t="inlineStr">
        <is>
          <t>NE_DryMill_Existing_Non_CCS</t>
        </is>
      </c>
      <c r="C57" s="12" t="inlineStr">
        <is>
          <t>Biomass_Corn</t>
        </is>
      </c>
      <c r="D57" s="12" t="n">
        <v>0</v>
      </c>
      <c r="E57" s="12" t="n">
        <v>0.085342825</v>
      </c>
      <c r="F57" s="12" t="n">
        <v>3.104337995</v>
      </c>
      <c r="G57" s="12" t="n">
        <v>1.013397519</v>
      </c>
      <c r="H57" s="12" t="n">
        <v>1.758866658</v>
      </c>
      <c r="I57" s="12" t="n">
        <v>0</v>
      </c>
      <c r="J57" s="12" t="n">
        <v>1.043705066</v>
      </c>
      <c r="K57" s="12" t="n">
        <v>0</v>
      </c>
      <c r="L57" s="12" t="n">
        <v>0.185341119</v>
      </c>
      <c r="M57" s="12" t="n">
        <v>322562.05</v>
      </c>
      <c r="N57" s="12" t="n">
        <v>176727.97</v>
      </c>
      <c r="O57" s="12" t="n">
        <v>-25.41</v>
      </c>
      <c r="Q57" s="15" t="n">
        <v>0</v>
      </c>
      <c r="R57" s="15" t="n">
        <v>-24.351161</v>
      </c>
      <c r="S57" s="15" t="n">
        <v>100</v>
      </c>
      <c r="T57" s="15" t="n">
        <v>69.16536000000001</v>
      </c>
      <c r="U57" s="15" t="n">
        <v>35.638583</v>
      </c>
      <c r="V57" s="15" t="n">
        <v>39.351032</v>
      </c>
      <c r="W57" s="16" t="n">
        <v>45.289647</v>
      </c>
      <c r="X57" s="16" t="n">
        <v>45.289647</v>
      </c>
      <c r="Y57" s="15" t="n">
        <v>40.848462</v>
      </c>
      <c r="Z57" s="15" t="n">
        <v>42.811658</v>
      </c>
      <c r="AA57" s="15" t="n"/>
      <c r="AB57" s="16" t="n">
        <v>51.059951</v>
      </c>
      <c r="AC57" s="16" t="n">
        <v>51.059951</v>
      </c>
      <c r="AD57" s="16" t="n">
        <v>107.876772</v>
      </c>
      <c r="AE57" s="16" t="n">
        <v>107.876772</v>
      </c>
      <c r="AF57" s="16" t="n">
        <v>96.945356</v>
      </c>
      <c r="AG57" s="16" t="n">
        <v>96.945356</v>
      </c>
      <c r="AH57" s="15" t="n">
        <v>15.292119</v>
      </c>
      <c r="AI57" s="15" t="n">
        <v>15.292119</v>
      </c>
      <c r="AJ57" s="15" t="n">
        <v>0</v>
      </c>
      <c r="AK57" s="15" t="n">
        <v>5000</v>
      </c>
      <c r="AM57">
        <f>B57</f>
        <v/>
      </c>
      <c r="AN57">
        <f>C57</f>
        <v/>
      </c>
      <c r="AO57" s="11">
        <f>SUM(AT57:AZ57)+BB57+BC57</f>
        <v/>
      </c>
      <c r="AP57" s="11">
        <f>SUM(AT57:AZ57)+BE57+BF57</f>
        <v/>
      </c>
      <c r="AQ57" s="11">
        <f>AO57/3.6</f>
        <v/>
      </c>
      <c r="AR57" s="11">
        <f>AP57/3.6</f>
        <v/>
      </c>
      <c r="AS57" s="5">
        <f>AO57-AP57</f>
        <v/>
      </c>
      <c r="AT57">
        <f>D57/F57*Y57*-1</f>
        <v/>
      </c>
      <c r="AU57">
        <f>E57/F57*Y57</f>
        <v/>
      </c>
      <c r="AV57" s="1">
        <f t="array" ref="AV57">_xlfn.IFS(C57="Biomass_Corn", 1/F57*S57, C57="Biomass_Agri", 1/F57*V57, C57="Biomass_Wood", 1/F57*U57, C57="Biomass_Herb", 1/F57*T57)</f>
        <v/>
      </c>
      <c r="AW57">
        <f>G57/F57*AH57</f>
        <v/>
      </c>
      <c r="AX57">
        <f>M57/F57/(0.9*8760)</f>
        <v/>
      </c>
      <c r="AY57">
        <f>N57/F57/(0.9*8760)</f>
        <v/>
      </c>
      <c r="AZ57">
        <f>O57/F57</f>
        <v/>
      </c>
      <c r="BA57" s="1">
        <f>BP57+BQ57+BS57-BL57+BR57+BT57</f>
        <v/>
      </c>
      <c r="BB57" s="1">
        <f>(Q57+R57)*-1*(I57+K57)/F57</f>
        <v/>
      </c>
      <c r="BC57">
        <f>BA57*Q57</f>
        <v/>
      </c>
      <c r="BD57">
        <f>SUM(BP57:BR57)-BL57</f>
        <v/>
      </c>
      <c r="BE57" s="1">
        <f>(I57+K57)/F57*-1*R57</f>
        <v/>
      </c>
      <c r="BF57">
        <f>BD57*Q57</f>
        <v/>
      </c>
      <c r="BH57" s="9">
        <f>H57</f>
        <v/>
      </c>
      <c r="BI57" s="10" t="n">
        <v>0.181048235160161</v>
      </c>
      <c r="BJ57" s="9" t="n">
        <v>0.23037491</v>
      </c>
      <c r="BL57" s="10">
        <f>BH57/F57</f>
        <v/>
      </c>
      <c r="BM57" s="10">
        <f>BI57*G57/F57</f>
        <v/>
      </c>
      <c r="BN57" s="10">
        <f>SUM(BL57:BM57)</f>
        <v/>
      </c>
      <c r="BP57" s="10">
        <f>BJ57</f>
        <v/>
      </c>
      <c r="BQ57" s="10">
        <f>J57/F57</f>
        <v/>
      </c>
      <c r="BR57" s="10">
        <f>L57/F57</f>
        <v/>
      </c>
      <c r="BS57" s="10">
        <f>I57/F57</f>
        <v/>
      </c>
      <c r="BT57" s="10">
        <f>K57/F57</f>
        <v/>
      </c>
      <c r="BU57" s="10">
        <f>SUM(BP57:BT57)</f>
        <v/>
      </c>
      <c r="BW57">
        <f>BN57-BU57</f>
        <v/>
      </c>
    </row>
    <row r="58">
      <c r="B58" s="13" t="inlineStr">
        <is>
          <t>CA_DryMill_CCS_Fermentation</t>
        </is>
      </c>
      <c r="C58" s="12" t="inlineStr">
        <is>
          <t>Biomass_Corn</t>
        </is>
      </c>
      <c r="D58" s="12" t="n">
        <v>0</v>
      </c>
      <c r="E58" s="12" t="n">
        <v>0.085342825</v>
      </c>
      <c r="F58" s="12" t="n">
        <v>3.104337995</v>
      </c>
      <c r="G58" s="12" t="n">
        <v>1.013397519</v>
      </c>
      <c r="H58" s="12" t="n">
        <v>1.758866658</v>
      </c>
      <c r="I58" s="12" t="n">
        <v>0.357687672</v>
      </c>
      <c r="J58" s="12" t="n">
        <v>0.6860173939999999</v>
      </c>
      <c r="K58" s="12" t="n">
        <v>0</v>
      </c>
      <c r="L58" s="12" t="n">
        <v>0.185341119</v>
      </c>
      <c r="M58" s="12" t="n">
        <v>27458.48</v>
      </c>
      <c r="N58" s="12" t="n">
        <v>191772.15</v>
      </c>
      <c r="O58" s="12" t="n">
        <v>-25.37</v>
      </c>
      <c r="Q58" s="16" t="n">
        <v>0</v>
      </c>
      <c r="R58" s="16" t="n">
        <v>-16.309543</v>
      </c>
      <c r="S58" s="16" t="n">
        <v>100</v>
      </c>
      <c r="T58" s="15" t="n"/>
      <c r="U58" s="15" t="n">
        <v>39.347116</v>
      </c>
      <c r="V58" s="15" t="n">
        <v>34.413449</v>
      </c>
      <c r="W58" s="16" t="n">
        <v>45.289647</v>
      </c>
      <c r="X58" s="16" t="n">
        <v>45.289647</v>
      </c>
      <c r="Y58" s="15" t="n">
        <v>39.400687</v>
      </c>
      <c r="Z58" s="15" t="n">
        <v>35.007561</v>
      </c>
      <c r="AA58" s="16" t="n"/>
      <c r="AB58" s="16" t="n">
        <v>51.059951</v>
      </c>
      <c r="AC58" s="16" t="n">
        <v>51.059951</v>
      </c>
      <c r="AD58" s="16" t="n">
        <v>107.876772</v>
      </c>
      <c r="AE58" s="16" t="n">
        <v>107.876772</v>
      </c>
      <c r="AF58" s="16" t="n">
        <v>96.945356</v>
      </c>
      <c r="AG58" s="16" t="n">
        <v>96.945356</v>
      </c>
      <c r="AH58" s="15" t="n">
        <v>16.900485</v>
      </c>
      <c r="AI58" s="15" t="n">
        <v>16.900485</v>
      </c>
      <c r="AJ58" s="15" t="n">
        <v>0</v>
      </c>
      <c r="AK58" s="15" t="n">
        <v>5000</v>
      </c>
      <c r="AM58">
        <f>B58</f>
        <v/>
      </c>
      <c r="AN58">
        <f>C58</f>
        <v/>
      </c>
      <c r="AO58" s="11">
        <f>SUM(AT58:AZ58)+BB58+BC58</f>
        <v/>
      </c>
      <c r="AP58" s="11">
        <f>SUM(AT58:AZ58)+BE58+BF58</f>
        <v/>
      </c>
      <c r="AQ58" s="11">
        <f>AO58/3.6</f>
        <v/>
      </c>
      <c r="AR58" s="11">
        <f>AP58/3.6</f>
        <v/>
      </c>
      <c r="AS58" s="5">
        <f>AO58-AP58</f>
        <v/>
      </c>
      <c r="AT58">
        <f>D58/F58*Y58*-1</f>
        <v/>
      </c>
      <c r="AU58">
        <f>E58/F58*Y58</f>
        <v/>
      </c>
      <c r="AV58" s="1">
        <f t="array" ref="AV58">_xlfn.IFS(C58="Biomass_Corn", 1/F58*S58, C58="Biomass_Agri", 1/F58*V58, C58="Biomass_Wood", 1/F58*U58, C58="Biomass_Herb", 1/F58*T58)</f>
        <v/>
      </c>
      <c r="AW58">
        <f>G58/F58*AH58</f>
        <v/>
      </c>
      <c r="AX58">
        <f>M58/F58/(0.9*8760)</f>
        <v/>
      </c>
      <c r="AY58">
        <f>N58/F58/(0.9*8760)</f>
        <v/>
      </c>
      <c r="AZ58">
        <f>O58/F58</f>
        <v/>
      </c>
      <c r="BA58" s="1">
        <f>BP58+BQ58+BS58-BL58+BR58+BT58</f>
        <v/>
      </c>
      <c r="BB58" s="1">
        <f>(Q58+R58)*-1*(I58+K58)/F58</f>
        <v/>
      </c>
      <c r="BC58">
        <f>BA58*Q58</f>
        <v/>
      </c>
      <c r="BD58">
        <f>SUM(BP58:BR58)-BL58</f>
        <v/>
      </c>
      <c r="BE58" s="1">
        <f>(I58+K58)/F58*-1*R58</f>
        <v/>
      </c>
      <c r="BF58">
        <f>BD58*Q58</f>
        <v/>
      </c>
      <c r="BH58" s="9">
        <f>H58</f>
        <v/>
      </c>
      <c r="BI58" s="10" t="n">
        <v>0.181048235160161</v>
      </c>
      <c r="BJ58" s="9" t="n">
        <v>0.23037491</v>
      </c>
      <c r="BL58" s="10">
        <f>BH58/F58</f>
        <v/>
      </c>
      <c r="BM58" s="10">
        <f>BI58*G58/F58</f>
        <v/>
      </c>
      <c r="BN58" s="10">
        <f>SUM(BL58:BM58)</f>
        <v/>
      </c>
      <c r="BP58" s="10">
        <f>BJ58</f>
        <v/>
      </c>
      <c r="BQ58" s="10">
        <f>J58/F58</f>
        <v/>
      </c>
      <c r="BR58" s="10">
        <f>L58/F58</f>
        <v/>
      </c>
      <c r="BS58" s="10">
        <f>I58/F58</f>
        <v/>
      </c>
      <c r="BT58" s="10">
        <f>K58/F58</f>
        <v/>
      </c>
      <c r="BU58" s="10">
        <f>SUM(BP58:BT58)</f>
        <v/>
      </c>
      <c r="BW58">
        <f>BN58-BU58</f>
        <v/>
      </c>
    </row>
    <row r="59">
      <c r="B59" s="13" t="inlineStr">
        <is>
          <t>NW_DryMill_CCS_Fermentation</t>
        </is>
      </c>
      <c r="C59" s="12" t="inlineStr">
        <is>
          <t>Biomass_Corn</t>
        </is>
      </c>
      <c r="D59" s="12" t="n">
        <v>0</v>
      </c>
      <c r="E59" s="12" t="n">
        <v>0.085342825</v>
      </c>
      <c r="F59" s="12" t="n">
        <v>3.104337995</v>
      </c>
      <c r="G59" s="12" t="n">
        <v>1.013397519</v>
      </c>
      <c r="H59" s="12" t="n">
        <v>1.758866658</v>
      </c>
      <c r="I59" s="12" t="n">
        <v>0.357687672</v>
      </c>
      <c r="J59" s="12" t="n">
        <v>0.6860173939999999</v>
      </c>
      <c r="K59" s="12" t="n">
        <v>0</v>
      </c>
      <c r="L59" s="12" t="n">
        <v>0.185341119</v>
      </c>
      <c r="M59" s="12" t="n">
        <v>27458.48</v>
      </c>
      <c r="N59" s="12" t="n">
        <v>191772.15</v>
      </c>
      <c r="O59" s="12" t="n">
        <v>-25.37</v>
      </c>
      <c r="Q59" s="16" t="n">
        <v>0</v>
      </c>
      <c r="R59" s="16" t="n">
        <v>-3.557382</v>
      </c>
      <c r="S59" s="16" t="n">
        <v>100</v>
      </c>
      <c r="T59" s="15" t="n">
        <v>70.61086299999999</v>
      </c>
      <c r="U59" s="15" t="n">
        <v>48.120714</v>
      </c>
      <c r="V59" s="15" t="n">
        <v>39.234002</v>
      </c>
      <c r="W59" s="16" t="n">
        <v>45.289647</v>
      </c>
      <c r="X59" s="16" t="n">
        <v>45.289647</v>
      </c>
      <c r="Y59" s="15" t="n">
        <v>28.009811</v>
      </c>
      <c r="Z59" s="15" t="n">
        <v>31.329838</v>
      </c>
      <c r="AA59" s="16" t="n"/>
      <c r="AB59" s="16" t="n">
        <v>51.059951</v>
      </c>
      <c r="AC59" s="16" t="n">
        <v>51.059951</v>
      </c>
      <c r="AD59" s="16" t="n">
        <v>107.876772</v>
      </c>
      <c r="AE59" s="16" t="n">
        <v>107.876772</v>
      </c>
      <c r="AF59" s="16" t="n">
        <v>96.945356</v>
      </c>
      <c r="AG59" s="16" t="n">
        <v>96.945356</v>
      </c>
      <c r="AH59" s="15" t="n">
        <v>15.780879</v>
      </c>
      <c r="AI59" s="15" t="n">
        <v>15.780879</v>
      </c>
      <c r="AJ59" s="15" t="n">
        <v>0</v>
      </c>
      <c r="AK59" s="15" t="n">
        <v>5000</v>
      </c>
      <c r="AM59">
        <f>B59</f>
        <v/>
      </c>
      <c r="AN59">
        <f>C59</f>
        <v/>
      </c>
      <c r="AO59" s="11">
        <f>SUM(AT59:AZ59)+BB59+BC59</f>
        <v/>
      </c>
      <c r="AP59" s="11">
        <f>SUM(AT59:AZ59)+BE59+BF59</f>
        <v/>
      </c>
      <c r="AQ59" s="11">
        <f>AO59/3.6</f>
        <v/>
      </c>
      <c r="AR59" s="11">
        <f>AP59/3.6</f>
        <v/>
      </c>
      <c r="AS59" s="5">
        <f>AO59-AP59</f>
        <v/>
      </c>
      <c r="AT59">
        <f>D59/F59*Y59*-1</f>
        <v/>
      </c>
      <c r="AU59">
        <f>E59/F59*Y59</f>
        <v/>
      </c>
      <c r="AV59" s="1">
        <f t="array" ref="AV59">_xlfn.IFS(C59="Biomass_Corn", 1/F59*S59, C59="Biomass_Agri", 1/F59*V59, C59="Biomass_Wood", 1/F59*U59, C59="Biomass_Herb", 1/F59*T59)</f>
        <v/>
      </c>
      <c r="AW59">
        <f>G59/F59*AH59</f>
        <v/>
      </c>
      <c r="AX59">
        <f>M59/F59/(0.9*8760)</f>
        <v/>
      </c>
      <c r="AY59">
        <f>N59/F59/(0.9*8760)</f>
        <v/>
      </c>
      <c r="AZ59">
        <f>O59/F59</f>
        <v/>
      </c>
      <c r="BA59" s="1">
        <f>BP59+BQ59+BS59-BL59+BR59+BT59</f>
        <v/>
      </c>
      <c r="BB59" s="1">
        <f>(Q59+R59)*-1*(I59+K59)/F59</f>
        <v/>
      </c>
      <c r="BC59">
        <f>BA59*Q59</f>
        <v/>
      </c>
      <c r="BD59">
        <f>SUM(BP59:BR59)-BL59</f>
        <v/>
      </c>
      <c r="BE59" s="1">
        <f>(I59+K59)/F59*-1*R59</f>
        <v/>
      </c>
      <c r="BF59">
        <f>BD59*Q59</f>
        <v/>
      </c>
      <c r="BH59" s="9">
        <f>H59</f>
        <v/>
      </c>
      <c r="BI59" s="10" t="n">
        <v>0.181048235160161</v>
      </c>
      <c r="BJ59" s="9" t="n">
        <v>0.23037491</v>
      </c>
      <c r="BL59" s="10">
        <f>BH59/F59</f>
        <v/>
      </c>
      <c r="BM59" s="10">
        <f>BI59*G59/F59</f>
        <v/>
      </c>
      <c r="BN59" s="10">
        <f>SUM(BL59:BM59)</f>
        <v/>
      </c>
      <c r="BP59" s="10">
        <f>BJ59</f>
        <v/>
      </c>
      <c r="BQ59" s="10">
        <f>J59/F59</f>
        <v/>
      </c>
      <c r="BR59" s="10">
        <f>L59/F59</f>
        <v/>
      </c>
      <c r="BS59" s="10">
        <f>I59/F59</f>
        <v/>
      </c>
      <c r="BT59" s="10">
        <f>K59/F59</f>
        <v/>
      </c>
      <c r="BU59" s="10">
        <f>SUM(BP59:BT59)</f>
        <v/>
      </c>
      <c r="BW59">
        <f>BN59-BU59</f>
        <v/>
      </c>
    </row>
    <row r="60">
      <c r="B60" s="13" t="inlineStr">
        <is>
          <t>SW_DryMill_CCS_Fermentation</t>
        </is>
      </c>
      <c r="C60" s="12" t="inlineStr">
        <is>
          <t>Biomass_Corn</t>
        </is>
      </c>
      <c r="D60" s="12" t="n">
        <v>0</v>
      </c>
      <c r="E60" s="12" t="n">
        <v>0.085342825</v>
      </c>
      <c r="F60" s="12" t="n">
        <v>3.104337995</v>
      </c>
      <c r="G60" s="12" t="n">
        <v>1.013397519</v>
      </c>
      <c r="H60" s="12" t="n">
        <v>1.758866658</v>
      </c>
      <c r="I60" s="12" t="n">
        <v>0.357687672</v>
      </c>
      <c r="J60" s="12" t="n">
        <v>0.6860173939999999</v>
      </c>
      <c r="K60" s="12" t="n">
        <v>0</v>
      </c>
      <c r="L60" s="12" t="n">
        <v>0.185341119</v>
      </c>
      <c r="M60" s="12" t="n">
        <v>27458.48</v>
      </c>
      <c r="N60" s="12" t="n">
        <v>191772.15</v>
      </c>
      <c r="O60" s="12" t="n">
        <v>-25.37</v>
      </c>
      <c r="Q60" s="16" t="n">
        <v>0</v>
      </c>
      <c r="R60" s="16" t="n">
        <v>-6.203351</v>
      </c>
      <c r="S60" s="16" t="n">
        <v>100</v>
      </c>
      <c r="T60" s="15" t="n">
        <v>67.594672</v>
      </c>
      <c r="U60" s="15" t="n">
        <v>47.542838</v>
      </c>
      <c r="V60" s="15" t="n">
        <v>39.757567</v>
      </c>
      <c r="W60" s="16" t="n">
        <v>45.289647</v>
      </c>
      <c r="X60" s="16" t="n">
        <v>45.289647</v>
      </c>
      <c r="Y60" s="15" t="n">
        <v>27.4329</v>
      </c>
      <c r="Z60" s="15" t="n">
        <v>29.313567</v>
      </c>
      <c r="AA60" s="16" t="n"/>
      <c r="AB60" s="16" t="n">
        <v>51.059951</v>
      </c>
      <c r="AC60" s="16" t="n">
        <v>51.059951</v>
      </c>
      <c r="AD60" s="16" t="n">
        <v>107.876772</v>
      </c>
      <c r="AE60" s="16" t="n">
        <v>107.876772</v>
      </c>
      <c r="AF60" s="16" t="n">
        <v>96.945356</v>
      </c>
      <c r="AG60" s="16" t="n">
        <v>96.945356</v>
      </c>
      <c r="AH60" s="15" t="n">
        <v>15.780712</v>
      </c>
      <c r="AI60" s="15" t="n">
        <v>15.780712</v>
      </c>
      <c r="AJ60" s="15" t="n">
        <v>0</v>
      </c>
      <c r="AK60" s="15" t="n">
        <v>5000</v>
      </c>
      <c r="AM60">
        <f>B60</f>
        <v/>
      </c>
      <c r="AN60">
        <f>C60</f>
        <v/>
      </c>
      <c r="AO60" s="11">
        <f>SUM(AT60:AZ60)+BB60+BC60</f>
        <v/>
      </c>
      <c r="AP60" s="11">
        <f>SUM(AT60:AZ60)+BE60+BF60</f>
        <v/>
      </c>
      <c r="AQ60" s="11">
        <f>AO60/3.6</f>
        <v/>
      </c>
      <c r="AR60" s="11">
        <f>AP60/3.6</f>
        <v/>
      </c>
      <c r="AS60" s="5">
        <f>AO60-AP60</f>
        <v/>
      </c>
      <c r="AT60">
        <f>D60/F60*Y60*-1</f>
        <v/>
      </c>
      <c r="AU60">
        <f>E60/F60*Y60</f>
        <v/>
      </c>
      <c r="AV60" s="1">
        <f t="array" ref="AV60">_xlfn.IFS(C60="Biomass_Corn", 1/F60*S60, C60="Biomass_Agri", 1/F60*V60, C60="Biomass_Wood", 1/F60*U60, C60="Biomass_Herb", 1/F60*T60)</f>
        <v/>
      </c>
      <c r="AW60">
        <f>G60/F60*AH60</f>
        <v/>
      </c>
      <c r="AX60">
        <f>M60/F60/(0.9*8760)</f>
        <v/>
      </c>
      <c r="AY60">
        <f>N60/F60/(0.9*8760)</f>
        <v/>
      </c>
      <c r="AZ60">
        <f>O60/F60</f>
        <v/>
      </c>
      <c r="BA60" s="1">
        <f>BP60+BQ60+BS60-BL60+BR60+BT60</f>
        <v/>
      </c>
      <c r="BB60" s="1">
        <f>(Q60+R60)*-1*(I60+K60)/F60</f>
        <v/>
      </c>
      <c r="BC60">
        <f>BA60*Q60</f>
        <v/>
      </c>
      <c r="BD60">
        <f>SUM(BP60:BR60)-BL60</f>
        <v/>
      </c>
      <c r="BE60" s="1">
        <f>(I60+K60)/F60*-1*R60</f>
        <v/>
      </c>
      <c r="BF60">
        <f>BD60*Q60</f>
        <v/>
      </c>
      <c r="BH60" s="9">
        <f>H60</f>
        <v/>
      </c>
      <c r="BI60" s="10" t="n">
        <v>0.181048235160161</v>
      </c>
      <c r="BJ60" s="9" t="n">
        <v>0.23037491</v>
      </c>
      <c r="BL60" s="10">
        <f>BH60/F60</f>
        <v/>
      </c>
      <c r="BM60" s="10">
        <f>BI60*G60/F60</f>
        <v/>
      </c>
      <c r="BN60" s="10">
        <f>SUM(BL60:BM60)</f>
        <v/>
      </c>
      <c r="BP60" s="10">
        <f>BJ60</f>
        <v/>
      </c>
      <c r="BQ60" s="10">
        <f>J60/F60</f>
        <v/>
      </c>
      <c r="BR60" s="10">
        <f>L60/F60</f>
        <v/>
      </c>
      <c r="BS60" s="10">
        <f>I60/F60</f>
        <v/>
      </c>
      <c r="BT60" s="10">
        <f>K60/F60</f>
        <v/>
      </c>
      <c r="BU60" s="10">
        <f>SUM(BP60:BT60)</f>
        <v/>
      </c>
      <c r="BW60">
        <f>BN60-BU60</f>
        <v/>
      </c>
    </row>
    <row r="61">
      <c r="B61" s="13" t="inlineStr">
        <is>
          <t>TX_DryMill_CCS_Fermentation</t>
        </is>
      </c>
      <c r="C61" s="12" t="inlineStr">
        <is>
          <t>Biomass_Corn</t>
        </is>
      </c>
      <c r="D61" s="12" t="n">
        <v>0</v>
      </c>
      <c r="E61" s="12" t="n">
        <v>0.085342825</v>
      </c>
      <c r="F61" s="12" t="n">
        <v>3.104337995</v>
      </c>
      <c r="G61" s="12" t="n">
        <v>1.013397519</v>
      </c>
      <c r="H61" s="12" t="n">
        <v>1.758866658</v>
      </c>
      <c r="I61" s="12" t="n">
        <v>0.357687672</v>
      </c>
      <c r="J61" s="12" t="n">
        <v>0.6860173939999999</v>
      </c>
      <c r="K61" s="12" t="n">
        <v>0</v>
      </c>
      <c r="L61" s="12" t="n">
        <v>0.185341119</v>
      </c>
      <c r="M61" s="12" t="n">
        <v>27458.48</v>
      </c>
      <c r="N61" s="12" t="n">
        <v>191772.15</v>
      </c>
      <c r="O61" s="12" t="n">
        <v>-25.37</v>
      </c>
      <c r="Q61" s="16" t="n">
        <v>0</v>
      </c>
      <c r="R61" s="16" t="n">
        <v>14.732097</v>
      </c>
      <c r="S61" s="16" t="n">
        <v>100</v>
      </c>
      <c r="T61" s="15" t="n">
        <v>73.00646</v>
      </c>
      <c r="U61" s="15" t="n">
        <v>69.643664</v>
      </c>
      <c r="V61" s="15" t="n">
        <v>43.030303</v>
      </c>
      <c r="W61" s="16" t="n">
        <v>45.289647</v>
      </c>
      <c r="X61" s="16" t="n">
        <v>45.289647</v>
      </c>
      <c r="Y61" s="15" t="n">
        <v>19.019146</v>
      </c>
      <c r="Z61" s="15" t="n">
        <v>23.790747</v>
      </c>
      <c r="AA61" s="16" t="n"/>
      <c r="AB61" s="16" t="n">
        <v>51.059951</v>
      </c>
      <c r="AC61" s="16" t="n">
        <v>51.059951</v>
      </c>
      <c r="AD61" s="16" t="n">
        <v>107.876772</v>
      </c>
      <c r="AE61" s="16" t="n">
        <v>107.876772</v>
      </c>
      <c r="AF61" s="16" t="n">
        <v>96.945356</v>
      </c>
      <c r="AG61" s="16" t="n">
        <v>96.945356</v>
      </c>
      <c r="AH61" s="15" t="n">
        <v>13.326077</v>
      </c>
      <c r="AI61" s="15" t="n">
        <v>13.326077</v>
      </c>
      <c r="AJ61" s="15" t="n">
        <v>0</v>
      </c>
      <c r="AK61" s="15" t="n">
        <v>5000</v>
      </c>
      <c r="AM61">
        <f>B61</f>
        <v/>
      </c>
      <c r="AN61">
        <f>C61</f>
        <v/>
      </c>
      <c r="AO61" s="11">
        <f>SUM(AT61:AZ61)+BB61+BC61</f>
        <v/>
      </c>
      <c r="AP61" s="11">
        <f>SUM(AT61:AZ61)+BE61+BF61</f>
        <v/>
      </c>
      <c r="AQ61" s="11">
        <f>AO61/3.6</f>
        <v/>
      </c>
      <c r="AR61" s="11">
        <f>AP61/3.6</f>
        <v/>
      </c>
      <c r="AS61" s="5">
        <f>AO61-AP61</f>
        <v/>
      </c>
      <c r="AT61">
        <f>D61/F61*Y61*-1</f>
        <v/>
      </c>
      <c r="AU61">
        <f>E61/F61*Y61</f>
        <v/>
      </c>
      <c r="AV61" s="1">
        <f t="array" ref="AV61">_xlfn.IFS(C61="Biomass_Corn", 1/F61*S61, C61="Biomass_Agri", 1/F61*V61, C61="Biomass_Wood", 1/F61*U61, C61="Biomass_Herb", 1/F61*T61)</f>
        <v/>
      </c>
      <c r="AW61">
        <f>G61/F61*AH61</f>
        <v/>
      </c>
      <c r="AX61">
        <f>M61/F61/(0.9*8760)</f>
        <v/>
      </c>
      <c r="AY61">
        <f>N61/F61/(0.9*8760)</f>
        <v/>
      </c>
      <c r="AZ61">
        <f>O61/F61</f>
        <v/>
      </c>
      <c r="BA61" s="1">
        <f>BP61+BQ61+BS61-BL61+BR61+BT61</f>
        <v/>
      </c>
      <c r="BB61" s="1">
        <f>(Q61+R61)*-1*(I61+K61)/F61</f>
        <v/>
      </c>
      <c r="BC61">
        <f>BA61*Q61</f>
        <v/>
      </c>
      <c r="BD61">
        <f>SUM(BP61:BR61)-BL61</f>
        <v/>
      </c>
      <c r="BE61" s="1">
        <f>(I61+K61)/F61*-1*R61</f>
        <v/>
      </c>
      <c r="BF61">
        <f>BD61*Q61</f>
        <v/>
      </c>
      <c r="BH61" s="9">
        <f>H61</f>
        <v/>
      </c>
      <c r="BI61" s="10" t="n">
        <v>0.181048235160161</v>
      </c>
      <c r="BJ61" s="9" t="n">
        <v>0.23037491</v>
      </c>
      <c r="BL61" s="10">
        <f>BH61/F61</f>
        <v/>
      </c>
      <c r="BM61" s="10">
        <f>BI61*G61/F61</f>
        <v/>
      </c>
      <c r="BN61" s="10">
        <f>SUM(BL61:BM61)</f>
        <v/>
      </c>
      <c r="BP61" s="10">
        <f>BJ61</f>
        <v/>
      </c>
      <c r="BQ61" s="10">
        <f>J61/F61</f>
        <v/>
      </c>
      <c r="BR61" s="10">
        <f>L61/F61</f>
        <v/>
      </c>
      <c r="BS61" s="10">
        <f>I61/F61</f>
        <v/>
      </c>
      <c r="BT61" s="10">
        <f>K61/F61</f>
        <v/>
      </c>
      <c r="BU61" s="10">
        <f>SUM(BP61:BT61)</f>
        <v/>
      </c>
      <c r="BW61">
        <f>BN61-BU61</f>
        <v/>
      </c>
    </row>
    <row r="62">
      <c r="B62" s="13" t="inlineStr">
        <is>
          <t>NCEN_DryMill_CCS_Fermentation</t>
        </is>
      </c>
      <c r="C62" s="12" t="inlineStr">
        <is>
          <t>Biomass_Corn</t>
        </is>
      </c>
      <c r="D62" s="12" t="n">
        <v>0</v>
      </c>
      <c r="E62" s="12" t="n">
        <v>0.085342825</v>
      </c>
      <c r="F62" s="12" t="n">
        <v>3.104337995</v>
      </c>
      <c r="G62" s="12" t="n">
        <v>1.013397519</v>
      </c>
      <c r="H62" s="12" t="n">
        <v>1.758866658</v>
      </c>
      <c r="I62" s="12" t="n">
        <v>0.357687672</v>
      </c>
      <c r="J62" s="12" t="n">
        <v>0.6860173939999999</v>
      </c>
      <c r="K62" s="12" t="n">
        <v>0</v>
      </c>
      <c r="L62" s="12" t="n">
        <v>0.185341119</v>
      </c>
      <c r="M62" s="12" t="n">
        <v>27458.48</v>
      </c>
      <c r="N62" s="12" t="n">
        <v>191772.15</v>
      </c>
      <c r="O62" s="12" t="n">
        <v>-25.37</v>
      </c>
      <c r="Q62" s="16" t="n">
        <v>0</v>
      </c>
      <c r="R62" s="16" t="n">
        <v>-0.911528</v>
      </c>
      <c r="S62" s="16" t="n">
        <v>100</v>
      </c>
      <c r="T62" s="15" t="n">
        <v>69.911137</v>
      </c>
      <c r="U62" s="15" t="n">
        <v>44.79442</v>
      </c>
      <c r="V62" s="15" t="n">
        <v>43.323942</v>
      </c>
      <c r="W62" s="16" t="n">
        <v>45.289647</v>
      </c>
      <c r="X62" s="16" t="n">
        <v>45.289647</v>
      </c>
      <c r="Y62" s="15" t="n">
        <v>29.249237</v>
      </c>
      <c r="Z62" s="15" t="n">
        <v>34.631601</v>
      </c>
      <c r="AA62" s="16" t="n"/>
      <c r="AB62" s="16" t="n">
        <v>51.059951</v>
      </c>
      <c r="AC62" s="16" t="n">
        <v>51.059951</v>
      </c>
      <c r="AD62" s="16" t="n">
        <v>107.876772</v>
      </c>
      <c r="AE62" s="16" t="n">
        <v>107.876772</v>
      </c>
      <c r="AF62" s="16" t="n">
        <v>96.945356</v>
      </c>
      <c r="AG62" s="16" t="n">
        <v>96.945356</v>
      </c>
      <c r="AH62" s="15" t="n">
        <v>14.089942</v>
      </c>
      <c r="AI62" s="15" t="n">
        <v>14.089942</v>
      </c>
      <c r="AJ62" s="15" t="n">
        <v>0</v>
      </c>
      <c r="AK62" s="15" t="n">
        <v>5000</v>
      </c>
      <c r="AM62">
        <f>B62</f>
        <v/>
      </c>
      <c r="AN62">
        <f>C62</f>
        <v/>
      </c>
      <c r="AO62" s="11">
        <f>SUM(AT62:AZ62)+BB62+BC62</f>
        <v/>
      </c>
      <c r="AP62" s="11">
        <f>SUM(AT62:AZ62)+BE62+BF62</f>
        <v/>
      </c>
      <c r="AQ62" s="11">
        <f>AO62/3.6</f>
        <v/>
      </c>
      <c r="AR62" s="11">
        <f>AP62/3.6</f>
        <v/>
      </c>
      <c r="AS62" s="5">
        <f>AO62-AP62</f>
        <v/>
      </c>
      <c r="AT62">
        <f>D62/F62*Y62*-1</f>
        <v/>
      </c>
      <c r="AU62">
        <f>E62/F62*Y62</f>
        <v/>
      </c>
      <c r="AV62" s="1">
        <f t="array" ref="AV62">_xlfn.IFS(C62="Biomass_Corn", 1/F62*S62, C62="Biomass_Agri", 1/F62*V62, C62="Biomass_Wood", 1/F62*U62, C62="Biomass_Herb", 1/F62*T62)</f>
        <v/>
      </c>
      <c r="AW62">
        <f>G62/F62*AH62</f>
        <v/>
      </c>
      <c r="AX62">
        <f>M62/F62/(0.9*8760)</f>
        <v/>
      </c>
      <c r="AY62">
        <f>N62/F62/(0.9*8760)</f>
        <v/>
      </c>
      <c r="AZ62">
        <f>O62/F62</f>
        <v/>
      </c>
      <c r="BA62" s="1">
        <f>BP62+BQ62+BS62-BL62+BR62+BT62</f>
        <v/>
      </c>
      <c r="BB62" s="1">
        <f>(Q62+R62)*-1*(I62+K62)/F62</f>
        <v/>
      </c>
      <c r="BC62">
        <f>BA62*Q62</f>
        <v/>
      </c>
      <c r="BD62">
        <f>SUM(BP62:BR62)-BL62</f>
        <v/>
      </c>
      <c r="BE62" s="1">
        <f>(I62+K62)/F62*-1*R62</f>
        <v/>
      </c>
      <c r="BF62">
        <f>BD62*Q62</f>
        <v/>
      </c>
      <c r="BH62" s="9">
        <f>H62</f>
        <v/>
      </c>
      <c r="BI62" s="10" t="n">
        <v>0.181048235160161</v>
      </c>
      <c r="BJ62" s="9" t="n">
        <v>0.23037491</v>
      </c>
      <c r="BL62" s="10">
        <f>BH62/F62</f>
        <v/>
      </c>
      <c r="BM62" s="10">
        <f>BI62*G62/F62</f>
        <v/>
      </c>
      <c r="BN62" s="10">
        <f>SUM(BL62:BM62)</f>
        <v/>
      </c>
      <c r="BP62" s="10">
        <f>BJ62</f>
        <v/>
      </c>
      <c r="BQ62" s="10">
        <f>J62/F62</f>
        <v/>
      </c>
      <c r="BR62" s="10">
        <f>L62/F62</f>
        <v/>
      </c>
      <c r="BS62" s="10">
        <f>I62/F62</f>
        <v/>
      </c>
      <c r="BT62" s="10">
        <f>K62/F62</f>
        <v/>
      </c>
      <c r="BU62" s="10">
        <f>SUM(BP62:BT62)</f>
        <v/>
      </c>
      <c r="BW62">
        <f>BN62-BU62</f>
        <v/>
      </c>
    </row>
    <row r="63">
      <c r="B63" s="13" t="inlineStr">
        <is>
          <t>CEN_DryMill_CCS_Fermentation</t>
        </is>
      </c>
      <c r="C63" s="12" t="inlineStr">
        <is>
          <t>Biomass_Corn</t>
        </is>
      </c>
      <c r="D63" s="12" t="n">
        <v>0</v>
      </c>
      <c r="E63" s="12" t="n">
        <v>0.085342825</v>
      </c>
      <c r="F63" s="12" t="n">
        <v>3.104337995</v>
      </c>
      <c r="G63" s="12" t="n">
        <v>1.013397519</v>
      </c>
      <c r="H63" s="12" t="n">
        <v>1.758866658</v>
      </c>
      <c r="I63" s="12" t="n">
        <v>0.357687672</v>
      </c>
      <c r="J63" s="12" t="n">
        <v>0.6860173939999999</v>
      </c>
      <c r="K63" s="12" t="n">
        <v>0</v>
      </c>
      <c r="L63" s="12" t="n">
        <v>0.185341119</v>
      </c>
      <c r="M63" s="12" t="n">
        <v>27458.48</v>
      </c>
      <c r="N63" s="12" t="n">
        <v>191772.15</v>
      </c>
      <c r="O63" s="12" t="n">
        <v>-25.37</v>
      </c>
      <c r="Q63" s="16" t="n">
        <v>0</v>
      </c>
      <c r="R63" s="16" t="n">
        <v>6.223991</v>
      </c>
      <c r="S63" s="16" t="n">
        <v>100</v>
      </c>
      <c r="T63" s="15" t="n">
        <v>72.30436899999999</v>
      </c>
      <c r="U63" s="15" t="n">
        <v>59.390495</v>
      </c>
      <c r="V63" s="15" t="n">
        <v>42.94088</v>
      </c>
      <c r="W63" s="16" t="n">
        <v>45.289647</v>
      </c>
      <c r="X63" s="16" t="n">
        <v>45.289647</v>
      </c>
      <c r="Y63" s="15" t="n">
        <v>22.958189</v>
      </c>
      <c r="Z63" s="15" t="n">
        <v>28.593352</v>
      </c>
      <c r="AA63" s="16" t="n"/>
      <c r="AB63" s="16" t="n">
        <v>51.059951</v>
      </c>
      <c r="AC63" s="16" t="n">
        <v>51.059951</v>
      </c>
      <c r="AD63" s="16" t="n">
        <v>107.876772</v>
      </c>
      <c r="AE63" s="16" t="n">
        <v>107.876772</v>
      </c>
      <c r="AF63" s="16" t="n">
        <v>96.945356</v>
      </c>
      <c r="AG63" s="16" t="n">
        <v>96.945356</v>
      </c>
      <c r="AH63" s="15" t="n">
        <v>14.066295</v>
      </c>
      <c r="AI63" s="15" t="n">
        <v>14.066295</v>
      </c>
      <c r="AJ63" s="15" t="n">
        <v>0</v>
      </c>
      <c r="AK63" s="15" t="n">
        <v>5000</v>
      </c>
      <c r="AM63">
        <f>B63</f>
        <v/>
      </c>
      <c r="AN63">
        <f>C63</f>
        <v/>
      </c>
      <c r="AO63" s="11">
        <f>SUM(AT63:AZ63)+BB63+BC63</f>
        <v/>
      </c>
      <c r="AP63" s="11">
        <f>SUM(AT63:AZ63)+BE63+BF63</f>
        <v/>
      </c>
      <c r="AQ63" s="11">
        <f>AO63/3.6</f>
        <v/>
      </c>
      <c r="AR63" s="11">
        <f>AP63/3.6</f>
        <v/>
      </c>
      <c r="AS63" s="5">
        <f>AO63-AP63</f>
        <v/>
      </c>
      <c r="AT63">
        <f>D63/F63*Y63*-1</f>
        <v/>
      </c>
      <c r="AU63">
        <f>E63/F63*Y63</f>
        <v/>
      </c>
      <c r="AV63" s="1">
        <f t="array" ref="AV63">_xlfn.IFS(C63="Biomass_Corn", 1/F63*S63, C63="Biomass_Agri", 1/F63*V63, C63="Biomass_Wood", 1/F63*U63, C63="Biomass_Herb", 1/F63*T63)</f>
        <v/>
      </c>
      <c r="AW63">
        <f>G63/F63*AH63</f>
        <v/>
      </c>
      <c r="AX63">
        <f>M63/F63/(0.9*8760)</f>
        <v/>
      </c>
      <c r="AY63">
        <f>N63/F63/(0.9*8760)</f>
        <v/>
      </c>
      <c r="AZ63">
        <f>O63/F63</f>
        <v/>
      </c>
      <c r="BA63" s="1">
        <f>BP63+BQ63+BS63-BL63+BR63+BT63</f>
        <v/>
      </c>
      <c r="BB63" s="1">
        <f>(Q63+R63)*-1*(I63+K63)/F63</f>
        <v/>
      </c>
      <c r="BC63">
        <f>BA63*Q63</f>
        <v/>
      </c>
      <c r="BD63">
        <f>SUM(BP63:BR63)-BL63</f>
        <v/>
      </c>
      <c r="BE63" s="1">
        <f>(I63+K63)/F63*-1*R63</f>
        <v/>
      </c>
      <c r="BF63">
        <f>BD63*Q63</f>
        <v/>
      </c>
      <c r="BH63" s="9">
        <f>H63</f>
        <v/>
      </c>
      <c r="BI63" s="10" t="n">
        <v>0.181048235160161</v>
      </c>
      <c r="BJ63" s="9" t="n">
        <v>0.23037491</v>
      </c>
      <c r="BL63" s="10">
        <f>BH63/F63</f>
        <v/>
      </c>
      <c r="BM63" s="10">
        <f>BI63*G63/F63</f>
        <v/>
      </c>
      <c r="BN63" s="10">
        <f>SUM(BL63:BM63)</f>
        <v/>
      </c>
      <c r="BP63" s="10">
        <f>BJ63</f>
        <v/>
      </c>
      <c r="BQ63" s="10">
        <f>J63/F63</f>
        <v/>
      </c>
      <c r="BR63" s="10">
        <f>L63/F63</f>
        <v/>
      </c>
      <c r="BS63" s="10">
        <f>I63/F63</f>
        <v/>
      </c>
      <c r="BT63" s="10">
        <f>K63/F63</f>
        <v/>
      </c>
      <c r="BU63" s="10">
        <f>SUM(BP63:BT63)</f>
        <v/>
      </c>
      <c r="BW63">
        <f>BN63-BU63</f>
        <v/>
      </c>
    </row>
    <row r="64">
      <c r="B64" s="13" t="inlineStr">
        <is>
          <t>SE_DryMill_CCS_Fermentation</t>
        </is>
      </c>
      <c r="C64" s="12" t="inlineStr">
        <is>
          <t>Biomass_Corn</t>
        </is>
      </c>
      <c r="D64" s="12" t="n">
        <v>0</v>
      </c>
      <c r="E64" s="12" t="n">
        <v>0.085342825</v>
      </c>
      <c r="F64" s="12" t="n">
        <v>3.104337995</v>
      </c>
      <c r="G64" s="12" t="n">
        <v>1.013397519</v>
      </c>
      <c r="H64" s="12" t="n">
        <v>1.758866658</v>
      </c>
      <c r="I64" s="12" t="n">
        <v>0.357687672</v>
      </c>
      <c r="J64" s="12" t="n">
        <v>0.6860173939999999</v>
      </c>
      <c r="K64" s="12" t="n">
        <v>0</v>
      </c>
      <c r="L64" s="12" t="n">
        <v>0.185341119</v>
      </c>
      <c r="M64" s="12" t="n">
        <v>27458.48</v>
      </c>
      <c r="N64" s="12" t="n">
        <v>191772.15</v>
      </c>
      <c r="O64" s="12" t="n">
        <v>-25.37</v>
      </c>
      <c r="Q64" s="16" t="n">
        <v>0</v>
      </c>
      <c r="R64" s="16" t="n">
        <v>-5.914702</v>
      </c>
      <c r="S64" s="16" t="n">
        <v>100</v>
      </c>
      <c r="T64" s="15" t="n">
        <v>69.166622</v>
      </c>
      <c r="U64" s="15" t="n">
        <v>46.05675</v>
      </c>
      <c r="V64" s="15" t="n">
        <v>41.170372</v>
      </c>
      <c r="W64" s="16" t="n">
        <v>45.289647</v>
      </c>
      <c r="X64" s="16" t="n">
        <v>45.289647</v>
      </c>
      <c r="Y64" s="15" t="n">
        <v>33.298446</v>
      </c>
      <c r="Z64" s="15" t="n">
        <v>36.471022</v>
      </c>
      <c r="AA64" s="16" t="n"/>
      <c r="AB64" s="16" t="n">
        <v>51.059951</v>
      </c>
      <c r="AC64" s="16" t="n">
        <v>51.059951</v>
      </c>
      <c r="AD64" s="16" t="n">
        <v>107.876772</v>
      </c>
      <c r="AE64" s="16" t="n">
        <v>107.876772</v>
      </c>
      <c r="AF64" s="16" t="n">
        <v>96.945356</v>
      </c>
      <c r="AG64" s="16" t="n">
        <v>96.945356</v>
      </c>
      <c r="AH64" s="15" t="n">
        <v>14.089638</v>
      </c>
      <c r="AI64" s="15" t="n">
        <v>14.089638</v>
      </c>
      <c r="AJ64" s="15" t="n">
        <v>0</v>
      </c>
      <c r="AK64" s="15" t="n">
        <v>5000</v>
      </c>
      <c r="AM64">
        <f>B64</f>
        <v/>
      </c>
      <c r="AN64">
        <f>C64</f>
        <v/>
      </c>
      <c r="AO64" s="11">
        <f>SUM(AT64:AZ64)+BB64+BC64</f>
        <v/>
      </c>
      <c r="AP64" s="11">
        <f>SUM(AT64:AZ64)+BE64+BF64</f>
        <v/>
      </c>
      <c r="AQ64" s="11">
        <f>AO64/3.6</f>
        <v/>
      </c>
      <c r="AR64" s="11">
        <f>AP64/3.6</f>
        <v/>
      </c>
      <c r="AS64" s="5">
        <f>AO64-AP64</f>
        <v/>
      </c>
      <c r="AT64">
        <f>D64/F64*Y64*-1</f>
        <v/>
      </c>
      <c r="AU64">
        <f>E64/F64*Y64</f>
        <v/>
      </c>
      <c r="AV64" s="1">
        <f t="array" ref="AV64">_xlfn.IFS(C64="Biomass_Corn", 1/F64*S64, C64="Biomass_Agri", 1/F64*V64, C64="Biomass_Wood", 1/F64*U64, C64="Biomass_Herb", 1/F64*T64)</f>
        <v/>
      </c>
      <c r="AW64">
        <f>G64/F64*AH64</f>
        <v/>
      </c>
      <c r="AX64">
        <f>M64/F64/(0.9*8760)</f>
        <v/>
      </c>
      <c r="AY64">
        <f>N64/F64/(0.9*8760)</f>
        <v/>
      </c>
      <c r="AZ64">
        <f>O64/F64</f>
        <v/>
      </c>
      <c r="BA64" s="1">
        <f>BP64+BQ64+BS64-BL64+BR64+BT64</f>
        <v/>
      </c>
      <c r="BB64" s="1">
        <f>(Q64+R64)*-1*(I64+K64)/F64</f>
        <v/>
      </c>
      <c r="BC64">
        <f>BA64*Q64</f>
        <v/>
      </c>
      <c r="BD64">
        <f>SUM(BP64:BR64)-BL64</f>
        <v/>
      </c>
      <c r="BE64" s="1">
        <f>(I64+K64)/F64*-1*R64</f>
        <v/>
      </c>
      <c r="BF64">
        <f>BD64*Q64</f>
        <v/>
      </c>
      <c r="BH64" s="9">
        <f>H64</f>
        <v/>
      </c>
      <c r="BI64" s="10" t="n">
        <v>0.181048235160161</v>
      </c>
      <c r="BJ64" s="9" t="n">
        <v>0.23037491</v>
      </c>
      <c r="BL64" s="10">
        <f>BH64/F64</f>
        <v/>
      </c>
      <c r="BM64" s="10">
        <f>BI64*G64/F64</f>
        <v/>
      </c>
      <c r="BN64" s="10">
        <f>SUM(BL64:BM64)</f>
        <v/>
      </c>
      <c r="BP64" s="10">
        <f>BJ64</f>
        <v/>
      </c>
      <c r="BQ64" s="10">
        <f>J64/F64</f>
        <v/>
      </c>
      <c r="BR64" s="10">
        <f>L64/F64</f>
        <v/>
      </c>
      <c r="BS64" s="10">
        <f>I64/F64</f>
        <v/>
      </c>
      <c r="BT64" s="10">
        <f>K64/F64</f>
        <v/>
      </c>
      <c r="BU64" s="10">
        <f>SUM(BP64:BT64)</f>
        <v/>
      </c>
      <c r="BW64">
        <f>BN64-BU64</f>
        <v/>
      </c>
    </row>
    <row r="65">
      <c r="B65" s="13" t="inlineStr">
        <is>
          <t>MIDAT_DryMill_CCS_Fermentation</t>
        </is>
      </c>
      <c r="C65" s="12" t="inlineStr">
        <is>
          <t>Biomass_Corn</t>
        </is>
      </c>
      <c r="D65" s="12" t="n">
        <v>0</v>
      </c>
      <c r="E65" s="12" t="n">
        <v>0.085342825</v>
      </c>
      <c r="F65" s="12" t="n">
        <v>3.104337995</v>
      </c>
      <c r="G65" s="12" t="n">
        <v>1.013397519</v>
      </c>
      <c r="H65" s="12" t="n">
        <v>1.758866658</v>
      </c>
      <c r="I65" s="12" t="n">
        <v>0.357687672</v>
      </c>
      <c r="J65" s="12" t="n">
        <v>0.6860173939999999</v>
      </c>
      <c r="K65" s="12" t="n">
        <v>0</v>
      </c>
      <c r="L65" s="12" t="n">
        <v>0.185341119</v>
      </c>
      <c r="M65" s="12" t="n">
        <v>27458.48</v>
      </c>
      <c r="N65" s="12" t="n">
        <v>191772.15</v>
      </c>
      <c r="O65" s="12" t="n">
        <v>-25.37</v>
      </c>
      <c r="Q65" s="16" t="n">
        <v>0</v>
      </c>
      <c r="R65" s="16" t="n">
        <v>-14.741173</v>
      </c>
      <c r="S65" s="16" t="n">
        <v>100</v>
      </c>
      <c r="T65" s="15" t="n">
        <v>69.370717</v>
      </c>
      <c r="U65" s="15" t="n">
        <v>45.972292</v>
      </c>
      <c r="V65" s="15" t="n">
        <v>42.940257</v>
      </c>
      <c r="W65" s="16" t="n">
        <v>45.289647</v>
      </c>
      <c r="X65" s="16" t="n">
        <v>45.289647</v>
      </c>
      <c r="Y65" s="15" t="n">
        <v>35.672332</v>
      </c>
      <c r="Z65" s="15" t="n">
        <v>37.202448</v>
      </c>
      <c r="AA65" s="16" t="n"/>
      <c r="AB65" s="16" t="n">
        <v>51.059951</v>
      </c>
      <c r="AC65" s="16" t="n">
        <v>51.059951</v>
      </c>
      <c r="AD65" s="16" t="n">
        <v>107.876772</v>
      </c>
      <c r="AE65" s="16" t="n">
        <v>107.876772</v>
      </c>
      <c r="AF65" s="16" t="n">
        <v>96.945356</v>
      </c>
      <c r="AG65" s="16" t="n">
        <v>96.945356</v>
      </c>
      <c r="AH65" s="15" t="n">
        <v>15.046822</v>
      </c>
      <c r="AI65" s="15" t="n">
        <v>15.046822</v>
      </c>
      <c r="AJ65" s="15" t="n">
        <v>0</v>
      </c>
      <c r="AK65" s="15" t="n">
        <v>5000</v>
      </c>
      <c r="AM65">
        <f>B65</f>
        <v/>
      </c>
      <c r="AN65">
        <f>C65</f>
        <v/>
      </c>
      <c r="AO65" s="11">
        <f>SUM(AT65:AZ65)+BB65+BC65</f>
        <v/>
      </c>
      <c r="AP65" s="11">
        <f>SUM(AT65:AZ65)+BE65+BF65</f>
        <v/>
      </c>
      <c r="AQ65" s="11">
        <f>AO65/3.6</f>
        <v/>
      </c>
      <c r="AR65" s="11">
        <f>AP65/3.6</f>
        <v/>
      </c>
      <c r="AS65" s="5">
        <f>AO65-AP65</f>
        <v/>
      </c>
      <c r="AT65">
        <f>D65/F65*Y65*-1</f>
        <v/>
      </c>
      <c r="AU65">
        <f>E65/F65*Y65</f>
        <v/>
      </c>
      <c r="AV65" s="1">
        <f t="array" ref="AV65">_xlfn.IFS(C65="Biomass_Corn", 1/F65*S65, C65="Biomass_Agri", 1/F65*V65, C65="Biomass_Wood", 1/F65*U65, C65="Biomass_Herb", 1/F65*T65)</f>
        <v/>
      </c>
      <c r="AW65">
        <f>G65/F65*AH65</f>
        <v/>
      </c>
      <c r="AX65">
        <f>M65/F65/(0.9*8760)</f>
        <v/>
      </c>
      <c r="AY65">
        <f>N65/F65/(0.9*8760)</f>
        <v/>
      </c>
      <c r="AZ65">
        <f>O65/F65</f>
        <v/>
      </c>
      <c r="BA65" s="1">
        <f>BP65+BQ65+BS65-BL65+BR65+BT65</f>
        <v/>
      </c>
      <c r="BB65" s="1">
        <f>(Q65+R65)*-1*(I65+K65)/F65</f>
        <v/>
      </c>
      <c r="BC65">
        <f>BA65*Q65</f>
        <v/>
      </c>
      <c r="BD65">
        <f>SUM(BP65:BR65)-BL65</f>
        <v/>
      </c>
      <c r="BE65" s="1">
        <f>(I65+K65)/F65*-1*R65</f>
        <v/>
      </c>
      <c r="BF65">
        <f>BD65*Q65</f>
        <v/>
      </c>
      <c r="BH65" s="9">
        <f>H65</f>
        <v/>
      </c>
      <c r="BI65" s="10" t="n">
        <v>0.181048235160161</v>
      </c>
      <c r="BJ65" s="9" t="n">
        <v>0.23037491</v>
      </c>
      <c r="BL65" s="10">
        <f>BH65/F65</f>
        <v/>
      </c>
      <c r="BM65" s="10">
        <f>BI65*G65/F65</f>
        <v/>
      </c>
      <c r="BN65" s="10">
        <f>SUM(BL65:BM65)</f>
        <v/>
      </c>
      <c r="BP65" s="10">
        <f>BJ65</f>
        <v/>
      </c>
      <c r="BQ65" s="10">
        <f>J65/F65</f>
        <v/>
      </c>
      <c r="BR65" s="10">
        <f>L65/F65</f>
        <v/>
      </c>
      <c r="BS65" s="10">
        <f>I65/F65</f>
        <v/>
      </c>
      <c r="BT65" s="10">
        <f>K65/F65</f>
        <v/>
      </c>
      <c r="BU65" s="10">
        <f>SUM(BP65:BT65)</f>
        <v/>
      </c>
      <c r="BW65">
        <f>BN65-BU65</f>
        <v/>
      </c>
    </row>
    <row r="66">
      <c r="B66" s="13" t="inlineStr">
        <is>
          <t>NE_DryMill_CCS_Fermentation</t>
        </is>
      </c>
      <c r="C66" s="12" t="inlineStr">
        <is>
          <t>Biomass_Corn</t>
        </is>
      </c>
      <c r="D66" s="12" t="n">
        <v>0</v>
      </c>
      <c r="E66" s="12" t="n">
        <v>0.085342825</v>
      </c>
      <c r="F66" s="12" t="n">
        <v>3.104337995</v>
      </c>
      <c r="G66" s="12" t="n">
        <v>1.013397519</v>
      </c>
      <c r="H66" s="12" t="n">
        <v>1.758866658</v>
      </c>
      <c r="I66" s="12" t="n">
        <v>0.357687672</v>
      </c>
      <c r="J66" s="12" t="n">
        <v>0.6860173939999999</v>
      </c>
      <c r="K66" s="12" t="n">
        <v>0</v>
      </c>
      <c r="L66" s="12" t="n">
        <v>0.185341119</v>
      </c>
      <c r="M66" s="12" t="n">
        <v>27458.48</v>
      </c>
      <c r="N66" s="12" t="n">
        <v>191772.15</v>
      </c>
      <c r="O66" s="12" t="n">
        <v>-25.37</v>
      </c>
      <c r="Q66" s="16" t="n">
        <v>0</v>
      </c>
      <c r="R66" s="16" t="n">
        <v>-24.351161</v>
      </c>
      <c r="S66" s="16" t="n">
        <v>100</v>
      </c>
      <c r="T66" s="15" t="n">
        <v>69.16536000000001</v>
      </c>
      <c r="U66" s="15" t="n">
        <v>35.638583</v>
      </c>
      <c r="V66" s="15" t="n">
        <v>39.351032</v>
      </c>
      <c r="W66" s="16" t="n">
        <v>45.289647</v>
      </c>
      <c r="X66" s="16" t="n">
        <v>45.289647</v>
      </c>
      <c r="Y66" s="15" t="n">
        <v>40.848462</v>
      </c>
      <c r="Z66" s="15" t="n">
        <v>42.811658</v>
      </c>
      <c r="AA66" s="16" t="n"/>
      <c r="AB66" s="16" t="n">
        <v>51.059951</v>
      </c>
      <c r="AC66" s="16" t="n">
        <v>51.059951</v>
      </c>
      <c r="AD66" s="16" t="n">
        <v>107.876772</v>
      </c>
      <c r="AE66" s="16" t="n">
        <v>107.876772</v>
      </c>
      <c r="AF66" s="16" t="n">
        <v>96.945356</v>
      </c>
      <c r="AG66" s="16" t="n">
        <v>96.945356</v>
      </c>
      <c r="AH66" s="15" t="n">
        <v>15.292119</v>
      </c>
      <c r="AI66" s="15" t="n">
        <v>15.292119</v>
      </c>
      <c r="AJ66" s="15" t="n">
        <v>0</v>
      </c>
      <c r="AK66" s="15" t="n">
        <v>5000</v>
      </c>
      <c r="AM66">
        <f>B66</f>
        <v/>
      </c>
      <c r="AN66">
        <f>C66</f>
        <v/>
      </c>
      <c r="AO66" s="11">
        <f>SUM(AT66:AZ66)+BB66+BC66</f>
        <v/>
      </c>
      <c r="AP66" s="11">
        <f>SUM(AT66:AZ66)+BE66+BF66</f>
        <v/>
      </c>
      <c r="AQ66" s="11">
        <f>AO66/3.6</f>
        <v/>
      </c>
      <c r="AR66" s="11">
        <f>AP66/3.6</f>
        <v/>
      </c>
      <c r="AS66" s="5">
        <f>AO66-AP66</f>
        <v/>
      </c>
      <c r="AT66">
        <f>D66/F66*Y66*-1</f>
        <v/>
      </c>
      <c r="AU66">
        <f>E66/F66*Y66</f>
        <v/>
      </c>
      <c r="AV66" s="1">
        <f t="array" ref="AV66">_xlfn.IFS(C66="Biomass_Corn", 1/F66*S66, C66="Biomass_Agri", 1/F66*V66, C66="Biomass_Wood", 1/F66*U66, C66="Biomass_Herb", 1/F66*T66)</f>
        <v/>
      </c>
      <c r="AW66">
        <f>G66/F66*AH66</f>
        <v/>
      </c>
      <c r="AX66">
        <f>M66/F66/(0.9*8760)</f>
        <v/>
      </c>
      <c r="AY66">
        <f>N66/F66/(0.9*8760)</f>
        <v/>
      </c>
      <c r="AZ66">
        <f>O66/F66</f>
        <v/>
      </c>
      <c r="BA66" s="1">
        <f>BP66+BQ66+BS66-BL66+BR66+BT66</f>
        <v/>
      </c>
      <c r="BB66" s="1">
        <f>(Q66+R66)*-1*(I66+K66)/F66</f>
        <v/>
      </c>
      <c r="BC66">
        <f>BA66*Q66</f>
        <v/>
      </c>
      <c r="BD66">
        <f>SUM(BP66:BR66)-BL66</f>
        <v/>
      </c>
      <c r="BE66" s="1">
        <f>(I66+K66)/F66*-1*R66</f>
        <v/>
      </c>
      <c r="BF66">
        <f>BD66*Q66</f>
        <v/>
      </c>
      <c r="BH66" s="9">
        <f>H66</f>
        <v/>
      </c>
      <c r="BI66" s="10" t="n">
        <v>0.181048235160161</v>
      </c>
      <c r="BJ66" s="9" t="n">
        <v>0.23037491</v>
      </c>
      <c r="BL66" s="10">
        <f>BH66/F66</f>
        <v/>
      </c>
      <c r="BM66" s="10">
        <f>BI66*G66/F66</f>
        <v/>
      </c>
      <c r="BN66" s="10">
        <f>SUM(BL66:BM66)</f>
        <v/>
      </c>
      <c r="BP66" s="10">
        <f>BJ66</f>
        <v/>
      </c>
      <c r="BQ66" s="10">
        <f>J66/F66</f>
        <v/>
      </c>
      <c r="BR66" s="10">
        <f>L66/F66</f>
        <v/>
      </c>
      <c r="BS66" s="10">
        <f>I66/F66</f>
        <v/>
      </c>
      <c r="BT66" s="10">
        <f>K66/F66</f>
        <v/>
      </c>
      <c r="BU66" s="10">
        <f>SUM(BP66:BT66)</f>
        <v/>
      </c>
      <c r="BW66">
        <f>BN66-BU66</f>
        <v/>
      </c>
    </row>
    <row r="67">
      <c r="B67" s="25" t="inlineStr">
        <is>
          <t>CA_DryMill_CCS_Fermentation_Exhaust</t>
        </is>
      </c>
      <c r="C67" s="24" t="inlineStr">
        <is>
          <t>Biomass_Corn</t>
        </is>
      </c>
      <c r="D67" s="24" t="n">
        <v>0</v>
      </c>
      <c r="E67" s="24" t="n">
        <v>0.085342825</v>
      </c>
      <c r="F67" s="24" t="n">
        <v>3.104337995</v>
      </c>
      <c r="G67" s="24" t="n">
        <v>1.013397519</v>
      </c>
      <c r="H67" s="24" t="n">
        <v>1.758866658</v>
      </c>
      <c r="I67" s="24" t="n">
        <v>0.357687672</v>
      </c>
      <c r="J67" s="24" t="n">
        <v>0.6860173939999999</v>
      </c>
      <c r="K67" s="24" t="n">
        <v>0.152906423</v>
      </c>
      <c r="L67" s="24" t="n">
        <v>0.032434696</v>
      </c>
      <c r="M67" s="24" t="n">
        <v>45179.42</v>
      </c>
      <c r="N67" s="24" t="n">
        <v>201481.25</v>
      </c>
      <c r="O67" s="24" t="n">
        <v>-25.28</v>
      </c>
      <c r="Q67" s="22" t="n">
        <v>0</v>
      </c>
      <c r="R67" s="22" t="n">
        <v>-16.309543</v>
      </c>
      <c r="S67" s="22" t="n">
        <v>100</v>
      </c>
      <c r="T67" s="22" t="n"/>
      <c r="U67" s="22" t="n">
        <v>39.347116</v>
      </c>
      <c r="V67" s="22" t="n">
        <v>34.413449</v>
      </c>
      <c r="W67" s="22" t="n">
        <v>45.289647</v>
      </c>
      <c r="X67" s="22" t="n">
        <v>45.289647</v>
      </c>
      <c r="Y67" s="22" t="n">
        <v>39.400687</v>
      </c>
      <c r="Z67" s="22" t="n">
        <v>35.007561</v>
      </c>
      <c r="AA67" s="23" t="n"/>
      <c r="AB67" s="22" t="n">
        <v>51.059951</v>
      </c>
      <c r="AC67" s="22" t="n">
        <v>51.059951</v>
      </c>
      <c r="AD67" s="22" t="n">
        <v>107.876772</v>
      </c>
      <c r="AE67" s="22" t="n">
        <v>107.876772</v>
      </c>
      <c r="AF67" s="22" t="n">
        <v>96.945356</v>
      </c>
      <c r="AG67" s="22" t="n">
        <v>96.945356</v>
      </c>
      <c r="AH67" s="22" t="n">
        <v>16.900485</v>
      </c>
      <c r="AI67" s="22" t="n">
        <v>16.900485</v>
      </c>
      <c r="AJ67" s="22" t="n">
        <v>0</v>
      </c>
      <c r="AK67" s="22" t="n">
        <v>5000</v>
      </c>
      <c r="AM67">
        <f>B67</f>
        <v/>
      </c>
      <c r="AN67">
        <f>C67</f>
        <v/>
      </c>
      <c r="AO67" s="21">
        <f>SUM(AT67:AZ67)+BB67+BC67</f>
        <v/>
      </c>
      <c r="AP67" s="21">
        <f>SUM(AT67:AZ67)+BE67+BF67</f>
        <v/>
      </c>
      <c r="AQ67" s="21">
        <f>AO67/3.6</f>
        <v/>
      </c>
      <c r="AR67" s="21">
        <f>AP67/3.6</f>
        <v/>
      </c>
      <c r="AS67" s="5">
        <f>AO67-AP67</f>
        <v/>
      </c>
      <c r="AT67">
        <f>D67/F67*Y67*-1</f>
        <v/>
      </c>
      <c r="AU67">
        <f>E67/F67*Y67</f>
        <v/>
      </c>
      <c r="AV67" s="1">
        <f t="array" ref="AV67">_xlfn.IFS(C67="Biomass_Corn", 1/F67*S67, C67="Biomass_Agri", 1/F67*V67, C67="Biomass_Wood", 1/F67*U67, C67="Biomass_Herb", 1/F67*T67)</f>
        <v/>
      </c>
      <c r="AW67">
        <f>G67/F67*AH67</f>
        <v/>
      </c>
      <c r="AX67">
        <f>M67/F67/(0.9*8760)</f>
        <v/>
      </c>
      <c r="AY67">
        <f>N67/F67/(0.9*8760)</f>
        <v/>
      </c>
      <c r="AZ67">
        <f>O67/F67</f>
        <v/>
      </c>
      <c r="BA67" s="1">
        <f>BP67+BQ67+BS67-BL67+BR67+BT67</f>
        <v/>
      </c>
      <c r="BB67" s="1">
        <f>(Q67+R67)*-1*(I67+K67)/F67</f>
        <v/>
      </c>
      <c r="BC67">
        <f>BA67*Q67</f>
        <v/>
      </c>
      <c r="BD67">
        <f>SUM(BP67:BR67)-BL67</f>
        <v/>
      </c>
      <c r="BE67" s="1">
        <f>(I67+K67)/F67*-1*R67</f>
        <v/>
      </c>
      <c r="BF67">
        <f>BD67*Q67</f>
        <v/>
      </c>
      <c r="BH67" s="20">
        <f>H67</f>
        <v/>
      </c>
      <c r="BI67" s="18" t="n">
        <v>0.181048235160161</v>
      </c>
      <c r="BJ67" s="20" t="n">
        <v>0.23037491</v>
      </c>
      <c r="BL67" s="18">
        <f>BH67/F67</f>
        <v/>
      </c>
      <c r="BM67" s="18">
        <f>BI67*G67/F67</f>
        <v/>
      </c>
      <c r="BN67" s="18">
        <f>SUM(BL67:BM67)</f>
        <v/>
      </c>
      <c r="BP67" s="18">
        <f>BJ67</f>
        <v/>
      </c>
      <c r="BQ67" s="19">
        <f>J67/F67</f>
        <v/>
      </c>
      <c r="BR67" s="18">
        <f>L67/F67</f>
        <v/>
      </c>
      <c r="BS67" s="19">
        <f>I67/F67</f>
        <v/>
      </c>
      <c r="BT67" s="18">
        <f>K67/F67</f>
        <v/>
      </c>
      <c r="BU67" s="18">
        <f>SUM(BP67:BT67)</f>
        <v/>
      </c>
      <c r="BW67">
        <f>BN67-BU67</f>
        <v/>
      </c>
    </row>
    <row r="68">
      <c r="B68" s="25" t="inlineStr">
        <is>
          <t>NW_DryMill_CCS_Fermentation_Exhaust</t>
        </is>
      </c>
      <c r="C68" s="24" t="inlineStr">
        <is>
          <t>Biomass_Corn</t>
        </is>
      </c>
      <c r="D68" s="24" t="n">
        <v>0</v>
      </c>
      <c r="E68" s="24" t="n">
        <v>0.085342825</v>
      </c>
      <c r="F68" s="24" t="n">
        <v>3.104337995</v>
      </c>
      <c r="G68" s="24" t="n">
        <v>1.013397519</v>
      </c>
      <c r="H68" s="24" t="n">
        <v>1.758866658</v>
      </c>
      <c r="I68" s="24" t="n">
        <v>0.357687672</v>
      </c>
      <c r="J68" s="24" t="n">
        <v>0.6860173939999999</v>
      </c>
      <c r="K68" s="24" t="n">
        <v>0.152906423</v>
      </c>
      <c r="L68" s="24" t="n">
        <v>0.032434696</v>
      </c>
      <c r="M68" s="24" t="n">
        <v>45179.42</v>
      </c>
      <c r="N68" s="24" t="n">
        <v>201481.25</v>
      </c>
      <c r="O68" s="24" t="n">
        <v>-25.28</v>
      </c>
      <c r="Q68" s="22" t="n">
        <v>0</v>
      </c>
      <c r="R68" s="22" t="n">
        <v>-3.557382</v>
      </c>
      <c r="S68" s="22" t="n">
        <v>100</v>
      </c>
      <c r="T68" s="22" t="n">
        <v>70.61086299999999</v>
      </c>
      <c r="U68" s="22" t="n">
        <v>48.120714</v>
      </c>
      <c r="V68" s="22" t="n">
        <v>39.234002</v>
      </c>
      <c r="W68" s="22" t="n">
        <v>45.289647</v>
      </c>
      <c r="X68" s="22" t="n">
        <v>45.289647</v>
      </c>
      <c r="Y68" s="22" t="n">
        <v>28.009811</v>
      </c>
      <c r="Z68" s="22" t="n">
        <v>31.329838</v>
      </c>
      <c r="AA68" s="23" t="n"/>
      <c r="AB68" s="22" t="n">
        <v>51.059951</v>
      </c>
      <c r="AC68" s="22" t="n">
        <v>51.059951</v>
      </c>
      <c r="AD68" s="22" t="n">
        <v>107.876772</v>
      </c>
      <c r="AE68" s="22" t="n">
        <v>107.876772</v>
      </c>
      <c r="AF68" s="22" t="n">
        <v>96.945356</v>
      </c>
      <c r="AG68" s="22" t="n">
        <v>96.945356</v>
      </c>
      <c r="AH68" s="22" t="n">
        <v>15.780879</v>
      </c>
      <c r="AI68" s="22" t="n">
        <v>15.780879</v>
      </c>
      <c r="AJ68" s="22" t="n">
        <v>0</v>
      </c>
      <c r="AK68" s="22" t="n">
        <v>5000</v>
      </c>
      <c r="AM68">
        <f>B68</f>
        <v/>
      </c>
      <c r="AN68">
        <f>C68</f>
        <v/>
      </c>
      <c r="AO68" s="21">
        <f>SUM(AT68:AZ68)+BB68+BC68</f>
        <v/>
      </c>
      <c r="AP68" s="21">
        <f>SUM(AT68:AZ68)+BE68+BF68</f>
        <v/>
      </c>
      <c r="AQ68" s="21">
        <f>AO68/3.6</f>
        <v/>
      </c>
      <c r="AR68" s="21">
        <f>AP68/3.6</f>
        <v/>
      </c>
      <c r="AS68" s="5">
        <f>AO68-AP68</f>
        <v/>
      </c>
      <c r="AT68">
        <f>D68/F68*Y68*-1</f>
        <v/>
      </c>
      <c r="AU68">
        <f>E68/F68*Y68</f>
        <v/>
      </c>
      <c r="AV68" s="1">
        <f t="array" ref="AV68">_xlfn.IFS(C68="Biomass_Corn", 1/F68*S68, C68="Biomass_Agri", 1/F68*V68, C68="Biomass_Wood", 1/F68*U68, C68="Biomass_Herb", 1/F68*T68)</f>
        <v/>
      </c>
      <c r="AW68">
        <f>G68/F68*AH68</f>
        <v/>
      </c>
      <c r="AX68">
        <f>M68/F68/(0.9*8760)</f>
        <v/>
      </c>
      <c r="AY68">
        <f>N68/F68/(0.9*8760)</f>
        <v/>
      </c>
      <c r="AZ68">
        <f>O68/F68</f>
        <v/>
      </c>
      <c r="BA68" s="1">
        <f>BP68+BQ68+BS68-BL68+BR68+BT68</f>
        <v/>
      </c>
      <c r="BB68" s="1">
        <f>(Q68+R68)*-1*(I68+K68)/F68</f>
        <v/>
      </c>
      <c r="BC68">
        <f>BA68*Q68</f>
        <v/>
      </c>
      <c r="BD68">
        <f>SUM(BP68:BR68)-BL68</f>
        <v/>
      </c>
      <c r="BE68" s="1">
        <f>(I68+K68)/F68*-1*R68</f>
        <v/>
      </c>
      <c r="BF68">
        <f>BD68*Q68</f>
        <v/>
      </c>
      <c r="BH68" s="20">
        <f>H68</f>
        <v/>
      </c>
      <c r="BI68" s="18" t="n">
        <v>0.181048235160161</v>
      </c>
      <c r="BJ68" s="20" t="n">
        <v>0.23037491</v>
      </c>
      <c r="BL68" s="18">
        <f>BH68/F68</f>
        <v/>
      </c>
      <c r="BM68" s="18">
        <f>BI68*G68/F68</f>
        <v/>
      </c>
      <c r="BN68" s="18">
        <f>SUM(BL68:BM68)</f>
        <v/>
      </c>
      <c r="BP68" s="18">
        <f>BJ68</f>
        <v/>
      </c>
      <c r="BQ68" s="19">
        <f>J68/F68</f>
        <v/>
      </c>
      <c r="BR68" s="18">
        <f>L68/F68</f>
        <v/>
      </c>
      <c r="BS68" s="19">
        <f>I68/F68</f>
        <v/>
      </c>
      <c r="BT68" s="18">
        <f>K68/F68</f>
        <v/>
      </c>
      <c r="BU68" s="18">
        <f>SUM(BP68:BT68)</f>
        <v/>
      </c>
      <c r="BW68">
        <f>BN68-BU68</f>
        <v/>
      </c>
    </row>
    <row r="69">
      <c r="B69" s="25" t="inlineStr">
        <is>
          <t>SW_DryMill_CCS_Fermentation_Exhaust</t>
        </is>
      </c>
      <c r="C69" s="24" t="inlineStr">
        <is>
          <t>Biomass_Corn</t>
        </is>
      </c>
      <c r="D69" s="24" t="n">
        <v>0</v>
      </c>
      <c r="E69" s="24" t="n">
        <v>0.085342825</v>
      </c>
      <c r="F69" s="24" t="n">
        <v>3.104337995</v>
      </c>
      <c r="G69" s="24" t="n">
        <v>1.013397519</v>
      </c>
      <c r="H69" s="24" t="n">
        <v>1.758866658</v>
      </c>
      <c r="I69" s="24" t="n">
        <v>0.357687672</v>
      </c>
      <c r="J69" s="24" t="n">
        <v>0.6860173939999999</v>
      </c>
      <c r="K69" s="24" t="n">
        <v>0.152906423</v>
      </c>
      <c r="L69" s="24" t="n">
        <v>0.032434696</v>
      </c>
      <c r="M69" s="24" t="n">
        <v>45179.42</v>
      </c>
      <c r="N69" s="24" t="n">
        <v>201481.25</v>
      </c>
      <c r="O69" s="24" t="n">
        <v>-25.28</v>
      </c>
      <c r="Q69" s="22" t="n">
        <v>0</v>
      </c>
      <c r="R69" s="22" t="n">
        <v>-6.203351</v>
      </c>
      <c r="S69" s="22" t="n">
        <v>100</v>
      </c>
      <c r="T69" s="22" t="n">
        <v>67.594672</v>
      </c>
      <c r="U69" s="22" t="n">
        <v>47.542838</v>
      </c>
      <c r="V69" s="22" t="n">
        <v>39.757567</v>
      </c>
      <c r="W69" s="22" t="n">
        <v>45.289647</v>
      </c>
      <c r="X69" s="22" t="n">
        <v>45.289647</v>
      </c>
      <c r="Y69" s="22" t="n">
        <v>27.4329</v>
      </c>
      <c r="Z69" s="22" t="n">
        <v>29.313567</v>
      </c>
      <c r="AA69" s="23" t="n"/>
      <c r="AB69" s="22" t="n">
        <v>51.059951</v>
      </c>
      <c r="AC69" s="22" t="n">
        <v>51.059951</v>
      </c>
      <c r="AD69" s="22" t="n">
        <v>107.876772</v>
      </c>
      <c r="AE69" s="22" t="n">
        <v>107.876772</v>
      </c>
      <c r="AF69" s="22" t="n">
        <v>96.945356</v>
      </c>
      <c r="AG69" s="22" t="n">
        <v>96.945356</v>
      </c>
      <c r="AH69" s="22" t="n">
        <v>15.780712</v>
      </c>
      <c r="AI69" s="22" t="n">
        <v>15.780712</v>
      </c>
      <c r="AJ69" s="22" t="n">
        <v>0</v>
      </c>
      <c r="AK69" s="22" t="n">
        <v>5000</v>
      </c>
      <c r="AM69">
        <f>B69</f>
        <v/>
      </c>
      <c r="AN69">
        <f>C69</f>
        <v/>
      </c>
      <c r="AO69" s="21">
        <f>SUM(AT69:AZ69)+BB69+BC69</f>
        <v/>
      </c>
      <c r="AP69" s="21">
        <f>SUM(AT69:AZ69)+BE69+BF69</f>
        <v/>
      </c>
      <c r="AQ69" s="21">
        <f>AO69/3.6</f>
        <v/>
      </c>
      <c r="AR69" s="21">
        <f>AP69/3.6</f>
        <v/>
      </c>
      <c r="AS69" s="5">
        <f>AO69-AP69</f>
        <v/>
      </c>
      <c r="AT69">
        <f>D69/F69*Y69*-1</f>
        <v/>
      </c>
      <c r="AU69">
        <f>E69/F69*Y69</f>
        <v/>
      </c>
      <c r="AV69" s="1">
        <f t="array" ref="AV69">_xlfn.IFS(C69="Biomass_Corn", 1/F69*S69, C69="Biomass_Agri", 1/F69*V69, C69="Biomass_Wood", 1/F69*U69, C69="Biomass_Herb", 1/F69*T69)</f>
        <v/>
      </c>
      <c r="AW69">
        <f>G69/F69*AH69</f>
        <v/>
      </c>
      <c r="AX69">
        <f>M69/F69/(0.9*8760)</f>
        <v/>
      </c>
      <c r="AY69">
        <f>N69/F69/(0.9*8760)</f>
        <v/>
      </c>
      <c r="AZ69">
        <f>O69/F69</f>
        <v/>
      </c>
      <c r="BA69" s="1">
        <f>BP69+BQ69+BS69-BL69+BR69+BT69</f>
        <v/>
      </c>
      <c r="BB69" s="1">
        <f>(Q69+R69)*-1*(I69+K69)/F69</f>
        <v/>
      </c>
      <c r="BC69">
        <f>BA69*Q69</f>
        <v/>
      </c>
      <c r="BD69">
        <f>SUM(BP69:BR69)-BL69</f>
        <v/>
      </c>
      <c r="BE69" s="1">
        <f>(I69+K69)/F69*-1*R69</f>
        <v/>
      </c>
      <c r="BF69">
        <f>BD69*Q69</f>
        <v/>
      </c>
      <c r="BH69" s="20">
        <f>H69</f>
        <v/>
      </c>
      <c r="BI69" s="18" t="n">
        <v>0.181048235160161</v>
      </c>
      <c r="BJ69" s="20" t="n">
        <v>0.23037491</v>
      </c>
      <c r="BL69" s="18">
        <f>BH69/F69</f>
        <v/>
      </c>
      <c r="BM69" s="18">
        <f>BI69*G69/F69</f>
        <v/>
      </c>
      <c r="BN69" s="18">
        <f>SUM(BL69:BM69)</f>
        <v/>
      </c>
      <c r="BP69" s="18">
        <f>BJ69</f>
        <v/>
      </c>
      <c r="BQ69" s="19">
        <f>J69/F69</f>
        <v/>
      </c>
      <c r="BR69" s="18">
        <f>L69/F69</f>
        <v/>
      </c>
      <c r="BS69" s="19">
        <f>I69/F69</f>
        <v/>
      </c>
      <c r="BT69" s="18">
        <f>K69/F69</f>
        <v/>
      </c>
      <c r="BU69" s="18">
        <f>SUM(BP69:BT69)</f>
        <v/>
      </c>
      <c r="BW69">
        <f>BN69-BU69</f>
        <v/>
      </c>
    </row>
    <row r="70">
      <c r="B70" s="25" t="inlineStr">
        <is>
          <t>TX_DryMill_CCS_Fermentation_Exhaust</t>
        </is>
      </c>
      <c r="C70" s="24" t="inlineStr">
        <is>
          <t>Biomass_Corn</t>
        </is>
      </c>
      <c r="D70" s="24" t="n">
        <v>0</v>
      </c>
      <c r="E70" s="24" t="n">
        <v>0.085342825</v>
      </c>
      <c r="F70" s="24" t="n">
        <v>3.104337995</v>
      </c>
      <c r="G70" s="24" t="n">
        <v>1.013397519</v>
      </c>
      <c r="H70" s="24" t="n">
        <v>1.758866658</v>
      </c>
      <c r="I70" s="24" t="n">
        <v>0.357687672</v>
      </c>
      <c r="J70" s="24" t="n">
        <v>0.6860173939999999</v>
      </c>
      <c r="K70" s="24" t="n">
        <v>0.152906423</v>
      </c>
      <c r="L70" s="24" t="n">
        <v>0.032434696</v>
      </c>
      <c r="M70" s="24" t="n">
        <v>45179.42</v>
      </c>
      <c r="N70" s="24" t="n">
        <v>201481.25</v>
      </c>
      <c r="O70" s="24" t="n">
        <v>-25.28</v>
      </c>
      <c r="Q70" s="22" t="n">
        <v>0</v>
      </c>
      <c r="R70" s="22" t="n">
        <v>14.732097</v>
      </c>
      <c r="S70" s="22" t="n">
        <v>100</v>
      </c>
      <c r="T70" s="22" t="n">
        <v>73.00646</v>
      </c>
      <c r="U70" s="22" t="n">
        <v>69.643664</v>
      </c>
      <c r="V70" s="22" t="n">
        <v>43.030303</v>
      </c>
      <c r="W70" s="22" t="n">
        <v>45.289647</v>
      </c>
      <c r="X70" s="22" t="n">
        <v>45.289647</v>
      </c>
      <c r="Y70" s="22" t="n">
        <v>19.019146</v>
      </c>
      <c r="Z70" s="22" t="n">
        <v>23.790747</v>
      </c>
      <c r="AA70" s="23" t="n"/>
      <c r="AB70" s="22" t="n">
        <v>51.059951</v>
      </c>
      <c r="AC70" s="22" t="n">
        <v>51.059951</v>
      </c>
      <c r="AD70" s="22" t="n">
        <v>107.876772</v>
      </c>
      <c r="AE70" s="22" t="n">
        <v>107.876772</v>
      </c>
      <c r="AF70" s="22" t="n">
        <v>96.945356</v>
      </c>
      <c r="AG70" s="22" t="n">
        <v>96.945356</v>
      </c>
      <c r="AH70" s="22" t="n">
        <v>13.326077</v>
      </c>
      <c r="AI70" s="22" t="n">
        <v>13.326077</v>
      </c>
      <c r="AJ70" s="22" t="n">
        <v>0</v>
      </c>
      <c r="AK70" s="22" t="n">
        <v>5000</v>
      </c>
      <c r="AM70">
        <f>B70</f>
        <v/>
      </c>
      <c r="AN70">
        <f>C70</f>
        <v/>
      </c>
      <c r="AO70" s="21">
        <f>SUM(AT70:AZ70)+BB70+BC70</f>
        <v/>
      </c>
      <c r="AP70" s="21">
        <f>SUM(AT70:AZ70)+BE70+BF70</f>
        <v/>
      </c>
      <c r="AQ70" s="21">
        <f>AO70/3.6</f>
        <v/>
      </c>
      <c r="AR70" s="21">
        <f>AP70/3.6</f>
        <v/>
      </c>
      <c r="AS70" s="5">
        <f>AO70-AP70</f>
        <v/>
      </c>
      <c r="AT70">
        <f>D70/F70*Y70*-1</f>
        <v/>
      </c>
      <c r="AU70">
        <f>E70/F70*Y70</f>
        <v/>
      </c>
      <c r="AV70" s="1">
        <f t="array" ref="AV70">_xlfn.IFS(C70="Biomass_Corn", 1/F70*S70, C70="Biomass_Agri", 1/F70*V70, C70="Biomass_Wood", 1/F70*U70, C70="Biomass_Herb", 1/F70*T70)</f>
        <v/>
      </c>
      <c r="AW70">
        <f>G70/F70*AH70</f>
        <v/>
      </c>
      <c r="AX70">
        <f>M70/F70/(0.9*8760)</f>
        <v/>
      </c>
      <c r="AY70">
        <f>N70/F70/(0.9*8760)</f>
        <v/>
      </c>
      <c r="AZ70">
        <f>O70/F70</f>
        <v/>
      </c>
      <c r="BA70" s="1">
        <f>BP70+BQ70+BS70-BL70+BR70+BT70</f>
        <v/>
      </c>
      <c r="BB70" s="1">
        <f>(Q70+R70)*-1*(I70+K70)/F70</f>
        <v/>
      </c>
      <c r="BC70">
        <f>BA70*Q70</f>
        <v/>
      </c>
      <c r="BD70">
        <f>SUM(BP70:BR70)-BL70</f>
        <v/>
      </c>
      <c r="BE70" s="1">
        <f>(I70+K70)/F70*-1*R70</f>
        <v/>
      </c>
      <c r="BF70">
        <f>BD70*Q70</f>
        <v/>
      </c>
      <c r="BH70" s="20">
        <f>H70</f>
        <v/>
      </c>
      <c r="BI70" s="18" t="n">
        <v>0.181048235160161</v>
      </c>
      <c r="BJ70" s="20" t="n">
        <v>0.23037491</v>
      </c>
      <c r="BL70" s="18">
        <f>BH70/F70</f>
        <v/>
      </c>
      <c r="BM70" s="18">
        <f>BI70*G70/F70</f>
        <v/>
      </c>
      <c r="BN70" s="18">
        <f>SUM(BL70:BM70)</f>
        <v/>
      </c>
      <c r="BP70" s="18">
        <f>BJ70</f>
        <v/>
      </c>
      <c r="BQ70" s="19">
        <f>J70/F70</f>
        <v/>
      </c>
      <c r="BR70" s="18">
        <f>L70/F70</f>
        <v/>
      </c>
      <c r="BS70" s="19">
        <f>I70/F70</f>
        <v/>
      </c>
      <c r="BT70" s="18">
        <f>K70/F70</f>
        <v/>
      </c>
      <c r="BU70" s="18">
        <f>SUM(BP70:BT70)</f>
        <v/>
      </c>
      <c r="BW70">
        <f>BN70-BU70</f>
        <v/>
      </c>
    </row>
    <row r="71">
      <c r="B71" s="25" t="inlineStr">
        <is>
          <t>NCEN_DryMill_CCS_Fermentation_Exhaust</t>
        </is>
      </c>
      <c r="C71" s="24" t="inlineStr">
        <is>
          <t>Biomass_Corn</t>
        </is>
      </c>
      <c r="D71" s="24" t="n">
        <v>0</v>
      </c>
      <c r="E71" s="24" t="n">
        <v>0.085342825</v>
      </c>
      <c r="F71" s="24" t="n">
        <v>3.104337995</v>
      </c>
      <c r="G71" s="24" t="n">
        <v>1.013397519</v>
      </c>
      <c r="H71" s="24" t="n">
        <v>1.758866658</v>
      </c>
      <c r="I71" s="24" t="n">
        <v>0.357687672</v>
      </c>
      <c r="J71" s="24" t="n">
        <v>0.6860173939999999</v>
      </c>
      <c r="K71" s="24" t="n">
        <v>0.152906423</v>
      </c>
      <c r="L71" s="24" t="n">
        <v>0.032434696</v>
      </c>
      <c r="M71" s="24" t="n">
        <v>45179.42</v>
      </c>
      <c r="N71" s="24" t="n">
        <v>201481.25</v>
      </c>
      <c r="O71" s="24" t="n">
        <v>-25.28</v>
      </c>
      <c r="Q71" s="22" t="n">
        <v>0</v>
      </c>
      <c r="R71" s="22" t="n">
        <v>-0.911528</v>
      </c>
      <c r="S71" s="22" t="n">
        <v>100</v>
      </c>
      <c r="T71" s="22" t="n">
        <v>69.911137</v>
      </c>
      <c r="U71" s="22" t="n">
        <v>44.79442</v>
      </c>
      <c r="V71" s="22" t="n">
        <v>43.323942</v>
      </c>
      <c r="W71" s="22" t="n">
        <v>45.289647</v>
      </c>
      <c r="X71" s="22" t="n">
        <v>45.289647</v>
      </c>
      <c r="Y71" s="22" t="n">
        <v>29.249237</v>
      </c>
      <c r="Z71" s="22" t="n">
        <v>34.631601</v>
      </c>
      <c r="AA71" s="23" t="n"/>
      <c r="AB71" s="22" t="n">
        <v>51.059951</v>
      </c>
      <c r="AC71" s="22" t="n">
        <v>51.059951</v>
      </c>
      <c r="AD71" s="22" t="n">
        <v>107.876772</v>
      </c>
      <c r="AE71" s="22" t="n">
        <v>107.876772</v>
      </c>
      <c r="AF71" s="22" t="n">
        <v>96.945356</v>
      </c>
      <c r="AG71" s="22" t="n">
        <v>96.945356</v>
      </c>
      <c r="AH71" s="22" t="n">
        <v>14.089942</v>
      </c>
      <c r="AI71" s="22" t="n">
        <v>14.089942</v>
      </c>
      <c r="AJ71" s="22" t="n">
        <v>0</v>
      </c>
      <c r="AK71" s="22" t="n">
        <v>5000</v>
      </c>
      <c r="AM71">
        <f>B71</f>
        <v/>
      </c>
      <c r="AN71">
        <f>C71</f>
        <v/>
      </c>
      <c r="AO71" s="21">
        <f>SUM(AT71:AZ71)+BB71+BC71</f>
        <v/>
      </c>
      <c r="AP71" s="21">
        <f>SUM(AT71:AZ71)+BE71+BF71</f>
        <v/>
      </c>
      <c r="AQ71" s="21">
        <f>AO71/3.6</f>
        <v/>
      </c>
      <c r="AR71" s="21">
        <f>AP71/3.6</f>
        <v/>
      </c>
      <c r="AS71" s="5">
        <f>AO71-AP71</f>
        <v/>
      </c>
      <c r="AT71">
        <f>D71/F71*Y71*-1</f>
        <v/>
      </c>
      <c r="AU71">
        <f>E71/F71*Y71</f>
        <v/>
      </c>
      <c r="AV71" s="1">
        <f t="array" ref="AV71">_xlfn.IFS(C71="Biomass_Corn", 1/F71*S71, C71="Biomass_Agri", 1/F71*V71, C71="Biomass_Wood", 1/F71*U71, C71="Biomass_Herb", 1/F71*T71)</f>
        <v/>
      </c>
      <c r="AW71">
        <f>G71/F71*AH71</f>
        <v/>
      </c>
      <c r="AX71">
        <f>M71/F71/(0.9*8760)</f>
        <v/>
      </c>
      <c r="AY71">
        <f>N71/F71/(0.9*8760)</f>
        <v/>
      </c>
      <c r="AZ71">
        <f>O71/F71</f>
        <v/>
      </c>
      <c r="BA71" s="1">
        <f>BP71+BQ71+BS71-BL71+BR71+BT71</f>
        <v/>
      </c>
      <c r="BB71" s="1">
        <f>(Q71+R71)*-1*(I71+K71)/F71</f>
        <v/>
      </c>
      <c r="BC71">
        <f>BA71*Q71</f>
        <v/>
      </c>
      <c r="BD71">
        <f>SUM(BP71:BR71)-BL71</f>
        <v/>
      </c>
      <c r="BE71" s="1">
        <f>(I71+K71)/F71*-1*R71</f>
        <v/>
      </c>
      <c r="BF71">
        <f>BD71*Q71</f>
        <v/>
      </c>
      <c r="BH71" s="20">
        <f>H71</f>
        <v/>
      </c>
      <c r="BI71" s="18" t="n">
        <v>0.181048235160161</v>
      </c>
      <c r="BJ71" s="20" t="n">
        <v>0.23037491</v>
      </c>
      <c r="BL71" s="18">
        <f>BH71/F71</f>
        <v/>
      </c>
      <c r="BM71" s="18">
        <f>BI71*G71/F71</f>
        <v/>
      </c>
      <c r="BN71" s="18">
        <f>SUM(BL71:BM71)</f>
        <v/>
      </c>
      <c r="BP71" s="18">
        <f>BJ71</f>
        <v/>
      </c>
      <c r="BQ71" s="19">
        <f>J71/F71</f>
        <v/>
      </c>
      <c r="BR71" s="18">
        <f>L71/F71</f>
        <v/>
      </c>
      <c r="BS71" s="19">
        <f>I71/F71</f>
        <v/>
      </c>
      <c r="BT71" s="18">
        <f>K71/F71</f>
        <v/>
      </c>
      <c r="BU71" s="18">
        <f>SUM(BP71:BT71)</f>
        <v/>
      </c>
      <c r="BW71">
        <f>BN71-BU71</f>
        <v/>
      </c>
    </row>
    <row r="72">
      <c r="B72" s="25" t="inlineStr">
        <is>
          <t>CEN_DryMill_CCS_Fermentation_Exhaust</t>
        </is>
      </c>
      <c r="C72" s="24" t="inlineStr">
        <is>
          <t>Biomass_Corn</t>
        </is>
      </c>
      <c r="D72" s="24" t="n">
        <v>0</v>
      </c>
      <c r="E72" s="24" t="n">
        <v>0.085342825</v>
      </c>
      <c r="F72" s="24" t="n">
        <v>3.104337995</v>
      </c>
      <c r="G72" s="24" t="n">
        <v>1.013397519</v>
      </c>
      <c r="H72" s="24" t="n">
        <v>1.758866658</v>
      </c>
      <c r="I72" s="24" t="n">
        <v>0.357687672</v>
      </c>
      <c r="J72" s="24" t="n">
        <v>0.6860173939999999</v>
      </c>
      <c r="K72" s="24" t="n">
        <v>0.152906423</v>
      </c>
      <c r="L72" s="24" t="n">
        <v>0.032434696</v>
      </c>
      <c r="M72" s="24" t="n">
        <v>45179.42</v>
      </c>
      <c r="N72" s="24" t="n">
        <v>201481.25</v>
      </c>
      <c r="O72" s="24" t="n">
        <v>-25.28</v>
      </c>
      <c r="Q72" s="22" t="n">
        <v>0</v>
      </c>
      <c r="R72" s="22" t="n">
        <v>6.223991</v>
      </c>
      <c r="S72" s="22" t="n">
        <v>100</v>
      </c>
      <c r="T72" s="22" t="n">
        <v>72.30436899999999</v>
      </c>
      <c r="U72" s="22" t="n">
        <v>59.390495</v>
      </c>
      <c r="V72" s="22" t="n">
        <v>42.94088</v>
      </c>
      <c r="W72" s="22" t="n">
        <v>45.289647</v>
      </c>
      <c r="X72" s="22" t="n">
        <v>45.289647</v>
      </c>
      <c r="Y72" s="22" t="n">
        <v>22.958189</v>
      </c>
      <c r="Z72" s="22" t="n">
        <v>28.593352</v>
      </c>
      <c r="AA72" s="23" t="n"/>
      <c r="AB72" s="22" t="n">
        <v>51.059951</v>
      </c>
      <c r="AC72" s="22" t="n">
        <v>51.059951</v>
      </c>
      <c r="AD72" s="22" t="n">
        <v>107.876772</v>
      </c>
      <c r="AE72" s="22" t="n">
        <v>107.876772</v>
      </c>
      <c r="AF72" s="22" t="n">
        <v>96.945356</v>
      </c>
      <c r="AG72" s="22" t="n">
        <v>96.945356</v>
      </c>
      <c r="AH72" s="22" t="n">
        <v>14.066295</v>
      </c>
      <c r="AI72" s="22" t="n">
        <v>14.066295</v>
      </c>
      <c r="AJ72" s="22" t="n">
        <v>0</v>
      </c>
      <c r="AK72" s="22" t="n">
        <v>5000</v>
      </c>
      <c r="AM72">
        <f>B72</f>
        <v/>
      </c>
      <c r="AN72">
        <f>C72</f>
        <v/>
      </c>
      <c r="AO72" s="21">
        <f>SUM(AT72:AZ72)+BB72+BC72</f>
        <v/>
      </c>
      <c r="AP72" s="21">
        <f>SUM(AT72:AZ72)+BE72+BF72</f>
        <v/>
      </c>
      <c r="AQ72" s="21">
        <f>AO72/3.6</f>
        <v/>
      </c>
      <c r="AR72" s="21">
        <f>AP72/3.6</f>
        <v/>
      </c>
      <c r="AS72" s="5">
        <f>AO72-AP72</f>
        <v/>
      </c>
      <c r="AT72">
        <f>D72/F72*Y72*-1</f>
        <v/>
      </c>
      <c r="AU72">
        <f>E72/F72*Y72</f>
        <v/>
      </c>
      <c r="AV72" s="1">
        <f t="array" ref="AV72">_xlfn.IFS(C72="Biomass_Corn", 1/F72*S72, C72="Biomass_Agri", 1/F72*V72, C72="Biomass_Wood", 1/F72*U72, C72="Biomass_Herb", 1/F72*T72)</f>
        <v/>
      </c>
      <c r="AW72">
        <f>G72/F72*AH72</f>
        <v/>
      </c>
      <c r="AX72">
        <f>M72/F72/(0.9*8760)</f>
        <v/>
      </c>
      <c r="AY72">
        <f>N72/F72/(0.9*8760)</f>
        <v/>
      </c>
      <c r="AZ72">
        <f>O72/F72</f>
        <v/>
      </c>
      <c r="BA72" s="1">
        <f>BP72+BQ72+BS72-BL72+BR72+BT72</f>
        <v/>
      </c>
      <c r="BB72" s="1">
        <f>(Q72+R72)*-1*(I72+K72)/F72</f>
        <v/>
      </c>
      <c r="BC72">
        <f>BA72*Q72</f>
        <v/>
      </c>
      <c r="BD72">
        <f>SUM(BP72:BR72)-BL72</f>
        <v/>
      </c>
      <c r="BE72" s="1">
        <f>(I72+K72)/F72*-1*R72</f>
        <v/>
      </c>
      <c r="BF72">
        <f>BD72*Q72</f>
        <v/>
      </c>
      <c r="BH72" s="20">
        <f>H72</f>
        <v/>
      </c>
      <c r="BI72" s="18" t="n">
        <v>0.181048235160161</v>
      </c>
      <c r="BJ72" s="20" t="n">
        <v>0.23037491</v>
      </c>
      <c r="BL72" s="18">
        <f>BH72/F72</f>
        <v/>
      </c>
      <c r="BM72" s="18">
        <f>BI72*G72/F72</f>
        <v/>
      </c>
      <c r="BN72" s="18">
        <f>SUM(BL72:BM72)</f>
        <v/>
      </c>
      <c r="BP72" s="18">
        <f>BJ72</f>
        <v/>
      </c>
      <c r="BQ72" s="19">
        <f>J72/F72</f>
        <v/>
      </c>
      <c r="BR72" s="18">
        <f>L72/F72</f>
        <v/>
      </c>
      <c r="BS72" s="19">
        <f>I72/F72</f>
        <v/>
      </c>
      <c r="BT72" s="18">
        <f>K72/F72</f>
        <v/>
      </c>
      <c r="BU72" s="18">
        <f>SUM(BP72:BT72)</f>
        <v/>
      </c>
      <c r="BW72">
        <f>BN72-BU72</f>
        <v/>
      </c>
    </row>
    <row r="73">
      <c r="B73" s="25" t="inlineStr">
        <is>
          <t>SE_DryMill_CCS_Fermentation_Exhaust</t>
        </is>
      </c>
      <c r="C73" s="24" t="inlineStr">
        <is>
          <t>Biomass_Corn</t>
        </is>
      </c>
      <c r="D73" s="24" t="n">
        <v>0</v>
      </c>
      <c r="E73" s="24" t="n">
        <v>0.085342825</v>
      </c>
      <c r="F73" s="24" t="n">
        <v>3.104337995</v>
      </c>
      <c r="G73" s="24" t="n">
        <v>1.013397519</v>
      </c>
      <c r="H73" s="24" t="n">
        <v>1.758866658</v>
      </c>
      <c r="I73" s="24" t="n">
        <v>0.357687672</v>
      </c>
      <c r="J73" s="24" t="n">
        <v>0.6860173939999999</v>
      </c>
      <c r="K73" s="24" t="n">
        <v>0.152906423</v>
      </c>
      <c r="L73" s="24" t="n">
        <v>0.032434696</v>
      </c>
      <c r="M73" s="24" t="n">
        <v>45179.42</v>
      </c>
      <c r="N73" s="24" t="n">
        <v>201481.25</v>
      </c>
      <c r="O73" s="24" t="n">
        <v>-25.28</v>
      </c>
      <c r="Q73" s="22" t="n">
        <v>0</v>
      </c>
      <c r="R73" s="22" t="n">
        <v>-5.914702</v>
      </c>
      <c r="S73" s="22" t="n">
        <v>100</v>
      </c>
      <c r="T73" s="22" t="n">
        <v>69.166622</v>
      </c>
      <c r="U73" s="22" t="n">
        <v>46.05675</v>
      </c>
      <c r="V73" s="22" t="n">
        <v>41.170372</v>
      </c>
      <c r="W73" s="22" t="n">
        <v>45.289647</v>
      </c>
      <c r="X73" s="22" t="n">
        <v>45.289647</v>
      </c>
      <c r="Y73" s="22" t="n">
        <v>33.298446</v>
      </c>
      <c r="Z73" s="22" t="n">
        <v>36.471022</v>
      </c>
      <c r="AA73" s="23" t="n"/>
      <c r="AB73" s="22" t="n">
        <v>51.059951</v>
      </c>
      <c r="AC73" s="22" t="n">
        <v>51.059951</v>
      </c>
      <c r="AD73" s="22" t="n">
        <v>107.876772</v>
      </c>
      <c r="AE73" s="22" t="n">
        <v>107.876772</v>
      </c>
      <c r="AF73" s="22" t="n">
        <v>96.945356</v>
      </c>
      <c r="AG73" s="22" t="n">
        <v>96.945356</v>
      </c>
      <c r="AH73" s="22" t="n">
        <v>14.089638</v>
      </c>
      <c r="AI73" s="22" t="n">
        <v>14.089638</v>
      </c>
      <c r="AJ73" s="22" t="n">
        <v>0</v>
      </c>
      <c r="AK73" s="22" t="n">
        <v>5000</v>
      </c>
      <c r="AM73">
        <f>B73</f>
        <v/>
      </c>
      <c r="AN73">
        <f>C73</f>
        <v/>
      </c>
      <c r="AO73" s="21">
        <f>SUM(AT73:AZ73)+BB73+BC73</f>
        <v/>
      </c>
      <c r="AP73" s="21">
        <f>SUM(AT73:AZ73)+BE73+BF73</f>
        <v/>
      </c>
      <c r="AQ73" s="21">
        <f>AO73/3.6</f>
        <v/>
      </c>
      <c r="AR73" s="21">
        <f>AP73/3.6</f>
        <v/>
      </c>
      <c r="AS73" s="5">
        <f>AO73-AP73</f>
        <v/>
      </c>
      <c r="AT73">
        <f>D73/F73*Y73*-1</f>
        <v/>
      </c>
      <c r="AU73">
        <f>E73/F73*Y73</f>
        <v/>
      </c>
      <c r="AV73" s="1">
        <f t="array" ref="AV73">_xlfn.IFS(C73="Biomass_Corn", 1/F73*S73, C73="Biomass_Agri", 1/F73*V73, C73="Biomass_Wood", 1/F73*U73, C73="Biomass_Herb", 1/F73*T73)</f>
        <v/>
      </c>
      <c r="AW73">
        <f>G73/F73*AH73</f>
        <v/>
      </c>
      <c r="AX73">
        <f>M73/F73/(0.9*8760)</f>
        <v/>
      </c>
      <c r="AY73">
        <f>N73/F73/(0.9*8760)</f>
        <v/>
      </c>
      <c r="AZ73">
        <f>O73/F73</f>
        <v/>
      </c>
      <c r="BA73" s="1">
        <f>BP73+BQ73+BS73-BL73+BR73+BT73</f>
        <v/>
      </c>
      <c r="BB73" s="1">
        <f>(Q73+R73)*-1*(I73+K73)/F73</f>
        <v/>
      </c>
      <c r="BC73">
        <f>BA73*Q73</f>
        <v/>
      </c>
      <c r="BD73">
        <f>SUM(BP73:BR73)-BL73</f>
        <v/>
      </c>
      <c r="BE73" s="1">
        <f>(I73+K73)/F73*-1*R73</f>
        <v/>
      </c>
      <c r="BF73">
        <f>BD73*Q73</f>
        <v/>
      </c>
      <c r="BH73" s="20">
        <f>H73</f>
        <v/>
      </c>
      <c r="BI73" s="18" t="n">
        <v>0.181048235160161</v>
      </c>
      <c r="BJ73" s="20" t="n">
        <v>0.23037491</v>
      </c>
      <c r="BL73" s="18">
        <f>BH73/F73</f>
        <v/>
      </c>
      <c r="BM73" s="18">
        <f>BI73*G73/F73</f>
        <v/>
      </c>
      <c r="BN73" s="18">
        <f>SUM(BL73:BM73)</f>
        <v/>
      </c>
      <c r="BP73" s="18">
        <f>BJ73</f>
        <v/>
      </c>
      <c r="BQ73" s="19">
        <f>J73/F73</f>
        <v/>
      </c>
      <c r="BR73" s="18">
        <f>L73/F73</f>
        <v/>
      </c>
      <c r="BS73" s="19">
        <f>I73/F73</f>
        <v/>
      </c>
      <c r="BT73" s="18">
        <f>K73/F73</f>
        <v/>
      </c>
      <c r="BU73" s="18">
        <f>SUM(BP73:BT73)</f>
        <v/>
      </c>
      <c r="BW73">
        <f>BN73-BU73</f>
        <v/>
      </c>
    </row>
    <row r="74">
      <c r="B74" s="25" t="inlineStr">
        <is>
          <t>MIDAT_DryMill_CCS_Fermentation_Exhaust</t>
        </is>
      </c>
      <c r="C74" s="24" t="inlineStr">
        <is>
          <t>Biomass_Corn</t>
        </is>
      </c>
      <c r="D74" s="24" t="n">
        <v>0</v>
      </c>
      <c r="E74" s="24" t="n">
        <v>0.085342825</v>
      </c>
      <c r="F74" s="24" t="n">
        <v>3.104337995</v>
      </c>
      <c r="G74" s="24" t="n">
        <v>1.013397519</v>
      </c>
      <c r="H74" s="24" t="n">
        <v>1.758866658</v>
      </c>
      <c r="I74" s="24" t="n">
        <v>0.357687672</v>
      </c>
      <c r="J74" s="24" t="n">
        <v>0.6860173939999999</v>
      </c>
      <c r="K74" s="24" t="n">
        <v>0.152906423</v>
      </c>
      <c r="L74" s="24" t="n">
        <v>0.032434696</v>
      </c>
      <c r="M74" s="24" t="n">
        <v>45179.42</v>
      </c>
      <c r="N74" s="24" t="n">
        <v>201481.25</v>
      </c>
      <c r="O74" s="24" t="n">
        <v>-25.28</v>
      </c>
      <c r="Q74" s="22" t="n">
        <v>0</v>
      </c>
      <c r="R74" s="22" t="n">
        <v>-14.741173</v>
      </c>
      <c r="S74" s="22" t="n">
        <v>100</v>
      </c>
      <c r="T74" s="22" t="n">
        <v>69.370717</v>
      </c>
      <c r="U74" s="22" t="n">
        <v>45.972292</v>
      </c>
      <c r="V74" s="22" t="n">
        <v>42.940257</v>
      </c>
      <c r="W74" s="22" t="n">
        <v>45.289647</v>
      </c>
      <c r="X74" s="22" t="n">
        <v>45.289647</v>
      </c>
      <c r="Y74" s="22" t="n">
        <v>35.672332</v>
      </c>
      <c r="Z74" s="22" t="n">
        <v>37.202448</v>
      </c>
      <c r="AA74" s="23" t="n"/>
      <c r="AB74" s="22" t="n">
        <v>51.059951</v>
      </c>
      <c r="AC74" s="22" t="n">
        <v>51.059951</v>
      </c>
      <c r="AD74" s="22" t="n">
        <v>107.876772</v>
      </c>
      <c r="AE74" s="22" t="n">
        <v>107.876772</v>
      </c>
      <c r="AF74" s="22" t="n">
        <v>96.945356</v>
      </c>
      <c r="AG74" s="22" t="n">
        <v>96.945356</v>
      </c>
      <c r="AH74" s="22" t="n">
        <v>15.046822</v>
      </c>
      <c r="AI74" s="22" t="n">
        <v>15.046822</v>
      </c>
      <c r="AJ74" s="22" t="n">
        <v>0</v>
      </c>
      <c r="AK74" s="22" t="n">
        <v>5000</v>
      </c>
      <c r="AM74">
        <f>B74</f>
        <v/>
      </c>
      <c r="AN74">
        <f>C74</f>
        <v/>
      </c>
      <c r="AO74" s="21">
        <f>SUM(AT74:AZ74)+BB74+BC74</f>
        <v/>
      </c>
      <c r="AP74" s="21">
        <f>SUM(AT74:AZ74)+BE74+BF74</f>
        <v/>
      </c>
      <c r="AQ74" s="21">
        <f>AO74/3.6</f>
        <v/>
      </c>
      <c r="AR74" s="21">
        <f>AP74/3.6</f>
        <v/>
      </c>
      <c r="AS74" s="5">
        <f>AO74-AP74</f>
        <v/>
      </c>
      <c r="AT74">
        <f>D74/F74*Y74*-1</f>
        <v/>
      </c>
      <c r="AU74">
        <f>E74/F74*Y74</f>
        <v/>
      </c>
      <c r="AV74" s="1">
        <f t="array" ref="AV74">_xlfn.IFS(C74="Biomass_Corn", 1/F74*S74, C74="Biomass_Agri", 1/F74*V74, C74="Biomass_Wood", 1/F74*U74, C74="Biomass_Herb", 1/F74*T74)</f>
        <v/>
      </c>
      <c r="AW74">
        <f>G74/F74*AH74</f>
        <v/>
      </c>
      <c r="AX74">
        <f>M74/F74/(0.9*8760)</f>
        <v/>
      </c>
      <c r="AY74">
        <f>N74/F74/(0.9*8760)</f>
        <v/>
      </c>
      <c r="AZ74">
        <f>O74/F74</f>
        <v/>
      </c>
      <c r="BA74" s="1">
        <f>BP74+BQ74+BS74-BL74+BR74+BT74</f>
        <v/>
      </c>
      <c r="BB74" s="1">
        <f>(Q74+R74)*-1*(I74+K74)/F74</f>
        <v/>
      </c>
      <c r="BC74">
        <f>BA74*Q74</f>
        <v/>
      </c>
      <c r="BD74">
        <f>SUM(BP74:BR74)-BL74</f>
        <v/>
      </c>
      <c r="BE74" s="1">
        <f>(I74+K74)/F74*-1*R74</f>
        <v/>
      </c>
      <c r="BF74">
        <f>BD74*Q74</f>
        <v/>
      </c>
      <c r="BH74" s="20">
        <f>H74</f>
        <v/>
      </c>
      <c r="BI74" s="18" t="n">
        <v>0.181048235160161</v>
      </c>
      <c r="BJ74" s="20" t="n">
        <v>0.23037491</v>
      </c>
      <c r="BL74" s="18">
        <f>BH74/F74</f>
        <v/>
      </c>
      <c r="BM74" s="18">
        <f>BI74*G74/F74</f>
        <v/>
      </c>
      <c r="BN74" s="18">
        <f>SUM(BL74:BM74)</f>
        <v/>
      </c>
      <c r="BP74" s="18">
        <f>BJ74</f>
        <v/>
      </c>
      <c r="BQ74" s="19">
        <f>J74/F74</f>
        <v/>
      </c>
      <c r="BR74" s="18">
        <f>L74/F74</f>
        <v/>
      </c>
      <c r="BS74" s="19">
        <f>I74/F74</f>
        <v/>
      </c>
      <c r="BT74" s="18">
        <f>K74/F74</f>
        <v/>
      </c>
      <c r="BU74" s="18">
        <f>SUM(BP74:BT74)</f>
        <v/>
      </c>
      <c r="BW74">
        <f>BN74-BU74</f>
        <v/>
      </c>
    </row>
    <row r="75">
      <c r="B75" s="25" t="inlineStr">
        <is>
          <t>NE_DryMill_CCS_Fermentation_Exhaust</t>
        </is>
      </c>
      <c r="C75" s="24" t="inlineStr">
        <is>
          <t>Biomass_Corn</t>
        </is>
      </c>
      <c r="D75" s="24" t="n">
        <v>0</v>
      </c>
      <c r="E75" s="24" t="n">
        <v>0.085342825</v>
      </c>
      <c r="F75" s="24" t="n">
        <v>3.104337995</v>
      </c>
      <c r="G75" s="24" t="n">
        <v>1.013397519</v>
      </c>
      <c r="H75" s="24" t="n">
        <v>1.758866658</v>
      </c>
      <c r="I75" s="24" t="n">
        <v>0.357687672</v>
      </c>
      <c r="J75" s="24" t="n">
        <v>0.6860173939999999</v>
      </c>
      <c r="K75" s="24" t="n">
        <v>0.152906423</v>
      </c>
      <c r="L75" s="24" t="n">
        <v>0.032434696</v>
      </c>
      <c r="M75" s="24" t="n">
        <v>45179.42</v>
      </c>
      <c r="N75" s="24" t="n">
        <v>201481.25</v>
      </c>
      <c r="O75" s="24" t="n">
        <v>-25.28</v>
      </c>
      <c r="Q75" s="22" t="n">
        <v>0</v>
      </c>
      <c r="R75" s="22" t="n">
        <v>-24.351161</v>
      </c>
      <c r="S75" s="22" t="n">
        <v>100</v>
      </c>
      <c r="T75" s="22" t="n">
        <v>69.16536000000001</v>
      </c>
      <c r="U75" s="22" t="n">
        <v>35.638583</v>
      </c>
      <c r="V75" s="22" t="n">
        <v>39.351032</v>
      </c>
      <c r="W75" s="22" t="n">
        <v>45.289647</v>
      </c>
      <c r="X75" s="22" t="n">
        <v>45.289647</v>
      </c>
      <c r="Y75" s="22" t="n">
        <v>40.848462</v>
      </c>
      <c r="Z75" s="22" t="n">
        <v>42.811658</v>
      </c>
      <c r="AA75" s="23" t="n"/>
      <c r="AB75" s="22" t="n">
        <v>51.059951</v>
      </c>
      <c r="AC75" s="22" t="n">
        <v>51.059951</v>
      </c>
      <c r="AD75" s="22" t="n">
        <v>107.876772</v>
      </c>
      <c r="AE75" s="22" t="n">
        <v>107.876772</v>
      </c>
      <c r="AF75" s="22" t="n">
        <v>96.945356</v>
      </c>
      <c r="AG75" s="22" t="n">
        <v>96.945356</v>
      </c>
      <c r="AH75" s="22" t="n">
        <v>15.292119</v>
      </c>
      <c r="AI75" s="22" t="n">
        <v>15.292119</v>
      </c>
      <c r="AJ75" s="22" t="n">
        <v>0</v>
      </c>
      <c r="AK75" s="22" t="n">
        <v>5000</v>
      </c>
      <c r="AM75">
        <f>B75</f>
        <v/>
      </c>
      <c r="AN75">
        <f>C75</f>
        <v/>
      </c>
      <c r="AO75" s="21">
        <f>SUM(AT75:AZ75)+BB75+BC75</f>
        <v/>
      </c>
      <c r="AP75" s="21">
        <f>SUM(AT75:AZ75)+BE75+BF75</f>
        <v/>
      </c>
      <c r="AQ75" s="21">
        <f>AO75/3.6</f>
        <v/>
      </c>
      <c r="AR75" s="21">
        <f>AP75/3.6</f>
        <v/>
      </c>
      <c r="AS75" s="5">
        <f>AO75-AP75</f>
        <v/>
      </c>
      <c r="AT75">
        <f>D75/F75*Y75*-1</f>
        <v/>
      </c>
      <c r="AU75">
        <f>E75/F75*Y75</f>
        <v/>
      </c>
      <c r="AV75" s="1">
        <f t="array" ref="AV75">_xlfn.IFS(C75="Biomass_Corn", 1/F75*S75, C75="Biomass_Agri", 1/F75*V75, C75="Biomass_Wood", 1/F75*U75, C75="Biomass_Herb", 1/F75*T75)</f>
        <v/>
      </c>
      <c r="AW75">
        <f>G75/F75*AH75</f>
        <v/>
      </c>
      <c r="AX75">
        <f>M75/F75/(0.9*8760)</f>
        <v/>
      </c>
      <c r="AY75">
        <f>N75/F75/(0.9*8760)</f>
        <v/>
      </c>
      <c r="AZ75">
        <f>O75/F75</f>
        <v/>
      </c>
      <c r="BA75" s="1">
        <f>BP75+BQ75+BS75-BL75+BR75+BT75</f>
        <v/>
      </c>
      <c r="BB75" s="1">
        <f>(Q75+R75)*-1*(I75+K75)/F75</f>
        <v/>
      </c>
      <c r="BC75">
        <f>BA75*Q75</f>
        <v/>
      </c>
      <c r="BD75">
        <f>SUM(BP75:BR75)-BL75</f>
        <v/>
      </c>
      <c r="BE75" s="1">
        <f>(I75+K75)/F75*-1*R75</f>
        <v/>
      </c>
      <c r="BF75">
        <f>BD75*Q75</f>
        <v/>
      </c>
      <c r="BH75" s="20">
        <f>H75</f>
        <v/>
      </c>
      <c r="BI75" s="18" t="n">
        <v>0.181048235160161</v>
      </c>
      <c r="BJ75" s="20" t="n">
        <v>0.23037491</v>
      </c>
      <c r="BL75" s="18">
        <f>BH75/F75</f>
        <v/>
      </c>
      <c r="BM75" s="18">
        <f>BI75*G75/F75</f>
        <v/>
      </c>
      <c r="BN75" s="18">
        <f>SUM(BL75:BM75)</f>
        <v/>
      </c>
      <c r="BP75" s="18">
        <f>BJ75</f>
        <v/>
      </c>
      <c r="BQ75" s="19">
        <f>J75/F75</f>
        <v/>
      </c>
      <c r="BR75" s="18">
        <f>L75/F75</f>
        <v/>
      </c>
      <c r="BS75" s="19">
        <f>I75/F75</f>
        <v/>
      </c>
      <c r="BT75" s="18">
        <f>K75/F75</f>
        <v/>
      </c>
      <c r="BU75" s="18">
        <f>SUM(BP75:BT75)</f>
        <v/>
      </c>
      <c r="BW75">
        <f>BN75-BU75</f>
        <v/>
      </c>
    </row>
    <row r="76">
      <c r="AO76" s="5" t="n"/>
      <c r="AP76" s="5" t="n"/>
      <c r="AQ76" s="5" t="n"/>
      <c r="AR76" s="5" t="n"/>
      <c r="AS76" s="5" t="n"/>
      <c r="BH76" s="8" t="n"/>
      <c r="BJ76" s="8" t="n"/>
    </row>
    <row r="77">
      <c r="AO77" s="5" t="n"/>
      <c r="AP77" s="5" t="n"/>
      <c r="AQ77" s="5" t="n"/>
      <c r="AR77" s="5" t="n"/>
      <c r="AS77" s="5" t="n"/>
      <c r="BH77" s="8" t="n"/>
      <c r="BJ77" s="8" t="n"/>
    </row>
    <row r="78">
      <c r="AO78" s="5" t="n"/>
      <c r="AP78" s="5" t="n"/>
      <c r="AQ78" s="5" t="n"/>
      <c r="AR78" s="5" t="n"/>
      <c r="AS78" s="5" t="n"/>
      <c r="BH78" s="8" t="n"/>
      <c r="BJ78" s="8" t="n"/>
    </row>
    <row r="79">
      <c r="AO79" s="5" t="n"/>
      <c r="AP79" s="5" t="n"/>
      <c r="AQ79" s="5" t="n"/>
      <c r="AR79" s="5" t="n"/>
      <c r="AS79" s="5" t="n"/>
      <c r="BH79" s="8" t="n"/>
      <c r="BJ79" s="8" t="n"/>
    </row>
    <row r="80">
      <c r="AO80" s="5" t="n"/>
      <c r="AP80" s="5" t="n"/>
      <c r="AQ80" s="5" t="n"/>
      <c r="AR80" s="5" t="n"/>
      <c r="AS80" s="5" t="n"/>
      <c r="BH80" s="8" t="n"/>
      <c r="BJ80" s="8" t="n"/>
    </row>
    <row r="81">
      <c r="AO81" s="5" t="n"/>
      <c r="AP81" s="5" t="n"/>
      <c r="AQ81" s="5" t="n"/>
      <c r="AR81" s="5" t="n"/>
      <c r="AS81" s="5" t="n"/>
      <c r="BH81" s="8" t="n"/>
      <c r="BJ81" s="8" t="n"/>
    </row>
    <row r="82">
      <c r="AO82" s="5" t="n"/>
      <c r="AP82" s="5" t="n"/>
      <c r="AQ82" s="5" t="n"/>
      <c r="AR82" s="5" t="n"/>
      <c r="AS82" s="5" t="n"/>
      <c r="BH82" s="8" t="n"/>
      <c r="BJ82" s="8" t="n"/>
    </row>
    <row r="83">
      <c r="AO83" s="5" t="n"/>
      <c r="AP83" s="5" t="n"/>
      <c r="AQ83" s="5" t="n"/>
      <c r="AR83" s="5" t="n"/>
      <c r="AS83" s="5" t="n"/>
      <c r="BH83" s="8" t="n"/>
      <c r="BJ83" s="8" t="n"/>
    </row>
    <row r="84">
      <c r="AO84" s="5" t="n"/>
      <c r="AP84" s="5" t="n"/>
      <c r="AQ84" s="5" t="n"/>
      <c r="AR84" s="5" t="n"/>
      <c r="AS84" s="5" t="n"/>
      <c r="BH84" s="8" t="n"/>
      <c r="BJ84" s="8" t="n"/>
    </row>
    <row r="85">
      <c r="AO85" s="5" t="n"/>
      <c r="AP85" s="5" t="n"/>
      <c r="AQ85" s="5" t="n"/>
      <c r="AR85" s="5" t="n"/>
      <c r="AS85" s="5" t="n"/>
      <c r="BH85" s="8" t="n"/>
      <c r="BJ85" s="8" t="n"/>
    </row>
    <row r="86">
      <c r="AO86" s="5" t="n"/>
      <c r="AP86" s="5" t="n"/>
      <c r="AQ86" s="5" t="n"/>
      <c r="AR86" s="5" t="n"/>
      <c r="AS86" s="5" t="n"/>
      <c r="BH86" s="8" t="n"/>
      <c r="BJ86" s="8" t="n"/>
    </row>
    <row r="87">
      <c r="AO87" s="5" t="n"/>
      <c r="AP87" s="5" t="n"/>
      <c r="AQ87" s="5" t="n"/>
      <c r="AR87" s="5" t="n"/>
      <c r="AS87" s="5" t="n"/>
      <c r="BH87" s="8" t="n"/>
      <c r="BJ87" s="8" t="n"/>
    </row>
    <row r="88">
      <c r="AO88" s="5" t="n"/>
      <c r="AP88" s="5" t="n"/>
      <c r="AQ88" s="5" t="n"/>
      <c r="AR88" s="5" t="n"/>
      <c r="AS88" s="5" t="n"/>
      <c r="BH88" s="8" t="n"/>
      <c r="BJ88" s="8" t="n"/>
    </row>
    <row r="89">
      <c r="AO89" s="5" t="n"/>
      <c r="AP89" s="5" t="n"/>
      <c r="AQ89" s="5" t="n"/>
      <c r="AR89" s="5" t="n"/>
      <c r="AS89" s="5" t="n"/>
      <c r="BH89" s="8" t="n"/>
      <c r="BJ89" s="8" t="n"/>
    </row>
    <row r="90">
      <c r="AO90" s="5" t="n"/>
      <c r="AP90" s="5" t="n"/>
      <c r="AQ90" s="5" t="n"/>
      <c r="AR90" s="5" t="n"/>
      <c r="AS90" s="5" t="n"/>
      <c r="BH90" s="8" t="n"/>
      <c r="BJ90" s="8" t="n"/>
    </row>
    <row r="91">
      <c r="AO91" s="5" t="n"/>
      <c r="AP91" s="5" t="n"/>
      <c r="AQ91" s="5" t="n"/>
      <c r="AR91" s="5" t="n"/>
      <c r="AS91" s="5" t="n"/>
      <c r="BH91" s="8" t="n"/>
      <c r="BJ91" s="8" t="n"/>
    </row>
    <row r="92">
      <c r="AO92" s="5" t="n"/>
      <c r="AP92" s="5" t="n"/>
      <c r="AQ92" s="5" t="n"/>
      <c r="AR92" s="5" t="n"/>
      <c r="AS92" s="5" t="n"/>
      <c r="BH92" s="8" t="n"/>
      <c r="BJ92" s="8" t="n"/>
    </row>
    <row r="93">
      <c r="AO93" s="5" t="n"/>
      <c r="AP93" s="5" t="n"/>
      <c r="AQ93" s="5" t="n"/>
      <c r="AR93" s="5" t="n"/>
      <c r="AS93" s="5" t="n"/>
      <c r="BH93" s="8" t="n"/>
      <c r="BJ93" s="8" t="n"/>
    </row>
    <row r="94">
      <c r="AO94" s="5" t="n"/>
      <c r="AP94" s="5" t="n"/>
      <c r="AQ94" s="5" t="n"/>
      <c r="AR94" s="5" t="n"/>
      <c r="AS94" s="5" t="n"/>
      <c r="BH94" s="8" t="n"/>
      <c r="BJ94" s="8" t="n"/>
    </row>
    <row r="95">
      <c r="AO95" s="5" t="n"/>
      <c r="AP95" s="5" t="n"/>
      <c r="AQ95" s="5" t="n"/>
      <c r="AR95" s="5" t="n"/>
      <c r="AS95" s="5" t="n"/>
      <c r="BH95" s="8" t="n"/>
      <c r="BJ95" s="8" t="n"/>
    </row>
    <row r="96">
      <c r="AO96" s="5" t="n"/>
      <c r="AP96" s="5" t="n"/>
      <c r="AQ96" s="5" t="n"/>
      <c r="AR96" s="5" t="n"/>
      <c r="AS96" s="5" t="n"/>
      <c r="BH96" s="8" t="n"/>
      <c r="BJ96" s="8" t="n"/>
    </row>
    <row r="97">
      <c r="AO97" s="5" t="n"/>
      <c r="AP97" s="5" t="n"/>
      <c r="AQ97" s="5" t="n"/>
      <c r="AR97" s="5" t="n"/>
      <c r="AS97" s="5" t="n"/>
      <c r="BH97" s="8" t="n"/>
      <c r="BJ97" s="8" t="n"/>
    </row>
    <row r="98">
      <c r="AO98" s="5" t="n"/>
      <c r="AP98" s="5" t="n"/>
      <c r="AQ98" s="5" t="n"/>
      <c r="AR98" s="5" t="n"/>
      <c r="AS98" s="5" t="n"/>
      <c r="BH98" s="8" t="n"/>
      <c r="BJ98" s="8" t="n"/>
    </row>
    <row r="99">
      <c r="AO99" s="5" t="n"/>
      <c r="AP99" s="5" t="n"/>
      <c r="AQ99" s="5" t="n"/>
      <c r="AR99" s="5" t="n"/>
      <c r="AS99" s="5" t="n"/>
      <c r="BH99" s="8" t="n"/>
      <c r="BJ99" s="8" t="n"/>
    </row>
    <row r="100">
      <c r="AO100" s="5" t="n"/>
      <c r="AP100" s="5" t="n"/>
      <c r="AQ100" s="5" t="n"/>
      <c r="AR100" s="5" t="n"/>
      <c r="AS100" s="5" t="n"/>
      <c r="BH100" s="8" t="n"/>
      <c r="BJ100" s="8" t="n"/>
    </row>
    <row r="101">
      <c r="AO101" s="5" t="n"/>
      <c r="AP101" s="5" t="n"/>
      <c r="AQ101" s="5" t="n"/>
      <c r="AR101" s="5" t="n"/>
      <c r="AS101" s="5" t="n"/>
      <c r="BH101" s="8" t="n"/>
      <c r="BJ101" s="8" t="n"/>
    </row>
    <row r="102">
      <c r="AO102" s="5" t="n"/>
      <c r="AP102" s="5" t="n"/>
      <c r="AQ102" s="5" t="n"/>
      <c r="AR102" s="5" t="n"/>
      <c r="AS102" s="5" t="n"/>
      <c r="BH102" s="8" t="n"/>
      <c r="BJ102" s="8" t="n"/>
    </row>
    <row r="103">
      <c r="AO103" s="5" t="n"/>
      <c r="AP103" s="5" t="n"/>
      <c r="AQ103" s="5" t="n"/>
      <c r="AR103" s="5" t="n"/>
      <c r="AS103" s="5" t="n"/>
      <c r="BH103" s="8" t="n"/>
      <c r="BJ103" s="8" t="n"/>
    </row>
    <row r="104">
      <c r="AO104" s="5" t="n"/>
      <c r="AP104" s="5" t="n"/>
      <c r="AQ104" s="5" t="n"/>
      <c r="AR104" s="5" t="n"/>
      <c r="AS104" s="5" t="n"/>
      <c r="BH104" s="8" t="n"/>
      <c r="BJ104" s="8" t="n"/>
    </row>
    <row r="105">
      <c r="AO105" s="5" t="n"/>
      <c r="AP105" s="5" t="n"/>
      <c r="AQ105" s="5" t="n"/>
      <c r="AR105" s="5" t="n"/>
      <c r="AS105" s="5" t="n"/>
    </row>
    <row r="106">
      <c r="AO106" s="5" t="n"/>
      <c r="AP106" s="5" t="n"/>
      <c r="AQ106" s="5" t="n"/>
      <c r="AR106" s="5" t="n"/>
      <c r="AS106" s="5" t="n"/>
    </row>
    <row r="107">
      <c r="AO107" s="5" t="n"/>
      <c r="AP107" s="5" t="n"/>
      <c r="AQ107" s="5" t="n"/>
      <c r="AR107" s="5" t="n"/>
      <c r="AS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tabSelected="1" topLeftCell="V1"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lc_detailed!AT4</f>
        <v/>
      </c>
      <c r="D3">
        <f>lc_detailed!AU4</f>
        <v/>
      </c>
      <c r="E3">
        <f>lc_detailed!AV4</f>
        <v/>
      </c>
      <c r="F3">
        <f>lc_detailed!AW4</f>
        <v/>
      </c>
      <c r="G3">
        <f>lc_detailed!AX4</f>
        <v/>
      </c>
      <c r="H3">
        <f>lc_detailed!AY4</f>
        <v/>
      </c>
      <c r="I3">
        <f>lc_detailed!AZ4</f>
        <v/>
      </c>
      <c r="J3">
        <f>lc_detailed!BB4</f>
        <v/>
      </c>
      <c r="K3">
        <f>lc_detailed!BC4</f>
        <v/>
      </c>
      <c r="L3">
        <f>lc_detailed!AP4</f>
        <v/>
      </c>
      <c r="M3">
        <f>lc_detailed!AQ4</f>
        <v/>
      </c>
      <c r="O3">
        <f t="array" ref="O3:Z74">_xlfn._xlws.SORT(B3:M74, 11, 1)</f>
        <v/>
      </c>
      <c r="P3" t="n">
        <v>0</v>
      </c>
      <c r="Q3" t="n">
        <v>0.7360518117574211</v>
      </c>
      <c r="R3" t="n">
        <v>54.76207818665699</v>
      </c>
      <c r="S3" t="n">
        <v>4.46583800725881</v>
      </c>
      <c r="T3" t="n">
        <v>1.845971685370083</v>
      </c>
      <c r="U3" t="n">
        <v>8.232258905337231</v>
      </c>
      <c r="V3" t="n">
        <v>-8.143443156227582</v>
      </c>
      <c r="W3" t="n">
        <v>-16.7972729919125</v>
      </c>
      <c r="X3" t="n">
        <v>6.536371719746121</v>
      </c>
      <c r="Y3" t="n">
        <v>51.63785416798657</v>
      </c>
      <c r="Z3" t="n">
        <v>14.34384837999627</v>
      </c>
    </row>
    <row r="4">
      <c r="B4">
        <f>lc_detailed!B5</f>
        <v/>
      </c>
      <c r="C4">
        <f>lc_detailed!AT5</f>
        <v/>
      </c>
      <c r="D4">
        <f>lc_detailed!AU5</f>
        <v/>
      </c>
      <c r="E4">
        <f>lc_detailed!AV5</f>
        <v/>
      </c>
      <c r="F4">
        <f>lc_detailed!AW5</f>
        <v/>
      </c>
      <c r="G4">
        <f>lc_detailed!AX5</f>
        <v/>
      </c>
      <c r="H4">
        <f>lc_detailed!AY5</f>
        <v/>
      </c>
      <c r="I4">
        <f>lc_detailed!AZ5</f>
        <v/>
      </c>
      <c r="J4">
        <f>lc_detailed!BB5</f>
        <v/>
      </c>
      <c r="K4">
        <f>lc_detailed!BC5</f>
        <v/>
      </c>
      <c r="L4">
        <f>lc_detailed!AP5</f>
        <v/>
      </c>
      <c r="M4">
        <f>lc_detailed!AQ5</f>
        <v/>
      </c>
      <c r="O4" t="inlineStr">
        <is>
          <t>CA_DryMill_CCS_Fermentation_Exhaust</t>
        </is>
      </c>
      <c r="P4" t="n">
        <v>0</v>
      </c>
      <c r="Q4" t="n">
        <v>1.00483237199334</v>
      </c>
      <c r="R4" t="n">
        <v>54.76207818665699</v>
      </c>
      <c r="S4" t="n">
        <v>4.465258239850543</v>
      </c>
      <c r="T4" t="n">
        <v>1.845971685370083</v>
      </c>
      <c r="U4" t="n">
        <v>8.232258905337231</v>
      </c>
      <c r="V4" t="n">
        <v>-8.143443156227582</v>
      </c>
      <c r="W4" t="n">
        <v>-16.93853985080741</v>
      </c>
      <c r="X4" t="n">
        <v>6.536371719746121</v>
      </c>
      <c r="Y4" t="n">
        <v>51.76478810191932</v>
      </c>
      <c r="Z4" t="n">
        <v>14.3791078060887</v>
      </c>
    </row>
    <row r="5">
      <c r="B5">
        <f>lc_detailed!B6</f>
        <v/>
      </c>
      <c r="C5">
        <f>lc_detailed!AT6</f>
        <v/>
      </c>
      <c r="D5">
        <f>lc_detailed!AU6</f>
        <v/>
      </c>
      <c r="E5">
        <f>lc_detailed!AV6</f>
        <v/>
      </c>
      <c r="F5">
        <f>lc_detailed!AW6</f>
        <v/>
      </c>
      <c r="G5">
        <f>lc_detailed!AX6</f>
        <v/>
      </c>
      <c r="H5">
        <f>lc_detailed!AY6</f>
        <v/>
      </c>
      <c r="I5">
        <f>lc_detailed!AZ6</f>
        <v/>
      </c>
      <c r="J5">
        <f>lc_detailed!BB6</f>
        <v/>
      </c>
      <c r="K5">
        <f>lc_detailed!BC6</f>
        <v/>
      </c>
      <c r="L5">
        <f>lc_detailed!AP6</f>
        <v/>
      </c>
      <c r="M5">
        <f>lc_detailed!AQ6</f>
        <v/>
      </c>
      <c r="O5" t="inlineStr">
        <is>
          <t>SW_DryMill_CCS_Fermentation_Exhaust</t>
        </is>
      </c>
      <c r="P5" t="n">
        <v>0</v>
      </c>
      <c r="Q5" t="n">
        <v>0.7697008801892076</v>
      </c>
      <c r="R5" t="n">
        <v>54.76207818665699</v>
      </c>
      <c r="S5" t="n">
        <v>4.46578838752567</v>
      </c>
      <c r="T5" t="n">
        <v>1.845971685370083</v>
      </c>
      <c r="U5" t="n">
        <v>8.232258905337231</v>
      </c>
      <c r="V5" t="n">
        <v>-8.143443156227582</v>
      </c>
      <c r="W5" t="n">
        <v>-15.2768723906009</v>
      </c>
      <c r="X5" t="n">
        <v>6.536371719746121</v>
      </c>
      <c r="Y5" t="n">
        <v>53.19185421799682</v>
      </c>
      <c r="Z5" t="n">
        <v>14.77551506055467</v>
      </c>
    </row>
    <row r="6">
      <c r="B6">
        <f>lc_detailed!B7</f>
        <v/>
      </c>
      <c r="C6">
        <f>lc_detailed!AT7</f>
        <v/>
      </c>
      <c r="D6">
        <f>lc_detailed!AU7</f>
        <v/>
      </c>
      <c r="E6">
        <f>lc_detailed!AV7</f>
        <v/>
      </c>
      <c r="F6">
        <f>lc_detailed!AW7</f>
        <v/>
      </c>
      <c r="G6">
        <f>lc_detailed!AX7</f>
        <v/>
      </c>
      <c r="H6">
        <f>lc_detailed!AY7</f>
        <v/>
      </c>
      <c r="I6">
        <f>lc_detailed!AZ7</f>
        <v/>
      </c>
      <c r="J6">
        <f>lc_detailed!BB7</f>
        <v/>
      </c>
      <c r="K6">
        <f>lc_detailed!BC7</f>
        <v/>
      </c>
      <c r="L6">
        <f>lc_detailed!AP7</f>
        <v/>
      </c>
      <c r="M6">
        <f>lc_detailed!AQ7</f>
        <v/>
      </c>
      <c r="O6" t="inlineStr">
        <is>
          <t>TX_DryMill_CCS_Fermentation_Exhaust</t>
        </is>
      </c>
      <c r="P6" t="n">
        <v>0</v>
      </c>
      <c r="Q6" t="n">
        <v>0.5561594320343651</v>
      </c>
      <c r="R6" t="n">
        <v>54.76207818665699</v>
      </c>
      <c r="S6" t="n">
        <v>4.350197260502561</v>
      </c>
      <c r="T6" t="n">
        <v>1.845971685370083</v>
      </c>
      <c r="U6" t="n">
        <v>8.232258905337231</v>
      </c>
      <c r="V6" t="n">
        <v>-8.143443156227582</v>
      </c>
      <c r="W6" t="n">
        <v>-14.46960575265155</v>
      </c>
      <c r="X6" t="n">
        <v>6.536371719746121</v>
      </c>
      <c r="Y6" t="n">
        <v>53.66998828076822</v>
      </c>
      <c r="Z6" t="n">
        <v>14.90833007799117</v>
      </c>
    </row>
    <row r="7">
      <c r="B7">
        <f>lc_detailed!B8</f>
        <v/>
      </c>
      <c r="C7">
        <f>lc_detailed!AT8</f>
        <v/>
      </c>
      <c r="D7">
        <f>lc_detailed!AU8</f>
        <v/>
      </c>
      <c r="E7">
        <f>lc_detailed!AV8</f>
        <v/>
      </c>
      <c r="F7">
        <f>lc_detailed!AW8</f>
        <v/>
      </c>
      <c r="G7">
        <f>lc_detailed!AX8</f>
        <v/>
      </c>
      <c r="H7">
        <f>lc_detailed!AY8</f>
        <v/>
      </c>
      <c r="I7">
        <f>lc_detailed!AZ8</f>
        <v/>
      </c>
      <c r="J7">
        <f>lc_detailed!BB8</f>
        <v/>
      </c>
      <c r="K7">
        <f>lc_detailed!BC8</f>
        <v/>
      </c>
      <c r="L7">
        <f>lc_detailed!AP8</f>
        <v/>
      </c>
      <c r="M7">
        <f>lc_detailed!AQ8</f>
        <v/>
      </c>
      <c r="O7" t="inlineStr">
        <is>
          <t>NW_DryMill_CCS_Fermentation</t>
        </is>
      </c>
      <c r="P7" t="n">
        <v>0</v>
      </c>
      <c r="Q7" t="n">
        <v>0.7360518117574211</v>
      </c>
      <c r="R7" t="n">
        <v>54.76207818665699</v>
      </c>
      <c r="S7" t="n">
        <v>4.46583800725881</v>
      </c>
      <c r="T7" t="n">
        <v>1.121917381925237</v>
      </c>
      <c r="U7" t="n">
        <v>7.835557847855159</v>
      </c>
      <c r="V7" t="n">
        <v>-8.172434844679341</v>
      </c>
      <c r="W7" t="n">
        <v>-11.76703281777212</v>
      </c>
      <c r="X7" t="n">
        <v>6.536371719746121</v>
      </c>
      <c r="Y7" t="n">
        <v>55.51834729274827</v>
      </c>
      <c r="Z7" t="n">
        <v>15.42176313687452</v>
      </c>
    </row>
    <row r="8">
      <c r="B8">
        <f>lc_detailed!B9</f>
        <v/>
      </c>
      <c r="C8">
        <f>lc_detailed!AT9</f>
        <v/>
      </c>
      <c r="D8">
        <f>lc_detailed!AU9</f>
        <v/>
      </c>
      <c r="E8">
        <f>lc_detailed!AV9</f>
        <v/>
      </c>
      <c r="F8">
        <f>lc_detailed!AW9</f>
        <v/>
      </c>
      <c r="G8">
        <f>lc_detailed!AX9</f>
        <v/>
      </c>
      <c r="H8">
        <f>lc_detailed!AY9</f>
        <v/>
      </c>
      <c r="I8">
        <f>lc_detailed!AZ9</f>
        <v/>
      </c>
      <c r="J8">
        <f>lc_detailed!BB9</f>
        <v/>
      </c>
      <c r="K8">
        <f>lc_detailed!BC9</f>
        <v/>
      </c>
      <c r="L8">
        <f>lc_detailed!AP9</f>
        <v/>
      </c>
      <c r="M8">
        <f>lc_detailed!AQ9</f>
        <v/>
      </c>
      <c r="O8" t="inlineStr">
        <is>
          <t>CEN_DryMill_CCS_Fermentation_Exhaust</t>
        </is>
      </c>
      <c r="P8" t="n">
        <v>0</v>
      </c>
      <c r="Q8" t="n">
        <v>0.6962115810715788</v>
      </c>
      <c r="R8" t="n">
        <v>54.76207818665699</v>
      </c>
      <c r="S8" t="n">
        <v>4.381524613731323</v>
      </c>
      <c r="T8" t="n">
        <v>1.845971685370083</v>
      </c>
      <c r="U8" t="n">
        <v>8.232258905337231</v>
      </c>
      <c r="V8" t="n">
        <v>-8.143443156227582</v>
      </c>
      <c r="W8" t="n">
        <v>-12.79246571916594</v>
      </c>
      <c r="X8" t="n">
        <v>6.536371719746121</v>
      </c>
      <c r="Y8" t="n">
        <v>55.51850781651981</v>
      </c>
      <c r="Z8" t="n">
        <v>15.42180772681106</v>
      </c>
    </row>
    <row r="9">
      <c r="B9">
        <f>lc_detailed!B10</f>
        <v/>
      </c>
      <c r="C9">
        <f>lc_detailed!AT10</f>
        <v/>
      </c>
      <c r="D9">
        <f>lc_detailed!AU10</f>
        <v/>
      </c>
      <c r="E9">
        <f>lc_detailed!AV10</f>
        <v/>
      </c>
      <c r="F9">
        <f>lc_detailed!AW10</f>
        <v/>
      </c>
      <c r="G9">
        <f>lc_detailed!AX10</f>
        <v/>
      </c>
      <c r="H9">
        <f>lc_detailed!AY10</f>
        <v/>
      </c>
      <c r="I9">
        <f>lc_detailed!AZ10</f>
        <v/>
      </c>
      <c r="J9">
        <f>lc_detailed!BB10</f>
        <v/>
      </c>
      <c r="K9">
        <f>lc_detailed!BC10</f>
        <v/>
      </c>
      <c r="L9">
        <f>lc_detailed!AP10</f>
        <v/>
      </c>
      <c r="M9">
        <f>lc_detailed!AQ10</f>
        <v/>
      </c>
      <c r="O9" t="inlineStr">
        <is>
          <t>CA_DryMill_CCS_Fermentation</t>
        </is>
      </c>
      <c r="P9" t="n">
        <v>0</v>
      </c>
      <c r="Q9" t="n">
        <v>1.00483237199334</v>
      </c>
      <c r="R9" t="n">
        <v>54.76207818665699</v>
      </c>
      <c r="S9" t="n">
        <v>4.465258239850543</v>
      </c>
      <c r="T9" t="n">
        <v>1.121917381925237</v>
      </c>
      <c r="U9" t="n">
        <v>7.835557847855159</v>
      </c>
      <c r="V9" t="n">
        <v>-8.172434844679341</v>
      </c>
      <c r="W9" t="n">
        <v>-11.86599481984712</v>
      </c>
      <c r="X9" t="n">
        <v>6.536371719746121</v>
      </c>
      <c r="Y9" t="n">
        <v>55.68758608350092</v>
      </c>
      <c r="Z9" t="n">
        <v>15.46877391208359</v>
      </c>
    </row>
    <row r="10">
      <c r="B10">
        <f>lc_detailed!B11</f>
        <v/>
      </c>
      <c r="C10">
        <f>lc_detailed!AT11</f>
        <v/>
      </c>
      <c r="D10">
        <f>lc_detailed!AU11</f>
        <v/>
      </c>
      <c r="E10">
        <f>lc_detailed!AV11</f>
        <v/>
      </c>
      <c r="F10">
        <f>lc_detailed!AW11</f>
        <v/>
      </c>
      <c r="G10">
        <f>lc_detailed!AX11</f>
        <v/>
      </c>
      <c r="H10">
        <f>lc_detailed!AY11</f>
        <v/>
      </c>
      <c r="I10">
        <f>lc_detailed!AZ11</f>
        <v/>
      </c>
      <c r="J10">
        <f>lc_detailed!BB11</f>
        <v/>
      </c>
      <c r="K10">
        <f>lc_detailed!BC11</f>
        <v/>
      </c>
      <c r="L10">
        <f>lc_detailed!AP11</f>
        <v/>
      </c>
      <c r="M10">
        <f>lc_detailed!AQ11</f>
        <v/>
      </c>
      <c r="O10" t="inlineStr">
        <is>
          <t>SW_DryMill_CCS_Fermentation</t>
        </is>
      </c>
      <c r="P10" t="n">
        <v>0</v>
      </c>
      <c r="Q10" t="n">
        <v>0.7697008801892076</v>
      </c>
      <c r="R10" t="n">
        <v>54.76207818665699</v>
      </c>
      <c r="S10" t="n">
        <v>4.46578838752567</v>
      </c>
      <c r="T10" t="n">
        <v>1.121917381925237</v>
      </c>
      <c r="U10" t="n">
        <v>7.835557847855159</v>
      </c>
      <c r="V10" t="n">
        <v>-8.172434844679341</v>
      </c>
      <c r="W10" t="n">
        <v>-10.70194303918676</v>
      </c>
      <c r="X10" t="n">
        <v>6.536371719746121</v>
      </c>
      <c r="Y10" t="n">
        <v>56.61703652003228</v>
      </c>
      <c r="Z10" t="n">
        <v>15.72695458889785</v>
      </c>
    </row>
    <row r="11">
      <c r="B11">
        <f>lc_detailed!B12</f>
        <v/>
      </c>
      <c r="C11">
        <f>lc_detailed!AT12</f>
        <v/>
      </c>
      <c r="D11">
        <f>lc_detailed!AU12</f>
        <v/>
      </c>
      <c r="E11">
        <f>lc_detailed!AV12</f>
        <v/>
      </c>
      <c r="F11">
        <f>lc_detailed!AW12</f>
        <v/>
      </c>
      <c r="G11">
        <f>lc_detailed!AX12</f>
        <v/>
      </c>
      <c r="H11">
        <f>lc_detailed!AY12</f>
        <v/>
      </c>
      <c r="I11">
        <f>lc_detailed!AZ12</f>
        <v/>
      </c>
      <c r="J11">
        <f>lc_detailed!BB12</f>
        <v/>
      </c>
      <c r="K11">
        <f>lc_detailed!BC12</f>
        <v/>
      </c>
      <c r="L11">
        <f>lc_detailed!AP12</f>
        <v/>
      </c>
      <c r="M11">
        <f>lc_detailed!AQ12</f>
        <v/>
      </c>
      <c r="O11" t="inlineStr">
        <is>
          <t>TX_DryMill_CCS_Fermentation</t>
        </is>
      </c>
      <c r="P11" t="n">
        <v>0</v>
      </c>
      <c r="Q11" t="n">
        <v>0.5561594320343651</v>
      </c>
      <c r="R11" t="n">
        <v>54.76207818665699</v>
      </c>
      <c r="S11" t="n">
        <v>4.350197260502561</v>
      </c>
      <c r="T11" t="n">
        <v>1.121917381925237</v>
      </c>
      <c r="U11" t="n">
        <v>7.835557847855159</v>
      </c>
      <c r="V11" t="n">
        <v>-8.172434844679341</v>
      </c>
      <c r="W11" t="n">
        <v>-10.13642665887811</v>
      </c>
      <c r="X11" t="n">
        <v>6.536371719746121</v>
      </c>
      <c r="Y11" t="n">
        <v>56.85342032516298</v>
      </c>
      <c r="Z11" t="n">
        <v>15.79261675698972</v>
      </c>
    </row>
    <row r="12">
      <c r="B12">
        <f>lc_detailed!B13</f>
        <v/>
      </c>
      <c r="C12">
        <f>lc_detailed!AT13</f>
        <v/>
      </c>
      <c r="D12">
        <f>lc_detailed!AU13</f>
        <v/>
      </c>
      <c r="E12">
        <f>lc_detailed!AV13</f>
        <v/>
      </c>
      <c r="F12">
        <f>lc_detailed!AW13</f>
        <v/>
      </c>
      <c r="G12">
        <f>lc_detailed!AX13</f>
        <v/>
      </c>
      <c r="H12">
        <f>lc_detailed!AY13</f>
        <v/>
      </c>
      <c r="I12">
        <f>lc_detailed!AZ13</f>
        <v/>
      </c>
      <c r="J12">
        <f>lc_detailed!BB13</f>
        <v/>
      </c>
      <c r="K12">
        <f>lc_detailed!BC13</f>
        <v/>
      </c>
      <c r="L12">
        <f>lc_detailed!AP13</f>
        <v/>
      </c>
      <c r="M12">
        <f>lc_detailed!AQ13</f>
        <v/>
      </c>
      <c r="O12" t="inlineStr">
        <is>
          <t>NCEN_DryMill_CCS_Fermentation_Exhaust</t>
        </is>
      </c>
      <c r="P12" t="n">
        <v>0</v>
      </c>
      <c r="Q12" t="n">
        <v>0.8442129170953</v>
      </c>
      <c r="R12" t="n">
        <v>54.76207818665699</v>
      </c>
      <c r="S12" t="n">
        <v>4.381553993836472</v>
      </c>
      <c r="T12" t="n">
        <v>1.845971685370083</v>
      </c>
      <c r="U12" t="n">
        <v>8.232258905337231</v>
      </c>
      <c r="V12" t="n">
        <v>-8.143443156227582</v>
      </c>
      <c r="W12" t="n">
        <v>-11.1454403847841</v>
      </c>
      <c r="X12" t="n">
        <v>6.536371719746121</v>
      </c>
      <c r="Y12" t="n">
        <v>57.31356386703051</v>
      </c>
      <c r="Z12" t="n">
        <v>15.92043440750847</v>
      </c>
    </row>
    <row r="13">
      <c r="B13">
        <f>lc_detailed!B14</f>
        <v/>
      </c>
      <c r="C13">
        <f>lc_detailed!AT14</f>
        <v/>
      </c>
      <c r="D13">
        <f>lc_detailed!AU14</f>
        <v/>
      </c>
      <c r="E13">
        <f>lc_detailed!AV14</f>
        <v/>
      </c>
      <c r="F13">
        <f>lc_detailed!AW14</f>
        <v/>
      </c>
      <c r="G13">
        <f>lc_detailed!AX14</f>
        <v/>
      </c>
      <c r="H13">
        <f>lc_detailed!AY14</f>
        <v/>
      </c>
      <c r="I13">
        <f>lc_detailed!AZ14</f>
        <v/>
      </c>
      <c r="J13">
        <f>lc_detailed!BB14</f>
        <v/>
      </c>
      <c r="K13">
        <f>lc_detailed!BC14</f>
        <v/>
      </c>
      <c r="L13">
        <f>lc_detailed!AP14</f>
        <v/>
      </c>
      <c r="M13">
        <f>lc_detailed!AQ14</f>
        <v/>
      </c>
      <c r="O13" t="inlineStr">
        <is>
          <t>CEN_DryMill_CCS_Fermentation</t>
        </is>
      </c>
      <c r="P13" t="n">
        <v>0</v>
      </c>
      <c r="Q13" t="n">
        <v>0.6962115810715788</v>
      </c>
      <c r="R13" t="n">
        <v>54.76207818665699</v>
      </c>
      <c r="S13" t="n">
        <v>4.381524613731323</v>
      </c>
      <c r="T13" t="n">
        <v>1.121917381925237</v>
      </c>
      <c r="U13" t="n">
        <v>7.835557847855159</v>
      </c>
      <c r="V13" t="n">
        <v>-8.172434844679341</v>
      </c>
      <c r="W13" t="n">
        <v>-8.961535840378785</v>
      </c>
      <c r="X13" t="n">
        <v>6.536371719746121</v>
      </c>
      <c r="Y13" t="n">
        <v>58.19969064592828</v>
      </c>
      <c r="Z13" t="n">
        <v>16.16658073498008</v>
      </c>
    </row>
    <row r="14">
      <c r="B14">
        <f>lc_detailed!B15</f>
        <v/>
      </c>
      <c r="C14">
        <f>lc_detailed!AT15</f>
        <v/>
      </c>
      <c r="D14">
        <f>lc_detailed!AU15</f>
        <v/>
      </c>
      <c r="E14">
        <f>lc_detailed!AV15</f>
        <v/>
      </c>
      <c r="F14">
        <f>lc_detailed!AW15</f>
        <v/>
      </c>
      <c r="G14">
        <f>lc_detailed!AX15</f>
        <v/>
      </c>
      <c r="H14">
        <f>lc_detailed!AY15</f>
        <v/>
      </c>
      <c r="I14">
        <f>lc_detailed!AZ15</f>
        <v/>
      </c>
      <c r="J14">
        <f>lc_detailed!BB15</f>
        <v/>
      </c>
      <c r="K14">
        <f>lc_detailed!BC15</f>
        <v/>
      </c>
      <c r="L14">
        <f>lc_detailed!AP15</f>
        <v/>
      </c>
      <c r="M14">
        <f>lc_detailed!AQ15</f>
        <v/>
      </c>
      <c r="O14" t="inlineStr">
        <is>
          <t>SE_DryMill_CCS_Fermentation_Exhaust</t>
        </is>
      </c>
      <c r="P14" t="n">
        <v>0</v>
      </c>
      <c r="Q14" t="n">
        <v>1.050681386499588</v>
      </c>
      <c r="R14" t="n">
        <v>54.76207818665699</v>
      </c>
      <c r="S14" t="n">
        <v>4.38152298150326</v>
      </c>
      <c r="T14" t="n">
        <v>1.845971685370083</v>
      </c>
      <c r="U14" t="n">
        <v>8.232258905337231</v>
      </c>
      <c r="V14" t="n">
        <v>-8.143443156227582</v>
      </c>
      <c r="W14" t="n">
        <v>-10.16124337217478</v>
      </c>
      <c r="X14" t="n">
        <v>6.536371719746121</v>
      </c>
      <c r="Y14" t="n">
        <v>58.50419833671093</v>
      </c>
      <c r="Z14" t="n">
        <v>16.25116620464192</v>
      </c>
    </row>
    <row r="15">
      <c r="B15">
        <f>lc_detailed!B16</f>
        <v/>
      </c>
      <c r="C15">
        <f>lc_detailed!AT16</f>
        <v/>
      </c>
      <c r="D15">
        <f>lc_detailed!AU16</f>
        <v/>
      </c>
      <c r="E15">
        <f>lc_detailed!AV16</f>
        <v/>
      </c>
      <c r="F15">
        <f>lc_detailed!AW16</f>
        <v/>
      </c>
      <c r="G15">
        <f>lc_detailed!AX16</f>
        <v/>
      </c>
      <c r="H15">
        <f>lc_detailed!AY16</f>
        <v/>
      </c>
      <c r="I15">
        <f>lc_detailed!AZ16</f>
        <v/>
      </c>
      <c r="J15">
        <f>lc_detailed!BB16</f>
        <v/>
      </c>
      <c r="K15">
        <f>lc_detailed!BC16</f>
        <v/>
      </c>
      <c r="L15">
        <f>lc_detailed!AP16</f>
        <v/>
      </c>
      <c r="M15">
        <f>lc_detailed!AQ16</f>
        <v/>
      </c>
      <c r="O15" t="inlineStr">
        <is>
          <t>NCEN_DryMill_CCS_Fermentation</t>
        </is>
      </c>
      <c r="P15" t="n">
        <v>0</v>
      </c>
      <c r="Q15" t="n">
        <v>0.8442129170953</v>
      </c>
      <c r="R15" t="n">
        <v>54.76207818665699</v>
      </c>
      <c r="S15" t="n">
        <v>4.381553993836472</v>
      </c>
      <c r="T15" t="n">
        <v>1.121917381925237</v>
      </c>
      <c r="U15" t="n">
        <v>7.835557847855159</v>
      </c>
      <c r="V15" t="n">
        <v>-8.172434844679341</v>
      </c>
      <c r="W15" t="n">
        <v>-7.807741342265638</v>
      </c>
      <c r="X15" t="n">
        <v>6.536371719746121</v>
      </c>
      <c r="Y15" t="n">
        <v>59.50151586017029</v>
      </c>
      <c r="Z15" t="n">
        <v>16.52819885004731</v>
      </c>
    </row>
    <row r="16">
      <c r="B16">
        <f>lc_detailed!B17</f>
        <v/>
      </c>
      <c r="C16">
        <f>lc_detailed!AT17</f>
        <v/>
      </c>
      <c r="D16">
        <f>lc_detailed!AU17</f>
        <v/>
      </c>
      <c r="E16">
        <f>lc_detailed!AV17</f>
        <v/>
      </c>
      <c r="F16">
        <f>lc_detailed!AW17</f>
        <v/>
      </c>
      <c r="G16">
        <f>lc_detailed!AX17</f>
        <v/>
      </c>
      <c r="H16">
        <f>lc_detailed!AY17</f>
        <v/>
      </c>
      <c r="I16">
        <f>lc_detailed!AZ17</f>
        <v/>
      </c>
      <c r="J16">
        <f>lc_detailed!BB17</f>
        <v/>
      </c>
      <c r="K16">
        <f>lc_detailed!BC17</f>
        <v/>
      </c>
      <c r="L16">
        <f>lc_detailed!AP17</f>
        <v/>
      </c>
      <c r="M16">
        <f>lc_detailed!AQ17</f>
        <v/>
      </c>
      <c r="O16" t="inlineStr">
        <is>
          <t>MIDAT_DryMill_CCS_Fermentation_Exhaust</t>
        </is>
      </c>
      <c r="P16" t="n">
        <v>0</v>
      </c>
      <c r="Q16" t="n">
        <v>1.082049872275071</v>
      </c>
      <c r="R16" t="n">
        <v>54.76207818665699</v>
      </c>
      <c r="S16" t="n">
        <v>4.381919286477154</v>
      </c>
      <c r="T16" t="n">
        <v>1.845971685370083</v>
      </c>
      <c r="U16" t="n">
        <v>8.232258905337231</v>
      </c>
      <c r="V16" t="n">
        <v>-8.143443156227582</v>
      </c>
      <c r="W16" t="n">
        <v>-9.106196313105217</v>
      </c>
      <c r="X16" t="n">
        <v>6.536371719746121</v>
      </c>
      <c r="Y16" t="n">
        <v>59.59101018652986</v>
      </c>
      <c r="Z16" t="n">
        <v>16.55305838514718</v>
      </c>
    </row>
    <row r="17">
      <c r="B17">
        <f>lc_detailed!B18</f>
        <v/>
      </c>
      <c r="C17">
        <f>lc_detailed!AT18</f>
        <v/>
      </c>
      <c r="D17">
        <f>lc_detailed!AU18</f>
        <v/>
      </c>
      <c r="E17">
        <f>lc_detailed!AV18</f>
        <v/>
      </c>
      <c r="F17">
        <f>lc_detailed!AW18</f>
        <v/>
      </c>
      <c r="G17">
        <f>lc_detailed!AX18</f>
        <v/>
      </c>
      <c r="H17">
        <f>lc_detailed!AY18</f>
        <v/>
      </c>
      <c r="I17">
        <f>lc_detailed!AZ18</f>
        <v/>
      </c>
      <c r="J17">
        <f>lc_detailed!BB18</f>
        <v/>
      </c>
      <c r="K17">
        <f>lc_detailed!BC18</f>
        <v/>
      </c>
      <c r="L17">
        <f>lc_detailed!AP18</f>
        <v/>
      </c>
      <c r="M17">
        <f>lc_detailed!AQ18</f>
        <v/>
      </c>
      <c r="O17" t="inlineStr">
        <is>
          <t>SE_DryMill_CCS_Fermentation</t>
        </is>
      </c>
      <c r="P17" t="n">
        <v>0</v>
      </c>
      <c r="Q17" t="n">
        <v>1.050681386499588</v>
      </c>
      <c r="R17" t="n">
        <v>54.76207818665699</v>
      </c>
      <c r="S17" t="n">
        <v>4.38152298150326</v>
      </c>
      <c r="T17" t="n">
        <v>1.121917381925237</v>
      </c>
      <c r="U17" t="n">
        <v>7.835557847855159</v>
      </c>
      <c r="V17" t="n">
        <v>-8.172434844679341</v>
      </c>
      <c r="W17" t="n">
        <v>-7.118279514021063</v>
      </c>
      <c r="X17" t="n">
        <v>6.536371719746121</v>
      </c>
      <c r="Y17" t="n">
        <v>60.39741514548594</v>
      </c>
      <c r="Z17" t="n">
        <v>16.77705976263499</v>
      </c>
    </row>
    <row r="18">
      <c r="B18">
        <f>lc_detailed!B19</f>
        <v/>
      </c>
      <c r="C18">
        <f>lc_detailed!AT19</f>
        <v/>
      </c>
      <c r="D18">
        <f>lc_detailed!AU19</f>
        <v/>
      </c>
      <c r="E18">
        <f>lc_detailed!AV19</f>
        <v/>
      </c>
      <c r="F18">
        <f>lc_detailed!AW19</f>
        <v/>
      </c>
      <c r="G18">
        <f>lc_detailed!AX19</f>
        <v/>
      </c>
      <c r="H18">
        <f>lc_detailed!AY19</f>
        <v/>
      </c>
      <c r="I18">
        <f>lc_detailed!AZ19</f>
        <v/>
      </c>
      <c r="J18">
        <f>lc_detailed!BB19</f>
        <v/>
      </c>
      <c r="K18">
        <f>lc_detailed!BC19</f>
        <v/>
      </c>
      <c r="L18">
        <f>lc_detailed!AP19</f>
        <v/>
      </c>
      <c r="M18">
        <f>lc_detailed!AQ19</f>
        <v/>
      </c>
      <c r="O18" t="inlineStr">
        <is>
          <t>MIDAT_DryMill_CCS_Fermentation</t>
        </is>
      </c>
      <c r="P18" t="n">
        <v>0</v>
      </c>
      <c r="Q18" t="n">
        <v>1.082049872275071</v>
      </c>
      <c r="R18" t="n">
        <v>54.76207818665699</v>
      </c>
      <c r="S18" t="n">
        <v>4.381919286477154</v>
      </c>
      <c r="T18" t="n">
        <v>1.121917381925237</v>
      </c>
      <c r="U18" t="n">
        <v>7.835557847855159</v>
      </c>
      <c r="V18" t="n">
        <v>-8.172434844679341</v>
      </c>
      <c r="W18" t="n">
        <v>-6.379184937517909</v>
      </c>
      <c r="X18" t="n">
        <v>6.536371719746121</v>
      </c>
      <c r="Y18" t="n">
        <v>61.16827451273848</v>
      </c>
      <c r="Z18" t="n">
        <v>16.99118736464958</v>
      </c>
    </row>
    <row r="19">
      <c r="B19">
        <f>lc_detailed!B20</f>
        <v/>
      </c>
      <c r="C19">
        <f>lc_detailed!AT20</f>
        <v/>
      </c>
      <c r="D19">
        <f>lc_detailed!AU20</f>
        <v/>
      </c>
      <c r="E19">
        <f>lc_detailed!AV20</f>
        <v/>
      </c>
      <c r="F19">
        <f>lc_detailed!AW20</f>
        <v/>
      </c>
      <c r="G19">
        <f>lc_detailed!AX20</f>
        <v/>
      </c>
      <c r="H19">
        <f>lc_detailed!AY20</f>
        <v/>
      </c>
      <c r="I19">
        <f>lc_detailed!AZ20</f>
        <v/>
      </c>
      <c r="J19">
        <f>lc_detailed!BB20</f>
        <v/>
      </c>
      <c r="K19">
        <f>lc_detailed!BC20</f>
        <v/>
      </c>
      <c r="L19">
        <f>lc_detailed!AP20</f>
        <v/>
      </c>
      <c r="M19">
        <f>lc_detailed!AQ20</f>
        <v/>
      </c>
      <c r="O19" t="inlineStr">
        <is>
          <t>NE_DryMill_CCS_Fermentation_Exhaust</t>
        </is>
      </c>
      <c r="P19" t="n">
        <v>0</v>
      </c>
      <c r="Q19" t="n">
        <v>1.304361127893429</v>
      </c>
      <c r="R19" t="n">
        <v>54.76207818665699</v>
      </c>
      <c r="S19" t="n">
        <v>4.381809600751265</v>
      </c>
      <c r="T19" t="n">
        <v>1.845971685370083</v>
      </c>
      <c r="U19" t="n">
        <v>8.232258905337231</v>
      </c>
      <c r="V19" t="n">
        <v>-8.143443156227582</v>
      </c>
      <c r="W19" t="n">
        <v>-7.706768500740922</v>
      </c>
      <c r="X19" t="n">
        <v>6.536371719746121</v>
      </c>
      <c r="Y19" t="n">
        <v>61.21263956878661</v>
      </c>
      <c r="Z19" t="n">
        <v>17.00351099132962</v>
      </c>
    </row>
    <row r="20">
      <c r="B20">
        <f>lc_detailed!B21</f>
        <v/>
      </c>
      <c r="C20">
        <f>lc_detailed!AT21</f>
        <v/>
      </c>
      <c r="D20">
        <f>lc_detailed!AU21</f>
        <v/>
      </c>
      <c r="E20">
        <f>lc_detailed!AV21</f>
        <v/>
      </c>
      <c r="F20">
        <f>lc_detailed!AW21</f>
        <v/>
      </c>
      <c r="G20">
        <f>lc_detailed!AX21</f>
        <v/>
      </c>
      <c r="H20">
        <f>lc_detailed!AY21</f>
        <v/>
      </c>
      <c r="I20">
        <f>lc_detailed!AZ21</f>
        <v/>
      </c>
      <c r="J20">
        <f>lc_detailed!BB21</f>
        <v/>
      </c>
      <c r="K20">
        <f>lc_detailed!BC21</f>
        <v/>
      </c>
      <c r="L20">
        <f>lc_detailed!AP21</f>
        <v/>
      </c>
      <c r="M20">
        <f>lc_detailed!AQ21</f>
        <v/>
      </c>
      <c r="O20" t="inlineStr">
        <is>
          <t>NE_DryMill_CCS_Fermentation</t>
        </is>
      </c>
      <c r="P20" t="n">
        <v>0</v>
      </c>
      <c r="Q20" t="n">
        <v>1.304361127893429</v>
      </c>
      <c r="R20" t="n">
        <v>54.76207818665699</v>
      </c>
      <c r="S20" t="n">
        <v>4.381809600751265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6.536371719746121</v>
      </c>
      <c r="Y20" t="n">
        <v>62.37082051128447</v>
      </c>
      <c r="Z20" t="n">
        <v>17.32522791980125</v>
      </c>
    </row>
    <row r="21">
      <c r="B21">
        <f>lc_detailed!B22</f>
        <v/>
      </c>
      <c r="C21">
        <f>lc_detailed!AT22</f>
        <v/>
      </c>
      <c r="D21">
        <f>lc_detailed!AU22</f>
        <v/>
      </c>
      <c r="E21">
        <f>lc_detailed!AV22</f>
        <v/>
      </c>
      <c r="F21">
        <f>lc_detailed!AW22</f>
        <v/>
      </c>
      <c r="G21">
        <f>lc_detailed!AX22</f>
        <v/>
      </c>
      <c r="H21">
        <f>lc_detailed!AY22</f>
        <v/>
      </c>
      <c r="I21">
        <f>lc_detailed!AZ22</f>
        <v/>
      </c>
      <c r="J21">
        <f>lc_detailed!BB22</f>
        <v/>
      </c>
      <c r="K21">
        <f>lc_detailed!BC22</f>
        <v/>
      </c>
      <c r="L21">
        <f>lc_detailed!AP22</f>
        <v/>
      </c>
      <c r="M21">
        <f>lc_detailed!AQ22</f>
        <v/>
      </c>
      <c r="O21" t="inlineStr">
        <is>
          <t>TX_DryMill_Existing_Non_CCS</t>
        </is>
      </c>
      <c r="P21" t="n">
        <v>0</v>
      </c>
      <c r="Q21" t="n">
        <v>0.5561594320343651</v>
      </c>
      <c r="R21" t="n">
        <v>54.76207818665699</v>
      </c>
      <c r="S21" t="n">
        <v>4.350197260502561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6.536371719746121</v>
      </c>
      <c r="Y21" t="n">
        <v>65.2403589971743</v>
      </c>
      <c r="Z21" t="n">
        <v>18.12232194365953</v>
      </c>
    </row>
    <row r="22">
      <c r="B22">
        <f>lc_detailed!B23</f>
        <v/>
      </c>
      <c r="C22">
        <f>lc_detailed!AT23</f>
        <v/>
      </c>
      <c r="D22">
        <f>lc_detailed!AU23</f>
        <v/>
      </c>
      <c r="E22">
        <f>lc_detailed!AV23</f>
        <v/>
      </c>
      <c r="F22">
        <f>lc_detailed!AW23</f>
        <v/>
      </c>
      <c r="G22">
        <f>lc_detailed!AX23</f>
        <v/>
      </c>
      <c r="H22">
        <f>lc_detailed!AY23</f>
        <v/>
      </c>
      <c r="I22">
        <f>lc_detailed!AZ23</f>
        <v/>
      </c>
      <c r="J22">
        <f>lc_detailed!BB23</f>
        <v/>
      </c>
      <c r="K22">
        <f>lc_detailed!BC23</f>
        <v/>
      </c>
      <c r="L22">
        <f>lc_detailed!AP23</f>
        <v/>
      </c>
      <c r="M22">
        <f>lc_detailed!AQ23</f>
        <v/>
      </c>
      <c r="O22" t="inlineStr">
        <is>
          <t>CEN_DryMill_Existing_Non_CCS</t>
        </is>
      </c>
      <c r="P22" t="n">
        <v>0</v>
      </c>
      <c r="Q22" t="n">
        <v>0.6962115810715788</v>
      </c>
      <c r="R22" t="n">
        <v>54.76207818665699</v>
      </c>
      <c r="S22" t="n">
        <v>4.381524613731323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6.536371719746121</v>
      </c>
      <c r="Y22" t="n">
        <v>65.41173849944028</v>
      </c>
      <c r="Z22" t="n">
        <v>18.16992736095563</v>
      </c>
    </row>
    <row r="23">
      <c r="B23">
        <f>lc_detailed!B24</f>
        <v/>
      </c>
      <c r="C23">
        <f>lc_detailed!AT24</f>
        <v/>
      </c>
      <c r="D23">
        <f>lc_detailed!AU24</f>
        <v/>
      </c>
      <c r="E23">
        <f>lc_detailed!AV24</f>
        <v/>
      </c>
      <c r="F23">
        <f>lc_detailed!AW24</f>
        <v/>
      </c>
      <c r="G23">
        <f>lc_detailed!AX24</f>
        <v/>
      </c>
      <c r="H23">
        <f>lc_detailed!AY24</f>
        <v/>
      </c>
      <c r="I23">
        <f>lc_detailed!AZ24</f>
        <v/>
      </c>
      <c r="J23">
        <f>lc_detailed!BB24</f>
        <v/>
      </c>
      <c r="K23">
        <f>lc_detailed!BC24</f>
        <v/>
      </c>
      <c r="L23">
        <f>lc_detailed!AP24</f>
        <v/>
      </c>
      <c r="M23">
        <f>lc_detailed!AQ24</f>
        <v/>
      </c>
      <c r="O23" t="inlineStr">
        <is>
          <t>NW_DryMill_Existing_Non_CCS</t>
        </is>
      </c>
      <c r="P23" t="n">
        <v>0</v>
      </c>
      <c r="Q23" t="n">
        <v>0.7360518117574211</v>
      </c>
      <c r="R23" t="n">
        <v>54.76207818665699</v>
      </c>
      <c r="S23" t="n">
        <v>4.46583800725881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6.536371719746121</v>
      </c>
      <c r="Y23" t="n">
        <v>65.5358921236536</v>
      </c>
      <c r="Z23" t="n">
        <v>18.20441447879266</v>
      </c>
    </row>
    <row r="24">
      <c r="B24">
        <f>lc_detailed!B25</f>
        <v/>
      </c>
      <c r="C24">
        <f>lc_detailed!AT25</f>
        <v/>
      </c>
      <c r="D24">
        <f>lc_detailed!AU25</f>
        <v/>
      </c>
      <c r="E24">
        <f>lc_detailed!AV25</f>
        <v/>
      </c>
      <c r="F24">
        <f>lc_detailed!AW25</f>
        <v/>
      </c>
      <c r="G24">
        <f>lc_detailed!AX25</f>
        <v/>
      </c>
      <c r="H24">
        <f>lc_detailed!AY25</f>
        <v/>
      </c>
      <c r="I24">
        <f>lc_detailed!AZ25</f>
        <v/>
      </c>
      <c r="J24">
        <f>lc_detailed!BB25</f>
        <v/>
      </c>
      <c r="K24">
        <f>lc_detailed!BC25</f>
        <v/>
      </c>
      <c r="L24">
        <f>lc_detailed!AP25</f>
        <v/>
      </c>
      <c r="M24">
        <f>lc_detailed!AQ25</f>
        <v/>
      </c>
      <c r="O24" t="inlineStr">
        <is>
          <t>NCEN_DryMill_Existing_Non_CCS</t>
        </is>
      </c>
      <c r="P24" t="n">
        <v>0</v>
      </c>
      <c r="Q24" t="n">
        <v>0.8442129170953</v>
      </c>
      <c r="R24" t="n">
        <v>54.76207818665699</v>
      </c>
      <c r="S24" t="n">
        <v>4.381553993836472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6.536371719746121</v>
      </c>
      <c r="Y24" t="n">
        <v>65.55976921556913</v>
      </c>
      <c r="Z24" t="n">
        <v>18.21104700432476</v>
      </c>
    </row>
    <row r="25">
      <c r="B25">
        <f>lc_detailed!B26</f>
        <v/>
      </c>
      <c r="C25">
        <f>lc_detailed!AT26</f>
        <v/>
      </c>
      <c r="D25">
        <f>lc_detailed!AU26</f>
        <v/>
      </c>
      <c r="E25">
        <f>lc_detailed!AV26</f>
        <v/>
      </c>
      <c r="F25">
        <f>lc_detailed!AW26</f>
        <v/>
      </c>
      <c r="G25">
        <f>lc_detailed!AX26</f>
        <v/>
      </c>
      <c r="H25">
        <f>lc_detailed!AY26</f>
        <v/>
      </c>
      <c r="I25">
        <f>lc_detailed!AZ26</f>
        <v/>
      </c>
      <c r="J25">
        <f>lc_detailed!BB26</f>
        <v/>
      </c>
      <c r="K25">
        <f>lc_detailed!BC26</f>
        <v/>
      </c>
      <c r="L25">
        <f>lc_detailed!AP26</f>
        <v/>
      </c>
      <c r="M25">
        <f>lc_detailed!AQ26</f>
        <v/>
      </c>
      <c r="O25" t="inlineStr">
        <is>
          <t>SW_DryMill_Existing_Non_CCS</t>
        </is>
      </c>
      <c r="P25" t="n">
        <v>0</v>
      </c>
      <c r="Q25" t="n">
        <v>0.7697008801892076</v>
      </c>
      <c r="R25" t="n">
        <v>54.76207818665699</v>
      </c>
      <c r="S25" t="n">
        <v>4.46578838752567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6.536371719746121</v>
      </c>
      <c r="Y25" t="n">
        <v>65.56949157235223</v>
      </c>
      <c r="Z25" t="n">
        <v>18.21374765898673</v>
      </c>
    </row>
    <row r="26">
      <c r="B26">
        <f>lc_detailed!B27</f>
        <v/>
      </c>
      <c r="C26">
        <f>lc_detailed!AT27</f>
        <v/>
      </c>
      <c r="D26">
        <f>lc_detailed!AU27</f>
        <v/>
      </c>
      <c r="E26">
        <f>lc_detailed!AV27</f>
        <v/>
      </c>
      <c r="F26">
        <f>lc_detailed!AW27</f>
        <v/>
      </c>
      <c r="G26">
        <f>lc_detailed!AX27</f>
        <v/>
      </c>
      <c r="H26">
        <f>lc_detailed!AY27</f>
        <v/>
      </c>
      <c r="I26">
        <f>lc_detailed!AZ27</f>
        <v/>
      </c>
      <c r="J26">
        <f>lc_detailed!BB27</f>
        <v/>
      </c>
      <c r="K26">
        <f>lc_detailed!BC27</f>
        <v/>
      </c>
      <c r="L26">
        <f>lc_detailed!AP27</f>
        <v/>
      </c>
      <c r="M26">
        <f>lc_detailed!AQ27</f>
        <v/>
      </c>
      <c r="O26" t="inlineStr">
        <is>
          <t>SE_DryMill_Existing_Non_CCS</t>
        </is>
      </c>
      <c r="P26" t="n">
        <v>0</v>
      </c>
      <c r="Q26" t="n">
        <v>1.050681386499588</v>
      </c>
      <c r="R26" t="n">
        <v>54.76207818665699</v>
      </c>
      <c r="S26" t="n">
        <v>4.38152298150326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6.536371719746121</v>
      </c>
      <c r="Y26" t="n">
        <v>65.76620667264021</v>
      </c>
      <c r="Z26" t="n">
        <v>18.26839074240006</v>
      </c>
    </row>
    <row r="27">
      <c r="B27">
        <f>lc_detailed!B28</f>
        <v/>
      </c>
      <c r="C27">
        <f>lc_detailed!AT28</f>
        <v/>
      </c>
      <c r="D27">
        <f>lc_detailed!AU28</f>
        <v/>
      </c>
      <c r="E27">
        <f>lc_detailed!AV28</f>
        <v/>
      </c>
      <c r="F27">
        <f>lc_detailed!AW28</f>
        <v/>
      </c>
      <c r="G27">
        <f>lc_detailed!AX28</f>
        <v/>
      </c>
      <c r="H27">
        <f>lc_detailed!AY28</f>
        <v/>
      </c>
      <c r="I27">
        <f>lc_detailed!AZ28</f>
        <v/>
      </c>
      <c r="J27">
        <f>lc_detailed!BB28</f>
        <v/>
      </c>
      <c r="K27">
        <f>lc_detailed!BC28</f>
        <v/>
      </c>
      <c r="L27">
        <f>lc_detailed!AP28</f>
        <v/>
      </c>
      <c r="M27">
        <f>lc_detailed!AQ28</f>
        <v/>
      </c>
      <c r="O27" t="inlineStr">
        <is>
          <t>MIDAT_DryMill_Existing_Non_CCS</t>
        </is>
      </c>
      <c r="P27" t="n">
        <v>0</v>
      </c>
      <c r="Q27" t="n">
        <v>1.082049872275071</v>
      </c>
      <c r="R27" t="n">
        <v>54.76207818665699</v>
      </c>
      <c r="S27" t="n">
        <v>4.381919286477154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6.536371719746121</v>
      </c>
      <c r="Y27" t="n">
        <v>65.79797146338959</v>
      </c>
      <c r="Z27" t="n">
        <v>18.277214295386</v>
      </c>
    </row>
    <row r="28">
      <c r="B28">
        <f>lc_detailed!B29</f>
        <v/>
      </c>
      <c r="C28">
        <f>lc_detailed!AT29</f>
        <v/>
      </c>
      <c r="D28">
        <f>lc_detailed!AU29</f>
        <v/>
      </c>
      <c r="E28">
        <f>lc_detailed!AV29</f>
        <v/>
      </c>
      <c r="F28">
        <f>lc_detailed!AW29</f>
        <v/>
      </c>
      <c r="G28">
        <f>lc_detailed!AX29</f>
        <v/>
      </c>
      <c r="H28">
        <f>lc_detailed!AY29</f>
        <v/>
      </c>
      <c r="I28">
        <f>lc_detailed!AZ29</f>
        <v/>
      </c>
      <c r="J28">
        <f>lc_detailed!BB29</f>
        <v/>
      </c>
      <c r="K28">
        <f>lc_detailed!BC29</f>
        <v/>
      </c>
      <c r="L28">
        <f>lc_detailed!AP29</f>
        <v/>
      </c>
      <c r="M28">
        <f>lc_detailed!AQ29</f>
        <v/>
      </c>
      <c r="O28" t="inlineStr">
        <is>
          <t>CA_DryMill_Existing_Non_CCS</t>
        </is>
      </c>
      <c r="P28" t="n">
        <v>0</v>
      </c>
      <c r="Q28" t="n">
        <v>1.00483237199334</v>
      </c>
      <c r="R28" t="n">
        <v>54.76207818665699</v>
      </c>
      <c r="S28" t="n">
        <v>4.465258239850543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6.536371719746121</v>
      </c>
      <c r="Y28" t="n">
        <v>65.80409291648124</v>
      </c>
      <c r="Z28" t="n">
        <v>18.27891469902256</v>
      </c>
    </row>
    <row r="29">
      <c r="B29">
        <f>lc_detailed!B30</f>
        <v/>
      </c>
      <c r="C29">
        <f>lc_detailed!AT30</f>
        <v/>
      </c>
      <c r="D29">
        <f>lc_detailed!AU30</f>
        <v/>
      </c>
      <c r="E29">
        <f>lc_detailed!AV30</f>
        <v/>
      </c>
      <c r="F29">
        <f>lc_detailed!AW30</f>
        <v/>
      </c>
      <c r="G29">
        <f>lc_detailed!AX30</f>
        <v/>
      </c>
      <c r="H29">
        <f>lc_detailed!AY30</f>
        <v/>
      </c>
      <c r="I29">
        <f>lc_detailed!AZ30</f>
        <v/>
      </c>
      <c r="J29">
        <f>lc_detailed!BB30</f>
        <v/>
      </c>
      <c r="K29">
        <f>lc_detailed!BC30</f>
        <v/>
      </c>
      <c r="L29">
        <f>lc_detailed!AP30</f>
        <v/>
      </c>
      <c r="M29">
        <f>lc_detailed!AQ30</f>
        <v/>
      </c>
      <c r="O29" t="inlineStr">
        <is>
          <t>NE_DryMill_Existing_Non_CCS</t>
        </is>
      </c>
      <c r="P29" t="n">
        <v>0</v>
      </c>
      <c r="Q29" t="n">
        <v>1.304361127893429</v>
      </c>
      <c r="R29" t="n">
        <v>54.76207818665699</v>
      </c>
      <c r="S29" t="n">
        <v>4.381809600751265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6.536371719746121</v>
      </c>
      <c r="Y29" t="n">
        <v>66.02017303328206</v>
      </c>
      <c r="Z29" t="n">
        <v>18.33893695368946</v>
      </c>
    </row>
    <row r="30">
      <c r="B30">
        <f>lc_detailed!B31</f>
        <v/>
      </c>
      <c r="C30">
        <f>lc_detailed!AT31</f>
        <v/>
      </c>
      <c r="D30">
        <f>lc_detailed!AU31</f>
        <v/>
      </c>
      <c r="E30">
        <f>lc_detailed!AV31</f>
        <v/>
      </c>
      <c r="F30">
        <f>lc_detailed!AW31</f>
        <v/>
      </c>
      <c r="G30">
        <f>lc_detailed!AX31</f>
        <v/>
      </c>
      <c r="H30">
        <f>lc_detailed!AY31</f>
        <v/>
      </c>
      <c r="I30">
        <f>lc_detailed!AZ31</f>
        <v/>
      </c>
      <c r="J30">
        <f>lc_detailed!BB31</f>
        <v/>
      </c>
      <c r="K30">
        <f>lc_detailed!BC31</f>
        <v/>
      </c>
      <c r="L30">
        <f>lc_detailed!AP31</f>
        <v/>
      </c>
      <c r="M30">
        <f>lc_detailed!AQ31</f>
        <v/>
      </c>
      <c r="O30" t="inlineStr">
        <is>
          <t>CEN_Bio_Ethanol_CCS_86_Agri</t>
        </is>
      </c>
      <c r="P30" t="n">
        <v>0</v>
      </c>
      <c r="Q30" t="n">
        <v>3.565552828929068</v>
      </c>
      <c r="R30" t="n">
        <v>52.86855568631646</v>
      </c>
      <c r="S30" t="n">
        <v>0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0.0005670615760721495</v>
      </c>
      <c r="Y30" t="n">
        <v>66.03514006678735</v>
      </c>
      <c r="Z30" t="n">
        <v>18.34309446299649</v>
      </c>
    </row>
    <row r="31">
      <c r="B31">
        <f>lc_detailed!B32</f>
        <v/>
      </c>
      <c r="C31">
        <f>lc_detailed!AT32</f>
        <v/>
      </c>
      <c r="D31">
        <f>lc_detailed!AU32</f>
        <v/>
      </c>
      <c r="E31">
        <f>lc_detailed!AV32</f>
        <v/>
      </c>
      <c r="F31">
        <f>lc_detailed!AW32</f>
        <v/>
      </c>
      <c r="G31">
        <f>lc_detailed!AX32</f>
        <v/>
      </c>
      <c r="H31">
        <f>lc_detailed!AY32</f>
        <v/>
      </c>
      <c r="I31">
        <f>lc_detailed!AZ32</f>
        <v/>
      </c>
      <c r="J31">
        <f>lc_detailed!BB32</f>
        <v/>
      </c>
      <c r="K31">
        <f>lc_detailed!BC32</f>
        <v/>
      </c>
      <c r="L31">
        <f>lc_detailed!AP32</f>
        <v/>
      </c>
      <c r="M31">
        <f>lc_detailed!AQ32</f>
        <v/>
      </c>
      <c r="O31" t="inlineStr">
        <is>
          <t>CEN_Bio_Ethanol_CCS_86_Herb</t>
        </is>
      </c>
      <c r="P31" t="n">
        <v>0</v>
      </c>
      <c r="Q31" t="n">
        <v>3.358244890366788</v>
      </c>
      <c r="R31" t="n">
        <v>55.65372732769045</v>
      </c>
      <c r="S31" t="n">
        <v>0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0.0004590114696282092</v>
      </c>
      <c r="Y31" t="n">
        <v>68.17588496792168</v>
      </c>
      <c r="Z31" t="n">
        <v>18.93774582442269</v>
      </c>
    </row>
    <row r="32">
      <c r="B32">
        <f>lc_detailed!B33</f>
        <v/>
      </c>
      <c r="C32">
        <f>lc_detailed!AT33</f>
        <v/>
      </c>
      <c r="D32">
        <f>lc_detailed!AU33</f>
        <v/>
      </c>
      <c r="E32">
        <f>lc_detailed!AV33</f>
        <v/>
      </c>
      <c r="F32">
        <f>lc_detailed!AW33</f>
        <v/>
      </c>
      <c r="G32">
        <f>lc_detailed!AX33</f>
        <v/>
      </c>
      <c r="H32">
        <f>lc_detailed!AY33</f>
        <v/>
      </c>
      <c r="I32">
        <f>lc_detailed!AZ33</f>
        <v/>
      </c>
      <c r="J32">
        <f>lc_detailed!BB33</f>
        <v/>
      </c>
      <c r="K32">
        <f>lc_detailed!BC33</f>
        <v/>
      </c>
      <c r="L32">
        <f>lc_detailed!AP33</f>
        <v/>
      </c>
      <c r="M32">
        <f>lc_detailed!AQ33</f>
        <v/>
      </c>
      <c r="O32" t="inlineStr">
        <is>
          <t>NCEN_Bio_Ethanol_CCS_86_Agri</t>
        </is>
      </c>
      <c r="P32" t="n">
        <v>0</v>
      </c>
      <c r="Q32" t="n">
        <v>4.291155366923281</v>
      </c>
      <c r="R32" t="n">
        <v>48.86911494558004</v>
      </c>
      <c r="S32" t="n">
        <v>0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-0.0001543202596078881</v>
      </c>
      <c r="Y32" t="n">
        <v>68.29822864313223</v>
      </c>
      <c r="Z32" t="n">
        <v>18.97173017864785</v>
      </c>
    </row>
    <row r="33">
      <c r="B33">
        <f>lc_detailed!B34</f>
        <v/>
      </c>
      <c r="C33">
        <f>lc_detailed!AT34</f>
        <v/>
      </c>
      <c r="D33">
        <f>lc_detailed!AU34</f>
        <v/>
      </c>
      <c r="E33">
        <f>lc_detailed!AV34</f>
        <v/>
      </c>
      <c r="F33">
        <f>lc_detailed!AW34</f>
        <v/>
      </c>
      <c r="G33">
        <f>lc_detailed!AX34</f>
        <v/>
      </c>
      <c r="H33">
        <f>lc_detailed!AY34</f>
        <v/>
      </c>
      <c r="I33">
        <f>lc_detailed!AZ34</f>
        <v/>
      </c>
      <c r="J33">
        <f>lc_detailed!BB34</f>
        <v/>
      </c>
      <c r="K33">
        <f>lc_detailed!BC34</f>
        <v/>
      </c>
      <c r="L33">
        <f>lc_detailed!AP34</f>
        <v/>
      </c>
      <c r="M33">
        <f>lc_detailed!AQ34</f>
        <v/>
      </c>
      <c r="O33" t="inlineStr">
        <is>
          <t>SE_Bio_Ethanol_CCS_20_Agri</t>
        </is>
      </c>
      <c r="P33" t="n">
        <v>0</v>
      </c>
      <c r="Q33" t="n">
        <v>0</v>
      </c>
      <c r="R33" t="n">
        <v>47.36676528599606</v>
      </c>
      <c r="S33" t="n">
        <v>0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0.0001293467884676551</v>
      </c>
      <c r="Y33" t="n">
        <v>69.43914147056684</v>
      </c>
      <c r="Z33" t="n">
        <v>19.28865040849079</v>
      </c>
    </row>
    <row r="34">
      <c r="B34">
        <f>lc_detailed!B35</f>
        <v/>
      </c>
      <c r="C34">
        <f>lc_detailed!AT35</f>
        <v/>
      </c>
      <c r="D34">
        <f>lc_detailed!AU35</f>
        <v/>
      </c>
      <c r="E34">
        <f>lc_detailed!AV35</f>
        <v/>
      </c>
      <c r="F34">
        <f>lc_detailed!AW35</f>
        <v/>
      </c>
      <c r="G34">
        <f>lc_detailed!AX35</f>
        <v/>
      </c>
      <c r="H34">
        <f>lc_detailed!AY35</f>
        <v/>
      </c>
      <c r="I34">
        <f>lc_detailed!AZ35</f>
        <v/>
      </c>
      <c r="J34">
        <f>lc_detailed!BB35</f>
        <v/>
      </c>
      <c r="K34">
        <f>lc_detailed!BC35</f>
        <v/>
      </c>
      <c r="L34">
        <f>lc_detailed!AP35</f>
        <v/>
      </c>
      <c r="M34">
        <f>lc_detailed!AQ35</f>
        <v/>
      </c>
      <c r="O34" t="inlineStr">
        <is>
          <t>NCEN_Bio_Ethanol_CCS_20_Agri</t>
        </is>
      </c>
      <c r="P34" t="n">
        <v>0</v>
      </c>
      <c r="Q34" t="n">
        <v>0</v>
      </c>
      <c r="R34" t="n">
        <v>48.86911494558004</v>
      </c>
      <c r="S34" t="n">
        <v>0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-0.0001543202595835787</v>
      </c>
      <c r="Y34" t="n">
        <v>69.89297691290221</v>
      </c>
      <c r="Z34" t="n">
        <v>19.4147158091395</v>
      </c>
    </row>
    <row r="35">
      <c r="B35">
        <f>lc_detailed!B36</f>
        <v/>
      </c>
      <c r="C35">
        <f>lc_detailed!AT36</f>
        <v/>
      </c>
      <c r="D35">
        <f>lc_detailed!AU36</f>
        <v/>
      </c>
      <c r="E35">
        <f>lc_detailed!AV36</f>
        <v/>
      </c>
      <c r="F35">
        <f>lc_detailed!AW36</f>
        <v/>
      </c>
      <c r="G35">
        <f>lc_detailed!AX36</f>
        <v/>
      </c>
      <c r="H35">
        <f>lc_detailed!AY36</f>
        <v/>
      </c>
      <c r="I35">
        <f>lc_detailed!AZ36</f>
        <v/>
      </c>
      <c r="J35">
        <f>lc_detailed!BB36</f>
        <v/>
      </c>
      <c r="K35">
        <f>lc_detailed!BC36</f>
        <v/>
      </c>
      <c r="L35">
        <f>lc_detailed!AP36</f>
        <v/>
      </c>
      <c r="M35">
        <f>lc_detailed!AQ36</f>
        <v/>
      </c>
      <c r="O35" t="inlineStr">
        <is>
          <t>MIDAT_Bio_Ethanol_CCS_20_Agri</t>
        </is>
      </c>
      <c r="P35" t="n">
        <v>0</v>
      </c>
      <c r="Q35" t="n">
        <v>0</v>
      </c>
      <c r="R35" t="n">
        <v>47.53338914580344</v>
      </c>
      <c r="S35" t="n">
        <v>0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-0.0004565465633691233</v>
      </c>
      <c r="Y35" t="n">
        <v>70.31221074382313</v>
      </c>
      <c r="Z35" t="n">
        <v>19.53116965106198</v>
      </c>
    </row>
    <row r="36">
      <c r="B36">
        <f>lc_detailed!B37</f>
        <v/>
      </c>
      <c r="C36">
        <f>lc_detailed!AT37</f>
        <v/>
      </c>
      <c r="D36">
        <f>lc_detailed!AU37</f>
        <v/>
      </c>
      <c r="E36">
        <f>lc_detailed!AV37</f>
        <v/>
      </c>
      <c r="F36">
        <f>lc_detailed!AW37</f>
        <v/>
      </c>
      <c r="G36">
        <f>lc_detailed!AX37</f>
        <v/>
      </c>
      <c r="H36">
        <f>lc_detailed!AY37</f>
        <v/>
      </c>
      <c r="I36">
        <f>lc_detailed!AZ37</f>
        <v/>
      </c>
      <c r="J36">
        <f>lc_detailed!BB37</f>
        <v/>
      </c>
      <c r="K36">
        <f>lc_detailed!BC37</f>
        <v/>
      </c>
      <c r="L36">
        <f>lc_detailed!AP37</f>
        <v/>
      </c>
      <c r="M36">
        <f>lc_detailed!AQ37</f>
        <v/>
      </c>
      <c r="O36" t="inlineStr">
        <is>
          <t>NCEN_Bio_Ethanol_CCS_86_Herb</t>
        </is>
      </c>
      <c r="P36" t="n">
        <v>0</v>
      </c>
      <c r="Q36" t="n">
        <v>4.047874559823708</v>
      </c>
      <c r="R36" t="n">
        <v>52.16977112235188</v>
      </c>
      <c r="S36" t="n">
        <v>0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-0.0005047929057952382</v>
      </c>
      <c r="Y36" t="n">
        <v>70.38246413817703</v>
      </c>
      <c r="Z36" t="n">
        <v>19.55068448282695</v>
      </c>
    </row>
    <row r="37">
      <c r="B37">
        <f>lc_detailed!B38</f>
        <v/>
      </c>
      <c r="C37">
        <f>lc_detailed!AT38</f>
        <v/>
      </c>
      <c r="D37">
        <f>lc_detailed!AU38</f>
        <v/>
      </c>
      <c r="E37">
        <f>lc_detailed!AV38</f>
        <v/>
      </c>
      <c r="F37">
        <f>lc_detailed!AW38</f>
        <v/>
      </c>
      <c r="G37">
        <f>lc_detailed!AX38</f>
        <v/>
      </c>
      <c r="H37">
        <f>lc_detailed!AY38</f>
        <v/>
      </c>
      <c r="I37">
        <f>lc_detailed!AZ38</f>
        <v/>
      </c>
      <c r="J37">
        <f>lc_detailed!BB38</f>
        <v/>
      </c>
      <c r="K37">
        <f>lc_detailed!BC38</f>
        <v/>
      </c>
      <c r="L37">
        <f>lc_detailed!AP38</f>
        <v/>
      </c>
      <c r="M37">
        <f>lc_detailed!AQ38</f>
        <v/>
      </c>
      <c r="O37" t="inlineStr">
        <is>
          <t>TX_Bio_Ethanol_CCS_86_Agri</t>
        </is>
      </c>
      <c r="P37" t="n">
        <v>0</v>
      </c>
      <c r="Q37" t="n">
        <v>2.947958324880966</v>
      </c>
      <c r="R37" t="n">
        <v>61.65698427638135</v>
      </c>
      <c r="S37" t="n">
        <v>0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-0.0001583560618109812</v>
      </c>
      <c r="Y37" t="n">
        <v>70.56536572980855</v>
      </c>
      <c r="Z37" t="n">
        <v>19.60149048050237</v>
      </c>
    </row>
    <row r="38">
      <c r="B38">
        <f>lc_detailed!B39</f>
        <v/>
      </c>
      <c r="C38">
        <f>lc_detailed!AT39</f>
        <v/>
      </c>
      <c r="D38">
        <f>lc_detailed!AU39</f>
        <v/>
      </c>
      <c r="E38">
        <f>lc_detailed!AV39</f>
        <v/>
      </c>
      <c r="F38">
        <f>lc_detailed!AW39</f>
        <v/>
      </c>
      <c r="G38">
        <f>lc_detailed!AX39</f>
        <v/>
      </c>
      <c r="H38">
        <f>lc_detailed!AY39</f>
        <v/>
      </c>
      <c r="I38">
        <f>lc_detailed!AZ39</f>
        <v/>
      </c>
      <c r="J38">
        <f>lc_detailed!BB39</f>
        <v/>
      </c>
      <c r="K38">
        <f>lc_detailed!BC39</f>
        <v/>
      </c>
      <c r="L38">
        <f>lc_detailed!AP39</f>
        <v/>
      </c>
      <c r="M38">
        <f>lc_detailed!AQ39</f>
        <v/>
      </c>
      <c r="O38" t="inlineStr">
        <is>
          <t>SE_Bio_Ethanol_CCS_20_Herb</t>
        </is>
      </c>
      <c r="P38" t="n">
        <v>0</v>
      </c>
      <c r="Q38" t="n">
        <v>0</v>
      </c>
      <c r="R38" t="n">
        <v>50.28152561191016</v>
      </c>
      <c r="S38" t="n">
        <v>0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2.961781674667092e-05</v>
      </c>
      <c r="Y38" t="n">
        <v>71.15407744005228</v>
      </c>
      <c r="Z38" t="n">
        <v>19.76502151112564</v>
      </c>
    </row>
    <row r="39">
      <c r="B39">
        <f>lc_detailed!B40</f>
        <v/>
      </c>
      <c r="C39">
        <f>lc_detailed!AT40</f>
        <v/>
      </c>
      <c r="D39">
        <f>lc_detailed!AU40</f>
        <v/>
      </c>
      <c r="E39">
        <f>lc_detailed!AV40</f>
        <v/>
      </c>
      <c r="F39">
        <f>lc_detailed!AW40</f>
        <v/>
      </c>
      <c r="G39">
        <f>lc_detailed!AX40</f>
        <v/>
      </c>
      <c r="H39">
        <f>lc_detailed!AY40</f>
        <v/>
      </c>
      <c r="I39">
        <f>lc_detailed!AZ40</f>
        <v/>
      </c>
      <c r="J39">
        <f>lc_detailed!BB40</f>
        <v/>
      </c>
      <c r="K39">
        <f>lc_detailed!BC40</f>
        <v/>
      </c>
      <c r="L39">
        <f>lc_detailed!AP40</f>
        <v/>
      </c>
      <c r="M39">
        <f>lc_detailed!AQ40</f>
        <v/>
      </c>
      <c r="O39" t="inlineStr">
        <is>
          <t>CEN_Bio_Ethanol_CCS_86_Wood</t>
        </is>
      </c>
      <c r="P39" t="n">
        <v>0</v>
      </c>
      <c r="Q39" t="n">
        <v>3.210405769386379</v>
      </c>
      <c r="R39" t="n">
        <v>61.36631731047105</v>
      </c>
      <c r="S39" t="n">
        <v>0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-0.000214006668135875</v>
      </c>
      <c r="Y39" t="n">
        <v>71.46544968643619</v>
      </c>
      <c r="Z39" t="n">
        <v>19.85151380178783</v>
      </c>
    </row>
    <row r="40">
      <c r="B40">
        <f>lc_detailed!B41</f>
        <v/>
      </c>
      <c r="C40">
        <f>lc_detailed!AT41</f>
        <v/>
      </c>
      <c r="D40">
        <f>lc_detailed!AU41</f>
        <v/>
      </c>
      <c r="E40">
        <f>lc_detailed!AV41</f>
        <v/>
      </c>
      <c r="F40">
        <f>lc_detailed!AW41</f>
        <v/>
      </c>
      <c r="G40">
        <f>lc_detailed!AX41</f>
        <v/>
      </c>
      <c r="H40">
        <f>lc_detailed!AY41</f>
        <v/>
      </c>
      <c r="I40">
        <f>lc_detailed!AZ41</f>
        <v/>
      </c>
      <c r="J40">
        <f>lc_detailed!BB41</f>
        <v/>
      </c>
      <c r="K40">
        <f>lc_detailed!BC41</f>
        <v/>
      </c>
      <c r="L40">
        <f>lc_detailed!AP41</f>
        <v/>
      </c>
      <c r="M40">
        <f>lc_detailed!AQ41</f>
        <v/>
      </c>
      <c r="O40" t="inlineStr">
        <is>
          <t>MIDAT_Bio_Ethanol_Agri</t>
        </is>
      </c>
      <c r="P40" t="n">
        <v>-4.247048751395312</v>
      </c>
      <c r="Q40" t="n">
        <v>0</v>
      </c>
      <c r="R40" t="n">
        <v>47.53338914580344</v>
      </c>
      <c r="S40" t="n">
        <v>0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-0.0004565304797245588</v>
      </c>
      <c r="Y40" t="n">
        <v>71.65290653786067</v>
      </c>
      <c r="Z40" t="n">
        <v>19.90358514940574</v>
      </c>
    </row>
    <row r="41">
      <c r="B41">
        <f>lc_detailed!B42</f>
        <v/>
      </c>
      <c r="C41">
        <f>lc_detailed!AT42</f>
        <v/>
      </c>
      <c r="D41">
        <f>lc_detailed!AU42</f>
        <v/>
      </c>
      <c r="E41">
        <f>lc_detailed!AV42</f>
        <v/>
      </c>
      <c r="F41">
        <f>lc_detailed!AW42</f>
        <v/>
      </c>
      <c r="G41">
        <f>lc_detailed!AX42</f>
        <v/>
      </c>
      <c r="H41">
        <f>lc_detailed!AY42</f>
        <v/>
      </c>
      <c r="I41">
        <f>lc_detailed!AZ42</f>
        <v/>
      </c>
      <c r="J41">
        <f>lc_detailed!BB42</f>
        <v/>
      </c>
      <c r="K41">
        <f>lc_detailed!BC42</f>
        <v/>
      </c>
      <c r="L41">
        <f>lc_detailed!AP42</f>
        <v/>
      </c>
      <c r="M41">
        <f>lc_detailed!AQ42</f>
        <v/>
      </c>
      <c r="O41" t="inlineStr">
        <is>
          <t>SE_Bio_Ethanol_Agri</t>
        </is>
      </c>
      <c r="P41" t="n">
        <v>-4.123574535103151</v>
      </c>
      <c r="Q41" t="n">
        <v>0</v>
      </c>
      <c r="R41" t="n">
        <v>47.36676528599606</v>
      </c>
      <c r="S41" t="n">
        <v>0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0.0001293628717475786</v>
      </c>
      <c r="Y41" t="n">
        <v>71.69200061723967</v>
      </c>
      <c r="Z41" t="n">
        <v>19.91444461589991</v>
      </c>
    </row>
    <row r="42">
      <c r="B42">
        <f>lc_detailed!B43</f>
        <v/>
      </c>
      <c r="C42">
        <f>lc_detailed!AT43</f>
        <v/>
      </c>
      <c r="D42">
        <f>lc_detailed!AU43</f>
        <v/>
      </c>
      <c r="E42">
        <f>lc_detailed!AV43</f>
        <v/>
      </c>
      <c r="F42">
        <f>lc_detailed!AW43</f>
        <v/>
      </c>
      <c r="G42">
        <f>lc_detailed!AX43</f>
        <v/>
      </c>
      <c r="H42">
        <f>lc_detailed!AY43</f>
        <v/>
      </c>
      <c r="I42">
        <f>lc_detailed!AZ43</f>
        <v/>
      </c>
      <c r="J42">
        <f>lc_detailed!BB43</f>
        <v/>
      </c>
      <c r="K42">
        <f>lc_detailed!BC43</f>
        <v/>
      </c>
      <c r="L42">
        <f>lc_detailed!AP43</f>
        <v/>
      </c>
      <c r="M42">
        <f>lc_detailed!AQ43</f>
        <v/>
      </c>
      <c r="O42" t="inlineStr">
        <is>
          <t>NCEN_Bio_Ethanol_CCS_86_Wood</t>
        </is>
      </c>
      <c r="P42" t="n">
        <v>0</v>
      </c>
      <c r="Q42" t="n">
        <v>3.894940549178352</v>
      </c>
      <c r="R42" t="n">
        <v>55.67268517179895</v>
      </c>
      <c r="S42" t="n">
        <v>0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-0.000351038535385354</v>
      </c>
      <c r="Y42" t="n">
        <v>71.96023896591439</v>
      </c>
      <c r="Z42" t="n">
        <v>19.98895526830955</v>
      </c>
    </row>
    <row r="43">
      <c r="B43">
        <f>lc_detailed!B44</f>
        <v/>
      </c>
      <c r="C43">
        <f>lc_detailed!AT44</f>
        <v/>
      </c>
      <c r="D43">
        <f>lc_detailed!AU44</f>
        <v/>
      </c>
      <c r="E43">
        <f>lc_detailed!AV44</f>
        <v/>
      </c>
      <c r="F43">
        <f>lc_detailed!AW44</f>
        <v/>
      </c>
      <c r="G43">
        <f>lc_detailed!AX44</f>
        <v/>
      </c>
      <c r="H43">
        <f>lc_detailed!AY44</f>
        <v/>
      </c>
      <c r="I43">
        <f>lc_detailed!AZ44</f>
        <v/>
      </c>
      <c r="J43">
        <f>lc_detailed!BB44</f>
        <v/>
      </c>
      <c r="K43">
        <f>lc_detailed!BC44</f>
        <v/>
      </c>
      <c r="L43">
        <f>lc_detailed!AP44</f>
        <v/>
      </c>
      <c r="M43">
        <f>lc_detailed!AQ44</f>
        <v/>
      </c>
      <c r="O43" t="inlineStr">
        <is>
          <t>NCEN_Bio_Ethanol_CCS_20_Herb</t>
        </is>
      </c>
      <c r="P43" t="n">
        <v>0</v>
      </c>
      <c r="Q43" t="n">
        <v>0</v>
      </c>
      <c r="R43" t="n">
        <v>52.16977112235188</v>
      </c>
      <c r="S43" t="n">
        <v>0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-0.0005047929058195476</v>
      </c>
      <c r="Y43" t="n">
        <v>71.97415650915791</v>
      </c>
      <c r="Z43" t="n">
        <v>19.99282125254387</v>
      </c>
    </row>
    <row r="44">
      <c r="B44">
        <f>lc_detailed!B45</f>
        <v/>
      </c>
      <c r="C44">
        <f>lc_detailed!AT45</f>
        <v/>
      </c>
      <c r="D44">
        <f>lc_detailed!AU45</f>
        <v/>
      </c>
      <c r="E44">
        <f>lc_detailed!AV45</f>
        <v/>
      </c>
      <c r="F44">
        <f>lc_detailed!AW45</f>
        <v/>
      </c>
      <c r="G44">
        <f>lc_detailed!AX45</f>
        <v/>
      </c>
      <c r="H44">
        <f>lc_detailed!AY45</f>
        <v/>
      </c>
      <c r="I44">
        <f>lc_detailed!AZ45</f>
        <v/>
      </c>
      <c r="J44">
        <f>lc_detailed!BB45</f>
        <v/>
      </c>
      <c r="K44">
        <f>lc_detailed!BC45</f>
        <v/>
      </c>
      <c r="L44">
        <f>lc_detailed!AP45</f>
        <v/>
      </c>
      <c r="M44">
        <f>lc_detailed!AQ45</f>
        <v/>
      </c>
      <c r="O44" t="inlineStr">
        <is>
          <t>SE_Bio_Ethanol_CCS_86_Agri</t>
        </is>
      </c>
      <c r="P44" t="n">
        <v>0</v>
      </c>
      <c r="Q44" t="n">
        <v>5.362276766991844</v>
      </c>
      <c r="R44" t="n">
        <v>47.36676528599606</v>
      </c>
      <c r="S44" t="n">
        <v>0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0.0001293467884555004</v>
      </c>
      <c r="Y44" t="n">
        <v>71.9846189003388</v>
      </c>
      <c r="Z44" t="n">
        <v>19.99572747231633</v>
      </c>
    </row>
    <row r="45">
      <c r="B45">
        <f>lc_detailed!B46</f>
        <v/>
      </c>
      <c r="C45">
        <f>lc_detailed!AT46</f>
        <v/>
      </c>
      <c r="D45">
        <f>lc_detailed!AU46</f>
        <v/>
      </c>
      <c r="E45">
        <f>lc_detailed!AV46</f>
        <v/>
      </c>
      <c r="F45">
        <f>lc_detailed!AW46</f>
        <v/>
      </c>
      <c r="G45">
        <f>lc_detailed!AX46</f>
        <v/>
      </c>
      <c r="H45">
        <f>lc_detailed!AY46</f>
        <v/>
      </c>
      <c r="I45">
        <f>lc_detailed!AZ46</f>
        <v/>
      </c>
      <c r="J45">
        <f>lc_detailed!BB46</f>
        <v/>
      </c>
      <c r="K45">
        <f>lc_detailed!BC46</f>
        <v/>
      </c>
      <c r="L45">
        <f>lc_detailed!AP46</f>
        <v/>
      </c>
      <c r="M45">
        <f>lc_detailed!AQ46</f>
        <v/>
      </c>
      <c r="O45" t="inlineStr">
        <is>
          <t>MIDAT_Bio_Ethanol_CCS_20_Herb</t>
        </is>
      </c>
      <c r="P45" t="n">
        <v>0</v>
      </c>
      <c r="Q45" t="n">
        <v>0</v>
      </c>
      <c r="R45" t="n">
        <v>50.57907247540655</v>
      </c>
      <c r="S45" t="n">
        <v>0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0.0001895915054659443</v>
      </c>
      <c r="Y45" t="n">
        <v>72.07457690363428</v>
      </c>
      <c r="Z45" t="n">
        <v>20.02071580656508</v>
      </c>
    </row>
    <row r="46">
      <c r="B46">
        <f>lc_detailed!B47</f>
        <v/>
      </c>
      <c r="C46">
        <f>lc_detailed!AT47</f>
        <v/>
      </c>
      <c r="D46">
        <f>lc_detailed!AU47</f>
        <v/>
      </c>
      <c r="E46">
        <f>lc_detailed!AV47</f>
        <v/>
      </c>
      <c r="F46">
        <f>lc_detailed!AW47</f>
        <v/>
      </c>
      <c r="G46">
        <f>lc_detailed!AX47</f>
        <v/>
      </c>
      <c r="H46">
        <f>lc_detailed!AY47</f>
        <v/>
      </c>
      <c r="I46">
        <f>lc_detailed!AZ47</f>
        <v/>
      </c>
      <c r="J46">
        <f>lc_detailed!BB47</f>
        <v/>
      </c>
      <c r="K46">
        <f>lc_detailed!BC47</f>
        <v/>
      </c>
      <c r="L46">
        <f>lc_detailed!AP47</f>
        <v/>
      </c>
      <c r="M46">
        <f>lc_detailed!AQ47</f>
        <v/>
      </c>
      <c r="O46" t="inlineStr">
        <is>
          <t>CEN_Bio_Ethanol_CCS_20_Agri</t>
        </is>
      </c>
      <c r="P46" t="n">
        <v>0</v>
      </c>
      <c r="Q46" t="n">
        <v>0</v>
      </c>
      <c r="R46" t="n">
        <v>52.86855568631646</v>
      </c>
      <c r="S46" t="n">
        <v>0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0.0005670615760721495</v>
      </c>
      <c r="Y46" t="n">
        <v>72.709748291442</v>
      </c>
      <c r="Z46" t="n">
        <v>20.19715230317833</v>
      </c>
    </row>
    <row r="47">
      <c r="B47">
        <f>lc_detailed!B48</f>
        <v/>
      </c>
      <c r="C47">
        <f>lc_detailed!AT48</f>
        <v/>
      </c>
      <c r="D47">
        <f>lc_detailed!AU48</f>
        <v/>
      </c>
      <c r="E47">
        <f>lc_detailed!AV48</f>
        <v/>
      </c>
      <c r="F47">
        <f>lc_detailed!AW48</f>
        <v/>
      </c>
      <c r="G47">
        <f>lc_detailed!AX48</f>
        <v/>
      </c>
      <c r="H47">
        <f>lc_detailed!AY48</f>
        <v/>
      </c>
      <c r="I47">
        <f>lc_detailed!AZ48</f>
        <v/>
      </c>
      <c r="J47">
        <f>lc_detailed!BB48</f>
        <v/>
      </c>
      <c r="K47">
        <f>lc_detailed!BC48</f>
        <v/>
      </c>
      <c r="L47">
        <f>lc_detailed!AP48</f>
        <v/>
      </c>
      <c r="M47">
        <f>lc_detailed!AQ48</f>
        <v/>
      </c>
      <c r="O47" t="inlineStr">
        <is>
          <t>MIDAT_Bio_Ethanol_CCS_20_Wood</t>
        </is>
      </c>
      <c r="P47" t="n">
        <v>0</v>
      </c>
      <c r="Q47" t="n">
        <v>0</v>
      </c>
      <c r="R47" t="n">
        <v>52.50426245349567</v>
      </c>
      <c r="S47" t="n">
        <v>0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0.0001802689401646539</v>
      </c>
      <c r="Y47" t="n">
        <v>72.91112556951985</v>
      </c>
      <c r="Z47" t="n">
        <v>20.25309043597774</v>
      </c>
    </row>
    <row r="48">
      <c r="B48">
        <f>lc_detailed!B49</f>
        <v/>
      </c>
      <c r="C48">
        <f>lc_detailed!AT49</f>
        <v/>
      </c>
      <c r="D48">
        <f>lc_detailed!AU49</f>
        <v/>
      </c>
      <c r="E48">
        <f>lc_detailed!AV49</f>
        <v/>
      </c>
      <c r="F48">
        <f>lc_detailed!AW49</f>
        <v/>
      </c>
      <c r="G48">
        <f>lc_detailed!AX49</f>
        <v/>
      </c>
      <c r="H48">
        <f>lc_detailed!AY49</f>
        <v/>
      </c>
      <c r="I48">
        <f>lc_detailed!AZ49</f>
        <v/>
      </c>
      <c r="J48">
        <f>lc_detailed!BB49</f>
        <v/>
      </c>
      <c r="K48">
        <f>lc_detailed!BC49</f>
        <v/>
      </c>
      <c r="L48">
        <f>lc_detailed!AP49</f>
        <v/>
      </c>
      <c r="M48">
        <f>lc_detailed!AQ49</f>
        <v/>
      </c>
      <c r="O48" t="inlineStr">
        <is>
          <t>SE_Bio_Ethanol_Herb</t>
        </is>
      </c>
      <c r="P48" t="n">
        <v>-4.123696066010598</v>
      </c>
      <c r="Q48" t="n">
        <v>0</v>
      </c>
      <c r="R48" t="n">
        <v>50.28152561191016</v>
      </c>
      <c r="S48" t="n">
        <v>0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2.963390012383203e-05</v>
      </c>
      <c r="Y48" t="n">
        <v>73.09042529459596</v>
      </c>
      <c r="Z48" t="n">
        <v>20.30289591516554</v>
      </c>
    </row>
    <row r="49">
      <c r="B49">
        <f>lc_detailed!B50</f>
        <v/>
      </c>
      <c r="C49">
        <f>lc_detailed!AT50</f>
        <v/>
      </c>
      <c r="D49">
        <f>lc_detailed!AU50</f>
        <v/>
      </c>
      <c r="E49">
        <f>lc_detailed!AV50</f>
        <v/>
      </c>
      <c r="F49">
        <f>lc_detailed!AW50</f>
        <v/>
      </c>
      <c r="G49">
        <f>lc_detailed!AX50</f>
        <v/>
      </c>
      <c r="H49">
        <f>lc_detailed!AY50</f>
        <v/>
      </c>
      <c r="I49">
        <f>lc_detailed!AZ50</f>
        <v/>
      </c>
      <c r="J49">
        <f>lc_detailed!BB50</f>
        <v/>
      </c>
      <c r="K49">
        <f>lc_detailed!BC50</f>
        <v/>
      </c>
      <c r="L49">
        <f>lc_detailed!AP50</f>
        <v/>
      </c>
      <c r="M49">
        <f>lc_detailed!AQ50</f>
        <v/>
      </c>
      <c r="O49" t="inlineStr">
        <is>
          <t>MIDAT_Bio_Ethanol_Herb</t>
        </is>
      </c>
      <c r="P49" t="n">
        <v>-4.247282915077293</v>
      </c>
      <c r="Q49" t="n">
        <v>0</v>
      </c>
      <c r="R49" t="n">
        <v>50.57907247540655</v>
      </c>
      <c r="S49" t="n">
        <v>0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0.0001896075887458678</v>
      </c>
      <c r="Y49" t="n">
        <v>73.11720289632035</v>
      </c>
      <c r="Z49" t="n">
        <v>20.31033413786676</v>
      </c>
    </row>
    <row r="50">
      <c r="B50">
        <f>lc_detailed!B51</f>
        <v/>
      </c>
      <c r="C50">
        <f>lc_detailed!AT51</f>
        <v/>
      </c>
      <c r="D50">
        <f>lc_detailed!AU51</f>
        <v/>
      </c>
      <c r="E50">
        <f>lc_detailed!AV51</f>
        <v/>
      </c>
      <c r="F50">
        <f>lc_detailed!AW51</f>
        <v/>
      </c>
      <c r="G50">
        <f>lc_detailed!AX51</f>
        <v/>
      </c>
      <c r="H50">
        <f>lc_detailed!AY51</f>
        <v/>
      </c>
      <c r="I50">
        <f>lc_detailed!AZ51</f>
        <v/>
      </c>
      <c r="J50">
        <f>lc_detailed!BB51</f>
        <v/>
      </c>
      <c r="K50">
        <f>lc_detailed!BC51</f>
        <v/>
      </c>
      <c r="L50">
        <f>lc_detailed!AP51</f>
        <v/>
      </c>
      <c r="M50">
        <f>lc_detailed!AQ51</f>
        <v/>
      </c>
      <c r="O50" t="inlineStr">
        <is>
          <t>SE_Bio_Ethanol_CCS_86_Herb</t>
        </is>
      </c>
      <c r="P50" t="n">
        <v>0</v>
      </c>
      <c r="Q50" t="n">
        <v>5.076505166389099</v>
      </c>
      <c r="R50" t="n">
        <v>50.28152561191016</v>
      </c>
      <c r="S50" t="n">
        <v>0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2.961781673451622e-05</v>
      </c>
      <c r="Y50" t="n">
        <v>73.48865328167471</v>
      </c>
      <c r="Z50" t="n">
        <v>20.4135148004652</v>
      </c>
    </row>
    <row r="51">
      <c r="B51">
        <f>lc_detailed!B52</f>
        <v/>
      </c>
      <c r="C51">
        <f>lc_detailed!AT52</f>
        <v/>
      </c>
      <c r="D51">
        <f>lc_detailed!AU52</f>
        <v/>
      </c>
      <c r="E51">
        <f>lc_detailed!AV52</f>
        <v/>
      </c>
      <c r="F51">
        <f>lc_detailed!AW52</f>
        <v/>
      </c>
      <c r="G51">
        <f>lc_detailed!AX52</f>
        <v/>
      </c>
      <c r="H51">
        <f>lc_detailed!AY52</f>
        <v/>
      </c>
      <c r="I51">
        <f>lc_detailed!AZ52</f>
        <v/>
      </c>
      <c r="J51">
        <f>lc_detailed!BB52</f>
        <v/>
      </c>
      <c r="K51">
        <f>lc_detailed!BC52</f>
        <v/>
      </c>
      <c r="L51">
        <f>lc_detailed!AP52</f>
        <v/>
      </c>
      <c r="M51">
        <f>lc_detailed!AQ52</f>
        <v/>
      </c>
      <c r="O51" t="inlineStr">
        <is>
          <t>SE_Bio_Ethanol_CCS_20_Wood</t>
        </is>
      </c>
      <c r="P51" t="n">
        <v>0</v>
      </c>
      <c r="Q51" t="n">
        <v>0</v>
      </c>
      <c r="R51" t="n">
        <v>54.33679671753527</v>
      </c>
      <c r="S51" t="n">
        <v>0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-0.0004691546664156318</v>
      </c>
      <c r="Y51" t="n">
        <v>73.6960361556674</v>
      </c>
      <c r="Z51" t="n">
        <v>20.47112115435205</v>
      </c>
    </row>
    <row r="52">
      <c r="B52">
        <f>lc_detailed!B53</f>
        <v/>
      </c>
      <c r="C52">
        <f>lc_detailed!AT53</f>
        <v/>
      </c>
      <c r="D52">
        <f>lc_detailed!AU53</f>
        <v/>
      </c>
      <c r="E52">
        <f>lc_detailed!AV53</f>
        <v/>
      </c>
      <c r="F52">
        <f>lc_detailed!AW53</f>
        <v/>
      </c>
      <c r="G52">
        <f>lc_detailed!AX53</f>
        <v/>
      </c>
      <c r="H52">
        <f>lc_detailed!AY53</f>
        <v/>
      </c>
      <c r="I52">
        <f>lc_detailed!AZ53</f>
        <v/>
      </c>
      <c r="J52">
        <f>lc_detailed!BB53</f>
        <v/>
      </c>
      <c r="K52">
        <f>lc_detailed!BC53</f>
        <v/>
      </c>
      <c r="L52">
        <f>lc_detailed!AP53</f>
        <v/>
      </c>
      <c r="M52">
        <f>lc_detailed!AQ53</f>
        <v/>
      </c>
      <c r="O52" t="inlineStr">
        <is>
          <t>NCEN_Bio_Ethanol_Agri</t>
        </is>
      </c>
      <c r="P52" t="n">
        <v>-3.314558837748872</v>
      </c>
      <c r="Q52" t="n">
        <v>0</v>
      </c>
      <c r="R52" t="n">
        <v>48.86911494558004</v>
      </c>
      <c r="S52" t="n">
        <v>0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-0.0001543041761213347</v>
      </c>
      <c r="Y52" t="n">
        <v>73.88829071072635</v>
      </c>
      <c r="Z52" t="n">
        <v>20.52452519742399</v>
      </c>
    </row>
    <row r="53">
      <c r="B53">
        <f>lc_detailed!B54</f>
        <v/>
      </c>
      <c r="C53">
        <f>lc_detailed!AT54</f>
        <v/>
      </c>
      <c r="D53">
        <f>lc_detailed!AU54</f>
        <v/>
      </c>
      <c r="E53">
        <f>lc_detailed!AV54</f>
        <v/>
      </c>
      <c r="F53">
        <f>lc_detailed!AW54</f>
        <v/>
      </c>
      <c r="G53">
        <f>lc_detailed!AX54</f>
        <v/>
      </c>
      <c r="H53">
        <f>lc_detailed!AY54</f>
        <v/>
      </c>
      <c r="I53">
        <f>lc_detailed!AZ54</f>
        <v/>
      </c>
      <c r="J53">
        <f>lc_detailed!BB54</f>
        <v/>
      </c>
      <c r="K53">
        <f>lc_detailed!BC54</f>
        <v/>
      </c>
      <c r="L53">
        <f>lc_detailed!AP54</f>
        <v/>
      </c>
      <c r="M53">
        <f>lc_detailed!AQ54</f>
        <v/>
      </c>
      <c r="O53" t="inlineStr">
        <is>
          <t>MIDAT_Bio_Ethanol_Wood</t>
        </is>
      </c>
      <c r="P53" t="n">
        <v>-4.246494708218582</v>
      </c>
      <c r="Q53" t="n">
        <v>0</v>
      </c>
      <c r="R53" t="n">
        <v>52.50426245349567</v>
      </c>
      <c r="S53" t="n">
        <v>0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0.000180285023420268</v>
      </c>
      <c r="Y53" t="n">
        <v>74.04278629500979</v>
      </c>
      <c r="Z53" t="n">
        <v>20.56744063750272</v>
      </c>
    </row>
    <row r="54">
      <c r="B54">
        <f>lc_detailed!B55</f>
        <v/>
      </c>
      <c r="C54">
        <f>lc_detailed!AT55</f>
        <v/>
      </c>
      <c r="D54">
        <f>lc_detailed!AU55</f>
        <v/>
      </c>
      <c r="E54">
        <f>lc_detailed!AV55</f>
        <v/>
      </c>
      <c r="F54">
        <f>lc_detailed!AW55</f>
        <v/>
      </c>
      <c r="G54">
        <f>lc_detailed!AX55</f>
        <v/>
      </c>
      <c r="H54">
        <f>lc_detailed!AY55</f>
        <v/>
      </c>
      <c r="I54">
        <f>lc_detailed!AZ55</f>
        <v/>
      </c>
      <c r="J54">
        <f>lc_detailed!BB55</f>
        <v/>
      </c>
      <c r="K54">
        <f>lc_detailed!BC55</f>
        <v/>
      </c>
      <c r="L54">
        <f>lc_detailed!AP55</f>
        <v/>
      </c>
      <c r="M54">
        <f>lc_detailed!AQ55</f>
        <v/>
      </c>
      <c r="O54" t="inlineStr">
        <is>
          <t>SE_Bio_Ethanol_CCS_86_Wood</t>
        </is>
      </c>
      <c r="P54" t="n">
        <v>0</v>
      </c>
      <c r="Q54" t="n">
        <v>4.827284282176792</v>
      </c>
      <c r="R54" t="n">
        <v>54.33679671753527</v>
      </c>
      <c r="S54" t="n">
        <v>0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-0.0004691546663791677</v>
      </c>
      <c r="Y54" t="n">
        <v>74.34835528482412</v>
      </c>
      <c r="Z54" t="n">
        <v>20.65232091245115</v>
      </c>
    </row>
    <row r="55">
      <c r="B55">
        <f>lc_detailed!B56</f>
        <v/>
      </c>
      <c r="C55">
        <f>lc_detailed!AT56</f>
        <v/>
      </c>
      <c r="D55">
        <f>lc_detailed!AU56</f>
        <v/>
      </c>
      <c r="E55">
        <f>lc_detailed!AV56</f>
        <v/>
      </c>
      <c r="F55">
        <f>lc_detailed!AW56</f>
        <v/>
      </c>
      <c r="G55">
        <f>lc_detailed!AX56</f>
        <v/>
      </c>
      <c r="H55">
        <f>lc_detailed!AY56</f>
        <v/>
      </c>
      <c r="I55">
        <f>lc_detailed!AZ56</f>
        <v/>
      </c>
      <c r="J55">
        <f>lc_detailed!BB56</f>
        <v/>
      </c>
      <c r="K55">
        <f>lc_detailed!BC56</f>
        <v/>
      </c>
      <c r="L55">
        <f>lc_detailed!AP56</f>
        <v/>
      </c>
      <c r="M55">
        <f>lc_detailed!AQ56</f>
        <v/>
      </c>
      <c r="O55" t="inlineStr">
        <is>
          <t>CEN_Bio_Ethanol_CCS_20_Herb</t>
        </is>
      </c>
      <c r="P55" t="n">
        <v>0</v>
      </c>
      <c r="Q55" t="n">
        <v>0</v>
      </c>
      <c r="R55" t="n">
        <v>55.65372732769045</v>
      </c>
      <c r="S55" t="n">
        <v>0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0.0004590114696160544</v>
      </c>
      <c r="Y55" t="n">
        <v>74.37001311179216</v>
      </c>
      <c r="Z55" t="n">
        <v>20.65833697549782</v>
      </c>
    </row>
    <row r="56">
      <c r="B56">
        <f>lc_detailed!B57</f>
        <v/>
      </c>
      <c r="C56">
        <f>lc_detailed!AT57</f>
        <v/>
      </c>
      <c r="D56">
        <f>lc_detailed!AU57</f>
        <v/>
      </c>
      <c r="E56">
        <f>lc_detailed!AV57</f>
        <v/>
      </c>
      <c r="F56">
        <f>lc_detailed!AW57</f>
        <v/>
      </c>
      <c r="G56">
        <f>lc_detailed!AX57</f>
        <v/>
      </c>
      <c r="H56">
        <f>lc_detailed!AY57</f>
        <v/>
      </c>
      <c r="I56">
        <f>lc_detailed!AZ57</f>
        <v/>
      </c>
      <c r="J56">
        <f>lc_detailed!BB57</f>
        <v/>
      </c>
      <c r="K56">
        <f>lc_detailed!BC57</f>
        <v/>
      </c>
      <c r="L56">
        <f>lc_detailed!AP57</f>
        <v/>
      </c>
      <c r="M56">
        <f>lc_detailed!AQ57</f>
        <v/>
      </c>
      <c r="O56" t="inlineStr">
        <is>
          <t>NCEN_Bio_Ethanol_CCS_20_Wood</t>
        </is>
      </c>
      <c r="P56" t="n">
        <v>0</v>
      </c>
      <c r="Q56" t="n">
        <v>0</v>
      </c>
      <c r="R56" t="n">
        <v>55.67268517179895</v>
      </c>
      <c r="S56" t="n">
        <v>0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-0.0003510385353731992</v>
      </c>
      <c r="Y56" t="n">
        <v>74.435215978459</v>
      </c>
      <c r="Z56" t="n">
        <v>20.67644888290527</v>
      </c>
    </row>
    <row r="57">
      <c r="B57">
        <f>lc_detailed!B58</f>
        <v/>
      </c>
      <c r="C57">
        <f>lc_detailed!AT58</f>
        <v/>
      </c>
      <c r="D57">
        <f>lc_detailed!AU58</f>
        <v/>
      </c>
      <c r="E57">
        <f>lc_detailed!AV58</f>
        <v/>
      </c>
      <c r="F57">
        <f>lc_detailed!AW58</f>
        <v/>
      </c>
      <c r="G57">
        <f>lc_detailed!AX58</f>
        <v/>
      </c>
      <c r="H57">
        <f>lc_detailed!AY58</f>
        <v/>
      </c>
      <c r="I57">
        <f>lc_detailed!AZ58</f>
        <v/>
      </c>
      <c r="J57">
        <f>lc_detailed!BB58</f>
        <v/>
      </c>
      <c r="K57">
        <f>lc_detailed!BC58</f>
        <v/>
      </c>
      <c r="L57">
        <f>lc_detailed!AP58</f>
        <v/>
      </c>
      <c r="M57">
        <f>lc_detailed!AQ58</f>
        <v/>
      </c>
      <c r="O57" t="inlineStr">
        <is>
          <t>MIDAT_Bio_Ethanol_CCS_86_Agri</t>
        </is>
      </c>
      <c r="P57" t="n">
        <v>0</v>
      </c>
      <c r="Q57" t="n">
        <v>5.506518381119438</v>
      </c>
      <c r="R57" t="n">
        <v>47.53338914580344</v>
      </c>
      <c r="S57" t="n">
        <v>0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-0.0004565465633448139</v>
      </c>
      <c r="Y57" t="n">
        <v>75.4841929968519</v>
      </c>
      <c r="Z57" t="n">
        <v>20.96783138801442</v>
      </c>
    </row>
    <row r="58">
      <c r="B58">
        <f>lc_detailed!B59</f>
        <v/>
      </c>
      <c r="C58">
        <f>lc_detailed!AT59</f>
        <v/>
      </c>
      <c r="D58">
        <f>lc_detailed!AU59</f>
        <v/>
      </c>
      <c r="E58">
        <f>lc_detailed!AV59</f>
        <v/>
      </c>
      <c r="F58">
        <f>lc_detailed!AW59</f>
        <v/>
      </c>
      <c r="G58">
        <f>lc_detailed!AX59</f>
        <v/>
      </c>
      <c r="H58">
        <f>lc_detailed!AY59</f>
        <v/>
      </c>
      <c r="I58">
        <f>lc_detailed!AZ59</f>
        <v/>
      </c>
      <c r="J58">
        <f>lc_detailed!BB59</f>
        <v/>
      </c>
      <c r="K58">
        <f>lc_detailed!BC59</f>
        <v/>
      </c>
      <c r="L58">
        <f>lc_detailed!AP59</f>
        <v/>
      </c>
      <c r="M58">
        <f>lc_detailed!AQ59</f>
        <v/>
      </c>
      <c r="O58" t="inlineStr">
        <is>
          <t>NCEN_Bio_Ethanol_Herb</t>
        </is>
      </c>
      <c r="P58" t="n">
        <v>-3.314274193168728</v>
      </c>
      <c r="Q58" t="n">
        <v>0</v>
      </c>
      <c r="R58" t="n">
        <v>52.16977112235188</v>
      </c>
      <c r="S58" t="n">
        <v>0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-0.0005047768221020549</v>
      </c>
      <c r="Y58" t="n">
        <v>75.58253247212305</v>
      </c>
      <c r="Z58" t="n">
        <v>20.99514790892307</v>
      </c>
    </row>
    <row r="59">
      <c r="B59">
        <f>lc_detailed!B60</f>
        <v/>
      </c>
      <c r="C59">
        <f>lc_detailed!AT60</f>
        <v/>
      </c>
      <c r="D59">
        <f>lc_detailed!AU60</f>
        <v/>
      </c>
      <c r="E59">
        <f>lc_detailed!AV60</f>
        <v/>
      </c>
      <c r="F59">
        <f>lc_detailed!AW60</f>
        <v/>
      </c>
      <c r="G59">
        <f>lc_detailed!AX60</f>
        <v/>
      </c>
      <c r="H59">
        <f>lc_detailed!AY60</f>
        <v/>
      </c>
      <c r="I59">
        <f>lc_detailed!AZ60</f>
        <v/>
      </c>
      <c r="J59">
        <f>lc_detailed!BB60</f>
        <v/>
      </c>
      <c r="K59">
        <f>lc_detailed!BC60</f>
        <v/>
      </c>
      <c r="L59">
        <f>lc_detailed!AP60</f>
        <v/>
      </c>
      <c r="M59">
        <f>lc_detailed!AQ60</f>
        <v/>
      </c>
      <c r="O59" t="inlineStr">
        <is>
          <t>SE_Bio_Ethanol_Wood</t>
        </is>
      </c>
      <c r="P59" t="n">
        <v>-4.124833719838755</v>
      </c>
      <c r="Q59" t="n">
        <v>0</v>
      </c>
      <c r="R59" t="n">
        <v>54.33679671753527</v>
      </c>
      <c r="S59" t="n">
        <v>0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-0.0004691385827102938</v>
      </c>
      <c r="Y59" t="n">
        <v>75.8218594203331</v>
      </c>
      <c r="Z59" t="n">
        <v>21.06162761675919</v>
      </c>
    </row>
    <row r="60">
      <c r="B60">
        <f>lc_detailed!B61</f>
        <v/>
      </c>
      <c r="C60">
        <f>lc_detailed!AT61</f>
        <v/>
      </c>
      <c r="D60">
        <f>lc_detailed!AU61</f>
        <v/>
      </c>
      <c r="E60">
        <f>lc_detailed!AV61</f>
        <v/>
      </c>
      <c r="F60">
        <f>lc_detailed!AW61</f>
        <v/>
      </c>
      <c r="G60">
        <f>lc_detailed!AX61</f>
        <v/>
      </c>
      <c r="H60">
        <f>lc_detailed!AY61</f>
        <v/>
      </c>
      <c r="I60">
        <f>lc_detailed!AZ61</f>
        <v/>
      </c>
      <c r="J60">
        <f>lc_detailed!BB61</f>
        <v/>
      </c>
      <c r="K60">
        <f>lc_detailed!BC61</f>
        <v/>
      </c>
      <c r="L60">
        <f>lc_detailed!AP61</f>
        <v/>
      </c>
      <c r="M60">
        <f>lc_detailed!AQ61</f>
        <v/>
      </c>
      <c r="O60" t="inlineStr">
        <is>
          <t>TX_Bio_Ethanol_CCS_86_Herb</t>
        </is>
      </c>
      <c r="P60" t="n">
        <v>0</v>
      </c>
      <c r="Q60" t="n">
        <v>2.694500443499823</v>
      </c>
      <c r="R60" t="n">
        <v>69.80145134355548</v>
      </c>
      <c r="S60" t="n">
        <v>0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0.0005871314174957825</v>
      </c>
      <c r="Y60" t="n">
        <v>76.33741489746345</v>
      </c>
      <c r="Z60" t="n">
        <v>21.20483747151762</v>
      </c>
    </row>
    <row r="61">
      <c r="B61">
        <f>lc_detailed!B62</f>
        <v/>
      </c>
      <c r="C61">
        <f>lc_detailed!AT62</f>
        <v/>
      </c>
      <c r="D61">
        <f>lc_detailed!AU62</f>
        <v/>
      </c>
      <c r="E61">
        <f>lc_detailed!AV62</f>
        <v/>
      </c>
      <c r="F61">
        <f>lc_detailed!AW62</f>
        <v/>
      </c>
      <c r="G61">
        <f>lc_detailed!AX62</f>
        <v/>
      </c>
      <c r="H61">
        <f>lc_detailed!AY62</f>
        <v/>
      </c>
      <c r="I61">
        <f>lc_detailed!AZ62</f>
        <v/>
      </c>
      <c r="J61">
        <f>lc_detailed!BB62</f>
        <v/>
      </c>
      <c r="K61">
        <f>lc_detailed!BC62</f>
        <v/>
      </c>
      <c r="L61">
        <f>lc_detailed!AP62</f>
        <v/>
      </c>
      <c r="M61">
        <f>lc_detailed!AQ62</f>
        <v/>
      </c>
      <c r="O61" t="inlineStr">
        <is>
          <t>MIDAT_Bio_Ethanol_CCS_86_Wood</t>
        </is>
      </c>
      <c r="P61" t="n">
        <v>0</v>
      </c>
      <c r="Q61" t="n">
        <v>5.005272759530366</v>
      </c>
      <c r="R61" t="n">
        <v>52.50426245349567</v>
      </c>
      <c r="S61" t="n">
        <v>0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0.0001802689401768086</v>
      </c>
      <c r="Y61" t="n">
        <v>76.65188236136932</v>
      </c>
      <c r="Z61" t="n">
        <v>21.2921895448248</v>
      </c>
    </row>
    <row r="62">
      <c r="B62">
        <f>lc_detailed!B63</f>
        <v/>
      </c>
      <c r="C62">
        <f>lc_detailed!AT63</f>
        <v/>
      </c>
      <c r="D62">
        <f>lc_detailed!AU63</f>
        <v/>
      </c>
      <c r="E62">
        <f>lc_detailed!AV63</f>
        <v/>
      </c>
      <c r="F62">
        <f>lc_detailed!AW63</f>
        <v/>
      </c>
      <c r="G62">
        <f>lc_detailed!AX63</f>
        <v/>
      </c>
      <c r="H62">
        <f>lc_detailed!AY63</f>
        <v/>
      </c>
      <c r="I62">
        <f>lc_detailed!AZ63</f>
        <v/>
      </c>
      <c r="J62">
        <f>lc_detailed!BB63</f>
        <v/>
      </c>
      <c r="K62">
        <f>lc_detailed!BC63</f>
        <v/>
      </c>
      <c r="L62">
        <f>lc_detailed!AP63</f>
        <v/>
      </c>
      <c r="M62">
        <f>lc_detailed!AQ63</f>
        <v/>
      </c>
      <c r="O62" t="inlineStr">
        <is>
          <t>MIDAT_Bio_Ethanol_CCS_86_Herb</t>
        </is>
      </c>
      <c r="P62" t="n">
        <v>0</v>
      </c>
      <c r="Q62" t="n">
        <v>5.199464480224854</v>
      </c>
      <c r="R62" t="n">
        <v>50.57907247540655</v>
      </c>
      <c r="S62" t="n">
        <v>0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0.0001895915054659443</v>
      </c>
      <c r="Y62" t="n">
        <v>76.91400778945577</v>
      </c>
      <c r="Z62" t="n">
        <v>21.36500216373771</v>
      </c>
    </row>
    <row r="63">
      <c r="B63">
        <f>lc_detailed!B64</f>
        <v/>
      </c>
      <c r="C63">
        <f>lc_detailed!AT64</f>
        <v/>
      </c>
      <c r="D63">
        <f>lc_detailed!AU64</f>
        <v/>
      </c>
      <c r="E63">
        <f>lc_detailed!AV64</f>
        <v/>
      </c>
      <c r="F63">
        <f>lc_detailed!AW64</f>
        <v/>
      </c>
      <c r="G63">
        <f>lc_detailed!AX64</f>
        <v/>
      </c>
      <c r="H63">
        <f>lc_detailed!AY64</f>
        <v/>
      </c>
      <c r="I63">
        <f>lc_detailed!AZ64</f>
        <v/>
      </c>
      <c r="J63">
        <f>lc_detailed!BB64</f>
        <v/>
      </c>
      <c r="K63">
        <f>lc_detailed!BC64</f>
        <v/>
      </c>
      <c r="L63">
        <f>lc_detailed!AP64</f>
        <v/>
      </c>
      <c r="M63">
        <f>lc_detailed!AQ64</f>
        <v/>
      </c>
      <c r="O63" t="inlineStr">
        <is>
          <t>NCEN_Bio_Ethanol_Wood</t>
        </is>
      </c>
      <c r="P63" t="n">
        <v>-3.313363179943135</v>
      </c>
      <c r="Q63" t="n">
        <v>0</v>
      </c>
      <c r="R63" t="n">
        <v>55.67268517179895</v>
      </c>
      <c r="S63" t="n">
        <v>0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-0.0003510224517650988</v>
      </c>
      <c r="Y63" t="n">
        <v>78.07670975619448</v>
      </c>
      <c r="Z63" t="n">
        <v>21.68797493227624</v>
      </c>
    </row>
    <row r="64">
      <c r="B64">
        <f>lc_detailed!B65</f>
        <v/>
      </c>
      <c r="C64">
        <f>lc_detailed!AT65</f>
        <v/>
      </c>
      <c r="D64">
        <f>lc_detailed!AU65</f>
        <v/>
      </c>
      <c r="E64">
        <f>lc_detailed!AV65</f>
        <v/>
      </c>
      <c r="F64">
        <f>lc_detailed!AW65</f>
        <v/>
      </c>
      <c r="G64">
        <f>lc_detailed!AX65</f>
        <v/>
      </c>
      <c r="H64">
        <f>lc_detailed!AY65</f>
        <v/>
      </c>
      <c r="I64">
        <f>lc_detailed!AZ65</f>
        <v/>
      </c>
      <c r="J64">
        <f>lc_detailed!BB65</f>
        <v/>
      </c>
      <c r="K64">
        <f>lc_detailed!BC65</f>
        <v/>
      </c>
      <c r="L64">
        <f>lc_detailed!AP65</f>
        <v/>
      </c>
      <c r="M64">
        <f>lc_detailed!AQ65</f>
        <v/>
      </c>
      <c r="O64" t="inlineStr">
        <is>
          <t>CEN_Bio_Ethanol_Agri</t>
        </is>
      </c>
      <c r="P64" t="n">
        <v>-2.732416434631432</v>
      </c>
      <c r="Q64" t="n">
        <v>0</v>
      </c>
      <c r="R64" t="n">
        <v>52.86855568631646</v>
      </c>
      <c r="S64" t="n">
        <v>0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0.000567077659108979</v>
      </c>
      <c r="Y64" t="n">
        <v>78.68430435890913</v>
      </c>
      <c r="Z64" t="n">
        <v>21.85675121080809</v>
      </c>
    </row>
    <row r="65">
      <c r="B65">
        <f>lc_detailed!B66</f>
        <v/>
      </c>
      <c r="C65">
        <f>lc_detailed!AT66</f>
        <v/>
      </c>
      <c r="D65">
        <f>lc_detailed!AU66</f>
        <v/>
      </c>
      <c r="E65">
        <f>lc_detailed!AV66</f>
        <v/>
      </c>
      <c r="F65">
        <f>lc_detailed!AW66</f>
        <v/>
      </c>
      <c r="G65">
        <f>lc_detailed!AX66</f>
        <v/>
      </c>
      <c r="H65">
        <f>lc_detailed!AY66</f>
        <v/>
      </c>
      <c r="I65">
        <f>lc_detailed!AZ66</f>
        <v/>
      </c>
      <c r="J65">
        <f>lc_detailed!BB66</f>
        <v/>
      </c>
      <c r="K65">
        <f>lc_detailed!BC66</f>
        <v/>
      </c>
      <c r="L65">
        <f>lc_detailed!AP66</f>
        <v/>
      </c>
      <c r="M65">
        <f>lc_detailed!AQ66</f>
        <v/>
      </c>
      <c r="O65" t="inlineStr">
        <is>
          <t>CEN_Bio_Ethanol_CCS_20_Wood</t>
        </is>
      </c>
      <c r="P65" t="n">
        <v>0</v>
      </c>
      <c r="Q65" t="n">
        <v>0</v>
      </c>
      <c r="R65" t="n">
        <v>61.36631731047105</v>
      </c>
      <c r="S65" t="n">
        <v>0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-0.0002140066681115656</v>
      </c>
      <c r="Y65" t="n">
        <v>78.81373284973115</v>
      </c>
      <c r="Z65" t="n">
        <v>21.89270356936976</v>
      </c>
    </row>
    <row r="66">
      <c r="B66">
        <f>lc_detailed!B67</f>
        <v/>
      </c>
      <c r="C66">
        <f>lc_detailed!AT67</f>
        <v/>
      </c>
      <c r="D66">
        <f>lc_detailed!AU67</f>
        <v/>
      </c>
      <c r="E66">
        <f>lc_detailed!AV67</f>
        <v/>
      </c>
      <c r="F66">
        <f>lc_detailed!AW67</f>
        <v/>
      </c>
      <c r="G66">
        <f>lc_detailed!AX67</f>
        <v/>
      </c>
      <c r="H66">
        <f>lc_detailed!AY67</f>
        <v/>
      </c>
      <c r="I66">
        <f>lc_detailed!AZ67</f>
        <v/>
      </c>
      <c r="J66">
        <f>lc_detailed!BB67</f>
        <v/>
      </c>
      <c r="K66">
        <f>lc_detailed!BC67</f>
        <v/>
      </c>
      <c r="L66">
        <f>lc_detailed!AP67</f>
        <v/>
      </c>
      <c r="M66">
        <f>lc_detailed!AQ67</f>
        <v/>
      </c>
      <c r="O66" t="inlineStr">
        <is>
          <t>TX_Bio_Ethanol_CCS_86_Wood</t>
        </is>
      </c>
      <c r="P66" t="n">
        <v>0</v>
      </c>
      <c r="Q66" t="n">
        <v>2.587647531904553</v>
      </c>
      <c r="R66" t="n">
        <v>76.72709870243474</v>
      </c>
      <c r="S66" t="n">
        <v>0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-0.0001118098880148094</v>
      </c>
      <c r="Y66" t="n">
        <v>79.75240737551495</v>
      </c>
      <c r="Z66" t="n">
        <v>22.1534464931986</v>
      </c>
    </row>
    <row r="67">
      <c r="B67">
        <f>lc_detailed!B68</f>
        <v/>
      </c>
      <c r="C67">
        <f>lc_detailed!AT68</f>
        <v/>
      </c>
      <c r="D67">
        <f>lc_detailed!AU68</f>
        <v/>
      </c>
      <c r="E67">
        <f>lc_detailed!AV68</f>
        <v/>
      </c>
      <c r="F67">
        <f>lc_detailed!AW68</f>
        <v/>
      </c>
      <c r="G67">
        <f>lc_detailed!AX68</f>
        <v/>
      </c>
      <c r="H67">
        <f>lc_detailed!AY68</f>
        <v/>
      </c>
      <c r="I67">
        <f>lc_detailed!AZ68</f>
        <v/>
      </c>
      <c r="J67">
        <f>lc_detailed!BB68</f>
        <v/>
      </c>
      <c r="K67">
        <f>lc_detailed!BC68</f>
        <v/>
      </c>
      <c r="L67">
        <f>lc_detailed!AP68</f>
        <v/>
      </c>
      <c r="M67">
        <f>lc_detailed!AQ68</f>
        <v/>
      </c>
      <c r="O67" t="inlineStr">
        <is>
          <t>CEN_Bio_Ethanol_Herb</t>
        </is>
      </c>
      <c r="P67" t="n">
        <v>-2.733039724607014</v>
      </c>
      <c r="Q67" t="n">
        <v>0</v>
      </c>
      <c r="R67" t="n">
        <v>55.65372732769045</v>
      </c>
      <c r="S67" t="n">
        <v>0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0.0004590275527258122</v>
      </c>
      <c r="Y67" t="n">
        <v>79.80893369052572</v>
      </c>
      <c r="Z67" t="n">
        <v>22.16914824736826</v>
      </c>
    </row>
    <row r="68">
      <c r="B68">
        <f>lc_detailed!B69</f>
        <v/>
      </c>
      <c r="C68">
        <f>lc_detailed!AT69</f>
        <v/>
      </c>
      <c r="D68">
        <f>lc_detailed!AU69</f>
        <v/>
      </c>
      <c r="E68">
        <f>lc_detailed!AV69</f>
        <v/>
      </c>
      <c r="F68">
        <f>lc_detailed!AW69</f>
        <v/>
      </c>
      <c r="G68">
        <f>lc_detailed!AX69</f>
        <v/>
      </c>
      <c r="H68">
        <f>lc_detailed!AY69</f>
        <v/>
      </c>
      <c r="I68">
        <f>lc_detailed!AZ69</f>
        <v/>
      </c>
      <c r="J68">
        <f>lc_detailed!BB69</f>
        <v/>
      </c>
      <c r="K68">
        <f>lc_detailed!BC69</f>
        <v/>
      </c>
      <c r="L68">
        <f>lc_detailed!AP69</f>
        <v/>
      </c>
      <c r="M68">
        <f>lc_detailed!AQ69</f>
        <v/>
      </c>
      <c r="O68" t="inlineStr">
        <is>
          <t>TX_Bio_Ethanol_CCS_20_Agri</t>
        </is>
      </c>
      <c r="P68" t="n">
        <v>0</v>
      </c>
      <c r="Q68" t="n">
        <v>0</v>
      </c>
      <c r="R68" t="n">
        <v>61.65698427638135</v>
      </c>
      <c r="S68" t="n">
        <v>0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-0.0001583560618109812</v>
      </c>
      <c r="Y68" t="n">
        <v>81.24767409299976</v>
      </c>
      <c r="Z68" t="n">
        <v>22.5687983591666</v>
      </c>
    </row>
    <row r="69">
      <c r="B69">
        <f>lc_detailed!B70</f>
        <v/>
      </c>
      <c r="C69">
        <f>lc_detailed!AT70</f>
        <v/>
      </c>
      <c r="D69">
        <f>lc_detailed!AU70</f>
        <v/>
      </c>
      <c r="E69">
        <f>lc_detailed!AV70</f>
        <v/>
      </c>
      <c r="F69">
        <f>lc_detailed!AW70</f>
        <v/>
      </c>
      <c r="G69">
        <f>lc_detailed!AX70</f>
        <v/>
      </c>
      <c r="H69">
        <f>lc_detailed!AY70</f>
        <v/>
      </c>
      <c r="I69">
        <f>lc_detailed!AZ70</f>
        <v/>
      </c>
      <c r="J69">
        <f>lc_detailed!BB70</f>
        <v/>
      </c>
      <c r="K69">
        <f>lc_detailed!BC70</f>
        <v/>
      </c>
      <c r="L69">
        <f>lc_detailed!AP70</f>
        <v/>
      </c>
      <c r="M69">
        <f>lc_detailed!AQ70</f>
        <v/>
      </c>
      <c r="O69" t="inlineStr">
        <is>
          <t>CEN_Bio_Ethanol_Wood</t>
        </is>
      </c>
      <c r="P69" t="n">
        <v>-2.733479988295925</v>
      </c>
      <c r="Q69" t="n">
        <v>0</v>
      </c>
      <c r="R69" t="n">
        <v>61.36631731047105</v>
      </c>
      <c r="S69" t="n">
        <v>0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-0.0002139905846371669</v>
      </c>
      <c r="Y69" t="n">
        <v>84.33673649817788</v>
      </c>
      <c r="Z69" t="n">
        <v>23.42687124949386</v>
      </c>
    </row>
    <row r="70">
      <c r="B70">
        <f>lc_detailed!B71</f>
        <v/>
      </c>
      <c r="C70">
        <f>lc_detailed!AT71</f>
        <v/>
      </c>
      <c r="D70">
        <f>lc_detailed!AU71</f>
        <v/>
      </c>
      <c r="E70">
        <f>lc_detailed!AV71</f>
        <v/>
      </c>
      <c r="F70">
        <f>lc_detailed!AW71</f>
        <v/>
      </c>
      <c r="G70">
        <f>lc_detailed!AX71</f>
        <v/>
      </c>
      <c r="H70">
        <f>lc_detailed!AY71</f>
        <v/>
      </c>
      <c r="I70">
        <f>lc_detailed!AZ71</f>
        <v/>
      </c>
      <c r="J70">
        <f>lc_detailed!BB71</f>
        <v/>
      </c>
      <c r="K70">
        <f>lc_detailed!BC71</f>
        <v/>
      </c>
      <c r="L70">
        <f>lc_detailed!AP71</f>
        <v/>
      </c>
      <c r="M70">
        <f>lc_detailed!AQ71</f>
        <v/>
      </c>
      <c r="O70" t="inlineStr">
        <is>
          <t>TX_Bio_Ethanol_CCS_20_Herb</t>
        </is>
      </c>
      <c r="P70" t="n">
        <v>0</v>
      </c>
      <c r="Q70" t="n">
        <v>0</v>
      </c>
      <c r="R70" t="n">
        <v>69.80145134355548</v>
      </c>
      <c r="S70" t="n">
        <v>0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0.000587131417471473</v>
      </c>
      <c r="Y70" t="n">
        <v>87.32689659865908</v>
      </c>
      <c r="Z70" t="n">
        <v>24.2574712774053</v>
      </c>
    </row>
    <row r="71">
      <c r="B71">
        <f>lc_detailed!B72</f>
        <v/>
      </c>
      <c r="C71">
        <f>lc_detailed!AT72</f>
        <v/>
      </c>
      <c r="D71">
        <f>lc_detailed!AU72</f>
        <v/>
      </c>
      <c r="E71">
        <f>lc_detailed!AV72</f>
        <v/>
      </c>
      <c r="F71">
        <f>lc_detailed!AW72</f>
        <v/>
      </c>
      <c r="G71">
        <f>lc_detailed!AX72</f>
        <v/>
      </c>
      <c r="H71">
        <f>lc_detailed!AY72</f>
        <v/>
      </c>
      <c r="I71">
        <f>lc_detailed!AZ72</f>
        <v/>
      </c>
      <c r="J71">
        <f>lc_detailed!BB72</f>
        <v/>
      </c>
      <c r="K71">
        <f>lc_detailed!BC72</f>
        <v/>
      </c>
      <c r="L71">
        <f>lc_detailed!AP72</f>
        <v/>
      </c>
      <c r="M71">
        <f>lc_detailed!AQ72</f>
        <v/>
      </c>
      <c r="O71" t="inlineStr">
        <is>
          <t>TX_Bio_Ethanol_Agri</t>
        </is>
      </c>
      <c r="P71" t="n">
        <v>-2.18296761975418</v>
      </c>
      <c r="Q71" t="n">
        <v>0</v>
      </c>
      <c r="R71" t="n">
        <v>61.65698427638135</v>
      </c>
      <c r="S71" t="n">
        <v>0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-0.0001583399783487372</v>
      </c>
      <c r="Y71" t="n">
        <v>89.02035358653519</v>
      </c>
      <c r="Z71" t="n">
        <v>24.72787599625978</v>
      </c>
    </row>
    <row r="72">
      <c r="B72">
        <f>lc_detailed!B73</f>
        <v/>
      </c>
      <c r="C72">
        <f>lc_detailed!AT73</f>
        <v/>
      </c>
      <c r="D72">
        <f>lc_detailed!AU73</f>
        <v/>
      </c>
      <c r="E72">
        <f>lc_detailed!AV73</f>
        <v/>
      </c>
      <c r="F72">
        <f>lc_detailed!AW73</f>
        <v/>
      </c>
      <c r="G72">
        <f>lc_detailed!AX73</f>
        <v/>
      </c>
      <c r="H72">
        <f>lc_detailed!AY73</f>
        <v/>
      </c>
      <c r="I72">
        <f>lc_detailed!AZ73</f>
        <v/>
      </c>
      <c r="J72">
        <f>lc_detailed!BB73</f>
        <v/>
      </c>
      <c r="K72">
        <f>lc_detailed!BC73</f>
        <v/>
      </c>
      <c r="L72">
        <f>lc_detailed!AP73</f>
        <v/>
      </c>
      <c r="M72">
        <f>lc_detailed!AQ73</f>
        <v/>
      </c>
      <c r="O72" t="inlineStr">
        <is>
          <t>TX_Bio_Ethanol_CCS_20_Wood</t>
        </is>
      </c>
      <c r="P72" t="n">
        <v>0</v>
      </c>
      <c r="Q72" t="n">
        <v>0</v>
      </c>
      <c r="R72" t="n">
        <v>76.72709870243474</v>
      </c>
      <c r="S72" t="n">
        <v>0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-0.0001118098880391188</v>
      </c>
      <c r="Y72" t="n">
        <v>92.78501595927455</v>
      </c>
      <c r="Z72" t="n">
        <v>25.77361554424293</v>
      </c>
    </row>
    <row r="73">
      <c r="B73">
        <f>lc_detailed!B74</f>
        <v/>
      </c>
      <c r="C73">
        <f>lc_detailed!AT74</f>
        <v/>
      </c>
      <c r="D73">
        <f>lc_detailed!AU74</f>
        <v/>
      </c>
      <c r="E73">
        <f>lc_detailed!AV74</f>
        <v/>
      </c>
      <c r="F73">
        <f>lc_detailed!AW74</f>
        <v/>
      </c>
      <c r="G73">
        <f>lc_detailed!AX74</f>
        <v/>
      </c>
      <c r="H73">
        <f>lc_detailed!AY74</f>
        <v/>
      </c>
      <c r="I73">
        <f>lc_detailed!AZ74</f>
        <v/>
      </c>
      <c r="J73">
        <f>lc_detailed!BB74</f>
        <v/>
      </c>
      <c r="K73">
        <f>lc_detailed!BC74</f>
        <v/>
      </c>
      <c r="L73">
        <f>lc_detailed!AP74</f>
        <v/>
      </c>
      <c r="M73">
        <f>lc_detailed!AQ74</f>
        <v/>
      </c>
      <c r="O73" t="inlineStr">
        <is>
          <t>TX_Bio_Ethanol_Herb</t>
        </is>
      </c>
      <c r="P73" t="n">
        <v>-2.182627258944386</v>
      </c>
      <c r="Q73" t="n">
        <v>0</v>
      </c>
      <c r="R73" t="n">
        <v>69.80145134355548</v>
      </c>
      <c r="S73" t="n">
        <v>0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0.0005871475004596838</v>
      </c>
      <c r="Y73" t="n">
        <v>94.62557476455869</v>
      </c>
      <c r="Z73" t="n">
        <v>26.28488187904408</v>
      </c>
    </row>
    <row r="74">
      <c r="B74">
        <f>lc_detailed!B75</f>
        <v/>
      </c>
      <c r="C74">
        <f>lc_detailed!AT75</f>
        <v/>
      </c>
      <c r="D74">
        <f>lc_detailed!AU75</f>
        <v/>
      </c>
      <c r="E74">
        <f>lc_detailed!AV75</f>
        <v/>
      </c>
      <c r="F74">
        <f>lc_detailed!AW75</f>
        <v/>
      </c>
      <c r="G74">
        <f>lc_detailed!AX75</f>
        <v/>
      </c>
      <c r="H74">
        <f>lc_detailed!AY75</f>
        <v/>
      </c>
      <c r="I74">
        <f>lc_detailed!AZ75</f>
        <v/>
      </c>
      <c r="J74">
        <f>lc_detailed!BB75</f>
        <v/>
      </c>
      <c r="K74">
        <f>lc_detailed!BC75</f>
        <v/>
      </c>
      <c r="L74">
        <f>lc_detailed!AP75</f>
        <v/>
      </c>
      <c r="M74">
        <f>lc_detailed!AQ75</f>
        <v/>
      </c>
      <c r="O74" t="inlineStr">
        <is>
          <t>TX_Bio_Ethanol_Wood</t>
        </is>
      </c>
      <c r="P74" t="n">
        <v>-2.183573392234047</v>
      </c>
      <c r="Q74" t="n">
        <v>0</v>
      </c>
      <c r="R74" t="n">
        <v>76.72709870243474</v>
      </c>
      <c r="S74" t="n">
        <v>0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-0.0001117938045768748</v>
      </c>
      <c r="Y74" t="n">
        <v>100.4786226122161</v>
      </c>
      <c r="Z74" t="n">
        <v>27.91072850339336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2026-06-23T04:10:40Z</dcterms:modified>
  <cp:lastModifiedBy>Abigail Cheng</cp:lastModifiedBy>
</cp:coreProperties>
</file>