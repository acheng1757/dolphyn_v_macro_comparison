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bio_ethanol_lcoe/"/>
    </mc:Choice>
  </mc:AlternateContent>
  <xr:revisionPtr revIDLastSave="0" documentId="13_ncr:1_{1C0FEBC2-9F48-9D49-A873-C4495081E293}" xr6:coauthVersionLast="47" xr6:coauthVersionMax="47" xr10:uidLastSave="{00000000-0000-0000-0000-000000000000}"/>
  <bookViews>
    <workbookView xWindow="29400" yWindow="500" windowWidth="38400" windowHeight="23500" activeTab="1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 a="1"/>
  <c r="O3" i="2" s="1"/>
  <c r="B4" i="2"/>
  <c r="C4" i="2"/>
  <c r="D4" i="2"/>
  <c r="E4" i="2"/>
  <c r="F4" i="2"/>
  <c r="G4" i="2"/>
  <c r="H4" i="2"/>
  <c r="I4" i="2"/>
  <c r="J4" i="2"/>
  <c r="K4" i="2"/>
  <c r="L4" i="2"/>
  <c r="M4" i="2"/>
  <c r="B5" i="2"/>
  <c r="C5" i="2"/>
  <c r="D5" i="2"/>
  <c r="E5" i="2"/>
  <c r="F5" i="2"/>
  <c r="G5" i="2"/>
  <c r="H5" i="2"/>
  <c r="I5" i="2"/>
  <c r="J5" i="2"/>
  <c r="K5" i="2"/>
  <c r="L5" i="2"/>
  <c r="M5" i="2"/>
  <c r="B6" i="2"/>
  <c r="C6" i="2"/>
  <c r="D6" i="2"/>
  <c r="E6" i="2"/>
  <c r="F6" i="2"/>
  <c r="G6" i="2"/>
  <c r="H6" i="2"/>
  <c r="I6" i="2"/>
  <c r="J6" i="2"/>
  <c r="K6" i="2"/>
  <c r="L6" i="2"/>
  <c r="M6" i="2"/>
  <c r="B7" i="2"/>
  <c r="C7" i="2"/>
  <c r="D7" i="2"/>
  <c r="E7" i="2"/>
  <c r="F7" i="2"/>
  <c r="G7" i="2"/>
  <c r="H7" i="2"/>
  <c r="I7" i="2"/>
  <c r="J7" i="2"/>
  <c r="K7" i="2"/>
  <c r="L7" i="2"/>
  <c r="M7" i="2"/>
  <c r="B8" i="2"/>
  <c r="C8" i="2"/>
  <c r="D8" i="2"/>
  <c r="E8" i="2"/>
  <c r="F8" i="2"/>
  <c r="G8" i="2"/>
  <c r="H8" i="2"/>
  <c r="I8" i="2"/>
  <c r="J8" i="2"/>
  <c r="K8" i="2"/>
  <c r="L8" i="2"/>
  <c r="M8" i="2"/>
  <c r="B9" i="2"/>
  <c r="C9" i="2"/>
  <c r="D9" i="2"/>
  <c r="E9" i="2"/>
  <c r="F9" i="2"/>
  <c r="G9" i="2"/>
  <c r="H9" i="2"/>
  <c r="I9" i="2"/>
  <c r="J9" i="2"/>
  <c r="K9" i="2"/>
  <c r="L9" i="2"/>
  <c r="M9" i="2"/>
  <c r="B10" i="2"/>
  <c r="C10" i="2"/>
  <c r="D10" i="2"/>
  <c r="E10" i="2"/>
  <c r="F10" i="2"/>
  <c r="G10" i="2"/>
  <c r="H10" i="2"/>
  <c r="I10" i="2"/>
  <c r="J10" i="2"/>
  <c r="K10" i="2"/>
  <c r="L10" i="2"/>
  <c r="M10" i="2"/>
  <c r="B11" i="2"/>
  <c r="C11" i="2"/>
  <c r="D11" i="2"/>
  <c r="E11" i="2"/>
  <c r="F11" i="2"/>
  <c r="G11" i="2"/>
  <c r="H11" i="2"/>
  <c r="I11" i="2"/>
  <c r="J11" i="2"/>
  <c r="K11" i="2"/>
  <c r="L11" i="2"/>
  <c r="M11" i="2"/>
  <c r="B12" i="2"/>
  <c r="C12" i="2"/>
  <c r="D12" i="2"/>
  <c r="E12" i="2"/>
  <c r="F12" i="2"/>
  <c r="G12" i="2"/>
  <c r="H12" i="2"/>
  <c r="I12" i="2"/>
  <c r="J12" i="2"/>
  <c r="K12" i="2"/>
  <c r="L12" i="2"/>
  <c r="M12" i="2"/>
  <c r="B13" i="2"/>
  <c r="C13" i="2"/>
  <c r="D13" i="2"/>
  <c r="E13" i="2"/>
  <c r="F13" i="2"/>
  <c r="G13" i="2"/>
  <c r="H13" i="2"/>
  <c r="I13" i="2"/>
  <c r="J13" i="2"/>
  <c r="K13" i="2"/>
  <c r="L13" i="2"/>
  <c r="M13" i="2"/>
  <c r="B14" i="2"/>
  <c r="C14" i="2"/>
  <c r="D14" i="2"/>
  <c r="E14" i="2"/>
  <c r="F14" i="2"/>
  <c r="G14" i="2"/>
  <c r="H14" i="2"/>
  <c r="I14" i="2"/>
  <c r="J14" i="2"/>
  <c r="K14" i="2"/>
  <c r="L14" i="2"/>
  <c r="M14" i="2"/>
  <c r="B15" i="2"/>
  <c r="C15" i="2"/>
  <c r="D15" i="2"/>
  <c r="E15" i="2"/>
  <c r="F15" i="2"/>
  <c r="G15" i="2"/>
  <c r="H15" i="2"/>
  <c r="I15" i="2"/>
  <c r="J15" i="2"/>
  <c r="K15" i="2"/>
  <c r="L15" i="2"/>
  <c r="M15" i="2"/>
  <c r="B16" i="2"/>
  <c r="C16" i="2"/>
  <c r="D16" i="2"/>
  <c r="E16" i="2"/>
  <c r="F16" i="2"/>
  <c r="G16" i="2"/>
  <c r="H16" i="2"/>
  <c r="I16" i="2"/>
  <c r="J16" i="2"/>
  <c r="K16" i="2"/>
  <c r="L16" i="2"/>
  <c r="M16" i="2"/>
  <c r="B17" i="2"/>
  <c r="C17" i="2"/>
  <c r="D17" i="2"/>
  <c r="E17" i="2"/>
  <c r="F17" i="2"/>
  <c r="G17" i="2"/>
  <c r="H17" i="2"/>
  <c r="I17" i="2"/>
  <c r="J17" i="2"/>
  <c r="K17" i="2"/>
  <c r="L17" i="2"/>
  <c r="M17" i="2"/>
  <c r="B18" i="2"/>
  <c r="C18" i="2"/>
  <c r="D18" i="2"/>
  <c r="E18" i="2"/>
  <c r="F18" i="2"/>
  <c r="G18" i="2"/>
  <c r="H18" i="2"/>
  <c r="I18" i="2"/>
  <c r="J18" i="2"/>
  <c r="K18" i="2"/>
  <c r="L18" i="2"/>
  <c r="M18" i="2"/>
  <c r="B19" i="2"/>
  <c r="C19" i="2"/>
  <c r="D19" i="2"/>
  <c r="E19" i="2"/>
  <c r="F19" i="2"/>
  <c r="G19" i="2"/>
  <c r="H19" i="2"/>
  <c r="I19" i="2"/>
  <c r="J19" i="2"/>
  <c r="K19" i="2"/>
  <c r="L19" i="2"/>
  <c r="M19" i="2"/>
  <c r="B20" i="2"/>
  <c r="C20" i="2"/>
  <c r="D20" i="2"/>
  <c r="E20" i="2"/>
  <c r="F20" i="2"/>
  <c r="G20" i="2"/>
  <c r="H20" i="2"/>
  <c r="I20" i="2"/>
  <c r="J20" i="2"/>
  <c r="K20" i="2"/>
  <c r="L20" i="2"/>
  <c r="M20" i="2"/>
  <c r="B21" i="2"/>
  <c r="C21" i="2"/>
  <c r="D21" i="2"/>
  <c r="E21" i="2"/>
  <c r="F21" i="2"/>
  <c r="G21" i="2"/>
  <c r="H21" i="2"/>
  <c r="I21" i="2"/>
  <c r="J21" i="2"/>
  <c r="K21" i="2"/>
  <c r="L21" i="2"/>
  <c r="M21" i="2"/>
  <c r="B22" i="2"/>
  <c r="C22" i="2"/>
  <c r="D22" i="2"/>
  <c r="E22" i="2"/>
  <c r="F22" i="2"/>
  <c r="G22" i="2"/>
  <c r="H22" i="2"/>
  <c r="I22" i="2"/>
  <c r="J22" i="2"/>
  <c r="K22" i="2"/>
  <c r="L22" i="2"/>
  <c r="M22" i="2"/>
  <c r="B23" i="2"/>
  <c r="C23" i="2"/>
  <c r="D23" i="2"/>
  <c r="E23" i="2"/>
  <c r="F23" i="2"/>
  <c r="G23" i="2"/>
  <c r="H23" i="2"/>
  <c r="I23" i="2"/>
  <c r="J23" i="2"/>
  <c r="K23" i="2"/>
  <c r="L23" i="2"/>
  <c r="M23" i="2"/>
  <c r="B24" i="2"/>
  <c r="C24" i="2"/>
  <c r="D24" i="2"/>
  <c r="E24" i="2"/>
  <c r="F24" i="2"/>
  <c r="G24" i="2"/>
  <c r="H24" i="2"/>
  <c r="I24" i="2"/>
  <c r="J24" i="2"/>
  <c r="K24" i="2"/>
  <c r="L24" i="2"/>
  <c r="M24" i="2"/>
  <c r="B25" i="2"/>
  <c r="C25" i="2"/>
  <c r="D25" i="2"/>
  <c r="E25" i="2"/>
  <c r="F25" i="2"/>
  <c r="G25" i="2"/>
  <c r="H25" i="2"/>
  <c r="I25" i="2"/>
  <c r="J25" i="2"/>
  <c r="K25" i="2"/>
  <c r="L25" i="2"/>
  <c r="M25" i="2"/>
  <c r="B26" i="2"/>
  <c r="C26" i="2"/>
  <c r="D26" i="2"/>
  <c r="E26" i="2"/>
  <c r="F26" i="2"/>
  <c r="G26" i="2"/>
  <c r="H26" i="2"/>
  <c r="I26" i="2"/>
  <c r="J26" i="2"/>
  <c r="K26" i="2"/>
  <c r="L26" i="2"/>
  <c r="M26" i="2"/>
  <c r="B27" i="2"/>
  <c r="C27" i="2"/>
  <c r="D27" i="2"/>
  <c r="E27" i="2"/>
  <c r="F27" i="2"/>
  <c r="G27" i="2"/>
  <c r="H27" i="2"/>
  <c r="I27" i="2"/>
  <c r="J27" i="2"/>
  <c r="K27" i="2"/>
  <c r="L27" i="2"/>
  <c r="M27" i="2"/>
  <c r="B28" i="2"/>
  <c r="C28" i="2"/>
  <c r="D28" i="2"/>
  <c r="E28" i="2"/>
  <c r="F28" i="2"/>
  <c r="G28" i="2"/>
  <c r="H28" i="2"/>
  <c r="I28" i="2"/>
  <c r="J28" i="2"/>
  <c r="K28" i="2"/>
  <c r="L28" i="2"/>
  <c r="M28" i="2"/>
  <c r="B29" i="2"/>
  <c r="C29" i="2"/>
  <c r="D29" i="2"/>
  <c r="E29" i="2"/>
  <c r="F29" i="2"/>
  <c r="G29" i="2"/>
  <c r="H29" i="2"/>
  <c r="I29" i="2"/>
  <c r="J29" i="2"/>
  <c r="K29" i="2"/>
  <c r="L29" i="2"/>
  <c r="M29" i="2"/>
  <c r="B30" i="2"/>
  <c r="C30" i="2"/>
  <c r="D30" i="2"/>
  <c r="E30" i="2"/>
  <c r="F30" i="2"/>
  <c r="G30" i="2"/>
  <c r="H30" i="2"/>
  <c r="I30" i="2"/>
  <c r="J30" i="2"/>
  <c r="K30" i="2"/>
  <c r="L30" i="2"/>
  <c r="M30" i="2"/>
  <c r="B31" i="2"/>
  <c r="C31" i="2"/>
  <c r="D31" i="2"/>
  <c r="E31" i="2"/>
  <c r="F31" i="2"/>
  <c r="G31" i="2"/>
  <c r="H31" i="2"/>
  <c r="I31" i="2"/>
  <c r="J31" i="2"/>
  <c r="K31" i="2"/>
  <c r="L31" i="2"/>
  <c r="M31" i="2"/>
  <c r="B32" i="2"/>
  <c r="C32" i="2"/>
  <c r="D32" i="2"/>
  <c r="E32" i="2"/>
  <c r="F32" i="2"/>
  <c r="G32" i="2"/>
  <c r="H32" i="2"/>
  <c r="I32" i="2"/>
  <c r="J32" i="2"/>
  <c r="K32" i="2"/>
  <c r="L32" i="2"/>
  <c r="M32" i="2"/>
  <c r="B33" i="2"/>
  <c r="C33" i="2"/>
  <c r="D33" i="2"/>
  <c r="E33" i="2"/>
  <c r="F33" i="2"/>
  <c r="G33" i="2"/>
  <c r="H33" i="2"/>
  <c r="I33" i="2"/>
  <c r="J33" i="2"/>
  <c r="K33" i="2"/>
  <c r="L33" i="2"/>
  <c r="M33" i="2"/>
  <c r="B34" i="2"/>
  <c r="C34" i="2"/>
  <c r="D34" i="2"/>
  <c r="E34" i="2"/>
  <c r="F34" i="2"/>
  <c r="G34" i="2"/>
  <c r="H34" i="2"/>
  <c r="I34" i="2"/>
  <c r="J34" i="2"/>
  <c r="K34" i="2"/>
  <c r="L34" i="2"/>
  <c r="M34" i="2"/>
  <c r="B35" i="2"/>
  <c r="C35" i="2"/>
  <c r="D35" i="2"/>
  <c r="E35" i="2"/>
  <c r="F35" i="2"/>
  <c r="G35" i="2"/>
  <c r="H35" i="2"/>
  <c r="I35" i="2"/>
  <c r="J35" i="2"/>
  <c r="K35" i="2"/>
  <c r="L35" i="2"/>
  <c r="M35" i="2"/>
  <c r="B36" i="2"/>
  <c r="C36" i="2"/>
  <c r="D36" i="2"/>
  <c r="E36" i="2"/>
  <c r="F36" i="2"/>
  <c r="G36" i="2"/>
  <c r="H36" i="2"/>
  <c r="I36" i="2"/>
  <c r="J36" i="2"/>
  <c r="K36" i="2"/>
  <c r="L36" i="2"/>
  <c r="M36" i="2"/>
  <c r="B37" i="2"/>
  <c r="C37" i="2"/>
  <c r="D37" i="2"/>
  <c r="E37" i="2"/>
  <c r="F37" i="2"/>
  <c r="G37" i="2"/>
  <c r="H37" i="2"/>
  <c r="I37" i="2"/>
  <c r="J37" i="2"/>
  <c r="K37" i="2"/>
  <c r="L37" i="2"/>
  <c r="M37" i="2"/>
  <c r="B38" i="2"/>
  <c r="C38" i="2"/>
  <c r="D38" i="2"/>
  <c r="E38" i="2"/>
  <c r="F38" i="2"/>
  <c r="G38" i="2"/>
  <c r="H38" i="2"/>
  <c r="I38" i="2"/>
  <c r="J38" i="2"/>
  <c r="K38" i="2"/>
  <c r="L38" i="2"/>
  <c r="M38" i="2"/>
  <c r="B39" i="2"/>
  <c r="C39" i="2"/>
  <c r="D39" i="2"/>
  <c r="E39" i="2"/>
  <c r="F39" i="2"/>
  <c r="G39" i="2"/>
  <c r="H39" i="2"/>
  <c r="I39" i="2"/>
  <c r="J39" i="2"/>
  <c r="K39" i="2"/>
  <c r="L39" i="2"/>
  <c r="M39" i="2"/>
  <c r="B40" i="2"/>
  <c r="C40" i="2"/>
  <c r="D40" i="2"/>
  <c r="E40" i="2"/>
  <c r="F40" i="2"/>
  <c r="G40" i="2"/>
  <c r="H40" i="2"/>
  <c r="I40" i="2"/>
  <c r="J40" i="2"/>
  <c r="K40" i="2"/>
  <c r="L40" i="2"/>
  <c r="M40" i="2"/>
  <c r="B41" i="2"/>
  <c r="C41" i="2"/>
  <c r="D41" i="2"/>
  <c r="E41" i="2"/>
  <c r="F41" i="2"/>
  <c r="G41" i="2"/>
  <c r="H41" i="2"/>
  <c r="I41" i="2"/>
  <c r="J41" i="2"/>
  <c r="K41" i="2"/>
  <c r="L41" i="2"/>
  <c r="M41" i="2"/>
  <c r="B42" i="2"/>
  <c r="C42" i="2"/>
  <c r="D42" i="2"/>
  <c r="E42" i="2"/>
  <c r="F42" i="2"/>
  <c r="G42" i="2"/>
  <c r="H42" i="2"/>
  <c r="I42" i="2"/>
  <c r="J42" i="2"/>
  <c r="K42" i="2"/>
  <c r="L42" i="2"/>
  <c r="M42" i="2"/>
  <c r="B43" i="2"/>
  <c r="C43" i="2"/>
  <c r="D43" i="2"/>
  <c r="E43" i="2"/>
  <c r="F43" i="2"/>
  <c r="G43" i="2"/>
  <c r="H43" i="2"/>
  <c r="I43" i="2"/>
  <c r="J43" i="2"/>
  <c r="K43" i="2"/>
  <c r="L43" i="2"/>
  <c r="M43" i="2"/>
  <c r="B44" i="2"/>
  <c r="C44" i="2"/>
  <c r="D44" i="2"/>
  <c r="E44" i="2"/>
  <c r="F44" i="2"/>
  <c r="G44" i="2"/>
  <c r="H44" i="2"/>
  <c r="I44" i="2"/>
  <c r="J44" i="2"/>
  <c r="K44" i="2"/>
  <c r="L44" i="2"/>
  <c r="M44" i="2"/>
  <c r="B45" i="2"/>
  <c r="C45" i="2"/>
  <c r="D45" i="2"/>
  <c r="E45" i="2"/>
  <c r="F45" i="2"/>
  <c r="G45" i="2"/>
  <c r="H45" i="2"/>
  <c r="I45" i="2"/>
  <c r="J45" i="2"/>
  <c r="K45" i="2"/>
  <c r="L45" i="2"/>
  <c r="M45" i="2"/>
  <c r="B46" i="2"/>
  <c r="C46" i="2"/>
  <c r="D46" i="2"/>
  <c r="E46" i="2"/>
  <c r="F46" i="2"/>
  <c r="G46" i="2"/>
  <c r="H46" i="2"/>
  <c r="I46" i="2"/>
  <c r="J46" i="2"/>
  <c r="K46" i="2"/>
  <c r="L46" i="2"/>
  <c r="M46" i="2"/>
  <c r="B47" i="2"/>
  <c r="C47" i="2"/>
  <c r="D47" i="2"/>
  <c r="E47" i="2"/>
  <c r="F47" i="2"/>
  <c r="G47" i="2"/>
  <c r="H47" i="2"/>
  <c r="I47" i="2"/>
  <c r="J47" i="2"/>
  <c r="K47" i="2"/>
  <c r="L47" i="2"/>
  <c r="M47" i="2"/>
  <c r="B48" i="2"/>
  <c r="C48" i="2"/>
  <c r="D48" i="2"/>
  <c r="E48" i="2"/>
  <c r="F48" i="2"/>
  <c r="G48" i="2"/>
  <c r="H48" i="2"/>
  <c r="I48" i="2"/>
  <c r="J48" i="2"/>
  <c r="K48" i="2"/>
  <c r="L48" i="2"/>
  <c r="M48" i="2"/>
  <c r="B49" i="2"/>
  <c r="C49" i="2"/>
  <c r="D49" i="2"/>
  <c r="E49" i="2"/>
  <c r="F49" i="2"/>
  <c r="G49" i="2"/>
  <c r="H49" i="2"/>
  <c r="I49" i="2"/>
  <c r="J49" i="2"/>
  <c r="K49" i="2"/>
  <c r="L49" i="2"/>
  <c r="M49" i="2"/>
  <c r="B50" i="2"/>
  <c r="C50" i="2"/>
  <c r="D50" i="2"/>
  <c r="E50" i="2"/>
  <c r="F50" i="2"/>
  <c r="G50" i="2"/>
  <c r="H50" i="2"/>
  <c r="I50" i="2"/>
  <c r="J50" i="2"/>
  <c r="K50" i="2"/>
  <c r="L50" i="2"/>
  <c r="M50" i="2"/>
  <c r="B51" i="2"/>
  <c r="C51" i="2"/>
  <c r="D51" i="2"/>
  <c r="E51" i="2"/>
  <c r="F51" i="2"/>
  <c r="G51" i="2"/>
  <c r="H51" i="2"/>
  <c r="I51" i="2"/>
  <c r="J51" i="2"/>
  <c r="K51" i="2"/>
  <c r="L51" i="2"/>
  <c r="M51" i="2"/>
  <c r="B52" i="2"/>
  <c r="C52" i="2"/>
  <c r="D52" i="2"/>
  <c r="E52" i="2"/>
  <c r="F52" i="2"/>
  <c r="G52" i="2"/>
  <c r="H52" i="2"/>
  <c r="I52" i="2"/>
  <c r="J52" i="2"/>
  <c r="K52" i="2"/>
  <c r="L52" i="2"/>
  <c r="M52" i="2"/>
  <c r="B53" i="2"/>
  <c r="C53" i="2"/>
  <c r="D53" i="2"/>
  <c r="E53" i="2"/>
  <c r="F53" i="2"/>
  <c r="G53" i="2"/>
  <c r="H53" i="2"/>
  <c r="I53" i="2"/>
  <c r="J53" i="2"/>
  <c r="K53" i="2"/>
  <c r="L53" i="2"/>
  <c r="M53" i="2"/>
  <c r="B54" i="2"/>
  <c r="C54" i="2"/>
  <c r="D54" i="2"/>
  <c r="E54" i="2"/>
  <c r="F54" i="2"/>
  <c r="G54" i="2"/>
  <c r="H54" i="2"/>
  <c r="I54" i="2"/>
  <c r="J54" i="2"/>
  <c r="K54" i="2"/>
  <c r="L54" i="2"/>
  <c r="M54" i="2"/>
  <c r="B55" i="2"/>
  <c r="C55" i="2"/>
  <c r="D55" i="2"/>
  <c r="E55" i="2"/>
  <c r="F55" i="2"/>
  <c r="G55" i="2"/>
  <c r="H55" i="2"/>
  <c r="I55" i="2"/>
  <c r="J55" i="2"/>
  <c r="K55" i="2"/>
  <c r="L55" i="2"/>
  <c r="M55" i="2"/>
  <c r="B56" i="2"/>
  <c r="C56" i="2"/>
  <c r="D56" i="2"/>
  <c r="E56" i="2"/>
  <c r="F56" i="2"/>
  <c r="G56" i="2"/>
  <c r="H56" i="2"/>
  <c r="I56" i="2"/>
  <c r="J56" i="2"/>
  <c r="K56" i="2"/>
  <c r="L56" i="2"/>
  <c r="M56" i="2"/>
  <c r="B57" i="2"/>
  <c r="C57" i="2"/>
  <c r="D57" i="2"/>
  <c r="E57" i="2"/>
  <c r="F57" i="2"/>
  <c r="G57" i="2"/>
  <c r="H57" i="2"/>
  <c r="I57" i="2"/>
  <c r="J57" i="2"/>
  <c r="K57" i="2"/>
  <c r="L57" i="2"/>
  <c r="M57" i="2"/>
  <c r="B58" i="2"/>
  <c r="C58" i="2"/>
  <c r="D58" i="2"/>
  <c r="E58" i="2"/>
  <c r="F58" i="2"/>
  <c r="G58" i="2"/>
  <c r="H58" i="2"/>
  <c r="I58" i="2"/>
  <c r="J58" i="2"/>
  <c r="K58" i="2"/>
  <c r="L58" i="2"/>
  <c r="M58" i="2"/>
  <c r="B59" i="2"/>
  <c r="C59" i="2"/>
  <c r="D59" i="2"/>
  <c r="E59" i="2"/>
  <c r="F59" i="2"/>
  <c r="G59" i="2"/>
  <c r="H59" i="2"/>
  <c r="I59" i="2"/>
  <c r="J59" i="2"/>
  <c r="K59" i="2"/>
  <c r="L59" i="2"/>
  <c r="M59" i="2"/>
  <c r="B60" i="2"/>
  <c r="C60" i="2"/>
  <c r="D60" i="2"/>
  <c r="E60" i="2"/>
  <c r="F60" i="2"/>
  <c r="G60" i="2"/>
  <c r="H60" i="2"/>
  <c r="I60" i="2"/>
  <c r="J60" i="2"/>
  <c r="K60" i="2"/>
  <c r="L60" i="2"/>
  <c r="M60" i="2"/>
  <c r="B61" i="2"/>
  <c r="C61" i="2"/>
  <c r="D61" i="2"/>
  <c r="E61" i="2"/>
  <c r="F61" i="2"/>
  <c r="G61" i="2"/>
  <c r="H61" i="2"/>
  <c r="I61" i="2"/>
  <c r="J61" i="2"/>
  <c r="K61" i="2"/>
  <c r="L61" i="2"/>
  <c r="M61" i="2"/>
  <c r="B62" i="2"/>
  <c r="C62" i="2"/>
  <c r="D62" i="2"/>
  <c r="E62" i="2"/>
  <c r="F62" i="2"/>
  <c r="G62" i="2"/>
  <c r="H62" i="2"/>
  <c r="I62" i="2"/>
  <c r="J62" i="2"/>
  <c r="K62" i="2"/>
  <c r="L62" i="2"/>
  <c r="M62" i="2"/>
  <c r="B63" i="2"/>
  <c r="C63" i="2"/>
  <c r="D63" i="2"/>
  <c r="E63" i="2"/>
  <c r="F63" i="2"/>
  <c r="G63" i="2"/>
  <c r="H63" i="2"/>
  <c r="I63" i="2"/>
  <c r="J63" i="2"/>
  <c r="K63" i="2"/>
  <c r="L63" i="2"/>
  <c r="M63" i="2"/>
  <c r="B64" i="2"/>
  <c r="C64" i="2"/>
  <c r="D64" i="2"/>
  <c r="E64" i="2"/>
  <c r="F64" i="2"/>
  <c r="G64" i="2"/>
  <c r="H64" i="2"/>
  <c r="I64" i="2"/>
  <c r="J64" i="2"/>
  <c r="K64" i="2"/>
  <c r="L64" i="2"/>
  <c r="M64" i="2"/>
  <c r="B65" i="2"/>
  <c r="C65" i="2"/>
  <c r="D65" i="2"/>
  <c r="E65" i="2"/>
  <c r="F65" i="2"/>
  <c r="G65" i="2"/>
  <c r="H65" i="2"/>
  <c r="I65" i="2"/>
  <c r="J65" i="2"/>
  <c r="K65" i="2"/>
  <c r="L65" i="2"/>
  <c r="M65" i="2"/>
  <c r="B66" i="2"/>
  <c r="C66" i="2"/>
  <c r="D66" i="2"/>
  <c r="E66" i="2"/>
  <c r="F66" i="2"/>
  <c r="G66" i="2"/>
  <c r="H66" i="2"/>
  <c r="I66" i="2"/>
  <c r="J66" i="2"/>
  <c r="K66" i="2"/>
  <c r="L66" i="2"/>
  <c r="M66" i="2"/>
  <c r="B67" i="2"/>
  <c r="C67" i="2"/>
  <c r="D67" i="2"/>
  <c r="E67" i="2"/>
  <c r="F67" i="2"/>
  <c r="G67" i="2"/>
  <c r="H67" i="2"/>
  <c r="I67" i="2"/>
  <c r="J67" i="2"/>
  <c r="K67" i="2"/>
  <c r="L67" i="2"/>
  <c r="M67" i="2"/>
  <c r="B68" i="2"/>
  <c r="C68" i="2"/>
  <c r="D68" i="2"/>
  <c r="E68" i="2"/>
  <c r="F68" i="2"/>
  <c r="G68" i="2"/>
  <c r="H68" i="2"/>
  <c r="I68" i="2"/>
  <c r="J68" i="2"/>
  <c r="K68" i="2"/>
  <c r="L68" i="2"/>
  <c r="M68" i="2"/>
  <c r="B69" i="2"/>
  <c r="C69" i="2"/>
  <c r="D69" i="2"/>
  <c r="E69" i="2"/>
  <c r="F69" i="2"/>
  <c r="G69" i="2"/>
  <c r="H69" i="2"/>
  <c r="I69" i="2"/>
  <c r="J69" i="2"/>
  <c r="K69" i="2"/>
  <c r="L69" i="2"/>
  <c r="M69" i="2"/>
  <c r="B70" i="2"/>
  <c r="C70" i="2"/>
  <c r="D70" i="2"/>
  <c r="E70" i="2"/>
  <c r="F70" i="2"/>
  <c r="G70" i="2"/>
  <c r="H70" i="2"/>
  <c r="I70" i="2"/>
  <c r="J70" i="2"/>
  <c r="K70" i="2"/>
  <c r="L70" i="2"/>
  <c r="M70" i="2"/>
  <c r="B71" i="2"/>
  <c r="C71" i="2"/>
  <c r="D71" i="2"/>
  <c r="E71" i="2"/>
  <c r="F71" i="2"/>
  <c r="G71" i="2"/>
  <c r="H71" i="2"/>
  <c r="I71" i="2"/>
  <c r="J71" i="2"/>
  <c r="K71" i="2"/>
  <c r="L71" i="2"/>
  <c r="M71" i="2"/>
  <c r="B72" i="2"/>
  <c r="C72" i="2"/>
  <c r="D72" i="2"/>
  <c r="E72" i="2"/>
  <c r="F72" i="2"/>
  <c r="G72" i="2"/>
  <c r="H72" i="2"/>
  <c r="I72" i="2"/>
  <c r="J72" i="2"/>
  <c r="K72" i="2"/>
  <c r="L72" i="2"/>
  <c r="M72" i="2"/>
  <c r="B73" i="2"/>
  <c r="C73" i="2"/>
  <c r="D73" i="2"/>
  <c r="E73" i="2"/>
  <c r="F73" i="2"/>
  <c r="G73" i="2"/>
  <c r="H73" i="2"/>
  <c r="I73" i="2"/>
  <c r="J73" i="2"/>
  <c r="K73" i="2"/>
  <c r="L73" i="2"/>
  <c r="M73" i="2"/>
  <c r="B74" i="2"/>
  <c r="C74" i="2"/>
  <c r="D74" i="2"/>
  <c r="E74" i="2"/>
  <c r="F74" i="2"/>
  <c r="G74" i="2"/>
  <c r="H74" i="2"/>
  <c r="I74" i="2"/>
  <c r="J74" i="2"/>
  <c r="K74" i="2"/>
  <c r="L74" i="2"/>
  <c r="M74" i="2"/>
  <c r="M3" i="2"/>
  <c r="L3" i="2"/>
  <c r="K3" i="2"/>
  <c r="J3" i="2"/>
  <c r="D3" i="2"/>
  <c r="E3" i="2"/>
  <c r="F3" i="2"/>
  <c r="G3" i="2"/>
  <c r="H3" i="2"/>
  <c r="I3" i="2"/>
  <c r="C3" i="2"/>
  <c r="B3" i="2"/>
  <c r="BB4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4" i="1"/>
  <c r="BT4" i="1"/>
  <c r="BS4" i="1"/>
  <c r="BR4" i="1"/>
  <c r="BQ4" i="1"/>
  <c r="BQ5" i="1"/>
  <c r="BD4" i="1"/>
  <c r="BF4" i="1" s="1"/>
  <c r="AP4" i="1" s="1"/>
  <c r="AO4" i="1"/>
  <c r="BA75" i="1"/>
  <c r="AX75" i="1"/>
  <c r="AW75" i="1"/>
  <c r="AV42" i="1" a="1"/>
  <c r="AV42" i="1" s="1"/>
  <c r="AV43" i="1" a="1"/>
  <c r="AV43" i="1" s="1"/>
  <c r="AV44" i="1" a="1"/>
  <c r="AV44" i="1" s="1"/>
  <c r="AV45" i="1" a="1"/>
  <c r="AV45" i="1"/>
  <c r="AV46" i="1" a="1"/>
  <c r="AV46" i="1" s="1"/>
  <c r="AV47" i="1" a="1"/>
  <c r="AV47" i="1" s="1"/>
  <c r="AV48" i="1" a="1"/>
  <c r="AV48" i="1" s="1"/>
  <c r="AV49" i="1" a="1"/>
  <c r="AV49" i="1"/>
  <c r="AV50" i="1" a="1"/>
  <c r="AV50" i="1" s="1"/>
  <c r="AV51" i="1" a="1"/>
  <c r="AV51" i="1" s="1"/>
  <c r="AV52" i="1" a="1"/>
  <c r="AV52" i="1" s="1"/>
  <c r="AV53" i="1" a="1"/>
  <c r="AV53" i="1"/>
  <c r="AV54" i="1" a="1"/>
  <c r="AV54" i="1" s="1"/>
  <c r="AV55" i="1" a="1"/>
  <c r="AV55" i="1" s="1"/>
  <c r="AV56" i="1" a="1"/>
  <c r="AV56" i="1" s="1"/>
  <c r="AV57" i="1" a="1"/>
  <c r="AV57" i="1"/>
  <c r="AV58" i="1" a="1"/>
  <c r="AV58" i="1" s="1"/>
  <c r="AV59" i="1" a="1"/>
  <c r="AV59" i="1" s="1"/>
  <c r="AV60" i="1" a="1"/>
  <c r="AV60" i="1" s="1"/>
  <c r="AV61" i="1" a="1"/>
  <c r="AV61" i="1"/>
  <c r="AV62" i="1" a="1"/>
  <c r="AV62" i="1" s="1"/>
  <c r="AV63" i="1" a="1"/>
  <c r="AV63" i="1" s="1"/>
  <c r="AV64" i="1" a="1"/>
  <c r="AV64" i="1" s="1"/>
  <c r="AV65" i="1" a="1"/>
  <c r="AV65" i="1"/>
  <c r="AV66" i="1" a="1"/>
  <c r="AV66" i="1" s="1"/>
  <c r="AV67" i="1" a="1"/>
  <c r="AV67" i="1" s="1"/>
  <c r="AV68" i="1" a="1"/>
  <c r="AV68" i="1" s="1"/>
  <c r="AV69" i="1" a="1"/>
  <c r="AV69" i="1"/>
  <c r="AV70" i="1" a="1"/>
  <c r="AV70" i="1" s="1"/>
  <c r="AV71" i="1" a="1"/>
  <c r="AV71" i="1" s="1"/>
  <c r="AV72" i="1" a="1"/>
  <c r="AV72" i="1" s="1"/>
  <c r="AV73" i="1" a="1"/>
  <c r="AV73" i="1"/>
  <c r="AV74" i="1" a="1"/>
  <c r="AV74" i="1" s="1"/>
  <c r="AV75" i="1" a="1"/>
  <c r="AV75" i="1" s="1"/>
  <c r="AV5" i="1" a="1"/>
  <c r="AV5" i="1" s="1"/>
  <c r="AV6" i="1" a="1"/>
  <c r="AV6" i="1" s="1"/>
  <c r="AV7" i="1" a="1"/>
  <c r="AV7" i="1" s="1"/>
  <c r="AV8" i="1" a="1"/>
  <c r="AV8" i="1" s="1"/>
  <c r="AV9" i="1" a="1"/>
  <c r="AV9" i="1" s="1"/>
  <c r="AV10" i="1" a="1"/>
  <c r="AV10" i="1" s="1"/>
  <c r="AV11" i="1" a="1"/>
  <c r="AV11" i="1" s="1"/>
  <c r="AV12" i="1" a="1"/>
  <c r="AV12" i="1" s="1"/>
  <c r="AV13" i="1" a="1"/>
  <c r="AV13" i="1" s="1"/>
  <c r="AV14" i="1" a="1"/>
  <c r="AV14" i="1" s="1"/>
  <c r="AV15" i="1" a="1"/>
  <c r="AV15" i="1" s="1"/>
  <c r="AV16" i="1" a="1"/>
  <c r="AV16" i="1" s="1"/>
  <c r="AV17" i="1" a="1"/>
  <c r="AV17" i="1" s="1"/>
  <c r="AV18" i="1" a="1"/>
  <c r="AV18" i="1" s="1"/>
  <c r="AV19" i="1" a="1"/>
  <c r="AV19" i="1" s="1"/>
  <c r="AV20" i="1" a="1"/>
  <c r="AV20" i="1" s="1"/>
  <c r="AV21" i="1" a="1"/>
  <c r="AV21" i="1" s="1"/>
  <c r="AV22" i="1" a="1"/>
  <c r="AV22" i="1" s="1"/>
  <c r="AV23" i="1" a="1"/>
  <c r="AV23" i="1" s="1"/>
  <c r="AV24" i="1" a="1"/>
  <c r="AV24" i="1" s="1"/>
  <c r="AV25" i="1" a="1"/>
  <c r="AV25" i="1" s="1"/>
  <c r="AV26" i="1" a="1"/>
  <c r="AV26" i="1" s="1"/>
  <c r="AV27" i="1" a="1"/>
  <c r="AV27" i="1" s="1"/>
  <c r="AV28" i="1" a="1"/>
  <c r="AV28" i="1" s="1"/>
  <c r="AV29" i="1" a="1"/>
  <c r="AV29" i="1" s="1"/>
  <c r="AV30" i="1" a="1"/>
  <c r="AV30" i="1" s="1"/>
  <c r="AV31" i="1" a="1"/>
  <c r="AV31" i="1" s="1"/>
  <c r="AV32" i="1" a="1"/>
  <c r="AV32" i="1" s="1"/>
  <c r="AV33" i="1" a="1"/>
  <c r="AV33" i="1" s="1"/>
  <c r="AV34" i="1" a="1"/>
  <c r="AV34" i="1" s="1"/>
  <c r="AV35" i="1" a="1"/>
  <c r="AV35" i="1" s="1"/>
  <c r="AV36" i="1" a="1"/>
  <c r="AV36" i="1" s="1"/>
  <c r="AV37" i="1" a="1"/>
  <c r="AV37" i="1" s="1"/>
  <c r="AV38" i="1" a="1"/>
  <c r="AV38" i="1" s="1"/>
  <c r="AV39" i="1" a="1"/>
  <c r="AV39" i="1" s="1"/>
  <c r="AV40" i="1" a="1"/>
  <c r="AV40" i="1" s="1"/>
  <c r="AV41" i="1" a="1"/>
  <c r="AV41" i="1" s="1"/>
  <c r="AV4" i="1" a="1"/>
  <c r="AV4" i="1" s="1"/>
  <c r="AU4" i="1"/>
  <c r="AT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C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4" i="1"/>
  <c r="BQ26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27" i="1"/>
  <c r="BT75" i="1"/>
  <c r="BR75" i="1"/>
  <c r="BP75" i="1"/>
  <c r="BM75" i="1"/>
  <c r="BH75" i="1"/>
  <c r="BL75" i="1" s="1"/>
  <c r="AZ75" i="1"/>
  <c r="AY75" i="1"/>
  <c r="AU75" i="1"/>
  <c r="AT75" i="1"/>
  <c r="AN75" i="1"/>
  <c r="AM75" i="1"/>
  <c r="BT74" i="1"/>
  <c r="BR74" i="1"/>
  <c r="BP74" i="1"/>
  <c r="BM74" i="1"/>
  <c r="BL74" i="1"/>
  <c r="BH74" i="1"/>
  <c r="AZ74" i="1"/>
  <c r="AY74" i="1"/>
  <c r="AX74" i="1"/>
  <c r="AW74" i="1"/>
  <c r="AU74" i="1"/>
  <c r="AT74" i="1"/>
  <c r="AN74" i="1"/>
  <c r="AM74" i="1"/>
  <c r="BT73" i="1"/>
  <c r="BR73" i="1"/>
  <c r="BP73" i="1"/>
  <c r="BM73" i="1"/>
  <c r="BL73" i="1"/>
  <c r="BH73" i="1"/>
  <c r="AZ73" i="1"/>
  <c r="AY73" i="1"/>
  <c r="AX73" i="1"/>
  <c r="AW73" i="1"/>
  <c r="AU73" i="1"/>
  <c r="AT73" i="1"/>
  <c r="AN73" i="1"/>
  <c r="AM73" i="1"/>
  <c r="BT72" i="1"/>
  <c r="BR72" i="1"/>
  <c r="BP72" i="1"/>
  <c r="BM72" i="1"/>
  <c r="BL72" i="1"/>
  <c r="BH72" i="1"/>
  <c r="AZ72" i="1"/>
  <c r="AY72" i="1"/>
  <c r="AX72" i="1"/>
  <c r="AW72" i="1"/>
  <c r="AU72" i="1"/>
  <c r="AT72" i="1"/>
  <c r="AN72" i="1"/>
  <c r="AM72" i="1"/>
  <c r="BT71" i="1"/>
  <c r="BR71" i="1"/>
  <c r="BP71" i="1"/>
  <c r="BM71" i="1"/>
  <c r="BL71" i="1"/>
  <c r="BH71" i="1"/>
  <c r="AZ71" i="1"/>
  <c r="AY71" i="1"/>
  <c r="AX71" i="1"/>
  <c r="AW71" i="1"/>
  <c r="AU71" i="1"/>
  <c r="AT71" i="1"/>
  <c r="AN71" i="1"/>
  <c r="AM71" i="1"/>
  <c r="BT70" i="1"/>
  <c r="BR70" i="1"/>
  <c r="BP70" i="1"/>
  <c r="BM70" i="1"/>
  <c r="BL70" i="1"/>
  <c r="BH70" i="1"/>
  <c r="AZ70" i="1"/>
  <c r="AY70" i="1"/>
  <c r="AX70" i="1"/>
  <c r="AW70" i="1"/>
  <c r="AU70" i="1"/>
  <c r="AT70" i="1"/>
  <c r="AN70" i="1"/>
  <c r="AM70" i="1"/>
  <c r="BT69" i="1"/>
  <c r="BR69" i="1"/>
  <c r="BP69" i="1"/>
  <c r="BD69" i="1" s="1"/>
  <c r="BF69" i="1" s="1"/>
  <c r="BM69" i="1"/>
  <c r="BH69" i="1"/>
  <c r="BL69" i="1" s="1"/>
  <c r="AZ69" i="1"/>
  <c r="AY69" i="1"/>
  <c r="AX69" i="1"/>
  <c r="AW69" i="1"/>
  <c r="AU69" i="1"/>
  <c r="AT69" i="1"/>
  <c r="AN69" i="1"/>
  <c r="AM69" i="1"/>
  <c r="BT68" i="1"/>
  <c r="BR68" i="1"/>
  <c r="BP68" i="1"/>
  <c r="BM68" i="1"/>
  <c r="BH68" i="1"/>
  <c r="BL68" i="1" s="1"/>
  <c r="AZ68" i="1"/>
  <c r="AY68" i="1"/>
  <c r="AX68" i="1"/>
  <c r="AW68" i="1"/>
  <c r="AU68" i="1"/>
  <c r="AT68" i="1"/>
  <c r="AN68" i="1"/>
  <c r="AM68" i="1"/>
  <c r="BT67" i="1"/>
  <c r="BR67" i="1"/>
  <c r="BP67" i="1"/>
  <c r="BM67" i="1"/>
  <c r="BH67" i="1"/>
  <c r="BL67" i="1" s="1"/>
  <c r="AZ67" i="1"/>
  <c r="AY67" i="1"/>
  <c r="AX67" i="1"/>
  <c r="AW67" i="1"/>
  <c r="AU67" i="1"/>
  <c r="AT67" i="1"/>
  <c r="AN67" i="1"/>
  <c r="AM67" i="1"/>
  <c r="BT66" i="1"/>
  <c r="BR66" i="1"/>
  <c r="BU66" i="1" s="1"/>
  <c r="BP66" i="1"/>
  <c r="BM66" i="1"/>
  <c r="BL66" i="1"/>
  <c r="BN66" i="1" s="1"/>
  <c r="BH66" i="1"/>
  <c r="AZ66" i="1"/>
  <c r="AY66" i="1"/>
  <c r="AX66" i="1"/>
  <c r="AW66" i="1"/>
  <c r="AU66" i="1"/>
  <c r="AT66" i="1"/>
  <c r="AN66" i="1"/>
  <c r="AM66" i="1"/>
  <c r="BT65" i="1"/>
  <c r="BR65" i="1"/>
  <c r="BP65" i="1"/>
  <c r="BD65" i="1" s="1"/>
  <c r="BF65" i="1" s="1"/>
  <c r="BM65" i="1"/>
  <c r="BL65" i="1"/>
  <c r="BN65" i="1" s="1"/>
  <c r="BH65" i="1"/>
  <c r="AZ65" i="1"/>
  <c r="AY65" i="1"/>
  <c r="AX65" i="1"/>
  <c r="AW65" i="1"/>
  <c r="AU65" i="1"/>
  <c r="AT65" i="1"/>
  <c r="AN65" i="1"/>
  <c r="AM65" i="1"/>
  <c r="BT64" i="1"/>
  <c r="BR64" i="1"/>
  <c r="BP64" i="1"/>
  <c r="BD64" i="1" s="1"/>
  <c r="BF64" i="1" s="1"/>
  <c r="BN64" i="1"/>
  <c r="BM64" i="1"/>
  <c r="BL64" i="1"/>
  <c r="BH64" i="1"/>
  <c r="AZ64" i="1"/>
  <c r="AY64" i="1"/>
  <c r="AX64" i="1"/>
  <c r="AW64" i="1"/>
  <c r="AU64" i="1"/>
  <c r="AT64" i="1"/>
  <c r="AN64" i="1"/>
  <c r="AM64" i="1"/>
  <c r="BT63" i="1"/>
  <c r="BR63" i="1"/>
  <c r="BP63" i="1"/>
  <c r="BM63" i="1"/>
  <c r="BL63" i="1"/>
  <c r="BH63" i="1"/>
  <c r="AZ63" i="1"/>
  <c r="AY63" i="1"/>
  <c r="AX63" i="1"/>
  <c r="AW63" i="1"/>
  <c r="AU63" i="1"/>
  <c r="AT63" i="1"/>
  <c r="AN63" i="1"/>
  <c r="AM63" i="1"/>
  <c r="BT62" i="1"/>
  <c r="BR62" i="1"/>
  <c r="BP62" i="1"/>
  <c r="BD62" i="1" s="1"/>
  <c r="BF62" i="1" s="1"/>
  <c r="BM62" i="1"/>
  <c r="BH62" i="1"/>
  <c r="BL62" i="1" s="1"/>
  <c r="BN62" i="1" s="1"/>
  <c r="AZ62" i="1"/>
  <c r="AY62" i="1"/>
  <c r="AX62" i="1"/>
  <c r="AW62" i="1"/>
  <c r="AU62" i="1"/>
  <c r="AT62" i="1"/>
  <c r="AN62" i="1"/>
  <c r="AM62" i="1"/>
  <c r="BT61" i="1"/>
  <c r="BR61" i="1"/>
  <c r="BP61" i="1"/>
  <c r="BM61" i="1"/>
  <c r="BH61" i="1"/>
  <c r="BL61" i="1" s="1"/>
  <c r="AZ61" i="1"/>
  <c r="AY61" i="1"/>
  <c r="AX61" i="1"/>
  <c r="AW61" i="1"/>
  <c r="AU61" i="1"/>
  <c r="AT61" i="1"/>
  <c r="AN61" i="1"/>
  <c r="AM61" i="1"/>
  <c r="BT60" i="1"/>
  <c r="BR60" i="1"/>
  <c r="BP60" i="1"/>
  <c r="BU60" i="1" s="1"/>
  <c r="BM60" i="1"/>
  <c r="BH60" i="1"/>
  <c r="BL60" i="1" s="1"/>
  <c r="BD60" i="1" s="1"/>
  <c r="BF60" i="1" s="1"/>
  <c r="AZ60" i="1"/>
  <c r="AY60" i="1"/>
  <c r="AX60" i="1"/>
  <c r="AW60" i="1"/>
  <c r="AU60" i="1"/>
  <c r="AT60" i="1"/>
  <c r="AN60" i="1"/>
  <c r="AM60" i="1"/>
  <c r="BT59" i="1"/>
  <c r="BR59" i="1"/>
  <c r="BP59" i="1"/>
  <c r="BM59" i="1"/>
  <c r="BH59" i="1"/>
  <c r="BL59" i="1" s="1"/>
  <c r="AZ59" i="1"/>
  <c r="AY59" i="1"/>
  <c r="AX59" i="1"/>
  <c r="AW59" i="1"/>
  <c r="AU59" i="1"/>
  <c r="AT59" i="1"/>
  <c r="AN59" i="1"/>
  <c r="AM59" i="1"/>
  <c r="BT58" i="1"/>
  <c r="BR58" i="1"/>
  <c r="BP58" i="1"/>
  <c r="BD58" i="1" s="1"/>
  <c r="BF58" i="1" s="1"/>
  <c r="BN58" i="1"/>
  <c r="BM58" i="1"/>
  <c r="BL58" i="1"/>
  <c r="BH58" i="1"/>
  <c r="AZ58" i="1"/>
  <c r="AY58" i="1"/>
  <c r="AX58" i="1"/>
  <c r="AW58" i="1"/>
  <c r="AU58" i="1"/>
  <c r="AT58" i="1"/>
  <c r="AN58" i="1"/>
  <c r="AM58" i="1"/>
  <c r="BT57" i="1"/>
  <c r="BR57" i="1"/>
  <c r="BP57" i="1"/>
  <c r="BM57" i="1"/>
  <c r="BL57" i="1"/>
  <c r="BH57" i="1"/>
  <c r="AZ57" i="1"/>
  <c r="AY57" i="1"/>
  <c r="AX57" i="1"/>
  <c r="AW57" i="1"/>
  <c r="AU57" i="1"/>
  <c r="AT57" i="1"/>
  <c r="AN57" i="1"/>
  <c r="AM57" i="1"/>
  <c r="BT56" i="1"/>
  <c r="BU56" i="1" s="1"/>
  <c r="BR56" i="1"/>
  <c r="BP56" i="1"/>
  <c r="BM56" i="1"/>
  <c r="BL56" i="1"/>
  <c r="BN56" i="1" s="1"/>
  <c r="BH56" i="1"/>
  <c r="AZ56" i="1"/>
  <c r="AY56" i="1"/>
  <c r="AX56" i="1"/>
  <c r="AW56" i="1"/>
  <c r="AU56" i="1"/>
  <c r="AT56" i="1"/>
  <c r="AN56" i="1"/>
  <c r="AM56" i="1"/>
  <c r="BT55" i="1"/>
  <c r="BR55" i="1"/>
  <c r="BP55" i="1"/>
  <c r="BM55" i="1"/>
  <c r="BL55" i="1"/>
  <c r="BH55" i="1"/>
  <c r="AZ55" i="1"/>
  <c r="AY55" i="1"/>
  <c r="AX55" i="1"/>
  <c r="AW55" i="1"/>
  <c r="AU55" i="1"/>
  <c r="AT55" i="1"/>
  <c r="AN55" i="1"/>
  <c r="AM55" i="1"/>
  <c r="BT54" i="1"/>
  <c r="BR54" i="1"/>
  <c r="BP54" i="1"/>
  <c r="BM54" i="1"/>
  <c r="BL54" i="1"/>
  <c r="BH54" i="1"/>
  <c r="AZ54" i="1"/>
  <c r="AY54" i="1"/>
  <c r="AX54" i="1"/>
  <c r="AW54" i="1"/>
  <c r="AU54" i="1"/>
  <c r="AT54" i="1"/>
  <c r="AN54" i="1"/>
  <c r="AM54" i="1"/>
  <c r="BT53" i="1"/>
  <c r="BR53" i="1"/>
  <c r="BU53" i="1" s="1"/>
  <c r="BP53" i="1"/>
  <c r="BM53" i="1"/>
  <c r="BH53" i="1"/>
  <c r="BL53" i="1" s="1"/>
  <c r="AZ53" i="1"/>
  <c r="AY53" i="1"/>
  <c r="AX53" i="1"/>
  <c r="AW53" i="1"/>
  <c r="AU53" i="1"/>
  <c r="AT53" i="1"/>
  <c r="AN53" i="1"/>
  <c r="AM53" i="1"/>
  <c r="BT52" i="1"/>
  <c r="BR52" i="1"/>
  <c r="BU52" i="1" s="1"/>
  <c r="BP52" i="1"/>
  <c r="BM52" i="1"/>
  <c r="BH52" i="1"/>
  <c r="BL52" i="1" s="1"/>
  <c r="BN52" i="1" s="1"/>
  <c r="AZ52" i="1"/>
  <c r="AY52" i="1"/>
  <c r="AX52" i="1"/>
  <c r="AW52" i="1"/>
  <c r="AU52" i="1"/>
  <c r="AT52" i="1"/>
  <c r="AN52" i="1"/>
  <c r="AM52" i="1"/>
  <c r="BT51" i="1"/>
  <c r="BR51" i="1"/>
  <c r="BP51" i="1"/>
  <c r="BM51" i="1"/>
  <c r="BL51" i="1"/>
  <c r="BH51" i="1"/>
  <c r="AZ51" i="1"/>
  <c r="AY51" i="1"/>
  <c r="AX51" i="1"/>
  <c r="AW51" i="1"/>
  <c r="AU51" i="1"/>
  <c r="AT51" i="1"/>
  <c r="AN51" i="1"/>
  <c r="AM51" i="1"/>
  <c r="BT50" i="1"/>
  <c r="BR50" i="1"/>
  <c r="BP50" i="1"/>
  <c r="BM50" i="1"/>
  <c r="BH50" i="1"/>
  <c r="BL50" i="1" s="1"/>
  <c r="AZ50" i="1"/>
  <c r="AY50" i="1"/>
  <c r="AX50" i="1"/>
  <c r="AW50" i="1"/>
  <c r="AU50" i="1"/>
  <c r="AT50" i="1"/>
  <c r="AN50" i="1"/>
  <c r="AM50" i="1"/>
  <c r="BT49" i="1"/>
  <c r="BR49" i="1"/>
  <c r="BP49" i="1"/>
  <c r="BM49" i="1"/>
  <c r="BH49" i="1"/>
  <c r="BL49" i="1" s="1"/>
  <c r="BN49" i="1" s="1"/>
  <c r="AZ49" i="1"/>
  <c r="AY49" i="1"/>
  <c r="AX49" i="1"/>
  <c r="AW49" i="1"/>
  <c r="AU49" i="1"/>
  <c r="AT49" i="1"/>
  <c r="AN49" i="1"/>
  <c r="AM49" i="1"/>
  <c r="BU48" i="1"/>
  <c r="BT48" i="1"/>
  <c r="BR48" i="1"/>
  <c r="BP48" i="1"/>
  <c r="BM48" i="1"/>
  <c r="BH48" i="1"/>
  <c r="BL48" i="1" s="1"/>
  <c r="AZ48" i="1"/>
  <c r="AY48" i="1"/>
  <c r="AX48" i="1"/>
  <c r="AW48" i="1"/>
  <c r="AU48" i="1"/>
  <c r="AT48" i="1"/>
  <c r="AN48" i="1"/>
  <c r="AM48" i="1"/>
  <c r="BT47" i="1"/>
  <c r="BR47" i="1"/>
  <c r="BP47" i="1"/>
  <c r="BM47" i="1"/>
  <c r="BH47" i="1"/>
  <c r="BL47" i="1" s="1"/>
  <c r="AZ47" i="1"/>
  <c r="AY47" i="1"/>
  <c r="AX47" i="1"/>
  <c r="AW47" i="1"/>
  <c r="AU47" i="1"/>
  <c r="AT47" i="1"/>
  <c r="AN47" i="1"/>
  <c r="AM47" i="1"/>
  <c r="BT46" i="1"/>
  <c r="BR46" i="1"/>
  <c r="BP46" i="1"/>
  <c r="BM46" i="1"/>
  <c r="BH46" i="1"/>
  <c r="BL46" i="1" s="1"/>
  <c r="AZ46" i="1"/>
  <c r="AY46" i="1"/>
  <c r="AX46" i="1"/>
  <c r="AW46" i="1"/>
  <c r="AU46" i="1"/>
  <c r="AT46" i="1"/>
  <c r="AN46" i="1"/>
  <c r="AM46" i="1"/>
  <c r="BT45" i="1"/>
  <c r="BR45" i="1"/>
  <c r="BP45" i="1"/>
  <c r="BM45" i="1"/>
  <c r="BL45" i="1"/>
  <c r="BN45" i="1" s="1"/>
  <c r="BH45" i="1"/>
  <c r="BD45" i="1"/>
  <c r="BF45" i="1" s="1"/>
  <c r="AZ45" i="1"/>
  <c r="AY45" i="1"/>
  <c r="AX45" i="1"/>
  <c r="AW45" i="1"/>
  <c r="AU45" i="1"/>
  <c r="AT45" i="1"/>
  <c r="AN45" i="1"/>
  <c r="AM45" i="1"/>
  <c r="BT44" i="1"/>
  <c r="BR44" i="1"/>
  <c r="BP44" i="1"/>
  <c r="BU44" i="1" s="1"/>
  <c r="BM44" i="1"/>
  <c r="BN44" i="1" s="1"/>
  <c r="BL44" i="1"/>
  <c r="BH44" i="1"/>
  <c r="AZ44" i="1"/>
  <c r="AY44" i="1"/>
  <c r="AX44" i="1"/>
  <c r="AW44" i="1"/>
  <c r="AU44" i="1"/>
  <c r="AT44" i="1"/>
  <c r="AN44" i="1"/>
  <c r="AM44" i="1"/>
  <c r="BT43" i="1"/>
  <c r="BR43" i="1"/>
  <c r="BP43" i="1"/>
  <c r="BM43" i="1"/>
  <c r="BH43" i="1"/>
  <c r="BL43" i="1" s="1"/>
  <c r="AZ43" i="1"/>
  <c r="AY43" i="1"/>
  <c r="AX43" i="1"/>
  <c r="AW43" i="1"/>
  <c r="AU43" i="1"/>
  <c r="AT43" i="1"/>
  <c r="AN43" i="1"/>
  <c r="AM43" i="1"/>
  <c r="BT42" i="1"/>
  <c r="BR42" i="1"/>
  <c r="BP42" i="1"/>
  <c r="BM42" i="1"/>
  <c r="BH42" i="1"/>
  <c r="BL42" i="1" s="1"/>
  <c r="BN42" i="1" s="1"/>
  <c r="AZ42" i="1"/>
  <c r="AY42" i="1"/>
  <c r="AX42" i="1"/>
  <c r="AW42" i="1"/>
  <c r="AU42" i="1"/>
  <c r="AT42" i="1"/>
  <c r="AN42" i="1"/>
  <c r="AM42" i="1"/>
  <c r="BT41" i="1"/>
  <c r="BR41" i="1"/>
  <c r="BP41" i="1"/>
  <c r="BM41" i="1"/>
  <c r="BL41" i="1"/>
  <c r="BH41" i="1"/>
  <c r="AZ41" i="1"/>
  <c r="AY41" i="1"/>
  <c r="AX41" i="1"/>
  <c r="AW41" i="1"/>
  <c r="AU41" i="1"/>
  <c r="AT41" i="1"/>
  <c r="AN41" i="1"/>
  <c r="AM41" i="1"/>
  <c r="BT40" i="1"/>
  <c r="BR40" i="1"/>
  <c r="BP40" i="1"/>
  <c r="BM40" i="1"/>
  <c r="BH40" i="1"/>
  <c r="BL40" i="1" s="1"/>
  <c r="BN40" i="1" s="1"/>
  <c r="AZ40" i="1"/>
  <c r="AY40" i="1"/>
  <c r="AX40" i="1"/>
  <c r="AW40" i="1"/>
  <c r="AU40" i="1"/>
  <c r="AT40" i="1"/>
  <c r="AN40" i="1"/>
  <c r="AM40" i="1"/>
  <c r="BT39" i="1"/>
  <c r="BR39" i="1"/>
  <c r="BP39" i="1"/>
  <c r="BM39" i="1"/>
  <c r="BL39" i="1"/>
  <c r="BH39" i="1"/>
  <c r="AZ39" i="1"/>
  <c r="AY39" i="1"/>
  <c r="AX39" i="1"/>
  <c r="AW39" i="1"/>
  <c r="AU39" i="1"/>
  <c r="AT39" i="1"/>
  <c r="AN39" i="1"/>
  <c r="AM39" i="1"/>
  <c r="BT38" i="1"/>
  <c r="BR38" i="1"/>
  <c r="BP38" i="1"/>
  <c r="BU38" i="1" s="1"/>
  <c r="BM38" i="1"/>
  <c r="BH38" i="1"/>
  <c r="BL38" i="1" s="1"/>
  <c r="BN38" i="1" s="1"/>
  <c r="AZ38" i="1"/>
  <c r="AY38" i="1"/>
  <c r="AX38" i="1"/>
  <c r="AW38" i="1"/>
  <c r="AU38" i="1"/>
  <c r="AT38" i="1"/>
  <c r="AN38" i="1"/>
  <c r="AM38" i="1"/>
  <c r="BT37" i="1"/>
  <c r="BR37" i="1"/>
  <c r="BP37" i="1"/>
  <c r="BM37" i="1"/>
  <c r="BL37" i="1"/>
  <c r="BH37" i="1"/>
  <c r="AZ37" i="1"/>
  <c r="AY37" i="1"/>
  <c r="AX37" i="1"/>
  <c r="AW37" i="1"/>
  <c r="AU37" i="1"/>
  <c r="AT37" i="1"/>
  <c r="AN37" i="1"/>
  <c r="AM37" i="1"/>
  <c r="BT36" i="1"/>
  <c r="BR36" i="1"/>
  <c r="BP36" i="1"/>
  <c r="BM36" i="1"/>
  <c r="BH36" i="1"/>
  <c r="BL36" i="1" s="1"/>
  <c r="BN36" i="1" s="1"/>
  <c r="AZ36" i="1"/>
  <c r="AY36" i="1"/>
  <c r="AX36" i="1"/>
  <c r="AW36" i="1"/>
  <c r="AU36" i="1"/>
  <c r="AT36" i="1"/>
  <c r="AN36" i="1"/>
  <c r="AM36" i="1"/>
  <c r="BT35" i="1"/>
  <c r="BR35" i="1"/>
  <c r="BP35" i="1"/>
  <c r="BM35" i="1"/>
  <c r="BL35" i="1"/>
  <c r="BH35" i="1"/>
  <c r="AZ35" i="1"/>
  <c r="AY35" i="1"/>
  <c r="AX35" i="1"/>
  <c r="AW35" i="1"/>
  <c r="AU35" i="1"/>
  <c r="AT35" i="1"/>
  <c r="AN35" i="1"/>
  <c r="AM35" i="1"/>
  <c r="BT34" i="1"/>
  <c r="BR34" i="1"/>
  <c r="BD34" i="1" s="1"/>
  <c r="BF34" i="1" s="1"/>
  <c r="BP34" i="1"/>
  <c r="BM34" i="1"/>
  <c r="BL34" i="1"/>
  <c r="BN34" i="1" s="1"/>
  <c r="BH34" i="1"/>
  <c r="AZ34" i="1"/>
  <c r="AY34" i="1"/>
  <c r="AX34" i="1"/>
  <c r="AW34" i="1"/>
  <c r="AU34" i="1"/>
  <c r="AT34" i="1"/>
  <c r="AN34" i="1"/>
  <c r="AM34" i="1"/>
  <c r="BT33" i="1"/>
  <c r="BR33" i="1"/>
  <c r="BP33" i="1"/>
  <c r="BU33" i="1" s="1"/>
  <c r="BM33" i="1"/>
  <c r="BH33" i="1"/>
  <c r="BL33" i="1" s="1"/>
  <c r="AZ33" i="1"/>
  <c r="AY33" i="1"/>
  <c r="AX33" i="1"/>
  <c r="AW33" i="1"/>
  <c r="AU33" i="1"/>
  <c r="AT33" i="1"/>
  <c r="AN33" i="1"/>
  <c r="AM33" i="1"/>
  <c r="BT32" i="1"/>
  <c r="BR32" i="1"/>
  <c r="BP32" i="1"/>
  <c r="BM32" i="1"/>
  <c r="BH32" i="1"/>
  <c r="BL32" i="1" s="1"/>
  <c r="BN32" i="1" s="1"/>
  <c r="AZ32" i="1"/>
  <c r="AY32" i="1"/>
  <c r="AX32" i="1"/>
  <c r="AW32" i="1"/>
  <c r="AU32" i="1"/>
  <c r="AT32" i="1"/>
  <c r="AN32" i="1"/>
  <c r="AM32" i="1"/>
  <c r="BT31" i="1"/>
  <c r="BR31" i="1"/>
  <c r="BP31" i="1"/>
  <c r="BU31" i="1" s="1"/>
  <c r="BM31" i="1"/>
  <c r="BH31" i="1"/>
  <c r="BL31" i="1" s="1"/>
  <c r="AZ31" i="1"/>
  <c r="AY31" i="1"/>
  <c r="AX31" i="1"/>
  <c r="AW31" i="1"/>
  <c r="AU31" i="1"/>
  <c r="AT31" i="1"/>
  <c r="AN31" i="1"/>
  <c r="AM31" i="1"/>
  <c r="BT30" i="1"/>
  <c r="BR30" i="1"/>
  <c r="BU30" i="1" s="1"/>
  <c r="BP30" i="1"/>
  <c r="BM30" i="1"/>
  <c r="BH30" i="1"/>
  <c r="BL30" i="1" s="1"/>
  <c r="AZ30" i="1"/>
  <c r="AY30" i="1"/>
  <c r="AX30" i="1"/>
  <c r="AW30" i="1"/>
  <c r="AU30" i="1"/>
  <c r="AT30" i="1"/>
  <c r="AN30" i="1"/>
  <c r="AM30" i="1"/>
  <c r="BT29" i="1"/>
  <c r="BR29" i="1"/>
  <c r="BP29" i="1"/>
  <c r="BU29" i="1" s="1"/>
  <c r="BM29" i="1"/>
  <c r="BH29" i="1"/>
  <c r="BL29" i="1" s="1"/>
  <c r="AZ29" i="1"/>
  <c r="AY29" i="1"/>
  <c r="AX29" i="1"/>
  <c r="AW29" i="1"/>
  <c r="AU29" i="1"/>
  <c r="AT29" i="1"/>
  <c r="AN29" i="1"/>
  <c r="AM29" i="1"/>
  <c r="BT28" i="1"/>
  <c r="BR28" i="1"/>
  <c r="BP28" i="1"/>
  <c r="BU28" i="1" s="1"/>
  <c r="BM28" i="1"/>
  <c r="BH28" i="1"/>
  <c r="BL28" i="1" s="1"/>
  <c r="AZ28" i="1"/>
  <c r="AY28" i="1"/>
  <c r="AX28" i="1"/>
  <c r="AW28" i="1"/>
  <c r="AU28" i="1"/>
  <c r="AT28" i="1"/>
  <c r="AN28" i="1"/>
  <c r="AM28" i="1"/>
  <c r="BT27" i="1"/>
  <c r="BR27" i="1"/>
  <c r="BQ27" i="1"/>
  <c r="BP27" i="1"/>
  <c r="BM27" i="1"/>
  <c r="BH27" i="1"/>
  <c r="BL27" i="1" s="1"/>
  <c r="AZ27" i="1"/>
  <c r="AY27" i="1"/>
  <c r="AX27" i="1"/>
  <c r="AW27" i="1"/>
  <c r="AU27" i="1"/>
  <c r="AT27" i="1"/>
  <c r="AN27" i="1"/>
  <c r="AM27" i="1"/>
  <c r="BT26" i="1"/>
  <c r="BS26" i="1"/>
  <c r="BR26" i="1"/>
  <c r="BP26" i="1"/>
  <c r="BM26" i="1"/>
  <c r="BH26" i="1"/>
  <c r="BL26" i="1" s="1"/>
  <c r="AZ26" i="1"/>
  <c r="AY26" i="1"/>
  <c r="AX26" i="1"/>
  <c r="AW26" i="1"/>
  <c r="AU26" i="1"/>
  <c r="AT26" i="1"/>
  <c r="AN26" i="1"/>
  <c r="AM26" i="1"/>
  <c r="BT25" i="1"/>
  <c r="BS25" i="1"/>
  <c r="BR25" i="1"/>
  <c r="BQ25" i="1"/>
  <c r="BP25" i="1"/>
  <c r="BU25" i="1" s="1"/>
  <c r="BM25" i="1"/>
  <c r="BH25" i="1"/>
  <c r="BL25" i="1" s="1"/>
  <c r="BD25" i="1" s="1"/>
  <c r="BF25" i="1" s="1"/>
  <c r="AZ25" i="1"/>
  <c r="AY25" i="1"/>
  <c r="AX25" i="1"/>
  <c r="AW25" i="1"/>
  <c r="AU25" i="1"/>
  <c r="AT25" i="1"/>
  <c r="AN25" i="1"/>
  <c r="AM25" i="1"/>
  <c r="BT24" i="1"/>
  <c r="BS24" i="1"/>
  <c r="BR24" i="1"/>
  <c r="BD24" i="1" s="1"/>
  <c r="BF24" i="1" s="1"/>
  <c r="BQ24" i="1"/>
  <c r="BP24" i="1"/>
  <c r="BM24" i="1"/>
  <c r="BL24" i="1"/>
  <c r="BH24" i="1"/>
  <c r="AZ24" i="1"/>
  <c r="AY24" i="1"/>
  <c r="AX24" i="1"/>
  <c r="AW24" i="1"/>
  <c r="AU24" i="1"/>
  <c r="AT24" i="1"/>
  <c r="AN24" i="1"/>
  <c r="AM24" i="1"/>
  <c r="BT23" i="1"/>
  <c r="BS23" i="1"/>
  <c r="BR23" i="1"/>
  <c r="BQ23" i="1"/>
  <c r="BP23" i="1"/>
  <c r="BM23" i="1"/>
  <c r="BH23" i="1"/>
  <c r="BL23" i="1" s="1"/>
  <c r="AZ23" i="1"/>
  <c r="AY23" i="1"/>
  <c r="AX23" i="1"/>
  <c r="AW23" i="1"/>
  <c r="AU23" i="1"/>
  <c r="AT23" i="1"/>
  <c r="AN23" i="1"/>
  <c r="AM23" i="1"/>
  <c r="BT22" i="1"/>
  <c r="BS22" i="1"/>
  <c r="BR22" i="1"/>
  <c r="BQ22" i="1"/>
  <c r="BP22" i="1"/>
  <c r="BM22" i="1"/>
  <c r="BL22" i="1"/>
  <c r="BD22" i="1" s="1"/>
  <c r="BF22" i="1" s="1"/>
  <c r="BH22" i="1"/>
  <c r="AZ22" i="1"/>
  <c r="AY22" i="1"/>
  <c r="AX22" i="1"/>
  <c r="AW22" i="1"/>
  <c r="AU22" i="1"/>
  <c r="AT22" i="1"/>
  <c r="AN22" i="1"/>
  <c r="AM22" i="1"/>
  <c r="BT21" i="1"/>
  <c r="BS21" i="1"/>
  <c r="BR21" i="1"/>
  <c r="BQ21" i="1"/>
  <c r="BP21" i="1"/>
  <c r="BM21" i="1"/>
  <c r="BL21" i="1"/>
  <c r="BH21" i="1"/>
  <c r="AZ21" i="1"/>
  <c r="AY21" i="1"/>
  <c r="AX21" i="1"/>
  <c r="AW21" i="1"/>
  <c r="AU21" i="1"/>
  <c r="AT21" i="1"/>
  <c r="AN21" i="1"/>
  <c r="AM21" i="1"/>
  <c r="BT20" i="1"/>
  <c r="BS20" i="1"/>
  <c r="BR20" i="1"/>
  <c r="BQ20" i="1"/>
  <c r="BP20" i="1"/>
  <c r="BM20" i="1"/>
  <c r="BH20" i="1"/>
  <c r="BL20" i="1" s="1"/>
  <c r="AZ20" i="1"/>
  <c r="AY20" i="1"/>
  <c r="AX20" i="1"/>
  <c r="AW20" i="1"/>
  <c r="AU20" i="1"/>
  <c r="AT20" i="1"/>
  <c r="AN20" i="1"/>
  <c r="AM20" i="1"/>
  <c r="BT19" i="1"/>
  <c r="BS19" i="1"/>
  <c r="BR19" i="1"/>
  <c r="BQ19" i="1"/>
  <c r="BU19" i="1" s="1"/>
  <c r="BP19" i="1"/>
  <c r="BM19" i="1"/>
  <c r="BH19" i="1"/>
  <c r="BL19" i="1" s="1"/>
  <c r="AZ19" i="1"/>
  <c r="AY19" i="1"/>
  <c r="AX19" i="1"/>
  <c r="AW19" i="1"/>
  <c r="AU19" i="1"/>
  <c r="AT19" i="1"/>
  <c r="AN19" i="1"/>
  <c r="AM19" i="1"/>
  <c r="BT18" i="1"/>
  <c r="BS18" i="1"/>
  <c r="BR18" i="1"/>
  <c r="BQ18" i="1"/>
  <c r="BP18" i="1"/>
  <c r="BU18" i="1" s="1"/>
  <c r="BM18" i="1"/>
  <c r="BH18" i="1"/>
  <c r="BL18" i="1" s="1"/>
  <c r="BD18" i="1" s="1"/>
  <c r="BF18" i="1" s="1"/>
  <c r="AZ18" i="1"/>
  <c r="AY18" i="1"/>
  <c r="AX18" i="1"/>
  <c r="AW18" i="1"/>
  <c r="AU18" i="1"/>
  <c r="AT18" i="1"/>
  <c r="AN18" i="1"/>
  <c r="AM18" i="1"/>
  <c r="BT17" i="1"/>
  <c r="BS17" i="1"/>
  <c r="BR17" i="1"/>
  <c r="BQ17" i="1"/>
  <c r="BP17" i="1"/>
  <c r="BM17" i="1"/>
  <c r="BL17" i="1"/>
  <c r="BD17" i="1" s="1"/>
  <c r="BF17" i="1" s="1"/>
  <c r="BH17" i="1"/>
  <c r="AZ17" i="1"/>
  <c r="AY17" i="1"/>
  <c r="AX17" i="1"/>
  <c r="AW17" i="1"/>
  <c r="AU17" i="1"/>
  <c r="AT17" i="1"/>
  <c r="AN17" i="1"/>
  <c r="AM17" i="1"/>
  <c r="BT16" i="1"/>
  <c r="BS16" i="1"/>
  <c r="BR16" i="1"/>
  <c r="BQ16" i="1"/>
  <c r="BP16" i="1"/>
  <c r="BM16" i="1"/>
  <c r="BH16" i="1"/>
  <c r="BL16" i="1" s="1"/>
  <c r="BN16" i="1" s="1"/>
  <c r="AZ16" i="1"/>
  <c r="AY16" i="1"/>
  <c r="AX16" i="1"/>
  <c r="AW16" i="1"/>
  <c r="AU16" i="1"/>
  <c r="AT16" i="1"/>
  <c r="AN16" i="1"/>
  <c r="AM16" i="1"/>
  <c r="BT15" i="1"/>
  <c r="BS15" i="1"/>
  <c r="BR15" i="1"/>
  <c r="BQ15" i="1"/>
  <c r="BP15" i="1"/>
  <c r="BM15" i="1"/>
  <c r="BH15" i="1"/>
  <c r="BL15" i="1" s="1"/>
  <c r="AZ15" i="1"/>
  <c r="AY15" i="1"/>
  <c r="AX15" i="1"/>
  <c r="AW15" i="1"/>
  <c r="AU15" i="1"/>
  <c r="AT15" i="1"/>
  <c r="AN15" i="1"/>
  <c r="AM15" i="1"/>
  <c r="BT14" i="1"/>
  <c r="BS14" i="1"/>
  <c r="BR14" i="1"/>
  <c r="BQ14" i="1"/>
  <c r="BP14" i="1"/>
  <c r="BU14" i="1" s="1"/>
  <c r="BM14" i="1"/>
  <c r="BH14" i="1"/>
  <c r="BL14" i="1" s="1"/>
  <c r="BD14" i="1" s="1"/>
  <c r="BF14" i="1" s="1"/>
  <c r="AZ14" i="1"/>
  <c r="AY14" i="1"/>
  <c r="AX14" i="1"/>
  <c r="AW14" i="1"/>
  <c r="AU14" i="1"/>
  <c r="AT14" i="1"/>
  <c r="AN14" i="1"/>
  <c r="AM14" i="1"/>
  <c r="BT13" i="1"/>
  <c r="BS13" i="1"/>
  <c r="BR13" i="1"/>
  <c r="BQ13" i="1"/>
  <c r="BP13" i="1"/>
  <c r="BM13" i="1"/>
  <c r="BL13" i="1"/>
  <c r="BH13" i="1"/>
  <c r="AZ13" i="1"/>
  <c r="AY13" i="1"/>
  <c r="AX13" i="1"/>
  <c r="AW13" i="1"/>
  <c r="AU13" i="1"/>
  <c r="AT13" i="1"/>
  <c r="AN13" i="1"/>
  <c r="AM13" i="1"/>
  <c r="BT12" i="1"/>
  <c r="BS12" i="1"/>
  <c r="BR12" i="1"/>
  <c r="BQ12" i="1"/>
  <c r="BP12" i="1"/>
  <c r="BM12" i="1"/>
  <c r="BH12" i="1"/>
  <c r="BL12" i="1" s="1"/>
  <c r="BN12" i="1" s="1"/>
  <c r="AZ12" i="1"/>
  <c r="AY12" i="1"/>
  <c r="AX12" i="1"/>
  <c r="AW12" i="1"/>
  <c r="AU12" i="1"/>
  <c r="AT12" i="1"/>
  <c r="AN12" i="1"/>
  <c r="AM12" i="1"/>
  <c r="BT11" i="1"/>
  <c r="BS11" i="1"/>
  <c r="BR11" i="1"/>
  <c r="BQ11" i="1"/>
  <c r="BP11" i="1"/>
  <c r="BM11" i="1"/>
  <c r="BH11" i="1"/>
  <c r="BL11" i="1" s="1"/>
  <c r="AZ11" i="1"/>
  <c r="AY11" i="1"/>
  <c r="AX11" i="1"/>
  <c r="AW11" i="1"/>
  <c r="AU11" i="1"/>
  <c r="AT11" i="1"/>
  <c r="AN11" i="1"/>
  <c r="AM11" i="1"/>
  <c r="BT10" i="1"/>
  <c r="BS10" i="1"/>
  <c r="BR10" i="1"/>
  <c r="BQ10" i="1"/>
  <c r="BP10" i="1"/>
  <c r="BU10" i="1" s="1"/>
  <c r="BM10" i="1"/>
  <c r="BH10" i="1"/>
  <c r="BL10" i="1" s="1"/>
  <c r="BD10" i="1" s="1"/>
  <c r="BF10" i="1" s="1"/>
  <c r="AZ10" i="1"/>
  <c r="AY10" i="1"/>
  <c r="AX10" i="1"/>
  <c r="AW10" i="1"/>
  <c r="AU10" i="1"/>
  <c r="AT10" i="1"/>
  <c r="AN10" i="1"/>
  <c r="AM10" i="1"/>
  <c r="BT9" i="1"/>
  <c r="BS9" i="1"/>
  <c r="BR9" i="1"/>
  <c r="BQ9" i="1"/>
  <c r="BP9" i="1"/>
  <c r="BM9" i="1"/>
  <c r="BL9" i="1"/>
  <c r="BD9" i="1" s="1"/>
  <c r="BF9" i="1" s="1"/>
  <c r="BH9" i="1"/>
  <c r="AZ9" i="1"/>
  <c r="AY9" i="1"/>
  <c r="AX9" i="1"/>
  <c r="AW9" i="1"/>
  <c r="AU9" i="1"/>
  <c r="AT9" i="1"/>
  <c r="AN9" i="1"/>
  <c r="AM9" i="1"/>
  <c r="BT8" i="1"/>
  <c r="BS8" i="1"/>
  <c r="BR8" i="1"/>
  <c r="BQ8" i="1"/>
  <c r="BD8" i="1" s="1"/>
  <c r="BF8" i="1" s="1"/>
  <c r="BP8" i="1"/>
  <c r="BM8" i="1"/>
  <c r="BH8" i="1"/>
  <c r="BL8" i="1" s="1"/>
  <c r="BN8" i="1" s="1"/>
  <c r="AZ8" i="1"/>
  <c r="AY8" i="1"/>
  <c r="AX8" i="1"/>
  <c r="AW8" i="1"/>
  <c r="AU8" i="1"/>
  <c r="AT8" i="1"/>
  <c r="AN8" i="1"/>
  <c r="AM8" i="1"/>
  <c r="BT7" i="1"/>
  <c r="BS7" i="1"/>
  <c r="BR7" i="1"/>
  <c r="BQ7" i="1"/>
  <c r="BP7" i="1"/>
  <c r="BM7" i="1"/>
  <c r="BH7" i="1"/>
  <c r="BL7" i="1" s="1"/>
  <c r="AZ7" i="1"/>
  <c r="AY7" i="1"/>
  <c r="AX7" i="1"/>
  <c r="AW7" i="1"/>
  <c r="AU7" i="1"/>
  <c r="AT7" i="1"/>
  <c r="AN7" i="1"/>
  <c r="AM7" i="1"/>
  <c r="BT6" i="1"/>
  <c r="BS6" i="1"/>
  <c r="BR6" i="1"/>
  <c r="BQ6" i="1"/>
  <c r="BP6" i="1"/>
  <c r="BU6" i="1" s="1"/>
  <c r="BM6" i="1"/>
  <c r="BL6" i="1"/>
  <c r="BD6" i="1" s="1"/>
  <c r="BF6" i="1" s="1"/>
  <c r="BH6" i="1"/>
  <c r="AZ6" i="1"/>
  <c r="AY6" i="1"/>
  <c r="AX6" i="1"/>
  <c r="AW6" i="1"/>
  <c r="AU6" i="1"/>
  <c r="AT6" i="1"/>
  <c r="AN6" i="1"/>
  <c r="AM6" i="1"/>
  <c r="BT5" i="1"/>
  <c r="BS5" i="1"/>
  <c r="BR5" i="1"/>
  <c r="BP5" i="1"/>
  <c r="BU5" i="1" s="1"/>
  <c r="BM5" i="1"/>
  <c r="BL5" i="1"/>
  <c r="BH5" i="1"/>
  <c r="AZ5" i="1"/>
  <c r="AY5" i="1"/>
  <c r="AX5" i="1"/>
  <c r="AW5" i="1"/>
  <c r="AU5" i="1"/>
  <c r="AT5" i="1"/>
  <c r="AN5" i="1"/>
  <c r="AM5" i="1"/>
  <c r="BP4" i="1"/>
  <c r="BM4" i="1"/>
  <c r="BH4" i="1"/>
  <c r="BL4" i="1" s="1"/>
  <c r="BN4" i="1" s="1"/>
  <c r="AZ4" i="1"/>
  <c r="AY4" i="1"/>
  <c r="AX4" i="1"/>
  <c r="AW4" i="1"/>
  <c r="AN4" i="1"/>
  <c r="AM4" i="1"/>
  <c r="AP18" i="1" l="1"/>
  <c r="AR18" i="1" s="1"/>
  <c r="AP8" i="1"/>
  <c r="AR8" i="1" s="1"/>
  <c r="AP65" i="1"/>
  <c r="AR65" i="1" s="1"/>
  <c r="AP62" i="1"/>
  <c r="AR62" i="1" s="1"/>
  <c r="AP64" i="1"/>
  <c r="AR64" i="1" s="1"/>
  <c r="BN53" i="1"/>
  <c r="BD53" i="1"/>
  <c r="BF53" i="1" s="1"/>
  <c r="BD16" i="1"/>
  <c r="BF16" i="1" s="1"/>
  <c r="AP16" i="1" s="1"/>
  <c r="AR16" i="1" s="1"/>
  <c r="BC46" i="1"/>
  <c r="BN46" i="1"/>
  <c r="BD40" i="1"/>
  <c r="BF40" i="1" s="1"/>
  <c r="AP40" i="1" s="1"/>
  <c r="AR40" i="1" s="1"/>
  <c r="BN48" i="1"/>
  <c r="BD48" i="1"/>
  <c r="BF48" i="1" s="1"/>
  <c r="AP48" i="1" s="1"/>
  <c r="AR48" i="1" s="1"/>
  <c r="BN50" i="1"/>
  <c r="BN20" i="1"/>
  <c r="BW4" i="1"/>
  <c r="BD36" i="1"/>
  <c r="BF36" i="1" s="1"/>
  <c r="AP36" i="1" s="1"/>
  <c r="AR36" i="1" s="1"/>
  <c r="BN61" i="1"/>
  <c r="BD61" i="1"/>
  <c r="BF61" i="1" s="1"/>
  <c r="AP61" i="1" s="1"/>
  <c r="AR61" i="1" s="1"/>
  <c r="AP45" i="1"/>
  <c r="AR45" i="1" s="1"/>
  <c r="BN71" i="1"/>
  <c r="BU64" i="1"/>
  <c r="BN9" i="1"/>
  <c r="BW9" i="1" s="1"/>
  <c r="BN17" i="1"/>
  <c r="BW17" i="1" s="1"/>
  <c r="BU23" i="1"/>
  <c r="BU36" i="1"/>
  <c r="BU50" i="1"/>
  <c r="BD42" i="1"/>
  <c r="BF42" i="1" s="1"/>
  <c r="AP42" i="1" s="1"/>
  <c r="AR42" i="1" s="1"/>
  <c r="BD21" i="1"/>
  <c r="BF21" i="1" s="1"/>
  <c r="AP21" i="1" s="1"/>
  <c r="AR21" i="1" s="1"/>
  <c r="BU22" i="1"/>
  <c r="BN24" i="1"/>
  <c r="BW24" i="1" s="1"/>
  <c r="BU54" i="1"/>
  <c r="BD57" i="1"/>
  <c r="BF57" i="1" s="1"/>
  <c r="AP57" i="1" s="1"/>
  <c r="AR57" i="1" s="1"/>
  <c r="BD49" i="1"/>
  <c r="BF49" i="1" s="1"/>
  <c r="AP49" i="1" s="1"/>
  <c r="AR49" i="1" s="1"/>
  <c r="BU9" i="1"/>
  <c r="BD13" i="1"/>
  <c r="BF13" i="1" s="1"/>
  <c r="AP13" i="1" s="1"/>
  <c r="AR13" i="1" s="1"/>
  <c r="BU17" i="1"/>
  <c r="BU20" i="1"/>
  <c r="BU4" i="1"/>
  <c r="BU7" i="1"/>
  <c r="BD12" i="1"/>
  <c r="BF12" i="1" s="1"/>
  <c r="BU15" i="1"/>
  <c r="BD20" i="1"/>
  <c r="BF20" i="1" s="1"/>
  <c r="AP20" i="1" s="1"/>
  <c r="AR20" i="1" s="1"/>
  <c r="BD32" i="1"/>
  <c r="BF32" i="1" s="1"/>
  <c r="AP32" i="1" s="1"/>
  <c r="AR32" i="1" s="1"/>
  <c r="AP6" i="1"/>
  <c r="AR6" i="1" s="1"/>
  <c r="BD5" i="1"/>
  <c r="BF5" i="1" s="1"/>
  <c r="AP5" i="1" s="1"/>
  <c r="AR5" i="1" s="1"/>
  <c r="BN13" i="1"/>
  <c r="BU21" i="1"/>
  <c r="BU24" i="1"/>
  <c r="BD44" i="1"/>
  <c r="BF44" i="1" s="1"/>
  <c r="AP44" i="1" s="1"/>
  <c r="AR44" i="1" s="1"/>
  <c r="BU13" i="1"/>
  <c r="AR4" i="1"/>
  <c r="BN5" i="1"/>
  <c r="BW5" i="1" s="1"/>
  <c r="BU8" i="1"/>
  <c r="BU26" i="1"/>
  <c r="BU32" i="1"/>
  <c r="BW32" i="1" s="1"/>
  <c r="BU45" i="1"/>
  <c r="BW45" i="1" s="1"/>
  <c r="BD52" i="1"/>
  <c r="BF52" i="1" s="1"/>
  <c r="AP52" i="1" s="1"/>
  <c r="AR52" i="1" s="1"/>
  <c r="BN54" i="1"/>
  <c r="BW54" i="1" s="1"/>
  <c r="BN57" i="1"/>
  <c r="BU61" i="1"/>
  <c r="BN74" i="1"/>
  <c r="BU11" i="1"/>
  <c r="AP17" i="1"/>
  <c r="AR17" i="1" s="1"/>
  <c r="BU27" i="1"/>
  <c r="BD38" i="1"/>
  <c r="BF38" i="1" s="1"/>
  <c r="AP38" i="1" s="1"/>
  <c r="AR38" i="1" s="1"/>
  <c r="BD68" i="1"/>
  <c r="BF68" i="1" s="1"/>
  <c r="AP68" i="1" s="1"/>
  <c r="AR68" i="1" s="1"/>
  <c r="BD75" i="1"/>
  <c r="BF75" i="1" s="1"/>
  <c r="BU35" i="1"/>
  <c r="BD56" i="1"/>
  <c r="BF56" i="1" s="1"/>
  <c r="AP56" i="1" s="1"/>
  <c r="AR56" i="1" s="1"/>
  <c r="BU34" i="1"/>
  <c r="BW34" i="1" s="1"/>
  <c r="BU42" i="1"/>
  <c r="BW42" i="1" s="1"/>
  <c r="BC51" i="1"/>
  <c r="BU49" i="1"/>
  <c r="BW49" i="1" s="1"/>
  <c r="AP60" i="1"/>
  <c r="AR60" i="1" s="1"/>
  <c r="BW50" i="1"/>
  <c r="BC59" i="1"/>
  <c r="BU40" i="1"/>
  <c r="BW40" i="1" s="1"/>
  <c r="BU59" i="1"/>
  <c r="BU57" i="1"/>
  <c r="BW57" i="1" s="1"/>
  <c r="BU55" i="1"/>
  <c r="BU65" i="1"/>
  <c r="BW65" i="1" s="1"/>
  <c r="BU69" i="1"/>
  <c r="BU70" i="1"/>
  <c r="BU62" i="1"/>
  <c r="BW62" i="1" s="1"/>
  <c r="BU63" i="1"/>
  <c r="BU72" i="1"/>
  <c r="AP53" i="1"/>
  <c r="AR53" i="1" s="1"/>
  <c r="AP69" i="1"/>
  <c r="AR69" i="1" s="1"/>
  <c r="AP9" i="1"/>
  <c r="AR9" i="1" s="1"/>
  <c r="AP25" i="1"/>
  <c r="AR25" i="1" s="1"/>
  <c r="AP34" i="1"/>
  <c r="AR34" i="1" s="1"/>
  <c r="BW8" i="1"/>
  <c r="BW13" i="1"/>
  <c r="BN15" i="1"/>
  <c r="BD15" i="1"/>
  <c r="BF15" i="1" s="1"/>
  <c r="AP15" i="1" s="1"/>
  <c r="AR15" i="1" s="1"/>
  <c r="BD29" i="1"/>
  <c r="BF29" i="1" s="1"/>
  <c r="AP29" i="1" s="1"/>
  <c r="AR29" i="1" s="1"/>
  <c r="BN29" i="1"/>
  <c r="BW29" i="1" s="1"/>
  <c r="BN30" i="1"/>
  <c r="BW30" i="1" s="1"/>
  <c r="BD30" i="1"/>
  <c r="BF30" i="1" s="1"/>
  <c r="AP30" i="1" s="1"/>
  <c r="AR30" i="1" s="1"/>
  <c r="BN7" i="1"/>
  <c r="BW7" i="1" s="1"/>
  <c r="BD7" i="1"/>
  <c r="BF7" i="1" s="1"/>
  <c r="AP7" i="1" s="1"/>
  <c r="AR7" i="1" s="1"/>
  <c r="BC20" i="1"/>
  <c r="AP10" i="1"/>
  <c r="AR10" i="1" s="1"/>
  <c r="BN11" i="1"/>
  <c r="BD11" i="1"/>
  <c r="BF11" i="1" s="1"/>
  <c r="AP11" i="1" s="1"/>
  <c r="AR11" i="1" s="1"/>
  <c r="BC12" i="1"/>
  <c r="AP14" i="1"/>
  <c r="AR14" i="1" s="1"/>
  <c r="BN23" i="1"/>
  <c r="BW23" i="1" s="1"/>
  <c r="BD23" i="1"/>
  <c r="BF23" i="1" s="1"/>
  <c r="AP23" i="1" s="1"/>
  <c r="AR23" i="1" s="1"/>
  <c r="BD27" i="1"/>
  <c r="BF27" i="1" s="1"/>
  <c r="AP27" i="1" s="1"/>
  <c r="AR27" i="1" s="1"/>
  <c r="BN27" i="1"/>
  <c r="BC16" i="1"/>
  <c r="BD26" i="1"/>
  <c r="BF26" i="1" s="1"/>
  <c r="AP26" i="1" s="1"/>
  <c r="AR26" i="1" s="1"/>
  <c r="BN26" i="1"/>
  <c r="AP12" i="1"/>
  <c r="AR12" i="1" s="1"/>
  <c r="BC24" i="1"/>
  <c r="AP22" i="1"/>
  <c r="AR22" i="1" s="1"/>
  <c r="BN19" i="1"/>
  <c r="BW19" i="1" s="1"/>
  <c r="BD19" i="1"/>
  <c r="BF19" i="1" s="1"/>
  <c r="AP19" i="1" s="1"/>
  <c r="AR19" i="1" s="1"/>
  <c r="AP24" i="1"/>
  <c r="AR24" i="1" s="1"/>
  <c r="BD28" i="1"/>
  <c r="BF28" i="1" s="1"/>
  <c r="AP28" i="1" s="1"/>
  <c r="AR28" i="1" s="1"/>
  <c r="BN28" i="1"/>
  <c r="BW28" i="1" s="1"/>
  <c r="BW36" i="1"/>
  <c r="BU37" i="1"/>
  <c r="BW38" i="1"/>
  <c r="BU39" i="1"/>
  <c r="BU41" i="1"/>
  <c r="BU43" i="1"/>
  <c r="BU47" i="1"/>
  <c r="BC50" i="1"/>
  <c r="BU51" i="1"/>
  <c r="BW53" i="1"/>
  <c r="BC54" i="1"/>
  <c r="BW61" i="1"/>
  <c r="BU67" i="1"/>
  <c r="BN70" i="1"/>
  <c r="BU71" i="1"/>
  <c r="BW71" i="1" s="1"/>
  <c r="BD71" i="1"/>
  <c r="BF71" i="1" s="1"/>
  <c r="AP71" i="1" s="1"/>
  <c r="AR71" i="1" s="1"/>
  <c r="BN21" i="1"/>
  <c r="BW21" i="1" s="1"/>
  <c r="BN25" i="1"/>
  <c r="BW25" i="1" s="1"/>
  <c r="AP58" i="1"/>
  <c r="AR58" i="1" s="1"/>
  <c r="BC47" i="1"/>
  <c r="BC55" i="1"/>
  <c r="BW66" i="1"/>
  <c r="AP75" i="1"/>
  <c r="AR75" i="1" s="1"/>
  <c r="BN10" i="1"/>
  <c r="BW10" i="1" s="1"/>
  <c r="BN14" i="1"/>
  <c r="BW14" i="1" s="1"/>
  <c r="BN18" i="1"/>
  <c r="BW18" i="1" s="1"/>
  <c r="BN22" i="1"/>
  <c r="BW22" i="1" s="1"/>
  <c r="BC14" i="1"/>
  <c r="BC18" i="1"/>
  <c r="BC22" i="1"/>
  <c r="BN31" i="1"/>
  <c r="BW31" i="1" s="1"/>
  <c r="BN33" i="1"/>
  <c r="BW33" i="1" s="1"/>
  <c r="BN35" i="1"/>
  <c r="BW35" i="1" s="1"/>
  <c r="BN37" i="1"/>
  <c r="BN39" i="1"/>
  <c r="BN41" i="1"/>
  <c r="BN43" i="1"/>
  <c r="BD46" i="1"/>
  <c r="BF46" i="1" s="1"/>
  <c r="AP46" i="1" s="1"/>
  <c r="AR46" i="1" s="1"/>
  <c r="BN47" i="1"/>
  <c r="BD50" i="1"/>
  <c r="BF50" i="1" s="1"/>
  <c r="AP50" i="1" s="1"/>
  <c r="AR50" i="1" s="1"/>
  <c r="BN51" i="1"/>
  <c r="BD54" i="1"/>
  <c r="BF54" i="1" s="1"/>
  <c r="AP54" i="1" s="1"/>
  <c r="AR54" i="1" s="1"/>
  <c r="BN55" i="1"/>
  <c r="BN59" i="1"/>
  <c r="BN63" i="1"/>
  <c r="BW63" i="1" s="1"/>
  <c r="BD66" i="1"/>
  <c r="BF66" i="1" s="1"/>
  <c r="AP66" i="1" s="1"/>
  <c r="AR66" i="1" s="1"/>
  <c r="BN67" i="1"/>
  <c r="BN69" i="1"/>
  <c r="BN72" i="1"/>
  <c r="BW72" i="1" s="1"/>
  <c r="BN6" i="1"/>
  <c r="BW6" i="1" s="1"/>
  <c r="BU12" i="1"/>
  <c r="BW12" i="1" s="1"/>
  <c r="AO14" i="1"/>
  <c r="BU16" i="1"/>
  <c r="BW16" i="1" s="1"/>
  <c r="AO18" i="1"/>
  <c r="BC31" i="1"/>
  <c r="BC33" i="1"/>
  <c r="BC35" i="1"/>
  <c r="BC39" i="1"/>
  <c r="BD70" i="1"/>
  <c r="BF70" i="1" s="1"/>
  <c r="AP70" i="1" s="1"/>
  <c r="AR70" i="1" s="1"/>
  <c r="BD31" i="1"/>
  <c r="BF31" i="1" s="1"/>
  <c r="AP31" i="1" s="1"/>
  <c r="AR31" i="1" s="1"/>
  <c r="BD33" i="1"/>
  <c r="BF33" i="1" s="1"/>
  <c r="AP33" i="1" s="1"/>
  <c r="AR33" i="1" s="1"/>
  <c r="BD35" i="1"/>
  <c r="BF35" i="1" s="1"/>
  <c r="AP35" i="1" s="1"/>
  <c r="AR35" i="1" s="1"/>
  <c r="BD37" i="1"/>
  <c r="BF37" i="1" s="1"/>
  <c r="AP37" i="1" s="1"/>
  <c r="AR37" i="1" s="1"/>
  <c r="BD39" i="1"/>
  <c r="BF39" i="1" s="1"/>
  <c r="AP39" i="1" s="1"/>
  <c r="AR39" i="1" s="1"/>
  <c r="BD41" i="1"/>
  <c r="BF41" i="1" s="1"/>
  <c r="AP41" i="1" s="1"/>
  <c r="AR41" i="1" s="1"/>
  <c r="BD43" i="1"/>
  <c r="BF43" i="1" s="1"/>
  <c r="AP43" i="1" s="1"/>
  <c r="AR43" i="1" s="1"/>
  <c r="BW44" i="1"/>
  <c r="BU46" i="1"/>
  <c r="BW46" i="1" s="1"/>
  <c r="BD47" i="1"/>
  <c r="BF47" i="1" s="1"/>
  <c r="AP47" i="1" s="1"/>
  <c r="AR47" i="1" s="1"/>
  <c r="BW48" i="1"/>
  <c r="BD51" i="1"/>
  <c r="BF51" i="1" s="1"/>
  <c r="AP51" i="1" s="1"/>
  <c r="AR51" i="1" s="1"/>
  <c r="BW52" i="1"/>
  <c r="BD55" i="1"/>
  <c r="BF55" i="1" s="1"/>
  <c r="AP55" i="1" s="1"/>
  <c r="AR55" i="1" s="1"/>
  <c r="BW56" i="1"/>
  <c r="BU58" i="1"/>
  <c r="BW58" i="1" s="1"/>
  <c r="BD59" i="1"/>
  <c r="BF59" i="1" s="1"/>
  <c r="AP59" i="1" s="1"/>
  <c r="AR59" i="1" s="1"/>
  <c r="BN60" i="1"/>
  <c r="BW60" i="1" s="1"/>
  <c r="BD63" i="1"/>
  <c r="BF63" i="1" s="1"/>
  <c r="AP63" i="1" s="1"/>
  <c r="AR63" i="1" s="1"/>
  <c r="BW64" i="1"/>
  <c r="BD67" i="1"/>
  <c r="BF67" i="1" s="1"/>
  <c r="AP67" i="1" s="1"/>
  <c r="AR67" i="1" s="1"/>
  <c r="BN68" i="1"/>
  <c r="BC72" i="1"/>
  <c r="BD73" i="1"/>
  <c r="BF73" i="1" s="1"/>
  <c r="AP73" i="1" s="1"/>
  <c r="AR73" i="1" s="1"/>
  <c r="BN73" i="1"/>
  <c r="BU68" i="1"/>
  <c r="BD74" i="1"/>
  <c r="BF74" i="1" s="1"/>
  <c r="AP74" i="1" s="1"/>
  <c r="AR74" i="1" s="1"/>
  <c r="BN75" i="1"/>
  <c r="BD72" i="1"/>
  <c r="BF72" i="1" s="1"/>
  <c r="AP72" i="1" s="1"/>
  <c r="AR72" i="1" s="1"/>
  <c r="BU73" i="1"/>
  <c r="BU75" i="1"/>
  <c r="BU74" i="1"/>
  <c r="BW74" i="1" s="1"/>
  <c r="AO24" i="1" l="1"/>
  <c r="BC43" i="1"/>
  <c r="BW55" i="1"/>
  <c r="BW27" i="1"/>
  <c r="BW20" i="1"/>
  <c r="BC8" i="1"/>
  <c r="AO8" i="1" s="1"/>
  <c r="BW11" i="1"/>
  <c r="BC41" i="1"/>
  <c r="BC37" i="1"/>
  <c r="AO37" i="1" s="1"/>
  <c r="BW43" i="1"/>
  <c r="BW75" i="1"/>
  <c r="BW51" i="1"/>
  <c r="BC10" i="1"/>
  <c r="BW26" i="1"/>
  <c r="BW15" i="1"/>
  <c r="BC63" i="1"/>
  <c r="AO63" i="1" s="1"/>
  <c r="BW39" i="1"/>
  <c r="BW37" i="1"/>
  <c r="BW59" i="1"/>
  <c r="BW69" i="1"/>
  <c r="BW68" i="1"/>
  <c r="BW67" i="1"/>
  <c r="BW73" i="1"/>
  <c r="BW70" i="1"/>
  <c r="AO54" i="1"/>
  <c r="BW41" i="1"/>
  <c r="BW47" i="1"/>
  <c r="BC42" i="1"/>
  <c r="BC68" i="1"/>
  <c r="AO51" i="1"/>
  <c r="BC62" i="1"/>
  <c r="AO47" i="1"/>
  <c r="BC13" i="1"/>
  <c r="BC7" i="1"/>
  <c r="AO16" i="1"/>
  <c r="BC11" i="1"/>
  <c r="BC15" i="1"/>
  <c r="AS24" i="1"/>
  <c r="AQ24" i="1"/>
  <c r="BC58" i="1"/>
  <c r="BC25" i="1"/>
  <c r="BC9" i="1"/>
  <c r="BC28" i="1"/>
  <c r="BC19" i="1"/>
  <c r="BC23" i="1"/>
  <c r="BC30" i="1"/>
  <c r="BC73" i="1"/>
  <c r="BC34" i="1"/>
  <c r="AO43" i="1"/>
  <c r="BC40" i="1"/>
  <c r="BC32" i="1"/>
  <c r="AS14" i="1"/>
  <c r="AQ14" i="1"/>
  <c r="BC74" i="1"/>
  <c r="BC61" i="1"/>
  <c r="BC53" i="1"/>
  <c r="AO59" i="1"/>
  <c r="BC38" i="1"/>
  <c r="AO39" i="1"/>
  <c r="AO31" i="1"/>
  <c r="BC64" i="1"/>
  <c r="BC70" i="1"/>
  <c r="AO72" i="1"/>
  <c r="BC36" i="1"/>
  <c r="BC69" i="1"/>
  <c r="BC67" i="1"/>
  <c r="AO55" i="1"/>
  <c r="BC6" i="1"/>
  <c r="BC66" i="1"/>
  <c r="BC21" i="1"/>
  <c r="BC5" i="1"/>
  <c r="BC57" i="1"/>
  <c r="AO35" i="1"/>
  <c r="AS18" i="1"/>
  <c r="AQ18" i="1"/>
  <c r="AO41" i="1"/>
  <c r="AO33" i="1"/>
  <c r="BC56" i="1"/>
  <c r="BC48" i="1"/>
  <c r="AO50" i="1"/>
  <c r="BC45" i="1"/>
  <c r="BC75" i="1"/>
  <c r="BC65" i="1"/>
  <c r="BC49" i="1"/>
  <c r="AO22" i="1"/>
  <c r="BC60" i="1"/>
  <c r="BC52" i="1"/>
  <c r="BC44" i="1"/>
  <c r="BC71" i="1"/>
  <c r="AO46" i="1"/>
  <c r="BC26" i="1"/>
  <c r="BC27" i="1"/>
  <c r="AO12" i="1"/>
  <c r="AO20" i="1"/>
  <c r="AS54" i="1"/>
  <c r="AQ54" i="1"/>
  <c r="BC17" i="1"/>
  <c r="BC29" i="1"/>
  <c r="AO10" i="1" l="1"/>
  <c r="AO44" i="1"/>
  <c r="AS8" i="1"/>
  <c r="AQ8" i="1"/>
  <c r="AO6" i="1"/>
  <c r="AS37" i="1"/>
  <c r="AQ37" i="1"/>
  <c r="AO38" i="1"/>
  <c r="AO74" i="1"/>
  <c r="AO15" i="1"/>
  <c r="AO13" i="1"/>
  <c r="AS63" i="1"/>
  <c r="AQ63" i="1"/>
  <c r="AO11" i="1"/>
  <c r="AS47" i="1"/>
  <c r="AQ47" i="1"/>
  <c r="AO68" i="1"/>
  <c r="AO29" i="1"/>
  <c r="AO56" i="1"/>
  <c r="AO34" i="1"/>
  <c r="AO19" i="1"/>
  <c r="AO58" i="1"/>
  <c r="AS12" i="1"/>
  <c r="AQ12" i="1"/>
  <c r="AS46" i="1"/>
  <c r="AQ46" i="1"/>
  <c r="AO60" i="1"/>
  <c r="AS35" i="1"/>
  <c r="AQ35" i="1"/>
  <c r="AO21" i="1"/>
  <c r="AO67" i="1"/>
  <c r="AQ72" i="1"/>
  <c r="AS72" i="1"/>
  <c r="AS31" i="1"/>
  <c r="AQ31" i="1"/>
  <c r="AO53" i="1"/>
  <c r="AS16" i="1"/>
  <c r="AQ16" i="1"/>
  <c r="AO62" i="1"/>
  <c r="AO42" i="1"/>
  <c r="AO48" i="1"/>
  <c r="AO23" i="1"/>
  <c r="AO25" i="1"/>
  <c r="AO75" i="1"/>
  <c r="AO17" i="1"/>
  <c r="AO45" i="1"/>
  <c r="AS33" i="1"/>
  <c r="AQ33" i="1"/>
  <c r="AO70" i="1"/>
  <c r="AO32" i="1"/>
  <c r="AO73" i="1"/>
  <c r="AO28" i="1"/>
  <c r="AO26" i="1"/>
  <c r="AS20" i="1"/>
  <c r="AQ20" i="1"/>
  <c r="AO52" i="1"/>
  <c r="AO5" i="1"/>
  <c r="AS55" i="1"/>
  <c r="AQ55" i="1"/>
  <c r="AO36" i="1"/>
  <c r="AO27" i="1"/>
  <c r="AO71" i="1"/>
  <c r="AS22" i="1"/>
  <c r="AQ22" i="1"/>
  <c r="AO57" i="1"/>
  <c r="AS39" i="1"/>
  <c r="AQ39" i="1"/>
  <c r="AO61" i="1"/>
  <c r="AO7" i="1"/>
  <c r="AS51" i="1"/>
  <c r="AQ51" i="1"/>
  <c r="AO65" i="1"/>
  <c r="AS43" i="1"/>
  <c r="AQ43" i="1"/>
  <c r="AS4" i="1"/>
  <c r="AQ4" i="1"/>
  <c r="AS59" i="1"/>
  <c r="AQ59" i="1"/>
  <c r="AO66" i="1"/>
  <c r="AO69" i="1"/>
  <c r="AO49" i="1"/>
  <c r="AS50" i="1"/>
  <c r="AQ50" i="1"/>
  <c r="AS41" i="1"/>
  <c r="AQ41" i="1"/>
  <c r="AO64" i="1"/>
  <c r="AO40" i="1"/>
  <c r="AO30" i="1"/>
  <c r="AO9" i="1"/>
  <c r="AQ10" i="1" l="1"/>
  <c r="AS10" i="1"/>
  <c r="AQ17" i="1"/>
  <c r="AS17" i="1"/>
  <c r="AQ29" i="1"/>
  <c r="AS29" i="1"/>
  <c r="AS49" i="1"/>
  <c r="AQ49" i="1"/>
  <c r="AS53" i="1"/>
  <c r="AQ53" i="1"/>
  <c r="AS45" i="1"/>
  <c r="AQ45" i="1"/>
  <c r="AS23" i="1"/>
  <c r="AQ23" i="1"/>
  <c r="AQ56" i="1"/>
  <c r="AS56" i="1"/>
  <c r="AS15" i="1"/>
  <c r="AQ15" i="1"/>
  <c r="AS65" i="1"/>
  <c r="AQ65" i="1"/>
  <c r="AQ48" i="1"/>
  <c r="AS48" i="1"/>
  <c r="AQ60" i="1"/>
  <c r="AS60" i="1"/>
  <c r="AS58" i="1"/>
  <c r="AQ58" i="1"/>
  <c r="AQ74" i="1"/>
  <c r="AS74" i="1"/>
  <c r="AQ71" i="1"/>
  <c r="AS71" i="1"/>
  <c r="AQ26" i="1"/>
  <c r="AS26" i="1"/>
  <c r="AQ52" i="1"/>
  <c r="AS52" i="1"/>
  <c r="AQ40" i="1"/>
  <c r="AS40" i="1"/>
  <c r="AS61" i="1"/>
  <c r="AQ61" i="1"/>
  <c r="AQ32" i="1"/>
  <c r="AS32" i="1"/>
  <c r="AS11" i="1"/>
  <c r="AQ11" i="1"/>
  <c r="AS6" i="1"/>
  <c r="AQ6" i="1"/>
  <c r="AQ5" i="1"/>
  <c r="AS5" i="1"/>
  <c r="AQ75" i="1"/>
  <c r="AS75" i="1"/>
  <c r="AQ42" i="1"/>
  <c r="AS42" i="1"/>
  <c r="AS19" i="1"/>
  <c r="AQ19" i="1"/>
  <c r="AQ68" i="1"/>
  <c r="AS68" i="1"/>
  <c r="AQ38" i="1"/>
  <c r="AS38" i="1"/>
  <c r="AQ9" i="1"/>
  <c r="AS9" i="1"/>
  <c r="AQ69" i="1"/>
  <c r="AS69" i="1"/>
  <c r="AS27" i="1"/>
  <c r="AQ27" i="1"/>
  <c r="AS28" i="1"/>
  <c r="AQ28" i="1"/>
  <c r="AQ21" i="1"/>
  <c r="AS21" i="1"/>
  <c r="AQ64" i="1"/>
  <c r="AS64" i="1"/>
  <c r="AQ70" i="1"/>
  <c r="AS70" i="1"/>
  <c r="AQ34" i="1"/>
  <c r="AS34" i="1"/>
  <c r="AQ13" i="1"/>
  <c r="AS13" i="1"/>
  <c r="AQ44" i="1"/>
  <c r="AS44" i="1"/>
  <c r="AS67" i="1"/>
  <c r="AQ67" i="1"/>
  <c r="AS57" i="1"/>
  <c r="AQ57" i="1"/>
  <c r="AQ25" i="1"/>
  <c r="AS25" i="1"/>
  <c r="AS62" i="1"/>
  <c r="AQ62" i="1"/>
  <c r="AS30" i="1"/>
  <c r="AQ30" i="1"/>
  <c r="AS66" i="1"/>
  <c r="AQ66" i="1"/>
  <c r="AS7" i="1"/>
  <c r="AQ7" i="1"/>
  <c r="AQ36" i="1"/>
  <c r="AS36" i="1"/>
  <c r="AQ73" i="1"/>
  <c r="AS7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<sst xmlns="http://schemas.openxmlformats.org/spreadsheetml/2006/main" count="251" uniqueCount="150">
  <si>
    <t>Asset Parameters (normalized by commodity feedstock)</t>
  </si>
  <si>
    <t>Duals</t>
  </si>
  <si>
    <t>LCOE for ethanol production ($/MWh-ethanol)</t>
  </si>
  <si>
    <t>CI</t>
  </si>
  <si>
    <t>CREDIT</t>
  </si>
  <si>
    <t>NET CARBON INTENSITY + credit for capture</t>
  </si>
  <si>
    <t>CREDIT for capture/storage + PAY for storage</t>
  </si>
  <si>
    <t>Carbon Content</t>
  </si>
  <si>
    <t>Carbon Inputs</t>
  </si>
  <si>
    <t>Carbon Outputs</t>
  </si>
  <si>
    <t>Sanity Checks</t>
  </si>
  <si>
    <t>id</t>
  </si>
  <si>
    <t>commodity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</si>
  <si>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</si>
  <si>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</si>
  <si>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</si>
  <si>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</si>
  <si>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</si>
  <si>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process_capture_rate (t-CO2/t-bio)</t>
  </si>
  <si>
    <t>process_emission_rate (t-CO2/t-bio)</t>
  </si>
  <si>
    <t>fuel_capture_rate (t-CO2/t-bio)</t>
  </si>
  <si>
    <t>fuel_emission_rate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</si>
  <si>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</si>
  <si>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</si>
  <si>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</si>
  <si>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</si>
  <si>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</si>
  <si>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biocorn_supply ($/t)</t>
  </si>
  <si>
    <t>bioherb_supply ($/t)</t>
  </si>
  <si>
    <t>biowood_supply ($/t)</t>
  </si>
  <si>
    <t>bioagri_supply ($/t)</t>
  </si>
  <si>
    <t>ethanol_balance ($/MWh)</t>
  </si>
  <si>
    <t>ethanol_demand ($/MWh)</t>
  </si>
  <si>
    <t>elec_demand ($/MWh)</t>
  </si>
  <si>
    <t>h2_balance ($/MWh)</t>
  </si>
  <si>
    <t>h2_demand ($/MWh)</t>
  </si>
  <si>
    <t>gasoline_balance ($/MWh)</t>
  </si>
  <si>
    <t>gasoline_demand ($/MWh)</t>
  </si>
  <si>
    <t>diesel_balance ($/MWh)</t>
  </si>
  <si>
    <t>diesel_demand ($/MWh)</t>
  </si>
  <si>
    <t>jetfuel_balance ($/MWh)</t>
  </si>
  <si>
    <t>jetfuel_demand ($/MWh)</t>
  </si>
  <si>
    <t>ng_balance ($/MWh)</t>
  </si>
  <si>
    <t>ng_demand ($/MWh)</t>
  </si>
  <si>
    <t>ethylene_balance ($/t)</t>
  </si>
  <si>
    <t>ethylene_demand ($/t)</t>
  </si>
  <si>
    <t>id_LC</t>
  </si>
  <si>
    <t>commodity_LC</t>
  </si>
  <si>
    <t>LCOE ($/MWh-ethanol)</t>
  </si>
  <si>
    <t>LCOE ($/GJ-ethanol)</t>
  </si>
  <si>
    <t>Diff. Between Methods ($/MWh)</t>
  </si>
  <si>
    <t>elec_production</t>
  </si>
  <si>
    <t>elec_consumption</t>
  </si>
  <si>
    <t>biomass_consumption</t>
  </si>
  <si>
    <t>natgas_consumption</t>
  </si>
  <si>
    <t>investment_cost</t>
  </si>
  <si>
    <t>fixed_om_cost</t>
  </si>
  <si>
    <t>variable_om_cost</t>
  </si>
  <si>
    <t>modified capture cost</t>
  </si>
  <si>
    <t>modified emissions cost</t>
  </si>
  <si>
    <t>Biomass CO2 content (t-CO2/t-bio)</t>
  </si>
  <si>
    <t>NG (t-CO2/MWh-NG)</t>
  </si>
  <si>
    <t>Ethanol (t-CO2/MWh-ethanol)</t>
  </si>
  <si>
    <t>Biomass (t-CO2/MWh-ethanol)</t>
  </si>
  <si>
    <t>NG (t-CO2/MWh-ethanol)</t>
  </si>
  <si>
    <t>Total input (t-CO2/MWh-ethanol)</t>
  </si>
  <si>
    <t>Process Emissions (t-CO2/MWh-ethanol)</t>
  </si>
  <si>
    <t>Fuel Emissions (t-CO2/MWh-ethanol)</t>
  </si>
  <si>
    <t>Process Captured (t-CO2/MWh-ethanol)</t>
  </si>
  <si>
    <t>Fuel Captured (t-CO2/MWh-ethanol)</t>
  </si>
  <si>
    <t>Total Output (t-CO2/MWh-ethanol)</t>
  </si>
  <si>
    <t>Carbon INPUT - OUTPUT</t>
  </si>
  <si>
    <t>CEN_Bio_Ethanol_Herb</t>
  </si>
  <si>
    <t>Biomass_Herb</t>
  </si>
  <si>
    <t>MIDAT_Bio_Ethanol_Herb</t>
  </si>
  <si>
    <t>NCEN_Bio_Ethanol_Herb</t>
  </si>
  <si>
    <t>SE_Bio_Ethanol_Herb</t>
  </si>
  <si>
    <t>TX_Bio_Ethanol_Herb</t>
  </si>
  <si>
    <t>CEN_Bio_Ethanol_Wood</t>
  </si>
  <si>
    <t>Biomass_Wood</t>
  </si>
  <si>
    <t>MIDAT_Bio_Ethanol_Wood</t>
  </si>
  <si>
    <t>NCEN_Bio_Ethanol_Wood</t>
  </si>
  <si>
    <t>SE_Bio_Ethanol_Wood</t>
  </si>
  <si>
    <t>TX_Bio_Ethanol_Wood</t>
  </si>
  <si>
    <t>CEN_Bio_Ethanol_Agri</t>
  </si>
  <si>
    <t>Biomass_Agri</t>
  </si>
  <si>
    <t>MIDAT_Bio_Ethanol_Agri</t>
  </si>
  <si>
    <t>NCEN_Bio_Ethanol_Agri</t>
  </si>
  <si>
    <t>SE_Bio_Ethanol_Agri</t>
  </si>
  <si>
    <t>TX_Bio_Ethanol_Agri</t>
  </si>
  <si>
    <t>CEN_Bio_Ethanol_CCS_20_Herb</t>
  </si>
  <si>
    <t>MIDAT_Bio_Ethanol_CCS_20_Herb</t>
  </si>
  <si>
    <t>NCEN_Bio_Ethanol_CCS_20_Herb</t>
  </si>
  <si>
    <t>SE_Bio_Ethanol_CCS_20_Herb</t>
  </si>
  <si>
    <t>TX_Bio_Ethanol_CCS_20_Herb</t>
  </si>
  <si>
    <t>CEN_Bio_Ethanol_CCS_20_Wood</t>
  </si>
  <si>
    <t>MIDAT_Bio_Ethanol_CCS_20_Wood</t>
  </si>
  <si>
    <t>NCEN_Bio_Ethanol_CCS_20_Wood</t>
  </si>
  <si>
    <t>SE_Bio_Ethanol_CCS_20_Wood</t>
  </si>
  <si>
    <t>TX_Bio_Ethanol_CCS_20_Wood</t>
  </si>
  <si>
    <t>CEN_Bio_Ethanol_CCS_20_Agri</t>
  </si>
  <si>
    <t>MIDAT_Bio_Ethanol_CCS_20_Agri</t>
  </si>
  <si>
    <t>NCEN_Bio_Ethanol_CCS_20_Agri</t>
  </si>
  <si>
    <t>SE_Bio_Ethanol_CCS_20_Agri</t>
  </si>
  <si>
    <t>TX_Bio_Ethanol_CCS_20_Agri</t>
  </si>
  <si>
    <t>CEN_Bio_Ethanol_CCS_86_Herb</t>
  </si>
  <si>
    <t>MIDAT_Bio_Ethanol_CCS_86_Herb</t>
  </si>
  <si>
    <t>NCEN_Bio_Ethanol_CCS_86_Herb</t>
  </si>
  <si>
    <t>SE_Bio_Ethanol_CCS_86_Herb</t>
  </si>
  <si>
    <t>TX_Bio_Ethanol_CCS_86_Herb</t>
  </si>
  <si>
    <t>CEN_Bio_Ethanol_CCS_86_Wood</t>
  </si>
  <si>
    <t>MIDAT_Bio_Ethanol_CCS_86_Wood</t>
  </si>
  <si>
    <t>NCEN_Bio_Ethanol_CCS_86_Wood</t>
  </si>
  <si>
    <t>SE_Bio_Ethanol_CCS_86_Wood</t>
  </si>
  <si>
    <t>TX_Bio_Ethanol_CCS_86_Wood</t>
  </si>
  <si>
    <t>CEN_Bio_Ethanol_CCS_86_Agri</t>
  </si>
  <si>
    <t>MIDAT_Bio_Ethanol_CCS_86_Agri</t>
  </si>
  <si>
    <t>NCEN_Bio_Ethanol_CCS_86_Agri</t>
  </si>
  <si>
    <t>SE_Bio_Ethanol_CCS_86_Agri</t>
  </si>
  <si>
    <t>TX_Bio_Ethanol_CCS_86_Agri</t>
  </si>
  <si>
    <t>CA_DryMill_Existing_Non_CCS</t>
  </si>
  <si>
    <t>Biomass_Corn</t>
  </si>
  <si>
    <t>NW_DryMill_Existing_Non_CCS</t>
  </si>
  <si>
    <t>SW_DryMill_Existing_Non_CCS</t>
  </si>
  <si>
    <t>TX_DryMill_Existing_Non_CCS</t>
  </si>
  <si>
    <t>NCEN_DryMill_Existing_Non_CCS</t>
  </si>
  <si>
    <t>CEN_DryMill_Existing_Non_CCS</t>
  </si>
  <si>
    <t>SE_DryMill_Existing_Non_CCS</t>
  </si>
  <si>
    <t>MIDAT_DryMill_Existing_Non_CCS</t>
  </si>
  <si>
    <t>NE_DryMill_Existing_Non_CCS</t>
  </si>
  <si>
    <t>CA_DryMill_CCS_Fermentation</t>
  </si>
  <si>
    <t>NW_DryMill_CCS_Fermentation</t>
  </si>
  <si>
    <t>SW_DryMill_CCS_Fermentation</t>
  </si>
  <si>
    <t>TX_DryMill_CCS_Fermentation</t>
  </si>
  <si>
    <t>NCEN_DryMill_CCS_Fermentation</t>
  </si>
  <si>
    <t>CEN_DryMill_CCS_Fermentation</t>
  </si>
  <si>
    <t>SE_DryMill_CCS_Fermentation</t>
  </si>
  <si>
    <t>MIDAT_DryMill_CCS_Fermentation</t>
  </si>
  <si>
    <t>NE_DryMill_CCS_Fermentation</t>
  </si>
  <si>
    <t>CA_DryMill_CCS_Fermentation_Exhaust</t>
  </si>
  <si>
    <t>NW_DryMill_CCS_Fermentation_Exhaust</t>
  </si>
  <si>
    <t>SW_DryMill_CCS_Fermentation_Exhaust</t>
  </si>
  <si>
    <t>TX_DryMill_CCS_Fermentation_Exhaust</t>
  </si>
  <si>
    <t>NCEN_DryMill_CCS_Fermentation_Exhaust</t>
  </si>
  <si>
    <t>CEN_DryMill_CCS_Fermentation_Exhaust</t>
  </si>
  <si>
    <t>SE_DryMill_CCS_Fermentation_Exhaust</t>
  </si>
  <si>
    <t>MIDAT_DryMill_CCS_Fermentation_Exhaust</t>
  </si>
  <si>
    <t>NE_DryMill_CCS_Fermentation_Exhaust</t>
  </si>
  <si>
    <t>UNSORTED</t>
  </si>
  <si>
    <t>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</si>
</sst>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8E8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6D3D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2F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2" fillId="0" borderId="0" xfId="0" applyFont="1"/>
    <xf numFmtId="0" fontId="0" fillId="14" borderId="0" xfId="0" applyFill="1"/>
    <xf numFmtId="0" fontId="1" fillId="14" borderId="0" xfId="0" applyFont="1" applyFill="1"/>
    <xf numFmtId="0" fontId="3" fillId="14" borderId="0" xfId="0" applyFont="1" applyFill="1"/>
    <xf numFmtId="164" fontId="1" fillId="15" borderId="0" xfId="0" applyNumberFormat="1" applyFont="1" applyFill="1"/>
    <xf numFmtId="0" fontId="0" fillId="16" borderId="0" xfId="0" applyFill="1"/>
    <xf numFmtId="0" fontId="1" fillId="16" borderId="0" xfId="0" applyFont="1" applyFill="1"/>
    <xf numFmtId="0" fontId="0" fillId="17" borderId="0" xfId="0" applyFill="1"/>
    <xf numFmtId="0" fontId="4" fillId="1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F5496"/>
      <color rgb="FFADD8E6"/>
      <color rgb="FFF8E8FF"/>
      <color rgb="FFF6D3D6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lc_summary!$P$2</c:f>
              <c:strCache>
                <c:ptCount val="1"/>
                <c:pt idx="0">
                  <c:v>elec_production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NW_DryMill_CCS_Fermentation</c:v>
                </c:pt>
                <c:pt idx="5">
                  <c:v>CEN_DryMill_CCS_Fermentation_Exhaust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NCEN_DryMill_CCS_Fermentation</c:v>
                </c:pt>
                <c:pt idx="13">
                  <c:v>MIDAT_DryMill_CCS_Fermentation_Exhaust</c:v>
                </c:pt>
                <c:pt idx="14">
                  <c:v>SE_DryMill_CCS_Fermentation</c:v>
                </c:pt>
                <c:pt idx="15">
                  <c:v>MIDAT_DryMill_CCS_Fermentation</c:v>
                </c:pt>
                <c:pt idx="16">
                  <c:v>NE_DryMill_CCS_Fermentation_Exhaust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MIDAT_DryMill_Existing_Non_CCS</c:v>
                </c:pt>
                <c:pt idx="25">
                  <c:v>CA_DryMill_Existing_Non_CCS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CEN_Bio_Ethanol_CCS_86_Herb</c:v>
                </c:pt>
                <c:pt idx="29">
                  <c:v>NCEN_Bio_Ethanol_CCS_86_Agri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CEN_Bio_Ethanol_CCS_86_Wood</c:v>
                </c:pt>
                <c:pt idx="37">
                  <c:v>MIDAT_Bio_Ethanol_Agri</c:v>
                </c:pt>
                <c:pt idx="38">
                  <c:v>SE_Bio_Ethanol_Agri</c:v>
                </c:pt>
                <c:pt idx="39">
                  <c:v>NCEN_Bio_Ethanol_CCS_86_Wood</c:v>
                </c:pt>
                <c:pt idx="40">
                  <c:v>NCEN_Bio_Ethanol_CCS_20_Herb</c:v>
                </c:pt>
                <c:pt idx="41">
                  <c:v>SE_Bio_Ethanol_CCS_86_Agri</c:v>
                </c:pt>
                <c:pt idx="42">
                  <c:v>MIDAT_Bio_Ethanol_CCS_20_Herb</c:v>
                </c:pt>
                <c:pt idx="43">
                  <c:v>CEN_Bio_Ethanol_CCS_20_Agri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SE_Bio_Ethanol_CCS_86_Herb</c:v>
                </c:pt>
                <c:pt idx="48">
                  <c:v>SE_Bio_Ethanol_CCS_20_Wood</c:v>
                </c:pt>
                <c:pt idx="49">
                  <c:v>NCEN_Bio_Ethanol_Agri</c:v>
                </c:pt>
                <c:pt idx="50">
                  <c:v>MIDAT_Bio_Ethanol_Wood</c:v>
                </c:pt>
                <c:pt idx="51">
                  <c:v>SE_Bio_Ethanol_CCS_86_Wood</c:v>
                </c:pt>
                <c:pt idx="52">
                  <c:v>CEN_Bio_Ethanol_CCS_20_Herb</c:v>
                </c:pt>
                <c:pt idx="53">
                  <c:v>NCEN_Bio_Ethanol_CCS_20_Wood</c:v>
                </c:pt>
                <c:pt idx="54">
                  <c:v>MIDAT_Bio_Ethanol_CCS_86_Agri</c:v>
                </c:pt>
                <c:pt idx="55">
                  <c:v>NCEN_Bio_Ethanol_Herb</c:v>
                </c:pt>
                <c:pt idx="56">
                  <c:v>SE_Bio_Ethanol_Wood</c:v>
                </c:pt>
                <c:pt idx="57">
                  <c:v>TX_Bio_Ethanol_CCS_86_Herb</c:v>
                </c:pt>
                <c:pt idx="58">
                  <c:v>MIDAT_Bio_Ethanol_CCS_86_Wood</c:v>
                </c:pt>
                <c:pt idx="59">
                  <c:v>MIDAT_Bio_Ethanol_CCS_86_Herb</c:v>
                </c:pt>
                <c:pt idx="60">
                  <c:v>NCEN_Bio_Ethanol_Wood</c:v>
                </c:pt>
                <c:pt idx="61">
                  <c:v>CEN_Bio_Ethanol_Agri</c:v>
                </c:pt>
                <c:pt idx="62">
                  <c:v>CEN_Bio_Ethanol_CCS_20_Wood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lc_summary!$P$3:$P$74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-4.2470487513953117</c:v>
                </c:pt>
                <c:pt idx="38">
                  <c:v>-4.1235745351031508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-4.1236960660105977</c:v>
                </c:pt>
                <c:pt idx="46">
                  <c:v>-4.2472829150772933</c:v>
                </c:pt>
                <c:pt idx="47">
                  <c:v>0</c:v>
                </c:pt>
                <c:pt idx="48">
                  <c:v>0</c:v>
                </c:pt>
                <c:pt idx="49">
                  <c:v>-3.3145588377488719</c:v>
                </c:pt>
                <c:pt idx="50">
                  <c:v>-4.2464947082185818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-3.3142741931687283</c:v>
                </c:pt>
                <c:pt idx="56">
                  <c:v>-4.1248337198387555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-3.3133631799431353</c:v>
                </c:pt>
                <c:pt idx="61">
                  <c:v>-2.7324164346314324</c:v>
                </c:pt>
                <c:pt idx="62">
                  <c:v>0</c:v>
                </c:pt>
                <c:pt idx="63">
                  <c:v>0</c:v>
                </c:pt>
                <c:pt idx="64">
                  <c:v>-2.7330397246070137</c:v>
                </c:pt>
                <c:pt idx="65">
                  <c:v>0</c:v>
                </c:pt>
                <c:pt idx="66">
                  <c:v>-2.7334799882959251</c:v>
                </c:pt>
                <c:pt idx="67">
                  <c:v>0</c:v>
                </c:pt>
                <c:pt idx="68">
                  <c:v>-2.1829676197541801</c:v>
                </c:pt>
                <c:pt idx="69">
                  <c:v>0</c:v>
                </c:pt>
                <c:pt idx="70">
                  <c:v>-2.1826272589443856</c:v>
                </c:pt>
                <c:pt idx="71">
                  <c:v>-2.1835733922340474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3-A14F-96AF-FBF11932B5CA}"/>
            </c:ext>
          </c:extLst>
        </c:ser>
        <c:ser>
          <c:idx val="1"/>
          <c:order val="1"/>
          <c:tx>
            <c:strRef>
              <c:f>lc_summary!$Q$2</c:f>
              <c:strCache>
                <c:ptCount val="1"/>
                <c:pt idx="0">
                  <c:v>elec_consumption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NW_DryMill_CCS_Fermentation</c:v>
                </c:pt>
                <c:pt idx="5">
                  <c:v>CEN_DryMill_CCS_Fermentation_Exhaust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NCEN_DryMill_CCS_Fermentation</c:v>
                </c:pt>
                <c:pt idx="13">
                  <c:v>MIDAT_DryMill_CCS_Fermentation_Exhaust</c:v>
                </c:pt>
                <c:pt idx="14">
                  <c:v>SE_DryMill_CCS_Fermentation</c:v>
                </c:pt>
                <c:pt idx="15">
                  <c:v>MIDAT_DryMill_CCS_Fermentation</c:v>
                </c:pt>
                <c:pt idx="16">
                  <c:v>NE_DryMill_CCS_Fermentation_Exhaust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MIDAT_DryMill_Existing_Non_CCS</c:v>
                </c:pt>
                <c:pt idx="25">
                  <c:v>CA_DryMill_Existing_Non_CCS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CEN_Bio_Ethanol_CCS_86_Herb</c:v>
                </c:pt>
                <c:pt idx="29">
                  <c:v>NCEN_Bio_Ethanol_CCS_86_Agri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CEN_Bio_Ethanol_CCS_86_Wood</c:v>
                </c:pt>
                <c:pt idx="37">
                  <c:v>MIDAT_Bio_Ethanol_Agri</c:v>
                </c:pt>
                <c:pt idx="38">
                  <c:v>SE_Bio_Ethanol_Agri</c:v>
                </c:pt>
                <c:pt idx="39">
                  <c:v>NCEN_Bio_Ethanol_CCS_86_Wood</c:v>
                </c:pt>
                <c:pt idx="40">
                  <c:v>NCEN_Bio_Ethanol_CCS_20_Herb</c:v>
                </c:pt>
                <c:pt idx="41">
                  <c:v>SE_Bio_Ethanol_CCS_86_Agri</c:v>
                </c:pt>
                <c:pt idx="42">
                  <c:v>MIDAT_Bio_Ethanol_CCS_20_Herb</c:v>
                </c:pt>
                <c:pt idx="43">
                  <c:v>CEN_Bio_Ethanol_CCS_20_Agri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SE_Bio_Ethanol_CCS_86_Herb</c:v>
                </c:pt>
                <c:pt idx="48">
                  <c:v>SE_Bio_Ethanol_CCS_20_Wood</c:v>
                </c:pt>
                <c:pt idx="49">
                  <c:v>NCEN_Bio_Ethanol_Agri</c:v>
                </c:pt>
                <c:pt idx="50">
                  <c:v>MIDAT_Bio_Ethanol_Wood</c:v>
                </c:pt>
                <c:pt idx="51">
                  <c:v>SE_Bio_Ethanol_CCS_86_Wood</c:v>
                </c:pt>
                <c:pt idx="52">
                  <c:v>CEN_Bio_Ethanol_CCS_20_Herb</c:v>
                </c:pt>
                <c:pt idx="53">
                  <c:v>NCEN_Bio_Ethanol_CCS_20_Wood</c:v>
                </c:pt>
                <c:pt idx="54">
                  <c:v>MIDAT_Bio_Ethanol_CCS_86_Agri</c:v>
                </c:pt>
                <c:pt idx="55">
                  <c:v>NCEN_Bio_Ethanol_Herb</c:v>
                </c:pt>
                <c:pt idx="56">
                  <c:v>SE_Bio_Ethanol_Wood</c:v>
                </c:pt>
                <c:pt idx="57">
                  <c:v>TX_Bio_Ethanol_CCS_86_Herb</c:v>
                </c:pt>
                <c:pt idx="58">
                  <c:v>MIDAT_Bio_Ethanol_CCS_86_Wood</c:v>
                </c:pt>
                <c:pt idx="59">
                  <c:v>MIDAT_Bio_Ethanol_CCS_86_Herb</c:v>
                </c:pt>
                <c:pt idx="60">
                  <c:v>NCEN_Bio_Ethanol_Wood</c:v>
                </c:pt>
                <c:pt idx="61">
                  <c:v>CEN_Bio_Ethanol_Agri</c:v>
                </c:pt>
                <c:pt idx="62">
                  <c:v>CEN_Bio_Ethanol_CCS_20_Wood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lc_summary!$Q$3:$Q$74</c:f>
              <c:numCache>
                <c:formatCode>General</c:formatCode>
                <c:ptCount val="72"/>
                <c:pt idx="0">
                  <c:v>0.73605181175742107</c:v>
                </c:pt>
                <c:pt idx="1">
                  <c:v>1.0048323719933401</c:v>
                </c:pt>
                <c:pt idx="2">
                  <c:v>0.76970088018920757</c:v>
                </c:pt>
                <c:pt idx="3">
                  <c:v>0.55615943203436513</c:v>
                </c:pt>
                <c:pt idx="4">
                  <c:v>0.73605181175742107</c:v>
                </c:pt>
                <c:pt idx="5">
                  <c:v>0.69621158107157877</c:v>
                </c:pt>
                <c:pt idx="6">
                  <c:v>1.0048323719933401</c:v>
                </c:pt>
                <c:pt idx="7">
                  <c:v>0.76970088018920757</c:v>
                </c:pt>
                <c:pt idx="8">
                  <c:v>0.55615943203436513</c:v>
                </c:pt>
                <c:pt idx="9">
                  <c:v>0.8442129170953</c:v>
                </c:pt>
                <c:pt idx="10">
                  <c:v>0.69621158107157877</c:v>
                </c:pt>
                <c:pt idx="11">
                  <c:v>1.0506813864995876</c:v>
                </c:pt>
                <c:pt idx="12">
                  <c:v>0.8442129170953</c:v>
                </c:pt>
                <c:pt idx="13">
                  <c:v>1.0820498722750709</c:v>
                </c:pt>
                <c:pt idx="14">
                  <c:v>1.0506813864995876</c:v>
                </c:pt>
                <c:pt idx="15">
                  <c:v>1.0820498722750709</c:v>
                </c:pt>
                <c:pt idx="16">
                  <c:v>1.3043611278934286</c:v>
                </c:pt>
                <c:pt idx="17">
                  <c:v>1.3043611278934286</c:v>
                </c:pt>
                <c:pt idx="18">
                  <c:v>0.55615943203436513</c:v>
                </c:pt>
                <c:pt idx="19">
                  <c:v>0.69621158107157877</c:v>
                </c:pt>
                <c:pt idx="20">
                  <c:v>0.73605181175742107</c:v>
                </c:pt>
                <c:pt idx="21">
                  <c:v>0.8442129170953</c:v>
                </c:pt>
                <c:pt idx="22">
                  <c:v>0.76970088018920757</c:v>
                </c:pt>
                <c:pt idx="23">
                  <c:v>1.0506813864995876</c:v>
                </c:pt>
                <c:pt idx="24">
                  <c:v>1.0820498722750709</c:v>
                </c:pt>
                <c:pt idx="25">
                  <c:v>1.0048323719933401</c:v>
                </c:pt>
                <c:pt idx="26">
                  <c:v>1.3043611278934286</c:v>
                </c:pt>
                <c:pt idx="27">
                  <c:v>3.5655528289290683</c:v>
                </c:pt>
                <c:pt idx="28">
                  <c:v>3.3582448903667879</c:v>
                </c:pt>
                <c:pt idx="29">
                  <c:v>4.2911553669232809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4.0478745598237085</c:v>
                </c:pt>
                <c:pt idx="34">
                  <c:v>2.9479583248809655</c:v>
                </c:pt>
                <c:pt idx="35">
                  <c:v>0</c:v>
                </c:pt>
                <c:pt idx="36">
                  <c:v>3.2104057693863788</c:v>
                </c:pt>
                <c:pt idx="37">
                  <c:v>0</c:v>
                </c:pt>
                <c:pt idx="38">
                  <c:v>0</c:v>
                </c:pt>
                <c:pt idx="39">
                  <c:v>3.8949405491783522</c:v>
                </c:pt>
                <c:pt idx="40">
                  <c:v>0</c:v>
                </c:pt>
                <c:pt idx="41">
                  <c:v>5.3622767669918439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5.076505166389099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4.8272842821767918</c:v>
                </c:pt>
                <c:pt idx="52">
                  <c:v>0</c:v>
                </c:pt>
                <c:pt idx="53">
                  <c:v>0</c:v>
                </c:pt>
                <c:pt idx="54">
                  <c:v>5.506518381119438</c:v>
                </c:pt>
                <c:pt idx="55">
                  <c:v>0</c:v>
                </c:pt>
                <c:pt idx="56">
                  <c:v>0</c:v>
                </c:pt>
                <c:pt idx="57">
                  <c:v>2.6945004434998232</c:v>
                </c:pt>
                <c:pt idx="58">
                  <c:v>5.0052727595303663</c:v>
                </c:pt>
                <c:pt idx="59">
                  <c:v>5.1994644802248535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2.5876475319045533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3-A14F-96AF-FBF11932B5CA}"/>
            </c:ext>
          </c:extLst>
        </c:ser>
        <c:ser>
          <c:idx val="2"/>
          <c:order val="2"/>
          <c:tx>
            <c:strRef>
              <c:f>lc_summary!$R$2</c:f>
              <c:strCache>
                <c:ptCount val="1"/>
                <c:pt idx="0">
                  <c:v>biomass_consumption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NW_DryMill_CCS_Fermentation</c:v>
                </c:pt>
                <c:pt idx="5">
                  <c:v>CEN_DryMill_CCS_Fermentation_Exhaust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NCEN_DryMill_CCS_Fermentation</c:v>
                </c:pt>
                <c:pt idx="13">
                  <c:v>MIDAT_DryMill_CCS_Fermentation_Exhaust</c:v>
                </c:pt>
                <c:pt idx="14">
                  <c:v>SE_DryMill_CCS_Fermentation</c:v>
                </c:pt>
                <c:pt idx="15">
                  <c:v>MIDAT_DryMill_CCS_Fermentation</c:v>
                </c:pt>
                <c:pt idx="16">
                  <c:v>NE_DryMill_CCS_Fermentation_Exhaust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MIDAT_DryMill_Existing_Non_CCS</c:v>
                </c:pt>
                <c:pt idx="25">
                  <c:v>CA_DryMill_Existing_Non_CCS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CEN_Bio_Ethanol_CCS_86_Herb</c:v>
                </c:pt>
                <c:pt idx="29">
                  <c:v>NCEN_Bio_Ethanol_CCS_86_Agri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CEN_Bio_Ethanol_CCS_86_Wood</c:v>
                </c:pt>
                <c:pt idx="37">
                  <c:v>MIDAT_Bio_Ethanol_Agri</c:v>
                </c:pt>
                <c:pt idx="38">
                  <c:v>SE_Bio_Ethanol_Agri</c:v>
                </c:pt>
                <c:pt idx="39">
                  <c:v>NCEN_Bio_Ethanol_CCS_86_Wood</c:v>
                </c:pt>
                <c:pt idx="40">
                  <c:v>NCEN_Bio_Ethanol_CCS_20_Herb</c:v>
                </c:pt>
                <c:pt idx="41">
                  <c:v>SE_Bio_Ethanol_CCS_86_Agri</c:v>
                </c:pt>
                <c:pt idx="42">
                  <c:v>MIDAT_Bio_Ethanol_CCS_20_Herb</c:v>
                </c:pt>
                <c:pt idx="43">
                  <c:v>CEN_Bio_Ethanol_CCS_20_Agri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SE_Bio_Ethanol_CCS_86_Herb</c:v>
                </c:pt>
                <c:pt idx="48">
                  <c:v>SE_Bio_Ethanol_CCS_20_Wood</c:v>
                </c:pt>
                <c:pt idx="49">
                  <c:v>NCEN_Bio_Ethanol_Agri</c:v>
                </c:pt>
                <c:pt idx="50">
                  <c:v>MIDAT_Bio_Ethanol_Wood</c:v>
                </c:pt>
                <c:pt idx="51">
                  <c:v>SE_Bio_Ethanol_CCS_86_Wood</c:v>
                </c:pt>
                <c:pt idx="52">
                  <c:v>CEN_Bio_Ethanol_CCS_20_Herb</c:v>
                </c:pt>
                <c:pt idx="53">
                  <c:v>NCEN_Bio_Ethanol_CCS_20_Wood</c:v>
                </c:pt>
                <c:pt idx="54">
                  <c:v>MIDAT_Bio_Ethanol_CCS_86_Agri</c:v>
                </c:pt>
                <c:pt idx="55">
                  <c:v>NCEN_Bio_Ethanol_Herb</c:v>
                </c:pt>
                <c:pt idx="56">
                  <c:v>SE_Bio_Ethanol_Wood</c:v>
                </c:pt>
                <c:pt idx="57">
                  <c:v>TX_Bio_Ethanol_CCS_86_Herb</c:v>
                </c:pt>
                <c:pt idx="58">
                  <c:v>MIDAT_Bio_Ethanol_CCS_86_Wood</c:v>
                </c:pt>
                <c:pt idx="59">
                  <c:v>MIDAT_Bio_Ethanol_CCS_86_Herb</c:v>
                </c:pt>
                <c:pt idx="60">
                  <c:v>NCEN_Bio_Ethanol_Wood</c:v>
                </c:pt>
                <c:pt idx="61">
                  <c:v>CEN_Bio_Ethanol_Agri</c:v>
                </c:pt>
                <c:pt idx="62">
                  <c:v>CEN_Bio_Ethanol_CCS_20_Wood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lc_summary!$R$3:$R$74</c:f>
              <c:numCache>
                <c:formatCode>General</c:formatCode>
                <c:ptCount val="72"/>
                <c:pt idx="0">
                  <c:v>54.762078186656993</c:v>
                </c:pt>
                <c:pt idx="1">
                  <c:v>54.762078186656993</c:v>
                </c:pt>
                <c:pt idx="2">
                  <c:v>54.762078186656993</c:v>
                </c:pt>
                <c:pt idx="3">
                  <c:v>54.762078186656993</c:v>
                </c:pt>
                <c:pt idx="4">
                  <c:v>54.762078186656993</c:v>
                </c:pt>
                <c:pt idx="5">
                  <c:v>54.762078186656993</c:v>
                </c:pt>
                <c:pt idx="6">
                  <c:v>54.762078186656993</c:v>
                </c:pt>
                <c:pt idx="7">
                  <c:v>54.762078186656993</c:v>
                </c:pt>
                <c:pt idx="8">
                  <c:v>54.762078186656993</c:v>
                </c:pt>
                <c:pt idx="9">
                  <c:v>54.762078186656993</c:v>
                </c:pt>
                <c:pt idx="10">
                  <c:v>54.762078186656993</c:v>
                </c:pt>
                <c:pt idx="11">
                  <c:v>54.762078186656993</c:v>
                </c:pt>
                <c:pt idx="12">
                  <c:v>54.762078186656993</c:v>
                </c:pt>
                <c:pt idx="13">
                  <c:v>54.762078186656993</c:v>
                </c:pt>
                <c:pt idx="14">
                  <c:v>54.762078186656993</c:v>
                </c:pt>
                <c:pt idx="15">
                  <c:v>54.762078186656993</c:v>
                </c:pt>
                <c:pt idx="16">
                  <c:v>54.762078186656993</c:v>
                </c:pt>
                <c:pt idx="17">
                  <c:v>54.762078186656993</c:v>
                </c:pt>
                <c:pt idx="18">
                  <c:v>54.762078186656993</c:v>
                </c:pt>
                <c:pt idx="19">
                  <c:v>54.762078186656993</c:v>
                </c:pt>
                <c:pt idx="20">
                  <c:v>54.762078186656993</c:v>
                </c:pt>
                <c:pt idx="21">
                  <c:v>54.762078186656993</c:v>
                </c:pt>
                <c:pt idx="22">
                  <c:v>54.762078186656993</c:v>
                </c:pt>
                <c:pt idx="23">
                  <c:v>54.762078186656993</c:v>
                </c:pt>
                <c:pt idx="24">
                  <c:v>54.762078186656993</c:v>
                </c:pt>
                <c:pt idx="25">
                  <c:v>54.762078186656993</c:v>
                </c:pt>
                <c:pt idx="26">
                  <c:v>54.762078186656993</c:v>
                </c:pt>
                <c:pt idx="27">
                  <c:v>52.868555686316462</c:v>
                </c:pt>
                <c:pt idx="28">
                  <c:v>55.653727327690454</c:v>
                </c:pt>
                <c:pt idx="29">
                  <c:v>48.869114945580044</c:v>
                </c:pt>
                <c:pt idx="30">
                  <c:v>47.36676528599606</c:v>
                </c:pt>
                <c:pt idx="31">
                  <c:v>48.869114945580044</c:v>
                </c:pt>
                <c:pt idx="32">
                  <c:v>47.53338914580344</c:v>
                </c:pt>
                <c:pt idx="33">
                  <c:v>52.169771122351882</c:v>
                </c:pt>
                <c:pt idx="34">
                  <c:v>61.656984276381351</c:v>
                </c:pt>
                <c:pt idx="35">
                  <c:v>50.281525611910162</c:v>
                </c:pt>
                <c:pt idx="36">
                  <c:v>61.366317310471054</c:v>
                </c:pt>
                <c:pt idx="37">
                  <c:v>47.53338914580344</c:v>
                </c:pt>
                <c:pt idx="38">
                  <c:v>47.36676528599606</c:v>
                </c:pt>
                <c:pt idx="39">
                  <c:v>55.672685171798946</c:v>
                </c:pt>
                <c:pt idx="40">
                  <c:v>52.169771122351882</c:v>
                </c:pt>
                <c:pt idx="41">
                  <c:v>47.36676528599606</c:v>
                </c:pt>
                <c:pt idx="42">
                  <c:v>50.579072475406548</c:v>
                </c:pt>
                <c:pt idx="43">
                  <c:v>52.868555686316462</c:v>
                </c:pt>
                <c:pt idx="44">
                  <c:v>52.50426245349567</c:v>
                </c:pt>
                <c:pt idx="45">
                  <c:v>50.281525611910162</c:v>
                </c:pt>
                <c:pt idx="46">
                  <c:v>50.579072475406548</c:v>
                </c:pt>
                <c:pt idx="47">
                  <c:v>50.281525611910162</c:v>
                </c:pt>
                <c:pt idx="48">
                  <c:v>54.336796717535272</c:v>
                </c:pt>
                <c:pt idx="49">
                  <c:v>48.869114945580044</c:v>
                </c:pt>
                <c:pt idx="50">
                  <c:v>52.50426245349567</c:v>
                </c:pt>
                <c:pt idx="51">
                  <c:v>54.336796717535272</c:v>
                </c:pt>
                <c:pt idx="52">
                  <c:v>55.653727327690454</c:v>
                </c:pt>
                <c:pt idx="53">
                  <c:v>55.672685171798946</c:v>
                </c:pt>
                <c:pt idx="54">
                  <c:v>47.53338914580344</c:v>
                </c:pt>
                <c:pt idx="55">
                  <c:v>52.169771122351882</c:v>
                </c:pt>
                <c:pt idx="56">
                  <c:v>54.336796717535272</c:v>
                </c:pt>
                <c:pt idx="57">
                  <c:v>69.801451343555485</c:v>
                </c:pt>
                <c:pt idx="58">
                  <c:v>52.50426245349567</c:v>
                </c:pt>
                <c:pt idx="59">
                  <c:v>50.579072475406548</c:v>
                </c:pt>
                <c:pt idx="60">
                  <c:v>55.672685171798946</c:v>
                </c:pt>
                <c:pt idx="61">
                  <c:v>52.868555686316462</c:v>
                </c:pt>
                <c:pt idx="62">
                  <c:v>61.366317310471054</c:v>
                </c:pt>
                <c:pt idx="63">
                  <c:v>76.727098702434745</c:v>
                </c:pt>
                <c:pt idx="64">
                  <c:v>55.653727327690454</c:v>
                </c:pt>
                <c:pt idx="65">
                  <c:v>61.656984276381351</c:v>
                </c:pt>
                <c:pt idx="66">
                  <c:v>61.366317310471054</c:v>
                </c:pt>
                <c:pt idx="67">
                  <c:v>69.801451343555485</c:v>
                </c:pt>
                <c:pt idx="68">
                  <c:v>61.656984276381351</c:v>
                </c:pt>
                <c:pt idx="69">
                  <c:v>76.727098702434745</c:v>
                </c:pt>
                <c:pt idx="70">
                  <c:v>69.801451343555485</c:v>
                </c:pt>
                <c:pt idx="71">
                  <c:v>76.727098702434745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C3-A14F-96AF-FBF11932B5CA}"/>
            </c:ext>
          </c:extLst>
        </c:ser>
        <c:ser>
          <c:idx val="3"/>
          <c:order val="3"/>
          <c:tx>
            <c:strRef>
              <c:f>lc_summary!$S$2</c:f>
              <c:strCache>
                <c:ptCount val="1"/>
                <c:pt idx="0">
                  <c:v>natgas_consumption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NW_DryMill_CCS_Fermentation</c:v>
                </c:pt>
                <c:pt idx="5">
                  <c:v>CEN_DryMill_CCS_Fermentation_Exhaust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NCEN_DryMill_CCS_Fermentation</c:v>
                </c:pt>
                <c:pt idx="13">
                  <c:v>MIDAT_DryMill_CCS_Fermentation_Exhaust</c:v>
                </c:pt>
                <c:pt idx="14">
                  <c:v>SE_DryMill_CCS_Fermentation</c:v>
                </c:pt>
                <c:pt idx="15">
                  <c:v>MIDAT_DryMill_CCS_Fermentation</c:v>
                </c:pt>
                <c:pt idx="16">
                  <c:v>NE_DryMill_CCS_Fermentation_Exhaust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MIDAT_DryMill_Existing_Non_CCS</c:v>
                </c:pt>
                <c:pt idx="25">
                  <c:v>CA_DryMill_Existing_Non_CCS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CEN_Bio_Ethanol_CCS_86_Herb</c:v>
                </c:pt>
                <c:pt idx="29">
                  <c:v>NCEN_Bio_Ethanol_CCS_86_Agri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CEN_Bio_Ethanol_CCS_86_Wood</c:v>
                </c:pt>
                <c:pt idx="37">
                  <c:v>MIDAT_Bio_Ethanol_Agri</c:v>
                </c:pt>
                <c:pt idx="38">
                  <c:v>SE_Bio_Ethanol_Agri</c:v>
                </c:pt>
                <c:pt idx="39">
                  <c:v>NCEN_Bio_Ethanol_CCS_86_Wood</c:v>
                </c:pt>
                <c:pt idx="40">
                  <c:v>NCEN_Bio_Ethanol_CCS_20_Herb</c:v>
                </c:pt>
                <c:pt idx="41">
                  <c:v>SE_Bio_Ethanol_CCS_86_Agri</c:v>
                </c:pt>
                <c:pt idx="42">
                  <c:v>MIDAT_Bio_Ethanol_CCS_20_Herb</c:v>
                </c:pt>
                <c:pt idx="43">
                  <c:v>CEN_Bio_Ethanol_CCS_20_Agri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SE_Bio_Ethanol_CCS_86_Herb</c:v>
                </c:pt>
                <c:pt idx="48">
                  <c:v>SE_Bio_Ethanol_CCS_20_Wood</c:v>
                </c:pt>
                <c:pt idx="49">
                  <c:v>NCEN_Bio_Ethanol_Agri</c:v>
                </c:pt>
                <c:pt idx="50">
                  <c:v>MIDAT_Bio_Ethanol_Wood</c:v>
                </c:pt>
                <c:pt idx="51">
                  <c:v>SE_Bio_Ethanol_CCS_86_Wood</c:v>
                </c:pt>
                <c:pt idx="52">
                  <c:v>CEN_Bio_Ethanol_CCS_20_Herb</c:v>
                </c:pt>
                <c:pt idx="53">
                  <c:v>NCEN_Bio_Ethanol_CCS_20_Wood</c:v>
                </c:pt>
                <c:pt idx="54">
                  <c:v>MIDAT_Bio_Ethanol_CCS_86_Agri</c:v>
                </c:pt>
                <c:pt idx="55">
                  <c:v>NCEN_Bio_Ethanol_Herb</c:v>
                </c:pt>
                <c:pt idx="56">
                  <c:v>SE_Bio_Ethanol_Wood</c:v>
                </c:pt>
                <c:pt idx="57">
                  <c:v>TX_Bio_Ethanol_CCS_86_Herb</c:v>
                </c:pt>
                <c:pt idx="58">
                  <c:v>MIDAT_Bio_Ethanol_CCS_86_Wood</c:v>
                </c:pt>
                <c:pt idx="59">
                  <c:v>MIDAT_Bio_Ethanol_CCS_86_Herb</c:v>
                </c:pt>
                <c:pt idx="60">
                  <c:v>NCEN_Bio_Ethanol_Wood</c:v>
                </c:pt>
                <c:pt idx="61">
                  <c:v>CEN_Bio_Ethanol_Agri</c:v>
                </c:pt>
                <c:pt idx="62">
                  <c:v>CEN_Bio_Ethanol_CCS_20_Wood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lc_summary!$S$3:$S$74</c:f>
              <c:numCache>
                <c:formatCode>General</c:formatCode>
                <c:ptCount val="72"/>
                <c:pt idx="0">
                  <c:v>4.4658380072588102</c:v>
                </c:pt>
                <c:pt idx="1">
                  <c:v>4.4652582398505434</c:v>
                </c:pt>
                <c:pt idx="2">
                  <c:v>4.4657883875256701</c:v>
                </c:pt>
                <c:pt idx="3">
                  <c:v>4.3501972605025605</c:v>
                </c:pt>
                <c:pt idx="4">
                  <c:v>4.4658380072588102</c:v>
                </c:pt>
                <c:pt idx="5">
                  <c:v>4.3815246137313233</c:v>
                </c:pt>
                <c:pt idx="6">
                  <c:v>4.4652582398505434</c:v>
                </c:pt>
                <c:pt idx="7">
                  <c:v>4.4657883875256701</c:v>
                </c:pt>
                <c:pt idx="8">
                  <c:v>4.3501972605025605</c:v>
                </c:pt>
                <c:pt idx="9">
                  <c:v>4.381553993836472</c:v>
                </c:pt>
                <c:pt idx="10">
                  <c:v>4.3815246137313233</c:v>
                </c:pt>
                <c:pt idx="11">
                  <c:v>4.3815229815032604</c:v>
                </c:pt>
                <c:pt idx="12">
                  <c:v>4.381553993836472</c:v>
                </c:pt>
                <c:pt idx="13">
                  <c:v>4.3819192864771539</c:v>
                </c:pt>
                <c:pt idx="14">
                  <c:v>4.3815229815032604</c:v>
                </c:pt>
                <c:pt idx="15">
                  <c:v>4.3819192864771539</c:v>
                </c:pt>
                <c:pt idx="16">
                  <c:v>4.3818096007512652</c:v>
                </c:pt>
                <c:pt idx="17">
                  <c:v>4.3818096007512652</c:v>
                </c:pt>
                <c:pt idx="18">
                  <c:v>4.3501972605025605</c:v>
                </c:pt>
                <c:pt idx="19">
                  <c:v>4.3815246137313233</c:v>
                </c:pt>
                <c:pt idx="20">
                  <c:v>4.4658380072588102</c:v>
                </c:pt>
                <c:pt idx="21">
                  <c:v>4.381553993836472</c:v>
                </c:pt>
                <c:pt idx="22">
                  <c:v>4.4657883875256701</c:v>
                </c:pt>
                <c:pt idx="23">
                  <c:v>4.3815229815032604</c:v>
                </c:pt>
                <c:pt idx="24">
                  <c:v>4.3819192864771539</c:v>
                </c:pt>
                <c:pt idx="25">
                  <c:v>4.4652582398505434</c:v>
                </c:pt>
                <c:pt idx="26">
                  <c:v>4.3818096007512652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C3-A14F-96AF-FBF11932B5CA}"/>
            </c:ext>
          </c:extLst>
        </c:ser>
        <c:ser>
          <c:idx val="4"/>
          <c:order val="4"/>
          <c:tx>
            <c:strRef>
              <c:f>lc_summary!$T$2</c:f>
              <c:strCache>
                <c:ptCount val="1"/>
                <c:pt idx="0">
                  <c:v>investment_cost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NW_DryMill_CCS_Fermentation</c:v>
                </c:pt>
                <c:pt idx="5">
                  <c:v>CEN_DryMill_CCS_Fermentation_Exhaust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NCEN_DryMill_CCS_Fermentation</c:v>
                </c:pt>
                <c:pt idx="13">
                  <c:v>MIDAT_DryMill_CCS_Fermentation_Exhaust</c:v>
                </c:pt>
                <c:pt idx="14">
                  <c:v>SE_DryMill_CCS_Fermentation</c:v>
                </c:pt>
                <c:pt idx="15">
                  <c:v>MIDAT_DryMill_CCS_Fermentation</c:v>
                </c:pt>
                <c:pt idx="16">
                  <c:v>NE_DryMill_CCS_Fermentation_Exhaust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MIDAT_DryMill_Existing_Non_CCS</c:v>
                </c:pt>
                <c:pt idx="25">
                  <c:v>CA_DryMill_Existing_Non_CCS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CEN_Bio_Ethanol_CCS_86_Herb</c:v>
                </c:pt>
                <c:pt idx="29">
                  <c:v>NCEN_Bio_Ethanol_CCS_86_Agri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CEN_Bio_Ethanol_CCS_86_Wood</c:v>
                </c:pt>
                <c:pt idx="37">
                  <c:v>MIDAT_Bio_Ethanol_Agri</c:v>
                </c:pt>
                <c:pt idx="38">
                  <c:v>SE_Bio_Ethanol_Agri</c:v>
                </c:pt>
                <c:pt idx="39">
                  <c:v>NCEN_Bio_Ethanol_CCS_86_Wood</c:v>
                </c:pt>
                <c:pt idx="40">
                  <c:v>NCEN_Bio_Ethanol_CCS_20_Herb</c:v>
                </c:pt>
                <c:pt idx="41">
                  <c:v>SE_Bio_Ethanol_CCS_86_Agri</c:v>
                </c:pt>
                <c:pt idx="42">
                  <c:v>MIDAT_Bio_Ethanol_CCS_20_Herb</c:v>
                </c:pt>
                <c:pt idx="43">
                  <c:v>CEN_Bio_Ethanol_CCS_20_Agri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SE_Bio_Ethanol_CCS_86_Herb</c:v>
                </c:pt>
                <c:pt idx="48">
                  <c:v>SE_Bio_Ethanol_CCS_20_Wood</c:v>
                </c:pt>
                <c:pt idx="49">
                  <c:v>NCEN_Bio_Ethanol_Agri</c:v>
                </c:pt>
                <c:pt idx="50">
                  <c:v>MIDAT_Bio_Ethanol_Wood</c:v>
                </c:pt>
                <c:pt idx="51">
                  <c:v>SE_Bio_Ethanol_CCS_86_Wood</c:v>
                </c:pt>
                <c:pt idx="52">
                  <c:v>CEN_Bio_Ethanol_CCS_20_Herb</c:v>
                </c:pt>
                <c:pt idx="53">
                  <c:v>NCEN_Bio_Ethanol_CCS_20_Wood</c:v>
                </c:pt>
                <c:pt idx="54">
                  <c:v>MIDAT_Bio_Ethanol_CCS_86_Agri</c:v>
                </c:pt>
                <c:pt idx="55">
                  <c:v>NCEN_Bio_Ethanol_Herb</c:v>
                </c:pt>
                <c:pt idx="56">
                  <c:v>SE_Bio_Ethanol_Wood</c:v>
                </c:pt>
                <c:pt idx="57">
                  <c:v>TX_Bio_Ethanol_CCS_86_Herb</c:v>
                </c:pt>
                <c:pt idx="58">
                  <c:v>MIDAT_Bio_Ethanol_CCS_86_Wood</c:v>
                </c:pt>
                <c:pt idx="59">
                  <c:v>MIDAT_Bio_Ethanol_CCS_86_Herb</c:v>
                </c:pt>
                <c:pt idx="60">
                  <c:v>NCEN_Bio_Ethanol_Wood</c:v>
                </c:pt>
                <c:pt idx="61">
                  <c:v>CEN_Bio_Ethanol_Agri</c:v>
                </c:pt>
                <c:pt idx="62">
                  <c:v>CEN_Bio_Ethanol_CCS_20_Wood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lc_summary!$T$3:$T$74</c:f>
              <c:numCache>
                <c:formatCode>General</c:formatCode>
                <c:ptCount val="72"/>
                <c:pt idx="0">
                  <c:v>1.8459716853700829</c:v>
                </c:pt>
                <c:pt idx="1">
                  <c:v>1.8459716853700829</c:v>
                </c:pt>
                <c:pt idx="2">
                  <c:v>1.8459716853700829</c:v>
                </c:pt>
                <c:pt idx="3">
                  <c:v>1.8459716853700829</c:v>
                </c:pt>
                <c:pt idx="4">
                  <c:v>1.1219173819252375</c:v>
                </c:pt>
                <c:pt idx="5">
                  <c:v>1.8459716853700829</c:v>
                </c:pt>
                <c:pt idx="6">
                  <c:v>1.1219173819252375</c:v>
                </c:pt>
                <c:pt idx="7">
                  <c:v>1.1219173819252375</c:v>
                </c:pt>
                <c:pt idx="8">
                  <c:v>1.1219173819252375</c:v>
                </c:pt>
                <c:pt idx="9">
                  <c:v>1.8459716853700829</c:v>
                </c:pt>
                <c:pt idx="10">
                  <c:v>1.1219173819252375</c:v>
                </c:pt>
                <c:pt idx="11">
                  <c:v>1.8459716853700829</c:v>
                </c:pt>
                <c:pt idx="12">
                  <c:v>1.1219173819252375</c:v>
                </c:pt>
                <c:pt idx="13">
                  <c:v>1.8459716853700829</c:v>
                </c:pt>
                <c:pt idx="14">
                  <c:v>1.1219173819252375</c:v>
                </c:pt>
                <c:pt idx="15">
                  <c:v>1.1219173819252375</c:v>
                </c:pt>
                <c:pt idx="16">
                  <c:v>1.8459716853700829</c:v>
                </c:pt>
                <c:pt idx="17">
                  <c:v>1.1219173819252375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35.292665333437341</c:v>
                </c:pt>
                <c:pt idx="28">
                  <c:v>33.240683481624224</c:v>
                </c:pt>
                <c:pt idx="29">
                  <c:v>35.028462210951822</c:v>
                </c:pt>
                <c:pt idx="30">
                  <c:v>19.813046815154298</c:v>
                </c:pt>
                <c:pt idx="31">
                  <c:v>19.733100356011654</c:v>
                </c:pt>
                <c:pt idx="32">
                  <c:v>19.756176325172991</c:v>
                </c:pt>
                <c:pt idx="33">
                  <c:v>33.042574535146869</c:v>
                </c:pt>
                <c:pt idx="34">
                  <c:v>36.527576444650514</c:v>
                </c:pt>
                <c:pt idx="35">
                  <c:v>18.757150906155914</c:v>
                </c:pt>
                <c:pt idx="36">
                  <c:v>31.777337720030705</c:v>
                </c:pt>
                <c:pt idx="37">
                  <c:v>18.41498814617082</c:v>
                </c:pt>
                <c:pt idx="38">
                  <c:v>18.467997867365622</c:v>
                </c:pt>
                <c:pt idx="39">
                  <c:v>31.794182725809723</c:v>
                </c:pt>
                <c:pt idx="40">
                  <c:v>18.614360955851129</c:v>
                </c:pt>
                <c:pt idx="41">
                  <c:v>35.170376125767767</c:v>
                </c:pt>
                <c:pt idx="42">
                  <c:v>18.654534491341071</c:v>
                </c:pt>
                <c:pt idx="43">
                  <c:v>19.881937798517143</c:v>
                </c:pt>
                <c:pt idx="44">
                  <c:v>17.957817326447284</c:v>
                </c:pt>
                <c:pt idx="45">
                  <c:v>17.483783597976871</c:v>
                </c:pt>
                <c:pt idx="46">
                  <c:v>17.388133507022271</c:v>
                </c:pt>
                <c:pt idx="47">
                  <c:v>33.296042681972118</c:v>
                </c:pt>
                <c:pt idx="48">
                  <c:v>17.836306037310653</c:v>
                </c:pt>
                <c:pt idx="49">
                  <c:v>18.393478736071767</c:v>
                </c:pt>
                <c:pt idx="50">
                  <c:v>16.738714402759417</c:v>
                </c:pt>
                <c:pt idx="51">
                  <c:v>31.661439953127818</c:v>
                </c:pt>
                <c:pt idx="52">
                  <c:v>18.725964591166843</c:v>
                </c:pt>
                <c:pt idx="53">
                  <c:v>17.911085981662545</c:v>
                </c:pt>
                <c:pt idx="54">
                  <c:v>35.069424639519347</c:v>
                </c:pt>
                <c:pt idx="55">
                  <c:v>17.350687233631078</c:v>
                </c:pt>
                <c:pt idx="56">
                  <c:v>16.625452154425169</c:v>
                </c:pt>
                <c:pt idx="57">
                  <c:v>33.387029287145261</c:v>
                </c:pt>
                <c:pt idx="58">
                  <c:v>31.877136094278278</c:v>
                </c:pt>
                <c:pt idx="59">
                  <c:v>33.113887057984215</c:v>
                </c:pt>
                <c:pt idx="60">
                  <c:v>16.695155510284405</c:v>
                </c:pt>
                <c:pt idx="61">
                  <c:v>18.5322120463203</c:v>
                </c:pt>
                <c:pt idx="62">
                  <c:v>17.901596436060082</c:v>
                </c:pt>
                <c:pt idx="63">
                  <c:v>32.063035707016454</c:v>
                </c:pt>
                <c:pt idx="64">
                  <c:v>17.45471442935871</c:v>
                </c:pt>
                <c:pt idx="65">
                  <c:v>20.577618492164735</c:v>
                </c:pt>
                <c:pt idx="66">
                  <c:v>16.686310181770139</c:v>
                </c:pt>
                <c:pt idx="67">
                  <c:v>18.808407732679495</c:v>
                </c:pt>
                <c:pt idx="68">
                  <c:v>19.18066504229386</c:v>
                </c:pt>
                <c:pt idx="69">
                  <c:v>18.062542897676021</c:v>
                </c:pt>
                <c:pt idx="70">
                  <c:v>17.531560750666046</c:v>
                </c:pt>
                <c:pt idx="71">
                  <c:v>16.836330465758454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C3-A14F-96AF-FBF11932B5CA}"/>
            </c:ext>
          </c:extLst>
        </c:ser>
        <c:ser>
          <c:idx val="5"/>
          <c:order val="5"/>
          <c:tx>
            <c:strRef>
              <c:f>lc_summary!$U$2</c:f>
              <c:strCache>
                <c:ptCount val="1"/>
                <c:pt idx="0">
                  <c:v>fixed_om_cost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NW_DryMill_CCS_Fermentation</c:v>
                </c:pt>
                <c:pt idx="5">
                  <c:v>CEN_DryMill_CCS_Fermentation_Exhaust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NCEN_DryMill_CCS_Fermentation</c:v>
                </c:pt>
                <c:pt idx="13">
                  <c:v>MIDAT_DryMill_CCS_Fermentation_Exhaust</c:v>
                </c:pt>
                <c:pt idx="14">
                  <c:v>SE_DryMill_CCS_Fermentation</c:v>
                </c:pt>
                <c:pt idx="15">
                  <c:v>MIDAT_DryMill_CCS_Fermentation</c:v>
                </c:pt>
                <c:pt idx="16">
                  <c:v>NE_DryMill_CCS_Fermentation_Exhaust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MIDAT_DryMill_Existing_Non_CCS</c:v>
                </c:pt>
                <c:pt idx="25">
                  <c:v>CA_DryMill_Existing_Non_CCS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CEN_Bio_Ethanol_CCS_86_Herb</c:v>
                </c:pt>
                <c:pt idx="29">
                  <c:v>NCEN_Bio_Ethanol_CCS_86_Agri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CEN_Bio_Ethanol_CCS_86_Wood</c:v>
                </c:pt>
                <c:pt idx="37">
                  <c:v>MIDAT_Bio_Ethanol_Agri</c:v>
                </c:pt>
                <c:pt idx="38">
                  <c:v>SE_Bio_Ethanol_Agri</c:v>
                </c:pt>
                <c:pt idx="39">
                  <c:v>NCEN_Bio_Ethanol_CCS_86_Wood</c:v>
                </c:pt>
                <c:pt idx="40">
                  <c:v>NCEN_Bio_Ethanol_CCS_20_Herb</c:v>
                </c:pt>
                <c:pt idx="41">
                  <c:v>SE_Bio_Ethanol_CCS_86_Agri</c:v>
                </c:pt>
                <c:pt idx="42">
                  <c:v>MIDAT_Bio_Ethanol_CCS_20_Herb</c:v>
                </c:pt>
                <c:pt idx="43">
                  <c:v>CEN_Bio_Ethanol_CCS_20_Agri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SE_Bio_Ethanol_CCS_86_Herb</c:v>
                </c:pt>
                <c:pt idx="48">
                  <c:v>SE_Bio_Ethanol_CCS_20_Wood</c:v>
                </c:pt>
                <c:pt idx="49">
                  <c:v>NCEN_Bio_Ethanol_Agri</c:v>
                </c:pt>
                <c:pt idx="50">
                  <c:v>MIDAT_Bio_Ethanol_Wood</c:v>
                </c:pt>
                <c:pt idx="51">
                  <c:v>SE_Bio_Ethanol_CCS_86_Wood</c:v>
                </c:pt>
                <c:pt idx="52">
                  <c:v>CEN_Bio_Ethanol_CCS_20_Herb</c:v>
                </c:pt>
                <c:pt idx="53">
                  <c:v>NCEN_Bio_Ethanol_CCS_20_Wood</c:v>
                </c:pt>
                <c:pt idx="54">
                  <c:v>MIDAT_Bio_Ethanol_CCS_86_Agri</c:v>
                </c:pt>
                <c:pt idx="55">
                  <c:v>NCEN_Bio_Ethanol_Herb</c:v>
                </c:pt>
                <c:pt idx="56">
                  <c:v>SE_Bio_Ethanol_Wood</c:v>
                </c:pt>
                <c:pt idx="57">
                  <c:v>TX_Bio_Ethanol_CCS_86_Herb</c:v>
                </c:pt>
                <c:pt idx="58">
                  <c:v>MIDAT_Bio_Ethanol_CCS_86_Wood</c:v>
                </c:pt>
                <c:pt idx="59">
                  <c:v>MIDAT_Bio_Ethanol_CCS_86_Herb</c:v>
                </c:pt>
                <c:pt idx="60">
                  <c:v>NCEN_Bio_Ethanol_Wood</c:v>
                </c:pt>
                <c:pt idx="61">
                  <c:v>CEN_Bio_Ethanol_Agri</c:v>
                </c:pt>
                <c:pt idx="62">
                  <c:v>CEN_Bio_Ethanol_CCS_20_Wood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lc_summary!$U$3:$U$74</c:f>
              <c:numCache>
                <c:formatCode>General</c:formatCode>
                <c:ptCount val="72"/>
                <c:pt idx="0">
                  <c:v>8.2322589053372308</c:v>
                </c:pt>
                <c:pt idx="1">
                  <c:v>8.2322589053372308</c:v>
                </c:pt>
                <c:pt idx="2">
                  <c:v>8.2322589053372308</c:v>
                </c:pt>
                <c:pt idx="3">
                  <c:v>8.2322589053372308</c:v>
                </c:pt>
                <c:pt idx="4">
                  <c:v>7.8355578478551591</c:v>
                </c:pt>
                <c:pt idx="5">
                  <c:v>8.2322589053372308</c:v>
                </c:pt>
                <c:pt idx="6">
                  <c:v>7.8355578478551591</c:v>
                </c:pt>
                <c:pt idx="7">
                  <c:v>7.8355578478551591</c:v>
                </c:pt>
                <c:pt idx="8">
                  <c:v>7.8355578478551591</c:v>
                </c:pt>
                <c:pt idx="9">
                  <c:v>8.2322589053372308</c:v>
                </c:pt>
                <c:pt idx="10">
                  <c:v>7.8355578478551591</c:v>
                </c:pt>
                <c:pt idx="11">
                  <c:v>8.2322589053372308</c:v>
                </c:pt>
                <c:pt idx="12">
                  <c:v>7.8355578478551591</c:v>
                </c:pt>
                <c:pt idx="13">
                  <c:v>8.2322589053372308</c:v>
                </c:pt>
                <c:pt idx="14">
                  <c:v>7.8355578478551591</c:v>
                </c:pt>
                <c:pt idx="15">
                  <c:v>7.8355578478551591</c:v>
                </c:pt>
                <c:pt idx="16">
                  <c:v>8.2322589053372308</c:v>
                </c:pt>
                <c:pt idx="17">
                  <c:v>7.8355578478551591</c:v>
                </c:pt>
                <c:pt idx="18">
                  <c:v>7.2208724377810398</c:v>
                </c:pt>
                <c:pt idx="19">
                  <c:v>7.2208724377810398</c:v>
                </c:pt>
                <c:pt idx="20">
                  <c:v>7.2208724377810398</c:v>
                </c:pt>
                <c:pt idx="21">
                  <c:v>7.2208724377810398</c:v>
                </c:pt>
                <c:pt idx="22">
                  <c:v>7.2208724377810398</c:v>
                </c:pt>
                <c:pt idx="23">
                  <c:v>7.2208724377810398</c:v>
                </c:pt>
                <c:pt idx="24">
                  <c:v>7.2208724377810398</c:v>
                </c:pt>
                <c:pt idx="25">
                  <c:v>7.2208724377810398</c:v>
                </c:pt>
                <c:pt idx="26">
                  <c:v>7.2208724377810398</c:v>
                </c:pt>
                <c:pt idx="27">
                  <c:v>18.94822877590039</c:v>
                </c:pt>
                <c:pt idx="28">
                  <c:v>17.846543164887237</c:v>
                </c:pt>
                <c:pt idx="29">
                  <c:v>18.806381138130178</c:v>
                </c:pt>
                <c:pt idx="30">
                  <c:v>10.476988295744883</c:v>
                </c:pt>
                <c:pt idx="31">
                  <c:v>10.434713216876997</c:v>
                </c:pt>
                <c:pt idx="32">
                  <c:v>10.446915613664926</c:v>
                </c:pt>
                <c:pt idx="33">
                  <c:v>17.740180735046923</c:v>
                </c:pt>
                <c:pt idx="34">
                  <c:v>19.611238441849292</c:v>
                </c:pt>
                <c:pt idx="35">
                  <c:v>9.9186385788482578</c:v>
                </c:pt>
                <c:pt idx="36">
                  <c:v>17.06088954516337</c:v>
                </c:pt>
                <c:pt idx="37">
                  <c:v>9.7128382273309022</c:v>
                </c:pt>
                <c:pt idx="38">
                  <c:v>9.7407977808399302</c:v>
                </c:pt>
                <c:pt idx="39">
                  <c:v>17.069933436300992</c:v>
                </c:pt>
                <c:pt idx="40">
                  <c:v>9.8431323403554991</c:v>
                </c:pt>
                <c:pt idx="41">
                  <c:v>18.88257309753622</c:v>
                </c:pt>
                <c:pt idx="42">
                  <c:v>9.8643758000340416</c:v>
                </c:pt>
                <c:pt idx="43">
                  <c:v>10.513417323198794</c:v>
                </c:pt>
                <c:pt idx="44">
                  <c:v>9.4959570681682486</c:v>
                </c:pt>
                <c:pt idx="45">
                  <c:v>9.2216818355173462</c:v>
                </c:pt>
                <c:pt idx="46">
                  <c:v>9.1712319599867627</c:v>
                </c:pt>
                <c:pt idx="47">
                  <c:v>17.876264887039209</c:v>
                </c:pt>
                <c:pt idx="48">
                  <c:v>9.4317028236816505</c:v>
                </c:pt>
                <c:pt idx="49">
                  <c:v>9.7014932609915725</c:v>
                </c:pt>
                <c:pt idx="50">
                  <c:v>8.8287010470491492</c:v>
                </c:pt>
                <c:pt idx="51">
                  <c:v>16.998665358320466</c:v>
                </c:pt>
                <c:pt idx="52">
                  <c:v>9.9021474929402586</c:v>
                </c:pt>
                <c:pt idx="53">
                  <c:v>9.4712458888669584</c:v>
                </c:pt>
                <c:pt idx="54">
                  <c:v>18.828373398005734</c:v>
                </c:pt>
                <c:pt idx="55">
                  <c:v>9.1514812225560309</c:v>
                </c:pt>
                <c:pt idx="56">
                  <c:v>8.7689617799585484</c:v>
                </c:pt>
                <c:pt idx="57">
                  <c:v>17.925114555775615</c:v>
                </c:pt>
                <c:pt idx="58">
                  <c:v>17.114470152035651</c:v>
                </c:pt>
                <c:pt idx="59">
                  <c:v>17.778467613766406</c:v>
                </c:pt>
                <c:pt idx="60">
                  <c:v>8.8057262575671658</c:v>
                </c:pt>
                <c:pt idx="61">
                  <c:v>9.7746670359888874</c:v>
                </c:pt>
                <c:pt idx="62">
                  <c:v>9.4662278894074863</c:v>
                </c:pt>
                <c:pt idx="63">
                  <c:v>17.214277530090971</c:v>
                </c:pt>
                <c:pt idx="64">
                  <c:v>9.2063495350048488</c:v>
                </c:pt>
                <c:pt idx="65">
                  <c:v>10.881287976961479</c:v>
                </c:pt>
                <c:pt idx="66">
                  <c:v>8.8010608597811508</c:v>
                </c:pt>
                <c:pt idx="67">
                  <c:v>9.945742798435214</c:v>
                </c:pt>
                <c:pt idx="68">
                  <c:v>10.11668838283558</c:v>
                </c:pt>
                <c:pt idx="69">
                  <c:v>9.551335152834632</c:v>
                </c:pt>
                <c:pt idx="70">
                  <c:v>9.2468815126145572</c:v>
                </c:pt>
                <c:pt idx="71">
                  <c:v>8.8801878588120839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C3-A14F-96AF-FBF11932B5CA}"/>
            </c:ext>
          </c:extLst>
        </c:ser>
        <c:ser>
          <c:idx val="6"/>
          <c:order val="6"/>
          <c:tx>
            <c:strRef>
              <c:f>lc_summary!$V$2</c:f>
              <c:strCache>
                <c:ptCount val="1"/>
                <c:pt idx="0">
                  <c:v>variable_om_cost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NW_DryMill_CCS_Fermentation</c:v>
                </c:pt>
                <c:pt idx="5">
                  <c:v>CEN_DryMill_CCS_Fermentation_Exhaust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NCEN_DryMill_CCS_Fermentation</c:v>
                </c:pt>
                <c:pt idx="13">
                  <c:v>MIDAT_DryMill_CCS_Fermentation_Exhaust</c:v>
                </c:pt>
                <c:pt idx="14">
                  <c:v>SE_DryMill_CCS_Fermentation</c:v>
                </c:pt>
                <c:pt idx="15">
                  <c:v>MIDAT_DryMill_CCS_Fermentation</c:v>
                </c:pt>
                <c:pt idx="16">
                  <c:v>NE_DryMill_CCS_Fermentation_Exhaust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MIDAT_DryMill_Existing_Non_CCS</c:v>
                </c:pt>
                <c:pt idx="25">
                  <c:v>CA_DryMill_Existing_Non_CCS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CEN_Bio_Ethanol_CCS_86_Herb</c:v>
                </c:pt>
                <c:pt idx="29">
                  <c:v>NCEN_Bio_Ethanol_CCS_86_Agri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CEN_Bio_Ethanol_CCS_86_Wood</c:v>
                </c:pt>
                <c:pt idx="37">
                  <c:v>MIDAT_Bio_Ethanol_Agri</c:v>
                </c:pt>
                <c:pt idx="38">
                  <c:v>SE_Bio_Ethanol_Agri</c:v>
                </c:pt>
                <c:pt idx="39">
                  <c:v>NCEN_Bio_Ethanol_CCS_86_Wood</c:v>
                </c:pt>
                <c:pt idx="40">
                  <c:v>NCEN_Bio_Ethanol_CCS_20_Herb</c:v>
                </c:pt>
                <c:pt idx="41">
                  <c:v>SE_Bio_Ethanol_CCS_86_Agri</c:v>
                </c:pt>
                <c:pt idx="42">
                  <c:v>MIDAT_Bio_Ethanol_CCS_20_Herb</c:v>
                </c:pt>
                <c:pt idx="43">
                  <c:v>CEN_Bio_Ethanol_CCS_20_Agri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SE_Bio_Ethanol_CCS_86_Herb</c:v>
                </c:pt>
                <c:pt idx="48">
                  <c:v>SE_Bio_Ethanol_CCS_20_Wood</c:v>
                </c:pt>
                <c:pt idx="49">
                  <c:v>NCEN_Bio_Ethanol_Agri</c:v>
                </c:pt>
                <c:pt idx="50">
                  <c:v>MIDAT_Bio_Ethanol_Wood</c:v>
                </c:pt>
                <c:pt idx="51">
                  <c:v>SE_Bio_Ethanol_CCS_86_Wood</c:v>
                </c:pt>
                <c:pt idx="52">
                  <c:v>CEN_Bio_Ethanol_CCS_20_Herb</c:v>
                </c:pt>
                <c:pt idx="53">
                  <c:v>NCEN_Bio_Ethanol_CCS_20_Wood</c:v>
                </c:pt>
                <c:pt idx="54">
                  <c:v>MIDAT_Bio_Ethanol_CCS_86_Agri</c:v>
                </c:pt>
                <c:pt idx="55">
                  <c:v>NCEN_Bio_Ethanol_Herb</c:v>
                </c:pt>
                <c:pt idx="56">
                  <c:v>SE_Bio_Ethanol_Wood</c:v>
                </c:pt>
                <c:pt idx="57">
                  <c:v>TX_Bio_Ethanol_CCS_86_Herb</c:v>
                </c:pt>
                <c:pt idx="58">
                  <c:v>MIDAT_Bio_Ethanol_CCS_86_Wood</c:v>
                </c:pt>
                <c:pt idx="59">
                  <c:v>MIDAT_Bio_Ethanol_CCS_86_Herb</c:v>
                </c:pt>
                <c:pt idx="60">
                  <c:v>NCEN_Bio_Ethanol_Wood</c:v>
                </c:pt>
                <c:pt idx="61">
                  <c:v>CEN_Bio_Ethanol_Agri</c:v>
                </c:pt>
                <c:pt idx="62">
                  <c:v>CEN_Bio_Ethanol_CCS_20_Wood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lc_summary!$V$3:$V$74</c:f>
              <c:numCache>
                <c:formatCode>General</c:formatCode>
                <c:ptCount val="72"/>
                <c:pt idx="0">
                  <c:v>-8.1434431562275815</c:v>
                </c:pt>
                <c:pt idx="1">
                  <c:v>-8.1434431562275815</c:v>
                </c:pt>
                <c:pt idx="2">
                  <c:v>-8.1434431562275815</c:v>
                </c:pt>
                <c:pt idx="3">
                  <c:v>-8.1434431562275815</c:v>
                </c:pt>
                <c:pt idx="4">
                  <c:v>-8.1724348446793407</c:v>
                </c:pt>
                <c:pt idx="5">
                  <c:v>-8.1434431562275815</c:v>
                </c:pt>
                <c:pt idx="6">
                  <c:v>-8.1724348446793407</c:v>
                </c:pt>
                <c:pt idx="7">
                  <c:v>-8.1724348446793407</c:v>
                </c:pt>
                <c:pt idx="8">
                  <c:v>-8.1724348446793407</c:v>
                </c:pt>
                <c:pt idx="9">
                  <c:v>-8.1434431562275815</c:v>
                </c:pt>
                <c:pt idx="10">
                  <c:v>-8.1724348446793407</c:v>
                </c:pt>
                <c:pt idx="11">
                  <c:v>-8.1434431562275815</c:v>
                </c:pt>
                <c:pt idx="12">
                  <c:v>-8.1724348446793407</c:v>
                </c:pt>
                <c:pt idx="13">
                  <c:v>-8.1434431562275815</c:v>
                </c:pt>
                <c:pt idx="14">
                  <c:v>-8.1724348446793407</c:v>
                </c:pt>
                <c:pt idx="15">
                  <c:v>-8.1724348446793407</c:v>
                </c:pt>
                <c:pt idx="16">
                  <c:v>-8.1434431562275815</c:v>
                </c:pt>
                <c:pt idx="17">
                  <c:v>-8.1724348446793407</c:v>
                </c:pt>
                <c:pt idx="18">
                  <c:v>-8.1853200395467898</c:v>
                </c:pt>
                <c:pt idx="19">
                  <c:v>-8.1853200395467898</c:v>
                </c:pt>
                <c:pt idx="20">
                  <c:v>-8.1853200395467898</c:v>
                </c:pt>
                <c:pt idx="21">
                  <c:v>-8.1853200395467898</c:v>
                </c:pt>
                <c:pt idx="22">
                  <c:v>-8.1853200395467898</c:v>
                </c:pt>
                <c:pt idx="23">
                  <c:v>-8.1853200395467898</c:v>
                </c:pt>
                <c:pt idx="24">
                  <c:v>-8.1853200395467898</c:v>
                </c:pt>
                <c:pt idx="25">
                  <c:v>-8.1853200395467898</c:v>
                </c:pt>
                <c:pt idx="26">
                  <c:v>-8.1853200395467898</c:v>
                </c:pt>
                <c:pt idx="27">
                  <c:v>0.89333475981598376</c:v>
                </c:pt>
                <c:pt idx="28">
                  <c:v>0.8413945989520355</c:v>
                </c:pt>
                <c:pt idx="29">
                  <c:v>0.88664719936288827</c:v>
                </c:pt>
                <c:pt idx="30">
                  <c:v>0.25587717895410206</c:v>
                </c:pt>
                <c:pt idx="31">
                  <c:v>0.25484470400849479</c:v>
                </c:pt>
                <c:pt idx="32">
                  <c:v>0.2551427204592569</c:v>
                </c:pt>
                <c:pt idx="33">
                  <c:v>0.83638002704462366</c:v>
                </c:pt>
                <c:pt idx="34">
                  <c:v>0.92459306832023025</c:v>
                </c:pt>
                <c:pt idx="35">
                  <c:v>0.24224072672218017</c:v>
                </c:pt>
                <c:pt idx="36">
                  <c:v>0.8043541084673923</c:v>
                </c:pt>
                <c:pt idx="37">
                  <c:v>0.23919630043055334</c:v>
                </c:pt>
                <c:pt idx="38">
                  <c:v>0.23988485526947068</c:v>
                </c:pt>
                <c:pt idx="39">
                  <c:v>0.80478049250638517</c:v>
                </c:pt>
                <c:pt idx="40">
                  <c:v>0.24039665447989184</c:v>
                </c:pt>
                <c:pt idx="41">
                  <c:v>0.89023935177781333</c:v>
                </c:pt>
                <c:pt idx="42">
                  <c:v>0.24091547881951414</c:v>
                </c:pt>
                <c:pt idx="43">
                  <c:v>0.25676687707285761</c:v>
                </c:pt>
                <c:pt idx="44">
                  <c:v>0.23191766922742424</c:v>
                </c:pt>
                <c:pt idx="45">
                  <c:v>0.22710068130204392</c:v>
                </c:pt>
                <c:pt idx="46">
                  <c:v>0.22585826139329454</c:v>
                </c:pt>
                <c:pt idx="47">
                  <c:v>0.84279586172091847</c:v>
                </c:pt>
                <c:pt idx="48">
                  <c:v>0.23034840195796139</c:v>
                </c:pt>
                <c:pt idx="49">
                  <c:v>0.23891691000796392</c:v>
                </c:pt>
                <c:pt idx="50">
                  <c:v>0.21742281490071025</c:v>
                </c:pt>
                <c:pt idx="51">
                  <c:v>0.80142048181207404</c:v>
                </c:pt>
                <c:pt idx="52">
                  <c:v>0.2418379685610641</c:v>
                </c:pt>
                <c:pt idx="53">
                  <c:v>0.23131415353476942</c:v>
                </c:pt>
                <c:pt idx="54">
                  <c:v>0.88768404826449798</c:v>
                </c:pt>
                <c:pt idx="55">
                  <c:v>0.22537186357489861</c:v>
                </c:pt>
                <c:pt idx="56">
                  <c:v>0.21595162683558883</c:v>
                </c:pt>
                <c:pt idx="57">
                  <c:v>0.84509893224027122</c:v>
                </c:pt>
                <c:pt idx="58">
                  <c:v>0.80688022418708016</c:v>
                </c:pt>
                <c:pt idx="59">
                  <c:v>0.83818510339289298</c:v>
                </c:pt>
                <c:pt idx="60">
                  <c:v>0.21685701893884632</c:v>
                </c:pt>
                <c:pt idx="61">
                  <c:v>0.24071894725580401</c:v>
                </c:pt>
                <c:pt idx="62">
                  <c:v>0.23119160003853192</c:v>
                </c:pt>
                <c:pt idx="63">
                  <c:v>0.81158575108130426</c:v>
                </c:pt>
                <c:pt idx="64">
                  <c:v>0.22672309552599759</c:v>
                </c:pt>
                <c:pt idx="65">
                  <c:v>0.26575130107407818</c:v>
                </c:pt>
                <c:pt idx="66">
                  <c:v>0.2167421250361237</c:v>
                </c:pt>
                <c:pt idx="67">
                  <c:v>0.24290268711097615</c:v>
                </c:pt>
                <c:pt idx="68">
                  <c:v>0.24914184475694828</c:v>
                </c:pt>
                <c:pt idx="69">
                  <c:v>0.23327015599941681</c:v>
                </c:pt>
                <c:pt idx="70">
                  <c:v>0.22772126916654017</c:v>
                </c:pt>
                <c:pt idx="71">
                  <c:v>0.21869077124945327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C3-A14F-96AF-FBF11932B5CA}"/>
            </c:ext>
          </c:extLst>
        </c:ser>
        <c:ser>
          <c:idx val="7"/>
          <c:order val="7"/>
          <c:tx>
            <c:strRef>
              <c:f>lc_summary!$W$2</c:f>
              <c:strCache>
                <c:ptCount val="1"/>
                <c:pt idx="0">
                  <c:v>modified capture cost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NW_DryMill_CCS_Fermentation</c:v>
                </c:pt>
                <c:pt idx="5">
                  <c:v>CEN_DryMill_CCS_Fermentation_Exhaust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NCEN_DryMill_CCS_Fermentation</c:v>
                </c:pt>
                <c:pt idx="13">
                  <c:v>MIDAT_DryMill_CCS_Fermentation_Exhaust</c:v>
                </c:pt>
                <c:pt idx="14">
                  <c:v>SE_DryMill_CCS_Fermentation</c:v>
                </c:pt>
                <c:pt idx="15">
                  <c:v>MIDAT_DryMill_CCS_Fermentation</c:v>
                </c:pt>
                <c:pt idx="16">
                  <c:v>NE_DryMill_CCS_Fermentation_Exhaust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MIDAT_DryMill_Existing_Non_CCS</c:v>
                </c:pt>
                <c:pt idx="25">
                  <c:v>CA_DryMill_Existing_Non_CCS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CEN_Bio_Ethanol_CCS_86_Herb</c:v>
                </c:pt>
                <c:pt idx="29">
                  <c:v>NCEN_Bio_Ethanol_CCS_86_Agri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CEN_Bio_Ethanol_CCS_86_Wood</c:v>
                </c:pt>
                <c:pt idx="37">
                  <c:v>MIDAT_Bio_Ethanol_Agri</c:v>
                </c:pt>
                <c:pt idx="38">
                  <c:v>SE_Bio_Ethanol_Agri</c:v>
                </c:pt>
                <c:pt idx="39">
                  <c:v>NCEN_Bio_Ethanol_CCS_86_Wood</c:v>
                </c:pt>
                <c:pt idx="40">
                  <c:v>NCEN_Bio_Ethanol_CCS_20_Herb</c:v>
                </c:pt>
                <c:pt idx="41">
                  <c:v>SE_Bio_Ethanol_CCS_86_Agri</c:v>
                </c:pt>
                <c:pt idx="42">
                  <c:v>MIDAT_Bio_Ethanol_CCS_20_Herb</c:v>
                </c:pt>
                <c:pt idx="43">
                  <c:v>CEN_Bio_Ethanol_CCS_20_Agri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SE_Bio_Ethanol_CCS_86_Herb</c:v>
                </c:pt>
                <c:pt idx="48">
                  <c:v>SE_Bio_Ethanol_CCS_20_Wood</c:v>
                </c:pt>
                <c:pt idx="49">
                  <c:v>NCEN_Bio_Ethanol_Agri</c:v>
                </c:pt>
                <c:pt idx="50">
                  <c:v>MIDAT_Bio_Ethanol_Wood</c:v>
                </c:pt>
                <c:pt idx="51">
                  <c:v>SE_Bio_Ethanol_CCS_86_Wood</c:v>
                </c:pt>
                <c:pt idx="52">
                  <c:v>CEN_Bio_Ethanol_CCS_20_Herb</c:v>
                </c:pt>
                <c:pt idx="53">
                  <c:v>NCEN_Bio_Ethanol_CCS_20_Wood</c:v>
                </c:pt>
                <c:pt idx="54">
                  <c:v>MIDAT_Bio_Ethanol_CCS_86_Agri</c:v>
                </c:pt>
                <c:pt idx="55">
                  <c:v>NCEN_Bio_Ethanol_Herb</c:v>
                </c:pt>
                <c:pt idx="56">
                  <c:v>SE_Bio_Ethanol_Wood</c:v>
                </c:pt>
                <c:pt idx="57">
                  <c:v>TX_Bio_Ethanol_CCS_86_Herb</c:v>
                </c:pt>
                <c:pt idx="58">
                  <c:v>MIDAT_Bio_Ethanol_CCS_86_Wood</c:v>
                </c:pt>
                <c:pt idx="59">
                  <c:v>MIDAT_Bio_Ethanol_CCS_86_Herb</c:v>
                </c:pt>
                <c:pt idx="60">
                  <c:v>NCEN_Bio_Ethanol_Wood</c:v>
                </c:pt>
                <c:pt idx="61">
                  <c:v>CEN_Bio_Ethanol_Agri</c:v>
                </c:pt>
                <c:pt idx="62">
                  <c:v>CEN_Bio_Ethanol_CCS_20_Wood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lc_summary!$W$3:$W$74</c:f>
              <c:numCache>
                <c:formatCode>General</c:formatCode>
                <c:ptCount val="72"/>
                <c:pt idx="0">
                  <c:v>-16.797272991912497</c:v>
                </c:pt>
                <c:pt idx="1">
                  <c:v>-16.938539850807413</c:v>
                </c:pt>
                <c:pt idx="2">
                  <c:v>-15.276872390600904</c:v>
                </c:pt>
                <c:pt idx="3">
                  <c:v>-14.469605752651553</c:v>
                </c:pt>
                <c:pt idx="4">
                  <c:v>-11.767032817772119</c:v>
                </c:pt>
                <c:pt idx="5">
                  <c:v>-12.792465719165941</c:v>
                </c:pt>
                <c:pt idx="6">
                  <c:v>-11.865994819847124</c:v>
                </c:pt>
                <c:pt idx="7">
                  <c:v>-10.701943039186755</c:v>
                </c:pt>
                <c:pt idx="8">
                  <c:v>-10.13642665887811</c:v>
                </c:pt>
                <c:pt idx="9">
                  <c:v>-11.1454403847841</c:v>
                </c:pt>
                <c:pt idx="10">
                  <c:v>-8.9615358403787848</c:v>
                </c:pt>
                <c:pt idx="11">
                  <c:v>-10.161243372174775</c:v>
                </c:pt>
                <c:pt idx="12">
                  <c:v>-7.8077413422656381</c:v>
                </c:pt>
                <c:pt idx="13">
                  <c:v>-9.106196313105217</c:v>
                </c:pt>
                <c:pt idx="14">
                  <c:v>-7.1182795140210633</c:v>
                </c:pt>
                <c:pt idx="15">
                  <c:v>-6.379184937517909</c:v>
                </c:pt>
                <c:pt idx="16">
                  <c:v>-7.7067685007409219</c:v>
                </c:pt>
                <c:pt idx="17">
                  <c:v>-5.3988405088643852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-45.533764379187978</c:v>
                </c:pt>
                <c:pt idx="28">
                  <c:v>-42.765167507068689</c:v>
                </c:pt>
                <c:pt idx="29">
                  <c:v>-39.583377897556339</c:v>
                </c:pt>
                <c:pt idx="30">
                  <c:v>-8.4736654520709855</c:v>
                </c:pt>
                <c:pt idx="31">
                  <c:v>-9.3986419893153954</c:v>
                </c:pt>
                <c:pt idx="32">
                  <c:v>-7.6789565147141294</c:v>
                </c:pt>
                <c:pt idx="33">
                  <c:v>-37.453812048331194</c:v>
                </c:pt>
                <c:pt idx="34">
                  <c:v>-51.102826470212008</c:v>
                </c:pt>
                <c:pt idx="35">
                  <c:v>-8.0455080014009788</c:v>
                </c:pt>
                <c:pt idx="36">
                  <c:v>-42.753640760414562</c:v>
                </c:pt>
                <c:pt idx="37">
                  <c:v>0</c:v>
                </c:pt>
                <c:pt idx="38">
                  <c:v>0</c:v>
                </c:pt>
                <c:pt idx="39">
                  <c:v>-37.275932371144641</c:v>
                </c:pt>
                <c:pt idx="40">
                  <c:v>-8.892999770974674</c:v>
                </c:pt>
                <c:pt idx="41">
                  <c:v>-35.687741074519352</c:v>
                </c:pt>
                <c:pt idx="42">
                  <c:v>-7.264510933472347</c:v>
                </c:pt>
                <c:pt idx="43">
                  <c:v>-10.811496455239345</c:v>
                </c:pt>
                <c:pt idx="44">
                  <c:v>-7.2790092167589471</c:v>
                </c:pt>
                <c:pt idx="45">
                  <c:v>0</c:v>
                </c:pt>
                <c:pt idx="46">
                  <c:v>0</c:v>
                </c:pt>
                <c:pt idx="47">
                  <c:v>-33.884510545173519</c:v>
                </c:pt>
                <c:pt idx="48">
                  <c:v>-8.1386486701517278</c:v>
                </c:pt>
                <c:pt idx="49">
                  <c:v>0</c:v>
                </c:pt>
                <c:pt idx="50">
                  <c:v>0</c:v>
                </c:pt>
                <c:pt idx="51">
                  <c:v>-34.276782353481927</c:v>
                </c:pt>
                <c:pt idx="52">
                  <c:v>-10.154123280036075</c:v>
                </c:pt>
                <c:pt idx="53">
                  <c:v>-8.8507641788688645</c:v>
                </c:pt>
                <c:pt idx="54">
                  <c:v>-32.340740069297212</c:v>
                </c:pt>
                <c:pt idx="55">
                  <c:v>0</c:v>
                </c:pt>
                <c:pt idx="56">
                  <c:v>0</c:v>
                </c:pt>
                <c:pt idx="57">
                  <c:v>-48.316366796170506</c:v>
                </c:pt>
                <c:pt idx="58">
                  <c:v>-30.656319591097915</c:v>
                </c:pt>
                <c:pt idx="59">
                  <c:v>-30.595258532824619</c:v>
                </c:pt>
                <c:pt idx="60">
                  <c:v>0</c:v>
                </c:pt>
                <c:pt idx="61">
                  <c:v>0</c:v>
                </c:pt>
                <c:pt idx="62">
                  <c:v>-10.151386379577907</c:v>
                </c:pt>
                <c:pt idx="63">
                  <c:v>-49.651126037125074</c:v>
                </c:pt>
                <c:pt idx="64">
                  <c:v>0</c:v>
                </c:pt>
                <c:pt idx="65">
                  <c:v>-12.133809597520065</c:v>
                </c:pt>
                <c:pt idx="66">
                  <c:v>0</c:v>
                </c:pt>
                <c:pt idx="67">
                  <c:v>-11.472195094539575</c:v>
                </c:pt>
                <c:pt idx="68">
                  <c:v>0</c:v>
                </c:pt>
                <c:pt idx="69">
                  <c:v>-11.789119139782237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AC3-A14F-96AF-FBF11932B5CA}"/>
            </c:ext>
          </c:extLst>
        </c:ser>
        <c:ser>
          <c:idx val="8"/>
          <c:order val="8"/>
          <c:tx>
            <c:strRef>
              <c:f>lc_summary!$X$2</c:f>
              <c:strCache>
                <c:ptCount val="1"/>
                <c:pt idx="0">
                  <c:v>modified emissions cost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NW_DryMill_CCS_Fermentation</c:v>
                </c:pt>
                <c:pt idx="5">
                  <c:v>CEN_DryMill_CCS_Fermentation_Exhaust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NCEN_DryMill_CCS_Fermentation</c:v>
                </c:pt>
                <c:pt idx="13">
                  <c:v>MIDAT_DryMill_CCS_Fermentation_Exhaust</c:v>
                </c:pt>
                <c:pt idx="14">
                  <c:v>SE_DryMill_CCS_Fermentation</c:v>
                </c:pt>
                <c:pt idx="15">
                  <c:v>MIDAT_DryMill_CCS_Fermentation</c:v>
                </c:pt>
                <c:pt idx="16">
                  <c:v>NE_DryMill_CCS_Fermentation_Exhaust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MIDAT_DryMill_Existing_Non_CCS</c:v>
                </c:pt>
                <c:pt idx="25">
                  <c:v>CA_DryMill_Existing_Non_CCS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CEN_Bio_Ethanol_CCS_86_Herb</c:v>
                </c:pt>
                <c:pt idx="29">
                  <c:v>NCEN_Bio_Ethanol_CCS_86_Agri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CEN_Bio_Ethanol_CCS_86_Wood</c:v>
                </c:pt>
                <c:pt idx="37">
                  <c:v>MIDAT_Bio_Ethanol_Agri</c:v>
                </c:pt>
                <c:pt idx="38">
                  <c:v>SE_Bio_Ethanol_Agri</c:v>
                </c:pt>
                <c:pt idx="39">
                  <c:v>NCEN_Bio_Ethanol_CCS_86_Wood</c:v>
                </c:pt>
                <c:pt idx="40">
                  <c:v>NCEN_Bio_Ethanol_CCS_20_Herb</c:v>
                </c:pt>
                <c:pt idx="41">
                  <c:v>SE_Bio_Ethanol_CCS_86_Agri</c:v>
                </c:pt>
                <c:pt idx="42">
                  <c:v>MIDAT_Bio_Ethanol_CCS_20_Herb</c:v>
                </c:pt>
                <c:pt idx="43">
                  <c:v>CEN_Bio_Ethanol_CCS_20_Agri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SE_Bio_Ethanol_CCS_86_Herb</c:v>
                </c:pt>
                <c:pt idx="48">
                  <c:v>SE_Bio_Ethanol_CCS_20_Wood</c:v>
                </c:pt>
                <c:pt idx="49">
                  <c:v>NCEN_Bio_Ethanol_Agri</c:v>
                </c:pt>
                <c:pt idx="50">
                  <c:v>MIDAT_Bio_Ethanol_Wood</c:v>
                </c:pt>
                <c:pt idx="51">
                  <c:v>SE_Bio_Ethanol_CCS_86_Wood</c:v>
                </c:pt>
                <c:pt idx="52">
                  <c:v>CEN_Bio_Ethanol_CCS_20_Herb</c:v>
                </c:pt>
                <c:pt idx="53">
                  <c:v>NCEN_Bio_Ethanol_CCS_20_Wood</c:v>
                </c:pt>
                <c:pt idx="54">
                  <c:v>MIDAT_Bio_Ethanol_CCS_86_Agri</c:v>
                </c:pt>
                <c:pt idx="55">
                  <c:v>NCEN_Bio_Ethanol_Herb</c:v>
                </c:pt>
                <c:pt idx="56">
                  <c:v>SE_Bio_Ethanol_Wood</c:v>
                </c:pt>
                <c:pt idx="57">
                  <c:v>TX_Bio_Ethanol_CCS_86_Herb</c:v>
                </c:pt>
                <c:pt idx="58">
                  <c:v>MIDAT_Bio_Ethanol_CCS_86_Wood</c:v>
                </c:pt>
                <c:pt idx="59">
                  <c:v>MIDAT_Bio_Ethanol_CCS_86_Herb</c:v>
                </c:pt>
                <c:pt idx="60">
                  <c:v>NCEN_Bio_Ethanol_Wood</c:v>
                </c:pt>
                <c:pt idx="61">
                  <c:v>CEN_Bio_Ethanol_Agri</c:v>
                </c:pt>
                <c:pt idx="62">
                  <c:v>CEN_Bio_Ethanol_CCS_20_Wood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lc_summary!$X$3:$X$74</c:f>
              <c:numCache>
                <c:formatCode>General</c:formatCode>
                <c:ptCount val="72"/>
                <c:pt idx="0">
                  <c:v>6.5363717197461213</c:v>
                </c:pt>
                <c:pt idx="1">
                  <c:v>6.5363717197461213</c:v>
                </c:pt>
                <c:pt idx="2">
                  <c:v>6.5363717197461213</c:v>
                </c:pt>
                <c:pt idx="3">
                  <c:v>6.5363717197461213</c:v>
                </c:pt>
                <c:pt idx="4">
                  <c:v>6.5363717197461213</c:v>
                </c:pt>
                <c:pt idx="5">
                  <c:v>6.5363717197461213</c:v>
                </c:pt>
                <c:pt idx="6">
                  <c:v>6.5363717197461213</c:v>
                </c:pt>
                <c:pt idx="7">
                  <c:v>6.5363717197461213</c:v>
                </c:pt>
                <c:pt idx="8">
                  <c:v>6.5363717197461213</c:v>
                </c:pt>
                <c:pt idx="9">
                  <c:v>6.5363717197461213</c:v>
                </c:pt>
                <c:pt idx="10">
                  <c:v>6.5363717197461213</c:v>
                </c:pt>
                <c:pt idx="11">
                  <c:v>6.5363717197461213</c:v>
                </c:pt>
                <c:pt idx="12">
                  <c:v>6.5363717197461213</c:v>
                </c:pt>
                <c:pt idx="13">
                  <c:v>6.5363717197461213</c:v>
                </c:pt>
                <c:pt idx="14">
                  <c:v>6.5363717197461213</c:v>
                </c:pt>
                <c:pt idx="15">
                  <c:v>6.5363717197461213</c:v>
                </c:pt>
                <c:pt idx="16">
                  <c:v>6.5363717197461213</c:v>
                </c:pt>
                <c:pt idx="17">
                  <c:v>6.5363717197461213</c:v>
                </c:pt>
                <c:pt idx="18">
                  <c:v>6.5363717197461213</c:v>
                </c:pt>
                <c:pt idx="19">
                  <c:v>6.5363717197461213</c:v>
                </c:pt>
                <c:pt idx="20">
                  <c:v>6.5363717197461213</c:v>
                </c:pt>
                <c:pt idx="21">
                  <c:v>6.5363717197461213</c:v>
                </c:pt>
                <c:pt idx="22">
                  <c:v>6.5363717197461213</c:v>
                </c:pt>
                <c:pt idx="23">
                  <c:v>6.5363717197461213</c:v>
                </c:pt>
                <c:pt idx="24">
                  <c:v>6.5363717197461213</c:v>
                </c:pt>
                <c:pt idx="25">
                  <c:v>6.5363717197461213</c:v>
                </c:pt>
                <c:pt idx="26">
                  <c:v>6.5363717197461213</c:v>
                </c:pt>
                <c:pt idx="27">
                  <c:v>5.6706157607214951E-4</c:v>
                </c:pt>
                <c:pt idx="28">
                  <c:v>4.5901146962820915E-4</c:v>
                </c:pt>
                <c:pt idx="29">
                  <c:v>-1.5432025960788811E-4</c:v>
                </c:pt>
                <c:pt idx="30">
                  <c:v>1.2934678846765509E-4</c:v>
                </c:pt>
                <c:pt idx="31">
                  <c:v>-1.543202595835787E-4</c:v>
                </c:pt>
                <c:pt idx="32">
                  <c:v>-4.5654656336912327E-4</c:v>
                </c:pt>
                <c:pt idx="33">
                  <c:v>-5.0479290579523819E-4</c:v>
                </c:pt>
                <c:pt idx="34">
                  <c:v>-1.5835606181098123E-4</c:v>
                </c:pt>
                <c:pt idx="35">
                  <c:v>2.961781674667092E-5</c:v>
                </c:pt>
                <c:pt idx="36">
                  <c:v>-2.1400666813587501E-4</c:v>
                </c:pt>
                <c:pt idx="37">
                  <c:v>-4.5653047972455882E-4</c:v>
                </c:pt>
                <c:pt idx="38">
                  <c:v>1.2936287174757861E-4</c:v>
                </c:pt>
                <c:pt idx="39">
                  <c:v>-3.5103853538535397E-4</c:v>
                </c:pt>
                <c:pt idx="40">
                  <c:v>-5.0479290581954763E-4</c:v>
                </c:pt>
                <c:pt idx="41">
                  <c:v>1.293467884555004E-4</c:v>
                </c:pt>
                <c:pt idx="42">
                  <c:v>1.895915054659443E-4</c:v>
                </c:pt>
                <c:pt idx="43">
                  <c:v>5.6706157607214951E-4</c:v>
                </c:pt>
                <c:pt idx="44">
                  <c:v>1.802689401646539E-4</c:v>
                </c:pt>
                <c:pt idx="45">
                  <c:v>2.963390012383203E-5</c:v>
                </c:pt>
                <c:pt idx="46">
                  <c:v>1.8960758874586782E-4</c:v>
                </c:pt>
                <c:pt idx="47">
                  <c:v>2.9617816734516221E-5</c:v>
                </c:pt>
                <c:pt idx="48">
                  <c:v>-4.6915466641563177E-4</c:v>
                </c:pt>
                <c:pt idx="49">
                  <c:v>-1.5430417612133471E-4</c:v>
                </c:pt>
                <c:pt idx="50">
                  <c:v>1.80285023420268E-4</c:v>
                </c:pt>
                <c:pt idx="51">
                  <c:v>-4.6915466637916767E-4</c:v>
                </c:pt>
                <c:pt idx="52">
                  <c:v>4.5901146961605443E-4</c:v>
                </c:pt>
                <c:pt idx="53">
                  <c:v>-3.5103853537319925E-4</c:v>
                </c:pt>
                <c:pt idx="54">
                  <c:v>-4.5654656334481389E-4</c:v>
                </c:pt>
                <c:pt idx="55">
                  <c:v>-5.0477682210205491E-4</c:v>
                </c:pt>
                <c:pt idx="56">
                  <c:v>-4.6913858271029377E-4</c:v>
                </c:pt>
                <c:pt idx="57">
                  <c:v>5.8713141749578248E-4</c:v>
                </c:pt>
                <c:pt idx="58">
                  <c:v>1.8026894017680859E-4</c:v>
                </c:pt>
                <c:pt idx="59">
                  <c:v>1.895915054659443E-4</c:v>
                </c:pt>
                <c:pt idx="60">
                  <c:v>-3.5102245176509884E-4</c:v>
                </c:pt>
                <c:pt idx="61">
                  <c:v>5.6707765910897902E-4</c:v>
                </c:pt>
                <c:pt idx="62">
                  <c:v>-2.1400666811156562E-4</c:v>
                </c:pt>
                <c:pt idx="63">
                  <c:v>-1.1180988801480938E-4</c:v>
                </c:pt>
                <c:pt idx="64">
                  <c:v>4.590275527258122E-4</c:v>
                </c:pt>
                <c:pt idx="65">
                  <c:v>-1.5835606181098123E-4</c:v>
                </c:pt>
                <c:pt idx="66">
                  <c:v>-2.1399058463716691E-4</c:v>
                </c:pt>
                <c:pt idx="67">
                  <c:v>5.8713141747147304E-4</c:v>
                </c:pt>
                <c:pt idx="68">
                  <c:v>-1.5833997834873722E-4</c:v>
                </c:pt>
                <c:pt idx="69">
                  <c:v>-1.1180988803911878E-4</c:v>
                </c:pt>
                <c:pt idx="70">
                  <c:v>5.8714750045968378E-4</c:v>
                </c:pt>
                <c:pt idx="71">
                  <c:v>-1.1179380457687476E-4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AC3-A14F-96AF-FBF11932B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2013943488"/>
        <c:axId val="2013934048"/>
      </c:barChart>
      <c:catAx>
        <c:axId val="2013943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34048"/>
        <c:crosses val="autoZero"/>
        <c:auto val="1"/>
        <c:lblAlgn val="ctr"/>
        <c:lblOffset val="100"/>
        <c:noMultiLvlLbl val="0"/>
      </c:catAx>
      <c:valAx>
        <c:axId val="201393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4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155925027786968"/>
          <c:y val="0.64383176745676285"/>
          <c:w val="0.11643628533802335"/>
          <c:h val="0.152146437104423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NW_DryMill_CCS_Fermentation</c:v>
                </c:pt>
                <c:pt idx="5">
                  <c:v>CEN_DryMill_CCS_Fermentation_Exhaust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NCEN_DryMill_CCS_Fermentation</c:v>
                </c:pt>
                <c:pt idx="13">
                  <c:v>MIDAT_DryMill_CCS_Fermentation_Exhaust</c:v>
                </c:pt>
                <c:pt idx="14">
                  <c:v>SE_DryMill_CCS_Fermentation</c:v>
                </c:pt>
                <c:pt idx="15">
                  <c:v>MIDAT_DryMill_CCS_Fermentation</c:v>
                </c:pt>
                <c:pt idx="16">
                  <c:v>NE_DryMill_CCS_Fermentation_Exhaust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MIDAT_DryMill_Existing_Non_CCS</c:v>
                </c:pt>
                <c:pt idx="25">
                  <c:v>CA_DryMill_Existing_Non_CCS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CEN_Bio_Ethanol_CCS_86_Herb</c:v>
                </c:pt>
                <c:pt idx="29">
                  <c:v>NCEN_Bio_Ethanol_CCS_86_Agri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CEN_Bio_Ethanol_CCS_86_Wood</c:v>
                </c:pt>
                <c:pt idx="37">
                  <c:v>MIDAT_Bio_Ethanol_Agri</c:v>
                </c:pt>
                <c:pt idx="38">
                  <c:v>SE_Bio_Ethanol_Agri</c:v>
                </c:pt>
                <c:pt idx="39">
                  <c:v>NCEN_Bio_Ethanol_CCS_86_Wood</c:v>
                </c:pt>
                <c:pt idx="40">
                  <c:v>NCEN_Bio_Ethanol_CCS_20_Herb</c:v>
                </c:pt>
                <c:pt idx="41">
                  <c:v>SE_Bio_Ethanol_CCS_86_Agri</c:v>
                </c:pt>
                <c:pt idx="42">
                  <c:v>MIDAT_Bio_Ethanol_CCS_20_Herb</c:v>
                </c:pt>
                <c:pt idx="43">
                  <c:v>CEN_Bio_Ethanol_CCS_20_Agri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SE_Bio_Ethanol_CCS_86_Herb</c:v>
                </c:pt>
                <c:pt idx="48">
                  <c:v>SE_Bio_Ethanol_CCS_20_Wood</c:v>
                </c:pt>
                <c:pt idx="49">
                  <c:v>NCEN_Bio_Ethanol_Agri</c:v>
                </c:pt>
                <c:pt idx="50">
                  <c:v>MIDAT_Bio_Ethanol_Wood</c:v>
                </c:pt>
                <c:pt idx="51">
                  <c:v>SE_Bio_Ethanol_CCS_86_Wood</c:v>
                </c:pt>
                <c:pt idx="52">
                  <c:v>CEN_Bio_Ethanol_CCS_20_Herb</c:v>
                </c:pt>
                <c:pt idx="53">
                  <c:v>NCEN_Bio_Ethanol_CCS_20_Wood</c:v>
                </c:pt>
                <c:pt idx="54">
                  <c:v>MIDAT_Bio_Ethanol_CCS_86_Agri</c:v>
                </c:pt>
                <c:pt idx="55">
                  <c:v>NCEN_Bio_Ethanol_Herb</c:v>
                </c:pt>
                <c:pt idx="56">
                  <c:v>SE_Bio_Ethanol_Wood</c:v>
                </c:pt>
                <c:pt idx="57">
                  <c:v>TX_Bio_Ethanol_CCS_86_Herb</c:v>
                </c:pt>
                <c:pt idx="58">
                  <c:v>MIDAT_Bio_Ethanol_CCS_86_Wood</c:v>
                </c:pt>
                <c:pt idx="59">
                  <c:v>MIDAT_Bio_Ethanol_CCS_86_Herb</c:v>
                </c:pt>
                <c:pt idx="60">
                  <c:v>NCEN_Bio_Ethanol_Wood</c:v>
                </c:pt>
                <c:pt idx="61">
                  <c:v>CEN_Bio_Ethanol_Agri</c:v>
                </c:pt>
                <c:pt idx="62">
                  <c:v>CEN_Bio_Ethanol_CCS_20_Wood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lc_summary!$Y$3:$Y$74</c:f>
              <c:numCache>
                <c:formatCode>General</c:formatCode>
                <c:ptCount val="72"/>
                <c:pt idx="0">
                  <c:v>51.637854167986575</c:v>
                </c:pt>
                <c:pt idx="1">
                  <c:v>51.764788101919315</c:v>
                </c:pt>
                <c:pt idx="2">
                  <c:v>53.19185421799682</c:v>
                </c:pt>
                <c:pt idx="3">
                  <c:v>53.669988280768223</c:v>
                </c:pt>
                <c:pt idx="4">
                  <c:v>55.518347292748274</c:v>
                </c:pt>
                <c:pt idx="5">
                  <c:v>55.518507816519815</c:v>
                </c:pt>
                <c:pt idx="6">
                  <c:v>55.687586083500918</c:v>
                </c:pt>
                <c:pt idx="7">
                  <c:v>56.617036520032279</c:v>
                </c:pt>
                <c:pt idx="8">
                  <c:v>56.853420325162979</c:v>
                </c:pt>
                <c:pt idx="9">
                  <c:v>57.31356386703051</c:v>
                </c:pt>
                <c:pt idx="10">
                  <c:v>58.199690645928278</c:v>
                </c:pt>
                <c:pt idx="11">
                  <c:v>58.504198336710928</c:v>
                </c:pt>
                <c:pt idx="12">
                  <c:v>59.501515860170294</c:v>
                </c:pt>
                <c:pt idx="13">
                  <c:v>59.591010186529857</c:v>
                </c:pt>
                <c:pt idx="14">
                  <c:v>60.397415145485944</c:v>
                </c:pt>
                <c:pt idx="15">
                  <c:v>61.168274512738485</c:v>
                </c:pt>
                <c:pt idx="16">
                  <c:v>61.212639568786614</c:v>
                </c:pt>
                <c:pt idx="17">
                  <c:v>62.370820511284471</c:v>
                </c:pt>
                <c:pt idx="18">
                  <c:v>65.240358997174297</c:v>
                </c:pt>
                <c:pt idx="19">
                  <c:v>65.411738499440276</c:v>
                </c:pt>
                <c:pt idx="20">
                  <c:v>65.535892123653596</c:v>
                </c:pt>
                <c:pt idx="21">
                  <c:v>65.559769215569133</c:v>
                </c:pt>
                <c:pt idx="22">
                  <c:v>65.569491572352234</c:v>
                </c:pt>
                <c:pt idx="23">
                  <c:v>65.766206672640209</c:v>
                </c:pt>
                <c:pt idx="24">
                  <c:v>65.797971463389587</c:v>
                </c:pt>
                <c:pt idx="25">
                  <c:v>65.804092916481238</c:v>
                </c:pt>
                <c:pt idx="26">
                  <c:v>66.020173033282063</c:v>
                </c:pt>
                <c:pt idx="27">
                  <c:v>66.035140066787349</c:v>
                </c:pt>
                <c:pt idx="28">
                  <c:v>68.175884967921675</c:v>
                </c:pt>
                <c:pt idx="29">
                  <c:v>68.298228643132234</c:v>
                </c:pt>
                <c:pt idx="30">
                  <c:v>69.439141470566838</c:v>
                </c:pt>
                <c:pt idx="31">
                  <c:v>69.892976912902213</c:v>
                </c:pt>
                <c:pt idx="32">
                  <c:v>70.31221074382313</c:v>
                </c:pt>
                <c:pt idx="33">
                  <c:v>70.382464138177028</c:v>
                </c:pt>
                <c:pt idx="34">
                  <c:v>70.565365729808548</c:v>
                </c:pt>
                <c:pt idx="35">
                  <c:v>71.154077440052276</c:v>
                </c:pt>
                <c:pt idx="36">
                  <c:v>71.465449686436187</c:v>
                </c:pt>
                <c:pt idx="37">
                  <c:v>71.652906537860673</c:v>
                </c:pt>
                <c:pt idx="38">
                  <c:v>71.692000617239671</c:v>
                </c:pt>
                <c:pt idx="39">
                  <c:v>71.960238965914385</c:v>
                </c:pt>
                <c:pt idx="40">
                  <c:v>71.974156509157908</c:v>
                </c:pt>
                <c:pt idx="41">
                  <c:v>71.984618900338802</c:v>
                </c:pt>
                <c:pt idx="42">
                  <c:v>72.074576903634281</c:v>
                </c:pt>
                <c:pt idx="43">
                  <c:v>72.709748291441997</c:v>
                </c:pt>
                <c:pt idx="44">
                  <c:v>72.911125569519854</c:v>
                </c:pt>
                <c:pt idx="45">
                  <c:v>73.09042529459596</c:v>
                </c:pt>
                <c:pt idx="46">
                  <c:v>73.11720289632035</c:v>
                </c:pt>
                <c:pt idx="47">
                  <c:v>73.488653281674715</c:v>
                </c:pt>
                <c:pt idx="48">
                  <c:v>73.6960361556674</c:v>
                </c:pt>
                <c:pt idx="49">
                  <c:v>73.888290710726352</c:v>
                </c:pt>
                <c:pt idx="50">
                  <c:v>74.04278629500979</c:v>
                </c:pt>
                <c:pt idx="51">
                  <c:v>74.348355284824123</c:v>
                </c:pt>
                <c:pt idx="52">
                  <c:v>74.370013111792161</c:v>
                </c:pt>
                <c:pt idx="53">
                  <c:v>74.435215978458999</c:v>
                </c:pt>
                <c:pt idx="54">
                  <c:v>75.484192996851903</c:v>
                </c:pt>
                <c:pt idx="55">
                  <c:v>75.582532472123049</c:v>
                </c:pt>
                <c:pt idx="56">
                  <c:v>75.821859420333098</c:v>
                </c:pt>
                <c:pt idx="57">
                  <c:v>76.337414897463447</c:v>
                </c:pt>
                <c:pt idx="58">
                  <c:v>76.651882361369317</c:v>
                </c:pt>
                <c:pt idx="59">
                  <c:v>76.914007789455766</c:v>
                </c:pt>
                <c:pt idx="60">
                  <c:v>78.076709756194475</c:v>
                </c:pt>
                <c:pt idx="61">
                  <c:v>78.684304358909131</c:v>
                </c:pt>
                <c:pt idx="62">
                  <c:v>78.813732849731153</c:v>
                </c:pt>
                <c:pt idx="63">
                  <c:v>79.752407375514949</c:v>
                </c:pt>
                <c:pt idx="64">
                  <c:v>79.80893369052572</c:v>
                </c:pt>
                <c:pt idx="65">
                  <c:v>81.247674092999759</c:v>
                </c:pt>
                <c:pt idx="66">
                  <c:v>84.336736498177885</c:v>
                </c:pt>
                <c:pt idx="67">
                  <c:v>87.326896598659076</c:v>
                </c:pt>
                <c:pt idx="68">
                  <c:v>89.020353586535194</c:v>
                </c:pt>
                <c:pt idx="69">
                  <c:v>92.785015959274546</c:v>
                </c:pt>
                <c:pt idx="70">
                  <c:v>94.625574764558692</c:v>
                </c:pt>
                <c:pt idx="71">
                  <c:v>100.4786226122161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3A-8248-A0F8-B97389D02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4004336"/>
        <c:axId val="2014014032"/>
      </c:barChart>
      <c:catAx>
        <c:axId val="1604004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014032"/>
        <c:crosses val="autoZero"/>
        <c:auto val="1"/>
        <c:lblAlgn val="ctr"/>
        <c:lblOffset val="100"/>
        <c:noMultiLvlLbl val="0"/>
      </c:catAx>
      <c:valAx>
        <c:axId val="201401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004336"/>
        <c:crosses val="autoZero"/>
        <c:crossBetween val="between"/>
        <c:majorUnit val="10"/>
        <c:min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290079</xdr:colOff>
      <xdr:row>0</xdr:row>
      <xdr:rowOff>129887</xdr:rowOff>
    </xdr:from>
    <xdr:to>
      <xdr:col>46</xdr:col>
      <xdr:colOff>745067</xdr:colOff>
      <xdr:row>85</xdr:row>
      <xdr:rowOff>72158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325580-17FA-24F1-29ED-98E547F5F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139700</xdr:colOff>
      <xdr:row>0</xdr:row>
      <xdr:rowOff>88900</xdr:rowOff>
    </xdr:from>
    <xdr:to>
      <xdr:col>54</xdr:col>
      <xdr:colOff>787400</xdr:colOff>
      <xdr:row>85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938422-2DBF-B82E-A841-A83096AFC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W107"/>
  <sheetViews>
    <sheetView topLeftCell="AK1" zoomScale="75" zoomScaleNormal="157" workbookViewId="0">
      <selection activeCell="AO3" sqref="AO3"/>
    </sheetView>
  </sheetViews>
  <sheetFormatPr baseColWidth="10" defaultRowHeight="16"/>
  <cols>
    <col min="1" max="1" width="2.6640625" style="1" customWidth="1"/>
    <col min="2" max="2" width="43.5" style="1" bestFit="1" customWidth="1"/>
    <col min="3" max="3" width="13.33203125" style="1" bestFit="1" customWidth="1"/>
    <col min="4" max="4" width="23.83203125" style="1" bestFit="1" customWidth="1"/>
    <col min="5" max="5" width="25.33203125" style="1" bestFit="1" customWidth="1"/>
    <col min="6" max="6" width="33.33203125" style="1" bestFit="1" customWidth="1"/>
    <col min="7" max="7" width="27.33203125" style="1" bestFit="1" customWidth="1"/>
    <col min="8" max="8" width="28.33203125" style="1" bestFit="1" customWidth="1"/>
    <col min="9" max="9" width="27.83203125" style="1" bestFit="1" customWidth="1"/>
    <col min="10" max="11" width="21" style="1" customWidth="1"/>
    <col min="12" max="12" width="22" style="1" bestFit="1" customWidth="1"/>
    <col min="13" max="13" width="27.83203125" style="1" bestFit="1" customWidth="1"/>
    <col min="14" max="14" width="26.1640625" style="1" bestFit="1" customWidth="1"/>
    <col min="15" max="15" width="14" style="1" customWidth="1"/>
    <col min="16" max="16" width="3" style="1" customWidth="1"/>
    <col min="17" max="17" width="12" style="1" bestFit="1" customWidth="1"/>
    <col min="18" max="18" width="15.6640625" style="1" bestFit="1" customWidth="1"/>
    <col min="19" max="20" width="17.1640625" style="1" bestFit="1" customWidth="1"/>
    <col min="21" max="21" width="18" style="1" bestFit="1" customWidth="1"/>
    <col min="22" max="22" width="16.1640625" style="1" bestFit="1" customWidth="1"/>
    <col min="23" max="23" width="21.33203125" style="1" bestFit="1" customWidth="1"/>
    <col min="24" max="24" width="21.6640625" style="1" bestFit="1" customWidth="1"/>
    <col min="25" max="25" width="18.83203125" style="1" bestFit="1" customWidth="1"/>
    <col min="26" max="26" width="17.6640625" style="1" bestFit="1" customWidth="1"/>
    <col min="27" max="27" width="18" style="1" bestFit="1" customWidth="1"/>
    <col min="28" max="28" width="21.6640625" style="1" bestFit="1" customWidth="1"/>
    <col min="29" max="29" width="22.33203125" style="1" bestFit="1" customWidth="1"/>
    <col min="30" max="30" width="19.83203125" style="1" bestFit="1" customWidth="1"/>
    <col min="31" max="32" width="20.33203125" style="1" bestFit="1" customWidth="1"/>
    <col min="33" max="33" width="20.6640625" style="1" bestFit="1" customWidth="1"/>
    <col min="34" max="34" width="17.5" style="1" bestFit="1" customWidth="1"/>
    <col min="35" max="35" width="17.83203125" style="1" bestFit="1" customWidth="1"/>
    <col min="36" max="36" width="18.33203125" style="1" bestFit="1" customWidth="1"/>
    <col min="37" max="37" width="18.6640625" style="1" bestFit="1" customWidth="1"/>
    <col min="38" max="38" width="3.33203125" customWidth="1"/>
    <col min="39" max="39" width="37.83203125" style="1" bestFit="1" customWidth="1"/>
    <col min="40" max="40" width="19.83203125" style="1" customWidth="1"/>
    <col min="41" max="42" width="18.83203125" style="1" bestFit="1" customWidth="1"/>
    <col min="43" max="44" width="16.5" style="1" bestFit="1" customWidth="1"/>
    <col min="45" max="45" width="27.83203125" style="1" bestFit="1" customWidth="1"/>
    <col min="46" max="46" width="12.6640625" style="1" bestFit="1" customWidth="1"/>
    <col min="47" max="47" width="15.1640625" style="1" bestFit="1" customWidth="1"/>
    <col min="48" max="48" width="18.5" style="1" bestFit="1" customWidth="1"/>
    <col min="49" max="49" width="17.1640625" style="1" bestFit="1" customWidth="1"/>
    <col min="50" max="50" width="13.6640625" style="1" bestFit="1" customWidth="1"/>
    <col min="51" max="51" width="12.1640625" style="1" bestFit="1" customWidth="1"/>
    <col min="52" max="52" width="14.5" style="1" bestFit="1" customWidth="1"/>
    <col min="53" max="53" width="10.5" style="1" customWidth="1"/>
    <col min="54" max="54" width="17.83203125" style="1" bestFit="1" customWidth="1"/>
    <col min="55" max="55" width="19.6640625" style="1" bestFit="1" customWidth="1"/>
    <col min="56" max="56" width="12.1640625" style="1" customWidth="1"/>
    <col min="57" max="57" width="17.83203125" style="1" bestFit="1" customWidth="1"/>
    <col min="58" max="58" width="19.33203125" style="1" bestFit="1" customWidth="1"/>
    <col min="59" max="59" width="3.33203125" style="1" customWidth="1"/>
    <col min="60" max="60" width="27.6640625" style="1" bestFit="1" customWidth="1"/>
    <col min="61" max="61" width="17" style="1" bestFit="1" customWidth="1"/>
    <col min="62" max="62" width="24.1640625" style="1" bestFit="1" customWidth="1"/>
    <col min="63" max="63" width="3.6640625" style="1" customWidth="1"/>
    <col min="64" max="64" width="24.5" style="1" bestFit="1" customWidth="1"/>
    <col min="65" max="65" width="20.5" style="1" bestFit="1" customWidth="1"/>
    <col min="66" max="66" width="26.83203125" style="1" bestFit="1" customWidth="1"/>
    <col min="67" max="67" width="3.33203125" style="1" customWidth="1"/>
    <col min="68" max="68" width="24.1640625" style="1" bestFit="1" customWidth="1"/>
    <col min="69" max="69" width="24.1640625" style="1" customWidth="1"/>
    <col min="70" max="70" width="25.6640625" style="1" bestFit="1" customWidth="1"/>
    <col min="71" max="71" width="25.6640625" style="1" customWidth="1"/>
    <col min="72" max="72" width="25.33203125" style="1" bestFit="1" customWidth="1"/>
    <col min="73" max="73" width="28.1640625" style="1" bestFit="1" customWidth="1"/>
    <col min="74" max="74" width="10.83203125" style="1" customWidth="1"/>
    <col min="75" max="75" width="19.1640625" style="1" bestFit="1" customWidth="1"/>
    <col min="76" max="92" width="10.83203125" style="1" customWidth="1"/>
    <col min="93" max="16384" width="10.83203125" style="1"/>
  </cols>
  <sheetData>
    <row r="1" spans="2:75" ht="15" customHeight="1">
      <c r="AL1" s="1"/>
      <c r="AT1" s="17"/>
      <c r="AU1" s="17"/>
      <c r="AV1" s="17"/>
      <c r="AW1" s="17"/>
      <c r="AX1" s="17"/>
      <c r="AY1" s="17"/>
      <c r="AZ1" s="17"/>
      <c r="BA1" s="17"/>
    </row>
    <row r="2" spans="2:75">
      <c r="B2" s="1" t="s">
        <v>0</v>
      </c>
      <c r="Q2" s="1" t="s">
        <v>1</v>
      </c>
      <c r="AM2" s="1" t="s">
        <v>2</v>
      </c>
      <c r="AO2" s="1" t="s">
        <v>3</v>
      </c>
      <c r="AP2" s="1" t="s">
        <v>4</v>
      </c>
      <c r="AQ2" s="1" t="s">
        <v>3</v>
      </c>
      <c r="AR2" s="1" t="s">
        <v>4</v>
      </c>
      <c r="BA2" s="1" t="s">
        <v>5</v>
      </c>
      <c r="BD2" s="1" t="s">
        <v>6</v>
      </c>
      <c r="BH2" s="1" t="s">
        <v>7</v>
      </c>
      <c r="BL2" s="1" t="s">
        <v>8</v>
      </c>
      <c r="BP2" s="1" t="s">
        <v>9</v>
      </c>
      <c r="BW2" s="1" t="s">
        <v>10</v>
      </c>
    </row>
    <row r="3" spans="2:75"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  <c r="N3" s="2" t="s">
        <v>23</v>
      </c>
      <c r="O3" s="2" t="s">
        <v>24</v>
      </c>
      <c r="Q3" s="14" t="s">
        <v>25</v>
      </c>
      <c r="R3" s="14" t="s">
        <v>26</v>
      </c>
      <c r="S3" s="14" t="s">
        <v>27</v>
      </c>
      <c r="T3" s="14" t="s">
        <v>28</v>
      </c>
      <c r="U3" s="14" t="s">
        <v>29</v>
      </c>
      <c r="V3" s="14" t="s">
        <v>30</v>
      </c>
      <c r="W3" s="14" t="s">
        <v>31</v>
      </c>
      <c r="X3" s="14" t="s">
        <v>32</v>
      </c>
      <c r="Y3" s="14" t="s">
        <v>33</v>
      </c>
      <c r="Z3" s="14" t="s">
        <v>34</v>
      </c>
      <c r="AA3" s="14" t="s">
        <v>35</v>
      </c>
      <c r="AB3" s="14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M3" s="4" t="s">
        <v>46</v>
      </c>
      <c r="AN3" s="4" t="s">
        <v>47</v>
      </c>
      <c r="AO3" s="3" t="s">
        <v>48</v>
      </c>
      <c r="AP3" s="6" t="s">
        <v>48</v>
      </c>
      <c r="AQ3" s="3" t="s">
        <v>49</v>
      </c>
      <c r="AR3" s="6" t="s">
        <v>49</v>
      </c>
      <c r="AS3" s="7" t="s">
        <v>50</v>
      </c>
      <c r="AT3" s="4" t="s">
        <v>51</v>
      </c>
      <c r="AU3" s="4" t="s">
        <v>52</v>
      </c>
      <c r="AV3" s="4" t="s">
        <v>53</v>
      </c>
      <c r="AW3" s="4" t="s">
        <v>54</v>
      </c>
      <c r="AX3" s="4" t="s">
        <v>55</v>
      </c>
      <c r="AY3" s="4" t="s">
        <v>56</v>
      </c>
      <c r="AZ3" s="4" t="s">
        <v>57</v>
      </c>
      <c r="BA3" s="3" t="s">
        <v>3</v>
      </c>
      <c r="BB3" s="3" t="s">
        <v>58</v>
      </c>
      <c r="BC3" s="3" t="s">
        <v>59</v>
      </c>
      <c r="BD3" s="6" t="s">
        <v>3</v>
      </c>
      <c r="BE3" s="6" t="s">
        <v>58</v>
      </c>
      <c r="BF3" s="6" t="s">
        <v>59</v>
      </c>
      <c r="BH3" s="7" t="s">
        <v>60</v>
      </c>
      <c r="BI3" s="7" t="s">
        <v>61</v>
      </c>
      <c r="BJ3" s="7" t="s">
        <v>62</v>
      </c>
      <c r="BL3" s="7" t="s">
        <v>63</v>
      </c>
      <c r="BM3" s="7" t="s">
        <v>64</v>
      </c>
      <c r="BN3" s="7" t="s">
        <v>65</v>
      </c>
      <c r="BP3" s="7" t="s">
        <v>62</v>
      </c>
      <c r="BQ3" s="7" t="s">
        <v>66</v>
      </c>
      <c r="BR3" s="7" t="s">
        <v>67</v>
      </c>
      <c r="BS3" s="7" t="s">
        <v>68</v>
      </c>
      <c r="BT3" s="7" t="s">
        <v>69</v>
      </c>
      <c r="BU3" s="7" t="s">
        <v>70</v>
      </c>
      <c r="BW3" s="7" t="s">
        <v>71</v>
      </c>
    </row>
    <row r="4" spans="2:75">
      <c r="B4" s="13" t="s">
        <v>72</v>
      </c>
      <c r="C4" s="12" t="s">
        <v>73</v>
      </c>
      <c r="D4" s="12">
        <v>0.2142</v>
      </c>
      <c r="E4" s="12">
        <v>0</v>
      </c>
      <c r="F4" s="12">
        <v>1.9847999999999999</v>
      </c>
      <c r="G4" s="12">
        <v>0</v>
      </c>
      <c r="H4" s="12">
        <v>1.7230000000000001</v>
      </c>
      <c r="I4" s="12">
        <v>0</v>
      </c>
      <c r="J4" s="12">
        <v>1.2657602005135551</v>
      </c>
      <c r="K4" s="12">
        <v>0</v>
      </c>
      <c r="L4" s="12">
        <v>0</v>
      </c>
      <c r="M4" s="12">
        <v>273134.21999999997</v>
      </c>
      <c r="N4" s="12">
        <v>144062.46</v>
      </c>
      <c r="O4" s="12">
        <v>0.45</v>
      </c>
      <c r="Q4" s="15">
        <v>109.479795</v>
      </c>
      <c r="R4" s="15">
        <v>-31.70346</v>
      </c>
      <c r="S4" s="15">
        <v>170</v>
      </c>
      <c r="T4" s="15">
        <v>110.461518</v>
      </c>
      <c r="U4" s="15">
        <v>127.408748</v>
      </c>
      <c r="V4" s="15">
        <v>98.832477999999995</v>
      </c>
      <c r="W4" s="16">
        <v>38.544687000000003</v>
      </c>
      <c r="X4" s="16">
        <v>63.762642</v>
      </c>
      <c r="Y4" s="15">
        <v>25.324636999999999</v>
      </c>
      <c r="Z4" s="15">
        <v>24.781272999999999</v>
      </c>
      <c r="AA4" s="15"/>
      <c r="AB4" s="16">
        <v>73.605024</v>
      </c>
      <c r="AC4" s="16">
        <v>100.314611</v>
      </c>
      <c r="AD4" s="16">
        <v>87.395797999999999</v>
      </c>
      <c r="AE4" s="16">
        <v>114.70308199999999</v>
      </c>
      <c r="AF4" s="16">
        <v>70.567431999999997</v>
      </c>
      <c r="AG4" s="16">
        <v>97.538511999999997</v>
      </c>
      <c r="AH4" s="15">
        <v>13.421913</v>
      </c>
      <c r="AI4" s="15">
        <v>33.444763999999999</v>
      </c>
      <c r="AJ4" s="15">
        <v>0</v>
      </c>
      <c r="AK4" s="15">
        <v>5000</v>
      </c>
      <c r="AM4" s="1" t="str">
        <f t="shared" ref="AM4:AM35" si="0">B4</f>
        <v>CEN_Bio_Ethanol_Herb</v>
      </c>
      <c r="AN4" s="1" t="str">
        <f t="shared" ref="AN4:AN35" si="1">C4</f>
        <v>Biomass_Herb</v>
      </c>
      <c r="AO4" s="11">
        <f>SUM(AT4:AZ4)+BB4+BC4</f>
        <v>79.80893369052572</v>
      </c>
      <c r="AP4" s="11">
        <f>SUM(AT4:AZ4)+BE4+BF4</f>
        <v>79.80893369052572</v>
      </c>
      <c r="AQ4" s="11">
        <f t="shared" ref="AQ4:AQ35" si="2">AO4/3.6</f>
        <v>22.169148247368256</v>
      </c>
      <c r="AR4" s="11">
        <f t="shared" ref="AR4:AR35" si="3">AP4/3.6</f>
        <v>22.169148247368256</v>
      </c>
      <c r="AS4" s="5">
        <f t="shared" ref="AS4:AS35" si="4">AO4-AP4</f>
        <v>0</v>
      </c>
      <c r="AT4" s="1">
        <f>D4/F4*Y4*-1</f>
        <v>-2.7330397246070137</v>
      </c>
      <c r="AU4" s="1">
        <f>E4/F4*Y4</f>
        <v>0</v>
      </c>
      <c r="AV4" s="1" cm="1">
        <f t="array" ref="AV4">_xlfn.IFS(C4="Biomass_Corn", 1/F4*S4, C4="Biomass_Agri", 1/F4*V4, C4="Biomass_Wood", 1/F4*U4, C4="Biomass_Herb", 1/F4*T4)</f>
        <v>55.653727327690454</v>
      </c>
      <c r="AW4" s="1">
        <f t="shared" ref="AW4:AW35" si="5">G4/F4*AH4</f>
        <v>0</v>
      </c>
      <c r="AX4" s="1">
        <f t="shared" ref="AX4:AX35" si="6">M4/F4/(0.9*8760)</f>
        <v>17.45471442935871</v>
      </c>
      <c r="AY4" s="1">
        <f t="shared" ref="AY4:AY35" si="7">N4/F4/(0.9*8760)</f>
        <v>9.2063495350048488</v>
      </c>
      <c r="AZ4" s="1">
        <f t="shared" ref="AZ4:AZ35" si="8">O4/F4</f>
        <v>0.22672309552599759</v>
      </c>
      <c r="BA4" s="1">
        <f>BP4+BQ4+BS4-BL4+BR4+BT4</f>
        <v>4.1928061038642994E-6</v>
      </c>
      <c r="BB4" s="1">
        <f>(Q4+R4)*-1*(I4+K4)/F4</f>
        <v>0</v>
      </c>
      <c r="BC4" s="1">
        <f>BA4*Q4</f>
        <v>4.590275527258122E-4</v>
      </c>
      <c r="BD4" s="1">
        <f>SUM(BP4:BR4)-BL4</f>
        <v>4.1928061038642994E-6</v>
      </c>
      <c r="BE4" s="1">
        <f>(I4+K4)/F4*-1*R4</f>
        <v>0</v>
      </c>
      <c r="BF4" s="1">
        <f>BD4*Q4</f>
        <v>4.590275527258122E-4</v>
      </c>
      <c r="BH4" s="9">
        <f t="shared" ref="BH4:BH35" si="9">H4</f>
        <v>1.7230000000000001</v>
      </c>
      <c r="BI4" s="10">
        <v>0.181048235160161</v>
      </c>
      <c r="BJ4" s="9">
        <v>0.23037490999999999</v>
      </c>
      <c r="BL4" s="10">
        <f t="shared" ref="BL4:BL35" si="10">BH4/F4</f>
        <v>0.86809754131398642</v>
      </c>
      <c r="BM4" s="10">
        <f t="shared" ref="BM4:BM35" si="11">BI4*G4/F4</f>
        <v>0</v>
      </c>
      <c r="BN4" s="10">
        <f t="shared" ref="BN4:BN35" si="12">SUM(BL4:BM4)</f>
        <v>0.86809754131398642</v>
      </c>
      <c r="BP4" s="10">
        <f t="shared" ref="BP4:BP35" si="13">BJ4</f>
        <v>0.23037490999999999</v>
      </c>
      <c r="BQ4" s="10">
        <f>J4/F4</f>
        <v>0.6377268241200903</v>
      </c>
      <c r="BR4" s="10">
        <f>L4/F4</f>
        <v>0</v>
      </c>
      <c r="BS4" s="10">
        <f>I4/F4</f>
        <v>0</v>
      </c>
      <c r="BT4" s="10">
        <f>K4/F4</f>
        <v>0</v>
      </c>
      <c r="BU4" s="10">
        <f t="shared" ref="BU4:BU35" si="14">SUM(BP4:BT4)</f>
        <v>0.86810173412009028</v>
      </c>
      <c r="BW4" s="1">
        <f t="shared" ref="BW4:BW35" si="15">BN4-BU4</f>
        <v>-4.1928061038642994E-6</v>
      </c>
    </row>
    <row r="5" spans="2:75">
      <c r="B5" s="13" t="s">
        <v>74</v>
      </c>
      <c r="C5" s="12" t="s">
        <v>73</v>
      </c>
      <c r="D5" s="12">
        <v>0.215</v>
      </c>
      <c r="E5" s="12">
        <v>0</v>
      </c>
      <c r="F5" s="12">
        <v>1.9923999999999999</v>
      </c>
      <c r="G5" s="12">
        <v>0</v>
      </c>
      <c r="H5" s="12">
        <v>1.736</v>
      </c>
      <c r="I5" s="12">
        <v>0</v>
      </c>
      <c r="J5" s="12">
        <v>1.2770044799450391</v>
      </c>
      <c r="K5" s="12">
        <v>0</v>
      </c>
      <c r="L5" s="12">
        <v>0</v>
      </c>
      <c r="M5" s="12">
        <v>273134.21999999997</v>
      </c>
      <c r="N5" s="12">
        <v>144062.46</v>
      </c>
      <c r="O5" s="12">
        <v>0.45</v>
      </c>
      <c r="Q5" s="15">
        <v>109.479795</v>
      </c>
      <c r="R5" s="15">
        <v>-54.115442999999999</v>
      </c>
      <c r="S5" s="15">
        <v>170</v>
      </c>
      <c r="T5" s="15">
        <v>100.77374399999999</v>
      </c>
      <c r="U5" s="15">
        <v>108.668072</v>
      </c>
      <c r="V5" s="15">
        <v>89.424565000000001</v>
      </c>
      <c r="W5" s="16">
        <v>39.342497000000002</v>
      </c>
      <c r="X5" s="16">
        <v>63.762642</v>
      </c>
      <c r="Y5" s="15">
        <v>39.359471999999997</v>
      </c>
      <c r="Z5" s="15">
        <v>31.113724999999999</v>
      </c>
      <c r="AA5" s="15"/>
      <c r="AB5" s="16">
        <v>73.605024</v>
      </c>
      <c r="AC5" s="16">
        <v>100.314611</v>
      </c>
      <c r="AD5" s="16">
        <v>87.395797999999999</v>
      </c>
      <c r="AE5" s="16">
        <v>114.70308199999999</v>
      </c>
      <c r="AF5" s="16">
        <v>70.567431999999997</v>
      </c>
      <c r="AG5" s="16">
        <v>97.538511999999997</v>
      </c>
      <c r="AH5" s="15">
        <v>13.423121999999999</v>
      </c>
      <c r="AI5" s="15">
        <v>33.445973000000002</v>
      </c>
      <c r="AJ5" s="15">
        <v>0</v>
      </c>
      <c r="AK5" s="15">
        <v>5000</v>
      </c>
      <c r="AM5" s="1" t="str">
        <f t="shared" si="0"/>
        <v>MIDAT_Bio_Ethanol_Herb</v>
      </c>
      <c r="AN5" s="1" t="str">
        <f t="shared" si="1"/>
        <v>Biomass_Herb</v>
      </c>
      <c r="AO5" s="11">
        <f t="shared" ref="AO5:AO35" si="16">SUM(AT5:AZ5)+BB5+BC5</f>
        <v>73.11720289632035</v>
      </c>
      <c r="AP5" s="11">
        <f t="shared" ref="AP5:AP35" si="17">SUM(AT5:AZ5)+BE5+BF5</f>
        <v>73.11720289632035</v>
      </c>
      <c r="AQ5" s="11">
        <f t="shared" si="2"/>
        <v>20.310334137866764</v>
      </c>
      <c r="AR5" s="11">
        <f t="shared" si="3"/>
        <v>20.310334137866764</v>
      </c>
      <c r="AS5" s="5">
        <f t="shared" si="4"/>
        <v>0</v>
      </c>
      <c r="AT5" s="1">
        <f t="shared" ref="AT5:AT35" si="18">D5/F5*Y5*-1</f>
        <v>-4.2472829150772933</v>
      </c>
      <c r="AU5" s="1">
        <f t="shared" ref="AU5:AU35" si="19">E5/F5*Y5</f>
        <v>0</v>
      </c>
      <c r="AV5" s="1" cm="1">
        <f t="array" ref="AV5">_xlfn.IFS(C5="Biomass_Corn", 1/F5*S5, C5="Biomass_Agri", 1/F5*V5, C5="Biomass_Wood", 1/F5*U5, C5="Biomass_Herb", 1/F5*T5)</f>
        <v>50.579072475406548</v>
      </c>
      <c r="AW5" s="1">
        <f t="shared" si="5"/>
        <v>0</v>
      </c>
      <c r="AX5" s="1">
        <f t="shared" si="6"/>
        <v>17.388133507022271</v>
      </c>
      <c r="AY5" s="1">
        <f t="shared" si="7"/>
        <v>9.1712319599867627</v>
      </c>
      <c r="AZ5" s="1">
        <f t="shared" si="8"/>
        <v>0.22585826139329454</v>
      </c>
      <c r="BA5" s="1">
        <f t="shared" ref="BA5:BA68" si="20">BP5+BQ5+BS5-BL5+BR5+BT5</f>
        <v>1.7318957232781429E-6</v>
      </c>
      <c r="BB5" s="1">
        <f t="shared" ref="BB5:BB68" si="21">(Q5+R5)*-1*(I5+K5)/F5</f>
        <v>0</v>
      </c>
      <c r="BC5" s="1">
        <f t="shared" ref="BC5:BC35" si="22">BA5*Q5</f>
        <v>1.8960758874586782E-4</v>
      </c>
      <c r="BD5" s="1">
        <f t="shared" ref="BD5:BD35" si="23">SUM(BP5:BR5)-BL5</f>
        <v>1.7318957232781429E-6</v>
      </c>
      <c r="BE5" s="1">
        <f t="shared" ref="BE5:BE68" si="24">(I5+K5)/F5*-1*R5</f>
        <v>0</v>
      </c>
      <c r="BF5" s="1">
        <f t="shared" ref="BF5:BF35" si="25">BD5*Q5</f>
        <v>1.8960758874586782E-4</v>
      </c>
      <c r="BH5" s="9">
        <f t="shared" si="9"/>
        <v>1.736</v>
      </c>
      <c r="BI5" s="10">
        <v>0.181048235160161</v>
      </c>
      <c r="BJ5" s="9">
        <v>0.23037490999999999</v>
      </c>
      <c r="BL5" s="10">
        <f t="shared" si="10"/>
        <v>0.8713109817305762</v>
      </c>
      <c r="BM5" s="10">
        <f t="shared" si="11"/>
        <v>0</v>
      </c>
      <c r="BN5" s="10">
        <f t="shared" si="12"/>
        <v>0.8713109817305762</v>
      </c>
      <c r="BP5" s="10">
        <f t="shared" si="13"/>
        <v>0.23037490999999999</v>
      </c>
      <c r="BQ5" s="10">
        <f>J5/F5</f>
        <v>0.64093780362629948</v>
      </c>
      <c r="BR5" s="10">
        <f t="shared" ref="BR5:BR35" si="26">L5/F5</f>
        <v>0</v>
      </c>
      <c r="BS5" s="10">
        <f t="shared" ref="BS5:BS35" si="27">I5/F5</f>
        <v>0</v>
      </c>
      <c r="BT5" s="10">
        <f t="shared" ref="BT5:BT35" si="28">K5/F5</f>
        <v>0</v>
      </c>
      <c r="BU5" s="10">
        <f t="shared" si="14"/>
        <v>0.87131271362629947</v>
      </c>
      <c r="BW5" s="1">
        <f t="shared" si="15"/>
        <v>-1.7318957232781429E-6</v>
      </c>
    </row>
    <row r="6" spans="2:75">
      <c r="B6" s="13" t="s">
        <v>75</v>
      </c>
      <c r="C6" s="12" t="s">
        <v>73</v>
      </c>
      <c r="D6" s="12">
        <v>0.2155</v>
      </c>
      <c r="E6" s="12">
        <v>0</v>
      </c>
      <c r="F6" s="12">
        <v>1.9966999999999999</v>
      </c>
      <c r="G6" s="12">
        <v>0</v>
      </c>
      <c r="H6" s="12">
        <v>1.74</v>
      </c>
      <c r="I6" s="12">
        <v>0</v>
      </c>
      <c r="J6" s="12">
        <v>1.280001211048744</v>
      </c>
      <c r="K6" s="12">
        <v>0</v>
      </c>
      <c r="L6" s="12">
        <v>0</v>
      </c>
      <c r="M6" s="12">
        <v>273134.21999999997</v>
      </c>
      <c r="N6" s="12">
        <v>144062.46</v>
      </c>
      <c r="O6" s="12">
        <v>0.45</v>
      </c>
      <c r="Q6" s="15">
        <v>109.479795</v>
      </c>
      <c r="R6" s="15">
        <v>-41.717134999999999</v>
      </c>
      <c r="S6" s="15">
        <v>170</v>
      </c>
      <c r="T6" s="15">
        <v>104.167382</v>
      </c>
      <c r="U6" s="15">
        <v>115.52638899999999</v>
      </c>
      <c r="V6" s="15">
        <v>92.044978</v>
      </c>
      <c r="W6" s="16">
        <v>38.682254</v>
      </c>
      <c r="X6" s="16">
        <v>63.762642</v>
      </c>
      <c r="Y6" s="15">
        <v>30.708172999999999</v>
      </c>
      <c r="Z6" s="15">
        <v>26.913516000000001</v>
      </c>
      <c r="AA6" s="15"/>
      <c r="AB6" s="16">
        <v>73.605024</v>
      </c>
      <c r="AC6" s="16">
        <v>100.314611</v>
      </c>
      <c r="AD6" s="16">
        <v>87.395797999999999</v>
      </c>
      <c r="AE6" s="16">
        <v>114.70308199999999</v>
      </c>
      <c r="AF6" s="16">
        <v>70.567431999999997</v>
      </c>
      <c r="AG6" s="16">
        <v>97.538511999999997</v>
      </c>
      <c r="AH6" s="15">
        <v>13.422003</v>
      </c>
      <c r="AI6" s="15">
        <v>33.444853999999999</v>
      </c>
      <c r="AJ6" s="15">
        <v>0</v>
      </c>
      <c r="AK6" s="15">
        <v>5000</v>
      </c>
      <c r="AM6" s="1" t="str">
        <f t="shared" si="0"/>
        <v>NCEN_Bio_Ethanol_Herb</v>
      </c>
      <c r="AN6" s="1" t="str">
        <f t="shared" si="1"/>
        <v>Biomass_Herb</v>
      </c>
      <c r="AO6" s="11">
        <f t="shared" si="16"/>
        <v>75.582532472123049</v>
      </c>
      <c r="AP6" s="11">
        <f t="shared" si="17"/>
        <v>75.582532472123049</v>
      </c>
      <c r="AQ6" s="11">
        <f t="shared" si="2"/>
        <v>20.995147908923069</v>
      </c>
      <c r="AR6" s="11">
        <f t="shared" si="3"/>
        <v>20.995147908923069</v>
      </c>
      <c r="AS6" s="5">
        <f t="shared" si="4"/>
        <v>0</v>
      </c>
      <c r="AT6" s="1">
        <f t="shared" si="18"/>
        <v>-3.3142741931687283</v>
      </c>
      <c r="AU6" s="1">
        <f t="shared" si="19"/>
        <v>0</v>
      </c>
      <c r="AV6" s="1" cm="1">
        <f t="array" ref="AV6">_xlfn.IFS(C6="Biomass_Corn", 1/F6*S6, C6="Biomass_Agri", 1/F6*V6, C6="Biomass_Wood", 1/F6*U6, C6="Biomass_Herb", 1/F6*T6)</f>
        <v>52.169771122351882</v>
      </c>
      <c r="AW6" s="1">
        <f t="shared" si="5"/>
        <v>0</v>
      </c>
      <c r="AX6" s="1">
        <f t="shared" si="6"/>
        <v>17.350687233631078</v>
      </c>
      <c r="AY6" s="1">
        <f t="shared" si="7"/>
        <v>9.1514812225560309</v>
      </c>
      <c r="AZ6" s="1">
        <f t="shared" si="8"/>
        <v>0.22537186357489861</v>
      </c>
      <c r="BA6" s="1">
        <f t="shared" si="20"/>
        <v>-4.6106847578775145E-6</v>
      </c>
      <c r="BB6" s="1">
        <f t="shared" si="21"/>
        <v>0</v>
      </c>
      <c r="BC6" s="1">
        <f t="shared" si="22"/>
        <v>-5.0477682210205491E-4</v>
      </c>
      <c r="BD6" s="1">
        <f t="shared" si="23"/>
        <v>-4.6106847578775145E-6</v>
      </c>
      <c r="BE6" s="1">
        <f t="shared" si="24"/>
        <v>0</v>
      </c>
      <c r="BF6" s="1">
        <f t="shared" si="25"/>
        <v>-5.0477682210205491E-4</v>
      </c>
      <c r="BH6" s="9">
        <f t="shared" si="9"/>
        <v>1.74</v>
      </c>
      <c r="BI6" s="10">
        <v>0.181048235160161</v>
      </c>
      <c r="BJ6" s="9">
        <v>0.23037490999999999</v>
      </c>
      <c r="BL6" s="10">
        <f t="shared" si="10"/>
        <v>0.87143787248960791</v>
      </c>
      <c r="BM6" s="10">
        <f t="shared" si="11"/>
        <v>0</v>
      </c>
      <c r="BN6" s="10">
        <f t="shared" si="12"/>
        <v>0.87143787248960791</v>
      </c>
      <c r="BP6" s="10">
        <f t="shared" si="13"/>
        <v>0.23037490999999999</v>
      </c>
      <c r="BQ6" s="10">
        <f t="shared" ref="BQ6:BQ35" si="29">J6/F6</f>
        <v>0.64105835180485005</v>
      </c>
      <c r="BR6" s="10">
        <f t="shared" si="26"/>
        <v>0</v>
      </c>
      <c r="BS6" s="10">
        <f t="shared" si="27"/>
        <v>0</v>
      </c>
      <c r="BT6" s="10">
        <f t="shared" si="28"/>
        <v>0</v>
      </c>
      <c r="BU6" s="10">
        <f t="shared" si="14"/>
        <v>0.87143326180485003</v>
      </c>
      <c r="BW6" s="1">
        <f t="shared" si="15"/>
        <v>4.6106847578775145E-6</v>
      </c>
    </row>
    <row r="7" spans="2:75">
      <c r="B7" s="13" t="s">
        <v>76</v>
      </c>
      <c r="C7" s="12" t="s">
        <v>73</v>
      </c>
      <c r="D7" s="12">
        <v>0.21379999999999999</v>
      </c>
      <c r="E7" s="12">
        <v>0</v>
      </c>
      <c r="F7" s="12">
        <v>1.9815</v>
      </c>
      <c r="G7" s="12">
        <v>0</v>
      </c>
      <c r="H7" s="12">
        <v>1.7170000000000001</v>
      </c>
      <c r="I7" s="12">
        <v>0</v>
      </c>
      <c r="J7" s="12">
        <v>1.260512652185777</v>
      </c>
      <c r="K7" s="12">
        <v>0</v>
      </c>
      <c r="L7" s="12">
        <v>0</v>
      </c>
      <c r="M7" s="12">
        <v>273134.21999999997</v>
      </c>
      <c r="N7" s="12">
        <v>144062.46</v>
      </c>
      <c r="O7" s="12">
        <v>0.45</v>
      </c>
      <c r="Q7" s="15">
        <v>109.479795</v>
      </c>
      <c r="R7" s="15">
        <v>-47.70091</v>
      </c>
      <c r="S7" s="15">
        <v>170</v>
      </c>
      <c r="T7" s="15">
        <v>99.632842999999994</v>
      </c>
      <c r="U7" s="15">
        <v>113.227017</v>
      </c>
      <c r="V7" s="15">
        <v>88.855315000000004</v>
      </c>
      <c r="W7" s="16">
        <v>39.264408000000003</v>
      </c>
      <c r="X7" s="16">
        <v>63.762642</v>
      </c>
      <c r="Y7" s="15">
        <v>38.218446</v>
      </c>
      <c r="Z7" s="15">
        <v>29.735685</v>
      </c>
      <c r="AA7" s="15"/>
      <c r="AB7" s="16">
        <v>73.605024</v>
      </c>
      <c r="AC7" s="16">
        <v>100.314611</v>
      </c>
      <c r="AD7" s="16">
        <v>87.395797999999999</v>
      </c>
      <c r="AE7" s="16">
        <v>114.70308199999999</v>
      </c>
      <c r="AF7" s="16">
        <v>70.567431999999997</v>
      </c>
      <c r="AG7" s="16">
        <v>97.538511999999997</v>
      </c>
      <c r="AH7" s="15">
        <v>13.421908</v>
      </c>
      <c r="AI7" s="15">
        <v>33.444758999999998</v>
      </c>
      <c r="AJ7" s="15">
        <v>0</v>
      </c>
      <c r="AK7" s="15">
        <v>5000</v>
      </c>
      <c r="AM7" s="1" t="str">
        <f t="shared" si="0"/>
        <v>SE_Bio_Ethanol_Herb</v>
      </c>
      <c r="AN7" s="1" t="str">
        <f t="shared" si="1"/>
        <v>Biomass_Herb</v>
      </c>
      <c r="AO7" s="11">
        <f t="shared" si="16"/>
        <v>73.09042529459596</v>
      </c>
      <c r="AP7" s="11">
        <f t="shared" si="17"/>
        <v>73.09042529459596</v>
      </c>
      <c r="AQ7" s="11">
        <f t="shared" si="2"/>
        <v>20.302895915165543</v>
      </c>
      <c r="AR7" s="11">
        <f t="shared" si="3"/>
        <v>20.302895915165543</v>
      </c>
      <c r="AS7" s="5">
        <f t="shared" si="4"/>
        <v>0</v>
      </c>
      <c r="AT7" s="1">
        <f t="shared" si="18"/>
        <v>-4.1236960660105977</v>
      </c>
      <c r="AU7" s="1">
        <f t="shared" si="19"/>
        <v>0</v>
      </c>
      <c r="AV7" s="1" cm="1">
        <f t="array" ref="AV7">_xlfn.IFS(C7="Biomass_Corn", 1/F7*S7, C7="Biomass_Agri", 1/F7*V7, C7="Biomass_Wood", 1/F7*U7, C7="Biomass_Herb", 1/F7*T7)</f>
        <v>50.281525611910162</v>
      </c>
      <c r="AW7" s="1">
        <f t="shared" si="5"/>
        <v>0</v>
      </c>
      <c r="AX7" s="1">
        <f t="shared" si="6"/>
        <v>17.483783597976871</v>
      </c>
      <c r="AY7" s="1">
        <f t="shared" si="7"/>
        <v>9.2216818355173462</v>
      </c>
      <c r="AZ7" s="1">
        <f t="shared" si="8"/>
        <v>0.22710068130204392</v>
      </c>
      <c r="BA7" s="1">
        <f t="shared" si="20"/>
        <v>2.7067917074408143E-7</v>
      </c>
      <c r="BB7" s="1">
        <f t="shared" si="21"/>
        <v>0</v>
      </c>
      <c r="BC7" s="1">
        <f t="shared" si="22"/>
        <v>2.963390012383203E-5</v>
      </c>
      <c r="BD7" s="1">
        <f t="shared" si="23"/>
        <v>2.7067917074408143E-7</v>
      </c>
      <c r="BE7" s="1">
        <f t="shared" si="24"/>
        <v>0</v>
      </c>
      <c r="BF7" s="1">
        <f t="shared" si="25"/>
        <v>2.963390012383203E-5</v>
      </c>
      <c r="BH7" s="9">
        <f t="shared" si="9"/>
        <v>1.7170000000000001</v>
      </c>
      <c r="BI7" s="10">
        <v>0.181048235160161</v>
      </c>
      <c r="BJ7" s="9">
        <v>0.23037490999999999</v>
      </c>
      <c r="BL7" s="10">
        <f t="shared" si="10"/>
        <v>0.86651526621246533</v>
      </c>
      <c r="BM7" s="10">
        <f t="shared" si="11"/>
        <v>0</v>
      </c>
      <c r="BN7" s="10">
        <f t="shared" si="12"/>
        <v>0.86651526621246533</v>
      </c>
      <c r="BP7" s="10">
        <f t="shared" si="13"/>
        <v>0.23037490999999999</v>
      </c>
      <c r="BQ7" s="10">
        <f t="shared" si="29"/>
        <v>0.63614062689163609</v>
      </c>
      <c r="BR7" s="10">
        <f t="shared" si="26"/>
        <v>0</v>
      </c>
      <c r="BS7" s="10">
        <f t="shared" si="27"/>
        <v>0</v>
      </c>
      <c r="BT7" s="10">
        <f t="shared" si="28"/>
        <v>0</v>
      </c>
      <c r="BU7" s="10">
        <f t="shared" si="14"/>
        <v>0.86651553689163607</v>
      </c>
      <c r="BW7" s="1">
        <f t="shared" si="15"/>
        <v>-2.7067917074408143E-7</v>
      </c>
    </row>
    <row r="8" spans="2:75">
      <c r="B8" s="13" t="s">
        <v>77</v>
      </c>
      <c r="C8" s="12" t="s">
        <v>73</v>
      </c>
      <c r="D8" s="12">
        <v>0.2132</v>
      </c>
      <c r="E8" s="12">
        <v>0</v>
      </c>
      <c r="F8" s="12">
        <v>1.9761</v>
      </c>
      <c r="G8" s="12">
        <v>0</v>
      </c>
      <c r="H8" s="12">
        <v>1.714</v>
      </c>
      <c r="I8" s="12">
        <v>0</v>
      </c>
      <c r="J8" s="12">
        <v>1.2587667383061449</v>
      </c>
      <c r="K8" s="12">
        <v>0</v>
      </c>
      <c r="L8" s="12">
        <v>0</v>
      </c>
      <c r="M8" s="12">
        <v>273134.21999999997</v>
      </c>
      <c r="N8" s="12">
        <v>144062.46</v>
      </c>
      <c r="O8" s="12">
        <v>0.45</v>
      </c>
      <c r="Q8" s="15">
        <v>109.479795</v>
      </c>
      <c r="R8" s="15">
        <v>-21.506692000000001</v>
      </c>
      <c r="S8" s="15">
        <v>170</v>
      </c>
      <c r="T8" s="15">
        <v>137.93464800000001</v>
      </c>
      <c r="U8" s="15">
        <v>157.881351</v>
      </c>
      <c r="V8" s="15">
        <v>111.364845</v>
      </c>
      <c r="W8" s="16">
        <v>38.568981999999998</v>
      </c>
      <c r="X8" s="16">
        <v>63.762642</v>
      </c>
      <c r="Y8" s="15">
        <v>20.230252</v>
      </c>
      <c r="Z8" s="15">
        <v>17.952764999999999</v>
      </c>
      <c r="AA8" s="15"/>
      <c r="AB8" s="16">
        <v>73.605024</v>
      </c>
      <c r="AC8" s="16">
        <v>100.314611</v>
      </c>
      <c r="AD8" s="16">
        <v>87.395797999999999</v>
      </c>
      <c r="AE8" s="16">
        <v>114.70308199999999</v>
      </c>
      <c r="AF8" s="16">
        <v>70.567431999999997</v>
      </c>
      <c r="AG8" s="16">
        <v>97.538511999999997</v>
      </c>
      <c r="AH8" s="15">
        <v>13.325948</v>
      </c>
      <c r="AI8" s="15">
        <v>33.348799</v>
      </c>
      <c r="AJ8" s="15">
        <v>0</v>
      </c>
      <c r="AK8" s="15">
        <v>5000</v>
      </c>
      <c r="AM8" s="1" t="str">
        <f t="shared" si="0"/>
        <v>TX_Bio_Ethanol_Herb</v>
      </c>
      <c r="AN8" s="1" t="str">
        <f t="shared" si="1"/>
        <v>Biomass_Herb</v>
      </c>
      <c r="AO8" s="11">
        <f t="shared" si="16"/>
        <v>94.625574764558692</v>
      </c>
      <c r="AP8" s="11">
        <f t="shared" si="17"/>
        <v>94.625574764558692</v>
      </c>
      <c r="AQ8" s="11">
        <f t="shared" si="2"/>
        <v>26.284881879044079</v>
      </c>
      <c r="AR8" s="11">
        <f t="shared" si="3"/>
        <v>26.284881879044079</v>
      </c>
      <c r="AS8" s="5">
        <f t="shared" si="4"/>
        <v>0</v>
      </c>
      <c r="AT8" s="1">
        <f t="shared" si="18"/>
        <v>-2.1826272589443856</v>
      </c>
      <c r="AU8" s="1">
        <f t="shared" si="19"/>
        <v>0</v>
      </c>
      <c r="AV8" s="1" cm="1">
        <f t="array" ref="AV8">_xlfn.IFS(C8="Biomass_Corn", 1/F8*S8, C8="Biomass_Agri", 1/F8*V8, C8="Biomass_Wood", 1/F8*U8, C8="Biomass_Herb", 1/F8*T8)</f>
        <v>69.801451343555485</v>
      </c>
      <c r="AW8" s="1">
        <f t="shared" si="5"/>
        <v>0</v>
      </c>
      <c r="AX8" s="1">
        <f t="shared" si="6"/>
        <v>17.531560750666046</v>
      </c>
      <c r="AY8" s="1">
        <f t="shared" si="7"/>
        <v>9.2468815126145572</v>
      </c>
      <c r="AZ8" s="1">
        <f t="shared" si="8"/>
        <v>0.22772126916654017</v>
      </c>
      <c r="BA8" s="1">
        <f t="shared" si="20"/>
        <v>5.3630672258719869E-6</v>
      </c>
      <c r="BB8" s="1">
        <f t="shared" si="21"/>
        <v>0</v>
      </c>
      <c r="BC8" s="1">
        <f t="shared" si="22"/>
        <v>5.8714750045968378E-4</v>
      </c>
      <c r="BD8" s="1">
        <f t="shared" si="23"/>
        <v>5.3630672258719869E-6</v>
      </c>
      <c r="BE8" s="1">
        <f t="shared" si="24"/>
        <v>0</v>
      </c>
      <c r="BF8" s="1">
        <f t="shared" si="25"/>
        <v>5.8714750045968378E-4</v>
      </c>
      <c r="BH8" s="9">
        <f t="shared" si="9"/>
        <v>1.714</v>
      </c>
      <c r="BI8" s="10">
        <v>0.181048235160161</v>
      </c>
      <c r="BJ8" s="9">
        <v>0.23037490999999999</v>
      </c>
      <c r="BL8" s="10">
        <f t="shared" si="10"/>
        <v>0.86736501189211068</v>
      </c>
      <c r="BM8" s="10">
        <f t="shared" si="11"/>
        <v>0</v>
      </c>
      <c r="BN8" s="10">
        <f t="shared" si="12"/>
        <v>0.86736501189211068</v>
      </c>
      <c r="BP8" s="10">
        <f t="shared" si="13"/>
        <v>0.23037490999999999</v>
      </c>
      <c r="BQ8" s="10">
        <f t="shared" si="29"/>
        <v>0.63699546495933657</v>
      </c>
      <c r="BR8" s="10">
        <f t="shared" si="26"/>
        <v>0</v>
      </c>
      <c r="BS8" s="10">
        <f t="shared" si="27"/>
        <v>0</v>
      </c>
      <c r="BT8" s="10">
        <f t="shared" si="28"/>
        <v>0</v>
      </c>
      <c r="BU8" s="10">
        <f t="shared" si="14"/>
        <v>0.86737037495933655</v>
      </c>
      <c r="BW8" s="1">
        <f t="shared" si="15"/>
        <v>-5.3630672258719869E-6</v>
      </c>
    </row>
    <row r="9" spans="2:75" ht="17" customHeight="1">
      <c r="B9" s="13" t="s">
        <v>78</v>
      </c>
      <c r="C9" s="12" t="s">
        <v>79</v>
      </c>
      <c r="D9" s="12">
        <v>0.22409999999999999</v>
      </c>
      <c r="E9" s="12">
        <v>0</v>
      </c>
      <c r="F9" s="12">
        <v>2.0762</v>
      </c>
      <c r="G9" s="12">
        <v>0</v>
      </c>
      <c r="H9" s="12">
        <v>1.802</v>
      </c>
      <c r="I9" s="12">
        <v>0</v>
      </c>
      <c r="J9" s="12">
        <v>1.32369155369136</v>
      </c>
      <c r="K9" s="12">
        <v>0</v>
      </c>
      <c r="L9" s="12">
        <v>0</v>
      </c>
      <c r="M9" s="12">
        <v>273134.21999999997</v>
      </c>
      <c r="N9" s="12">
        <v>144062.46</v>
      </c>
      <c r="O9" s="12">
        <v>0.45</v>
      </c>
      <c r="Q9" s="15">
        <v>109.479795</v>
      </c>
      <c r="R9" s="15">
        <v>-31.70346</v>
      </c>
      <c r="S9" s="15">
        <v>170</v>
      </c>
      <c r="T9" s="15">
        <v>110.461518</v>
      </c>
      <c r="U9" s="15">
        <v>127.408748</v>
      </c>
      <c r="V9" s="15">
        <v>98.832477999999995</v>
      </c>
      <c r="W9" s="16">
        <v>38.544687000000003</v>
      </c>
      <c r="X9" s="16">
        <v>63.762642</v>
      </c>
      <c r="Y9" s="15">
        <v>25.324636999999999</v>
      </c>
      <c r="Z9" s="15">
        <v>24.781272999999999</v>
      </c>
      <c r="AA9" s="15"/>
      <c r="AB9" s="16">
        <v>73.605024</v>
      </c>
      <c r="AC9" s="16">
        <v>100.314611</v>
      </c>
      <c r="AD9" s="16">
        <v>87.395797999999999</v>
      </c>
      <c r="AE9" s="16">
        <v>114.70308199999999</v>
      </c>
      <c r="AF9" s="16">
        <v>70.567431999999997</v>
      </c>
      <c r="AG9" s="16">
        <v>97.538511999999997</v>
      </c>
      <c r="AH9" s="15">
        <v>13.421913</v>
      </c>
      <c r="AI9" s="15">
        <v>33.444763999999999</v>
      </c>
      <c r="AJ9" s="15">
        <v>0</v>
      </c>
      <c r="AK9" s="15">
        <v>5000</v>
      </c>
      <c r="AM9" s="1" t="str">
        <f t="shared" si="0"/>
        <v>CEN_Bio_Ethanol_Wood</v>
      </c>
      <c r="AN9" s="1" t="str">
        <f t="shared" si="1"/>
        <v>Biomass_Wood</v>
      </c>
      <c r="AO9" s="11">
        <f t="shared" si="16"/>
        <v>84.336736498177885</v>
      </c>
      <c r="AP9" s="11">
        <f t="shared" si="17"/>
        <v>84.336736498177885</v>
      </c>
      <c r="AQ9" s="11">
        <f t="shared" si="2"/>
        <v>23.426871249493857</v>
      </c>
      <c r="AR9" s="11">
        <f t="shared" si="3"/>
        <v>23.426871249493857</v>
      </c>
      <c r="AS9" s="5">
        <f t="shared" si="4"/>
        <v>0</v>
      </c>
      <c r="AT9" s="1">
        <f t="shared" si="18"/>
        <v>-2.7334799882959251</v>
      </c>
      <c r="AU9" s="1">
        <f t="shared" si="19"/>
        <v>0</v>
      </c>
      <c r="AV9" s="1" cm="1">
        <f t="array" ref="AV9">_xlfn.IFS(C9="Biomass_Corn", 1/F9*S9, C9="Biomass_Agri", 1/F9*V9, C9="Biomass_Wood", 1/F9*U9, C9="Biomass_Herb", 1/F9*T9)</f>
        <v>61.366317310471054</v>
      </c>
      <c r="AW9" s="1">
        <f t="shared" si="5"/>
        <v>0</v>
      </c>
      <c r="AX9" s="1">
        <f t="shared" si="6"/>
        <v>16.686310181770139</v>
      </c>
      <c r="AY9" s="1">
        <f t="shared" si="7"/>
        <v>8.8010608597811508</v>
      </c>
      <c r="AZ9" s="1">
        <f t="shared" si="8"/>
        <v>0.2167421250361237</v>
      </c>
      <c r="BA9" s="1">
        <f t="shared" si="20"/>
        <v>-1.9546125806790826E-6</v>
      </c>
      <c r="BB9" s="1">
        <f t="shared" si="21"/>
        <v>0</v>
      </c>
      <c r="BC9" s="1">
        <f t="shared" si="22"/>
        <v>-2.1399058463716691E-4</v>
      </c>
      <c r="BD9" s="1">
        <f t="shared" si="23"/>
        <v>-1.9546125806790826E-6</v>
      </c>
      <c r="BE9" s="1">
        <f t="shared" si="24"/>
        <v>0</v>
      </c>
      <c r="BF9" s="1">
        <f t="shared" si="25"/>
        <v>-2.1399058463716691E-4</v>
      </c>
      <c r="BH9" s="9">
        <f t="shared" si="9"/>
        <v>1.802</v>
      </c>
      <c r="BI9" s="10">
        <v>0.181048235160161</v>
      </c>
      <c r="BJ9" s="9">
        <v>0.23037490999999999</v>
      </c>
      <c r="BL9" s="10">
        <f t="shared" si="10"/>
        <v>0.86793179847798863</v>
      </c>
      <c r="BM9" s="10">
        <f t="shared" si="11"/>
        <v>0</v>
      </c>
      <c r="BN9" s="10">
        <f t="shared" si="12"/>
        <v>0.86793179847798863</v>
      </c>
      <c r="BP9" s="10">
        <f t="shared" si="13"/>
        <v>0.23037490999999999</v>
      </c>
      <c r="BQ9" s="10">
        <f t="shared" si="29"/>
        <v>0.63755493386540796</v>
      </c>
      <c r="BR9" s="10">
        <f t="shared" si="26"/>
        <v>0</v>
      </c>
      <c r="BS9" s="10">
        <f t="shared" si="27"/>
        <v>0</v>
      </c>
      <c r="BT9" s="10">
        <f t="shared" si="28"/>
        <v>0</v>
      </c>
      <c r="BU9" s="10">
        <f t="shared" si="14"/>
        <v>0.86792984386540795</v>
      </c>
      <c r="BW9" s="1">
        <f t="shared" si="15"/>
        <v>1.9546125806790826E-6</v>
      </c>
    </row>
    <row r="10" spans="2:75">
      <c r="B10" s="13" t="s">
        <v>80</v>
      </c>
      <c r="C10" s="12" t="s">
        <v>79</v>
      </c>
      <c r="D10" s="12">
        <v>0.2233</v>
      </c>
      <c r="E10" s="12">
        <v>0</v>
      </c>
      <c r="F10" s="12">
        <v>2.0697000000000001</v>
      </c>
      <c r="G10" s="12">
        <v>0</v>
      </c>
      <c r="H10" s="12">
        <v>1.806</v>
      </c>
      <c r="I10" s="12">
        <v>0</v>
      </c>
      <c r="J10" s="12">
        <v>1.329196457035803</v>
      </c>
      <c r="K10" s="12">
        <v>0</v>
      </c>
      <c r="L10" s="12">
        <v>0</v>
      </c>
      <c r="M10" s="12">
        <v>273134.21999999997</v>
      </c>
      <c r="N10" s="12">
        <v>144062.46</v>
      </c>
      <c r="O10" s="12">
        <v>0.45</v>
      </c>
      <c r="Q10" s="15">
        <v>109.479795</v>
      </c>
      <c r="R10" s="15">
        <v>-54.115442999999999</v>
      </c>
      <c r="S10" s="15">
        <v>170</v>
      </c>
      <c r="T10" s="15">
        <v>100.77374399999999</v>
      </c>
      <c r="U10" s="15">
        <v>108.668072</v>
      </c>
      <c r="V10" s="15">
        <v>89.424565000000001</v>
      </c>
      <c r="W10" s="16">
        <v>39.342497000000002</v>
      </c>
      <c r="X10" s="16">
        <v>63.762642</v>
      </c>
      <c r="Y10" s="15">
        <v>39.359471999999997</v>
      </c>
      <c r="Z10" s="15">
        <v>31.113724999999999</v>
      </c>
      <c r="AA10" s="15"/>
      <c r="AB10" s="16">
        <v>73.605024</v>
      </c>
      <c r="AC10" s="16">
        <v>100.314611</v>
      </c>
      <c r="AD10" s="16">
        <v>87.395797999999999</v>
      </c>
      <c r="AE10" s="16">
        <v>114.70308199999999</v>
      </c>
      <c r="AF10" s="16">
        <v>70.567431999999997</v>
      </c>
      <c r="AG10" s="16">
        <v>97.538511999999997</v>
      </c>
      <c r="AH10" s="15">
        <v>13.423121999999999</v>
      </c>
      <c r="AI10" s="15">
        <v>33.445973000000002</v>
      </c>
      <c r="AJ10" s="15">
        <v>0</v>
      </c>
      <c r="AK10" s="15">
        <v>5000</v>
      </c>
      <c r="AM10" s="1" t="str">
        <f t="shared" si="0"/>
        <v>MIDAT_Bio_Ethanol_Wood</v>
      </c>
      <c r="AN10" s="1" t="str">
        <f t="shared" si="1"/>
        <v>Biomass_Wood</v>
      </c>
      <c r="AO10" s="11">
        <f t="shared" si="16"/>
        <v>74.04278629500979</v>
      </c>
      <c r="AP10" s="11">
        <f t="shared" si="17"/>
        <v>74.04278629500979</v>
      </c>
      <c r="AQ10" s="11">
        <f t="shared" si="2"/>
        <v>20.56744063750272</v>
      </c>
      <c r="AR10" s="11">
        <f t="shared" si="3"/>
        <v>20.56744063750272</v>
      </c>
      <c r="AS10" s="5">
        <f t="shared" si="4"/>
        <v>0</v>
      </c>
      <c r="AT10" s="1">
        <f t="shared" si="18"/>
        <v>-4.2464947082185818</v>
      </c>
      <c r="AU10" s="1">
        <f t="shared" si="19"/>
        <v>0</v>
      </c>
      <c r="AV10" s="1" cm="1">
        <f t="array" ref="AV10">_xlfn.IFS(C10="Biomass_Corn", 1/F10*S10, C10="Biomass_Agri", 1/F10*V10, C10="Biomass_Wood", 1/F10*U10, C10="Biomass_Herb", 1/F10*T10)</f>
        <v>52.50426245349567</v>
      </c>
      <c r="AW10" s="1">
        <f t="shared" si="5"/>
        <v>0</v>
      </c>
      <c r="AX10" s="1">
        <f t="shared" si="6"/>
        <v>16.738714402759417</v>
      </c>
      <c r="AY10" s="1">
        <f t="shared" si="7"/>
        <v>8.8287010470491492</v>
      </c>
      <c r="AZ10" s="1">
        <f t="shared" si="8"/>
        <v>0.21742281490071025</v>
      </c>
      <c r="BA10" s="1">
        <f t="shared" si="20"/>
        <v>1.6467424278632237E-6</v>
      </c>
      <c r="BB10" s="1">
        <f t="shared" si="21"/>
        <v>0</v>
      </c>
      <c r="BC10" s="1">
        <f t="shared" si="22"/>
        <v>1.80285023420268E-4</v>
      </c>
      <c r="BD10" s="1">
        <f t="shared" si="23"/>
        <v>1.6467424278632237E-6</v>
      </c>
      <c r="BE10" s="1">
        <f t="shared" si="24"/>
        <v>0</v>
      </c>
      <c r="BF10" s="1">
        <f t="shared" si="25"/>
        <v>1.80285023420268E-4</v>
      </c>
      <c r="BH10" s="9">
        <f t="shared" si="9"/>
        <v>1.806</v>
      </c>
      <c r="BI10" s="10">
        <v>0.181048235160161</v>
      </c>
      <c r="BJ10" s="9">
        <v>0.23037490999999999</v>
      </c>
      <c r="BL10" s="10">
        <f t="shared" si="10"/>
        <v>0.87259023046818374</v>
      </c>
      <c r="BM10" s="10">
        <f t="shared" si="11"/>
        <v>0</v>
      </c>
      <c r="BN10" s="10">
        <f t="shared" si="12"/>
        <v>0.87259023046818374</v>
      </c>
      <c r="BP10" s="10">
        <f t="shared" si="13"/>
        <v>0.23037490999999999</v>
      </c>
      <c r="BQ10" s="10">
        <f t="shared" si="29"/>
        <v>0.64221696721061161</v>
      </c>
      <c r="BR10" s="10">
        <f t="shared" si="26"/>
        <v>0</v>
      </c>
      <c r="BS10" s="10">
        <f t="shared" si="27"/>
        <v>0</v>
      </c>
      <c r="BT10" s="10">
        <f t="shared" si="28"/>
        <v>0</v>
      </c>
      <c r="BU10" s="10">
        <f t="shared" si="14"/>
        <v>0.8725918772106116</v>
      </c>
      <c r="BW10" s="1">
        <f t="shared" si="15"/>
        <v>-1.6467424278632237E-6</v>
      </c>
    </row>
    <row r="11" spans="2:75">
      <c r="B11" s="13" t="s">
        <v>81</v>
      </c>
      <c r="C11" s="12" t="s">
        <v>79</v>
      </c>
      <c r="D11" s="12">
        <v>0.22389999999999999</v>
      </c>
      <c r="E11" s="12">
        <v>0</v>
      </c>
      <c r="F11" s="12">
        <v>2.0750999999999999</v>
      </c>
      <c r="G11" s="12">
        <v>0</v>
      </c>
      <c r="H11" s="12">
        <v>1.802</v>
      </c>
      <c r="I11" s="12">
        <v>0</v>
      </c>
      <c r="J11" s="12">
        <v>1.3239423709154341</v>
      </c>
      <c r="K11" s="12">
        <v>0</v>
      </c>
      <c r="L11" s="12">
        <v>0</v>
      </c>
      <c r="M11" s="12">
        <v>273134.21999999997</v>
      </c>
      <c r="N11" s="12">
        <v>144062.46</v>
      </c>
      <c r="O11" s="12">
        <v>0.45</v>
      </c>
      <c r="Q11" s="15">
        <v>109.479795</v>
      </c>
      <c r="R11" s="15">
        <v>-41.717134999999999</v>
      </c>
      <c r="S11" s="15">
        <v>170</v>
      </c>
      <c r="T11" s="15">
        <v>104.167382</v>
      </c>
      <c r="U11" s="15">
        <v>115.52638899999999</v>
      </c>
      <c r="V11" s="15">
        <v>92.044978</v>
      </c>
      <c r="W11" s="16">
        <v>38.682254</v>
      </c>
      <c r="X11" s="16">
        <v>63.762642</v>
      </c>
      <c r="Y11" s="15">
        <v>30.708172999999999</v>
      </c>
      <c r="Z11" s="15">
        <v>26.913516000000001</v>
      </c>
      <c r="AA11" s="15"/>
      <c r="AB11" s="16">
        <v>73.605024</v>
      </c>
      <c r="AC11" s="16">
        <v>100.314611</v>
      </c>
      <c r="AD11" s="16">
        <v>87.395797999999999</v>
      </c>
      <c r="AE11" s="16">
        <v>114.70308199999999</v>
      </c>
      <c r="AF11" s="16">
        <v>70.567431999999997</v>
      </c>
      <c r="AG11" s="16">
        <v>97.538511999999997</v>
      </c>
      <c r="AH11" s="15">
        <v>13.422003</v>
      </c>
      <c r="AI11" s="15">
        <v>33.444853999999999</v>
      </c>
      <c r="AJ11" s="15">
        <v>0</v>
      </c>
      <c r="AK11" s="15">
        <v>5000</v>
      </c>
      <c r="AM11" s="1" t="str">
        <f t="shared" si="0"/>
        <v>NCEN_Bio_Ethanol_Wood</v>
      </c>
      <c r="AN11" s="1" t="str">
        <f t="shared" si="1"/>
        <v>Biomass_Wood</v>
      </c>
      <c r="AO11" s="11">
        <f t="shared" si="16"/>
        <v>78.076709756194475</v>
      </c>
      <c r="AP11" s="11">
        <f t="shared" si="17"/>
        <v>78.076709756194475</v>
      </c>
      <c r="AQ11" s="11">
        <f t="shared" si="2"/>
        <v>21.687974932276244</v>
      </c>
      <c r="AR11" s="11">
        <f t="shared" si="3"/>
        <v>21.687974932276244</v>
      </c>
      <c r="AS11" s="5">
        <f t="shared" si="4"/>
        <v>0</v>
      </c>
      <c r="AT11" s="1">
        <f t="shared" si="18"/>
        <v>-3.3133631799431353</v>
      </c>
      <c r="AU11" s="1">
        <f t="shared" si="19"/>
        <v>0</v>
      </c>
      <c r="AV11" s="1" cm="1">
        <f t="array" ref="AV11">_xlfn.IFS(C11="Biomass_Corn", 1/F11*S11, C11="Biomass_Agri", 1/F11*V11, C11="Biomass_Wood", 1/F11*U11, C11="Biomass_Herb", 1/F11*T11)</f>
        <v>55.672685171798946</v>
      </c>
      <c r="AW11" s="1">
        <f t="shared" si="5"/>
        <v>0</v>
      </c>
      <c r="AX11" s="1">
        <f t="shared" si="6"/>
        <v>16.695155510284405</v>
      </c>
      <c r="AY11" s="1">
        <f t="shared" si="7"/>
        <v>8.8057262575671658</v>
      </c>
      <c r="AZ11" s="1">
        <f t="shared" si="8"/>
        <v>0.21685701893884632</v>
      </c>
      <c r="BA11" s="1">
        <f t="shared" si="20"/>
        <v>-3.2062761148310415E-6</v>
      </c>
      <c r="BB11" s="1">
        <f t="shared" si="21"/>
        <v>0</v>
      </c>
      <c r="BC11" s="1">
        <f t="shared" si="22"/>
        <v>-3.5102245176509884E-4</v>
      </c>
      <c r="BD11" s="1">
        <f t="shared" si="23"/>
        <v>-3.2062761148310415E-6</v>
      </c>
      <c r="BE11" s="1">
        <f t="shared" si="24"/>
        <v>0</v>
      </c>
      <c r="BF11" s="1">
        <f t="shared" si="25"/>
        <v>-3.5102245176509884E-4</v>
      </c>
      <c r="BH11" s="9">
        <f t="shared" si="9"/>
        <v>1.802</v>
      </c>
      <c r="BI11" s="10">
        <v>0.181048235160161</v>
      </c>
      <c r="BJ11" s="9">
        <v>0.23037490999999999</v>
      </c>
      <c r="BL11" s="10">
        <f t="shared" si="10"/>
        <v>0.86839188472844686</v>
      </c>
      <c r="BM11" s="10">
        <f t="shared" si="11"/>
        <v>0</v>
      </c>
      <c r="BN11" s="10">
        <f t="shared" si="12"/>
        <v>0.86839188472844686</v>
      </c>
      <c r="BP11" s="10">
        <f t="shared" si="13"/>
        <v>0.23037490999999999</v>
      </c>
      <c r="BQ11" s="10">
        <f t="shared" si="29"/>
        <v>0.63801376845233204</v>
      </c>
      <c r="BR11" s="10">
        <f t="shared" si="26"/>
        <v>0</v>
      </c>
      <c r="BS11" s="10">
        <f t="shared" si="27"/>
        <v>0</v>
      </c>
      <c r="BT11" s="10">
        <f t="shared" si="28"/>
        <v>0</v>
      </c>
      <c r="BU11" s="10">
        <f t="shared" si="14"/>
        <v>0.86838867845233203</v>
      </c>
      <c r="BW11" s="1">
        <f t="shared" si="15"/>
        <v>3.2062761148310415E-6</v>
      </c>
    </row>
    <row r="12" spans="2:75">
      <c r="B12" s="13" t="s">
        <v>82</v>
      </c>
      <c r="C12" s="12" t="s">
        <v>79</v>
      </c>
      <c r="D12" s="12">
        <v>0.22489999999999999</v>
      </c>
      <c r="E12" s="12">
        <v>0</v>
      </c>
      <c r="F12" s="12">
        <v>2.0838000000000001</v>
      </c>
      <c r="G12" s="12">
        <v>0</v>
      </c>
      <c r="H12" s="12">
        <v>1.821</v>
      </c>
      <c r="I12" s="12">
        <v>0</v>
      </c>
      <c r="J12" s="12">
        <v>1.340935833122844</v>
      </c>
      <c r="K12" s="12">
        <v>0</v>
      </c>
      <c r="L12" s="12">
        <v>0</v>
      </c>
      <c r="M12" s="12">
        <v>273134.21999999997</v>
      </c>
      <c r="N12" s="12">
        <v>144062.46</v>
      </c>
      <c r="O12" s="12">
        <v>0.45</v>
      </c>
      <c r="Q12" s="15">
        <v>109.479795</v>
      </c>
      <c r="R12" s="15">
        <v>-47.70091</v>
      </c>
      <c r="S12" s="15">
        <v>170</v>
      </c>
      <c r="T12" s="15">
        <v>99.632842999999994</v>
      </c>
      <c r="U12" s="15">
        <v>113.227017</v>
      </c>
      <c r="V12" s="15">
        <v>88.855315000000004</v>
      </c>
      <c r="W12" s="16">
        <v>39.264408000000003</v>
      </c>
      <c r="X12" s="16">
        <v>63.762642</v>
      </c>
      <c r="Y12" s="15">
        <v>38.218446</v>
      </c>
      <c r="Z12" s="15">
        <v>29.735685</v>
      </c>
      <c r="AA12" s="15"/>
      <c r="AB12" s="16">
        <v>73.605024</v>
      </c>
      <c r="AC12" s="16">
        <v>100.314611</v>
      </c>
      <c r="AD12" s="16">
        <v>87.395797999999999</v>
      </c>
      <c r="AE12" s="16">
        <v>114.70308199999999</v>
      </c>
      <c r="AF12" s="16">
        <v>70.567431999999997</v>
      </c>
      <c r="AG12" s="16">
        <v>97.538511999999997</v>
      </c>
      <c r="AH12" s="15">
        <v>13.421908</v>
      </c>
      <c r="AI12" s="15">
        <v>33.444758999999998</v>
      </c>
      <c r="AJ12" s="15">
        <v>0</v>
      </c>
      <c r="AK12" s="15">
        <v>5000</v>
      </c>
      <c r="AM12" s="1" t="str">
        <f t="shared" si="0"/>
        <v>SE_Bio_Ethanol_Wood</v>
      </c>
      <c r="AN12" s="1" t="str">
        <f t="shared" si="1"/>
        <v>Biomass_Wood</v>
      </c>
      <c r="AO12" s="11">
        <f t="shared" si="16"/>
        <v>75.821859420333098</v>
      </c>
      <c r="AP12" s="11">
        <f t="shared" si="17"/>
        <v>75.821859420333098</v>
      </c>
      <c r="AQ12" s="11">
        <f t="shared" si="2"/>
        <v>21.061627616759193</v>
      </c>
      <c r="AR12" s="11">
        <f t="shared" si="3"/>
        <v>21.061627616759193</v>
      </c>
      <c r="AS12" s="5">
        <f t="shared" si="4"/>
        <v>0</v>
      </c>
      <c r="AT12" s="1">
        <f t="shared" si="18"/>
        <v>-4.1248337198387555</v>
      </c>
      <c r="AU12" s="1">
        <f t="shared" si="19"/>
        <v>0</v>
      </c>
      <c r="AV12" s="1" cm="1">
        <f t="array" ref="AV12">_xlfn.IFS(C12="Biomass_Corn", 1/F12*S12, C12="Biomass_Agri", 1/F12*V12, C12="Biomass_Wood", 1/F12*U12, C12="Biomass_Herb", 1/F12*T12)</f>
        <v>54.336796717535272</v>
      </c>
      <c r="AW12" s="1">
        <f t="shared" si="5"/>
        <v>0</v>
      </c>
      <c r="AX12" s="1">
        <f t="shared" si="6"/>
        <v>16.625452154425169</v>
      </c>
      <c r="AY12" s="1">
        <f t="shared" si="7"/>
        <v>8.7689617799585484</v>
      </c>
      <c r="AZ12" s="1">
        <f t="shared" si="8"/>
        <v>0.21595162683558883</v>
      </c>
      <c r="BA12" s="1">
        <f t="shared" si="20"/>
        <v>-4.2851613186734028E-6</v>
      </c>
      <c r="BB12" s="1">
        <f t="shared" si="21"/>
        <v>0</v>
      </c>
      <c r="BC12" s="1">
        <f t="shared" si="22"/>
        <v>-4.6913858271029377E-4</v>
      </c>
      <c r="BD12" s="1">
        <f t="shared" si="23"/>
        <v>-4.2851613186734028E-6</v>
      </c>
      <c r="BE12" s="1">
        <f t="shared" si="24"/>
        <v>0</v>
      </c>
      <c r="BF12" s="1">
        <f t="shared" si="25"/>
        <v>-4.6913858271029377E-4</v>
      </c>
      <c r="BH12" s="9">
        <f t="shared" si="9"/>
        <v>1.821</v>
      </c>
      <c r="BI12" s="10">
        <v>0.181048235160161</v>
      </c>
      <c r="BJ12" s="9">
        <v>0.23037490999999999</v>
      </c>
      <c r="BL12" s="10">
        <f t="shared" si="10"/>
        <v>0.87388424992801605</v>
      </c>
      <c r="BM12" s="10">
        <f t="shared" si="11"/>
        <v>0</v>
      </c>
      <c r="BN12" s="10">
        <f t="shared" si="12"/>
        <v>0.87388424992801605</v>
      </c>
      <c r="BP12" s="10">
        <f t="shared" si="13"/>
        <v>0.23037490999999999</v>
      </c>
      <c r="BQ12" s="10">
        <f t="shared" si="29"/>
        <v>0.64350505476669739</v>
      </c>
      <c r="BR12" s="10">
        <f t="shared" si="26"/>
        <v>0</v>
      </c>
      <c r="BS12" s="10">
        <f t="shared" si="27"/>
        <v>0</v>
      </c>
      <c r="BT12" s="10">
        <f t="shared" si="28"/>
        <v>0</v>
      </c>
      <c r="BU12" s="10">
        <f t="shared" si="14"/>
        <v>0.87387996476669738</v>
      </c>
      <c r="BW12" s="1">
        <f t="shared" si="15"/>
        <v>4.2851613186734028E-6</v>
      </c>
    </row>
    <row r="13" spans="2:75">
      <c r="B13" s="13" t="s">
        <v>83</v>
      </c>
      <c r="C13" s="12" t="s">
        <v>79</v>
      </c>
      <c r="D13" s="12">
        <v>0.22209999999999999</v>
      </c>
      <c r="E13" s="12">
        <v>0</v>
      </c>
      <c r="F13" s="12">
        <v>2.0577000000000001</v>
      </c>
      <c r="G13" s="12">
        <v>0</v>
      </c>
      <c r="H13" s="12">
        <v>1.821</v>
      </c>
      <c r="I13" s="12">
        <v>0</v>
      </c>
      <c r="J13" s="12">
        <v>1.3469554465006139</v>
      </c>
      <c r="K13" s="12">
        <v>0</v>
      </c>
      <c r="L13" s="12">
        <v>0</v>
      </c>
      <c r="M13" s="12">
        <v>273134.21999999997</v>
      </c>
      <c r="N13" s="12">
        <v>144062.46</v>
      </c>
      <c r="O13" s="12">
        <v>0.45</v>
      </c>
      <c r="Q13" s="15">
        <v>109.479795</v>
      </c>
      <c r="R13" s="15">
        <v>-21.506692000000001</v>
      </c>
      <c r="S13" s="15">
        <v>170</v>
      </c>
      <c r="T13" s="15">
        <v>137.93464800000001</v>
      </c>
      <c r="U13" s="15">
        <v>157.881351</v>
      </c>
      <c r="V13" s="15">
        <v>111.364845</v>
      </c>
      <c r="W13" s="16">
        <v>38.568981999999998</v>
      </c>
      <c r="X13" s="16">
        <v>63.762642</v>
      </c>
      <c r="Y13" s="15">
        <v>20.230252</v>
      </c>
      <c r="Z13" s="15">
        <v>17.952764999999999</v>
      </c>
      <c r="AA13" s="15"/>
      <c r="AB13" s="16">
        <v>73.605024</v>
      </c>
      <c r="AC13" s="16">
        <v>100.314611</v>
      </c>
      <c r="AD13" s="16">
        <v>87.395797999999999</v>
      </c>
      <c r="AE13" s="16">
        <v>114.70308199999999</v>
      </c>
      <c r="AF13" s="16">
        <v>70.567431999999997</v>
      </c>
      <c r="AG13" s="16">
        <v>97.538511999999997</v>
      </c>
      <c r="AH13" s="15">
        <v>13.325948</v>
      </c>
      <c r="AI13" s="15">
        <v>33.348799</v>
      </c>
      <c r="AJ13" s="15">
        <v>0</v>
      </c>
      <c r="AK13" s="15">
        <v>5000</v>
      </c>
      <c r="AM13" s="1" t="str">
        <f t="shared" si="0"/>
        <v>TX_Bio_Ethanol_Wood</v>
      </c>
      <c r="AN13" s="1" t="str">
        <f t="shared" si="1"/>
        <v>Biomass_Wood</v>
      </c>
      <c r="AO13" s="11">
        <f t="shared" si="16"/>
        <v>100.4786226122161</v>
      </c>
      <c r="AP13" s="11">
        <f t="shared" si="17"/>
        <v>100.4786226122161</v>
      </c>
      <c r="AQ13" s="11">
        <f t="shared" si="2"/>
        <v>27.910728503393361</v>
      </c>
      <c r="AR13" s="11">
        <f t="shared" si="3"/>
        <v>27.910728503393361</v>
      </c>
      <c r="AS13" s="5">
        <f t="shared" si="4"/>
        <v>0</v>
      </c>
      <c r="AT13" s="1">
        <f t="shared" si="18"/>
        <v>-2.1835733922340474</v>
      </c>
      <c r="AU13" s="1">
        <f t="shared" si="19"/>
        <v>0</v>
      </c>
      <c r="AV13" s="1" cm="1">
        <f t="array" ref="AV13">_xlfn.IFS(C13="Biomass_Corn", 1/F13*S13, C13="Biomass_Agri", 1/F13*V13, C13="Biomass_Wood", 1/F13*U13, C13="Biomass_Herb", 1/F13*T13)</f>
        <v>76.727098702434745</v>
      </c>
      <c r="AW13" s="1">
        <f t="shared" si="5"/>
        <v>0</v>
      </c>
      <c r="AX13" s="1">
        <f t="shared" si="6"/>
        <v>16.836330465758454</v>
      </c>
      <c r="AY13" s="1">
        <f t="shared" si="7"/>
        <v>8.8801878588120839</v>
      </c>
      <c r="AZ13" s="1">
        <f t="shared" si="8"/>
        <v>0.21869077124945327</v>
      </c>
      <c r="BA13" s="1">
        <f t="shared" si="20"/>
        <v>-1.0211364076528895E-6</v>
      </c>
      <c r="BB13" s="1">
        <f t="shared" si="21"/>
        <v>0</v>
      </c>
      <c r="BC13" s="1">
        <f t="shared" si="22"/>
        <v>-1.1179380457687476E-4</v>
      </c>
      <c r="BD13" s="1">
        <f t="shared" si="23"/>
        <v>-1.0211364076528895E-6</v>
      </c>
      <c r="BE13" s="1">
        <f t="shared" si="24"/>
        <v>0</v>
      </c>
      <c r="BF13" s="1">
        <f t="shared" si="25"/>
        <v>-1.1179380457687476E-4</v>
      </c>
      <c r="BH13" s="9">
        <f t="shared" si="9"/>
        <v>1.821</v>
      </c>
      <c r="BI13" s="10">
        <v>0.181048235160161</v>
      </c>
      <c r="BJ13" s="9">
        <v>0.23037490999999999</v>
      </c>
      <c r="BL13" s="10">
        <f t="shared" si="10"/>
        <v>0.88496865432278748</v>
      </c>
      <c r="BM13" s="10">
        <f t="shared" si="11"/>
        <v>0</v>
      </c>
      <c r="BN13" s="10">
        <f t="shared" si="12"/>
        <v>0.88496865432278748</v>
      </c>
      <c r="BP13" s="10">
        <f t="shared" si="13"/>
        <v>0.23037490999999999</v>
      </c>
      <c r="BQ13" s="10">
        <f t="shared" si="29"/>
        <v>0.65459272318637984</v>
      </c>
      <c r="BR13" s="10">
        <f t="shared" si="26"/>
        <v>0</v>
      </c>
      <c r="BS13" s="10">
        <f t="shared" si="27"/>
        <v>0</v>
      </c>
      <c r="BT13" s="10">
        <f t="shared" si="28"/>
        <v>0</v>
      </c>
      <c r="BU13" s="10">
        <f t="shared" si="14"/>
        <v>0.88496763318637983</v>
      </c>
      <c r="BW13" s="1">
        <f t="shared" si="15"/>
        <v>1.0211364076528895E-6</v>
      </c>
    </row>
    <row r="14" spans="2:75">
      <c r="B14" s="13" t="s">
        <v>84</v>
      </c>
      <c r="C14" s="12" t="s">
        <v>85</v>
      </c>
      <c r="D14" s="12">
        <v>0.20169999999999999</v>
      </c>
      <c r="E14" s="12">
        <v>0</v>
      </c>
      <c r="F14" s="12">
        <v>1.8694</v>
      </c>
      <c r="G14" s="12">
        <v>0</v>
      </c>
      <c r="H14" s="12">
        <v>1.7</v>
      </c>
      <c r="I14" s="12">
        <v>0</v>
      </c>
      <c r="J14" s="12">
        <v>1.2693468262653731</v>
      </c>
      <c r="K14" s="12">
        <v>0</v>
      </c>
      <c r="L14" s="12">
        <v>0</v>
      </c>
      <c r="M14" s="12">
        <v>273134.21999999997</v>
      </c>
      <c r="N14" s="12">
        <v>144062.46</v>
      </c>
      <c r="O14" s="12">
        <v>0.45</v>
      </c>
      <c r="Q14" s="15">
        <v>109.479795</v>
      </c>
      <c r="R14" s="15">
        <v>-31.70346</v>
      </c>
      <c r="S14" s="15">
        <v>170</v>
      </c>
      <c r="T14" s="15">
        <v>110.461518</v>
      </c>
      <c r="U14" s="15">
        <v>127.408748</v>
      </c>
      <c r="V14" s="15">
        <v>98.832477999999995</v>
      </c>
      <c r="W14" s="16">
        <v>38.544687000000003</v>
      </c>
      <c r="X14" s="16">
        <v>63.762642</v>
      </c>
      <c r="Y14" s="15">
        <v>25.324636999999999</v>
      </c>
      <c r="Z14" s="15">
        <v>24.781272999999999</v>
      </c>
      <c r="AA14" s="15"/>
      <c r="AB14" s="16">
        <v>73.605024</v>
      </c>
      <c r="AC14" s="16">
        <v>100.314611</v>
      </c>
      <c r="AD14" s="16">
        <v>87.395797999999999</v>
      </c>
      <c r="AE14" s="16">
        <v>114.70308199999999</v>
      </c>
      <c r="AF14" s="16">
        <v>70.567431999999997</v>
      </c>
      <c r="AG14" s="16">
        <v>97.538511999999997</v>
      </c>
      <c r="AH14" s="15">
        <v>13.421913</v>
      </c>
      <c r="AI14" s="15">
        <v>33.444763999999999</v>
      </c>
      <c r="AJ14" s="15">
        <v>0</v>
      </c>
      <c r="AK14" s="15">
        <v>5000</v>
      </c>
      <c r="AM14" s="1" t="str">
        <f t="shared" si="0"/>
        <v>CEN_Bio_Ethanol_Agri</v>
      </c>
      <c r="AN14" s="1" t="str">
        <f t="shared" si="1"/>
        <v>Biomass_Agri</v>
      </c>
      <c r="AO14" s="11">
        <f t="shared" si="16"/>
        <v>78.684304358909131</v>
      </c>
      <c r="AP14" s="11">
        <f t="shared" si="17"/>
        <v>78.684304358909131</v>
      </c>
      <c r="AQ14" s="11">
        <f t="shared" si="2"/>
        <v>21.856751210808092</v>
      </c>
      <c r="AR14" s="11">
        <f t="shared" si="3"/>
        <v>21.856751210808092</v>
      </c>
      <c r="AS14" s="5">
        <f t="shared" si="4"/>
        <v>0</v>
      </c>
      <c r="AT14" s="1">
        <f t="shared" si="18"/>
        <v>-2.7324164346314324</v>
      </c>
      <c r="AU14" s="1">
        <f t="shared" si="19"/>
        <v>0</v>
      </c>
      <c r="AV14" s="1" cm="1">
        <f t="array" ref="AV14">_xlfn.IFS(C14="Biomass_Corn", 1/F14*S14, C14="Biomass_Agri", 1/F14*V14, C14="Biomass_Wood", 1/F14*U14, C14="Biomass_Herb", 1/F14*T14)</f>
        <v>52.868555686316462</v>
      </c>
      <c r="AW14" s="1">
        <f t="shared" si="5"/>
        <v>0</v>
      </c>
      <c r="AX14" s="1">
        <f t="shared" si="6"/>
        <v>18.5322120463203</v>
      </c>
      <c r="AY14" s="1">
        <f t="shared" si="7"/>
        <v>9.7746670359888874</v>
      </c>
      <c r="AZ14" s="1">
        <f t="shared" si="8"/>
        <v>0.24071894725580401</v>
      </c>
      <c r="BA14" s="1">
        <f t="shared" si="20"/>
        <v>5.1797471771752868E-6</v>
      </c>
      <c r="BB14" s="1">
        <f t="shared" si="21"/>
        <v>0</v>
      </c>
      <c r="BC14" s="1">
        <f t="shared" si="22"/>
        <v>5.6707765910897902E-4</v>
      </c>
      <c r="BD14" s="1">
        <f t="shared" si="23"/>
        <v>5.1797471771752868E-6</v>
      </c>
      <c r="BE14" s="1">
        <f t="shared" si="24"/>
        <v>0</v>
      </c>
      <c r="BF14" s="1">
        <f t="shared" si="25"/>
        <v>5.6707765910897902E-4</v>
      </c>
      <c r="BH14" s="9">
        <f t="shared" si="9"/>
        <v>1.7</v>
      </c>
      <c r="BI14" s="10">
        <v>0.181048235160161</v>
      </c>
      <c r="BJ14" s="9">
        <v>0.23037490999999999</v>
      </c>
      <c r="BL14" s="10">
        <f t="shared" si="10"/>
        <v>0.90938268963303737</v>
      </c>
      <c r="BM14" s="10">
        <f t="shared" si="11"/>
        <v>0</v>
      </c>
      <c r="BN14" s="10">
        <f t="shared" si="12"/>
        <v>0.90938268963303737</v>
      </c>
      <c r="BP14" s="10">
        <f t="shared" si="13"/>
        <v>0.23037490999999999</v>
      </c>
      <c r="BQ14" s="10">
        <f t="shared" si="29"/>
        <v>0.67901295938021455</v>
      </c>
      <c r="BR14" s="10">
        <f t="shared" si="26"/>
        <v>0</v>
      </c>
      <c r="BS14" s="10">
        <f t="shared" si="27"/>
        <v>0</v>
      </c>
      <c r="BT14" s="10">
        <f t="shared" si="28"/>
        <v>0</v>
      </c>
      <c r="BU14" s="10">
        <f t="shared" si="14"/>
        <v>0.90938786938021454</v>
      </c>
      <c r="BW14" s="1">
        <f t="shared" si="15"/>
        <v>-5.1797471771752868E-6</v>
      </c>
    </row>
    <row r="15" spans="2:75">
      <c r="B15" s="13" t="s">
        <v>86</v>
      </c>
      <c r="C15" s="12" t="s">
        <v>85</v>
      </c>
      <c r="D15" s="12">
        <v>0.20300000000000001</v>
      </c>
      <c r="E15" s="12">
        <v>0</v>
      </c>
      <c r="F15" s="12">
        <v>1.8813</v>
      </c>
      <c r="G15" s="12">
        <v>0</v>
      </c>
      <c r="H15" s="12">
        <v>1.708</v>
      </c>
      <c r="I15" s="12">
        <v>0</v>
      </c>
      <c r="J15" s="12">
        <v>1.274587836800561</v>
      </c>
      <c r="K15" s="12">
        <v>0</v>
      </c>
      <c r="L15" s="12">
        <v>0</v>
      </c>
      <c r="M15" s="12">
        <v>273134.21999999997</v>
      </c>
      <c r="N15" s="12">
        <v>144062.46</v>
      </c>
      <c r="O15" s="12">
        <v>0.45</v>
      </c>
      <c r="Q15" s="15">
        <v>109.479795</v>
      </c>
      <c r="R15" s="15">
        <v>-54.115442999999999</v>
      </c>
      <c r="S15" s="15">
        <v>170</v>
      </c>
      <c r="T15" s="15">
        <v>100.77374399999999</v>
      </c>
      <c r="U15" s="15">
        <v>108.668072</v>
      </c>
      <c r="V15" s="15">
        <v>89.424565000000001</v>
      </c>
      <c r="W15" s="16">
        <v>39.342497000000002</v>
      </c>
      <c r="X15" s="16">
        <v>63.762642</v>
      </c>
      <c r="Y15" s="15">
        <v>39.359471999999997</v>
      </c>
      <c r="Z15" s="15">
        <v>31.113724999999999</v>
      </c>
      <c r="AA15" s="15"/>
      <c r="AB15" s="16">
        <v>73.605024</v>
      </c>
      <c r="AC15" s="16">
        <v>100.314611</v>
      </c>
      <c r="AD15" s="16">
        <v>87.395797999999999</v>
      </c>
      <c r="AE15" s="16">
        <v>114.70308199999999</v>
      </c>
      <c r="AF15" s="16">
        <v>70.567431999999997</v>
      </c>
      <c r="AG15" s="16">
        <v>97.538511999999997</v>
      </c>
      <c r="AH15" s="15">
        <v>13.423121999999999</v>
      </c>
      <c r="AI15" s="15">
        <v>33.445973000000002</v>
      </c>
      <c r="AJ15" s="15">
        <v>0</v>
      </c>
      <c r="AK15" s="15">
        <v>5000</v>
      </c>
      <c r="AM15" s="1" t="str">
        <f t="shared" si="0"/>
        <v>MIDAT_Bio_Ethanol_Agri</v>
      </c>
      <c r="AN15" s="1" t="str">
        <f t="shared" si="1"/>
        <v>Biomass_Agri</v>
      </c>
      <c r="AO15" s="11">
        <f t="shared" si="16"/>
        <v>71.652906537860673</v>
      </c>
      <c r="AP15" s="11">
        <f t="shared" si="17"/>
        <v>71.652906537860673</v>
      </c>
      <c r="AQ15" s="11">
        <f t="shared" si="2"/>
        <v>19.903585149405743</v>
      </c>
      <c r="AR15" s="11">
        <f t="shared" si="3"/>
        <v>19.903585149405743</v>
      </c>
      <c r="AS15" s="5">
        <f t="shared" si="4"/>
        <v>0</v>
      </c>
      <c r="AT15" s="1">
        <f t="shared" si="18"/>
        <v>-4.2470487513953117</v>
      </c>
      <c r="AU15" s="1">
        <f t="shared" si="19"/>
        <v>0</v>
      </c>
      <c r="AV15" s="1" cm="1">
        <f t="array" ref="AV15">_xlfn.IFS(C15="Biomass_Corn", 1/F15*S15, C15="Biomass_Agri", 1/F15*V15, C15="Biomass_Wood", 1/F15*U15, C15="Biomass_Herb", 1/F15*T15)</f>
        <v>47.53338914580344</v>
      </c>
      <c r="AW15" s="1">
        <f t="shared" si="5"/>
        <v>0</v>
      </c>
      <c r="AX15" s="1">
        <f t="shared" si="6"/>
        <v>18.41498814617082</v>
      </c>
      <c r="AY15" s="1">
        <f t="shared" si="7"/>
        <v>9.7128382273309022</v>
      </c>
      <c r="AZ15" s="1">
        <f t="shared" si="8"/>
        <v>0.23919630043055334</v>
      </c>
      <c r="BA15" s="1">
        <f t="shared" si="20"/>
        <v>-4.1699975755760121E-6</v>
      </c>
      <c r="BB15" s="1">
        <f t="shared" si="21"/>
        <v>0</v>
      </c>
      <c r="BC15" s="1">
        <f t="shared" si="22"/>
        <v>-4.5653047972455882E-4</v>
      </c>
      <c r="BD15" s="1">
        <f t="shared" si="23"/>
        <v>-4.1699975755760121E-6</v>
      </c>
      <c r="BE15" s="1">
        <f t="shared" si="24"/>
        <v>0</v>
      </c>
      <c r="BF15" s="1">
        <f t="shared" si="25"/>
        <v>-4.5653047972455882E-4</v>
      </c>
      <c r="BH15" s="9">
        <f t="shared" si="9"/>
        <v>1.708</v>
      </c>
      <c r="BI15" s="10">
        <v>0.181048235160161</v>
      </c>
      <c r="BJ15" s="9">
        <v>0.23037490999999999</v>
      </c>
      <c r="BL15" s="10">
        <f t="shared" si="10"/>
        <v>0.90788284696752242</v>
      </c>
      <c r="BM15" s="10">
        <f t="shared" si="11"/>
        <v>0</v>
      </c>
      <c r="BN15" s="10">
        <f t="shared" si="12"/>
        <v>0.90788284696752242</v>
      </c>
      <c r="BP15" s="10">
        <f t="shared" si="13"/>
        <v>0.23037490999999999</v>
      </c>
      <c r="BQ15" s="10">
        <f t="shared" si="29"/>
        <v>0.67750376696994685</v>
      </c>
      <c r="BR15" s="10">
        <f t="shared" si="26"/>
        <v>0</v>
      </c>
      <c r="BS15" s="10">
        <f t="shared" si="27"/>
        <v>0</v>
      </c>
      <c r="BT15" s="10">
        <f t="shared" si="28"/>
        <v>0</v>
      </c>
      <c r="BU15" s="10">
        <f t="shared" si="14"/>
        <v>0.90787867696994684</v>
      </c>
      <c r="BW15" s="1">
        <f t="shared" si="15"/>
        <v>4.1699975755760121E-6</v>
      </c>
    </row>
    <row r="16" spans="2:75">
      <c r="B16" s="13" t="s">
        <v>87</v>
      </c>
      <c r="C16" s="12" t="s">
        <v>85</v>
      </c>
      <c r="D16" s="12">
        <v>0.20330000000000001</v>
      </c>
      <c r="E16" s="12">
        <v>0</v>
      </c>
      <c r="F16" s="12">
        <v>1.8835</v>
      </c>
      <c r="G16" s="12">
        <v>0</v>
      </c>
      <c r="H16" s="12">
        <v>1.71</v>
      </c>
      <c r="I16" s="12">
        <v>0</v>
      </c>
      <c r="J16" s="12">
        <v>1.276086202352414</v>
      </c>
      <c r="K16" s="12">
        <v>0</v>
      </c>
      <c r="L16" s="12">
        <v>0</v>
      </c>
      <c r="M16" s="12">
        <v>273134.21999999997</v>
      </c>
      <c r="N16" s="12">
        <v>144062.46</v>
      </c>
      <c r="O16" s="12">
        <v>0.45</v>
      </c>
      <c r="Q16" s="15">
        <v>109.479795</v>
      </c>
      <c r="R16" s="15">
        <v>-41.717134999999999</v>
      </c>
      <c r="S16" s="15">
        <v>170</v>
      </c>
      <c r="T16" s="15">
        <v>104.167382</v>
      </c>
      <c r="U16" s="15">
        <v>115.52638899999999</v>
      </c>
      <c r="V16" s="15">
        <v>92.044978</v>
      </c>
      <c r="W16" s="16">
        <v>38.682254</v>
      </c>
      <c r="X16" s="16">
        <v>63.762642</v>
      </c>
      <c r="Y16" s="15">
        <v>30.708172999999999</v>
      </c>
      <c r="Z16" s="15">
        <v>26.913516000000001</v>
      </c>
      <c r="AA16" s="15"/>
      <c r="AB16" s="16">
        <v>73.605024</v>
      </c>
      <c r="AC16" s="16">
        <v>100.314611</v>
      </c>
      <c r="AD16" s="16">
        <v>87.395797999999999</v>
      </c>
      <c r="AE16" s="16">
        <v>114.70308199999999</v>
      </c>
      <c r="AF16" s="16">
        <v>70.567431999999997</v>
      </c>
      <c r="AG16" s="16">
        <v>97.538511999999997</v>
      </c>
      <c r="AH16" s="15">
        <v>13.422003</v>
      </c>
      <c r="AI16" s="15">
        <v>33.444853999999999</v>
      </c>
      <c r="AJ16" s="15">
        <v>0</v>
      </c>
      <c r="AK16" s="15">
        <v>5000</v>
      </c>
      <c r="AM16" s="1" t="str">
        <f t="shared" si="0"/>
        <v>NCEN_Bio_Ethanol_Agri</v>
      </c>
      <c r="AN16" s="1" t="str">
        <f t="shared" si="1"/>
        <v>Biomass_Agri</v>
      </c>
      <c r="AO16" s="11">
        <f t="shared" si="16"/>
        <v>73.888290710726352</v>
      </c>
      <c r="AP16" s="11">
        <f t="shared" si="17"/>
        <v>73.888290710726352</v>
      </c>
      <c r="AQ16" s="11">
        <f t="shared" si="2"/>
        <v>20.524525197423987</v>
      </c>
      <c r="AR16" s="11">
        <f t="shared" si="3"/>
        <v>20.524525197423987</v>
      </c>
      <c r="AS16" s="5">
        <f t="shared" si="4"/>
        <v>0</v>
      </c>
      <c r="AT16" s="1">
        <f t="shared" si="18"/>
        <v>-3.3145588377488719</v>
      </c>
      <c r="AU16" s="1">
        <f t="shared" si="19"/>
        <v>0</v>
      </c>
      <c r="AV16" s="1" cm="1">
        <f t="array" ref="AV16">_xlfn.IFS(C16="Biomass_Corn", 1/F16*S16, C16="Biomass_Agri", 1/F16*V16, C16="Biomass_Wood", 1/F16*U16, C16="Biomass_Herb", 1/F16*T16)</f>
        <v>48.869114945580044</v>
      </c>
      <c r="AW16" s="1">
        <f t="shared" si="5"/>
        <v>0</v>
      </c>
      <c r="AX16" s="1">
        <f t="shared" si="6"/>
        <v>18.393478736071767</v>
      </c>
      <c r="AY16" s="1">
        <f t="shared" si="7"/>
        <v>9.7014932609915725</v>
      </c>
      <c r="AZ16" s="1">
        <f t="shared" si="8"/>
        <v>0.23891691000796392</v>
      </c>
      <c r="BA16" s="1">
        <f t="shared" si="20"/>
        <v>-1.4094306270973078E-6</v>
      </c>
      <c r="BB16" s="1">
        <f t="shared" si="21"/>
        <v>0</v>
      </c>
      <c r="BC16" s="1">
        <f t="shared" si="22"/>
        <v>-1.5430417612133471E-4</v>
      </c>
      <c r="BD16" s="1">
        <f t="shared" si="23"/>
        <v>-1.4094306270973078E-6</v>
      </c>
      <c r="BE16" s="1">
        <f t="shared" si="24"/>
        <v>0</v>
      </c>
      <c r="BF16" s="1">
        <f t="shared" si="25"/>
        <v>-1.5430417612133471E-4</v>
      </c>
      <c r="BH16" s="9">
        <f t="shared" si="9"/>
        <v>1.71</v>
      </c>
      <c r="BI16" s="10">
        <v>0.181048235160161</v>
      </c>
      <c r="BJ16" s="9">
        <v>0.23037490999999999</v>
      </c>
      <c r="BL16" s="10">
        <f t="shared" si="10"/>
        <v>0.90788425803026285</v>
      </c>
      <c r="BM16" s="10">
        <f t="shared" si="11"/>
        <v>0</v>
      </c>
      <c r="BN16" s="10">
        <f t="shared" si="12"/>
        <v>0.90788425803026285</v>
      </c>
      <c r="BP16" s="10">
        <f t="shared" si="13"/>
        <v>0.23037490999999999</v>
      </c>
      <c r="BQ16" s="10">
        <f t="shared" si="29"/>
        <v>0.67750793859963576</v>
      </c>
      <c r="BR16" s="10">
        <f t="shared" si="26"/>
        <v>0</v>
      </c>
      <c r="BS16" s="10">
        <f t="shared" si="27"/>
        <v>0</v>
      </c>
      <c r="BT16" s="10">
        <f t="shared" si="28"/>
        <v>0</v>
      </c>
      <c r="BU16" s="10">
        <f t="shared" si="14"/>
        <v>0.90788284859963575</v>
      </c>
      <c r="BW16" s="1">
        <f t="shared" si="15"/>
        <v>1.4094306270973078E-6</v>
      </c>
    </row>
    <row r="17" spans="2:75">
      <c r="B17" s="13" t="s">
        <v>88</v>
      </c>
      <c r="C17" s="12" t="s">
        <v>85</v>
      </c>
      <c r="D17" s="12">
        <v>0.2024</v>
      </c>
      <c r="E17" s="12">
        <v>0</v>
      </c>
      <c r="F17" s="12">
        <v>1.8758999999999999</v>
      </c>
      <c r="G17" s="12">
        <v>0</v>
      </c>
      <c r="H17" s="12">
        <v>1.6890000000000001</v>
      </c>
      <c r="I17" s="12">
        <v>0</v>
      </c>
      <c r="J17" s="12">
        <v>1.25684192292093</v>
      </c>
      <c r="K17" s="12">
        <v>0</v>
      </c>
      <c r="L17" s="12">
        <v>0</v>
      </c>
      <c r="M17" s="12">
        <v>273134.21999999997</v>
      </c>
      <c r="N17" s="12">
        <v>144062.46</v>
      </c>
      <c r="O17" s="12">
        <v>0.45</v>
      </c>
      <c r="Q17" s="15">
        <v>109.479795</v>
      </c>
      <c r="R17" s="15">
        <v>-47.70091</v>
      </c>
      <c r="S17" s="15">
        <v>170</v>
      </c>
      <c r="T17" s="15">
        <v>99.632842999999994</v>
      </c>
      <c r="U17" s="15">
        <v>113.227017</v>
      </c>
      <c r="V17" s="15">
        <v>88.855315000000004</v>
      </c>
      <c r="W17" s="16">
        <v>39.264408000000003</v>
      </c>
      <c r="X17" s="16">
        <v>63.762642</v>
      </c>
      <c r="Y17" s="15">
        <v>38.218446</v>
      </c>
      <c r="Z17" s="15">
        <v>29.735685</v>
      </c>
      <c r="AA17" s="15"/>
      <c r="AB17" s="16">
        <v>73.605024</v>
      </c>
      <c r="AC17" s="16">
        <v>100.314611</v>
      </c>
      <c r="AD17" s="16">
        <v>87.395797999999999</v>
      </c>
      <c r="AE17" s="16">
        <v>114.70308199999999</v>
      </c>
      <c r="AF17" s="16">
        <v>70.567431999999997</v>
      </c>
      <c r="AG17" s="16">
        <v>97.538511999999997</v>
      </c>
      <c r="AH17" s="15">
        <v>13.421908</v>
      </c>
      <c r="AI17" s="15">
        <v>33.444758999999998</v>
      </c>
      <c r="AJ17" s="15">
        <v>0</v>
      </c>
      <c r="AK17" s="15">
        <v>5000</v>
      </c>
      <c r="AM17" s="1" t="str">
        <f t="shared" si="0"/>
        <v>SE_Bio_Ethanol_Agri</v>
      </c>
      <c r="AN17" s="1" t="str">
        <f t="shared" si="1"/>
        <v>Biomass_Agri</v>
      </c>
      <c r="AO17" s="11">
        <f t="shared" si="16"/>
        <v>71.692000617239671</v>
      </c>
      <c r="AP17" s="11">
        <f t="shared" si="17"/>
        <v>71.692000617239671</v>
      </c>
      <c r="AQ17" s="11">
        <f t="shared" si="2"/>
        <v>19.914444615899907</v>
      </c>
      <c r="AR17" s="11">
        <f t="shared" si="3"/>
        <v>19.914444615899907</v>
      </c>
      <c r="AS17" s="5">
        <f t="shared" si="4"/>
        <v>0</v>
      </c>
      <c r="AT17" s="1">
        <f t="shared" si="18"/>
        <v>-4.1235745351031508</v>
      </c>
      <c r="AU17" s="1">
        <f t="shared" si="19"/>
        <v>0</v>
      </c>
      <c r="AV17" s="1" cm="1">
        <f t="array" ref="AV17">_xlfn.IFS(C17="Biomass_Corn", 1/F17*S17, C17="Biomass_Agri", 1/F17*V17, C17="Biomass_Wood", 1/F17*U17, C17="Biomass_Herb", 1/F17*T17)</f>
        <v>47.36676528599606</v>
      </c>
      <c r="AW17" s="1">
        <f t="shared" si="5"/>
        <v>0</v>
      </c>
      <c r="AX17" s="1">
        <f t="shared" si="6"/>
        <v>18.467997867365622</v>
      </c>
      <c r="AY17" s="1">
        <f t="shared" si="7"/>
        <v>9.7407977808399302</v>
      </c>
      <c r="AZ17" s="1">
        <f t="shared" si="8"/>
        <v>0.23988485526947068</v>
      </c>
      <c r="BA17" s="1">
        <f t="shared" si="20"/>
        <v>1.1816141211040687E-6</v>
      </c>
      <c r="BB17" s="1">
        <f t="shared" si="21"/>
        <v>0</v>
      </c>
      <c r="BC17" s="1">
        <f t="shared" si="22"/>
        <v>1.2936287174757861E-4</v>
      </c>
      <c r="BD17" s="1">
        <f t="shared" si="23"/>
        <v>1.1816141211040687E-6</v>
      </c>
      <c r="BE17" s="1">
        <f t="shared" si="24"/>
        <v>0</v>
      </c>
      <c r="BF17" s="1">
        <f t="shared" si="25"/>
        <v>1.2936287174757861E-4</v>
      </c>
      <c r="BH17" s="9">
        <f t="shared" si="9"/>
        <v>1.6890000000000001</v>
      </c>
      <c r="BI17" s="10">
        <v>0.181048235160161</v>
      </c>
      <c r="BJ17" s="9">
        <v>0.23037490999999999</v>
      </c>
      <c r="BL17" s="10">
        <f t="shared" si="10"/>
        <v>0.90036782344474664</v>
      </c>
      <c r="BM17" s="10">
        <f t="shared" si="11"/>
        <v>0</v>
      </c>
      <c r="BN17" s="10">
        <f t="shared" si="12"/>
        <v>0.90036782344474664</v>
      </c>
      <c r="BP17" s="10">
        <f t="shared" si="13"/>
        <v>0.23037490999999999</v>
      </c>
      <c r="BQ17" s="10">
        <f t="shared" si="29"/>
        <v>0.66999409505886776</v>
      </c>
      <c r="BR17" s="10">
        <f t="shared" si="26"/>
        <v>0</v>
      </c>
      <c r="BS17" s="10">
        <f t="shared" si="27"/>
        <v>0</v>
      </c>
      <c r="BT17" s="10">
        <f t="shared" si="28"/>
        <v>0</v>
      </c>
      <c r="BU17" s="10">
        <f t="shared" si="14"/>
        <v>0.90036900505886774</v>
      </c>
      <c r="BW17" s="1">
        <f t="shared" si="15"/>
        <v>-1.1816141211040687E-6</v>
      </c>
    </row>
    <row r="18" spans="2:75">
      <c r="B18" s="13" t="s">
        <v>89</v>
      </c>
      <c r="C18" s="12" t="s">
        <v>85</v>
      </c>
      <c r="D18" s="12">
        <v>0.19489999999999999</v>
      </c>
      <c r="E18" s="12">
        <v>0</v>
      </c>
      <c r="F18" s="12">
        <v>1.8062</v>
      </c>
      <c r="G18" s="12">
        <v>0</v>
      </c>
      <c r="H18" s="12">
        <v>1.633</v>
      </c>
      <c r="I18" s="12">
        <v>0</v>
      </c>
      <c r="J18" s="12">
        <v>1.2168942252616499</v>
      </c>
      <c r="K18" s="12">
        <v>0</v>
      </c>
      <c r="L18" s="12">
        <v>0</v>
      </c>
      <c r="M18" s="12">
        <v>273134.21999999997</v>
      </c>
      <c r="N18" s="12">
        <v>144062.46</v>
      </c>
      <c r="O18" s="12">
        <v>0.45</v>
      </c>
      <c r="Q18" s="15">
        <v>109.479795</v>
      </c>
      <c r="R18" s="15">
        <v>-21.506692000000001</v>
      </c>
      <c r="S18" s="15">
        <v>170</v>
      </c>
      <c r="T18" s="15">
        <v>137.93464800000001</v>
      </c>
      <c r="U18" s="15">
        <v>157.881351</v>
      </c>
      <c r="V18" s="15">
        <v>111.364845</v>
      </c>
      <c r="W18" s="16">
        <v>38.568981999999998</v>
      </c>
      <c r="X18" s="16">
        <v>63.762642</v>
      </c>
      <c r="Y18" s="15">
        <v>20.230252</v>
      </c>
      <c r="Z18" s="15">
        <v>17.952764999999999</v>
      </c>
      <c r="AA18" s="15"/>
      <c r="AB18" s="16">
        <v>73.605024</v>
      </c>
      <c r="AC18" s="16">
        <v>100.314611</v>
      </c>
      <c r="AD18" s="16">
        <v>87.395797999999999</v>
      </c>
      <c r="AE18" s="16">
        <v>114.70308199999999</v>
      </c>
      <c r="AF18" s="16">
        <v>70.567431999999997</v>
      </c>
      <c r="AG18" s="16">
        <v>97.538511999999997</v>
      </c>
      <c r="AH18" s="15">
        <v>13.325948</v>
      </c>
      <c r="AI18" s="15">
        <v>33.348799</v>
      </c>
      <c r="AJ18" s="15">
        <v>0</v>
      </c>
      <c r="AK18" s="15">
        <v>5000</v>
      </c>
      <c r="AM18" s="1" t="str">
        <f t="shared" si="0"/>
        <v>TX_Bio_Ethanol_Agri</v>
      </c>
      <c r="AN18" s="1" t="str">
        <f t="shared" si="1"/>
        <v>Biomass_Agri</v>
      </c>
      <c r="AO18" s="11">
        <f t="shared" si="16"/>
        <v>89.020353586535194</v>
      </c>
      <c r="AP18" s="11">
        <f t="shared" si="17"/>
        <v>89.020353586535194</v>
      </c>
      <c r="AQ18" s="11">
        <f t="shared" si="2"/>
        <v>24.727875996259776</v>
      </c>
      <c r="AR18" s="11">
        <f t="shared" si="3"/>
        <v>24.727875996259776</v>
      </c>
      <c r="AS18" s="5">
        <f t="shared" si="4"/>
        <v>0</v>
      </c>
      <c r="AT18" s="1">
        <f t="shared" si="18"/>
        <v>-2.1829676197541801</v>
      </c>
      <c r="AU18" s="1">
        <f t="shared" si="19"/>
        <v>0</v>
      </c>
      <c r="AV18" s="1" cm="1">
        <f t="array" ref="AV18">_xlfn.IFS(C18="Biomass_Corn", 1/F18*S18, C18="Biomass_Agri", 1/F18*V18, C18="Biomass_Wood", 1/F18*U18, C18="Biomass_Herb", 1/F18*T18)</f>
        <v>61.656984276381351</v>
      </c>
      <c r="AW18" s="1">
        <f t="shared" si="5"/>
        <v>0</v>
      </c>
      <c r="AX18" s="1">
        <f t="shared" si="6"/>
        <v>19.18066504229386</v>
      </c>
      <c r="AY18" s="1">
        <f t="shared" si="7"/>
        <v>10.11668838283558</v>
      </c>
      <c r="AZ18" s="1">
        <f t="shared" si="8"/>
        <v>0.24914184475694828</v>
      </c>
      <c r="BA18" s="1">
        <f t="shared" si="20"/>
        <v>-1.4462940705062266E-6</v>
      </c>
      <c r="BB18" s="1">
        <f t="shared" si="21"/>
        <v>0</v>
      </c>
      <c r="BC18" s="1">
        <f t="shared" si="22"/>
        <v>-1.5833997834873722E-4</v>
      </c>
      <c r="BD18" s="1">
        <f t="shared" si="23"/>
        <v>-1.4462940705062266E-6</v>
      </c>
      <c r="BE18" s="1">
        <f t="shared" si="24"/>
        <v>0</v>
      </c>
      <c r="BF18" s="1">
        <f t="shared" si="25"/>
        <v>-1.5833997834873722E-4</v>
      </c>
      <c r="BH18" s="9">
        <f t="shared" si="9"/>
        <v>1.633</v>
      </c>
      <c r="BI18" s="10">
        <v>0.181048235160161</v>
      </c>
      <c r="BJ18" s="9">
        <v>0.23037490999999999</v>
      </c>
      <c r="BL18" s="10">
        <f t="shared" si="10"/>
        <v>0.90410807219577016</v>
      </c>
      <c r="BM18" s="10">
        <f t="shared" si="11"/>
        <v>0</v>
      </c>
      <c r="BN18" s="10">
        <f t="shared" si="12"/>
        <v>0.90410807219577016</v>
      </c>
      <c r="BP18" s="10">
        <f t="shared" si="13"/>
        <v>0.23037490999999999</v>
      </c>
      <c r="BQ18" s="10">
        <f t="shared" si="29"/>
        <v>0.67373171590169967</v>
      </c>
      <c r="BR18" s="10">
        <f t="shared" si="26"/>
        <v>0</v>
      </c>
      <c r="BS18" s="10">
        <f t="shared" si="27"/>
        <v>0</v>
      </c>
      <c r="BT18" s="10">
        <f t="shared" si="28"/>
        <v>0</v>
      </c>
      <c r="BU18" s="10">
        <f t="shared" si="14"/>
        <v>0.90410662590169966</v>
      </c>
      <c r="BW18" s="1">
        <f t="shared" si="15"/>
        <v>1.4462940705062266E-6</v>
      </c>
    </row>
    <row r="19" spans="2:75">
      <c r="B19" s="13" t="s">
        <v>90</v>
      </c>
      <c r="C19" s="12" t="s">
        <v>73</v>
      </c>
      <c r="D19" s="12">
        <v>0</v>
      </c>
      <c r="E19" s="12">
        <v>0</v>
      </c>
      <c r="F19" s="12">
        <v>1.9847999999999999</v>
      </c>
      <c r="G19" s="12">
        <v>0</v>
      </c>
      <c r="H19" s="12">
        <v>1.7230000000000001</v>
      </c>
      <c r="I19" s="12">
        <v>0.25912642818944348</v>
      </c>
      <c r="J19" s="12">
        <v>1.0066337720325349</v>
      </c>
      <c r="K19" s="12">
        <v>0</v>
      </c>
      <c r="L19" s="12">
        <v>0</v>
      </c>
      <c r="M19" s="12">
        <v>293026.95</v>
      </c>
      <c r="N19" s="12">
        <v>154950.42000000001</v>
      </c>
      <c r="O19" s="12">
        <v>0.48</v>
      </c>
      <c r="Q19" s="15">
        <v>109.479795</v>
      </c>
      <c r="R19" s="15">
        <v>-31.70346</v>
      </c>
      <c r="S19" s="15">
        <v>170</v>
      </c>
      <c r="T19" s="15">
        <v>110.461518</v>
      </c>
      <c r="U19" s="15">
        <v>127.408748</v>
      </c>
      <c r="V19" s="15">
        <v>98.832477999999995</v>
      </c>
      <c r="W19" s="16">
        <v>38.544687000000003</v>
      </c>
      <c r="X19" s="16">
        <v>63.762642</v>
      </c>
      <c r="Y19" s="15">
        <v>25.324636999999999</v>
      </c>
      <c r="Z19" s="15">
        <v>24.781272999999999</v>
      </c>
      <c r="AA19" s="15"/>
      <c r="AB19" s="16">
        <v>73.605024</v>
      </c>
      <c r="AC19" s="16">
        <v>100.314611</v>
      </c>
      <c r="AD19" s="16">
        <v>87.395797999999999</v>
      </c>
      <c r="AE19" s="16">
        <v>114.70308199999999</v>
      </c>
      <c r="AF19" s="16">
        <v>70.567431999999997</v>
      </c>
      <c r="AG19" s="16">
        <v>97.538511999999997</v>
      </c>
      <c r="AH19" s="15">
        <v>13.421913</v>
      </c>
      <c r="AI19" s="15">
        <v>33.444763999999999</v>
      </c>
      <c r="AJ19" s="15">
        <v>0</v>
      </c>
      <c r="AK19" s="15">
        <v>5000</v>
      </c>
      <c r="AM19" s="1" t="str">
        <f t="shared" si="0"/>
        <v>CEN_Bio_Ethanol_CCS_20_Herb</v>
      </c>
      <c r="AN19" s="1" t="str">
        <f t="shared" si="1"/>
        <v>Biomass_Herb</v>
      </c>
      <c r="AO19" s="11">
        <f t="shared" si="16"/>
        <v>74.370013111792161</v>
      </c>
      <c r="AP19" s="11">
        <f t="shared" si="17"/>
        <v>74.370013111792161</v>
      </c>
      <c r="AQ19" s="11">
        <f t="shared" si="2"/>
        <v>20.658336975497821</v>
      </c>
      <c r="AR19" s="11">
        <f t="shared" si="3"/>
        <v>20.658336975497821</v>
      </c>
      <c r="AS19" s="5">
        <f t="shared" si="4"/>
        <v>0</v>
      </c>
      <c r="AT19" s="1">
        <f t="shared" si="18"/>
        <v>0</v>
      </c>
      <c r="AU19" s="1">
        <f t="shared" si="19"/>
        <v>0</v>
      </c>
      <c r="AV19" s="1" cm="1">
        <f t="array" ref="AV19">_xlfn.IFS(C19="Biomass_Corn", 1/F19*S19, C19="Biomass_Agri", 1/F19*V19, C19="Biomass_Wood", 1/F19*U19, C19="Biomass_Herb", 1/F19*T19)</f>
        <v>55.653727327690454</v>
      </c>
      <c r="AW19" s="1">
        <f t="shared" si="5"/>
        <v>0</v>
      </c>
      <c r="AX19" s="1">
        <f t="shared" si="6"/>
        <v>18.725964591166843</v>
      </c>
      <c r="AY19" s="1">
        <f t="shared" si="7"/>
        <v>9.9021474929402586</v>
      </c>
      <c r="AZ19" s="1">
        <f t="shared" si="8"/>
        <v>0.2418379685610641</v>
      </c>
      <c r="BA19" s="1">
        <f t="shared" si="20"/>
        <v>4.1926591990426587E-6</v>
      </c>
      <c r="BB19" s="1">
        <f t="shared" si="21"/>
        <v>-10.154123280036075</v>
      </c>
      <c r="BC19" s="1">
        <f t="shared" si="22"/>
        <v>4.5901146961605443E-4</v>
      </c>
      <c r="BD19" s="1">
        <f t="shared" si="23"/>
        <v>-0.13055124274459151</v>
      </c>
      <c r="BE19" s="1">
        <f t="shared" si="24"/>
        <v>4.1390590241066576</v>
      </c>
      <c r="BF19" s="1">
        <f t="shared" si="25"/>
        <v>-14.292723292673115</v>
      </c>
      <c r="BH19" s="9">
        <f t="shared" si="9"/>
        <v>1.7230000000000001</v>
      </c>
      <c r="BI19" s="10">
        <v>0.181048235160161</v>
      </c>
      <c r="BJ19" s="9">
        <v>0.23037490999999999</v>
      </c>
      <c r="BL19" s="10">
        <f t="shared" si="10"/>
        <v>0.86809754131398642</v>
      </c>
      <c r="BM19" s="10">
        <f t="shared" si="11"/>
        <v>0</v>
      </c>
      <c r="BN19" s="10">
        <f t="shared" si="12"/>
        <v>0.86809754131398642</v>
      </c>
      <c r="BP19" s="10">
        <f t="shared" si="13"/>
        <v>0.23037490999999999</v>
      </c>
      <c r="BQ19" s="10">
        <f t="shared" si="29"/>
        <v>0.50717138856939492</v>
      </c>
      <c r="BR19" s="10">
        <f t="shared" si="26"/>
        <v>0</v>
      </c>
      <c r="BS19" s="10">
        <f t="shared" si="27"/>
        <v>0.13055543540379055</v>
      </c>
      <c r="BT19" s="10">
        <f t="shared" si="28"/>
        <v>0</v>
      </c>
      <c r="BU19" s="10">
        <f t="shared" si="14"/>
        <v>0.86810173397318546</v>
      </c>
      <c r="BW19" s="1">
        <f t="shared" si="15"/>
        <v>-4.1926591990426587E-6</v>
      </c>
    </row>
    <row r="20" spans="2:75">
      <c r="B20" s="13" t="s">
        <v>91</v>
      </c>
      <c r="C20" s="12" t="s">
        <v>73</v>
      </c>
      <c r="D20" s="12">
        <v>0</v>
      </c>
      <c r="E20" s="12">
        <v>0</v>
      </c>
      <c r="F20" s="12">
        <v>1.9923999999999999</v>
      </c>
      <c r="G20" s="12">
        <v>0</v>
      </c>
      <c r="H20" s="12">
        <v>1.736</v>
      </c>
      <c r="I20" s="12">
        <v>0.26142835707442769</v>
      </c>
      <c r="J20" s="12">
        <v>1.015576122577915</v>
      </c>
      <c r="K20" s="12">
        <v>0</v>
      </c>
      <c r="L20" s="12">
        <v>0</v>
      </c>
      <c r="M20" s="12">
        <v>293026.95</v>
      </c>
      <c r="N20" s="12">
        <v>154950.42000000001</v>
      </c>
      <c r="O20" s="12">
        <v>0.48</v>
      </c>
      <c r="Q20" s="15">
        <v>109.479795</v>
      </c>
      <c r="R20" s="15">
        <v>-54.115442999999999</v>
      </c>
      <c r="S20" s="15">
        <v>170</v>
      </c>
      <c r="T20" s="15">
        <v>100.77374399999999</v>
      </c>
      <c r="U20" s="15">
        <v>108.668072</v>
      </c>
      <c r="V20" s="15">
        <v>89.424565000000001</v>
      </c>
      <c r="W20" s="16">
        <v>39.342497000000002</v>
      </c>
      <c r="X20" s="16">
        <v>63.762642</v>
      </c>
      <c r="Y20" s="15">
        <v>39.359471999999997</v>
      </c>
      <c r="Z20" s="15">
        <v>31.113724999999999</v>
      </c>
      <c r="AA20" s="15"/>
      <c r="AB20" s="16">
        <v>73.605024</v>
      </c>
      <c r="AC20" s="16">
        <v>100.314611</v>
      </c>
      <c r="AD20" s="16">
        <v>87.395797999999999</v>
      </c>
      <c r="AE20" s="16">
        <v>114.70308199999999</v>
      </c>
      <c r="AF20" s="16">
        <v>70.567431999999997</v>
      </c>
      <c r="AG20" s="16">
        <v>97.538511999999997</v>
      </c>
      <c r="AH20" s="15">
        <v>13.423121999999999</v>
      </c>
      <c r="AI20" s="15">
        <v>33.445973000000002</v>
      </c>
      <c r="AJ20" s="15">
        <v>0</v>
      </c>
      <c r="AK20" s="15">
        <v>5000</v>
      </c>
      <c r="AM20" s="1" t="str">
        <f t="shared" si="0"/>
        <v>MIDAT_Bio_Ethanol_CCS_20_Herb</v>
      </c>
      <c r="AN20" s="1" t="str">
        <f t="shared" si="1"/>
        <v>Biomass_Herb</v>
      </c>
      <c r="AO20" s="11">
        <f t="shared" si="16"/>
        <v>72.074576903634281</v>
      </c>
      <c r="AP20" s="11">
        <f t="shared" si="17"/>
        <v>72.074576903634281</v>
      </c>
      <c r="AQ20" s="11">
        <f t="shared" si="2"/>
        <v>20.020715806565079</v>
      </c>
      <c r="AR20" s="11">
        <f t="shared" si="3"/>
        <v>20.020715806565079</v>
      </c>
      <c r="AS20" s="5">
        <f t="shared" si="4"/>
        <v>0</v>
      </c>
      <c r="AT20" s="1">
        <f t="shared" si="18"/>
        <v>0</v>
      </c>
      <c r="AU20" s="1">
        <f t="shared" si="19"/>
        <v>0</v>
      </c>
      <c r="AV20" s="1" cm="1">
        <f t="array" ref="AV20">_xlfn.IFS(C20="Biomass_Corn", 1/F20*S20, C20="Biomass_Agri", 1/F20*V20, C20="Biomass_Wood", 1/F20*U20, C20="Biomass_Herb", 1/F20*T20)</f>
        <v>50.579072475406548</v>
      </c>
      <c r="AW20" s="1">
        <f t="shared" si="5"/>
        <v>0</v>
      </c>
      <c r="AX20" s="1">
        <f t="shared" si="6"/>
        <v>18.654534491341071</v>
      </c>
      <c r="AY20" s="1">
        <f t="shared" si="7"/>
        <v>9.8643758000340416</v>
      </c>
      <c r="AZ20" s="1">
        <f t="shared" si="8"/>
        <v>0.24091547881951414</v>
      </c>
      <c r="BA20" s="1">
        <f t="shared" si="20"/>
        <v>1.73174881690219E-6</v>
      </c>
      <c r="BB20" s="1">
        <f t="shared" si="21"/>
        <v>-7.264510933472347</v>
      </c>
      <c r="BC20" s="1">
        <f t="shared" si="22"/>
        <v>1.895915054659443E-4</v>
      </c>
      <c r="BD20" s="1">
        <f t="shared" si="23"/>
        <v>-0.13121105537948452</v>
      </c>
      <c r="BE20" s="1">
        <f t="shared" si="24"/>
        <v>7.1006381027127281</v>
      </c>
      <c r="BF20" s="1">
        <f t="shared" si="25"/>
        <v>-14.364959444679611</v>
      </c>
      <c r="BH20" s="9">
        <f t="shared" si="9"/>
        <v>1.736</v>
      </c>
      <c r="BI20" s="10">
        <v>0.181048235160161</v>
      </c>
      <c r="BJ20" s="9">
        <v>0.23037490999999999</v>
      </c>
      <c r="BL20" s="10">
        <f t="shared" si="10"/>
        <v>0.8713109817305762</v>
      </c>
      <c r="BM20" s="10">
        <f t="shared" si="11"/>
        <v>0</v>
      </c>
      <c r="BN20" s="10">
        <f t="shared" si="12"/>
        <v>0.8713109817305762</v>
      </c>
      <c r="BP20" s="10">
        <f t="shared" si="13"/>
        <v>0.23037490999999999</v>
      </c>
      <c r="BQ20" s="10">
        <f t="shared" si="29"/>
        <v>0.50972501635109169</v>
      </c>
      <c r="BR20" s="10">
        <f t="shared" si="26"/>
        <v>0</v>
      </c>
      <c r="BS20" s="10">
        <f t="shared" si="27"/>
        <v>0.13121278712830139</v>
      </c>
      <c r="BT20" s="10">
        <f t="shared" si="28"/>
        <v>0</v>
      </c>
      <c r="BU20" s="10">
        <f t="shared" si="14"/>
        <v>0.8713127134793931</v>
      </c>
      <c r="BW20" s="1">
        <f t="shared" si="15"/>
        <v>-1.73174881690219E-6</v>
      </c>
    </row>
    <row r="21" spans="2:75">
      <c r="B21" s="13" t="s">
        <v>92</v>
      </c>
      <c r="C21" s="12" t="s">
        <v>73</v>
      </c>
      <c r="D21" s="12">
        <v>0</v>
      </c>
      <c r="E21" s="12">
        <v>0</v>
      </c>
      <c r="F21" s="12">
        <v>1.9966999999999999</v>
      </c>
      <c r="G21" s="12">
        <v>0</v>
      </c>
      <c r="H21" s="12">
        <v>1.74</v>
      </c>
      <c r="I21" s="12">
        <v>0.26204184786584722</v>
      </c>
      <c r="J21" s="12">
        <v>1.0179593628895609</v>
      </c>
      <c r="K21" s="12">
        <v>0</v>
      </c>
      <c r="L21" s="12">
        <v>0</v>
      </c>
      <c r="M21" s="12">
        <v>293026.95</v>
      </c>
      <c r="N21" s="12">
        <v>154950.42000000001</v>
      </c>
      <c r="O21" s="12">
        <v>0.48</v>
      </c>
      <c r="Q21" s="15">
        <v>109.479795</v>
      </c>
      <c r="R21" s="15">
        <v>-41.717134999999999</v>
      </c>
      <c r="S21" s="15">
        <v>170</v>
      </c>
      <c r="T21" s="15">
        <v>104.167382</v>
      </c>
      <c r="U21" s="15">
        <v>115.52638899999999</v>
      </c>
      <c r="V21" s="15">
        <v>92.044978</v>
      </c>
      <c r="W21" s="16">
        <v>38.682254</v>
      </c>
      <c r="X21" s="16">
        <v>63.762642</v>
      </c>
      <c r="Y21" s="15">
        <v>30.708172999999999</v>
      </c>
      <c r="Z21" s="15">
        <v>26.913516000000001</v>
      </c>
      <c r="AA21" s="15"/>
      <c r="AB21" s="16">
        <v>73.605024</v>
      </c>
      <c r="AC21" s="16">
        <v>100.314611</v>
      </c>
      <c r="AD21" s="16">
        <v>87.395797999999999</v>
      </c>
      <c r="AE21" s="16">
        <v>114.70308199999999</v>
      </c>
      <c r="AF21" s="16">
        <v>70.567431999999997</v>
      </c>
      <c r="AG21" s="16">
        <v>97.538511999999997</v>
      </c>
      <c r="AH21" s="15">
        <v>13.422003</v>
      </c>
      <c r="AI21" s="15">
        <v>33.444853999999999</v>
      </c>
      <c r="AJ21" s="15">
        <v>0</v>
      </c>
      <c r="AK21" s="15">
        <v>5000</v>
      </c>
      <c r="AM21" s="1" t="str">
        <f t="shared" si="0"/>
        <v>NCEN_Bio_Ethanol_CCS_20_Herb</v>
      </c>
      <c r="AN21" s="1" t="str">
        <f t="shared" si="1"/>
        <v>Biomass_Herb</v>
      </c>
      <c r="AO21" s="11">
        <f t="shared" si="16"/>
        <v>71.974156509157922</v>
      </c>
      <c r="AP21" s="11">
        <f t="shared" si="17"/>
        <v>71.974156509157908</v>
      </c>
      <c r="AQ21" s="11">
        <f t="shared" si="2"/>
        <v>19.992821252543866</v>
      </c>
      <c r="AR21" s="11">
        <f t="shared" si="3"/>
        <v>19.992821252543862</v>
      </c>
      <c r="AS21" s="5">
        <f t="shared" si="4"/>
        <v>0</v>
      </c>
      <c r="AT21" s="1">
        <f t="shared" si="18"/>
        <v>0</v>
      </c>
      <c r="AU21" s="1">
        <f t="shared" si="19"/>
        <v>0</v>
      </c>
      <c r="AV21" s="1" cm="1">
        <f t="array" ref="AV21">_xlfn.IFS(C21="Biomass_Corn", 1/F21*S21, C21="Biomass_Agri", 1/F21*V21, C21="Biomass_Wood", 1/F21*U21, C21="Biomass_Herb", 1/F21*T21)</f>
        <v>52.169771122351882</v>
      </c>
      <c r="AW21" s="1">
        <f t="shared" si="5"/>
        <v>0</v>
      </c>
      <c r="AX21" s="1">
        <f t="shared" si="6"/>
        <v>18.614360955851129</v>
      </c>
      <c r="AY21" s="1">
        <f t="shared" si="7"/>
        <v>9.8431323403554991</v>
      </c>
      <c r="AZ21" s="1">
        <f t="shared" si="8"/>
        <v>0.24039665447989184</v>
      </c>
      <c r="BA21" s="1">
        <f t="shared" si="20"/>
        <v>-4.6108316682502704E-6</v>
      </c>
      <c r="BB21" s="1">
        <f t="shared" si="21"/>
        <v>-8.892999770974674</v>
      </c>
      <c r="BC21" s="1">
        <f t="shared" si="22"/>
        <v>-5.0479290581954763E-4</v>
      </c>
      <c r="BD21" s="1">
        <f t="shared" si="23"/>
        <v>-0.13124207658308173</v>
      </c>
      <c r="BE21" s="1">
        <f t="shared" si="24"/>
        <v>5.4748510758095916</v>
      </c>
      <c r="BF21" s="1">
        <f t="shared" si="25"/>
        <v>-14.368355639690089</v>
      </c>
      <c r="BH21" s="9">
        <f t="shared" si="9"/>
        <v>1.74</v>
      </c>
      <c r="BI21" s="10">
        <v>0.181048235160161</v>
      </c>
      <c r="BJ21" s="9">
        <v>0.23037490999999999</v>
      </c>
      <c r="BL21" s="10">
        <f t="shared" si="10"/>
        <v>0.87143787248960791</v>
      </c>
      <c r="BM21" s="10">
        <f t="shared" si="11"/>
        <v>0</v>
      </c>
      <c r="BN21" s="10">
        <f t="shared" si="12"/>
        <v>0.87143787248960791</v>
      </c>
      <c r="BP21" s="10">
        <f t="shared" si="13"/>
        <v>0.23037490999999999</v>
      </c>
      <c r="BQ21" s="10">
        <f t="shared" si="29"/>
        <v>0.50982088590652619</v>
      </c>
      <c r="BR21" s="10">
        <f t="shared" si="26"/>
        <v>0</v>
      </c>
      <c r="BS21" s="10">
        <f t="shared" si="27"/>
        <v>0.13123746575141346</v>
      </c>
      <c r="BT21" s="10">
        <f t="shared" si="28"/>
        <v>0</v>
      </c>
      <c r="BU21" s="10">
        <f t="shared" si="14"/>
        <v>0.87143326165793966</v>
      </c>
      <c r="BW21" s="1">
        <f t="shared" si="15"/>
        <v>4.6108316682502704E-6</v>
      </c>
    </row>
    <row r="22" spans="2:75">
      <c r="B22" s="13" t="s">
        <v>93</v>
      </c>
      <c r="C22" s="12" t="s">
        <v>73</v>
      </c>
      <c r="D22" s="12">
        <v>0</v>
      </c>
      <c r="E22" s="12">
        <v>0</v>
      </c>
      <c r="F22" s="12">
        <v>1.9815</v>
      </c>
      <c r="G22" s="12">
        <v>0</v>
      </c>
      <c r="H22" s="12">
        <v>1.7170000000000001</v>
      </c>
      <c r="I22" s="12">
        <v>0.2580521500958789</v>
      </c>
      <c r="J22" s="12">
        <v>1.0024605017988011</v>
      </c>
      <c r="K22" s="12">
        <v>0</v>
      </c>
      <c r="L22" s="12">
        <v>0</v>
      </c>
      <c r="M22" s="12">
        <v>293026.95</v>
      </c>
      <c r="N22" s="12">
        <v>154950.42000000001</v>
      </c>
      <c r="O22" s="12">
        <v>0.48</v>
      </c>
      <c r="Q22" s="15">
        <v>109.479795</v>
      </c>
      <c r="R22" s="15">
        <v>-47.70091</v>
      </c>
      <c r="S22" s="15">
        <v>170</v>
      </c>
      <c r="T22" s="15">
        <v>99.632842999999994</v>
      </c>
      <c r="U22" s="15">
        <v>113.227017</v>
      </c>
      <c r="V22" s="15">
        <v>88.855315000000004</v>
      </c>
      <c r="W22" s="16">
        <v>39.264408000000003</v>
      </c>
      <c r="X22" s="16">
        <v>63.762642</v>
      </c>
      <c r="Y22" s="15">
        <v>38.218446</v>
      </c>
      <c r="Z22" s="15">
        <v>29.735685</v>
      </c>
      <c r="AA22" s="15"/>
      <c r="AB22" s="16">
        <v>73.605024</v>
      </c>
      <c r="AC22" s="16">
        <v>100.314611</v>
      </c>
      <c r="AD22" s="16">
        <v>87.395797999999999</v>
      </c>
      <c r="AE22" s="16">
        <v>114.70308199999999</v>
      </c>
      <c r="AF22" s="16">
        <v>70.567431999999997</v>
      </c>
      <c r="AG22" s="16">
        <v>97.538511999999997</v>
      </c>
      <c r="AH22" s="15">
        <v>13.421908</v>
      </c>
      <c r="AI22" s="15">
        <v>33.444758999999998</v>
      </c>
      <c r="AJ22" s="15">
        <v>0</v>
      </c>
      <c r="AK22" s="15">
        <v>5000</v>
      </c>
      <c r="AM22" s="1" t="str">
        <f t="shared" si="0"/>
        <v>SE_Bio_Ethanol_CCS_20_Herb</v>
      </c>
      <c r="AN22" s="1" t="str">
        <f t="shared" si="1"/>
        <v>Biomass_Herb</v>
      </c>
      <c r="AO22" s="11">
        <f t="shared" si="16"/>
        <v>71.154077440052291</v>
      </c>
      <c r="AP22" s="11">
        <f t="shared" si="17"/>
        <v>71.154077440052276</v>
      </c>
      <c r="AQ22" s="11">
        <f t="shared" si="2"/>
        <v>19.765021511125635</v>
      </c>
      <c r="AR22" s="11">
        <f t="shared" si="3"/>
        <v>19.765021511125632</v>
      </c>
      <c r="AS22" s="5">
        <f t="shared" si="4"/>
        <v>0</v>
      </c>
      <c r="AT22" s="1">
        <f t="shared" si="18"/>
        <v>0</v>
      </c>
      <c r="AU22" s="1">
        <f t="shared" si="19"/>
        <v>0</v>
      </c>
      <c r="AV22" s="1" cm="1">
        <f t="array" ref="AV22">_xlfn.IFS(C22="Biomass_Corn", 1/F22*S22, C22="Biomass_Agri", 1/F22*V22, C22="Biomass_Wood", 1/F22*U22, C22="Biomass_Herb", 1/F22*T22)</f>
        <v>50.281525611910162</v>
      </c>
      <c r="AW22" s="1">
        <f t="shared" si="5"/>
        <v>0</v>
      </c>
      <c r="AX22" s="1">
        <f t="shared" si="6"/>
        <v>18.757150906155914</v>
      </c>
      <c r="AY22" s="1">
        <f t="shared" si="7"/>
        <v>9.9186385788482578</v>
      </c>
      <c r="AZ22" s="1">
        <f t="shared" si="8"/>
        <v>0.24224072672218017</v>
      </c>
      <c r="BA22" s="1">
        <f t="shared" si="20"/>
        <v>2.7053226347995007E-7</v>
      </c>
      <c r="BB22" s="1">
        <f t="shared" si="21"/>
        <v>-8.0455080014009788</v>
      </c>
      <c r="BC22" s="1">
        <f t="shared" si="22"/>
        <v>2.961781674667092E-5</v>
      </c>
      <c r="BD22" s="1">
        <f t="shared" si="23"/>
        <v>-0.13023043857491745</v>
      </c>
      <c r="BE22" s="1">
        <f t="shared" si="24"/>
        <v>6.2121233343578153</v>
      </c>
      <c r="BF22" s="1">
        <f t="shared" si="25"/>
        <v>-14.257601717942054</v>
      </c>
      <c r="BH22" s="9">
        <f t="shared" si="9"/>
        <v>1.7170000000000001</v>
      </c>
      <c r="BI22" s="10">
        <v>0.181048235160161</v>
      </c>
      <c r="BJ22" s="9">
        <v>0.23037490999999999</v>
      </c>
      <c r="BL22" s="10">
        <f t="shared" si="10"/>
        <v>0.86651526621246533</v>
      </c>
      <c r="BM22" s="10">
        <f t="shared" si="11"/>
        <v>0</v>
      </c>
      <c r="BN22" s="10">
        <f t="shared" si="12"/>
        <v>0.86651526621246533</v>
      </c>
      <c r="BP22" s="10">
        <f t="shared" si="13"/>
        <v>0.23037490999999999</v>
      </c>
      <c r="BQ22" s="10">
        <f t="shared" si="29"/>
        <v>0.50590991763754789</v>
      </c>
      <c r="BR22" s="10">
        <f t="shared" si="26"/>
        <v>0</v>
      </c>
      <c r="BS22" s="10">
        <f t="shared" si="27"/>
        <v>0.13023070910718088</v>
      </c>
      <c r="BT22" s="10">
        <f t="shared" si="28"/>
        <v>0</v>
      </c>
      <c r="BU22" s="10">
        <f t="shared" si="14"/>
        <v>0.86651553674472881</v>
      </c>
      <c r="BW22" s="1">
        <f t="shared" si="15"/>
        <v>-2.7053226347995007E-7</v>
      </c>
    </row>
    <row r="23" spans="2:75">
      <c r="B23" s="13" t="s">
        <v>94</v>
      </c>
      <c r="C23" s="12" t="s">
        <v>73</v>
      </c>
      <c r="D23" s="12">
        <v>0</v>
      </c>
      <c r="E23" s="12">
        <v>0</v>
      </c>
      <c r="F23" s="12">
        <v>1.9761</v>
      </c>
      <c r="G23" s="12">
        <v>0</v>
      </c>
      <c r="H23" s="12">
        <v>1.714</v>
      </c>
      <c r="I23" s="12">
        <v>0.25769472660660447</v>
      </c>
      <c r="J23" s="12">
        <v>1.001072011409244</v>
      </c>
      <c r="K23" s="12">
        <v>0</v>
      </c>
      <c r="L23" s="12">
        <v>0</v>
      </c>
      <c r="M23" s="12">
        <v>293026.95</v>
      </c>
      <c r="N23" s="12">
        <v>154950.42000000001</v>
      </c>
      <c r="O23" s="12">
        <v>0.48</v>
      </c>
      <c r="Q23" s="15">
        <v>109.479795</v>
      </c>
      <c r="R23" s="15">
        <v>-21.506692000000001</v>
      </c>
      <c r="S23" s="15">
        <v>170</v>
      </c>
      <c r="T23" s="15">
        <v>137.93464800000001</v>
      </c>
      <c r="U23" s="15">
        <v>157.881351</v>
      </c>
      <c r="V23" s="15">
        <v>111.364845</v>
      </c>
      <c r="W23" s="16">
        <v>38.568981999999998</v>
      </c>
      <c r="X23" s="16">
        <v>63.762642</v>
      </c>
      <c r="Y23" s="15">
        <v>20.230252</v>
      </c>
      <c r="Z23" s="15">
        <v>17.952764999999999</v>
      </c>
      <c r="AA23" s="15"/>
      <c r="AB23" s="16">
        <v>73.605024</v>
      </c>
      <c r="AC23" s="16">
        <v>100.314611</v>
      </c>
      <c r="AD23" s="16">
        <v>87.395797999999999</v>
      </c>
      <c r="AE23" s="16">
        <v>114.70308199999999</v>
      </c>
      <c r="AF23" s="16">
        <v>70.567431999999997</v>
      </c>
      <c r="AG23" s="16">
        <v>97.538511999999997</v>
      </c>
      <c r="AH23" s="15">
        <v>13.325948</v>
      </c>
      <c r="AI23" s="15">
        <v>33.348799</v>
      </c>
      <c r="AJ23" s="15">
        <v>0</v>
      </c>
      <c r="AK23" s="15">
        <v>5000</v>
      </c>
      <c r="AM23" s="1" t="str">
        <f t="shared" si="0"/>
        <v>TX_Bio_Ethanol_CCS_20_Herb</v>
      </c>
      <c r="AN23" s="1" t="str">
        <f t="shared" si="1"/>
        <v>Biomass_Herb</v>
      </c>
      <c r="AO23" s="11">
        <f t="shared" si="16"/>
        <v>87.326896598659076</v>
      </c>
      <c r="AP23" s="11">
        <f t="shared" si="17"/>
        <v>87.326896598659076</v>
      </c>
      <c r="AQ23" s="11">
        <f t="shared" si="2"/>
        <v>24.257471277405298</v>
      </c>
      <c r="AR23" s="11">
        <f t="shared" si="3"/>
        <v>24.257471277405298</v>
      </c>
      <c r="AS23" s="5">
        <f t="shared" si="4"/>
        <v>0</v>
      </c>
      <c r="AT23" s="1">
        <f t="shared" si="18"/>
        <v>0</v>
      </c>
      <c r="AU23" s="1">
        <f t="shared" si="19"/>
        <v>0</v>
      </c>
      <c r="AV23" s="1" cm="1">
        <f t="array" ref="AV23">_xlfn.IFS(C23="Biomass_Corn", 1/F23*S23, C23="Biomass_Agri", 1/F23*V23, C23="Biomass_Wood", 1/F23*U23, C23="Biomass_Herb", 1/F23*T23)</f>
        <v>69.801451343555485</v>
      </c>
      <c r="AW23" s="1">
        <f t="shared" si="5"/>
        <v>0</v>
      </c>
      <c r="AX23" s="1">
        <f t="shared" si="6"/>
        <v>18.808407732679495</v>
      </c>
      <c r="AY23" s="1">
        <f t="shared" si="7"/>
        <v>9.945742798435214</v>
      </c>
      <c r="AZ23" s="1">
        <f t="shared" si="8"/>
        <v>0.24290268711097615</v>
      </c>
      <c r="BA23" s="1">
        <f t="shared" si="20"/>
        <v>5.3629203221605692E-6</v>
      </c>
      <c r="BB23" s="1">
        <f t="shared" si="21"/>
        <v>-11.472195094539575</v>
      </c>
      <c r="BC23" s="1">
        <f t="shared" si="22"/>
        <v>5.8713141747147304E-4</v>
      </c>
      <c r="BD23" s="1">
        <f t="shared" si="23"/>
        <v>-0.13040034863607908</v>
      </c>
      <c r="BE23" s="1">
        <f t="shared" si="24"/>
        <v>2.8045954734843623</v>
      </c>
      <c r="BF23" s="1">
        <f t="shared" si="25"/>
        <v>-14.276203436606467</v>
      </c>
      <c r="BH23" s="9">
        <f t="shared" si="9"/>
        <v>1.714</v>
      </c>
      <c r="BI23" s="10">
        <v>0.181048235160161</v>
      </c>
      <c r="BJ23" s="9">
        <v>0.23037490999999999</v>
      </c>
      <c r="BL23" s="10">
        <f t="shared" si="10"/>
        <v>0.86736501189211068</v>
      </c>
      <c r="BM23" s="10">
        <f t="shared" si="11"/>
        <v>0</v>
      </c>
      <c r="BN23" s="10">
        <f t="shared" si="12"/>
        <v>0.86736501189211068</v>
      </c>
      <c r="BP23" s="10">
        <f t="shared" si="13"/>
        <v>0.23037490999999999</v>
      </c>
      <c r="BQ23" s="10">
        <f t="shared" si="29"/>
        <v>0.50658975325603162</v>
      </c>
      <c r="BR23" s="10">
        <f t="shared" si="26"/>
        <v>0</v>
      </c>
      <c r="BS23" s="10">
        <f t="shared" si="27"/>
        <v>0.13040571155640124</v>
      </c>
      <c r="BT23" s="10">
        <f t="shared" si="28"/>
        <v>0</v>
      </c>
      <c r="BU23" s="10">
        <f t="shared" si="14"/>
        <v>0.86737037481243284</v>
      </c>
      <c r="BW23" s="1">
        <f t="shared" si="15"/>
        <v>-5.3629203221605692E-6</v>
      </c>
    </row>
    <row r="24" spans="2:75">
      <c r="B24" s="13" t="s">
        <v>95</v>
      </c>
      <c r="C24" s="12" t="s">
        <v>79</v>
      </c>
      <c r="D24" s="12">
        <v>0</v>
      </c>
      <c r="E24" s="12">
        <v>0</v>
      </c>
      <c r="F24" s="12">
        <v>2.0762</v>
      </c>
      <c r="G24" s="12">
        <v>0</v>
      </c>
      <c r="H24" s="12">
        <v>1.802</v>
      </c>
      <c r="I24" s="12">
        <v>0.27098613480925338</v>
      </c>
      <c r="J24" s="12">
        <v>1.0527054185770961</v>
      </c>
      <c r="K24" s="12">
        <v>0</v>
      </c>
      <c r="L24" s="12">
        <v>0</v>
      </c>
      <c r="M24" s="12">
        <v>293026.95</v>
      </c>
      <c r="N24" s="12">
        <v>154950.42000000001</v>
      </c>
      <c r="O24" s="12">
        <v>0.48</v>
      </c>
      <c r="Q24" s="15">
        <v>109.479795</v>
      </c>
      <c r="R24" s="15">
        <v>-31.70346</v>
      </c>
      <c r="S24" s="15">
        <v>170</v>
      </c>
      <c r="T24" s="15">
        <v>110.461518</v>
      </c>
      <c r="U24" s="15">
        <v>127.408748</v>
      </c>
      <c r="V24" s="15">
        <v>98.832477999999995</v>
      </c>
      <c r="W24" s="16">
        <v>38.544687000000003</v>
      </c>
      <c r="X24" s="16">
        <v>63.762642</v>
      </c>
      <c r="Y24" s="15">
        <v>25.324636999999999</v>
      </c>
      <c r="Z24" s="15">
        <v>24.781272999999999</v>
      </c>
      <c r="AA24" s="15"/>
      <c r="AB24" s="16">
        <v>73.605024</v>
      </c>
      <c r="AC24" s="16">
        <v>100.314611</v>
      </c>
      <c r="AD24" s="16">
        <v>87.395797999999999</v>
      </c>
      <c r="AE24" s="16">
        <v>114.70308199999999</v>
      </c>
      <c r="AF24" s="16">
        <v>70.567431999999997</v>
      </c>
      <c r="AG24" s="16">
        <v>97.538511999999997</v>
      </c>
      <c r="AH24" s="15">
        <v>13.421913</v>
      </c>
      <c r="AI24" s="15">
        <v>33.444763999999999</v>
      </c>
      <c r="AJ24" s="15">
        <v>0</v>
      </c>
      <c r="AK24" s="15">
        <v>5000</v>
      </c>
      <c r="AM24" s="1" t="str">
        <f t="shared" si="0"/>
        <v>CEN_Bio_Ethanol_CCS_20_Wood</v>
      </c>
      <c r="AN24" s="1" t="str">
        <f t="shared" si="1"/>
        <v>Biomass_Wood</v>
      </c>
      <c r="AO24" s="11">
        <f t="shared" si="16"/>
        <v>78.813732849731124</v>
      </c>
      <c r="AP24" s="11">
        <f t="shared" si="17"/>
        <v>78.813732849731153</v>
      </c>
      <c r="AQ24" s="11">
        <f t="shared" si="2"/>
        <v>21.892703569369758</v>
      </c>
      <c r="AR24" s="11">
        <f t="shared" si="3"/>
        <v>21.892703569369765</v>
      </c>
      <c r="AS24" s="5">
        <f t="shared" si="4"/>
        <v>0</v>
      </c>
      <c r="AT24" s="1">
        <f t="shared" si="18"/>
        <v>0</v>
      </c>
      <c r="AU24" s="1">
        <f t="shared" si="19"/>
        <v>0</v>
      </c>
      <c r="AV24" s="1" cm="1">
        <f t="array" ref="AV24">_xlfn.IFS(C24="Biomass_Corn", 1/F24*S24, C24="Biomass_Agri", 1/F24*V24, C24="Biomass_Wood", 1/F24*U24, C24="Biomass_Herb", 1/F24*T24)</f>
        <v>61.366317310471054</v>
      </c>
      <c r="AW24" s="1">
        <f t="shared" si="5"/>
        <v>0</v>
      </c>
      <c r="AX24" s="1">
        <f t="shared" si="6"/>
        <v>17.901596436060082</v>
      </c>
      <c r="AY24" s="1">
        <f t="shared" si="7"/>
        <v>9.4662278894074863</v>
      </c>
      <c r="AZ24" s="1">
        <f t="shared" si="8"/>
        <v>0.23119160003853192</v>
      </c>
      <c r="BA24" s="1">
        <f t="shared" si="20"/>
        <v>-1.9547594888313924E-6</v>
      </c>
      <c r="BB24" s="1">
        <f t="shared" si="21"/>
        <v>-10.151386379577907</v>
      </c>
      <c r="BC24" s="1">
        <f t="shared" si="22"/>
        <v>-2.1400666811156562E-4</v>
      </c>
      <c r="BD24" s="1">
        <f t="shared" si="23"/>
        <v>-0.13052220079034005</v>
      </c>
      <c r="BE24" s="1">
        <f t="shared" si="24"/>
        <v>4.1379433992292514</v>
      </c>
      <c r="BF24" s="1">
        <f t="shared" si="25"/>
        <v>-14.289543785475265</v>
      </c>
      <c r="BH24" s="9">
        <f t="shared" si="9"/>
        <v>1.802</v>
      </c>
      <c r="BI24" s="10">
        <v>0.181048235160161</v>
      </c>
      <c r="BJ24" s="9">
        <v>0.23037490999999999</v>
      </c>
      <c r="BL24" s="10">
        <f t="shared" si="10"/>
        <v>0.86793179847798863</v>
      </c>
      <c r="BM24" s="10">
        <f t="shared" si="11"/>
        <v>0</v>
      </c>
      <c r="BN24" s="10">
        <f t="shared" si="12"/>
        <v>0.86793179847798863</v>
      </c>
      <c r="BP24" s="10">
        <f t="shared" si="13"/>
        <v>0.23037490999999999</v>
      </c>
      <c r="BQ24" s="10">
        <f t="shared" si="29"/>
        <v>0.50703468768764859</v>
      </c>
      <c r="BR24" s="10">
        <f t="shared" si="26"/>
        <v>0</v>
      </c>
      <c r="BS24" s="10">
        <f t="shared" si="27"/>
        <v>0.13052024603085124</v>
      </c>
      <c r="BT24" s="10">
        <f t="shared" si="28"/>
        <v>0</v>
      </c>
      <c r="BU24" s="10">
        <f t="shared" si="14"/>
        <v>0.86792984371849979</v>
      </c>
      <c r="BW24" s="1">
        <f t="shared" si="15"/>
        <v>1.9547594888313924E-6</v>
      </c>
    </row>
    <row r="25" spans="2:75">
      <c r="B25" s="13" t="s">
        <v>96</v>
      </c>
      <c r="C25" s="12" t="s">
        <v>79</v>
      </c>
      <c r="D25" s="12">
        <v>0</v>
      </c>
      <c r="E25" s="12">
        <v>0</v>
      </c>
      <c r="F25" s="12">
        <v>2.0697000000000001</v>
      </c>
      <c r="G25" s="12">
        <v>0</v>
      </c>
      <c r="H25" s="12">
        <v>1.806</v>
      </c>
      <c r="I25" s="12">
        <v>0.27211309862212413</v>
      </c>
      <c r="J25" s="12">
        <v>1.0570833581096271</v>
      </c>
      <c r="K25" s="12">
        <v>0</v>
      </c>
      <c r="L25" s="12">
        <v>0</v>
      </c>
      <c r="M25" s="12">
        <v>293026.95</v>
      </c>
      <c r="N25" s="12">
        <v>154950.42000000001</v>
      </c>
      <c r="O25" s="12">
        <v>0.48</v>
      </c>
      <c r="Q25" s="15">
        <v>109.479795</v>
      </c>
      <c r="R25" s="15">
        <v>-54.115442999999999</v>
      </c>
      <c r="S25" s="15">
        <v>170</v>
      </c>
      <c r="T25" s="15">
        <v>100.77374399999999</v>
      </c>
      <c r="U25" s="15">
        <v>108.668072</v>
      </c>
      <c r="V25" s="15">
        <v>89.424565000000001</v>
      </c>
      <c r="W25" s="16">
        <v>39.342497000000002</v>
      </c>
      <c r="X25" s="16">
        <v>63.762642</v>
      </c>
      <c r="Y25" s="15">
        <v>39.359471999999997</v>
      </c>
      <c r="Z25" s="15">
        <v>31.113724999999999</v>
      </c>
      <c r="AA25" s="15"/>
      <c r="AB25" s="16">
        <v>73.605024</v>
      </c>
      <c r="AC25" s="16">
        <v>100.314611</v>
      </c>
      <c r="AD25" s="16">
        <v>87.395797999999999</v>
      </c>
      <c r="AE25" s="16">
        <v>114.70308199999999</v>
      </c>
      <c r="AF25" s="16">
        <v>70.567431999999997</v>
      </c>
      <c r="AG25" s="16">
        <v>97.538511999999997</v>
      </c>
      <c r="AH25" s="15">
        <v>13.423121999999999</v>
      </c>
      <c r="AI25" s="15">
        <v>33.445973000000002</v>
      </c>
      <c r="AJ25" s="15">
        <v>0</v>
      </c>
      <c r="AK25" s="15">
        <v>5000</v>
      </c>
      <c r="AM25" s="1" t="str">
        <f t="shared" si="0"/>
        <v>MIDAT_Bio_Ethanol_CCS_20_Wood</v>
      </c>
      <c r="AN25" s="1" t="str">
        <f t="shared" si="1"/>
        <v>Biomass_Wood</v>
      </c>
      <c r="AO25" s="11">
        <f t="shared" si="16"/>
        <v>72.911125569519854</v>
      </c>
      <c r="AP25" s="11">
        <f t="shared" si="17"/>
        <v>72.911125569519854</v>
      </c>
      <c r="AQ25" s="11">
        <f t="shared" si="2"/>
        <v>20.253090435977736</v>
      </c>
      <c r="AR25" s="11">
        <f t="shared" si="3"/>
        <v>20.253090435977736</v>
      </c>
      <c r="AS25" s="5">
        <f t="shared" si="4"/>
        <v>0</v>
      </c>
      <c r="AT25" s="1">
        <f t="shared" si="18"/>
        <v>0</v>
      </c>
      <c r="AU25" s="1">
        <f t="shared" si="19"/>
        <v>0</v>
      </c>
      <c r="AV25" s="1" cm="1">
        <f t="array" ref="AV25">_xlfn.IFS(C25="Biomass_Corn", 1/F25*S25, C25="Biomass_Agri", 1/F25*V25, C25="Biomass_Wood", 1/F25*U25, C25="Biomass_Herb", 1/F25*T25)</f>
        <v>52.50426245349567</v>
      </c>
      <c r="AW25" s="1">
        <f t="shared" si="5"/>
        <v>0</v>
      </c>
      <c r="AX25" s="1">
        <f t="shared" si="6"/>
        <v>17.957817326447284</v>
      </c>
      <c r="AY25" s="1">
        <f t="shared" si="7"/>
        <v>9.4959570681682486</v>
      </c>
      <c r="AZ25" s="1">
        <f t="shared" si="8"/>
        <v>0.23191766922742424</v>
      </c>
      <c r="BA25" s="1">
        <f t="shared" si="20"/>
        <v>1.6465955217093153E-6</v>
      </c>
      <c r="BB25" s="1">
        <f t="shared" si="21"/>
        <v>-7.2790092167589471</v>
      </c>
      <c r="BC25" s="1">
        <f t="shared" si="22"/>
        <v>1.802689401646539E-4</v>
      </c>
      <c r="BD25" s="1">
        <f t="shared" si="23"/>
        <v>-0.13147301090176011</v>
      </c>
      <c r="BE25" s="1">
        <f t="shared" si="24"/>
        <v>7.1148093337386751</v>
      </c>
      <c r="BF25" s="1">
        <f t="shared" si="25"/>
        <v>-14.393638281557461</v>
      </c>
      <c r="BH25" s="9">
        <f t="shared" si="9"/>
        <v>1.806</v>
      </c>
      <c r="BI25" s="10">
        <v>0.181048235160161</v>
      </c>
      <c r="BJ25" s="9">
        <v>0.23037490999999999</v>
      </c>
      <c r="BL25" s="10">
        <f t="shared" si="10"/>
        <v>0.87259023046818374</v>
      </c>
      <c r="BM25" s="10">
        <f t="shared" si="11"/>
        <v>0</v>
      </c>
      <c r="BN25" s="10">
        <f t="shared" si="12"/>
        <v>0.87259023046818374</v>
      </c>
      <c r="BP25" s="10">
        <f t="shared" si="13"/>
        <v>0.23037490999999999</v>
      </c>
      <c r="BQ25" s="10">
        <f t="shared" si="29"/>
        <v>0.51074230956642364</v>
      </c>
      <c r="BR25" s="10">
        <f t="shared" si="26"/>
        <v>0</v>
      </c>
      <c r="BS25" s="10">
        <f t="shared" si="27"/>
        <v>0.13147465749728179</v>
      </c>
      <c r="BT25" s="10">
        <f t="shared" si="28"/>
        <v>0</v>
      </c>
      <c r="BU25" s="10">
        <f t="shared" si="14"/>
        <v>0.87259187706370545</v>
      </c>
      <c r="BW25" s="1">
        <f t="shared" si="15"/>
        <v>-1.6465955217093153E-6</v>
      </c>
    </row>
    <row r="26" spans="2:75">
      <c r="B26" s="13" t="s">
        <v>97</v>
      </c>
      <c r="C26" s="12" t="s">
        <v>79</v>
      </c>
      <c r="D26" s="12">
        <v>0</v>
      </c>
      <c r="E26" s="12">
        <v>0</v>
      </c>
      <c r="F26" s="12">
        <v>2.0750999999999999</v>
      </c>
      <c r="G26" s="12">
        <v>0</v>
      </c>
      <c r="H26" s="12">
        <v>1.802</v>
      </c>
      <c r="I26" s="12">
        <v>0.2710374821113985</v>
      </c>
      <c r="J26" s="12">
        <v>1.0529048884991841</v>
      </c>
      <c r="K26" s="12">
        <v>0</v>
      </c>
      <c r="L26" s="12">
        <v>0</v>
      </c>
      <c r="M26" s="12">
        <v>293026.95</v>
      </c>
      <c r="N26" s="12">
        <v>154950.42000000001</v>
      </c>
      <c r="O26" s="12">
        <v>0.48</v>
      </c>
      <c r="Q26" s="15">
        <v>109.479795</v>
      </c>
      <c r="R26" s="15">
        <v>-41.717134999999999</v>
      </c>
      <c r="S26" s="15">
        <v>170</v>
      </c>
      <c r="T26" s="15">
        <v>104.167382</v>
      </c>
      <c r="U26" s="15">
        <v>115.52638899999999</v>
      </c>
      <c r="V26" s="15">
        <v>92.044978</v>
      </c>
      <c r="W26" s="16">
        <v>38.682254</v>
      </c>
      <c r="X26" s="16">
        <v>63.762642</v>
      </c>
      <c r="Y26" s="15">
        <v>30.708172999999999</v>
      </c>
      <c r="Z26" s="15">
        <v>26.913516000000001</v>
      </c>
      <c r="AA26" s="15"/>
      <c r="AB26" s="16">
        <v>73.605024</v>
      </c>
      <c r="AC26" s="16">
        <v>100.314611</v>
      </c>
      <c r="AD26" s="16">
        <v>87.395797999999999</v>
      </c>
      <c r="AE26" s="16">
        <v>114.70308199999999</v>
      </c>
      <c r="AF26" s="16">
        <v>70.567431999999997</v>
      </c>
      <c r="AG26" s="16">
        <v>97.538511999999997</v>
      </c>
      <c r="AH26" s="15">
        <v>13.422003</v>
      </c>
      <c r="AI26" s="15">
        <v>33.444853999999999</v>
      </c>
      <c r="AJ26" s="15">
        <v>0</v>
      </c>
      <c r="AK26" s="15">
        <v>5000</v>
      </c>
      <c r="AM26" s="1" t="str">
        <f t="shared" si="0"/>
        <v>NCEN_Bio_Ethanol_CCS_20_Wood</v>
      </c>
      <c r="AN26" s="1" t="str">
        <f t="shared" si="1"/>
        <v>Biomass_Wood</v>
      </c>
      <c r="AO26" s="11">
        <f t="shared" si="16"/>
        <v>74.435215978458984</v>
      </c>
      <c r="AP26" s="11">
        <f t="shared" si="17"/>
        <v>74.435215978458999</v>
      </c>
      <c r="AQ26" s="11">
        <f t="shared" si="2"/>
        <v>20.676448882905273</v>
      </c>
      <c r="AR26" s="11">
        <f t="shared" si="3"/>
        <v>20.676448882905277</v>
      </c>
      <c r="AS26" s="5">
        <f t="shared" si="4"/>
        <v>0</v>
      </c>
      <c r="AT26" s="1">
        <f t="shared" si="18"/>
        <v>0</v>
      </c>
      <c r="AU26" s="1">
        <f t="shared" si="19"/>
        <v>0</v>
      </c>
      <c r="AV26" s="1" cm="1">
        <f t="array" ref="AV26">_xlfn.IFS(C26="Biomass_Corn", 1/F26*S26, C26="Biomass_Agri", 1/F26*V26, C26="Biomass_Wood", 1/F26*U26, C26="Biomass_Herb", 1/F26*T26)</f>
        <v>55.672685171798946</v>
      </c>
      <c r="AW26" s="1">
        <f t="shared" si="5"/>
        <v>0</v>
      </c>
      <c r="AX26" s="1">
        <f t="shared" si="6"/>
        <v>17.911085981662545</v>
      </c>
      <c r="AY26" s="1">
        <f t="shared" si="7"/>
        <v>9.4712458888669584</v>
      </c>
      <c r="AZ26" s="1">
        <f t="shared" si="8"/>
        <v>0.23131415353476942</v>
      </c>
      <c r="BA26" s="1">
        <f t="shared" si="20"/>
        <v>-3.2064230242045966E-6</v>
      </c>
      <c r="BB26" s="1">
        <f t="shared" si="21"/>
        <v>-8.8507641788688645</v>
      </c>
      <c r="BC26" s="1">
        <f t="shared" si="22"/>
        <v>-3.5103853537319925E-4</v>
      </c>
      <c r="BD26" s="1">
        <f t="shared" si="23"/>
        <v>-0.13061738507051035</v>
      </c>
      <c r="BE26" s="1">
        <f t="shared" si="24"/>
        <v>5.4488493235512969</v>
      </c>
      <c r="BF26" s="1">
        <f t="shared" si="25"/>
        <v>-14.299964540955534</v>
      </c>
      <c r="BH26" s="9">
        <f t="shared" si="9"/>
        <v>1.802</v>
      </c>
      <c r="BI26" s="10">
        <v>0.181048235160161</v>
      </c>
      <c r="BJ26" s="9">
        <v>0.23037490999999999</v>
      </c>
      <c r="BL26" s="10">
        <f t="shared" si="10"/>
        <v>0.86839188472844686</v>
      </c>
      <c r="BM26" s="10">
        <f t="shared" si="11"/>
        <v>0</v>
      </c>
      <c r="BN26" s="10">
        <f t="shared" si="12"/>
        <v>0.86839188472844686</v>
      </c>
      <c r="BP26" s="10">
        <f t="shared" si="13"/>
        <v>0.23037490999999999</v>
      </c>
      <c r="BQ26" s="10">
        <f t="shared" si="29"/>
        <v>0.50739958965793652</v>
      </c>
      <c r="BR26" s="10">
        <f t="shared" si="26"/>
        <v>0</v>
      </c>
      <c r="BS26" s="10">
        <f t="shared" si="27"/>
        <v>0.13061417864748615</v>
      </c>
      <c r="BT26" s="10">
        <f t="shared" si="28"/>
        <v>0</v>
      </c>
      <c r="BU26" s="10">
        <f t="shared" si="14"/>
        <v>0.86838867830542266</v>
      </c>
      <c r="BW26" s="1">
        <f t="shared" si="15"/>
        <v>3.2064230242045966E-6</v>
      </c>
    </row>
    <row r="27" spans="2:75">
      <c r="B27" s="13" t="s">
        <v>98</v>
      </c>
      <c r="C27" s="12" t="s">
        <v>79</v>
      </c>
      <c r="D27" s="12">
        <v>0</v>
      </c>
      <c r="E27" s="12">
        <v>0</v>
      </c>
      <c r="F27" s="12">
        <v>2.0838000000000001</v>
      </c>
      <c r="G27" s="12">
        <v>0</v>
      </c>
      <c r="H27" s="12">
        <v>1.821</v>
      </c>
      <c r="I27" s="12">
        <v>0.27451638369423748</v>
      </c>
      <c r="J27" s="12">
        <v>1.066419449122475</v>
      </c>
      <c r="K27" s="12">
        <v>0</v>
      </c>
      <c r="L27" s="12">
        <v>0</v>
      </c>
      <c r="M27" s="12">
        <v>293026.95</v>
      </c>
      <c r="N27" s="12">
        <v>154950.42000000001</v>
      </c>
      <c r="O27" s="12">
        <v>0.48</v>
      </c>
      <c r="Q27" s="15">
        <v>109.479795</v>
      </c>
      <c r="R27" s="15">
        <v>-47.70091</v>
      </c>
      <c r="S27" s="15">
        <v>170</v>
      </c>
      <c r="T27" s="15">
        <v>99.632842999999994</v>
      </c>
      <c r="U27" s="15">
        <v>113.227017</v>
      </c>
      <c r="V27" s="15">
        <v>88.855315000000004</v>
      </c>
      <c r="W27" s="16">
        <v>39.264408000000003</v>
      </c>
      <c r="X27" s="16">
        <v>63.762642</v>
      </c>
      <c r="Y27" s="15">
        <v>38.218446</v>
      </c>
      <c r="Z27" s="15">
        <v>29.735685</v>
      </c>
      <c r="AA27" s="15"/>
      <c r="AB27" s="16">
        <v>73.605024</v>
      </c>
      <c r="AC27" s="16">
        <v>100.314611</v>
      </c>
      <c r="AD27" s="16">
        <v>87.395797999999999</v>
      </c>
      <c r="AE27" s="16">
        <v>114.70308199999999</v>
      </c>
      <c r="AF27" s="16">
        <v>70.567431999999997</v>
      </c>
      <c r="AG27" s="16">
        <v>97.538511999999997</v>
      </c>
      <c r="AH27" s="15">
        <v>13.421908</v>
      </c>
      <c r="AI27" s="15">
        <v>33.444758999999998</v>
      </c>
      <c r="AJ27" s="15">
        <v>0</v>
      </c>
      <c r="AK27" s="15">
        <v>5000</v>
      </c>
      <c r="AM27" s="1" t="str">
        <f t="shared" si="0"/>
        <v>SE_Bio_Ethanol_CCS_20_Wood</v>
      </c>
      <c r="AN27" s="1" t="str">
        <f t="shared" si="1"/>
        <v>Biomass_Wood</v>
      </c>
      <c r="AO27" s="11">
        <f t="shared" si="16"/>
        <v>73.6960361556674</v>
      </c>
      <c r="AP27" s="11">
        <f t="shared" si="17"/>
        <v>73.6960361556674</v>
      </c>
      <c r="AQ27" s="11">
        <f t="shared" si="2"/>
        <v>20.471121154352055</v>
      </c>
      <c r="AR27" s="11">
        <f t="shared" si="3"/>
        <v>20.471121154352055</v>
      </c>
      <c r="AS27" s="5">
        <f t="shared" si="4"/>
        <v>0</v>
      </c>
      <c r="AT27" s="1">
        <f t="shared" si="18"/>
        <v>0</v>
      </c>
      <c r="AU27" s="1">
        <f t="shared" si="19"/>
        <v>0</v>
      </c>
      <c r="AV27" s="1" cm="1">
        <f t="array" ref="AV27">_xlfn.IFS(C27="Biomass_Corn", 1/F27*S27, C27="Biomass_Agri", 1/F27*V27, C27="Biomass_Wood", 1/F27*U27, C27="Biomass_Herb", 1/F27*T27)</f>
        <v>54.336796717535272</v>
      </c>
      <c r="AW27" s="1">
        <f t="shared" si="5"/>
        <v>0</v>
      </c>
      <c r="AX27" s="1">
        <f t="shared" si="6"/>
        <v>17.836306037310653</v>
      </c>
      <c r="AY27" s="1">
        <f t="shared" si="7"/>
        <v>9.4317028236816505</v>
      </c>
      <c r="AZ27" s="1">
        <f t="shared" si="8"/>
        <v>0.23034840195796139</v>
      </c>
      <c r="BA27" s="1">
        <f t="shared" si="20"/>
        <v>-4.2853082289351363E-6</v>
      </c>
      <c r="BB27" s="1">
        <f t="shared" si="21"/>
        <v>-8.1386486701517278</v>
      </c>
      <c r="BC27" s="1">
        <f t="shared" si="22"/>
        <v>-4.6915466641563177E-4</v>
      </c>
      <c r="BD27" s="1">
        <f t="shared" si="23"/>
        <v>-0.13174264008999181</v>
      </c>
      <c r="BE27" s="1">
        <f t="shared" si="24"/>
        <v>6.2840394049929404</v>
      </c>
      <c r="BF27" s="1">
        <f t="shared" si="25"/>
        <v>-14.423157229811086</v>
      </c>
      <c r="BH27" s="9">
        <f t="shared" si="9"/>
        <v>1.821</v>
      </c>
      <c r="BI27" s="10">
        <v>0.181048235160161</v>
      </c>
      <c r="BJ27" s="9">
        <v>0.23037490999999999</v>
      </c>
      <c r="BL27" s="10">
        <f t="shared" si="10"/>
        <v>0.87388424992801605</v>
      </c>
      <c r="BM27" s="10">
        <f t="shared" si="11"/>
        <v>0</v>
      </c>
      <c r="BN27" s="10">
        <f t="shared" si="12"/>
        <v>0.87388424992801605</v>
      </c>
      <c r="BP27" s="10">
        <f t="shared" si="13"/>
        <v>0.23037490999999999</v>
      </c>
      <c r="BQ27" s="10">
        <f t="shared" si="29"/>
        <v>0.51176669983802425</v>
      </c>
      <c r="BR27" s="10">
        <f t="shared" si="26"/>
        <v>0</v>
      </c>
      <c r="BS27" s="10">
        <f t="shared" si="27"/>
        <v>0.13173835478176288</v>
      </c>
      <c r="BT27" s="10">
        <f t="shared" si="28"/>
        <v>0</v>
      </c>
      <c r="BU27" s="10">
        <f t="shared" si="14"/>
        <v>0.87387996461978712</v>
      </c>
      <c r="BW27" s="1">
        <f t="shared" si="15"/>
        <v>4.2853082289351363E-6</v>
      </c>
    </row>
    <row r="28" spans="2:75">
      <c r="B28" s="13" t="s">
        <v>99</v>
      </c>
      <c r="C28" s="12" t="s">
        <v>79</v>
      </c>
      <c r="D28" s="12">
        <v>0</v>
      </c>
      <c r="E28" s="12">
        <v>0</v>
      </c>
      <c r="F28" s="12">
        <v>2.0577000000000001</v>
      </c>
      <c r="G28" s="12">
        <v>0</v>
      </c>
      <c r="H28" s="12">
        <v>1.821</v>
      </c>
      <c r="I28" s="12">
        <v>0.27574871894572039</v>
      </c>
      <c r="J28" s="12">
        <v>1.0712067272526009</v>
      </c>
      <c r="K28" s="12">
        <v>0</v>
      </c>
      <c r="L28" s="12">
        <v>0</v>
      </c>
      <c r="M28" s="12">
        <v>293026.95</v>
      </c>
      <c r="N28" s="12">
        <v>154950.42000000001</v>
      </c>
      <c r="O28" s="12">
        <v>0.48</v>
      </c>
      <c r="Q28" s="15">
        <v>109.479795</v>
      </c>
      <c r="R28" s="15">
        <v>-21.506692000000001</v>
      </c>
      <c r="S28" s="15">
        <v>170</v>
      </c>
      <c r="T28" s="15">
        <v>137.93464800000001</v>
      </c>
      <c r="U28" s="15">
        <v>157.881351</v>
      </c>
      <c r="V28" s="15">
        <v>111.364845</v>
      </c>
      <c r="W28" s="16">
        <v>38.568981999999998</v>
      </c>
      <c r="X28" s="16">
        <v>63.762642</v>
      </c>
      <c r="Y28" s="15">
        <v>20.230252</v>
      </c>
      <c r="Z28" s="15">
        <v>17.952764999999999</v>
      </c>
      <c r="AA28" s="15"/>
      <c r="AB28" s="16">
        <v>73.605024</v>
      </c>
      <c r="AC28" s="16">
        <v>100.314611</v>
      </c>
      <c r="AD28" s="16">
        <v>87.395797999999999</v>
      </c>
      <c r="AE28" s="16">
        <v>114.70308199999999</v>
      </c>
      <c r="AF28" s="16">
        <v>70.567431999999997</v>
      </c>
      <c r="AG28" s="16">
        <v>97.538511999999997</v>
      </c>
      <c r="AH28" s="15">
        <v>13.325948</v>
      </c>
      <c r="AI28" s="15">
        <v>33.348799</v>
      </c>
      <c r="AJ28" s="15">
        <v>0</v>
      </c>
      <c r="AK28" s="15">
        <v>5000</v>
      </c>
      <c r="AM28" t="str">
        <f t="shared" si="0"/>
        <v>TX_Bio_Ethanol_CCS_20_Wood</v>
      </c>
      <c r="AN28" t="str">
        <f t="shared" si="1"/>
        <v>Biomass_Wood</v>
      </c>
      <c r="AO28" s="11">
        <f t="shared" si="16"/>
        <v>92.785015959274546</v>
      </c>
      <c r="AP28" s="11">
        <f t="shared" si="17"/>
        <v>92.785015959274546</v>
      </c>
      <c r="AQ28" s="11">
        <f t="shared" si="2"/>
        <v>25.773615544242929</v>
      </c>
      <c r="AR28" s="11">
        <f t="shared" si="3"/>
        <v>25.773615544242929</v>
      </c>
      <c r="AS28" s="5">
        <f t="shared" si="4"/>
        <v>0</v>
      </c>
      <c r="AT28">
        <f t="shared" si="18"/>
        <v>0</v>
      </c>
      <c r="AU28">
        <f t="shared" si="19"/>
        <v>0</v>
      </c>
      <c r="AV28" s="1" cm="1">
        <f t="array" ref="AV28">_xlfn.IFS(C28="Biomass_Corn", 1/F28*S28, C28="Biomass_Agri", 1/F28*V28, C28="Biomass_Wood", 1/F28*U28, C28="Biomass_Herb", 1/F28*T28)</f>
        <v>76.727098702434745</v>
      </c>
      <c r="AW28">
        <f t="shared" si="5"/>
        <v>0</v>
      </c>
      <c r="AX28">
        <f t="shared" si="6"/>
        <v>18.062542897676021</v>
      </c>
      <c r="AY28">
        <f t="shared" si="7"/>
        <v>9.551335152834632</v>
      </c>
      <c r="AZ28">
        <f t="shared" si="8"/>
        <v>0.23327015599941681</v>
      </c>
      <c r="BA28" s="1">
        <f t="shared" si="20"/>
        <v>-1.021283315694177E-6</v>
      </c>
      <c r="BB28" s="1">
        <f t="shared" si="21"/>
        <v>-11.789119139782237</v>
      </c>
      <c r="BC28">
        <f t="shared" si="22"/>
        <v>-1.1180988803911878E-4</v>
      </c>
      <c r="BD28">
        <f t="shared" si="23"/>
        <v>-0.13400924354395638</v>
      </c>
      <c r="BE28" s="1">
        <f t="shared" si="24"/>
        <v>2.8820735616271436</v>
      </c>
      <c r="BF28">
        <f t="shared" si="25"/>
        <v>-14.671304511297418</v>
      </c>
      <c r="BH28" s="9">
        <f t="shared" si="9"/>
        <v>1.821</v>
      </c>
      <c r="BI28" s="10">
        <v>0.181048235160161</v>
      </c>
      <c r="BJ28" s="9">
        <v>0.23037490999999999</v>
      </c>
      <c r="BL28" s="10">
        <f t="shared" si="10"/>
        <v>0.88496865432278748</v>
      </c>
      <c r="BM28" s="10">
        <f t="shared" si="11"/>
        <v>0</v>
      </c>
      <c r="BN28" s="10">
        <f t="shared" si="12"/>
        <v>0.88496865432278748</v>
      </c>
      <c r="BP28" s="10">
        <f t="shared" si="13"/>
        <v>0.23037490999999999</v>
      </c>
      <c r="BQ28" s="10">
        <f t="shared" si="29"/>
        <v>0.52058450077883112</v>
      </c>
      <c r="BR28" s="10">
        <f t="shared" si="26"/>
        <v>0</v>
      </c>
      <c r="BS28" s="10">
        <f t="shared" si="27"/>
        <v>0.13400822226064071</v>
      </c>
      <c r="BT28" s="10">
        <f t="shared" si="28"/>
        <v>0</v>
      </c>
      <c r="BU28" s="10">
        <f t="shared" si="14"/>
        <v>0.88496763303947179</v>
      </c>
      <c r="BW28">
        <f t="shared" si="15"/>
        <v>1.021283315694177E-6</v>
      </c>
    </row>
    <row r="29" spans="2:75">
      <c r="B29" s="13" t="s">
        <v>100</v>
      </c>
      <c r="C29" s="12" t="s">
        <v>85</v>
      </c>
      <c r="D29" s="12">
        <v>0</v>
      </c>
      <c r="E29" s="12">
        <v>0</v>
      </c>
      <c r="F29" s="12">
        <v>1.8694</v>
      </c>
      <c r="G29" s="12">
        <v>0</v>
      </c>
      <c r="H29" s="12">
        <v>1.7</v>
      </c>
      <c r="I29" s="12">
        <v>0.2598606822168264</v>
      </c>
      <c r="J29" s="12">
        <v>1.009486143773924</v>
      </c>
      <c r="K29" s="12">
        <v>0</v>
      </c>
      <c r="L29" s="12">
        <v>0</v>
      </c>
      <c r="M29" s="12">
        <v>293026.95</v>
      </c>
      <c r="N29" s="12">
        <v>154950.42000000001</v>
      </c>
      <c r="O29" s="12">
        <v>0.48</v>
      </c>
      <c r="Q29" s="15">
        <v>109.479795</v>
      </c>
      <c r="R29" s="15">
        <v>-31.70346</v>
      </c>
      <c r="S29" s="15">
        <v>170</v>
      </c>
      <c r="T29" s="15">
        <v>110.461518</v>
      </c>
      <c r="U29" s="15">
        <v>127.408748</v>
      </c>
      <c r="V29" s="15">
        <v>98.832477999999995</v>
      </c>
      <c r="W29" s="16">
        <v>38.544687000000003</v>
      </c>
      <c r="X29" s="16">
        <v>63.762642</v>
      </c>
      <c r="Y29" s="15">
        <v>25.324636999999999</v>
      </c>
      <c r="Z29" s="15">
        <v>24.781272999999999</v>
      </c>
      <c r="AA29" s="15"/>
      <c r="AB29" s="16">
        <v>73.605024</v>
      </c>
      <c r="AC29" s="16">
        <v>100.314611</v>
      </c>
      <c r="AD29" s="16">
        <v>87.395797999999999</v>
      </c>
      <c r="AE29" s="16">
        <v>114.70308199999999</v>
      </c>
      <c r="AF29" s="16">
        <v>70.567431999999997</v>
      </c>
      <c r="AG29" s="16">
        <v>97.538511999999997</v>
      </c>
      <c r="AH29" s="15">
        <v>13.421913</v>
      </c>
      <c r="AI29" s="15">
        <v>33.444763999999999</v>
      </c>
      <c r="AJ29" s="15">
        <v>0</v>
      </c>
      <c r="AK29" s="15">
        <v>5000</v>
      </c>
      <c r="AM29" t="str">
        <f t="shared" si="0"/>
        <v>CEN_Bio_Ethanol_CCS_20_Agri</v>
      </c>
      <c r="AN29" t="str">
        <f t="shared" si="1"/>
        <v>Biomass_Agri</v>
      </c>
      <c r="AO29" s="11">
        <f t="shared" si="16"/>
        <v>72.709748291441997</v>
      </c>
      <c r="AP29" s="11">
        <f t="shared" si="17"/>
        <v>72.709748291441997</v>
      </c>
      <c r="AQ29" s="11">
        <f t="shared" si="2"/>
        <v>20.197152303178331</v>
      </c>
      <c r="AR29" s="11">
        <f t="shared" si="3"/>
        <v>20.197152303178331</v>
      </c>
      <c r="AS29" s="5">
        <f t="shared" si="4"/>
        <v>0</v>
      </c>
      <c r="AT29">
        <f t="shared" si="18"/>
        <v>0</v>
      </c>
      <c r="AU29">
        <f t="shared" si="19"/>
        <v>0</v>
      </c>
      <c r="AV29" s="1" cm="1">
        <f t="array" ref="AV29">_xlfn.IFS(C29="Biomass_Corn", 1/F29*S29, C29="Biomass_Agri", 1/F29*V29, C29="Biomass_Wood", 1/F29*U29, C29="Biomass_Herb", 1/F29*T29)</f>
        <v>52.868555686316462</v>
      </c>
      <c r="AW29">
        <f t="shared" si="5"/>
        <v>0</v>
      </c>
      <c r="AX29">
        <f t="shared" si="6"/>
        <v>19.881937798517143</v>
      </c>
      <c r="AY29">
        <f t="shared" si="7"/>
        <v>10.513417323198794</v>
      </c>
      <c r="AZ29">
        <f t="shared" si="8"/>
        <v>0.25676687707285761</v>
      </c>
      <c r="BA29" s="1">
        <f t="shared" si="20"/>
        <v>5.1796002730197799E-6</v>
      </c>
      <c r="BB29" s="1">
        <f t="shared" si="21"/>
        <v>-10.811496455239345</v>
      </c>
      <c r="BC29">
        <f t="shared" si="22"/>
        <v>5.6706157607214951E-4</v>
      </c>
      <c r="BD29">
        <f t="shared" si="23"/>
        <v>-0.13900235341397027</v>
      </c>
      <c r="BE29" s="1">
        <f t="shared" si="24"/>
        <v>4.4070197626157412</v>
      </c>
      <c r="BF29">
        <f t="shared" si="25"/>
        <v>-15.217949156279015</v>
      </c>
      <c r="BH29" s="9">
        <f t="shared" si="9"/>
        <v>1.7</v>
      </c>
      <c r="BI29" s="10">
        <v>0.181048235160161</v>
      </c>
      <c r="BJ29" s="9">
        <v>0.23037490999999999</v>
      </c>
      <c r="BL29" s="10">
        <f t="shared" si="10"/>
        <v>0.90938268963303737</v>
      </c>
      <c r="BM29" s="10">
        <f t="shared" si="11"/>
        <v>0</v>
      </c>
      <c r="BN29" s="10">
        <f t="shared" si="12"/>
        <v>0.90938268963303737</v>
      </c>
      <c r="BP29" s="10">
        <f t="shared" si="13"/>
        <v>0.23037490999999999</v>
      </c>
      <c r="BQ29" s="10">
        <f t="shared" si="29"/>
        <v>0.54000542621906711</v>
      </c>
      <c r="BR29" s="10">
        <f t="shared" si="26"/>
        <v>0</v>
      </c>
      <c r="BS29" s="10">
        <f t="shared" si="27"/>
        <v>0.13900753301424329</v>
      </c>
      <c r="BT29" s="10">
        <f t="shared" si="28"/>
        <v>0</v>
      </c>
      <c r="BU29" s="10">
        <f t="shared" si="14"/>
        <v>0.90938786923331039</v>
      </c>
      <c r="BW29">
        <f t="shared" si="15"/>
        <v>-5.1796002730197799E-6</v>
      </c>
    </row>
    <row r="30" spans="2:75">
      <c r="B30" s="13" t="s">
        <v>101</v>
      </c>
      <c r="C30" s="12" t="s">
        <v>85</v>
      </c>
      <c r="D30" s="12">
        <v>0</v>
      </c>
      <c r="E30" s="12">
        <v>0</v>
      </c>
      <c r="F30" s="12">
        <v>1.8813</v>
      </c>
      <c r="G30" s="12">
        <v>0</v>
      </c>
      <c r="H30" s="12">
        <v>1.708</v>
      </c>
      <c r="I30" s="12">
        <v>0.26093362189322999</v>
      </c>
      <c r="J30" s="12">
        <v>1.01365421463095</v>
      </c>
      <c r="K30" s="12">
        <v>0</v>
      </c>
      <c r="L30" s="12">
        <v>0</v>
      </c>
      <c r="M30" s="12">
        <v>293026.95</v>
      </c>
      <c r="N30" s="12">
        <v>154950.42000000001</v>
      </c>
      <c r="O30" s="12">
        <v>0.48</v>
      </c>
      <c r="Q30" s="15">
        <v>109.479795</v>
      </c>
      <c r="R30" s="15">
        <v>-54.115442999999999</v>
      </c>
      <c r="S30" s="15">
        <v>170</v>
      </c>
      <c r="T30" s="15">
        <v>100.77374399999999</v>
      </c>
      <c r="U30" s="15">
        <v>108.668072</v>
      </c>
      <c r="V30" s="15">
        <v>89.424565000000001</v>
      </c>
      <c r="W30" s="16">
        <v>39.342497000000002</v>
      </c>
      <c r="X30" s="16">
        <v>63.762642</v>
      </c>
      <c r="Y30" s="15">
        <v>39.359471999999997</v>
      </c>
      <c r="Z30" s="15">
        <v>31.113724999999999</v>
      </c>
      <c r="AA30" s="15"/>
      <c r="AB30" s="16">
        <v>73.605024</v>
      </c>
      <c r="AC30" s="16">
        <v>100.314611</v>
      </c>
      <c r="AD30" s="16">
        <v>87.395797999999999</v>
      </c>
      <c r="AE30" s="16">
        <v>114.70308199999999</v>
      </c>
      <c r="AF30" s="16">
        <v>70.567431999999997</v>
      </c>
      <c r="AG30" s="16">
        <v>97.538511999999997</v>
      </c>
      <c r="AH30" s="15">
        <v>13.423121999999999</v>
      </c>
      <c r="AI30" s="15">
        <v>33.445973000000002</v>
      </c>
      <c r="AJ30" s="15">
        <v>0</v>
      </c>
      <c r="AK30" s="15">
        <v>5000</v>
      </c>
      <c r="AM30" t="str">
        <f t="shared" si="0"/>
        <v>MIDAT_Bio_Ethanol_CCS_20_Agri</v>
      </c>
      <c r="AN30" t="str">
        <f t="shared" si="1"/>
        <v>Biomass_Agri</v>
      </c>
      <c r="AO30" s="11">
        <f t="shared" si="16"/>
        <v>70.312210743823115</v>
      </c>
      <c r="AP30" s="11">
        <f t="shared" si="17"/>
        <v>70.31221074382313</v>
      </c>
      <c r="AQ30" s="11">
        <f t="shared" si="2"/>
        <v>19.531169651061976</v>
      </c>
      <c r="AR30" s="11">
        <f t="shared" si="3"/>
        <v>19.53116965106198</v>
      </c>
      <c r="AS30" s="5">
        <f t="shared" si="4"/>
        <v>0</v>
      </c>
      <c r="AT30">
        <f t="shared" si="18"/>
        <v>0</v>
      </c>
      <c r="AU30">
        <f t="shared" si="19"/>
        <v>0</v>
      </c>
      <c r="AV30" s="1" cm="1">
        <f t="array" ref="AV30">_xlfn.IFS(C30="Biomass_Corn", 1/F30*S30, C30="Biomass_Agri", 1/F30*V30, C30="Biomass_Wood", 1/F30*U30, C30="Biomass_Herb", 1/F30*T30)</f>
        <v>47.53338914580344</v>
      </c>
      <c r="AW30">
        <f t="shared" si="5"/>
        <v>0</v>
      </c>
      <c r="AX30">
        <f t="shared" si="6"/>
        <v>19.756176325172991</v>
      </c>
      <c r="AY30">
        <f t="shared" si="7"/>
        <v>10.446915613664926</v>
      </c>
      <c r="AZ30">
        <f t="shared" si="8"/>
        <v>0.2551427204592569</v>
      </c>
      <c r="BA30" s="1">
        <f t="shared" si="20"/>
        <v>-4.1701444852826342E-6</v>
      </c>
      <c r="BB30" s="1">
        <f t="shared" si="21"/>
        <v>-7.6789565147141294</v>
      </c>
      <c r="BC30">
        <f t="shared" si="22"/>
        <v>-4.5654656336912327E-4</v>
      </c>
      <c r="BD30">
        <f t="shared" si="23"/>
        <v>-0.13870274128849736</v>
      </c>
      <c r="BE30" s="1">
        <f t="shared" si="24"/>
        <v>7.5057346209252334</v>
      </c>
      <c r="BF30">
        <f t="shared" si="25"/>
        <v>-15.185147682202725</v>
      </c>
      <c r="BH30" s="9">
        <f t="shared" si="9"/>
        <v>1.708</v>
      </c>
      <c r="BI30" s="10">
        <v>0.181048235160161</v>
      </c>
      <c r="BJ30" s="9">
        <v>0.23037490999999999</v>
      </c>
      <c r="BL30" s="10">
        <f t="shared" si="10"/>
        <v>0.90788284696752242</v>
      </c>
      <c r="BM30" s="10">
        <f t="shared" si="11"/>
        <v>0</v>
      </c>
      <c r="BN30" s="10">
        <f t="shared" si="12"/>
        <v>0.90788284696752242</v>
      </c>
      <c r="BP30" s="10">
        <f t="shared" si="13"/>
        <v>0.23037490999999999</v>
      </c>
      <c r="BQ30" s="10">
        <f t="shared" si="29"/>
        <v>0.53880519567902507</v>
      </c>
      <c r="BR30" s="10">
        <f t="shared" si="26"/>
        <v>0</v>
      </c>
      <c r="BS30" s="10">
        <f t="shared" si="27"/>
        <v>0.13869857114401213</v>
      </c>
      <c r="BT30" s="10">
        <f t="shared" si="28"/>
        <v>0</v>
      </c>
      <c r="BU30" s="10">
        <f t="shared" si="14"/>
        <v>0.90787867682303713</v>
      </c>
      <c r="BW30">
        <f t="shared" si="15"/>
        <v>4.1701444852826342E-6</v>
      </c>
    </row>
    <row r="31" spans="2:75">
      <c r="B31" s="13" t="s">
        <v>102</v>
      </c>
      <c r="C31" s="12" t="s">
        <v>85</v>
      </c>
      <c r="D31" s="12">
        <v>0</v>
      </c>
      <c r="E31" s="12">
        <v>0</v>
      </c>
      <c r="F31" s="12">
        <v>1.8835</v>
      </c>
      <c r="G31" s="12">
        <v>0</v>
      </c>
      <c r="H31" s="12">
        <v>1.71</v>
      </c>
      <c r="I31" s="12">
        <v>0.26124036728893979</v>
      </c>
      <c r="J31" s="12">
        <v>1.014845834786773</v>
      </c>
      <c r="K31" s="12">
        <v>0</v>
      </c>
      <c r="L31" s="12">
        <v>0</v>
      </c>
      <c r="M31" s="12">
        <v>293026.95</v>
      </c>
      <c r="N31" s="12">
        <v>154950.42000000001</v>
      </c>
      <c r="O31" s="12">
        <v>0.48</v>
      </c>
      <c r="Q31" s="15">
        <v>109.479795</v>
      </c>
      <c r="R31" s="15">
        <v>-41.717134999999999</v>
      </c>
      <c r="S31" s="15">
        <v>170</v>
      </c>
      <c r="T31" s="15">
        <v>104.167382</v>
      </c>
      <c r="U31" s="15">
        <v>115.52638899999999</v>
      </c>
      <c r="V31" s="15">
        <v>92.044978</v>
      </c>
      <c r="W31" s="16">
        <v>38.682254</v>
      </c>
      <c r="X31" s="16">
        <v>63.762642</v>
      </c>
      <c r="Y31" s="15">
        <v>30.708172999999999</v>
      </c>
      <c r="Z31" s="15">
        <v>26.913516000000001</v>
      </c>
      <c r="AA31" s="15"/>
      <c r="AB31" s="16">
        <v>73.605024</v>
      </c>
      <c r="AC31" s="16">
        <v>100.314611</v>
      </c>
      <c r="AD31" s="16">
        <v>87.395797999999999</v>
      </c>
      <c r="AE31" s="16">
        <v>114.70308199999999</v>
      </c>
      <c r="AF31" s="16">
        <v>70.567431999999997</v>
      </c>
      <c r="AG31" s="16">
        <v>97.538511999999997</v>
      </c>
      <c r="AH31" s="15">
        <v>13.422003</v>
      </c>
      <c r="AI31" s="15">
        <v>33.444853999999999</v>
      </c>
      <c r="AJ31" s="15">
        <v>0</v>
      </c>
      <c r="AK31" s="15">
        <v>5000</v>
      </c>
      <c r="AM31" t="str">
        <f t="shared" si="0"/>
        <v>NCEN_Bio_Ethanol_CCS_20_Agri</v>
      </c>
      <c r="AN31" t="str">
        <f t="shared" si="1"/>
        <v>Biomass_Agri</v>
      </c>
      <c r="AO31" s="11">
        <f t="shared" si="16"/>
        <v>69.892976912902213</v>
      </c>
      <c r="AP31" s="11">
        <f t="shared" si="17"/>
        <v>69.892976912902213</v>
      </c>
      <c r="AQ31" s="11">
        <f t="shared" si="2"/>
        <v>19.414715809139505</v>
      </c>
      <c r="AR31" s="11">
        <f t="shared" si="3"/>
        <v>19.414715809139505</v>
      </c>
      <c r="AS31" s="5">
        <f t="shared" si="4"/>
        <v>0</v>
      </c>
      <c r="AT31">
        <f t="shared" si="18"/>
        <v>0</v>
      </c>
      <c r="AU31">
        <f t="shared" si="19"/>
        <v>0</v>
      </c>
      <c r="AV31" s="1" cm="1">
        <f t="array" ref="AV31">_xlfn.IFS(C31="Biomass_Corn", 1/F31*S31, C31="Biomass_Agri", 1/F31*V31, C31="Biomass_Wood", 1/F31*U31, C31="Biomass_Herb", 1/F31*T31)</f>
        <v>48.869114945580044</v>
      </c>
      <c r="AW31">
        <f t="shared" si="5"/>
        <v>0</v>
      </c>
      <c r="AX31">
        <f t="shared" si="6"/>
        <v>19.733100356011654</v>
      </c>
      <c r="AY31">
        <f t="shared" si="7"/>
        <v>10.434713216876997</v>
      </c>
      <c r="AZ31">
        <f t="shared" si="8"/>
        <v>0.25484470400849479</v>
      </c>
      <c r="BA31" s="1">
        <f t="shared" si="20"/>
        <v>-1.4095775351385953E-6</v>
      </c>
      <c r="BB31" s="1">
        <f t="shared" si="21"/>
        <v>-9.3986419893153954</v>
      </c>
      <c r="BC31">
        <f t="shared" si="22"/>
        <v>-1.543202595835787E-4</v>
      </c>
      <c r="BD31">
        <f t="shared" si="23"/>
        <v>-0.13870083473757744</v>
      </c>
      <c r="BE31" s="1">
        <f t="shared" si="24"/>
        <v>5.786142643823883</v>
      </c>
      <c r="BF31">
        <f t="shared" si="25"/>
        <v>-15.184938953398856</v>
      </c>
      <c r="BH31" s="9">
        <f t="shared" si="9"/>
        <v>1.71</v>
      </c>
      <c r="BI31" s="10">
        <v>0.181048235160161</v>
      </c>
      <c r="BJ31" s="9">
        <v>0.23037490999999999</v>
      </c>
      <c r="BL31" s="10">
        <f t="shared" si="10"/>
        <v>0.90788425803026285</v>
      </c>
      <c r="BM31" s="10">
        <f t="shared" si="11"/>
        <v>0</v>
      </c>
      <c r="BN31" s="10">
        <f t="shared" si="12"/>
        <v>0.90788425803026285</v>
      </c>
      <c r="BP31" s="10">
        <f t="shared" si="13"/>
        <v>0.23037490999999999</v>
      </c>
      <c r="BQ31" s="10">
        <f t="shared" si="29"/>
        <v>0.53880851329268542</v>
      </c>
      <c r="BR31" s="10">
        <f t="shared" si="26"/>
        <v>0</v>
      </c>
      <c r="BS31" s="10">
        <f t="shared" si="27"/>
        <v>0.13869942516004236</v>
      </c>
      <c r="BT31" s="10">
        <f t="shared" si="28"/>
        <v>0</v>
      </c>
      <c r="BU31" s="10">
        <f t="shared" si="14"/>
        <v>0.90788284845272771</v>
      </c>
      <c r="BW31">
        <f t="shared" si="15"/>
        <v>1.4095775351385953E-6</v>
      </c>
    </row>
    <row r="32" spans="2:75">
      <c r="B32" s="13" t="s">
        <v>103</v>
      </c>
      <c r="C32" s="12" t="s">
        <v>85</v>
      </c>
      <c r="D32" s="12">
        <v>0</v>
      </c>
      <c r="E32" s="12">
        <v>0</v>
      </c>
      <c r="F32" s="12">
        <v>1.8758999999999999</v>
      </c>
      <c r="G32" s="12">
        <v>0</v>
      </c>
      <c r="H32" s="12">
        <v>1.6890000000000001</v>
      </c>
      <c r="I32" s="12">
        <v>0.25730067840395571</v>
      </c>
      <c r="J32" s="12">
        <v>0.99954124424139257</v>
      </c>
      <c r="K32" s="12">
        <v>0</v>
      </c>
      <c r="L32" s="12">
        <v>0</v>
      </c>
      <c r="M32" s="12">
        <v>293026.95</v>
      </c>
      <c r="N32" s="12">
        <v>154950.42000000001</v>
      </c>
      <c r="O32" s="12">
        <v>0.48</v>
      </c>
      <c r="Q32" s="15">
        <v>109.479795</v>
      </c>
      <c r="R32" s="15">
        <v>-47.70091</v>
      </c>
      <c r="S32" s="15">
        <v>170</v>
      </c>
      <c r="T32" s="15">
        <v>99.632842999999994</v>
      </c>
      <c r="U32" s="15">
        <v>113.227017</v>
      </c>
      <c r="V32" s="15">
        <v>88.855315000000004</v>
      </c>
      <c r="W32" s="16">
        <v>39.264408000000003</v>
      </c>
      <c r="X32" s="16">
        <v>63.762642</v>
      </c>
      <c r="Y32" s="15">
        <v>38.218446</v>
      </c>
      <c r="Z32" s="15">
        <v>29.735685</v>
      </c>
      <c r="AA32" s="15"/>
      <c r="AB32" s="16">
        <v>73.605024</v>
      </c>
      <c r="AC32" s="16">
        <v>100.314611</v>
      </c>
      <c r="AD32" s="16">
        <v>87.395797999999999</v>
      </c>
      <c r="AE32" s="16">
        <v>114.70308199999999</v>
      </c>
      <c r="AF32" s="16">
        <v>70.567431999999997</v>
      </c>
      <c r="AG32" s="16">
        <v>97.538511999999997</v>
      </c>
      <c r="AH32" s="15">
        <v>13.421908</v>
      </c>
      <c r="AI32" s="15">
        <v>33.444758999999998</v>
      </c>
      <c r="AJ32" s="15">
        <v>0</v>
      </c>
      <c r="AK32" s="15">
        <v>5000</v>
      </c>
      <c r="AM32" t="str">
        <f t="shared" si="0"/>
        <v>SE_Bio_Ethanol_CCS_20_Agri</v>
      </c>
      <c r="AN32" t="str">
        <f t="shared" si="1"/>
        <v>Biomass_Agri</v>
      </c>
      <c r="AO32" s="11">
        <f t="shared" si="16"/>
        <v>69.439141470566838</v>
      </c>
      <c r="AP32" s="11">
        <f t="shared" si="17"/>
        <v>69.439141470566838</v>
      </c>
      <c r="AQ32" s="11">
        <f t="shared" si="2"/>
        <v>19.288650408490788</v>
      </c>
      <c r="AR32" s="11">
        <f t="shared" si="3"/>
        <v>19.288650408490788</v>
      </c>
      <c r="AS32" s="5">
        <f t="shared" si="4"/>
        <v>0</v>
      </c>
      <c r="AT32">
        <f t="shared" si="18"/>
        <v>0</v>
      </c>
      <c r="AU32">
        <f t="shared" si="19"/>
        <v>0</v>
      </c>
      <c r="AV32" s="1" cm="1">
        <f t="array" ref="AV32">_xlfn.IFS(C32="Biomass_Corn", 1/F32*S32, C32="Biomass_Agri", 1/F32*V32, C32="Biomass_Wood", 1/F32*U32, C32="Biomass_Herb", 1/F32*T32)</f>
        <v>47.36676528599606</v>
      </c>
      <c r="AW32">
        <f t="shared" si="5"/>
        <v>0</v>
      </c>
      <c r="AX32">
        <f t="shared" si="6"/>
        <v>19.813046815154298</v>
      </c>
      <c r="AY32">
        <f t="shared" si="7"/>
        <v>10.476988295744883</v>
      </c>
      <c r="AZ32">
        <f t="shared" si="8"/>
        <v>0.25587717895410206</v>
      </c>
      <c r="BA32" s="1">
        <f t="shared" si="20"/>
        <v>1.1814672147281158E-6</v>
      </c>
      <c r="BB32" s="1">
        <f t="shared" si="21"/>
        <v>-8.4736654520709855</v>
      </c>
      <c r="BC32">
        <f t="shared" si="22"/>
        <v>1.2934678846765509E-4</v>
      </c>
      <c r="BD32">
        <f t="shared" si="23"/>
        <v>-0.137160009643162</v>
      </c>
      <c r="BE32" s="1">
        <f t="shared" si="24"/>
        <v>6.54271363264888</v>
      </c>
      <c r="BF32">
        <f t="shared" si="25"/>
        <v>-15.016249737931398</v>
      </c>
      <c r="BH32" s="9">
        <f t="shared" si="9"/>
        <v>1.6890000000000001</v>
      </c>
      <c r="BI32" s="10">
        <v>0.181048235160161</v>
      </c>
      <c r="BJ32" s="9">
        <v>0.23037490999999999</v>
      </c>
      <c r="BL32" s="10">
        <f t="shared" si="10"/>
        <v>0.90036782344474664</v>
      </c>
      <c r="BM32" s="10">
        <f t="shared" si="11"/>
        <v>0</v>
      </c>
      <c r="BN32" s="10">
        <f t="shared" si="12"/>
        <v>0.90036782344474664</v>
      </c>
      <c r="BP32" s="10">
        <f t="shared" si="13"/>
        <v>0.23037490999999999</v>
      </c>
      <c r="BQ32" s="10">
        <f t="shared" si="29"/>
        <v>0.53283290380158466</v>
      </c>
      <c r="BR32" s="10">
        <f t="shared" si="26"/>
        <v>0</v>
      </c>
      <c r="BS32" s="10">
        <f t="shared" si="27"/>
        <v>0.13716119111037672</v>
      </c>
      <c r="BT32" s="10">
        <f t="shared" si="28"/>
        <v>0</v>
      </c>
      <c r="BU32" s="10">
        <f t="shared" si="14"/>
        <v>0.90036900491196137</v>
      </c>
      <c r="BW32">
        <f t="shared" si="15"/>
        <v>-1.1814672147281158E-6</v>
      </c>
    </row>
    <row r="33" spans="2:75">
      <c r="B33" s="13" t="s">
        <v>104</v>
      </c>
      <c r="C33" s="12" t="s">
        <v>85</v>
      </c>
      <c r="D33" s="12">
        <v>0</v>
      </c>
      <c r="E33" s="12">
        <v>0</v>
      </c>
      <c r="F33" s="12">
        <v>1.8062</v>
      </c>
      <c r="G33" s="12">
        <v>0</v>
      </c>
      <c r="H33" s="12">
        <v>1.633</v>
      </c>
      <c r="I33" s="12">
        <v>0.24912258574124349</v>
      </c>
      <c r="J33" s="12">
        <v>0.96777163925506116</v>
      </c>
      <c r="K33" s="12">
        <v>0</v>
      </c>
      <c r="L33" s="12">
        <v>0</v>
      </c>
      <c r="M33" s="12">
        <v>293026.95</v>
      </c>
      <c r="N33" s="12">
        <v>154950.42000000001</v>
      </c>
      <c r="O33" s="12">
        <v>0.48</v>
      </c>
      <c r="Q33" s="15">
        <v>109.479795</v>
      </c>
      <c r="R33" s="15">
        <v>-21.506692000000001</v>
      </c>
      <c r="S33" s="15">
        <v>170</v>
      </c>
      <c r="T33" s="15">
        <v>137.93464800000001</v>
      </c>
      <c r="U33" s="15">
        <v>157.881351</v>
      </c>
      <c r="V33" s="15">
        <v>111.364845</v>
      </c>
      <c r="W33" s="16">
        <v>38.568981999999998</v>
      </c>
      <c r="X33" s="16">
        <v>63.762642</v>
      </c>
      <c r="Y33" s="15">
        <v>20.230252</v>
      </c>
      <c r="Z33" s="15">
        <v>17.952764999999999</v>
      </c>
      <c r="AA33" s="15"/>
      <c r="AB33" s="16">
        <v>73.605024</v>
      </c>
      <c r="AC33" s="16">
        <v>100.314611</v>
      </c>
      <c r="AD33" s="16">
        <v>87.395797999999999</v>
      </c>
      <c r="AE33" s="16">
        <v>114.70308199999999</v>
      </c>
      <c r="AF33" s="16">
        <v>70.567431999999997</v>
      </c>
      <c r="AG33" s="16">
        <v>97.538511999999997</v>
      </c>
      <c r="AH33" s="15">
        <v>13.325948</v>
      </c>
      <c r="AI33" s="15">
        <v>33.348799</v>
      </c>
      <c r="AJ33" s="15">
        <v>0</v>
      </c>
      <c r="AK33" s="15">
        <v>5000</v>
      </c>
      <c r="AM33" t="str">
        <f t="shared" si="0"/>
        <v>TX_Bio_Ethanol_CCS_20_Agri</v>
      </c>
      <c r="AN33" t="str">
        <f t="shared" si="1"/>
        <v>Biomass_Agri</v>
      </c>
      <c r="AO33" s="11">
        <f t="shared" si="16"/>
        <v>81.247674092999745</v>
      </c>
      <c r="AP33" s="11">
        <f t="shared" si="17"/>
        <v>81.247674092999759</v>
      </c>
      <c r="AQ33" s="11">
        <f t="shared" si="2"/>
        <v>22.568798359166596</v>
      </c>
      <c r="AR33" s="11">
        <f t="shared" si="3"/>
        <v>22.5687983591666</v>
      </c>
      <c r="AS33" s="5">
        <f t="shared" si="4"/>
        <v>0</v>
      </c>
      <c r="AT33">
        <f t="shared" si="18"/>
        <v>0</v>
      </c>
      <c r="AU33">
        <f t="shared" si="19"/>
        <v>0</v>
      </c>
      <c r="AV33" s="1" cm="1">
        <f t="array" ref="AV33">_xlfn.IFS(C33="Biomass_Corn", 1/F33*S33, C33="Biomass_Agri", 1/F33*V33, C33="Biomass_Wood", 1/F33*U33, C33="Biomass_Herb", 1/F33*T33)</f>
        <v>61.656984276381351</v>
      </c>
      <c r="AW33">
        <f t="shared" si="5"/>
        <v>0</v>
      </c>
      <c r="AX33">
        <f t="shared" si="6"/>
        <v>20.577618492164735</v>
      </c>
      <c r="AY33">
        <f t="shared" si="7"/>
        <v>10.881287976961479</v>
      </c>
      <c r="AZ33">
        <f t="shared" si="8"/>
        <v>0.26575130107407818</v>
      </c>
      <c r="BA33" s="1">
        <f t="shared" si="20"/>
        <v>-1.4464409785475141E-6</v>
      </c>
      <c r="BB33" s="1">
        <f t="shared" si="21"/>
        <v>-12.133809597520065</v>
      </c>
      <c r="BC33">
        <f t="shared" si="22"/>
        <v>-1.5835606181098123E-4</v>
      </c>
      <c r="BD33">
        <f t="shared" si="23"/>
        <v>-0.13792780329029952</v>
      </c>
      <c r="BE33" s="1">
        <f t="shared" si="24"/>
        <v>2.9663396754404361</v>
      </c>
      <c r="BF33">
        <f t="shared" si="25"/>
        <v>-15.100307629022316</v>
      </c>
      <c r="BH33" s="9">
        <f t="shared" si="9"/>
        <v>1.633</v>
      </c>
      <c r="BI33" s="10">
        <v>0.181048235160161</v>
      </c>
      <c r="BJ33" s="9">
        <v>0.23037490999999999</v>
      </c>
      <c r="BL33" s="10">
        <f t="shared" si="10"/>
        <v>0.90410807219577016</v>
      </c>
      <c r="BM33" s="10">
        <f t="shared" si="11"/>
        <v>0</v>
      </c>
      <c r="BN33" s="10">
        <f t="shared" si="12"/>
        <v>0.90410807219577016</v>
      </c>
      <c r="BP33" s="10">
        <f t="shared" si="13"/>
        <v>0.23037490999999999</v>
      </c>
      <c r="BQ33" s="10">
        <f t="shared" si="29"/>
        <v>0.53580535890547065</v>
      </c>
      <c r="BR33" s="10">
        <f t="shared" si="26"/>
        <v>0</v>
      </c>
      <c r="BS33" s="10">
        <f t="shared" si="27"/>
        <v>0.13792635684932095</v>
      </c>
      <c r="BT33" s="10">
        <f t="shared" si="28"/>
        <v>0</v>
      </c>
      <c r="BU33" s="10">
        <f t="shared" si="14"/>
        <v>0.90410662575479162</v>
      </c>
      <c r="BW33">
        <f t="shared" si="15"/>
        <v>1.4464409785475141E-6</v>
      </c>
    </row>
    <row r="34" spans="2:75">
      <c r="B34" s="13" t="s">
        <v>105</v>
      </c>
      <c r="C34" s="12" t="s">
        <v>73</v>
      </c>
      <c r="D34" s="12">
        <v>0</v>
      </c>
      <c r="E34" s="12">
        <v>0.26319999999999999</v>
      </c>
      <c r="F34" s="12">
        <v>1.9847999999999999</v>
      </c>
      <c r="G34" s="12">
        <v>0</v>
      </c>
      <c r="H34" s="12">
        <v>1.7230000000000001</v>
      </c>
      <c r="I34" s="12">
        <v>1.0913384446313901</v>
      </c>
      <c r="J34" s="12">
        <v>0.1744217555905887</v>
      </c>
      <c r="K34" s="12">
        <v>0</v>
      </c>
      <c r="L34" s="12">
        <v>0</v>
      </c>
      <c r="M34" s="12">
        <v>520155.64</v>
      </c>
      <c r="N34" s="12">
        <v>279265.62</v>
      </c>
      <c r="O34" s="12">
        <v>1.67</v>
      </c>
      <c r="Q34" s="15">
        <v>109.479795</v>
      </c>
      <c r="R34" s="15">
        <v>-31.70346</v>
      </c>
      <c r="S34" s="15">
        <v>170</v>
      </c>
      <c r="T34" s="15">
        <v>110.461518</v>
      </c>
      <c r="U34" s="15">
        <v>127.408748</v>
      </c>
      <c r="V34" s="15">
        <v>98.832477999999995</v>
      </c>
      <c r="W34" s="16">
        <v>38.544687000000003</v>
      </c>
      <c r="X34" s="16">
        <v>63.762642</v>
      </c>
      <c r="Y34" s="15">
        <v>25.324636999999999</v>
      </c>
      <c r="Z34" s="15">
        <v>24.781272999999999</v>
      </c>
      <c r="AA34" s="15"/>
      <c r="AB34" s="16">
        <v>73.605024</v>
      </c>
      <c r="AC34" s="16">
        <v>100.314611</v>
      </c>
      <c r="AD34" s="16">
        <v>87.395797999999999</v>
      </c>
      <c r="AE34" s="16">
        <v>114.70308199999999</v>
      </c>
      <c r="AF34" s="16">
        <v>70.567431999999997</v>
      </c>
      <c r="AG34" s="16">
        <v>97.538511999999997</v>
      </c>
      <c r="AH34" s="15">
        <v>13.421913</v>
      </c>
      <c r="AI34" s="15">
        <v>33.444763999999999</v>
      </c>
      <c r="AJ34" s="15">
        <v>0</v>
      </c>
      <c r="AK34" s="15">
        <v>5000</v>
      </c>
      <c r="AM34" t="str">
        <f t="shared" si="0"/>
        <v>CEN_Bio_Ethanol_CCS_86_Herb</v>
      </c>
      <c r="AN34" t="str">
        <f t="shared" si="1"/>
        <v>Biomass_Herb</v>
      </c>
      <c r="AO34" s="11">
        <f t="shared" si="16"/>
        <v>68.175884967921675</v>
      </c>
      <c r="AP34" s="11">
        <f t="shared" si="17"/>
        <v>68.175884967921675</v>
      </c>
      <c r="AQ34" s="11">
        <f t="shared" si="2"/>
        <v>18.937745824422688</v>
      </c>
      <c r="AR34" s="11">
        <f t="shared" si="3"/>
        <v>18.937745824422688</v>
      </c>
      <c r="AS34" s="5">
        <f t="shared" si="4"/>
        <v>0</v>
      </c>
      <c r="AT34">
        <f t="shared" si="18"/>
        <v>0</v>
      </c>
      <c r="AU34">
        <f t="shared" si="19"/>
        <v>3.3582448903667879</v>
      </c>
      <c r="AV34" s="1" cm="1">
        <f t="array" ref="AV34">_xlfn.IFS(C34="Biomass_Corn", 1/F34*S34, C34="Biomass_Agri", 1/F34*V34, C34="Biomass_Wood", 1/F34*U34, C34="Biomass_Herb", 1/F34*T34)</f>
        <v>55.653727327690454</v>
      </c>
      <c r="AW34">
        <f t="shared" si="5"/>
        <v>0</v>
      </c>
      <c r="AX34">
        <f t="shared" si="6"/>
        <v>33.240683481624224</v>
      </c>
      <c r="AY34">
        <f t="shared" si="7"/>
        <v>17.846543164887237</v>
      </c>
      <c r="AZ34">
        <f t="shared" si="8"/>
        <v>0.8413945989520355</v>
      </c>
      <c r="BA34" s="1">
        <f t="shared" si="20"/>
        <v>4.192659199153681E-6</v>
      </c>
      <c r="BB34" s="1">
        <f t="shared" si="21"/>
        <v>-42.765167507068689</v>
      </c>
      <c r="BC34">
        <f t="shared" si="22"/>
        <v>4.5901146962820915E-4</v>
      </c>
      <c r="BD34">
        <f t="shared" si="23"/>
        <v>-0.54984387497048148</v>
      </c>
      <c r="BE34" s="1">
        <f t="shared" si="24"/>
        <v>17.432086218174874</v>
      </c>
      <c r="BF34">
        <f t="shared" si="25"/>
        <v>-60.19679471377394</v>
      </c>
      <c r="BH34" s="9">
        <f t="shared" si="9"/>
        <v>1.7230000000000001</v>
      </c>
      <c r="BI34" s="10">
        <v>0.181048235160161</v>
      </c>
      <c r="BJ34" s="9">
        <v>0.23037490999999999</v>
      </c>
      <c r="BL34" s="10">
        <f t="shared" si="10"/>
        <v>0.86809754131398642</v>
      </c>
      <c r="BM34" s="10">
        <f t="shared" si="11"/>
        <v>0</v>
      </c>
      <c r="BN34" s="10">
        <f t="shared" si="12"/>
        <v>0.86809754131398642</v>
      </c>
      <c r="BP34" s="10">
        <f t="shared" si="13"/>
        <v>0.23037490999999999</v>
      </c>
      <c r="BQ34" s="10">
        <f t="shared" si="29"/>
        <v>8.7878756343504991E-2</v>
      </c>
      <c r="BR34" s="10">
        <f t="shared" si="26"/>
        <v>0</v>
      </c>
      <c r="BS34" s="10">
        <f t="shared" si="27"/>
        <v>0.54984806762968064</v>
      </c>
      <c r="BT34" s="10">
        <f t="shared" si="28"/>
        <v>0</v>
      </c>
      <c r="BU34" s="10">
        <f t="shared" si="14"/>
        <v>0.86810173397318557</v>
      </c>
      <c r="BW34">
        <f t="shared" si="15"/>
        <v>-4.192659199153681E-6</v>
      </c>
    </row>
    <row r="35" spans="2:75">
      <c r="B35" s="13" t="s">
        <v>106</v>
      </c>
      <c r="C35" s="12" t="s">
        <v>73</v>
      </c>
      <c r="D35" s="12">
        <v>0</v>
      </c>
      <c r="E35" s="12">
        <v>0.26319999999999999</v>
      </c>
      <c r="F35" s="12">
        <v>1.9923999999999999</v>
      </c>
      <c r="G35" s="12">
        <v>0</v>
      </c>
      <c r="H35" s="12">
        <v>1.736</v>
      </c>
      <c r="I35" s="12">
        <v>1.10103326235625</v>
      </c>
      <c r="J35" s="12">
        <v>0.17597121729609291</v>
      </c>
      <c r="K35" s="12">
        <v>0</v>
      </c>
      <c r="L35" s="12">
        <v>0</v>
      </c>
      <c r="M35" s="12">
        <v>520155.64</v>
      </c>
      <c r="N35" s="12">
        <v>279265.62</v>
      </c>
      <c r="O35" s="12">
        <v>1.67</v>
      </c>
      <c r="Q35" s="15">
        <v>109.479795</v>
      </c>
      <c r="R35" s="15">
        <v>-54.115442999999999</v>
      </c>
      <c r="S35" s="15">
        <v>170</v>
      </c>
      <c r="T35" s="15">
        <v>100.77374399999999</v>
      </c>
      <c r="U35" s="15">
        <v>108.668072</v>
      </c>
      <c r="V35" s="15">
        <v>89.424565000000001</v>
      </c>
      <c r="W35" s="16">
        <v>39.342497000000002</v>
      </c>
      <c r="X35" s="16">
        <v>63.762642</v>
      </c>
      <c r="Y35" s="15">
        <v>39.359471999999997</v>
      </c>
      <c r="Z35" s="15">
        <v>31.113724999999999</v>
      </c>
      <c r="AA35" s="15"/>
      <c r="AB35" s="16">
        <v>73.605024</v>
      </c>
      <c r="AC35" s="16">
        <v>100.314611</v>
      </c>
      <c r="AD35" s="16">
        <v>87.395797999999999</v>
      </c>
      <c r="AE35" s="16">
        <v>114.70308199999999</v>
      </c>
      <c r="AF35" s="16">
        <v>70.567431999999997</v>
      </c>
      <c r="AG35" s="16">
        <v>97.538511999999997</v>
      </c>
      <c r="AH35" s="15">
        <v>13.423121999999999</v>
      </c>
      <c r="AI35" s="15">
        <v>33.445973000000002</v>
      </c>
      <c r="AJ35" s="15">
        <v>0</v>
      </c>
      <c r="AK35" s="15">
        <v>5000</v>
      </c>
      <c r="AM35" t="str">
        <f t="shared" si="0"/>
        <v>MIDAT_Bio_Ethanol_CCS_86_Herb</v>
      </c>
      <c r="AN35" t="str">
        <f t="shared" si="1"/>
        <v>Biomass_Herb</v>
      </c>
      <c r="AO35" s="11">
        <f t="shared" si="16"/>
        <v>76.914007789455766</v>
      </c>
      <c r="AP35" s="11">
        <f t="shared" si="17"/>
        <v>76.914007789455766</v>
      </c>
      <c r="AQ35" s="11">
        <f t="shared" si="2"/>
        <v>21.365002163737714</v>
      </c>
      <c r="AR35" s="11">
        <f t="shared" si="3"/>
        <v>21.365002163737714</v>
      </c>
      <c r="AS35" s="5">
        <f t="shared" si="4"/>
        <v>0</v>
      </c>
      <c r="AT35">
        <f t="shared" si="18"/>
        <v>0</v>
      </c>
      <c r="AU35">
        <f t="shared" si="19"/>
        <v>5.1994644802248535</v>
      </c>
      <c r="AV35" s="1" cm="1">
        <f t="array" ref="AV35">_xlfn.IFS(C35="Biomass_Corn", 1/F35*S35, C35="Biomass_Agri", 1/F35*V35, C35="Biomass_Wood", 1/F35*U35, C35="Biomass_Herb", 1/F35*T35)</f>
        <v>50.579072475406548</v>
      </c>
      <c r="AW35">
        <f t="shared" si="5"/>
        <v>0</v>
      </c>
      <c r="AX35">
        <f t="shared" si="6"/>
        <v>33.113887057984215</v>
      </c>
      <c r="AY35">
        <f t="shared" si="7"/>
        <v>17.778467613766406</v>
      </c>
      <c r="AZ35">
        <f t="shared" si="8"/>
        <v>0.83818510339289298</v>
      </c>
      <c r="BA35" s="1">
        <f t="shared" si="20"/>
        <v>1.73174881690219E-6</v>
      </c>
      <c r="BB35" s="1">
        <f t="shared" si="21"/>
        <v>-30.595258532824619</v>
      </c>
      <c r="BC35">
        <f t="shared" si="22"/>
        <v>1.895915054659443E-4</v>
      </c>
      <c r="BD35">
        <f t="shared" si="23"/>
        <v>-0.5526148424111158</v>
      </c>
      <c r="BE35" s="1">
        <f t="shared" si="24"/>
        <v>29.905090719807109</v>
      </c>
      <c r="BF35">
        <f t="shared" si="25"/>
        <v>-60.500159661126261</v>
      </c>
      <c r="BH35" s="9">
        <f t="shared" si="9"/>
        <v>1.736</v>
      </c>
      <c r="BI35" s="10">
        <v>0.181048235160161</v>
      </c>
      <c r="BJ35" s="9">
        <v>0.23037490999999999</v>
      </c>
      <c r="BL35" s="10">
        <f t="shared" si="10"/>
        <v>0.8713109817305762</v>
      </c>
      <c r="BM35" s="10">
        <f t="shared" si="11"/>
        <v>0</v>
      </c>
      <c r="BN35" s="10">
        <f t="shared" si="12"/>
        <v>0.8713109817305762</v>
      </c>
      <c r="BP35" s="10">
        <f t="shared" si="13"/>
        <v>0.23037490999999999</v>
      </c>
      <c r="BQ35" s="10">
        <f t="shared" si="29"/>
        <v>8.8321229319460404E-2</v>
      </c>
      <c r="BR35" s="10">
        <f t="shared" si="26"/>
        <v>0</v>
      </c>
      <c r="BS35" s="10">
        <f t="shared" si="27"/>
        <v>0.55261657415993271</v>
      </c>
      <c r="BT35" s="10">
        <f t="shared" si="28"/>
        <v>0</v>
      </c>
      <c r="BU35" s="10">
        <f t="shared" si="14"/>
        <v>0.8713127134793931</v>
      </c>
      <c r="BW35">
        <f t="shared" si="15"/>
        <v>-1.73174881690219E-6</v>
      </c>
    </row>
    <row r="36" spans="2:75">
      <c r="B36" s="13" t="s">
        <v>107</v>
      </c>
      <c r="C36" s="12" t="s">
        <v>73</v>
      </c>
      <c r="D36" s="12">
        <v>0</v>
      </c>
      <c r="E36" s="12">
        <v>0.26319999999999999</v>
      </c>
      <c r="F36" s="12">
        <v>1.9966999999999999</v>
      </c>
      <c r="G36" s="12">
        <v>0</v>
      </c>
      <c r="H36" s="12">
        <v>1.74</v>
      </c>
      <c r="I36" s="12">
        <v>1.1036170439133131</v>
      </c>
      <c r="J36" s="12">
        <v>0.17638416684209529</v>
      </c>
      <c r="K36" s="12">
        <v>0</v>
      </c>
      <c r="L36" s="12">
        <v>0</v>
      </c>
      <c r="M36" s="12">
        <v>520155.64</v>
      </c>
      <c r="N36" s="12">
        <v>279265.62</v>
      </c>
      <c r="O36" s="12">
        <v>1.67</v>
      </c>
      <c r="Q36" s="15">
        <v>109.479795</v>
      </c>
      <c r="R36" s="15">
        <v>-41.717134999999999</v>
      </c>
      <c r="S36" s="15">
        <v>170</v>
      </c>
      <c r="T36" s="15">
        <v>104.167382</v>
      </c>
      <c r="U36" s="15">
        <v>115.52638899999999</v>
      </c>
      <c r="V36" s="15">
        <v>92.044978</v>
      </c>
      <c r="W36" s="16">
        <v>38.682254</v>
      </c>
      <c r="X36" s="16">
        <v>63.762642</v>
      </c>
      <c r="Y36" s="15">
        <v>30.708172999999999</v>
      </c>
      <c r="Z36" s="15">
        <v>26.913516000000001</v>
      </c>
      <c r="AA36" s="15"/>
      <c r="AB36" s="16">
        <v>73.605024</v>
      </c>
      <c r="AC36" s="16">
        <v>100.314611</v>
      </c>
      <c r="AD36" s="16">
        <v>87.395797999999999</v>
      </c>
      <c r="AE36" s="16">
        <v>114.70308199999999</v>
      </c>
      <c r="AF36" s="16">
        <v>70.567431999999997</v>
      </c>
      <c r="AG36" s="16">
        <v>97.538511999999997</v>
      </c>
      <c r="AH36" s="15">
        <v>13.422003</v>
      </c>
      <c r="AI36" s="15">
        <v>33.444853999999999</v>
      </c>
      <c r="AJ36" s="15">
        <v>0</v>
      </c>
      <c r="AK36" s="15">
        <v>5000</v>
      </c>
      <c r="AM36" t="str">
        <f t="shared" ref="AM36:AM67" si="30">B36</f>
        <v>NCEN_Bio_Ethanol_CCS_86_Herb</v>
      </c>
      <c r="AN36" t="str">
        <f t="shared" ref="AN36:AN67" si="31">C36</f>
        <v>Biomass_Herb</v>
      </c>
      <c r="AO36" s="11">
        <f t="shared" ref="AO36:AO67" si="32">SUM(AT36:AZ36)+BB36+BC36</f>
        <v>70.382464138177014</v>
      </c>
      <c r="AP36" s="11">
        <f t="shared" ref="AP36:AP67" si="33">SUM(AT36:AZ36)+BE36+BF36</f>
        <v>70.382464138177028</v>
      </c>
      <c r="AQ36" s="11">
        <f t="shared" ref="AQ36:AQ67" si="34">AO36/3.6</f>
        <v>19.550684482826949</v>
      </c>
      <c r="AR36" s="11">
        <f t="shared" ref="AR36:AR67" si="35">AP36/3.6</f>
        <v>19.550684482826952</v>
      </c>
      <c r="AS36" s="5">
        <f t="shared" ref="AS36:AS67" si="36">AO36-AP36</f>
        <v>0</v>
      </c>
      <c r="AT36">
        <f t="shared" ref="AT36:AT67" si="37">D36/F36*Y36*-1</f>
        <v>0</v>
      </c>
      <c r="AU36">
        <f t="shared" ref="AU36:AU67" si="38">E36/F36*Y36</f>
        <v>4.0478745598237085</v>
      </c>
      <c r="AV36" s="1" cm="1">
        <f t="array" ref="AV36">_xlfn.IFS(C36="Biomass_Corn", 1/F36*S36, C36="Biomass_Agri", 1/F36*V36, C36="Biomass_Wood", 1/F36*U36, C36="Biomass_Herb", 1/F36*T36)</f>
        <v>52.169771122351882</v>
      </c>
      <c r="AW36">
        <f t="shared" ref="AW36:AW67" si="39">G36/F36*AH36</f>
        <v>0</v>
      </c>
      <c r="AX36">
        <f t="shared" ref="AX36:AX67" si="40">M36/F36/(0.9*8760)</f>
        <v>33.042574535146869</v>
      </c>
      <c r="AY36">
        <f t="shared" ref="AY36:AY67" si="41">N36/F36/(0.9*8760)</f>
        <v>17.740180735046923</v>
      </c>
      <c r="AZ36">
        <f t="shared" ref="AZ36:AZ67" si="42">O36/F36</f>
        <v>0.83638002704462366</v>
      </c>
      <c r="BA36" s="1">
        <f t="shared" si="20"/>
        <v>-4.6108316680282257E-6</v>
      </c>
      <c r="BB36" s="1">
        <f t="shared" si="21"/>
        <v>-37.453812048331194</v>
      </c>
      <c r="BC36">
        <f t="shared" ref="BC36:BC67" si="43">BA36*Q36</f>
        <v>-5.0479290579523819E-4</v>
      </c>
      <c r="BD36">
        <f t="shared" ref="BD36:BD67" si="44">SUM(BP36:BR36)-BL36</f>
        <v>-0.55272512163114373</v>
      </c>
      <c r="BE36" s="1">
        <f t="shared" si="24"/>
        <v>23.057916166290685</v>
      </c>
      <c r="BF36">
        <f t="shared" ref="BF36:BF67" si="45">BD36*Q36</f>
        <v>-60.512233007527676</v>
      </c>
      <c r="BH36" s="9">
        <f t="shared" ref="BH36:BH67" si="46">H36</f>
        <v>1.74</v>
      </c>
      <c r="BI36" s="10">
        <v>0.181048235160161</v>
      </c>
      <c r="BJ36" s="9">
        <v>0.23037490999999999</v>
      </c>
      <c r="BL36" s="10">
        <f t="shared" ref="BL36:BL67" si="47">BH36/F36</f>
        <v>0.87143787248960791</v>
      </c>
      <c r="BM36" s="10">
        <f t="shared" ref="BM36:BM67" si="48">BI36*G36/F36</f>
        <v>0</v>
      </c>
      <c r="BN36" s="10">
        <f t="shared" ref="BN36:BN67" si="49">SUM(BL36:BM36)</f>
        <v>0.87143787248960791</v>
      </c>
      <c r="BP36" s="10">
        <f t="shared" ref="BP36:BP67" si="50">BJ36</f>
        <v>0.23037490999999999</v>
      </c>
      <c r="BQ36" s="10">
        <f t="shared" ref="BQ36:BQ67" si="51">J36/F36</f>
        <v>8.833784085846412E-2</v>
      </c>
      <c r="BR36" s="10">
        <f t="shared" ref="BR36:BR67" si="52">L36/F36</f>
        <v>0</v>
      </c>
      <c r="BS36" s="10">
        <f t="shared" ref="BS36:BS67" si="53">I36/F36</f>
        <v>0.55272051079947571</v>
      </c>
      <c r="BT36" s="10">
        <f t="shared" ref="BT36:BT67" si="54">K36/F36</f>
        <v>0</v>
      </c>
      <c r="BU36" s="10">
        <f t="shared" ref="BU36:BU67" si="55">SUM(BP36:BT36)</f>
        <v>0.87143326165793988</v>
      </c>
      <c r="BW36">
        <f t="shared" ref="BW36:BW67" si="56">BN36-BU36</f>
        <v>4.6108316680282257E-6</v>
      </c>
    </row>
    <row r="37" spans="2:75">
      <c r="B37" s="13" t="s">
        <v>108</v>
      </c>
      <c r="C37" s="12" t="s">
        <v>73</v>
      </c>
      <c r="D37" s="12">
        <v>0</v>
      </c>
      <c r="E37" s="12">
        <v>0.26319999999999999</v>
      </c>
      <c r="F37" s="12">
        <v>1.9815</v>
      </c>
      <c r="G37" s="12">
        <v>0</v>
      </c>
      <c r="H37" s="12">
        <v>1.7170000000000001</v>
      </c>
      <c r="I37" s="12">
        <v>1.0868140084635931</v>
      </c>
      <c r="J37" s="12">
        <v>0.1736986434310869</v>
      </c>
      <c r="K37" s="12">
        <v>0</v>
      </c>
      <c r="L37" s="12">
        <v>0</v>
      </c>
      <c r="M37" s="12">
        <v>520155.64</v>
      </c>
      <c r="N37" s="12">
        <v>279265.62</v>
      </c>
      <c r="O37" s="12">
        <v>1.67</v>
      </c>
      <c r="Q37" s="15">
        <v>109.479795</v>
      </c>
      <c r="R37" s="15">
        <v>-47.70091</v>
      </c>
      <c r="S37" s="15">
        <v>170</v>
      </c>
      <c r="T37" s="15">
        <v>99.632842999999994</v>
      </c>
      <c r="U37" s="15">
        <v>113.227017</v>
      </c>
      <c r="V37" s="15">
        <v>88.855315000000004</v>
      </c>
      <c r="W37" s="16">
        <v>39.264408000000003</v>
      </c>
      <c r="X37" s="16">
        <v>63.762642</v>
      </c>
      <c r="Y37" s="15">
        <v>38.218446</v>
      </c>
      <c r="Z37" s="15">
        <v>29.735685</v>
      </c>
      <c r="AA37" s="15"/>
      <c r="AB37" s="16">
        <v>73.605024</v>
      </c>
      <c r="AC37" s="16">
        <v>100.314611</v>
      </c>
      <c r="AD37" s="16">
        <v>87.395797999999999</v>
      </c>
      <c r="AE37" s="16">
        <v>114.70308199999999</v>
      </c>
      <c r="AF37" s="16">
        <v>70.567431999999997</v>
      </c>
      <c r="AG37" s="16">
        <v>97.538511999999997</v>
      </c>
      <c r="AH37" s="15">
        <v>13.421908</v>
      </c>
      <c r="AI37" s="15">
        <v>33.444758999999998</v>
      </c>
      <c r="AJ37" s="15">
        <v>0</v>
      </c>
      <c r="AK37" s="15">
        <v>5000</v>
      </c>
      <c r="AM37" t="str">
        <f t="shared" si="30"/>
        <v>SE_Bio_Ethanol_CCS_86_Herb</v>
      </c>
      <c r="AN37" t="str">
        <f t="shared" si="31"/>
        <v>Biomass_Herb</v>
      </c>
      <c r="AO37" s="11">
        <f t="shared" si="32"/>
        <v>73.488653281674729</v>
      </c>
      <c r="AP37" s="11">
        <f t="shared" si="33"/>
        <v>73.488653281674715</v>
      </c>
      <c r="AQ37" s="11">
        <f t="shared" si="34"/>
        <v>20.413514800465201</v>
      </c>
      <c r="AR37" s="11">
        <f t="shared" si="35"/>
        <v>20.413514800465197</v>
      </c>
      <c r="AS37" s="5">
        <f t="shared" si="36"/>
        <v>0</v>
      </c>
      <c r="AT37">
        <f t="shared" si="37"/>
        <v>0</v>
      </c>
      <c r="AU37">
        <f t="shared" si="38"/>
        <v>5.076505166389099</v>
      </c>
      <c r="AV37" s="1" cm="1">
        <f t="array" ref="AV37">_xlfn.IFS(C37="Biomass_Corn", 1/F37*S37, C37="Biomass_Agri", 1/F37*V37, C37="Biomass_Wood", 1/F37*U37, C37="Biomass_Herb", 1/F37*T37)</f>
        <v>50.281525611910162</v>
      </c>
      <c r="AW37">
        <f t="shared" si="39"/>
        <v>0</v>
      </c>
      <c r="AX37">
        <f t="shared" si="40"/>
        <v>33.296042681972118</v>
      </c>
      <c r="AY37">
        <f t="shared" si="41"/>
        <v>17.876264887039209</v>
      </c>
      <c r="AZ37">
        <f t="shared" si="42"/>
        <v>0.84279586172091847</v>
      </c>
      <c r="BA37" s="1">
        <f t="shared" si="20"/>
        <v>2.7053226336892777E-7</v>
      </c>
      <c r="BB37" s="1">
        <f t="shared" si="21"/>
        <v>-33.884510545173519</v>
      </c>
      <c r="BC37">
        <f t="shared" si="43"/>
        <v>2.9617816734516221E-5</v>
      </c>
      <c r="BD37">
        <f t="shared" si="44"/>
        <v>-0.54848017784704173</v>
      </c>
      <c r="BE37" s="1">
        <f t="shared" si="24"/>
        <v>26.163016504900877</v>
      </c>
      <c r="BF37">
        <f t="shared" si="45"/>
        <v>-60.047497432257664</v>
      </c>
      <c r="BH37" s="9">
        <f t="shared" si="46"/>
        <v>1.7170000000000001</v>
      </c>
      <c r="BI37" s="10">
        <v>0.181048235160161</v>
      </c>
      <c r="BJ37" s="9">
        <v>0.23037490999999999</v>
      </c>
      <c r="BL37" s="10">
        <f t="shared" si="47"/>
        <v>0.86651526621246533</v>
      </c>
      <c r="BM37" s="10">
        <f t="shared" si="48"/>
        <v>0</v>
      </c>
      <c r="BN37" s="10">
        <f t="shared" si="49"/>
        <v>0.86651526621246533</v>
      </c>
      <c r="BP37" s="10">
        <f t="shared" si="50"/>
        <v>0.23037490999999999</v>
      </c>
      <c r="BQ37" s="10">
        <f t="shared" si="51"/>
        <v>8.7660178365423613E-2</v>
      </c>
      <c r="BR37" s="10">
        <f t="shared" si="52"/>
        <v>0</v>
      </c>
      <c r="BS37" s="10">
        <f t="shared" si="53"/>
        <v>0.5484804483793051</v>
      </c>
      <c r="BT37" s="10">
        <f t="shared" si="54"/>
        <v>0</v>
      </c>
      <c r="BU37" s="10">
        <f t="shared" si="55"/>
        <v>0.8665155367447287</v>
      </c>
      <c r="BW37">
        <f t="shared" si="56"/>
        <v>-2.7053226336892777E-7</v>
      </c>
    </row>
    <row r="38" spans="2:75">
      <c r="B38" s="13" t="s">
        <v>109</v>
      </c>
      <c r="C38" s="12" t="s">
        <v>73</v>
      </c>
      <c r="D38" s="12">
        <v>0</v>
      </c>
      <c r="E38" s="12">
        <v>0.26319999999999999</v>
      </c>
      <c r="F38" s="12">
        <v>1.9761</v>
      </c>
      <c r="G38" s="12">
        <v>0</v>
      </c>
      <c r="H38" s="12">
        <v>1.714</v>
      </c>
      <c r="I38" s="12">
        <v>1.085308681517265</v>
      </c>
      <c r="J38" s="12">
        <v>0.1734580564985839</v>
      </c>
      <c r="K38" s="12">
        <v>0</v>
      </c>
      <c r="L38" s="12">
        <v>0</v>
      </c>
      <c r="M38" s="12">
        <v>520155.64</v>
      </c>
      <c r="N38" s="12">
        <v>279265.62</v>
      </c>
      <c r="O38" s="12">
        <v>1.67</v>
      </c>
      <c r="Q38" s="15">
        <v>109.479795</v>
      </c>
      <c r="R38" s="15">
        <v>-21.506692000000001</v>
      </c>
      <c r="S38" s="15">
        <v>170</v>
      </c>
      <c r="T38" s="15">
        <v>137.93464800000001</v>
      </c>
      <c r="U38" s="15">
        <v>157.881351</v>
      </c>
      <c r="V38" s="15">
        <v>111.364845</v>
      </c>
      <c r="W38" s="16">
        <v>38.568981999999998</v>
      </c>
      <c r="X38" s="16">
        <v>63.762642</v>
      </c>
      <c r="Y38" s="15">
        <v>20.230252</v>
      </c>
      <c r="Z38" s="15">
        <v>17.952764999999999</v>
      </c>
      <c r="AA38" s="15"/>
      <c r="AB38" s="16">
        <v>73.605024</v>
      </c>
      <c r="AC38" s="16">
        <v>100.314611</v>
      </c>
      <c r="AD38" s="16">
        <v>87.395797999999999</v>
      </c>
      <c r="AE38" s="16">
        <v>114.70308199999999</v>
      </c>
      <c r="AF38" s="16">
        <v>70.567431999999997</v>
      </c>
      <c r="AG38" s="16">
        <v>97.538511999999997</v>
      </c>
      <c r="AH38" s="15">
        <v>13.325948</v>
      </c>
      <c r="AI38" s="15">
        <v>33.348799</v>
      </c>
      <c r="AJ38" s="15">
        <v>0</v>
      </c>
      <c r="AK38" s="15">
        <v>5000</v>
      </c>
      <c r="AM38" t="str">
        <f t="shared" si="30"/>
        <v>TX_Bio_Ethanol_CCS_86_Herb</v>
      </c>
      <c r="AN38" t="str">
        <f t="shared" si="31"/>
        <v>Biomass_Herb</v>
      </c>
      <c r="AO38" s="11">
        <f t="shared" si="32"/>
        <v>76.337414897463447</v>
      </c>
      <c r="AP38" s="11">
        <f t="shared" si="33"/>
        <v>76.337414897463447</v>
      </c>
      <c r="AQ38" s="11">
        <f t="shared" si="34"/>
        <v>21.204837471517624</v>
      </c>
      <c r="AR38" s="11">
        <f t="shared" si="35"/>
        <v>21.204837471517624</v>
      </c>
      <c r="AS38" s="5">
        <f t="shared" si="36"/>
        <v>0</v>
      </c>
      <c r="AT38">
        <f t="shared" si="37"/>
        <v>0</v>
      </c>
      <c r="AU38">
        <f t="shared" si="38"/>
        <v>2.6945004434998232</v>
      </c>
      <c r="AV38" s="1" cm="1">
        <f t="array" ref="AV38">_xlfn.IFS(C38="Biomass_Corn", 1/F38*S38, C38="Biomass_Agri", 1/F38*V38, C38="Biomass_Wood", 1/F38*U38, C38="Biomass_Herb", 1/F38*T38)</f>
        <v>69.801451343555485</v>
      </c>
      <c r="AW38">
        <f t="shared" si="39"/>
        <v>0</v>
      </c>
      <c r="AX38">
        <f t="shared" si="40"/>
        <v>33.387029287145261</v>
      </c>
      <c r="AY38">
        <f t="shared" si="41"/>
        <v>17.925114555775615</v>
      </c>
      <c r="AZ38">
        <f t="shared" si="42"/>
        <v>0.84509893224027122</v>
      </c>
      <c r="BA38" s="1">
        <f t="shared" si="20"/>
        <v>5.3629203223826138E-6</v>
      </c>
      <c r="BB38" s="1">
        <f t="shared" si="21"/>
        <v>-48.316366796170506</v>
      </c>
      <c r="BC38">
        <f t="shared" si="43"/>
        <v>5.8713141749578248E-4</v>
      </c>
      <c r="BD38">
        <f t="shared" si="44"/>
        <v>-0.54921212684095744</v>
      </c>
      <c r="BE38" s="1">
        <f t="shared" si="24"/>
        <v>11.811851393308999</v>
      </c>
      <c r="BF38">
        <f t="shared" si="45"/>
        <v>-60.127631058062015</v>
      </c>
      <c r="BH38" s="9">
        <f t="shared" si="46"/>
        <v>1.714</v>
      </c>
      <c r="BI38" s="10">
        <v>0.181048235160161</v>
      </c>
      <c r="BJ38" s="9">
        <v>0.23037490999999999</v>
      </c>
      <c r="BL38" s="10">
        <f t="shared" si="47"/>
        <v>0.86736501189211068</v>
      </c>
      <c r="BM38" s="10">
        <f t="shared" si="48"/>
        <v>0</v>
      </c>
      <c r="BN38" s="10">
        <f t="shared" si="49"/>
        <v>0.86736501189211068</v>
      </c>
      <c r="BP38" s="10">
        <f t="shared" si="50"/>
        <v>0.23037490999999999</v>
      </c>
      <c r="BQ38" s="10">
        <f t="shared" si="51"/>
        <v>8.7777975051153229E-2</v>
      </c>
      <c r="BR38" s="10">
        <f t="shared" si="52"/>
        <v>0</v>
      </c>
      <c r="BS38" s="10">
        <f t="shared" si="53"/>
        <v>0.54921748976127982</v>
      </c>
      <c r="BT38" s="10">
        <f t="shared" si="54"/>
        <v>0</v>
      </c>
      <c r="BU38" s="10">
        <f t="shared" si="55"/>
        <v>0.86737037481243306</v>
      </c>
      <c r="BW38">
        <f t="shared" si="56"/>
        <v>-5.3629203223826138E-6</v>
      </c>
    </row>
    <row r="39" spans="2:75">
      <c r="B39" s="13" t="s">
        <v>110</v>
      </c>
      <c r="C39" s="12" t="s">
        <v>79</v>
      </c>
      <c r="D39" s="12">
        <v>0</v>
      </c>
      <c r="E39" s="12">
        <v>0.26319999999999999</v>
      </c>
      <c r="F39" s="12">
        <v>2.0762</v>
      </c>
      <c r="G39" s="12">
        <v>0</v>
      </c>
      <c r="H39" s="12">
        <v>1.802</v>
      </c>
      <c r="I39" s="12">
        <v>1.1412868573297099</v>
      </c>
      <c r="J39" s="12">
        <v>0.18240469605663889</v>
      </c>
      <c r="K39" s="12">
        <v>0</v>
      </c>
      <c r="L39" s="12">
        <v>0</v>
      </c>
      <c r="M39" s="12">
        <v>520155.64</v>
      </c>
      <c r="N39" s="12">
        <v>279265.62</v>
      </c>
      <c r="O39" s="12">
        <v>1.67</v>
      </c>
      <c r="Q39" s="15">
        <v>109.479795</v>
      </c>
      <c r="R39" s="15">
        <v>-31.70346</v>
      </c>
      <c r="S39" s="15">
        <v>170</v>
      </c>
      <c r="T39" s="15">
        <v>110.461518</v>
      </c>
      <c r="U39" s="15">
        <v>127.408748</v>
      </c>
      <c r="V39" s="15">
        <v>98.832477999999995</v>
      </c>
      <c r="W39" s="16">
        <v>38.544687000000003</v>
      </c>
      <c r="X39" s="16">
        <v>63.762642</v>
      </c>
      <c r="Y39" s="15">
        <v>25.324636999999999</v>
      </c>
      <c r="Z39" s="15">
        <v>24.781272999999999</v>
      </c>
      <c r="AA39" s="15"/>
      <c r="AB39" s="16">
        <v>73.605024</v>
      </c>
      <c r="AC39" s="16">
        <v>100.314611</v>
      </c>
      <c r="AD39" s="16">
        <v>87.395797999999999</v>
      </c>
      <c r="AE39" s="16">
        <v>114.70308199999999</v>
      </c>
      <c r="AF39" s="16">
        <v>70.567431999999997</v>
      </c>
      <c r="AG39" s="16">
        <v>97.538511999999997</v>
      </c>
      <c r="AH39" s="15">
        <v>13.421913</v>
      </c>
      <c r="AI39" s="15">
        <v>33.444763999999999</v>
      </c>
      <c r="AJ39" s="15">
        <v>0</v>
      </c>
      <c r="AK39" s="15">
        <v>5000</v>
      </c>
      <c r="AM39" t="str">
        <f t="shared" si="30"/>
        <v>CEN_Bio_Ethanol_CCS_86_Wood</v>
      </c>
      <c r="AN39" t="str">
        <f t="shared" si="31"/>
        <v>Biomass_Wood</v>
      </c>
      <c r="AO39" s="11">
        <f t="shared" si="32"/>
        <v>71.465449686436187</v>
      </c>
      <c r="AP39" s="11">
        <f t="shared" si="33"/>
        <v>71.465449686436187</v>
      </c>
      <c r="AQ39" s="11">
        <f t="shared" si="34"/>
        <v>19.851513801787828</v>
      </c>
      <c r="AR39" s="11">
        <f t="shared" si="35"/>
        <v>19.851513801787828</v>
      </c>
      <c r="AS39" s="5">
        <f t="shared" si="36"/>
        <v>0</v>
      </c>
      <c r="AT39">
        <f t="shared" si="37"/>
        <v>0</v>
      </c>
      <c r="AU39">
        <f t="shared" si="38"/>
        <v>3.2104057693863788</v>
      </c>
      <c r="AV39" s="1" cm="1">
        <f t="array" ref="AV39">_xlfn.IFS(C39="Biomass_Corn", 1/F39*S39, C39="Biomass_Agri", 1/F39*V39, C39="Biomass_Wood", 1/F39*U39, C39="Biomass_Herb", 1/F39*T39)</f>
        <v>61.366317310471054</v>
      </c>
      <c r="AW39">
        <f t="shared" si="39"/>
        <v>0</v>
      </c>
      <c r="AX39">
        <f t="shared" si="40"/>
        <v>31.777337720030705</v>
      </c>
      <c r="AY39">
        <f t="shared" si="41"/>
        <v>17.06088954516337</v>
      </c>
      <c r="AZ39">
        <f t="shared" si="42"/>
        <v>0.8043541084673923</v>
      </c>
      <c r="BA39" s="1">
        <f t="shared" si="20"/>
        <v>-1.954759489053437E-6</v>
      </c>
      <c r="BB39" s="1">
        <f t="shared" si="21"/>
        <v>-42.753640760414562</v>
      </c>
      <c r="BC39">
        <f t="shared" si="43"/>
        <v>-2.1400666813587501E-4</v>
      </c>
      <c r="BD39">
        <f t="shared" si="44"/>
        <v>-0.54970181861157941</v>
      </c>
      <c r="BE39" s="1">
        <f t="shared" si="24"/>
        <v>17.427387645640191</v>
      </c>
      <c r="BF39">
        <f t="shared" si="45"/>
        <v>-60.181242412722895</v>
      </c>
      <c r="BH39" s="9">
        <f t="shared" si="46"/>
        <v>1.802</v>
      </c>
      <c r="BI39" s="10">
        <v>0.181048235160161</v>
      </c>
      <c r="BJ39" s="9">
        <v>0.23037490999999999</v>
      </c>
      <c r="BL39" s="10">
        <f t="shared" si="47"/>
        <v>0.86793179847798863</v>
      </c>
      <c r="BM39" s="10">
        <f t="shared" si="48"/>
        <v>0</v>
      </c>
      <c r="BN39" s="10">
        <f t="shared" si="49"/>
        <v>0.86793179847798863</v>
      </c>
      <c r="BP39" s="10">
        <f t="shared" si="50"/>
        <v>0.23037490999999999</v>
      </c>
      <c r="BQ39" s="10">
        <f t="shared" si="51"/>
        <v>8.7855069866409258E-2</v>
      </c>
      <c r="BR39" s="10">
        <f t="shared" si="52"/>
        <v>0</v>
      </c>
      <c r="BS39" s="10">
        <f t="shared" si="53"/>
        <v>0.54969986385209035</v>
      </c>
      <c r="BT39" s="10">
        <f t="shared" si="54"/>
        <v>0</v>
      </c>
      <c r="BU39" s="10">
        <f t="shared" si="55"/>
        <v>0.86792984371849957</v>
      </c>
      <c r="BW39">
        <f t="shared" si="56"/>
        <v>1.954759489053437E-6</v>
      </c>
    </row>
    <row r="40" spans="2:75">
      <c r="B40" s="13" t="s">
        <v>111</v>
      </c>
      <c r="C40" s="12" t="s">
        <v>79</v>
      </c>
      <c r="D40" s="12">
        <v>0</v>
      </c>
      <c r="E40" s="12">
        <v>0.26319999999999999</v>
      </c>
      <c r="F40" s="12">
        <v>2.0697000000000001</v>
      </c>
      <c r="G40" s="12">
        <v>0</v>
      </c>
      <c r="H40" s="12">
        <v>1.806</v>
      </c>
      <c r="I40" s="12">
        <v>1.1460331849941161</v>
      </c>
      <c r="J40" s="12">
        <v>0.1831632717376353</v>
      </c>
      <c r="K40" s="12">
        <v>0</v>
      </c>
      <c r="L40" s="12">
        <v>0</v>
      </c>
      <c r="M40" s="12">
        <v>520155.64</v>
      </c>
      <c r="N40" s="12">
        <v>279265.62</v>
      </c>
      <c r="O40" s="12">
        <v>1.67</v>
      </c>
      <c r="Q40" s="15">
        <v>109.479795</v>
      </c>
      <c r="R40" s="15">
        <v>-54.115442999999999</v>
      </c>
      <c r="S40" s="15">
        <v>170</v>
      </c>
      <c r="T40" s="15">
        <v>100.77374399999999</v>
      </c>
      <c r="U40" s="15">
        <v>108.668072</v>
      </c>
      <c r="V40" s="15">
        <v>89.424565000000001</v>
      </c>
      <c r="W40" s="16">
        <v>39.342497000000002</v>
      </c>
      <c r="X40" s="16">
        <v>63.762642</v>
      </c>
      <c r="Y40" s="15">
        <v>39.359471999999997</v>
      </c>
      <c r="Z40" s="15">
        <v>31.113724999999999</v>
      </c>
      <c r="AA40" s="15"/>
      <c r="AB40" s="16">
        <v>73.605024</v>
      </c>
      <c r="AC40" s="16">
        <v>100.314611</v>
      </c>
      <c r="AD40" s="16">
        <v>87.395797999999999</v>
      </c>
      <c r="AE40" s="16">
        <v>114.70308199999999</v>
      </c>
      <c r="AF40" s="16">
        <v>70.567431999999997</v>
      </c>
      <c r="AG40" s="16">
        <v>97.538511999999997</v>
      </c>
      <c r="AH40" s="15">
        <v>13.423121999999999</v>
      </c>
      <c r="AI40" s="15">
        <v>33.445973000000002</v>
      </c>
      <c r="AJ40" s="15">
        <v>0</v>
      </c>
      <c r="AK40" s="15">
        <v>5000</v>
      </c>
      <c r="AM40" t="str">
        <f t="shared" si="30"/>
        <v>MIDAT_Bio_Ethanol_CCS_86_Wood</v>
      </c>
      <c r="AN40" t="str">
        <f t="shared" si="31"/>
        <v>Biomass_Wood</v>
      </c>
      <c r="AO40" s="11">
        <f t="shared" si="32"/>
        <v>76.651882361369303</v>
      </c>
      <c r="AP40" s="11">
        <f t="shared" si="33"/>
        <v>76.651882361369317</v>
      </c>
      <c r="AQ40" s="11">
        <f t="shared" si="34"/>
        <v>21.292189544824804</v>
      </c>
      <c r="AR40" s="11">
        <f t="shared" si="35"/>
        <v>21.292189544824812</v>
      </c>
      <c r="AS40" s="5">
        <f t="shared" si="36"/>
        <v>0</v>
      </c>
      <c r="AT40">
        <f t="shared" si="37"/>
        <v>0</v>
      </c>
      <c r="AU40">
        <f t="shared" si="38"/>
        <v>5.0052727595303663</v>
      </c>
      <c r="AV40" s="1" cm="1">
        <f t="array" ref="AV40">_xlfn.IFS(C40="Biomass_Corn", 1/F40*S40, C40="Biomass_Agri", 1/F40*V40, C40="Biomass_Wood", 1/F40*U40, C40="Biomass_Herb", 1/F40*T40)</f>
        <v>52.50426245349567</v>
      </c>
      <c r="AW40">
        <f t="shared" si="39"/>
        <v>0</v>
      </c>
      <c r="AX40">
        <f t="shared" si="40"/>
        <v>31.877136094278278</v>
      </c>
      <c r="AY40">
        <f t="shared" si="41"/>
        <v>17.114470152035651</v>
      </c>
      <c r="AZ40">
        <f t="shared" si="42"/>
        <v>0.80688022418708016</v>
      </c>
      <c r="BA40" s="1">
        <f t="shared" si="20"/>
        <v>1.6465955218203376E-6</v>
      </c>
      <c r="BB40" s="1">
        <f t="shared" si="21"/>
        <v>-30.656319591097915</v>
      </c>
      <c r="BC40">
        <f t="shared" si="43"/>
        <v>1.8026894017680859E-4</v>
      </c>
      <c r="BD40">
        <f t="shared" si="44"/>
        <v>-0.55371782240680512</v>
      </c>
      <c r="BE40" s="1">
        <f t="shared" si="24"/>
        <v>29.96477436278569</v>
      </c>
      <c r="BF40">
        <f t="shared" si="45"/>
        <v>-60.620913684943432</v>
      </c>
      <c r="BH40" s="9">
        <f t="shared" si="46"/>
        <v>1.806</v>
      </c>
      <c r="BI40" s="10">
        <v>0.181048235160161</v>
      </c>
      <c r="BJ40" s="9">
        <v>0.23037490999999999</v>
      </c>
      <c r="BL40" s="10">
        <f t="shared" si="47"/>
        <v>0.87259023046818374</v>
      </c>
      <c r="BM40" s="10">
        <f t="shared" si="48"/>
        <v>0</v>
      </c>
      <c r="BN40" s="10">
        <f t="shared" si="49"/>
        <v>0.87259023046818374</v>
      </c>
      <c r="BP40" s="10">
        <f t="shared" si="50"/>
        <v>0.23037490999999999</v>
      </c>
      <c r="BQ40" s="10">
        <f t="shared" si="51"/>
        <v>8.8497498061378604E-2</v>
      </c>
      <c r="BR40" s="10">
        <f t="shared" si="52"/>
        <v>0</v>
      </c>
      <c r="BS40" s="10">
        <f t="shared" si="53"/>
        <v>0.55371946900232694</v>
      </c>
      <c r="BT40" s="10">
        <f t="shared" si="54"/>
        <v>0</v>
      </c>
      <c r="BU40" s="10">
        <f t="shared" si="55"/>
        <v>0.87259187706370556</v>
      </c>
      <c r="BW40">
        <f t="shared" si="56"/>
        <v>-1.6465955218203376E-6</v>
      </c>
    </row>
    <row r="41" spans="2:75">
      <c r="B41" s="13" t="s">
        <v>112</v>
      </c>
      <c r="C41" s="12" t="s">
        <v>79</v>
      </c>
      <c r="D41" s="12">
        <v>0</v>
      </c>
      <c r="E41" s="12">
        <v>0.26319999999999999</v>
      </c>
      <c r="F41" s="12">
        <v>2.0750999999999999</v>
      </c>
      <c r="G41" s="12">
        <v>0</v>
      </c>
      <c r="H41" s="12">
        <v>1.802</v>
      </c>
      <c r="I41" s="12">
        <v>1.141503111940444</v>
      </c>
      <c r="J41" s="12">
        <v>0.1824392586701383</v>
      </c>
      <c r="K41" s="12">
        <v>0</v>
      </c>
      <c r="L41" s="12">
        <v>0</v>
      </c>
      <c r="M41" s="12">
        <v>520155.64</v>
      </c>
      <c r="N41" s="12">
        <v>279265.62</v>
      </c>
      <c r="O41" s="12">
        <v>1.67</v>
      </c>
      <c r="Q41" s="15">
        <v>109.479795</v>
      </c>
      <c r="R41" s="15">
        <v>-41.717134999999999</v>
      </c>
      <c r="S41" s="15">
        <v>170</v>
      </c>
      <c r="T41" s="15">
        <v>104.167382</v>
      </c>
      <c r="U41" s="15">
        <v>115.52638899999999</v>
      </c>
      <c r="V41" s="15">
        <v>92.044978</v>
      </c>
      <c r="W41" s="16">
        <v>38.682254</v>
      </c>
      <c r="X41" s="16">
        <v>63.762642</v>
      </c>
      <c r="Y41" s="15">
        <v>30.708172999999999</v>
      </c>
      <c r="Z41" s="15">
        <v>26.913516000000001</v>
      </c>
      <c r="AA41" s="15"/>
      <c r="AB41" s="16">
        <v>73.605024</v>
      </c>
      <c r="AC41" s="16">
        <v>100.314611</v>
      </c>
      <c r="AD41" s="16">
        <v>87.395797999999999</v>
      </c>
      <c r="AE41" s="16">
        <v>114.70308199999999</v>
      </c>
      <c r="AF41" s="16">
        <v>70.567431999999997</v>
      </c>
      <c r="AG41" s="16">
        <v>97.538511999999997</v>
      </c>
      <c r="AH41" s="15">
        <v>13.422003</v>
      </c>
      <c r="AI41" s="15">
        <v>33.444853999999999</v>
      </c>
      <c r="AJ41" s="15">
        <v>0</v>
      </c>
      <c r="AK41" s="15">
        <v>5000</v>
      </c>
      <c r="AM41" t="str">
        <f t="shared" si="30"/>
        <v>NCEN_Bio_Ethanol_CCS_86_Wood</v>
      </c>
      <c r="AN41" t="str">
        <f t="shared" si="31"/>
        <v>Biomass_Wood</v>
      </c>
      <c r="AO41" s="11">
        <f t="shared" si="32"/>
        <v>71.960238965914371</v>
      </c>
      <c r="AP41" s="11">
        <f t="shared" si="33"/>
        <v>71.960238965914385</v>
      </c>
      <c r="AQ41" s="11">
        <f t="shared" si="34"/>
        <v>19.988955268309546</v>
      </c>
      <c r="AR41" s="11">
        <f t="shared" si="35"/>
        <v>19.988955268309549</v>
      </c>
      <c r="AS41" s="5">
        <f t="shared" si="36"/>
        <v>0</v>
      </c>
      <c r="AT41">
        <f t="shared" si="37"/>
        <v>0</v>
      </c>
      <c r="AU41">
        <f t="shared" si="38"/>
        <v>3.8949405491783522</v>
      </c>
      <c r="AV41" s="1" cm="1">
        <f t="array" ref="AV41">_xlfn.IFS(C41="Biomass_Corn", 1/F41*S41, C41="Biomass_Agri", 1/F41*V41, C41="Biomass_Wood", 1/F41*U41, C41="Biomass_Herb", 1/F41*T41)</f>
        <v>55.672685171798946</v>
      </c>
      <c r="AW41">
        <f t="shared" si="39"/>
        <v>0</v>
      </c>
      <c r="AX41">
        <f t="shared" si="40"/>
        <v>31.794182725809723</v>
      </c>
      <c r="AY41">
        <f t="shared" si="41"/>
        <v>17.069933436300992</v>
      </c>
      <c r="AZ41">
        <f t="shared" si="42"/>
        <v>0.80478049250638517</v>
      </c>
      <c r="BA41" s="1">
        <f t="shared" si="20"/>
        <v>-3.2064230243156189E-6</v>
      </c>
      <c r="BB41" s="1">
        <f t="shared" si="21"/>
        <v>-37.275932371144641</v>
      </c>
      <c r="BC41">
        <f t="shared" si="43"/>
        <v>-3.5103853538535397E-4</v>
      </c>
      <c r="BD41">
        <f t="shared" si="44"/>
        <v>-0.55009867745595964</v>
      </c>
      <c r="BE41" s="1">
        <f t="shared" si="24"/>
        <v>22.948407027969552</v>
      </c>
      <c r="BF41">
        <f t="shared" si="45"/>
        <v>-60.224690437649578</v>
      </c>
      <c r="BH41" s="9">
        <f t="shared" si="46"/>
        <v>1.802</v>
      </c>
      <c r="BI41" s="10">
        <v>0.181048235160161</v>
      </c>
      <c r="BJ41" s="9">
        <v>0.23037490999999999</v>
      </c>
      <c r="BL41" s="10">
        <f t="shared" si="47"/>
        <v>0.86839188472844686</v>
      </c>
      <c r="BM41" s="10">
        <f t="shared" si="48"/>
        <v>0</v>
      </c>
      <c r="BN41" s="10">
        <f t="shared" si="49"/>
        <v>0.86839188472844686</v>
      </c>
      <c r="BP41" s="10">
        <f t="shared" si="50"/>
        <v>0.23037490999999999</v>
      </c>
      <c r="BQ41" s="10">
        <f t="shared" si="51"/>
        <v>8.7918297272487261E-2</v>
      </c>
      <c r="BR41" s="10">
        <f t="shared" si="52"/>
        <v>0</v>
      </c>
      <c r="BS41" s="10">
        <f t="shared" si="53"/>
        <v>0.55009547103293532</v>
      </c>
      <c r="BT41" s="10">
        <f t="shared" si="54"/>
        <v>0</v>
      </c>
      <c r="BU41" s="10">
        <f t="shared" si="55"/>
        <v>0.86838867830542255</v>
      </c>
      <c r="BW41">
        <f t="shared" si="56"/>
        <v>3.2064230243156189E-6</v>
      </c>
    </row>
    <row r="42" spans="2:75">
      <c r="B42" s="13" t="s">
        <v>113</v>
      </c>
      <c r="C42" s="12" t="s">
        <v>79</v>
      </c>
      <c r="D42" s="12">
        <v>0</v>
      </c>
      <c r="E42" s="12">
        <v>0.26319999999999999</v>
      </c>
      <c r="F42" s="12">
        <v>2.0838000000000001</v>
      </c>
      <c r="G42" s="12">
        <v>0</v>
      </c>
      <c r="H42" s="12">
        <v>1.821</v>
      </c>
      <c r="I42" s="12">
        <v>1.15615487505457</v>
      </c>
      <c r="J42" s="12">
        <v>0.18478095776214309</v>
      </c>
      <c r="K42" s="12">
        <v>0</v>
      </c>
      <c r="L42" s="12">
        <v>0</v>
      </c>
      <c r="M42" s="12">
        <v>520155.64</v>
      </c>
      <c r="N42" s="12">
        <v>279265.62</v>
      </c>
      <c r="O42" s="12">
        <v>1.67</v>
      </c>
      <c r="Q42" s="15">
        <v>109.479795</v>
      </c>
      <c r="R42" s="15">
        <v>-47.70091</v>
      </c>
      <c r="S42" s="15">
        <v>170</v>
      </c>
      <c r="T42" s="15">
        <v>99.632842999999994</v>
      </c>
      <c r="U42" s="15">
        <v>113.227017</v>
      </c>
      <c r="V42" s="15">
        <v>88.855315000000004</v>
      </c>
      <c r="W42" s="16">
        <v>39.264408000000003</v>
      </c>
      <c r="X42" s="16">
        <v>63.762642</v>
      </c>
      <c r="Y42" s="15">
        <v>38.218446</v>
      </c>
      <c r="Z42" s="15">
        <v>29.735685</v>
      </c>
      <c r="AA42" s="15"/>
      <c r="AB42" s="16">
        <v>73.605024</v>
      </c>
      <c r="AC42" s="16">
        <v>100.314611</v>
      </c>
      <c r="AD42" s="16">
        <v>87.395797999999999</v>
      </c>
      <c r="AE42" s="16">
        <v>114.70308199999999</v>
      </c>
      <c r="AF42" s="16">
        <v>70.567431999999997</v>
      </c>
      <c r="AG42" s="16">
        <v>97.538511999999997</v>
      </c>
      <c r="AH42" s="15">
        <v>13.421908</v>
      </c>
      <c r="AI42" s="15">
        <v>33.444758999999998</v>
      </c>
      <c r="AJ42" s="15">
        <v>0</v>
      </c>
      <c r="AK42" s="15">
        <v>5000</v>
      </c>
      <c r="AM42" t="str">
        <f t="shared" si="30"/>
        <v>SE_Bio_Ethanol_CCS_86_Wood</v>
      </c>
      <c r="AN42" t="str">
        <f t="shared" si="31"/>
        <v>Biomass_Wood</v>
      </c>
      <c r="AO42" s="11">
        <f t="shared" si="32"/>
        <v>74.348355284824123</v>
      </c>
      <c r="AP42" s="11">
        <f t="shared" si="33"/>
        <v>74.348355284824123</v>
      </c>
      <c r="AQ42" s="11">
        <f t="shared" si="34"/>
        <v>20.652320912451145</v>
      </c>
      <c r="AR42" s="11">
        <f t="shared" si="35"/>
        <v>20.652320912451145</v>
      </c>
      <c r="AS42" s="5">
        <f t="shared" si="36"/>
        <v>0</v>
      </c>
      <c r="AT42">
        <f t="shared" si="37"/>
        <v>0</v>
      </c>
      <c r="AU42">
        <f t="shared" si="38"/>
        <v>4.8272842821767918</v>
      </c>
      <c r="AV42" s="1" cm="1">
        <f t="array" ref="AV42">_xlfn.IFS(C42="Biomass_Corn", 1/F42*S42, C42="Biomass_Agri", 1/F42*V42, C42="Biomass_Wood", 1/F42*U42, C42="Biomass_Herb", 1/F42*T42)</f>
        <v>54.336796717535272</v>
      </c>
      <c r="AW42">
        <f t="shared" si="39"/>
        <v>0</v>
      </c>
      <c r="AX42">
        <f t="shared" si="40"/>
        <v>31.661439953127818</v>
      </c>
      <c r="AY42">
        <f t="shared" si="41"/>
        <v>16.998665358320466</v>
      </c>
      <c r="AZ42">
        <f t="shared" si="42"/>
        <v>0.80142048181207404</v>
      </c>
      <c r="BA42" s="1">
        <f t="shared" si="20"/>
        <v>-4.2853082286020694E-6</v>
      </c>
      <c r="BB42" s="1">
        <f t="shared" si="21"/>
        <v>-34.276782353481927</v>
      </c>
      <c r="BC42">
        <f t="shared" si="43"/>
        <v>-4.6915466637916767E-4</v>
      </c>
      <c r="BD42">
        <f t="shared" si="44"/>
        <v>-0.55483434340140936</v>
      </c>
      <c r="BE42" s="1">
        <f t="shared" si="24"/>
        <v>26.465898666397589</v>
      </c>
      <c r="BF42">
        <f t="shared" si="45"/>
        <v>-60.743150174545896</v>
      </c>
      <c r="BH42" s="9">
        <f t="shared" si="46"/>
        <v>1.821</v>
      </c>
      <c r="BI42" s="10">
        <v>0.181048235160161</v>
      </c>
      <c r="BJ42" s="9">
        <v>0.23037490999999999</v>
      </c>
      <c r="BL42" s="10">
        <f t="shared" si="47"/>
        <v>0.87388424992801605</v>
      </c>
      <c r="BM42" s="10">
        <f t="shared" si="48"/>
        <v>0</v>
      </c>
      <c r="BN42" s="10">
        <f t="shared" si="49"/>
        <v>0.87388424992801605</v>
      </c>
      <c r="BP42" s="10">
        <f t="shared" si="50"/>
        <v>0.23037490999999999</v>
      </c>
      <c r="BQ42" s="10">
        <f t="shared" si="51"/>
        <v>8.8674996526606722E-2</v>
      </c>
      <c r="BR42" s="10">
        <f t="shared" si="52"/>
        <v>0</v>
      </c>
      <c r="BS42" s="10">
        <f t="shared" si="53"/>
        <v>0.55483005809318076</v>
      </c>
      <c r="BT42" s="10">
        <f t="shared" si="54"/>
        <v>0</v>
      </c>
      <c r="BU42" s="10">
        <f t="shared" si="55"/>
        <v>0.87387996461978745</v>
      </c>
      <c r="BW42">
        <f t="shared" si="56"/>
        <v>4.2853082286020694E-6</v>
      </c>
    </row>
    <row r="43" spans="2:75">
      <c r="B43" s="13" t="s">
        <v>114</v>
      </c>
      <c r="C43" s="12" t="s">
        <v>79</v>
      </c>
      <c r="D43" s="12">
        <v>0</v>
      </c>
      <c r="E43" s="12">
        <v>0.26319999999999999</v>
      </c>
      <c r="F43" s="12">
        <v>2.0577000000000001</v>
      </c>
      <c r="G43" s="12">
        <v>0</v>
      </c>
      <c r="H43" s="12">
        <v>1.821</v>
      </c>
      <c r="I43" s="12">
        <v>1.1613449857121929</v>
      </c>
      <c r="J43" s="12">
        <v>0.1856104604861287</v>
      </c>
      <c r="K43" s="12">
        <v>0</v>
      </c>
      <c r="L43" s="12">
        <v>0</v>
      </c>
      <c r="M43" s="12">
        <v>520155.64</v>
      </c>
      <c r="N43" s="12">
        <v>279265.62</v>
      </c>
      <c r="O43" s="12">
        <v>1.67</v>
      </c>
      <c r="Q43" s="15">
        <v>109.479795</v>
      </c>
      <c r="R43" s="15">
        <v>-21.506692000000001</v>
      </c>
      <c r="S43" s="15">
        <v>170</v>
      </c>
      <c r="T43" s="15">
        <v>137.93464800000001</v>
      </c>
      <c r="U43" s="15">
        <v>157.881351</v>
      </c>
      <c r="V43" s="15">
        <v>111.364845</v>
      </c>
      <c r="W43" s="16">
        <v>38.568981999999998</v>
      </c>
      <c r="X43" s="16">
        <v>63.762642</v>
      </c>
      <c r="Y43" s="15">
        <v>20.230252</v>
      </c>
      <c r="Z43" s="15">
        <v>17.952764999999999</v>
      </c>
      <c r="AA43" s="15"/>
      <c r="AB43" s="16">
        <v>73.605024</v>
      </c>
      <c r="AC43" s="16">
        <v>100.314611</v>
      </c>
      <c r="AD43" s="16">
        <v>87.395797999999999</v>
      </c>
      <c r="AE43" s="16">
        <v>114.70308199999999</v>
      </c>
      <c r="AF43" s="16">
        <v>70.567431999999997</v>
      </c>
      <c r="AG43" s="16">
        <v>97.538511999999997</v>
      </c>
      <c r="AH43" s="15">
        <v>13.325948</v>
      </c>
      <c r="AI43" s="15">
        <v>33.348799</v>
      </c>
      <c r="AJ43" s="15">
        <v>0</v>
      </c>
      <c r="AK43" s="15">
        <v>5000</v>
      </c>
      <c r="AM43" t="str">
        <f t="shared" si="30"/>
        <v>TX_Bio_Ethanol_CCS_86_Wood</v>
      </c>
      <c r="AN43" t="str">
        <f t="shared" si="31"/>
        <v>Biomass_Wood</v>
      </c>
      <c r="AO43" s="11">
        <f t="shared" si="32"/>
        <v>79.752407375514963</v>
      </c>
      <c r="AP43" s="11">
        <f t="shared" si="33"/>
        <v>79.752407375514949</v>
      </c>
      <c r="AQ43" s="11">
        <f t="shared" si="34"/>
        <v>22.153446493198601</v>
      </c>
      <c r="AR43" s="11">
        <f t="shared" si="35"/>
        <v>22.153446493198597</v>
      </c>
      <c r="AS43" s="5">
        <f t="shared" si="36"/>
        <v>0</v>
      </c>
      <c r="AT43">
        <f t="shared" si="37"/>
        <v>0</v>
      </c>
      <c r="AU43">
        <f t="shared" si="38"/>
        <v>2.5876475319045533</v>
      </c>
      <c r="AV43" s="1" cm="1">
        <f t="array" ref="AV43">_xlfn.IFS(C43="Biomass_Corn", 1/F43*S43, C43="Biomass_Agri", 1/F43*V43, C43="Biomass_Wood", 1/F43*U43, C43="Biomass_Herb", 1/F43*T43)</f>
        <v>76.727098702434745</v>
      </c>
      <c r="AW43">
        <f t="shared" si="39"/>
        <v>0</v>
      </c>
      <c r="AX43">
        <f t="shared" si="40"/>
        <v>32.063035707016454</v>
      </c>
      <c r="AY43">
        <f t="shared" si="41"/>
        <v>17.214277530090971</v>
      </c>
      <c r="AZ43">
        <f t="shared" si="42"/>
        <v>0.81158575108130426</v>
      </c>
      <c r="BA43" s="1">
        <f t="shared" si="20"/>
        <v>-1.0212833154721324E-6</v>
      </c>
      <c r="BB43" s="1">
        <f t="shared" si="21"/>
        <v>-49.651126037125074</v>
      </c>
      <c r="BC43">
        <f t="shared" si="43"/>
        <v>-1.1180988801480938E-4</v>
      </c>
      <c r="BD43">
        <f t="shared" si="44"/>
        <v>-0.56439086708794828</v>
      </c>
      <c r="BE43" s="1">
        <f t="shared" si="24"/>
        <v>12.13815858164773</v>
      </c>
      <c r="BF43">
        <f t="shared" si="45"/>
        <v>-61.789396428660822</v>
      </c>
      <c r="BH43" s="9">
        <f t="shared" si="46"/>
        <v>1.821</v>
      </c>
      <c r="BI43" s="10">
        <v>0.181048235160161</v>
      </c>
      <c r="BJ43" s="9">
        <v>0.23037490999999999</v>
      </c>
      <c r="BL43" s="10">
        <f t="shared" si="47"/>
        <v>0.88496865432278748</v>
      </c>
      <c r="BM43" s="10">
        <f t="shared" si="48"/>
        <v>0</v>
      </c>
      <c r="BN43" s="10">
        <f t="shared" si="49"/>
        <v>0.88496865432278748</v>
      </c>
      <c r="BP43" s="10">
        <f t="shared" si="50"/>
        <v>0.23037490999999999</v>
      </c>
      <c r="BQ43" s="10">
        <f t="shared" si="51"/>
        <v>9.0202877234839232E-2</v>
      </c>
      <c r="BR43" s="10">
        <f t="shared" si="52"/>
        <v>0</v>
      </c>
      <c r="BS43" s="10">
        <f t="shared" si="53"/>
        <v>0.56438984580463281</v>
      </c>
      <c r="BT43" s="10">
        <f t="shared" si="54"/>
        <v>0</v>
      </c>
      <c r="BU43" s="10">
        <f t="shared" si="55"/>
        <v>0.88496763303947201</v>
      </c>
      <c r="BW43">
        <f t="shared" si="56"/>
        <v>1.0212833154721324E-6</v>
      </c>
    </row>
    <row r="44" spans="2:75">
      <c r="B44" s="13" t="s">
        <v>115</v>
      </c>
      <c r="C44" s="12" t="s">
        <v>85</v>
      </c>
      <c r="D44" s="12">
        <v>0</v>
      </c>
      <c r="E44" s="12">
        <v>0.26319999999999999</v>
      </c>
      <c r="F44" s="12">
        <v>1.8694</v>
      </c>
      <c r="G44" s="12">
        <v>0</v>
      </c>
      <c r="H44" s="12">
        <v>1.7</v>
      </c>
      <c r="I44" s="12">
        <v>1.094430833369225</v>
      </c>
      <c r="J44" s="12">
        <v>0.17491599262152541</v>
      </c>
      <c r="K44" s="12">
        <v>0</v>
      </c>
      <c r="L44" s="12">
        <v>0</v>
      </c>
      <c r="M44" s="12">
        <v>520155.64</v>
      </c>
      <c r="N44" s="12">
        <v>279265.62</v>
      </c>
      <c r="O44" s="12">
        <v>1.67</v>
      </c>
      <c r="Q44" s="15">
        <v>109.479795</v>
      </c>
      <c r="R44" s="15">
        <v>-31.70346</v>
      </c>
      <c r="S44" s="15">
        <v>170</v>
      </c>
      <c r="T44" s="15">
        <v>110.461518</v>
      </c>
      <c r="U44" s="15">
        <v>127.408748</v>
      </c>
      <c r="V44" s="15">
        <v>98.832477999999995</v>
      </c>
      <c r="W44" s="16">
        <v>38.544687000000003</v>
      </c>
      <c r="X44" s="16">
        <v>63.762642</v>
      </c>
      <c r="Y44" s="15">
        <v>25.324636999999999</v>
      </c>
      <c r="Z44" s="15">
        <v>24.781272999999999</v>
      </c>
      <c r="AA44" s="15"/>
      <c r="AB44" s="16">
        <v>73.605024</v>
      </c>
      <c r="AC44" s="16">
        <v>100.314611</v>
      </c>
      <c r="AD44" s="16">
        <v>87.395797999999999</v>
      </c>
      <c r="AE44" s="16">
        <v>114.70308199999999</v>
      </c>
      <c r="AF44" s="16">
        <v>70.567431999999997</v>
      </c>
      <c r="AG44" s="16">
        <v>97.538511999999997</v>
      </c>
      <c r="AH44" s="15">
        <v>13.421913</v>
      </c>
      <c r="AI44" s="15">
        <v>33.444763999999999</v>
      </c>
      <c r="AJ44" s="15">
        <v>0</v>
      </c>
      <c r="AK44" s="15">
        <v>5000</v>
      </c>
      <c r="AM44" t="str">
        <f t="shared" si="30"/>
        <v>CEN_Bio_Ethanol_CCS_86_Agri</v>
      </c>
      <c r="AN44" t="str">
        <f t="shared" si="31"/>
        <v>Biomass_Agri</v>
      </c>
      <c r="AO44" s="11">
        <f t="shared" si="32"/>
        <v>66.035140066787363</v>
      </c>
      <c r="AP44" s="11">
        <f t="shared" si="33"/>
        <v>66.035140066787349</v>
      </c>
      <c r="AQ44" s="11">
        <f t="shared" si="34"/>
        <v>18.34309446299649</v>
      </c>
      <c r="AR44" s="11">
        <f t="shared" si="35"/>
        <v>18.343094462996486</v>
      </c>
      <c r="AS44" s="5">
        <f t="shared" si="36"/>
        <v>0</v>
      </c>
      <c r="AT44">
        <f t="shared" si="37"/>
        <v>0</v>
      </c>
      <c r="AU44">
        <f t="shared" si="38"/>
        <v>3.5655528289290683</v>
      </c>
      <c r="AV44" s="1" cm="1">
        <f t="array" ref="AV44">_xlfn.IFS(C44="Biomass_Corn", 1/F44*S44, C44="Biomass_Agri", 1/F44*V44, C44="Biomass_Wood", 1/F44*U44, C44="Biomass_Herb", 1/F44*T44)</f>
        <v>52.868555686316462</v>
      </c>
      <c r="AW44">
        <f t="shared" si="39"/>
        <v>0</v>
      </c>
      <c r="AX44">
        <f t="shared" si="40"/>
        <v>35.292665333437341</v>
      </c>
      <c r="AY44">
        <f t="shared" si="41"/>
        <v>18.94822877590039</v>
      </c>
      <c r="AZ44">
        <f t="shared" si="42"/>
        <v>0.89333475981598376</v>
      </c>
      <c r="BA44" s="1">
        <f t="shared" si="20"/>
        <v>5.1796002730197799E-6</v>
      </c>
      <c r="BB44" s="1">
        <f t="shared" si="21"/>
        <v>-45.533764379187978</v>
      </c>
      <c r="BC44">
        <f t="shared" si="43"/>
        <v>5.6706157607214951E-4</v>
      </c>
      <c r="BD44">
        <f t="shared" si="44"/>
        <v>-0.58543979385068723</v>
      </c>
      <c r="BE44" s="1">
        <f t="shared" si="24"/>
        <v>18.560631298003582</v>
      </c>
      <c r="BF44">
        <f t="shared" si="45"/>
        <v>-64.093828615615493</v>
      </c>
      <c r="BH44" s="9">
        <f t="shared" si="46"/>
        <v>1.7</v>
      </c>
      <c r="BI44" s="10">
        <v>0.181048235160161</v>
      </c>
      <c r="BJ44" s="9">
        <v>0.23037490999999999</v>
      </c>
      <c r="BL44" s="10">
        <f t="shared" si="47"/>
        <v>0.90938268963303737</v>
      </c>
      <c r="BM44" s="10">
        <f t="shared" si="48"/>
        <v>0</v>
      </c>
      <c r="BN44" s="10">
        <f t="shared" si="49"/>
        <v>0.90938268963303737</v>
      </c>
      <c r="BP44" s="10">
        <f t="shared" si="50"/>
        <v>0.23037490999999999</v>
      </c>
      <c r="BQ44" s="10">
        <f t="shared" si="51"/>
        <v>9.3567985782350177E-2</v>
      </c>
      <c r="BR44" s="10">
        <f t="shared" si="52"/>
        <v>0</v>
      </c>
      <c r="BS44" s="10">
        <f t="shared" si="53"/>
        <v>0.58544497345096025</v>
      </c>
      <c r="BT44" s="10">
        <f t="shared" si="54"/>
        <v>0</v>
      </c>
      <c r="BU44" s="10">
        <f t="shared" si="55"/>
        <v>0.90938786923331039</v>
      </c>
      <c r="BW44">
        <f t="shared" si="56"/>
        <v>-5.1796002730197799E-6</v>
      </c>
    </row>
    <row r="45" spans="2:75">
      <c r="B45" s="13" t="s">
        <v>116</v>
      </c>
      <c r="C45" s="12" t="s">
        <v>85</v>
      </c>
      <c r="D45" s="12">
        <v>0</v>
      </c>
      <c r="E45" s="12">
        <v>0.26319999999999999</v>
      </c>
      <c r="F45" s="12">
        <v>1.8813</v>
      </c>
      <c r="G45" s="12">
        <v>0</v>
      </c>
      <c r="H45" s="12">
        <v>1.708</v>
      </c>
      <c r="I45" s="12">
        <v>1.0989496326511481</v>
      </c>
      <c r="J45" s="12">
        <v>0.175638203873032</v>
      </c>
      <c r="K45" s="12">
        <v>0</v>
      </c>
      <c r="L45" s="12">
        <v>0</v>
      </c>
      <c r="M45" s="12">
        <v>520155.64</v>
      </c>
      <c r="N45" s="12">
        <v>279265.62</v>
      </c>
      <c r="O45" s="12">
        <v>1.67</v>
      </c>
      <c r="Q45" s="15">
        <v>109.479795</v>
      </c>
      <c r="R45" s="15">
        <v>-54.115442999999999</v>
      </c>
      <c r="S45" s="15">
        <v>170</v>
      </c>
      <c r="T45" s="15">
        <v>100.77374399999999</v>
      </c>
      <c r="U45" s="15">
        <v>108.668072</v>
      </c>
      <c r="V45" s="15">
        <v>89.424565000000001</v>
      </c>
      <c r="W45" s="16">
        <v>39.342497000000002</v>
      </c>
      <c r="X45" s="16">
        <v>63.762642</v>
      </c>
      <c r="Y45" s="15">
        <v>39.359471999999997</v>
      </c>
      <c r="Z45" s="15">
        <v>31.113724999999999</v>
      </c>
      <c r="AA45" s="15"/>
      <c r="AB45" s="16">
        <v>73.605024</v>
      </c>
      <c r="AC45" s="16">
        <v>100.314611</v>
      </c>
      <c r="AD45" s="16">
        <v>87.395797999999999</v>
      </c>
      <c r="AE45" s="16">
        <v>114.70308199999999</v>
      </c>
      <c r="AF45" s="16">
        <v>70.567431999999997</v>
      </c>
      <c r="AG45" s="16">
        <v>97.538511999999997</v>
      </c>
      <c r="AH45" s="15">
        <v>13.423121999999999</v>
      </c>
      <c r="AI45" s="15">
        <v>33.445973000000002</v>
      </c>
      <c r="AJ45" s="15">
        <v>0</v>
      </c>
      <c r="AK45" s="15">
        <v>5000</v>
      </c>
      <c r="AM45" t="str">
        <f t="shared" si="30"/>
        <v>MIDAT_Bio_Ethanol_CCS_86_Agri</v>
      </c>
      <c r="AN45" t="str">
        <f t="shared" si="31"/>
        <v>Biomass_Agri</v>
      </c>
      <c r="AO45" s="11">
        <f t="shared" si="32"/>
        <v>75.484192996851903</v>
      </c>
      <c r="AP45" s="11">
        <f t="shared" si="33"/>
        <v>75.484192996851903</v>
      </c>
      <c r="AQ45" s="11">
        <f t="shared" si="34"/>
        <v>20.967831388014417</v>
      </c>
      <c r="AR45" s="11">
        <f t="shared" si="35"/>
        <v>20.967831388014417</v>
      </c>
      <c r="AS45" s="5">
        <f t="shared" si="36"/>
        <v>0</v>
      </c>
      <c r="AT45">
        <f t="shared" si="37"/>
        <v>0</v>
      </c>
      <c r="AU45">
        <f t="shared" si="38"/>
        <v>5.506518381119438</v>
      </c>
      <c r="AV45" s="1" cm="1">
        <f t="array" ref="AV45">_xlfn.IFS(C45="Biomass_Corn", 1/F45*S45, C45="Biomass_Agri", 1/F45*V45, C45="Biomass_Wood", 1/F45*U45, C45="Biomass_Herb", 1/F45*T45)</f>
        <v>47.53338914580344</v>
      </c>
      <c r="AW45">
        <f t="shared" si="39"/>
        <v>0</v>
      </c>
      <c r="AX45">
        <f t="shared" si="40"/>
        <v>35.069424639519347</v>
      </c>
      <c r="AY45">
        <f t="shared" si="41"/>
        <v>18.828373398005734</v>
      </c>
      <c r="AZ45">
        <f t="shared" si="42"/>
        <v>0.88768404826449798</v>
      </c>
      <c r="BA45" s="1">
        <f t="shared" si="20"/>
        <v>-4.1701444850605895E-6</v>
      </c>
      <c r="BB45" s="1">
        <f t="shared" si="21"/>
        <v>-32.340740069297212</v>
      </c>
      <c r="BC45">
        <f t="shared" si="43"/>
        <v>-4.5654656334481389E-4</v>
      </c>
      <c r="BD45">
        <f t="shared" si="44"/>
        <v>-0.58414791789930787</v>
      </c>
      <c r="BE45" s="1">
        <f t="shared" si="24"/>
        <v>31.61119768543249</v>
      </c>
      <c r="BF45">
        <f t="shared" si="45"/>
        <v>-63.952394301293054</v>
      </c>
      <c r="BH45" s="9">
        <f t="shared" si="46"/>
        <v>1.708</v>
      </c>
      <c r="BI45" s="10">
        <v>0.181048235160161</v>
      </c>
      <c r="BJ45" s="9">
        <v>0.23037490999999999</v>
      </c>
      <c r="BL45" s="10">
        <f t="shared" si="47"/>
        <v>0.90788284696752242</v>
      </c>
      <c r="BM45" s="10">
        <f t="shared" si="48"/>
        <v>0</v>
      </c>
      <c r="BN45" s="10">
        <f t="shared" si="49"/>
        <v>0.90788284696752242</v>
      </c>
      <c r="BP45" s="10">
        <f t="shared" si="50"/>
        <v>0.23037490999999999</v>
      </c>
      <c r="BQ45" s="10">
        <f t="shared" si="51"/>
        <v>9.3360019068214534E-2</v>
      </c>
      <c r="BR45" s="10">
        <f t="shared" si="52"/>
        <v>0</v>
      </c>
      <c r="BS45" s="10">
        <f t="shared" si="53"/>
        <v>0.58414374775482281</v>
      </c>
      <c r="BT45" s="10">
        <f t="shared" si="54"/>
        <v>0</v>
      </c>
      <c r="BU45" s="10">
        <f t="shared" si="55"/>
        <v>0.90787867682303736</v>
      </c>
      <c r="BW45">
        <f t="shared" si="56"/>
        <v>4.1701444850605895E-6</v>
      </c>
    </row>
    <row r="46" spans="2:75">
      <c r="B46" s="13" t="s">
        <v>117</v>
      </c>
      <c r="C46" s="12" t="s">
        <v>85</v>
      </c>
      <c r="D46" s="12">
        <v>0</v>
      </c>
      <c r="E46" s="12">
        <v>0.26319999999999999</v>
      </c>
      <c r="F46" s="12">
        <v>1.8835</v>
      </c>
      <c r="G46" s="12">
        <v>0</v>
      </c>
      <c r="H46" s="12">
        <v>1.71</v>
      </c>
      <c r="I46" s="12">
        <v>1.100241523429679</v>
      </c>
      <c r="J46" s="12">
        <v>0.1758446786460332</v>
      </c>
      <c r="K46" s="12">
        <v>0</v>
      </c>
      <c r="L46" s="12">
        <v>0</v>
      </c>
      <c r="M46" s="12">
        <v>520155.64</v>
      </c>
      <c r="N46" s="12">
        <v>279265.62</v>
      </c>
      <c r="O46" s="12">
        <v>1.67</v>
      </c>
      <c r="Q46" s="15">
        <v>109.479795</v>
      </c>
      <c r="R46" s="15">
        <v>-41.717134999999999</v>
      </c>
      <c r="S46" s="15">
        <v>170</v>
      </c>
      <c r="T46" s="15">
        <v>104.167382</v>
      </c>
      <c r="U46" s="15">
        <v>115.52638899999999</v>
      </c>
      <c r="V46" s="15">
        <v>92.044978</v>
      </c>
      <c r="W46" s="16">
        <v>38.682254</v>
      </c>
      <c r="X46" s="16">
        <v>63.762642</v>
      </c>
      <c r="Y46" s="15">
        <v>30.708172999999999</v>
      </c>
      <c r="Z46" s="15">
        <v>26.913516000000001</v>
      </c>
      <c r="AA46" s="15"/>
      <c r="AB46" s="16">
        <v>73.605024</v>
      </c>
      <c r="AC46" s="16">
        <v>100.314611</v>
      </c>
      <c r="AD46" s="16">
        <v>87.395797999999999</v>
      </c>
      <c r="AE46" s="16">
        <v>114.70308199999999</v>
      </c>
      <c r="AF46" s="16">
        <v>70.567431999999997</v>
      </c>
      <c r="AG46" s="16">
        <v>97.538511999999997</v>
      </c>
      <c r="AH46" s="15">
        <v>13.422003</v>
      </c>
      <c r="AI46" s="15">
        <v>33.444853999999999</v>
      </c>
      <c r="AJ46" s="15">
        <v>0</v>
      </c>
      <c r="AK46" s="15">
        <v>5000</v>
      </c>
      <c r="AM46" t="str">
        <f t="shared" si="30"/>
        <v>NCEN_Bio_Ethanol_CCS_86_Agri</v>
      </c>
      <c r="AN46" t="str">
        <f t="shared" si="31"/>
        <v>Biomass_Agri</v>
      </c>
      <c r="AO46" s="11">
        <f t="shared" si="32"/>
        <v>68.298228643132262</v>
      </c>
      <c r="AP46" s="11">
        <f t="shared" si="33"/>
        <v>68.298228643132234</v>
      </c>
      <c r="AQ46" s="11">
        <f t="shared" si="34"/>
        <v>18.971730178647849</v>
      </c>
      <c r="AR46" s="11">
        <f t="shared" si="35"/>
        <v>18.971730178647842</v>
      </c>
      <c r="AS46" s="5">
        <f t="shared" si="36"/>
        <v>0</v>
      </c>
      <c r="AT46">
        <f t="shared" si="37"/>
        <v>0</v>
      </c>
      <c r="AU46">
        <f t="shared" si="38"/>
        <v>4.2911553669232809</v>
      </c>
      <c r="AV46" s="1" cm="1">
        <f t="array" ref="AV46">_xlfn.IFS(C46="Biomass_Corn", 1/F46*S46, C46="Biomass_Agri", 1/F46*V46, C46="Biomass_Wood", 1/F46*U46, C46="Biomass_Herb", 1/F46*T46)</f>
        <v>48.869114945580044</v>
      </c>
      <c r="AW46">
        <f t="shared" si="39"/>
        <v>0</v>
      </c>
      <c r="AX46">
        <f t="shared" si="40"/>
        <v>35.028462210951822</v>
      </c>
      <c r="AY46">
        <f t="shared" si="41"/>
        <v>18.806381138130178</v>
      </c>
      <c r="AZ46">
        <f t="shared" si="42"/>
        <v>0.88664719936288827</v>
      </c>
      <c r="BA46" s="1">
        <f t="shared" si="20"/>
        <v>-1.4095775353606399E-6</v>
      </c>
      <c r="BB46" s="1">
        <f t="shared" si="21"/>
        <v>-39.583377897556339</v>
      </c>
      <c r="BC46">
        <f t="shared" si="43"/>
        <v>-1.5432025960788811E-4</v>
      </c>
      <c r="BD46">
        <f t="shared" si="44"/>
        <v>-0.58414875411147693</v>
      </c>
      <c r="BE46" s="1">
        <f t="shared" si="24"/>
        <v>24.368953631813952</v>
      </c>
      <c r="BF46">
        <f t="shared" si="45"/>
        <v>-63.952485849629902</v>
      </c>
      <c r="BH46" s="9">
        <f t="shared" si="46"/>
        <v>1.71</v>
      </c>
      <c r="BI46" s="10">
        <v>0.181048235160161</v>
      </c>
      <c r="BJ46" s="9">
        <v>0.23037490999999999</v>
      </c>
      <c r="BL46" s="10">
        <f t="shared" si="47"/>
        <v>0.90788425803026285</v>
      </c>
      <c r="BM46" s="10">
        <f t="shared" si="48"/>
        <v>0</v>
      </c>
      <c r="BN46" s="10">
        <f t="shared" si="49"/>
        <v>0.90788425803026285</v>
      </c>
      <c r="BP46" s="10">
        <f t="shared" si="50"/>
        <v>0.23037490999999999</v>
      </c>
      <c r="BQ46" s="10">
        <f t="shared" si="51"/>
        <v>9.3360593918785886E-2</v>
      </c>
      <c r="BR46" s="10">
        <f t="shared" si="52"/>
        <v>0</v>
      </c>
      <c r="BS46" s="10">
        <f t="shared" si="53"/>
        <v>0.58414734453394157</v>
      </c>
      <c r="BT46" s="10">
        <f t="shared" si="54"/>
        <v>0</v>
      </c>
      <c r="BU46" s="10">
        <f t="shared" si="55"/>
        <v>0.90788284845272749</v>
      </c>
      <c r="BW46">
        <f t="shared" si="56"/>
        <v>1.4095775353606399E-6</v>
      </c>
    </row>
    <row r="47" spans="2:75">
      <c r="B47" s="13" t="s">
        <v>118</v>
      </c>
      <c r="C47" s="12" t="s">
        <v>85</v>
      </c>
      <c r="D47" s="12">
        <v>0</v>
      </c>
      <c r="E47" s="12">
        <v>0.26319999999999999</v>
      </c>
      <c r="F47" s="12">
        <v>1.8758999999999999</v>
      </c>
      <c r="G47" s="12">
        <v>0</v>
      </c>
      <c r="H47" s="12">
        <v>1.6890000000000001</v>
      </c>
      <c r="I47" s="12">
        <v>1.083649105704819</v>
      </c>
      <c r="J47" s="12">
        <v>0.17319281694052899</v>
      </c>
      <c r="K47" s="12">
        <v>0</v>
      </c>
      <c r="L47" s="12">
        <v>0</v>
      </c>
      <c r="M47" s="12">
        <v>520155.64</v>
      </c>
      <c r="N47" s="12">
        <v>279265.62</v>
      </c>
      <c r="O47" s="12">
        <v>1.67</v>
      </c>
      <c r="Q47" s="15">
        <v>109.479795</v>
      </c>
      <c r="R47" s="15">
        <v>-47.70091</v>
      </c>
      <c r="S47" s="15">
        <v>170</v>
      </c>
      <c r="T47" s="15">
        <v>99.632842999999994</v>
      </c>
      <c r="U47" s="15">
        <v>113.227017</v>
      </c>
      <c r="V47" s="15">
        <v>88.855315000000004</v>
      </c>
      <c r="W47" s="16">
        <v>39.264408000000003</v>
      </c>
      <c r="X47" s="16">
        <v>63.762642</v>
      </c>
      <c r="Y47" s="15">
        <v>38.218446</v>
      </c>
      <c r="Z47" s="15">
        <v>29.735685</v>
      </c>
      <c r="AA47" s="15"/>
      <c r="AB47" s="16">
        <v>73.605024</v>
      </c>
      <c r="AC47" s="16">
        <v>100.314611</v>
      </c>
      <c r="AD47" s="16">
        <v>87.395797999999999</v>
      </c>
      <c r="AE47" s="16">
        <v>114.70308199999999</v>
      </c>
      <c r="AF47" s="16">
        <v>70.567431999999997</v>
      </c>
      <c r="AG47" s="16">
        <v>97.538511999999997</v>
      </c>
      <c r="AH47" s="15">
        <v>13.421908</v>
      </c>
      <c r="AI47" s="15">
        <v>33.444758999999998</v>
      </c>
      <c r="AJ47" s="15">
        <v>0</v>
      </c>
      <c r="AK47" s="15">
        <v>5000</v>
      </c>
      <c r="AM47" t="str">
        <f t="shared" si="30"/>
        <v>SE_Bio_Ethanol_CCS_86_Agri</v>
      </c>
      <c r="AN47" t="str">
        <f t="shared" si="31"/>
        <v>Biomass_Agri</v>
      </c>
      <c r="AO47" s="11">
        <f t="shared" si="32"/>
        <v>71.984618900338802</v>
      </c>
      <c r="AP47" s="11">
        <f t="shared" si="33"/>
        <v>71.984618900338802</v>
      </c>
      <c r="AQ47" s="11">
        <f t="shared" si="34"/>
        <v>19.995727472316332</v>
      </c>
      <c r="AR47" s="11">
        <f t="shared" si="35"/>
        <v>19.995727472316332</v>
      </c>
      <c r="AS47" s="5">
        <f t="shared" si="36"/>
        <v>0</v>
      </c>
      <c r="AT47">
        <f t="shared" si="37"/>
        <v>0</v>
      </c>
      <c r="AU47">
        <f t="shared" si="38"/>
        <v>5.3622767669918439</v>
      </c>
      <c r="AV47" s="1" cm="1">
        <f t="array" ref="AV47">_xlfn.IFS(C47="Biomass_Corn", 1/F47*S47, C47="Biomass_Agri", 1/F47*V47, C47="Biomass_Wood", 1/F47*U47, C47="Biomass_Herb", 1/F47*T47)</f>
        <v>47.36676528599606</v>
      </c>
      <c r="AW47">
        <f t="shared" si="39"/>
        <v>0</v>
      </c>
      <c r="AX47">
        <f t="shared" si="40"/>
        <v>35.170376125767767</v>
      </c>
      <c r="AY47">
        <f t="shared" si="41"/>
        <v>18.88257309753622</v>
      </c>
      <c r="AZ47">
        <f t="shared" si="42"/>
        <v>0.89023935177781333</v>
      </c>
      <c r="BA47" s="1">
        <f t="shared" si="20"/>
        <v>1.1814672146170935E-6</v>
      </c>
      <c r="BB47" s="1">
        <f t="shared" si="21"/>
        <v>-35.687741074519352</v>
      </c>
      <c r="BC47">
        <f t="shared" si="43"/>
        <v>1.293467884555004E-4</v>
      </c>
      <c r="BD47">
        <f t="shared" si="44"/>
        <v>-0.57766772716587833</v>
      </c>
      <c r="BE47" s="1">
        <f t="shared" si="24"/>
        <v>27.555332620505389</v>
      </c>
      <c r="BF47">
        <f t="shared" si="45"/>
        <v>-63.242944348236286</v>
      </c>
      <c r="BH47" s="9">
        <f t="shared" si="46"/>
        <v>1.6890000000000001</v>
      </c>
      <c r="BI47" s="10">
        <v>0.181048235160161</v>
      </c>
      <c r="BJ47" s="9">
        <v>0.23037490999999999</v>
      </c>
      <c r="BL47" s="10">
        <f t="shared" si="47"/>
        <v>0.90036782344474664</v>
      </c>
      <c r="BM47" s="10">
        <f t="shared" si="48"/>
        <v>0</v>
      </c>
      <c r="BN47" s="10">
        <f t="shared" si="49"/>
        <v>0.90036782344474664</v>
      </c>
      <c r="BP47" s="10">
        <f t="shared" si="50"/>
        <v>0.23037490999999999</v>
      </c>
      <c r="BQ47" s="10">
        <f t="shared" si="51"/>
        <v>9.2325186278868279E-2</v>
      </c>
      <c r="BR47" s="10">
        <f t="shared" si="52"/>
        <v>0</v>
      </c>
      <c r="BS47" s="10">
        <f t="shared" si="53"/>
        <v>0.57766890863309295</v>
      </c>
      <c r="BT47" s="10">
        <f t="shared" si="54"/>
        <v>0</v>
      </c>
      <c r="BU47" s="10">
        <f t="shared" si="55"/>
        <v>0.90036900491196126</v>
      </c>
      <c r="BW47">
        <f t="shared" si="56"/>
        <v>-1.1814672146170935E-6</v>
      </c>
    </row>
    <row r="48" spans="2:75">
      <c r="B48" s="13" t="s">
        <v>119</v>
      </c>
      <c r="C48" s="12" t="s">
        <v>85</v>
      </c>
      <c r="D48" s="12">
        <v>0</v>
      </c>
      <c r="E48" s="12">
        <v>0.26319999999999999</v>
      </c>
      <c r="F48" s="12">
        <v>1.8062</v>
      </c>
      <c r="G48" s="12">
        <v>0</v>
      </c>
      <c r="H48" s="12">
        <v>1.633</v>
      </c>
      <c r="I48" s="12">
        <v>1.0492062007918139</v>
      </c>
      <c r="J48" s="12">
        <v>0.1676880242044908</v>
      </c>
      <c r="K48" s="12">
        <v>0</v>
      </c>
      <c r="L48" s="12">
        <v>0</v>
      </c>
      <c r="M48" s="12">
        <v>520155.64</v>
      </c>
      <c r="N48" s="12">
        <v>279265.62</v>
      </c>
      <c r="O48" s="12">
        <v>1.67</v>
      </c>
      <c r="Q48" s="15">
        <v>109.479795</v>
      </c>
      <c r="R48" s="15">
        <v>-21.506692000000001</v>
      </c>
      <c r="S48" s="15">
        <v>170</v>
      </c>
      <c r="T48" s="15">
        <v>137.93464800000001</v>
      </c>
      <c r="U48" s="15">
        <v>157.881351</v>
      </c>
      <c r="V48" s="15">
        <v>111.364845</v>
      </c>
      <c r="W48" s="16">
        <v>38.568981999999998</v>
      </c>
      <c r="X48" s="16">
        <v>63.762642</v>
      </c>
      <c r="Y48" s="15">
        <v>20.230252</v>
      </c>
      <c r="Z48" s="15">
        <v>17.952764999999999</v>
      </c>
      <c r="AA48" s="15"/>
      <c r="AB48" s="16">
        <v>73.605024</v>
      </c>
      <c r="AC48" s="16">
        <v>100.314611</v>
      </c>
      <c r="AD48" s="16">
        <v>87.395797999999999</v>
      </c>
      <c r="AE48" s="16">
        <v>114.70308199999999</v>
      </c>
      <c r="AF48" s="16">
        <v>70.567431999999997</v>
      </c>
      <c r="AG48" s="16">
        <v>97.538511999999997</v>
      </c>
      <c r="AH48" s="15">
        <v>13.325948</v>
      </c>
      <c r="AI48" s="15">
        <v>33.348799</v>
      </c>
      <c r="AJ48" s="15">
        <v>0</v>
      </c>
      <c r="AK48" s="15">
        <v>5000</v>
      </c>
      <c r="AM48" t="str">
        <f t="shared" si="30"/>
        <v>TX_Bio_Ethanol_CCS_86_Agri</v>
      </c>
      <c r="AN48" t="str">
        <f t="shared" si="31"/>
        <v>Biomass_Agri</v>
      </c>
      <c r="AO48" s="11">
        <f t="shared" si="32"/>
        <v>70.565365729808534</v>
      </c>
      <c r="AP48" s="11">
        <f t="shared" si="33"/>
        <v>70.565365729808548</v>
      </c>
      <c r="AQ48" s="11">
        <f t="shared" si="34"/>
        <v>19.60149048050237</v>
      </c>
      <c r="AR48" s="11">
        <f t="shared" si="35"/>
        <v>19.601490480502374</v>
      </c>
      <c r="AS48" s="5">
        <f t="shared" si="36"/>
        <v>0</v>
      </c>
      <c r="AT48">
        <f t="shared" si="37"/>
        <v>0</v>
      </c>
      <c r="AU48">
        <f t="shared" si="38"/>
        <v>2.9479583248809655</v>
      </c>
      <c r="AV48" s="1" cm="1">
        <f t="array" ref="AV48">_xlfn.IFS(C48="Biomass_Corn", 1/F48*S48, C48="Biomass_Agri", 1/F48*V48, C48="Biomass_Wood", 1/F48*U48, C48="Biomass_Herb", 1/F48*T48)</f>
        <v>61.656984276381351</v>
      </c>
      <c r="AW48">
        <f t="shared" si="39"/>
        <v>0</v>
      </c>
      <c r="AX48">
        <f t="shared" si="40"/>
        <v>36.527576444650514</v>
      </c>
      <c r="AY48">
        <f t="shared" si="41"/>
        <v>19.611238441849292</v>
      </c>
      <c r="AZ48">
        <f t="shared" si="42"/>
        <v>0.92459306832023025</v>
      </c>
      <c r="BA48" s="1">
        <f t="shared" si="20"/>
        <v>-1.4464409785475141E-6</v>
      </c>
      <c r="BB48" s="1">
        <f t="shared" si="21"/>
        <v>-51.102826470212008</v>
      </c>
      <c r="BC48">
        <f t="shared" si="43"/>
        <v>-1.5835606181098123E-4</v>
      </c>
      <c r="BD48">
        <f t="shared" si="44"/>
        <v>-0.58089293176475987</v>
      </c>
      <c r="BE48" s="1">
        <f t="shared" si="24"/>
        <v>12.493054260281086</v>
      </c>
      <c r="BF48">
        <f t="shared" si="45"/>
        <v>-63.596039086554896</v>
      </c>
      <c r="BH48" s="9">
        <f t="shared" si="46"/>
        <v>1.633</v>
      </c>
      <c r="BI48" s="10">
        <v>0.181048235160161</v>
      </c>
      <c r="BJ48" s="9">
        <v>0.23037490999999999</v>
      </c>
      <c r="BL48" s="10">
        <f t="shared" si="47"/>
        <v>0.90410807219577016</v>
      </c>
      <c r="BM48" s="10">
        <f t="shared" si="48"/>
        <v>0</v>
      </c>
      <c r="BN48" s="10">
        <f t="shared" si="49"/>
        <v>0.90410807219577016</v>
      </c>
      <c r="BP48" s="10">
        <f t="shared" si="50"/>
        <v>0.23037490999999999</v>
      </c>
      <c r="BQ48" s="10">
        <f t="shared" si="51"/>
        <v>9.2840230431010293E-2</v>
      </c>
      <c r="BR48" s="10">
        <f t="shared" si="52"/>
        <v>0</v>
      </c>
      <c r="BS48" s="10">
        <f t="shared" si="53"/>
        <v>0.58089148532378132</v>
      </c>
      <c r="BT48" s="10">
        <f t="shared" si="54"/>
        <v>0</v>
      </c>
      <c r="BU48" s="10">
        <f t="shared" si="55"/>
        <v>0.90410662575479162</v>
      </c>
      <c r="BW48">
        <f t="shared" si="56"/>
        <v>1.4464409785475141E-6</v>
      </c>
    </row>
    <row r="49" spans="2:75">
      <c r="B49" s="13" t="s">
        <v>120</v>
      </c>
      <c r="C49" s="12" t="s">
        <v>121</v>
      </c>
      <c r="D49" s="12">
        <v>0</v>
      </c>
      <c r="E49" s="12">
        <v>8.5342824999999997E-2</v>
      </c>
      <c r="F49" s="12">
        <v>3.1043379949999999</v>
      </c>
      <c r="G49" s="12">
        <v>1.013397519</v>
      </c>
      <c r="H49" s="12">
        <v>1.7588666580000001</v>
      </c>
      <c r="I49" s="12">
        <v>0</v>
      </c>
      <c r="J49" s="12">
        <v>1.043705066</v>
      </c>
      <c r="K49" s="12">
        <v>0</v>
      </c>
      <c r="L49" s="12">
        <v>0.185341119</v>
      </c>
      <c r="M49" s="12">
        <v>0</v>
      </c>
      <c r="N49" s="12">
        <v>176727.97</v>
      </c>
      <c r="O49" s="12">
        <v>-25.41</v>
      </c>
      <c r="Q49" s="15">
        <v>109.479795</v>
      </c>
      <c r="R49" s="15">
        <v>-6.4959309999999997</v>
      </c>
      <c r="S49" s="15">
        <v>170</v>
      </c>
      <c r="T49" s="15">
        <v>1554.0826480000001</v>
      </c>
      <c r="U49" s="15">
        <v>159.85701800000001</v>
      </c>
      <c r="V49" s="15">
        <v>138.16451699999999</v>
      </c>
      <c r="W49" s="16">
        <v>38.602687000000003</v>
      </c>
      <c r="X49" s="16">
        <v>63.762642</v>
      </c>
      <c r="Y49" s="15">
        <v>36.550691999999998</v>
      </c>
      <c r="Z49" s="15">
        <v>29.713021000000001</v>
      </c>
      <c r="AA49" s="15"/>
      <c r="AB49" s="16">
        <v>73.605024</v>
      </c>
      <c r="AC49" s="16">
        <v>100.314611</v>
      </c>
      <c r="AD49" s="16">
        <v>87.395797999999999</v>
      </c>
      <c r="AE49" s="16">
        <v>114.70308199999999</v>
      </c>
      <c r="AF49" s="16">
        <v>70.567431999999997</v>
      </c>
      <c r="AG49" s="16">
        <v>97.538511999999997</v>
      </c>
      <c r="AH49" s="15">
        <v>13.678414</v>
      </c>
      <c r="AI49" s="15">
        <v>33.701264999999999</v>
      </c>
      <c r="AJ49" s="15">
        <v>0</v>
      </c>
      <c r="AK49" s="15">
        <v>5000</v>
      </c>
      <c r="AM49" t="str">
        <f t="shared" si="30"/>
        <v>CA_DryMill_Existing_Non_CCS</v>
      </c>
      <c r="AN49" t="str">
        <f t="shared" si="31"/>
        <v>Biomass_Corn</v>
      </c>
      <c r="AO49" s="11">
        <f t="shared" si="32"/>
        <v>65.804092916481238</v>
      </c>
      <c r="AP49" s="11">
        <f t="shared" si="33"/>
        <v>65.804092916481238</v>
      </c>
      <c r="AQ49" s="11">
        <f t="shared" si="34"/>
        <v>18.278914699022565</v>
      </c>
      <c r="AR49" s="11">
        <f t="shared" si="35"/>
        <v>18.278914699022565</v>
      </c>
      <c r="AS49" s="5">
        <f t="shared" si="36"/>
        <v>0</v>
      </c>
      <c r="AT49">
        <f t="shared" si="37"/>
        <v>0</v>
      </c>
      <c r="AU49">
        <f t="shared" si="38"/>
        <v>1.0048323719933401</v>
      </c>
      <c r="AV49" s="1" cm="1">
        <f t="array" ref="AV49">_xlfn.IFS(C49="Biomass_Corn", 1/F49*S49, C49="Biomass_Agri", 1/F49*V49, C49="Biomass_Wood", 1/F49*U49, C49="Biomass_Herb", 1/F49*T49)</f>
        <v>54.762078186656993</v>
      </c>
      <c r="AW49">
        <f t="shared" si="39"/>
        <v>4.4652582398505434</v>
      </c>
      <c r="AX49">
        <f t="shared" si="40"/>
        <v>0</v>
      </c>
      <c r="AY49">
        <f t="shared" si="41"/>
        <v>7.2208724377810398</v>
      </c>
      <c r="AZ49">
        <f t="shared" si="42"/>
        <v>-8.1853200395467898</v>
      </c>
      <c r="BA49" s="1">
        <f t="shared" si="20"/>
        <v>5.9703909015778864E-2</v>
      </c>
      <c r="BB49" s="1">
        <f t="shared" si="21"/>
        <v>0</v>
      </c>
      <c r="BC49">
        <f t="shared" si="43"/>
        <v>6.5363717197461213</v>
      </c>
      <c r="BD49">
        <f t="shared" si="44"/>
        <v>5.9703909015778822E-2</v>
      </c>
      <c r="BE49" s="1">
        <f t="shared" si="24"/>
        <v>0</v>
      </c>
      <c r="BF49">
        <f t="shared" si="45"/>
        <v>6.5363717197461169</v>
      </c>
      <c r="BH49" s="9">
        <f t="shared" si="46"/>
        <v>1.7588666580000001</v>
      </c>
      <c r="BI49" s="10">
        <v>0.181048235160161</v>
      </c>
      <c r="BJ49" s="9">
        <v>0.23037490999999999</v>
      </c>
      <c r="BL49" s="10">
        <f t="shared" si="47"/>
        <v>0.56658349085470638</v>
      </c>
      <c r="BM49" s="10">
        <f t="shared" si="48"/>
        <v>5.9102402066446284E-2</v>
      </c>
      <c r="BN49" s="10">
        <f t="shared" si="49"/>
        <v>0.62568589292115262</v>
      </c>
      <c r="BP49" s="10">
        <f t="shared" si="50"/>
        <v>0.23037490999999999</v>
      </c>
      <c r="BQ49" s="10">
        <f t="shared" si="51"/>
        <v>0.33620857898883527</v>
      </c>
      <c r="BR49" s="10">
        <f t="shared" si="52"/>
        <v>5.9703910881649988E-2</v>
      </c>
      <c r="BS49" s="10">
        <f t="shared" si="53"/>
        <v>0</v>
      </c>
      <c r="BT49" s="10">
        <f t="shared" si="54"/>
        <v>0</v>
      </c>
      <c r="BU49" s="10">
        <f t="shared" si="55"/>
        <v>0.62628739987048521</v>
      </c>
      <c r="BW49">
        <f t="shared" si="56"/>
        <v>-6.0150694933258642E-4</v>
      </c>
    </row>
    <row r="50" spans="2:75">
      <c r="B50" s="13" t="s">
        <v>122</v>
      </c>
      <c r="C50" s="12" t="s">
        <v>121</v>
      </c>
      <c r="D50" s="12">
        <v>0</v>
      </c>
      <c r="E50" s="12">
        <v>8.5342824999999997E-2</v>
      </c>
      <c r="F50" s="12">
        <v>3.1043379949999999</v>
      </c>
      <c r="G50" s="12">
        <v>1.013397519</v>
      </c>
      <c r="H50" s="12">
        <v>1.7588666580000001</v>
      </c>
      <c r="I50" s="12">
        <v>0</v>
      </c>
      <c r="J50" s="12">
        <v>1.043705066</v>
      </c>
      <c r="K50" s="12">
        <v>0</v>
      </c>
      <c r="L50" s="12">
        <v>0.185341119</v>
      </c>
      <c r="M50" s="12">
        <v>0</v>
      </c>
      <c r="N50" s="12">
        <v>176727.97</v>
      </c>
      <c r="O50" s="12">
        <v>-25.41</v>
      </c>
      <c r="Q50" s="15">
        <v>109.479795</v>
      </c>
      <c r="R50" s="15">
        <v>-7.354813</v>
      </c>
      <c r="S50" s="15">
        <v>170</v>
      </c>
      <c r="T50" s="15">
        <v>138.356765</v>
      </c>
      <c r="U50" s="15">
        <v>156.77793399999999</v>
      </c>
      <c r="V50" s="15">
        <v>119.345797</v>
      </c>
      <c r="W50" s="16">
        <v>38.613644000000001</v>
      </c>
      <c r="X50" s="16">
        <v>63.762642</v>
      </c>
      <c r="Y50" s="15">
        <v>26.773821999999999</v>
      </c>
      <c r="Z50" s="15">
        <v>27.836881000000002</v>
      </c>
      <c r="AA50" s="15"/>
      <c r="AB50" s="16">
        <v>73.605024</v>
      </c>
      <c r="AC50" s="16">
        <v>100.314611</v>
      </c>
      <c r="AD50" s="16">
        <v>87.395797999999999</v>
      </c>
      <c r="AE50" s="16">
        <v>114.70308199999999</v>
      </c>
      <c r="AF50" s="16">
        <v>70.567431999999997</v>
      </c>
      <c r="AG50" s="16">
        <v>97.538511999999997</v>
      </c>
      <c r="AH50" s="15">
        <v>13.68019</v>
      </c>
      <c r="AI50" s="15">
        <v>33.703040999999999</v>
      </c>
      <c r="AJ50" s="15">
        <v>0</v>
      </c>
      <c r="AK50" s="15">
        <v>5000</v>
      </c>
      <c r="AM50" t="str">
        <f t="shared" si="30"/>
        <v>NW_DryMill_Existing_Non_CCS</v>
      </c>
      <c r="AN50" t="str">
        <f t="shared" si="31"/>
        <v>Biomass_Corn</v>
      </c>
      <c r="AO50" s="11">
        <f t="shared" si="32"/>
        <v>65.535892123653596</v>
      </c>
      <c r="AP50" s="11">
        <f t="shared" si="33"/>
        <v>65.535892123653596</v>
      </c>
      <c r="AQ50" s="11">
        <f t="shared" si="34"/>
        <v>18.204414478792664</v>
      </c>
      <c r="AR50" s="11">
        <f t="shared" si="35"/>
        <v>18.204414478792664</v>
      </c>
      <c r="AS50" s="5">
        <f t="shared" si="36"/>
        <v>0</v>
      </c>
      <c r="AT50">
        <f t="shared" si="37"/>
        <v>0</v>
      </c>
      <c r="AU50">
        <f t="shared" si="38"/>
        <v>0.73605181175742107</v>
      </c>
      <c r="AV50" s="1" cm="1">
        <f t="array" ref="AV50">_xlfn.IFS(C50="Biomass_Corn", 1/F50*S50, C50="Biomass_Agri", 1/F50*V50, C50="Biomass_Wood", 1/F50*U50, C50="Biomass_Herb", 1/F50*T50)</f>
        <v>54.762078186656993</v>
      </c>
      <c r="AW50">
        <f t="shared" si="39"/>
        <v>4.4658380072588102</v>
      </c>
      <c r="AX50">
        <f t="shared" si="40"/>
        <v>0</v>
      </c>
      <c r="AY50">
        <f t="shared" si="41"/>
        <v>7.2208724377810398</v>
      </c>
      <c r="AZ50">
        <f t="shared" si="42"/>
        <v>-8.1853200395467898</v>
      </c>
      <c r="BA50" s="1">
        <f t="shared" si="20"/>
        <v>5.9703909015778864E-2</v>
      </c>
      <c r="BB50" s="1">
        <f t="shared" si="21"/>
        <v>0</v>
      </c>
      <c r="BC50">
        <f t="shared" si="43"/>
        <v>6.5363717197461213</v>
      </c>
      <c r="BD50">
        <f t="shared" si="44"/>
        <v>5.9703909015778822E-2</v>
      </c>
      <c r="BE50" s="1">
        <f t="shared" si="24"/>
        <v>0</v>
      </c>
      <c r="BF50">
        <f t="shared" si="45"/>
        <v>6.5363717197461169</v>
      </c>
      <c r="BH50" s="9">
        <f t="shared" si="46"/>
        <v>1.7588666580000001</v>
      </c>
      <c r="BI50" s="10">
        <v>0.181048235160161</v>
      </c>
      <c r="BJ50" s="9">
        <v>0.23037490999999999</v>
      </c>
      <c r="BL50" s="10">
        <f t="shared" si="47"/>
        <v>0.56658349085470638</v>
      </c>
      <c r="BM50" s="10">
        <f t="shared" si="48"/>
        <v>5.9102402066446284E-2</v>
      </c>
      <c r="BN50" s="10">
        <f t="shared" si="49"/>
        <v>0.62568589292115262</v>
      </c>
      <c r="BP50" s="10">
        <f t="shared" si="50"/>
        <v>0.23037490999999999</v>
      </c>
      <c r="BQ50" s="10">
        <f t="shared" si="51"/>
        <v>0.33620857898883527</v>
      </c>
      <c r="BR50" s="10">
        <f t="shared" si="52"/>
        <v>5.9703910881649988E-2</v>
      </c>
      <c r="BS50" s="10">
        <f t="shared" si="53"/>
        <v>0</v>
      </c>
      <c r="BT50" s="10">
        <f t="shared" si="54"/>
        <v>0</v>
      </c>
      <c r="BU50" s="10">
        <f t="shared" si="55"/>
        <v>0.62628739987048521</v>
      </c>
      <c r="BW50">
        <f t="shared" si="56"/>
        <v>-6.0150694933258642E-4</v>
      </c>
    </row>
    <row r="51" spans="2:75">
      <c r="B51" s="13" t="s">
        <v>123</v>
      </c>
      <c r="C51" s="12" t="s">
        <v>121</v>
      </c>
      <c r="D51" s="12">
        <v>0</v>
      </c>
      <c r="E51" s="12">
        <v>8.5342824999999997E-2</v>
      </c>
      <c r="F51" s="12">
        <v>3.1043379949999999</v>
      </c>
      <c r="G51" s="12">
        <v>1.013397519</v>
      </c>
      <c r="H51" s="12">
        <v>1.7588666580000001</v>
      </c>
      <c r="I51" s="12">
        <v>0</v>
      </c>
      <c r="J51" s="12">
        <v>1.043705066</v>
      </c>
      <c r="K51" s="12">
        <v>0</v>
      </c>
      <c r="L51" s="12">
        <v>0.185341119</v>
      </c>
      <c r="M51" s="12">
        <v>0</v>
      </c>
      <c r="N51" s="12">
        <v>176727.97</v>
      </c>
      <c r="O51" s="12">
        <v>-25.41</v>
      </c>
      <c r="Q51" s="15">
        <v>109.479795</v>
      </c>
      <c r="R51" s="15">
        <v>-16.598628000000001</v>
      </c>
      <c r="S51" s="15">
        <v>170</v>
      </c>
      <c r="T51" s="15">
        <v>123.651932</v>
      </c>
      <c r="U51" s="15">
        <v>141.0224</v>
      </c>
      <c r="V51" s="15">
        <v>111.7672</v>
      </c>
      <c r="W51" s="16">
        <v>38.593339999999998</v>
      </c>
      <c r="X51" s="16">
        <v>63.762642</v>
      </c>
      <c r="Y51" s="15">
        <v>27.997803999999999</v>
      </c>
      <c r="Z51" s="15">
        <v>26.264468000000001</v>
      </c>
      <c r="AA51" s="15"/>
      <c r="AB51" s="16">
        <v>73.605024</v>
      </c>
      <c r="AC51" s="16">
        <v>100.314611</v>
      </c>
      <c r="AD51" s="16">
        <v>87.395797999999999</v>
      </c>
      <c r="AE51" s="16">
        <v>114.70308199999999</v>
      </c>
      <c r="AF51" s="16">
        <v>70.567431999999997</v>
      </c>
      <c r="AG51" s="16">
        <v>97.538511999999997</v>
      </c>
      <c r="AH51" s="15">
        <v>13.680038</v>
      </c>
      <c r="AI51" s="15">
        <v>33.702888999999999</v>
      </c>
      <c r="AJ51" s="15">
        <v>0</v>
      </c>
      <c r="AK51" s="15">
        <v>5000</v>
      </c>
      <c r="AM51" t="str">
        <f t="shared" si="30"/>
        <v>SW_DryMill_Existing_Non_CCS</v>
      </c>
      <c r="AN51" t="str">
        <f t="shared" si="31"/>
        <v>Biomass_Corn</v>
      </c>
      <c r="AO51" s="11">
        <f t="shared" si="32"/>
        <v>65.569491572352234</v>
      </c>
      <c r="AP51" s="11">
        <f t="shared" si="33"/>
        <v>65.569491572352234</v>
      </c>
      <c r="AQ51" s="11">
        <f t="shared" si="34"/>
        <v>18.21374765898673</v>
      </c>
      <c r="AR51" s="11">
        <f t="shared" si="35"/>
        <v>18.21374765898673</v>
      </c>
      <c r="AS51" s="5">
        <f t="shared" si="36"/>
        <v>0</v>
      </c>
      <c r="AT51">
        <f t="shared" si="37"/>
        <v>0</v>
      </c>
      <c r="AU51">
        <f t="shared" si="38"/>
        <v>0.76970088018920757</v>
      </c>
      <c r="AV51" s="1" cm="1">
        <f t="array" ref="AV51">_xlfn.IFS(C51="Biomass_Corn", 1/F51*S51, C51="Biomass_Agri", 1/F51*V51, C51="Biomass_Wood", 1/F51*U51, C51="Biomass_Herb", 1/F51*T51)</f>
        <v>54.762078186656993</v>
      </c>
      <c r="AW51">
        <f t="shared" si="39"/>
        <v>4.4657883875256701</v>
      </c>
      <c r="AX51">
        <f t="shared" si="40"/>
        <v>0</v>
      </c>
      <c r="AY51">
        <f t="shared" si="41"/>
        <v>7.2208724377810398</v>
      </c>
      <c r="AZ51">
        <f t="shared" si="42"/>
        <v>-8.1853200395467898</v>
      </c>
      <c r="BA51" s="1">
        <f t="shared" si="20"/>
        <v>5.9703909015778864E-2</v>
      </c>
      <c r="BB51" s="1">
        <f t="shared" si="21"/>
        <v>0</v>
      </c>
      <c r="BC51">
        <f t="shared" si="43"/>
        <v>6.5363717197461213</v>
      </c>
      <c r="BD51">
        <f t="shared" si="44"/>
        <v>5.9703909015778822E-2</v>
      </c>
      <c r="BE51" s="1">
        <f t="shared" si="24"/>
        <v>0</v>
      </c>
      <c r="BF51">
        <f t="shared" si="45"/>
        <v>6.5363717197461169</v>
      </c>
      <c r="BH51" s="9">
        <f t="shared" si="46"/>
        <v>1.7588666580000001</v>
      </c>
      <c r="BI51" s="10">
        <v>0.181048235160161</v>
      </c>
      <c r="BJ51" s="9">
        <v>0.23037490999999999</v>
      </c>
      <c r="BL51" s="10">
        <f t="shared" si="47"/>
        <v>0.56658349085470638</v>
      </c>
      <c r="BM51" s="10">
        <f t="shared" si="48"/>
        <v>5.9102402066446284E-2</v>
      </c>
      <c r="BN51" s="10">
        <f t="shared" si="49"/>
        <v>0.62568589292115262</v>
      </c>
      <c r="BP51" s="10">
        <f t="shared" si="50"/>
        <v>0.23037490999999999</v>
      </c>
      <c r="BQ51" s="10">
        <f t="shared" si="51"/>
        <v>0.33620857898883527</v>
      </c>
      <c r="BR51" s="10">
        <f t="shared" si="52"/>
        <v>5.9703910881649988E-2</v>
      </c>
      <c r="BS51" s="10">
        <f t="shared" si="53"/>
        <v>0</v>
      </c>
      <c r="BT51" s="10">
        <f t="shared" si="54"/>
        <v>0</v>
      </c>
      <c r="BU51" s="10">
        <f t="shared" si="55"/>
        <v>0.62628739987048521</v>
      </c>
      <c r="BW51">
        <f t="shared" si="56"/>
        <v>-6.0150694933258642E-4</v>
      </c>
    </row>
    <row r="52" spans="2:75">
      <c r="B52" s="13" t="s">
        <v>124</v>
      </c>
      <c r="C52" s="12" t="s">
        <v>121</v>
      </c>
      <c r="D52" s="12">
        <v>0</v>
      </c>
      <c r="E52" s="12">
        <v>8.5342824999999997E-2</v>
      </c>
      <c r="F52" s="12">
        <v>3.1043379949999999</v>
      </c>
      <c r="G52" s="12">
        <v>1.013397519</v>
      </c>
      <c r="H52" s="12">
        <v>1.7588666580000001</v>
      </c>
      <c r="I52" s="12">
        <v>0</v>
      </c>
      <c r="J52" s="12">
        <v>1.043705066</v>
      </c>
      <c r="K52" s="12">
        <v>0</v>
      </c>
      <c r="L52" s="12">
        <v>0.185341119</v>
      </c>
      <c r="M52" s="12">
        <v>0</v>
      </c>
      <c r="N52" s="12">
        <v>176727.97</v>
      </c>
      <c r="O52" s="12">
        <v>-25.41</v>
      </c>
      <c r="Q52" s="15">
        <v>109.479795</v>
      </c>
      <c r="R52" s="15">
        <v>-21.506692000000001</v>
      </c>
      <c r="S52" s="15">
        <v>170</v>
      </c>
      <c r="T52" s="15">
        <v>137.93464800000001</v>
      </c>
      <c r="U52" s="15">
        <v>157.881351</v>
      </c>
      <c r="V52" s="15">
        <v>111.364845</v>
      </c>
      <c r="W52" s="16">
        <v>38.568981999999998</v>
      </c>
      <c r="X52" s="16">
        <v>63.762642</v>
      </c>
      <c r="Y52" s="15">
        <v>20.230252</v>
      </c>
      <c r="Z52" s="15">
        <v>17.952764999999999</v>
      </c>
      <c r="AA52" s="15"/>
      <c r="AB52" s="16">
        <v>73.605024</v>
      </c>
      <c r="AC52" s="16">
        <v>100.314611</v>
      </c>
      <c r="AD52" s="16">
        <v>87.395797999999999</v>
      </c>
      <c r="AE52" s="16">
        <v>114.70308199999999</v>
      </c>
      <c r="AF52" s="16">
        <v>70.567431999999997</v>
      </c>
      <c r="AG52" s="16">
        <v>97.538511999999997</v>
      </c>
      <c r="AH52" s="15">
        <v>13.325948</v>
      </c>
      <c r="AI52" s="15">
        <v>33.348799</v>
      </c>
      <c r="AJ52" s="15">
        <v>0</v>
      </c>
      <c r="AK52" s="15">
        <v>5000</v>
      </c>
      <c r="AM52" t="str">
        <f t="shared" si="30"/>
        <v>TX_DryMill_Existing_Non_CCS</v>
      </c>
      <c r="AN52" t="str">
        <f t="shared" si="31"/>
        <v>Biomass_Corn</v>
      </c>
      <c r="AO52" s="11">
        <f t="shared" si="32"/>
        <v>65.240358997174297</v>
      </c>
      <c r="AP52" s="11">
        <f t="shared" si="33"/>
        <v>65.240358997174297</v>
      </c>
      <c r="AQ52" s="11">
        <f t="shared" si="34"/>
        <v>18.122321943659525</v>
      </c>
      <c r="AR52" s="11">
        <f t="shared" si="35"/>
        <v>18.122321943659525</v>
      </c>
      <c r="AS52" s="5">
        <f t="shared" si="36"/>
        <v>0</v>
      </c>
      <c r="AT52">
        <f t="shared" si="37"/>
        <v>0</v>
      </c>
      <c r="AU52">
        <f t="shared" si="38"/>
        <v>0.55615943203436513</v>
      </c>
      <c r="AV52" s="1" cm="1">
        <f t="array" ref="AV52">_xlfn.IFS(C52="Biomass_Corn", 1/F52*S52, C52="Biomass_Agri", 1/F52*V52, C52="Biomass_Wood", 1/F52*U52, C52="Biomass_Herb", 1/F52*T52)</f>
        <v>54.762078186656993</v>
      </c>
      <c r="AW52">
        <f t="shared" si="39"/>
        <v>4.3501972605025605</v>
      </c>
      <c r="AX52">
        <f t="shared" si="40"/>
        <v>0</v>
      </c>
      <c r="AY52">
        <f t="shared" si="41"/>
        <v>7.2208724377810398</v>
      </c>
      <c r="AZ52">
        <f t="shared" si="42"/>
        <v>-8.1853200395467898</v>
      </c>
      <c r="BA52" s="1">
        <f t="shared" si="20"/>
        <v>5.9703909015778864E-2</v>
      </c>
      <c r="BB52" s="1">
        <f t="shared" si="21"/>
        <v>0</v>
      </c>
      <c r="BC52">
        <f t="shared" si="43"/>
        <v>6.5363717197461213</v>
      </c>
      <c r="BD52">
        <f t="shared" si="44"/>
        <v>5.9703909015778822E-2</v>
      </c>
      <c r="BE52" s="1">
        <f t="shared" si="24"/>
        <v>0</v>
      </c>
      <c r="BF52">
        <f t="shared" si="45"/>
        <v>6.5363717197461169</v>
      </c>
      <c r="BH52" s="9">
        <f t="shared" si="46"/>
        <v>1.7588666580000001</v>
      </c>
      <c r="BI52" s="10">
        <v>0.181048235160161</v>
      </c>
      <c r="BJ52" s="9">
        <v>0.23037490999999999</v>
      </c>
      <c r="BL52" s="10">
        <f t="shared" si="47"/>
        <v>0.56658349085470638</v>
      </c>
      <c r="BM52" s="10">
        <f t="shared" si="48"/>
        <v>5.9102402066446284E-2</v>
      </c>
      <c r="BN52" s="10">
        <f t="shared" si="49"/>
        <v>0.62568589292115262</v>
      </c>
      <c r="BP52" s="10">
        <f t="shared" si="50"/>
        <v>0.23037490999999999</v>
      </c>
      <c r="BQ52" s="10">
        <f t="shared" si="51"/>
        <v>0.33620857898883527</v>
      </c>
      <c r="BR52" s="10">
        <f t="shared" si="52"/>
        <v>5.9703910881649988E-2</v>
      </c>
      <c r="BS52" s="10">
        <f t="shared" si="53"/>
        <v>0</v>
      </c>
      <c r="BT52" s="10">
        <f t="shared" si="54"/>
        <v>0</v>
      </c>
      <c r="BU52" s="10">
        <f t="shared" si="55"/>
        <v>0.62628739987048521</v>
      </c>
      <c r="BW52">
        <f t="shared" si="56"/>
        <v>-6.0150694933258642E-4</v>
      </c>
    </row>
    <row r="53" spans="2:75">
      <c r="B53" s="13" t="s">
        <v>125</v>
      </c>
      <c r="C53" s="12" t="s">
        <v>121</v>
      </c>
      <c r="D53" s="12">
        <v>0</v>
      </c>
      <c r="E53" s="12">
        <v>8.5342824999999997E-2</v>
      </c>
      <c r="F53" s="12">
        <v>3.1043379949999999</v>
      </c>
      <c r="G53" s="12">
        <v>1.013397519</v>
      </c>
      <c r="H53" s="12">
        <v>1.7588666580000001</v>
      </c>
      <c r="I53" s="12">
        <v>0</v>
      </c>
      <c r="J53" s="12">
        <v>1.043705066</v>
      </c>
      <c r="K53" s="12">
        <v>0</v>
      </c>
      <c r="L53" s="12">
        <v>0.185341119</v>
      </c>
      <c r="M53" s="12">
        <v>0</v>
      </c>
      <c r="N53" s="12">
        <v>176727.97</v>
      </c>
      <c r="O53" s="12">
        <v>-25.41</v>
      </c>
      <c r="Q53" s="15">
        <v>109.479795</v>
      </c>
      <c r="R53" s="15">
        <v>-41.717134999999999</v>
      </c>
      <c r="S53" s="15">
        <v>170</v>
      </c>
      <c r="T53" s="15">
        <v>104.167382</v>
      </c>
      <c r="U53" s="15">
        <v>115.52638899999999</v>
      </c>
      <c r="V53" s="15">
        <v>92.044978</v>
      </c>
      <c r="W53" s="16">
        <v>38.682254</v>
      </c>
      <c r="X53" s="16">
        <v>63.762642</v>
      </c>
      <c r="Y53" s="15">
        <v>30.708172999999999</v>
      </c>
      <c r="Z53" s="15">
        <v>26.913516000000001</v>
      </c>
      <c r="AA53" s="15"/>
      <c r="AB53" s="16">
        <v>73.605024</v>
      </c>
      <c r="AC53" s="16">
        <v>100.314611</v>
      </c>
      <c r="AD53" s="16">
        <v>87.395797999999999</v>
      </c>
      <c r="AE53" s="16">
        <v>114.70308199999999</v>
      </c>
      <c r="AF53" s="16">
        <v>70.567431999999997</v>
      </c>
      <c r="AG53" s="16">
        <v>97.538511999999997</v>
      </c>
      <c r="AH53" s="15">
        <v>13.422003</v>
      </c>
      <c r="AI53" s="15">
        <v>33.444853999999999</v>
      </c>
      <c r="AJ53" s="15">
        <v>0</v>
      </c>
      <c r="AK53" s="15">
        <v>5000</v>
      </c>
      <c r="AM53" t="str">
        <f t="shared" si="30"/>
        <v>NCEN_DryMill_Existing_Non_CCS</v>
      </c>
      <c r="AN53" t="str">
        <f t="shared" si="31"/>
        <v>Biomass_Corn</v>
      </c>
      <c r="AO53" s="11">
        <f t="shared" si="32"/>
        <v>65.559769215569133</v>
      </c>
      <c r="AP53" s="11">
        <f t="shared" si="33"/>
        <v>65.559769215569133</v>
      </c>
      <c r="AQ53" s="11">
        <f t="shared" si="34"/>
        <v>18.211047004324758</v>
      </c>
      <c r="AR53" s="11">
        <f t="shared" si="35"/>
        <v>18.211047004324758</v>
      </c>
      <c r="AS53" s="5">
        <f t="shared" si="36"/>
        <v>0</v>
      </c>
      <c r="AT53">
        <f t="shared" si="37"/>
        <v>0</v>
      </c>
      <c r="AU53">
        <f t="shared" si="38"/>
        <v>0.8442129170953</v>
      </c>
      <c r="AV53" s="1" cm="1">
        <f t="array" ref="AV53">_xlfn.IFS(C53="Biomass_Corn", 1/F53*S53, C53="Biomass_Agri", 1/F53*V53, C53="Biomass_Wood", 1/F53*U53, C53="Biomass_Herb", 1/F53*T53)</f>
        <v>54.762078186656993</v>
      </c>
      <c r="AW53">
        <f t="shared" si="39"/>
        <v>4.381553993836472</v>
      </c>
      <c r="AX53">
        <f t="shared" si="40"/>
        <v>0</v>
      </c>
      <c r="AY53">
        <f t="shared" si="41"/>
        <v>7.2208724377810398</v>
      </c>
      <c r="AZ53">
        <f t="shared" si="42"/>
        <v>-8.1853200395467898</v>
      </c>
      <c r="BA53" s="1">
        <f t="shared" si="20"/>
        <v>5.9703909015778864E-2</v>
      </c>
      <c r="BB53" s="1">
        <f t="shared" si="21"/>
        <v>0</v>
      </c>
      <c r="BC53">
        <f t="shared" si="43"/>
        <v>6.5363717197461213</v>
      </c>
      <c r="BD53">
        <f t="shared" si="44"/>
        <v>5.9703909015778822E-2</v>
      </c>
      <c r="BE53" s="1">
        <f t="shared" si="24"/>
        <v>0</v>
      </c>
      <c r="BF53">
        <f t="shared" si="45"/>
        <v>6.5363717197461169</v>
      </c>
      <c r="BH53" s="9">
        <f t="shared" si="46"/>
        <v>1.7588666580000001</v>
      </c>
      <c r="BI53" s="10">
        <v>0.181048235160161</v>
      </c>
      <c r="BJ53" s="9">
        <v>0.23037490999999999</v>
      </c>
      <c r="BL53" s="10">
        <f t="shared" si="47"/>
        <v>0.56658349085470638</v>
      </c>
      <c r="BM53" s="10">
        <f t="shared" si="48"/>
        <v>5.9102402066446284E-2</v>
      </c>
      <c r="BN53" s="10">
        <f t="shared" si="49"/>
        <v>0.62568589292115262</v>
      </c>
      <c r="BP53" s="10">
        <f t="shared" si="50"/>
        <v>0.23037490999999999</v>
      </c>
      <c r="BQ53" s="10">
        <f t="shared" si="51"/>
        <v>0.33620857898883527</v>
      </c>
      <c r="BR53" s="10">
        <f t="shared" si="52"/>
        <v>5.9703910881649988E-2</v>
      </c>
      <c r="BS53" s="10">
        <f t="shared" si="53"/>
        <v>0</v>
      </c>
      <c r="BT53" s="10">
        <f t="shared" si="54"/>
        <v>0</v>
      </c>
      <c r="BU53" s="10">
        <f t="shared" si="55"/>
        <v>0.62628739987048521</v>
      </c>
      <c r="BW53">
        <f t="shared" si="56"/>
        <v>-6.0150694933258642E-4</v>
      </c>
    </row>
    <row r="54" spans="2:75">
      <c r="B54" s="13" t="s">
        <v>126</v>
      </c>
      <c r="C54" s="12" t="s">
        <v>121</v>
      </c>
      <c r="D54" s="12">
        <v>0</v>
      </c>
      <c r="E54" s="12">
        <v>8.5342824999999997E-2</v>
      </c>
      <c r="F54" s="12">
        <v>3.1043379949999999</v>
      </c>
      <c r="G54" s="12">
        <v>1.013397519</v>
      </c>
      <c r="H54" s="12">
        <v>1.7588666580000001</v>
      </c>
      <c r="I54" s="12">
        <v>0</v>
      </c>
      <c r="J54" s="12">
        <v>1.043705066</v>
      </c>
      <c r="K54" s="12">
        <v>0</v>
      </c>
      <c r="L54" s="12">
        <v>0.185341119</v>
      </c>
      <c r="M54" s="12">
        <v>0</v>
      </c>
      <c r="N54" s="12">
        <v>176727.97</v>
      </c>
      <c r="O54" s="12">
        <v>-25.41</v>
      </c>
      <c r="Q54" s="15">
        <v>109.479795</v>
      </c>
      <c r="R54" s="15">
        <v>-31.70346</v>
      </c>
      <c r="S54" s="15">
        <v>170</v>
      </c>
      <c r="T54" s="15">
        <v>110.461518</v>
      </c>
      <c r="U54" s="15">
        <v>127.408748</v>
      </c>
      <c r="V54" s="15">
        <v>98.832477999999995</v>
      </c>
      <c r="W54" s="16">
        <v>38.544687000000003</v>
      </c>
      <c r="X54" s="16">
        <v>63.762642</v>
      </c>
      <c r="Y54" s="15">
        <v>25.324636999999999</v>
      </c>
      <c r="Z54" s="15">
        <v>24.781272999999999</v>
      </c>
      <c r="AA54" s="15"/>
      <c r="AB54" s="16">
        <v>73.605024</v>
      </c>
      <c r="AC54" s="16">
        <v>100.314611</v>
      </c>
      <c r="AD54" s="16">
        <v>87.395797999999999</v>
      </c>
      <c r="AE54" s="16">
        <v>114.70308199999999</v>
      </c>
      <c r="AF54" s="16">
        <v>70.567431999999997</v>
      </c>
      <c r="AG54" s="16">
        <v>97.538511999999997</v>
      </c>
      <c r="AH54" s="15">
        <v>13.421913</v>
      </c>
      <c r="AI54" s="15">
        <v>33.444763999999999</v>
      </c>
      <c r="AJ54" s="15">
        <v>0</v>
      </c>
      <c r="AK54" s="15">
        <v>5000</v>
      </c>
      <c r="AM54" t="str">
        <f t="shared" si="30"/>
        <v>CEN_DryMill_Existing_Non_CCS</v>
      </c>
      <c r="AN54" t="str">
        <f t="shared" si="31"/>
        <v>Biomass_Corn</v>
      </c>
      <c r="AO54" s="11">
        <f t="shared" si="32"/>
        <v>65.411738499440276</v>
      </c>
      <c r="AP54" s="11">
        <f t="shared" si="33"/>
        <v>65.411738499440276</v>
      </c>
      <c r="AQ54" s="11">
        <f t="shared" si="34"/>
        <v>18.169927360955633</v>
      </c>
      <c r="AR54" s="11">
        <f t="shared" si="35"/>
        <v>18.169927360955633</v>
      </c>
      <c r="AS54" s="5">
        <f t="shared" si="36"/>
        <v>0</v>
      </c>
      <c r="AT54">
        <f t="shared" si="37"/>
        <v>0</v>
      </c>
      <c r="AU54">
        <f t="shared" si="38"/>
        <v>0.69621158107157877</v>
      </c>
      <c r="AV54" s="1" cm="1">
        <f t="array" ref="AV54">_xlfn.IFS(C54="Biomass_Corn", 1/F54*S54, C54="Biomass_Agri", 1/F54*V54, C54="Biomass_Wood", 1/F54*U54, C54="Biomass_Herb", 1/F54*T54)</f>
        <v>54.762078186656993</v>
      </c>
      <c r="AW54">
        <f t="shared" si="39"/>
        <v>4.3815246137313233</v>
      </c>
      <c r="AX54">
        <f t="shared" si="40"/>
        <v>0</v>
      </c>
      <c r="AY54">
        <f t="shared" si="41"/>
        <v>7.2208724377810398</v>
      </c>
      <c r="AZ54">
        <f t="shared" si="42"/>
        <v>-8.1853200395467898</v>
      </c>
      <c r="BA54" s="1">
        <f t="shared" si="20"/>
        <v>5.9703909015778864E-2</v>
      </c>
      <c r="BB54" s="1">
        <f t="shared" si="21"/>
        <v>0</v>
      </c>
      <c r="BC54">
        <f t="shared" si="43"/>
        <v>6.5363717197461213</v>
      </c>
      <c r="BD54">
        <f t="shared" si="44"/>
        <v>5.9703909015778822E-2</v>
      </c>
      <c r="BE54" s="1">
        <f t="shared" si="24"/>
        <v>0</v>
      </c>
      <c r="BF54">
        <f t="shared" si="45"/>
        <v>6.5363717197461169</v>
      </c>
      <c r="BH54" s="9">
        <f t="shared" si="46"/>
        <v>1.7588666580000001</v>
      </c>
      <c r="BI54" s="10">
        <v>0.181048235160161</v>
      </c>
      <c r="BJ54" s="9">
        <v>0.23037490999999999</v>
      </c>
      <c r="BL54" s="10">
        <f t="shared" si="47"/>
        <v>0.56658349085470638</v>
      </c>
      <c r="BM54" s="10">
        <f t="shared" si="48"/>
        <v>5.9102402066446284E-2</v>
      </c>
      <c r="BN54" s="10">
        <f t="shared" si="49"/>
        <v>0.62568589292115262</v>
      </c>
      <c r="BP54" s="10">
        <f t="shared" si="50"/>
        <v>0.23037490999999999</v>
      </c>
      <c r="BQ54" s="10">
        <f t="shared" si="51"/>
        <v>0.33620857898883527</v>
      </c>
      <c r="BR54" s="10">
        <f t="shared" si="52"/>
        <v>5.9703910881649988E-2</v>
      </c>
      <c r="BS54" s="10">
        <f t="shared" si="53"/>
        <v>0</v>
      </c>
      <c r="BT54" s="10">
        <f t="shared" si="54"/>
        <v>0</v>
      </c>
      <c r="BU54" s="10">
        <f t="shared" si="55"/>
        <v>0.62628739987048521</v>
      </c>
      <c r="BW54">
        <f t="shared" si="56"/>
        <v>-6.0150694933258642E-4</v>
      </c>
    </row>
    <row r="55" spans="2:75">
      <c r="B55" s="13" t="s">
        <v>127</v>
      </c>
      <c r="C55" s="12" t="s">
        <v>121</v>
      </c>
      <c r="D55" s="12">
        <v>0</v>
      </c>
      <c r="E55" s="12">
        <v>8.5342824999999997E-2</v>
      </c>
      <c r="F55" s="12">
        <v>3.1043379949999999</v>
      </c>
      <c r="G55" s="12">
        <v>1.013397519</v>
      </c>
      <c r="H55" s="12">
        <v>1.7588666580000001</v>
      </c>
      <c r="I55" s="12">
        <v>0</v>
      </c>
      <c r="J55" s="12">
        <v>1.043705066</v>
      </c>
      <c r="K55" s="12">
        <v>0</v>
      </c>
      <c r="L55" s="12">
        <v>0.185341119</v>
      </c>
      <c r="M55" s="12">
        <v>0</v>
      </c>
      <c r="N55" s="12">
        <v>176727.97</v>
      </c>
      <c r="O55" s="12">
        <v>-25.41</v>
      </c>
      <c r="Q55" s="15">
        <v>109.479795</v>
      </c>
      <c r="R55" s="15">
        <v>-47.70091</v>
      </c>
      <c r="S55" s="15">
        <v>170</v>
      </c>
      <c r="T55" s="15">
        <v>99.632842999999994</v>
      </c>
      <c r="U55" s="15">
        <v>113.227017</v>
      </c>
      <c r="V55" s="15">
        <v>88.855315000000004</v>
      </c>
      <c r="W55" s="16">
        <v>39.264408000000003</v>
      </c>
      <c r="X55" s="16">
        <v>63.762642</v>
      </c>
      <c r="Y55" s="15">
        <v>38.218446</v>
      </c>
      <c r="Z55" s="15">
        <v>29.735685</v>
      </c>
      <c r="AA55" s="15"/>
      <c r="AB55" s="16">
        <v>73.605024</v>
      </c>
      <c r="AC55" s="16">
        <v>100.314611</v>
      </c>
      <c r="AD55" s="16">
        <v>87.395797999999999</v>
      </c>
      <c r="AE55" s="16">
        <v>114.70308199999999</v>
      </c>
      <c r="AF55" s="16">
        <v>70.567431999999997</v>
      </c>
      <c r="AG55" s="16">
        <v>97.538511999999997</v>
      </c>
      <c r="AH55" s="15">
        <v>13.421908</v>
      </c>
      <c r="AI55" s="15">
        <v>33.444758999999998</v>
      </c>
      <c r="AJ55" s="15">
        <v>0</v>
      </c>
      <c r="AK55" s="15">
        <v>5000</v>
      </c>
      <c r="AM55" t="str">
        <f t="shared" si="30"/>
        <v>SE_DryMill_Existing_Non_CCS</v>
      </c>
      <c r="AN55" t="str">
        <f t="shared" si="31"/>
        <v>Biomass_Corn</v>
      </c>
      <c r="AO55" s="11">
        <f t="shared" si="32"/>
        <v>65.766206672640209</v>
      </c>
      <c r="AP55" s="11">
        <f t="shared" si="33"/>
        <v>65.766206672640209</v>
      </c>
      <c r="AQ55" s="11">
        <f t="shared" si="34"/>
        <v>18.268390742400058</v>
      </c>
      <c r="AR55" s="11">
        <f t="shared" si="35"/>
        <v>18.268390742400058</v>
      </c>
      <c r="AS55" s="5">
        <f t="shared" si="36"/>
        <v>0</v>
      </c>
      <c r="AT55">
        <f t="shared" si="37"/>
        <v>0</v>
      </c>
      <c r="AU55">
        <f t="shared" si="38"/>
        <v>1.0506813864995876</v>
      </c>
      <c r="AV55" s="1" cm="1">
        <f t="array" ref="AV55">_xlfn.IFS(C55="Biomass_Corn", 1/F55*S55, C55="Biomass_Agri", 1/F55*V55, C55="Biomass_Wood", 1/F55*U55, C55="Biomass_Herb", 1/F55*T55)</f>
        <v>54.762078186656993</v>
      </c>
      <c r="AW55">
        <f t="shared" si="39"/>
        <v>4.3815229815032604</v>
      </c>
      <c r="AX55">
        <f t="shared" si="40"/>
        <v>0</v>
      </c>
      <c r="AY55">
        <f t="shared" si="41"/>
        <v>7.2208724377810398</v>
      </c>
      <c r="AZ55">
        <f t="shared" si="42"/>
        <v>-8.1853200395467898</v>
      </c>
      <c r="BA55" s="1">
        <f t="shared" si="20"/>
        <v>5.9703909015778864E-2</v>
      </c>
      <c r="BB55" s="1">
        <f t="shared" si="21"/>
        <v>0</v>
      </c>
      <c r="BC55">
        <f t="shared" si="43"/>
        <v>6.5363717197461213</v>
      </c>
      <c r="BD55">
        <f t="shared" si="44"/>
        <v>5.9703909015778822E-2</v>
      </c>
      <c r="BE55" s="1">
        <f t="shared" si="24"/>
        <v>0</v>
      </c>
      <c r="BF55">
        <f t="shared" si="45"/>
        <v>6.5363717197461169</v>
      </c>
      <c r="BH55" s="9">
        <f t="shared" si="46"/>
        <v>1.7588666580000001</v>
      </c>
      <c r="BI55" s="10">
        <v>0.181048235160161</v>
      </c>
      <c r="BJ55" s="9">
        <v>0.23037490999999999</v>
      </c>
      <c r="BL55" s="10">
        <f t="shared" si="47"/>
        <v>0.56658349085470638</v>
      </c>
      <c r="BM55" s="10">
        <f t="shared" si="48"/>
        <v>5.9102402066446284E-2</v>
      </c>
      <c r="BN55" s="10">
        <f t="shared" si="49"/>
        <v>0.62568589292115262</v>
      </c>
      <c r="BP55" s="10">
        <f t="shared" si="50"/>
        <v>0.23037490999999999</v>
      </c>
      <c r="BQ55" s="10">
        <f t="shared" si="51"/>
        <v>0.33620857898883527</v>
      </c>
      <c r="BR55" s="10">
        <f t="shared" si="52"/>
        <v>5.9703910881649988E-2</v>
      </c>
      <c r="BS55" s="10">
        <f t="shared" si="53"/>
        <v>0</v>
      </c>
      <c r="BT55" s="10">
        <f t="shared" si="54"/>
        <v>0</v>
      </c>
      <c r="BU55" s="10">
        <f t="shared" si="55"/>
        <v>0.62628739987048521</v>
      </c>
      <c r="BW55">
        <f t="shared" si="56"/>
        <v>-6.0150694933258642E-4</v>
      </c>
    </row>
    <row r="56" spans="2:75">
      <c r="B56" s="13" t="s">
        <v>128</v>
      </c>
      <c r="C56" s="12" t="s">
        <v>121</v>
      </c>
      <c r="D56" s="12">
        <v>0</v>
      </c>
      <c r="E56" s="12">
        <v>8.5342824999999997E-2</v>
      </c>
      <c r="F56" s="12">
        <v>3.1043379949999999</v>
      </c>
      <c r="G56" s="12">
        <v>1.013397519</v>
      </c>
      <c r="H56" s="12">
        <v>1.7588666580000001</v>
      </c>
      <c r="I56" s="12">
        <v>0</v>
      </c>
      <c r="J56" s="12">
        <v>1.043705066</v>
      </c>
      <c r="K56" s="12">
        <v>0</v>
      </c>
      <c r="L56" s="12">
        <v>0.185341119</v>
      </c>
      <c r="M56" s="12">
        <v>0</v>
      </c>
      <c r="N56" s="12">
        <v>176727.97</v>
      </c>
      <c r="O56" s="12">
        <v>-25.41</v>
      </c>
      <c r="Q56" s="15">
        <v>109.479795</v>
      </c>
      <c r="R56" s="15">
        <v>-54.115442999999999</v>
      </c>
      <c r="S56" s="15">
        <v>170</v>
      </c>
      <c r="T56" s="15">
        <v>100.77374399999999</v>
      </c>
      <c r="U56" s="15">
        <v>108.668072</v>
      </c>
      <c r="V56" s="15">
        <v>89.424565000000001</v>
      </c>
      <c r="W56" s="16">
        <v>39.342497000000002</v>
      </c>
      <c r="X56" s="16">
        <v>63.762642</v>
      </c>
      <c r="Y56" s="15">
        <v>39.359471999999997</v>
      </c>
      <c r="Z56" s="15">
        <v>31.113724999999999</v>
      </c>
      <c r="AA56" s="15"/>
      <c r="AB56" s="16">
        <v>73.605024</v>
      </c>
      <c r="AC56" s="16">
        <v>100.314611</v>
      </c>
      <c r="AD56" s="16">
        <v>87.395797999999999</v>
      </c>
      <c r="AE56" s="16">
        <v>114.70308199999999</v>
      </c>
      <c r="AF56" s="16">
        <v>70.567431999999997</v>
      </c>
      <c r="AG56" s="16">
        <v>97.538511999999997</v>
      </c>
      <c r="AH56" s="15">
        <v>13.423121999999999</v>
      </c>
      <c r="AI56" s="15">
        <v>33.445973000000002</v>
      </c>
      <c r="AJ56" s="15">
        <v>0</v>
      </c>
      <c r="AK56" s="15">
        <v>5000</v>
      </c>
      <c r="AM56" t="str">
        <f t="shared" si="30"/>
        <v>MIDAT_DryMill_Existing_Non_CCS</v>
      </c>
      <c r="AN56" t="str">
        <f t="shared" si="31"/>
        <v>Biomass_Corn</v>
      </c>
      <c r="AO56" s="11">
        <f t="shared" si="32"/>
        <v>65.797971463389587</v>
      </c>
      <c r="AP56" s="11">
        <f t="shared" si="33"/>
        <v>65.797971463389587</v>
      </c>
      <c r="AQ56" s="11">
        <f t="shared" si="34"/>
        <v>18.277214295385996</v>
      </c>
      <c r="AR56" s="11">
        <f t="shared" si="35"/>
        <v>18.277214295385996</v>
      </c>
      <c r="AS56" s="5">
        <f t="shared" si="36"/>
        <v>0</v>
      </c>
      <c r="AT56">
        <f t="shared" si="37"/>
        <v>0</v>
      </c>
      <c r="AU56">
        <f t="shared" si="38"/>
        <v>1.0820498722750709</v>
      </c>
      <c r="AV56" s="1" cm="1">
        <f t="array" ref="AV56">_xlfn.IFS(C56="Biomass_Corn", 1/F56*S56, C56="Biomass_Agri", 1/F56*V56, C56="Biomass_Wood", 1/F56*U56, C56="Biomass_Herb", 1/F56*T56)</f>
        <v>54.762078186656993</v>
      </c>
      <c r="AW56">
        <f t="shared" si="39"/>
        <v>4.3819192864771539</v>
      </c>
      <c r="AX56">
        <f t="shared" si="40"/>
        <v>0</v>
      </c>
      <c r="AY56">
        <f t="shared" si="41"/>
        <v>7.2208724377810398</v>
      </c>
      <c r="AZ56">
        <f t="shared" si="42"/>
        <v>-8.1853200395467898</v>
      </c>
      <c r="BA56" s="1">
        <f t="shared" si="20"/>
        <v>5.9703909015778864E-2</v>
      </c>
      <c r="BB56" s="1">
        <f t="shared" si="21"/>
        <v>0</v>
      </c>
      <c r="BC56">
        <f t="shared" si="43"/>
        <v>6.5363717197461213</v>
      </c>
      <c r="BD56">
        <f t="shared" si="44"/>
        <v>5.9703909015778822E-2</v>
      </c>
      <c r="BE56" s="1">
        <f t="shared" si="24"/>
        <v>0</v>
      </c>
      <c r="BF56">
        <f t="shared" si="45"/>
        <v>6.5363717197461169</v>
      </c>
      <c r="BH56" s="9">
        <f t="shared" si="46"/>
        <v>1.7588666580000001</v>
      </c>
      <c r="BI56" s="10">
        <v>0.181048235160161</v>
      </c>
      <c r="BJ56" s="9">
        <v>0.23037490999999999</v>
      </c>
      <c r="BL56" s="10">
        <f t="shared" si="47"/>
        <v>0.56658349085470638</v>
      </c>
      <c r="BM56" s="10">
        <f t="shared" si="48"/>
        <v>5.9102402066446284E-2</v>
      </c>
      <c r="BN56" s="10">
        <f t="shared" si="49"/>
        <v>0.62568589292115262</v>
      </c>
      <c r="BP56" s="10">
        <f t="shared" si="50"/>
        <v>0.23037490999999999</v>
      </c>
      <c r="BQ56" s="10">
        <f t="shared" si="51"/>
        <v>0.33620857898883527</v>
      </c>
      <c r="BR56" s="10">
        <f t="shared" si="52"/>
        <v>5.9703910881649988E-2</v>
      </c>
      <c r="BS56" s="10">
        <f t="shared" si="53"/>
        <v>0</v>
      </c>
      <c r="BT56" s="10">
        <f t="shared" si="54"/>
        <v>0</v>
      </c>
      <c r="BU56" s="10">
        <f t="shared" si="55"/>
        <v>0.62628739987048521</v>
      </c>
      <c r="BW56">
        <f t="shared" si="56"/>
        <v>-6.0150694933258642E-4</v>
      </c>
    </row>
    <row r="57" spans="2:75">
      <c r="B57" s="13" t="s">
        <v>129</v>
      </c>
      <c r="C57" s="12" t="s">
        <v>121</v>
      </c>
      <c r="D57" s="12">
        <v>0</v>
      </c>
      <c r="E57" s="12">
        <v>8.5342824999999997E-2</v>
      </c>
      <c r="F57" s="12">
        <v>3.1043379949999999</v>
      </c>
      <c r="G57" s="12">
        <v>1.013397519</v>
      </c>
      <c r="H57" s="12">
        <v>1.7588666580000001</v>
      </c>
      <c r="I57" s="12">
        <v>0</v>
      </c>
      <c r="J57" s="12">
        <v>1.043705066</v>
      </c>
      <c r="K57" s="12">
        <v>0</v>
      </c>
      <c r="L57" s="12">
        <v>0.185341119</v>
      </c>
      <c r="M57" s="12">
        <v>0</v>
      </c>
      <c r="N57" s="12">
        <v>176727.97</v>
      </c>
      <c r="O57" s="12">
        <v>-25.41</v>
      </c>
      <c r="Q57" s="15">
        <v>109.479795</v>
      </c>
      <c r="R57" s="15">
        <v>-62.623761000000002</v>
      </c>
      <c r="S57" s="15">
        <v>170</v>
      </c>
      <c r="T57" s="15">
        <v>101.59236199999999</v>
      </c>
      <c r="U57" s="15">
        <v>107.351319</v>
      </c>
      <c r="V57" s="15">
        <v>91.706649999999996</v>
      </c>
      <c r="W57" s="16">
        <v>40.448720999999999</v>
      </c>
      <c r="X57" s="16">
        <v>63.762642</v>
      </c>
      <c r="Y57" s="15">
        <v>47.446024999999999</v>
      </c>
      <c r="Z57" s="15">
        <v>33.180356000000003</v>
      </c>
      <c r="AA57" s="15"/>
      <c r="AB57" s="16">
        <v>73.605024</v>
      </c>
      <c r="AC57" s="16">
        <v>100.314611</v>
      </c>
      <c r="AD57" s="16">
        <v>87.395797999999999</v>
      </c>
      <c r="AE57" s="16">
        <v>114.70308199999999</v>
      </c>
      <c r="AF57" s="16">
        <v>70.567431999999997</v>
      </c>
      <c r="AG57" s="16">
        <v>97.538511999999997</v>
      </c>
      <c r="AH57" s="15">
        <v>13.422786</v>
      </c>
      <c r="AI57" s="15">
        <v>33.445638000000002</v>
      </c>
      <c r="AJ57" s="15">
        <v>0</v>
      </c>
      <c r="AK57" s="15">
        <v>5000</v>
      </c>
      <c r="AM57" t="str">
        <f t="shared" si="30"/>
        <v>NE_DryMill_Existing_Non_CCS</v>
      </c>
      <c r="AN57" t="str">
        <f t="shared" si="31"/>
        <v>Biomass_Corn</v>
      </c>
      <c r="AO57" s="11">
        <f t="shared" si="32"/>
        <v>66.020173033282063</v>
      </c>
      <c r="AP57" s="11">
        <f t="shared" si="33"/>
        <v>66.020173033282063</v>
      </c>
      <c r="AQ57" s="11">
        <f t="shared" si="34"/>
        <v>18.338936953689462</v>
      </c>
      <c r="AR57" s="11">
        <f t="shared" si="35"/>
        <v>18.338936953689462</v>
      </c>
      <c r="AS57" s="5">
        <f t="shared" si="36"/>
        <v>0</v>
      </c>
      <c r="AT57">
        <f t="shared" si="37"/>
        <v>0</v>
      </c>
      <c r="AU57">
        <f t="shared" si="38"/>
        <v>1.3043611278934286</v>
      </c>
      <c r="AV57" s="1" cm="1">
        <f t="array" ref="AV57">_xlfn.IFS(C57="Biomass_Corn", 1/F57*S57, C57="Biomass_Agri", 1/F57*V57, C57="Biomass_Wood", 1/F57*U57, C57="Biomass_Herb", 1/F57*T57)</f>
        <v>54.762078186656993</v>
      </c>
      <c r="AW57">
        <f t="shared" si="39"/>
        <v>4.3818096007512652</v>
      </c>
      <c r="AX57">
        <f t="shared" si="40"/>
        <v>0</v>
      </c>
      <c r="AY57">
        <f t="shared" si="41"/>
        <v>7.2208724377810398</v>
      </c>
      <c r="AZ57">
        <f t="shared" si="42"/>
        <v>-8.1853200395467898</v>
      </c>
      <c r="BA57" s="1">
        <f t="shared" si="20"/>
        <v>5.9703909015778864E-2</v>
      </c>
      <c r="BB57" s="1">
        <f t="shared" si="21"/>
        <v>0</v>
      </c>
      <c r="BC57">
        <f t="shared" si="43"/>
        <v>6.5363717197461213</v>
      </c>
      <c r="BD57">
        <f t="shared" si="44"/>
        <v>5.9703909015778822E-2</v>
      </c>
      <c r="BE57" s="1">
        <f t="shared" si="24"/>
        <v>0</v>
      </c>
      <c r="BF57">
        <f t="shared" si="45"/>
        <v>6.5363717197461169</v>
      </c>
      <c r="BH57" s="9">
        <f t="shared" si="46"/>
        <v>1.7588666580000001</v>
      </c>
      <c r="BI57" s="10">
        <v>0.181048235160161</v>
      </c>
      <c r="BJ57" s="9">
        <v>0.23037490999999999</v>
      </c>
      <c r="BL57" s="10">
        <f t="shared" si="47"/>
        <v>0.56658349085470638</v>
      </c>
      <c r="BM57" s="10">
        <f t="shared" si="48"/>
        <v>5.9102402066446284E-2</v>
      </c>
      <c r="BN57" s="10">
        <f t="shared" si="49"/>
        <v>0.62568589292115262</v>
      </c>
      <c r="BP57" s="10">
        <f t="shared" si="50"/>
        <v>0.23037490999999999</v>
      </c>
      <c r="BQ57" s="10">
        <f t="shared" si="51"/>
        <v>0.33620857898883527</v>
      </c>
      <c r="BR57" s="10">
        <f t="shared" si="52"/>
        <v>5.9703910881649988E-2</v>
      </c>
      <c r="BS57" s="10">
        <f t="shared" si="53"/>
        <v>0</v>
      </c>
      <c r="BT57" s="10">
        <f t="shared" si="54"/>
        <v>0</v>
      </c>
      <c r="BU57" s="10">
        <f t="shared" si="55"/>
        <v>0.62628739987048521</v>
      </c>
      <c r="BW57">
        <f t="shared" si="56"/>
        <v>-6.0150694933258642E-4</v>
      </c>
    </row>
    <row r="58" spans="2:75">
      <c r="B58" s="13" t="s">
        <v>130</v>
      </c>
      <c r="C58" s="12" t="s">
        <v>121</v>
      </c>
      <c r="D58" s="12">
        <v>0</v>
      </c>
      <c r="E58" s="12">
        <v>8.5342824999999997E-2</v>
      </c>
      <c r="F58" s="12">
        <v>3.1043379949999999</v>
      </c>
      <c r="G58" s="12">
        <v>1.013397519</v>
      </c>
      <c r="H58" s="12">
        <v>1.7588666580000001</v>
      </c>
      <c r="I58" s="12">
        <v>0.35768767200000001</v>
      </c>
      <c r="J58" s="12">
        <v>0.68601739399999995</v>
      </c>
      <c r="K58" s="12">
        <v>0</v>
      </c>
      <c r="L58" s="12">
        <v>0.185341119</v>
      </c>
      <c r="M58" s="12">
        <v>27458.48</v>
      </c>
      <c r="N58" s="12">
        <v>191772.15</v>
      </c>
      <c r="O58" s="12">
        <v>-25.37</v>
      </c>
      <c r="Q58" s="16">
        <v>109.479795</v>
      </c>
      <c r="R58" s="16">
        <v>-6.4959309999999997</v>
      </c>
      <c r="S58" s="16">
        <v>170</v>
      </c>
      <c r="T58" s="15">
        <v>1554.0826480000001</v>
      </c>
      <c r="U58" s="15">
        <v>159.85701800000001</v>
      </c>
      <c r="V58" s="15">
        <v>138.16451699999999</v>
      </c>
      <c r="W58" s="16">
        <v>38.602687000000003</v>
      </c>
      <c r="X58" s="16">
        <v>63.762642</v>
      </c>
      <c r="Y58" s="15">
        <v>36.550691999999998</v>
      </c>
      <c r="Z58" s="15">
        <v>29.713021000000001</v>
      </c>
      <c r="AA58" s="16"/>
      <c r="AB58" s="16">
        <v>73.605024</v>
      </c>
      <c r="AC58" s="16">
        <v>100.314611</v>
      </c>
      <c r="AD58" s="16">
        <v>87.395797999999999</v>
      </c>
      <c r="AE58" s="16">
        <v>114.70308199999999</v>
      </c>
      <c r="AF58" s="16">
        <v>70.567431999999997</v>
      </c>
      <c r="AG58" s="16">
        <v>97.538511999999997</v>
      </c>
      <c r="AH58" s="15">
        <v>13.678414</v>
      </c>
      <c r="AI58" s="15">
        <v>33.701264999999999</v>
      </c>
      <c r="AJ58" s="15">
        <v>0</v>
      </c>
      <c r="AK58" s="15">
        <v>5000</v>
      </c>
      <c r="AM58" t="str">
        <f t="shared" si="30"/>
        <v>CA_DryMill_CCS_Fermentation</v>
      </c>
      <c r="AN58" t="str">
        <f t="shared" si="31"/>
        <v>Biomass_Corn</v>
      </c>
      <c r="AO58" s="11">
        <f t="shared" si="32"/>
        <v>55.687586083500918</v>
      </c>
      <c r="AP58" s="11">
        <f t="shared" si="33"/>
        <v>55.687586083500918</v>
      </c>
      <c r="AQ58" s="11">
        <f t="shared" si="34"/>
        <v>15.468773912083588</v>
      </c>
      <c r="AR58" s="11">
        <f t="shared" si="35"/>
        <v>15.468773912083588</v>
      </c>
      <c r="AS58" s="5">
        <f t="shared" si="36"/>
        <v>0</v>
      </c>
      <c r="AT58">
        <f t="shared" si="37"/>
        <v>0</v>
      </c>
      <c r="AU58">
        <f t="shared" si="38"/>
        <v>1.0048323719933401</v>
      </c>
      <c r="AV58" s="1" cm="1">
        <f t="array" ref="AV58">_xlfn.IFS(C58="Biomass_Corn", 1/F58*S58, C58="Biomass_Agri", 1/F58*V58, C58="Biomass_Wood", 1/F58*U58, C58="Biomass_Herb", 1/F58*T58)</f>
        <v>54.762078186656993</v>
      </c>
      <c r="AW58">
        <f t="shared" si="39"/>
        <v>4.4652582398505434</v>
      </c>
      <c r="AX58">
        <f t="shared" si="40"/>
        <v>1.1219173819252375</v>
      </c>
      <c r="AY58">
        <f t="shared" si="41"/>
        <v>7.8355578478551591</v>
      </c>
      <c r="AZ58">
        <f t="shared" si="42"/>
        <v>-8.1724348446793407</v>
      </c>
      <c r="BA58" s="1">
        <f t="shared" si="20"/>
        <v>5.9703909015778864E-2</v>
      </c>
      <c r="BB58" s="1">
        <f t="shared" si="21"/>
        <v>-11.865994819847124</v>
      </c>
      <c r="BC58">
        <f t="shared" si="43"/>
        <v>6.5363717197461213</v>
      </c>
      <c r="BD58">
        <f t="shared" si="44"/>
        <v>-5.5517974869323083E-2</v>
      </c>
      <c r="BE58" s="1">
        <f t="shared" si="24"/>
        <v>0.7484734074076338</v>
      </c>
      <c r="BF58">
        <f t="shared" si="45"/>
        <v>-6.0780965075086426</v>
      </c>
      <c r="BH58" s="9">
        <f t="shared" si="46"/>
        <v>1.7588666580000001</v>
      </c>
      <c r="BI58" s="10">
        <v>0.181048235160161</v>
      </c>
      <c r="BJ58" s="9">
        <v>0.23037490999999999</v>
      </c>
      <c r="BL58" s="10">
        <f t="shared" si="47"/>
        <v>0.56658349085470638</v>
      </c>
      <c r="BM58" s="10">
        <f t="shared" si="48"/>
        <v>5.9102402066446284E-2</v>
      </c>
      <c r="BN58" s="10">
        <f t="shared" si="49"/>
        <v>0.62568589292115262</v>
      </c>
      <c r="BP58" s="10">
        <f t="shared" si="50"/>
        <v>0.23037490999999999</v>
      </c>
      <c r="BQ58" s="10">
        <f t="shared" si="51"/>
        <v>0.22098669510373337</v>
      </c>
      <c r="BR58" s="10">
        <f t="shared" si="52"/>
        <v>5.9703910881649988E-2</v>
      </c>
      <c r="BS58" s="10">
        <f t="shared" si="53"/>
        <v>0.11522188388510189</v>
      </c>
      <c r="BT58" s="10">
        <f t="shared" si="54"/>
        <v>0</v>
      </c>
      <c r="BU58" s="10">
        <f t="shared" si="55"/>
        <v>0.62628739987048521</v>
      </c>
      <c r="BW58">
        <f t="shared" si="56"/>
        <v>-6.0150694933258642E-4</v>
      </c>
    </row>
    <row r="59" spans="2:75">
      <c r="B59" s="13" t="s">
        <v>131</v>
      </c>
      <c r="C59" s="12" t="s">
        <v>121</v>
      </c>
      <c r="D59" s="12">
        <v>0</v>
      </c>
      <c r="E59" s="12">
        <v>8.5342824999999997E-2</v>
      </c>
      <c r="F59" s="12">
        <v>3.1043379949999999</v>
      </c>
      <c r="G59" s="12">
        <v>1.013397519</v>
      </c>
      <c r="H59" s="12">
        <v>1.7588666580000001</v>
      </c>
      <c r="I59" s="12">
        <v>0.35768767200000001</v>
      </c>
      <c r="J59" s="12">
        <v>0.68601739399999995</v>
      </c>
      <c r="K59" s="12">
        <v>0</v>
      </c>
      <c r="L59" s="12">
        <v>0.185341119</v>
      </c>
      <c r="M59" s="12">
        <v>27458.48</v>
      </c>
      <c r="N59" s="12">
        <v>191772.15</v>
      </c>
      <c r="O59" s="12">
        <v>-25.37</v>
      </c>
      <c r="Q59" s="16">
        <v>109.479795</v>
      </c>
      <c r="R59" s="16">
        <v>-7.354813</v>
      </c>
      <c r="S59" s="16">
        <v>170</v>
      </c>
      <c r="T59" s="15">
        <v>138.356765</v>
      </c>
      <c r="U59" s="15">
        <v>156.77793399999999</v>
      </c>
      <c r="V59" s="15">
        <v>119.345797</v>
      </c>
      <c r="W59" s="16">
        <v>38.613644000000001</v>
      </c>
      <c r="X59" s="16">
        <v>63.762642</v>
      </c>
      <c r="Y59" s="15">
        <v>26.773821999999999</v>
      </c>
      <c r="Z59" s="15">
        <v>27.836881000000002</v>
      </c>
      <c r="AA59" s="16"/>
      <c r="AB59" s="16">
        <v>73.605024</v>
      </c>
      <c r="AC59" s="16">
        <v>100.314611</v>
      </c>
      <c r="AD59" s="16">
        <v>87.395797999999999</v>
      </c>
      <c r="AE59" s="16">
        <v>114.70308199999999</v>
      </c>
      <c r="AF59" s="16">
        <v>70.567431999999997</v>
      </c>
      <c r="AG59" s="16">
        <v>97.538511999999997</v>
      </c>
      <c r="AH59" s="15">
        <v>13.68019</v>
      </c>
      <c r="AI59" s="15">
        <v>33.703040999999999</v>
      </c>
      <c r="AJ59" s="15">
        <v>0</v>
      </c>
      <c r="AK59" s="15">
        <v>5000</v>
      </c>
      <c r="AM59" t="str">
        <f t="shared" si="30"/>
        <v>NW_DryMill_CCS_Fermentation</v>
      </c>
      <c r="AN59" t="str">
        <f t="shared" si="31"/>
        <v>Biomass_Corn</v>
      </c>
      <c r="AO59" s="11">
        <f t="shared" si="32"/>
        <v>55.518347292748281</v>
      </c>
      <c r="AP59" s="11">
        <f t="shared" si="33"/>
        <v>55.518347292748274</v>
      </c>
      <c r="AQ59" s="11">
        <f t="shared" si="34"/>
        <v>15.421763136874523</v>
      </c>
      <c r="AR59" s="11">
        <f t="shared" si="35"/>
        <v>15.421763136874521</v>
      </c>
      <c r="AS59" s="5">
        <f t="shared" si="36"/>
        <v>0</v>
      </c>
      <c r="AT59">
        <f t="shared" si="37"/>
        <v>0</v>
      </c>
      <c r="AU59">
        <f t="shared" si="38"/>
        <v>0.73605181175742107</v>
      </c>
      <c r="AV59" s="1" cm="1">
        <f t="array" ref="AV59">_xlfn.IFS(C59="Biomass_Corn", 1/F59*S59, C59="Biomass_Agri", 1/F59*V59, C59="Biomass_Wood", 1/F59*U59, C59="Biomass_Herb", 1/F59*T59)</f>
        <v>54.762078186656993</v>
      </c>
      <c r="AW59">
        <f t="shared" si="39"/>
        <v>4.4658380072588102</v>
      </c>
      <c r="AX59">
        <f t="shared" si="40"/>
        <v>1.1219173819252375</v>
      </c>
      <c r="AY59">
        <f t="shared" si="41"/>
        <v>7.8355578478551591</v>
      </c>
      <c r="AZ59">
        <f t="shared" si="42"/>
        <v>-8.1724348446793407</v>
      </c>
      <c r="BA59" s="1">
        <f t="shared" si="20"/>
        <v>5.9703909015778864E-2</v>
      </c>
      <c r="BB59" s="1">
        <f t="shared" si="21"/>
        <v>-11.767032817772119</v>
      </c>
      <c r="BC59">
        <f t="shared" si="43"/>
        <v>6.5363717197461213</v>
      </c>
      <c r="BD59">
        <f t="shared" si="44"/>
        <v>-5.5517974869323083E-2</v>
      </c>
      <c r="BE59" s="1">
        <f t="shared" si="24"/>
        <v>0.84743540948263796</v>
      </c>
      <c r="BF59">
        <f t="shared" si="45"/>
        <v>-6.0780965075086426</v>
      </c>
      <c r="BH59" s="9">
        <f t="shared" si="46"/>
        <v>1.7588666580000001</v>
      </c>
      <c r="BI59" s="10">
        <v>0.181048235160161</v>
      </c>
      <c r="BJ59" s="9">
        <v>0.23037490999999999</v>
      </c>
      <c r="BL59" s="10">
        <f t="shared" si="47"/>
        <v>0.56658349085470638</v>
      </c>
      <c r="BM59" s="10">
        <f t="shared" si="48"/>
        <v>5.9102402066446284E-2</v>
      </c>
      <c r="BN59" s="10">
        <f t="shared" si="49"/>
        <v>0.62568589292115262</v>
      </c>
      <c r="BP59" s="10">
        <f t="shared" si="50"/>
        <v>0.23037490999999999</v>
      </c>
      <c r="BQ59" s="10">
        <f t="shared" si="51"/>
        <v>0.22098669510373337</v>
      </c>
      <c r="BR59" s="10">
        <f t="shared" si="52"/>
        <v>5.9703910881649988E-2</v>
      </c>
      <c r="BS59" s="10">
        <f t="shared" si="53"/>
        <v>0.11522188388510189</v>
      </c>
      <c r="BT59" s="10">
        <f t="shared" si="54"/>
        <v>0</v>
      </c>
      <c r="BU59" s="10">
        <f t="shared" si="55"/>
        <v>0.62628739987048521</v>
      </c>
      <c r="BW59">
        <f t="shared" si="56"/>
        <v>-6.0150694933258642E-4</v>
      </c>
    </row>
    <row r="60" spans="2:75">
      <c r="B60" s="13" t="s">
        <v>132</v>
      </c>
      <c r="C60" s="12" t="s">
        <v>121</v>
      </c>
      <c r="D60" s="12">
        <v>0</v>
      </c>
      <c r="E60" s="12">
        <v>8.5342824999999997E-2</v>
      </c>
      <c r="F60" s="12">
        <v>3.1043379949999999</v>
      </c>
      <c r="G60" s="12">
        <v>1.013397519</v>
      </c>
      <c r="H60" s="12">
        <v>1.7588666580000001</v>
      </c>
      <c r="I60" s="12">
        <v>0.35768767200000001</v>
      </c>
      <c r="J60" s="12">
        <v>0.68601739399999995</v>
      </c>
      <c r="K60" s="12">
        <v>0</v>
      </c>
      <c r="L60" s="12">
        <v>0.185341119</v>
      </c>
      <c r="M60" s="12">
        <v>27458.48</v>
      </c>
      <c r="N60" s="12">
        <v>191772.15</v>
      </c>
      <c r="O60" s="12">
        <v>-25.37</v>
      </c>
      <c r="Q60" s="16">
        <v>109.479795</v>
      </c>
      <c r="R60" s="16">
        <v>-16.598628000000001</v>
      </c>
      <c r="S60" s="16">
        <v>170</v>
      </c>
      <c r="T60" s="15">
        <v>123.651932</v>
      </c>
      <c r="U60" s="15">
        <v>141.0224</v>
      </c>
      <c r="V60" s="15">
        <v>111.7672</v>
      </c>
      <c r="W60" s="16">
        <v>38.593339999999998</v>
      </c>
      <c r="X60" s="16">
        <v>63.762642</v>
      </c>
      <c r="Y60" s="15">
        <v>27.997803999999999</v>
      </c>
      <c r="Z60" s="15">
        <v>26.264468000000001</v>
      </c>
      <c r="AA60" s="16"/>
      <c r="AB60" s="16">
        <v>73.605024</v>
      </c>
      <c r="AC60" s="16">
        <v>100.314611</v>
      </c>
      <c r="AD60" s="16">
        <v>87.395797999999999</v>
      </c>
      <c r="AE60" s="16">
        <v>114.70308199999999</v>
      </c>
      <c r="AF60" s="16">
        <v>70.567431999999997</v>
      </c>
      <c r="AG60" s="16">
        <v>97.538511999999997</v>
      </c>
      <c r="AH60" s="15">
        <v>13.680038</v>
      </c>
      <c r="AI60" s="15">
        <v>33.702888999999999</v>
      </c>
      <c r="AJ60" s="15">
        <v>0</v>
      </c>
      <c r="AK60" s="15">
        <v>5000</v>
      </c>
      <c r="AM60" t="str">
        <f t="shared" si="30"/>
        <v>SW_DryMill_CCS_Fermentation</v>
      </c>
      <c r="AN60" t="str">
        <f t="shared" si="31"/>
        <v>Biomass_Corn</v>
      </c>
      <c r="AO60" s="11">
        <f t="shared" si="32"/>
        <v>56.617036520032279</v>
      </c>
      <c r="AP60" s="11">
        <f t="shared" si="33"/>
        <v>56.617036520032279</v>
      </c>
      <c r="AQ60" s="11">
        <f t="shared" si="34"/>
        <v>15.726954588897854</v>
      </c>
      <c r="AR60" s="11">
        <f t="shared" si="35"/>
        <v>15.726954588897854</v>
      </c>
      <c r="AS60" s="5">
        <f t="shared" si="36"/>
        <v>0</v>
      </c>
      <c r="AT60">
        <f t="shared" si="37"/>
        <v>0</v>
      </c>
      <c r="AU60">
        <f t="shared" si="38"/>
        <v>0.76970088018920757</v>
      </c>
      <c r="AV60" s="1" cm="1">
        <f t="array" ref="AV60">_xlfn.IFS(C60="Biomass_Corn", 1/F60*S60, C60="Biomass_Agri", 1/F60*V60, C60="Biomass_Wood", 1/F60*U60, C60="Biomass_Herb", 1/F60*T60)</f>
        <v>54.762078186656993</v>
      </c>
      <c r="AW60">
        <f t="shared" si="39"/>
        <v>4.4657883875256701</v>
      </c>
      <c r="AX60">
        <f t="shared" si="40"/>
        <v>1.1219173819252375</v>
      </c>
      <c r="AY60">
        <f t="shared" si="41"/>
        <v>7.8355578478551591</v>
      </c>
      <c r="AZ60">
        <f t="shared" si="42"/>
        <v>-8.1724348446793407</v>
      </c>
      <c r="BA60" s="1">
        <f t="shared" si="20"/>
        <v>5.9703909015778864E-2</v>
      </c>
      <c r="BB60" s="1">
        <f t="shared" si="21"/>
        <v>-10.701943039186755</v>
      </c>
      <c r="BC60">
        <f t="shared" si="43"/>
        <v>6.5363717197461213</v>
      </c>
      <c r="BD60">
        <f t="shared" si="44"/>
        <v>-5.5517974869323083E-2</v>
      </c>
      <c r="BE60" s="1">
        <f t="shared" si="24"/>
        <v>1.9125251880680012</v>
      </c>
      <c r="BF60">
        <f t="shared" si="45"/>
        <v>-6.0780965075086426</v>
      </c>
      <c r="BH60" s="9">
        <f t="shared" si="46"/>
        <v>1.7588666580000001</v>
      </c>
      <c r="BI60" s="10">
        <v>0.181048235160161</v>
      </c>
      <c r="BJ60" s="9">
        <v>0.23037490999999999</v>
      </c>
      <c r="BL60" s="10">
        <f t="shared" si="47"/>
        <v>0.56658349085470638</v>
      </c>
      <c r="BM60" s="10">
        <f t="shared" si="48"/>
        <v>5.9102402066446284E-2</v>
      </c>
      <c r="BN60" s="10">
        <f t="shared" si="49"/>
        <v>0.62568589292115262</v>
      </c>
      <c r="BP60" s="10">
        <f t="shared" si="50"/>
        <v>0.23037490999999999</v>
      </c>
      <c r="BQ60" s="10">
        <f t="shared" si="51"/>
        <v>0.22098669510373337</v>
      </c>
      <c r="BR60" s="10">
        <f t="shared" si="52"/>
        <v>5.9703910881649988E-2</v>
      </c>
      <c r="BS60" s="10">
        <f t="shared" si="53"/>
        <v>0.11522188388510189</v>
      </c>
      <c r="BT60" s="10">
        <f t="shared" si="54"/>
        <v>0</v>
      </c>
      <c r="BU60" s="10">
        <f t="shared" si="55"/>
        <v>0.62628739987048521</v>
      </c>
      <c r="BW60">
        <f t="shared" si="56"/>
        <v>-6.0150694933258642E-4</v>
      </c>
    </row>
    <row r="61" spans="2:75">
      <c r="B61" s="13" t="s">
        <v>133</v>
      </c>
      <c r="C61" s="12" t="s">
        <v>121</v>
      </c>
      <c r="D61" s="12">
        <v>0</v>
      </c>
      <c r="E61" s="12">
        <v>8.5342824999999997E-2</v>
      </c>
      <c r="F61" s="12">
        <v>3.1043379949999999</v>
      </c>
      <c r="G61" s="12">
        <v>1.013397519</v>
      </c>
      <c r="H61" s="12">
        <v>1.7588666580000001</v>
      </c>
      <c r="I61" s="12">
        <v>0.35768767200000001</v>
      </c>
      <c r="J61" s="12">
        <v>0.68601739399999995</v>
      </c>
      <c r="K61" s="12">
        <v>0</v>
      </c>
      <c r="L61" s="12">
        <v>0.185341119</v>
      </c>
      <c r="M61" s="12">
        <v>27458.48</v>
      </c>
      <c r="N61" s="12">
        <v>191772.15</v>
      </c>
      <c r="O61" s="12">
        <v>-25.37</v>
      </c>
      <c r="Q61" s="16">
        <v>109.479795</v>
      </c>
      <c r="R61" s="16">
        <v>-21.506692000000001</v>
      </c>
      <c r="S61" s="16">
        <v>170</v>
      </c>
      <c r="T61" s="15">
        <v>137.93464800000001</v>
      </c>
      <c r="U61" s="15">
        <v>157.881351</v>
      </c>
      <c r="V61" s="15">
        <v>111.364845</v>
      </c>
      <c r="W61" s="16">
        <v>38.568981999999998</v>
      </c>
      <c r="X61" s="16">
        <v>63.762642</v>
      </c>
      <c r="Y61" s="15">
        <v>20.230252</v>
      </c>
      <c r="Z61" s="15">
        <v>17.952764999999999</v>
      </c>
      <c r="AA61" s="16"/>
      <c r="AB61" s="16">
        <v>73.605024</v>
      </c>
      <c r="AC61" s="16">
        <v>100.314611</v>
      </c>
      <c r="AD61" s="16">
        <v>87.395797999999999</v>
      </c>
      <c r="AE61" s="16">
        <v>114.70308199999999</v>
      </c>
      <c r="AF61" s="16">
        <v>70.567431999999997</v>
      </c>
      <c r="AG61" s="16">
        <v>97.538511999999997</v>
      </c>
      <c r="AH61" s="15">
        <v>13.325948</v>
      </c>
      <c r="AI61" s="15">
        <v>33.348799</v>
      </c>
      <c r="AJ61" s="15">
        <v>0</v>
      </c>
      <c r="AK61" s="15">
        <v>5000</v>
      </c>
      <c r="AM61" t="str">
        <f t="shared" si="30"/>
        <v>TX_DryMill_CCS_Fermentation</v>
      </c>
      <c r="AN61" t="str">
        <f t="shared" si="31"/>
        <v>Biomass_Corn</v>
      </c>
      <c r="AO61" s="11">
        <f t="shared" si="32"/>
        <v>56.853420325162979</v>
      </c>
      <c r="AP61" s="11">
        <f t="shared" si="33"/>
        <v>56.853420325162979</v>
      </c>
      <c r="AQ61" s="11">
        <f t="shared" si="34"/>
        <v>15.792616756989716</v>
      </c>
      <c r="AR61" s="11">
        <f t="shared" si="35"/>
        <v>15.792616756989716</v>
      </c>
      <c r="AS61" s="5">
        <f t="shared" si="36"/>
        <v>0</v>
      </c>
      <c r="AT61">
        <f t="shared" si="37"/>
        <v>0</v>
      </c>
      <c r="AU61">
        <f t="shared" si="38"/>
        <v>0.55615943203436513</v>
      </c>
      <c r="AV61" s="1" cm="1">
        <f t="array" ref="AV61">_xlfn.IFS(C61="Biomass_Corn", 1/F61*S61, C61="Biomass_Agri", 1/F61*V61, C61="Biomass_Wood", 1/F61*U61, C61="Biomass_Herb", 1/F61*T61)</f>
        <v>54.762078186656993</v>
      </c>
      <c r="AW61">
        <f t="shared" si="39"/>
        <v>4.3501972605025605</v>
      </c>
      <c r="AX61">
        <f t="shared" si="40"/>
        <v>1.1219173819252375</v>
      </c>
      <c r="AY61">
        <f t="shared" si="41"/>
        <v>7.8355578478551591</v>
      </c>
      <c r="AZ61">
        <f t="shared" si="42"/>
        <v>-8.1724348446793407</v>
      </c>
      <c r="BA61" s="1">
        <f t="shared" si="20"/>
        <v>5.9703909015778864E-2</v>
      </c>
      <c r="BB61" s="1">
        <f t="shared" si="21"/>
        <v>-10.13642665887811</v>
      </c>
      <c r="BC61">
        <f t="shared" si="43"/>
        <v>6.5363717197461213</v>
      </c>
      <c r="BD61">
        <f t="shared" si="44"/>
        <v>-5.5517974869323083E-2</v>
      </c>
      <c r="BE61" s="1">
        <f t="shared" si="24"/>
        <v>2.4780415683766499</v>
      </c>
      <c r="BF61">
        <f t="shared" si="45"/>
        <v>-6.0780965075086426</v>
      </c>
      <c r="BH61" s="9">
        <f t="shared" si="46"/>
        <v>1.7588666580000001</v>
      </c>
      <c r="BI61" s="10">
        <v>0.181048235160161</v>
      </c>
      <c r="BJ61" s="9">
        <v>0.23037490999999999</v>
      </c>
      <c r="BL61" s="10">
        <f t="shared" si="47"/>
        <v>0.56658349085470638</v>
      </c>
      <c r="BM61" s="10">
        <f t="shared" si="48"/>
        <v>5.9102402066446284E-2</v>
      </c>
      <c r="BN61" s="10">
        <f t="shared" si="49"/>
        <v>0.62568589292115262</v>
      </c>
      <c r="BP61" s="10">
        <f t="shared" si="50"/>
        <v>0.23037490999999999</v>
      </c>
      <c r="BQ61" s="10">
        <f t="shared" si="51"/>
        <v>0.22098669510373337</v>
      </c>
      <c r="BR61" s="10">
        <f t="shared" si="52"/>
        <v>5.9703910881649988E-2</v>
      </c>
      <c r="BS61" s="10">
        <f t="shared" si="53"/>
        <v>0.11522188388510189</v>
      </c>
      <c r="BT61" s="10">
        <f t="shared" si="54"/>
        <v>0</v>
      </c>
      <c r="BU61" s="10">
        <f t="shared" si="55"/>
        <v>0.62628739987048521</v>
      </c>
      <c r="BW61">
        <f t="shared" si="56"/>
        <v>-6.0150694933258642E-4</v>
      </c>
    </row>
    <row r="62" spans="2:75">
      <c r="B62" s="13" t="s">
        <v>134</v>
      </c>
      <c r="C62" s="12" t="s">
        <v>121</v>
      </c>
      <c r="D62" s="12">
        <v>0</v>
      </c>
      <c r="E62" s="12">
        <v>8.5342824999999997E-2</v>
      </c>
      <c r="F62" s="12">
        <v>3.1043379949999999</v>
      </c>
      <c r="G62" s="12">
        <v>1.013397519</v>
      </c>
      <c r="H62" s="12">
        <v>1.7588666580000001</v>
      </c>
      <c r="I62" s="12">
        <v>0.35768767200000001</v>
      </c>
      <c r="J62" s="12">
        <v>0.68601739399999995</v>
      </c>
      <c r="K62" s="12">
        <v>0</v>
      </c>
      <c r="L62" s="12">
        <v>0.185341119</v>
      </c>
      <c r="M62" s="12">
        <v>27458.48</v>
      </c>
      <c r="N62" s="12">
        <v>191772.15</v>
      </c>
      <c r="O62" s="12">
        <v>-25.37</v>
      </c>
      <c r="Q62" s="16">
        <v>109.479795</v>
      </c>
      <c r="R62" s="16">
        <v>-41.717134999999999</v>
      </c>
      <c r="S62" s="16">
        <v>170</v>
      </c>
      <c r="T62" s="15">
        <v>104.167382</v>
      </c>
      <c r="U62" s="15">
        <v>115.52638899999999</v>
      </c>
      <c r="V62" s="15">
        <v>92.044978</v>
      </c>
      <c r="W62" s="16">
        <v>38.682254</v>
      </c>
      <c r="X62" s="16">
        <v>63.762642</v>
      </c>
      <c r="Y62" s="15">
        <v>30.708172999999999</v>
      </c>
      <c r="Z62" s="15">
        <v>26.913516000000001</v>
      </c>
      <c r="AA62" s="16"/>
      <c r="AB62" s="16">
        <v>73.605024</v>
      </c>
      <c r="AC62" s="16">
        <v>100.314611</v>
      </c>
      <c r="AD62" s="16">
        <v>87.395797999999999</v>
      </c>
      <c r="AE62" s="16">
        <v>114.70308199999999</v>
      </c>
      <c r="AF62" s="16">
        <v>70.567431999999997</v>
      </c>
      <c r="AG62" s="16">
        <v>97.538511999999997</v>
      </c>
      <c r="AH62" s="15">
        <v>13.422003</v>
      </c>
      <c r="AI62" s="15">
        <v>33.444853999999999</v>
      </c>
      <c r="AJ62" s="15">
        <v>0</v>
      </c>
      <c r="AK62" s="15">
        <v>5000</v>
      </c>
      <c r="AM62" t="str">
        <f t="shared" si="30"/>
        <v>NCEN_DryMill_CCS_Fermentation</v>
      </c>
      <c r="AN62" t="str">
        <f t="shared" si="31"/>
        <v>Biomass_Corn</v>
      </c>
      <c r="AO62" s="11">
        <f t="shared" si="32"/>
        <v>59.501515860170301</v>
      </c>
      <c r="AP62" s="11">
        <f t="shared" si="33"/>
        <v>59.501515860170294</v>
      </c>
      <c r="AQ62" s="11">
        <f t="shared" si="34"/>
        <v>16.528198850047307</v>
      </c>
      <c r="AR62" s="11">
        <f t="shared" si="35"/>
        <v>16.528198850047303</v>
      </c>
      <c r="AS62" s="5">
        <f t="shared" si="36"/>
        <v>0</v>
      </c>
      <c r="AT62">
        <f t="shared" si="37"/>
        <v>0</v>
      </c>
      <c r="AU62">
        <f t="shared" si="38"/>
        <v>0.8442129170953</v>
      </c>
      <c r="AV62" s="1" cm="1">
        <f t="array" ref="AV62">_xlfn.IFS(C62="Biomass_Corn", 1/F62*S62, C62="Biomass_Agri", 1/F62*V62, C62="Biomass_Wood", 1/F62*U62, C62="Biomass_Herb", 1/F62*T62)</f>
        <v>54.762078186656993</v>
      </c>
      <c r="AW62">
        <f t="shared" si="39"/>
        <v>4.381553993836472</v>
      </c>
      <c r="AX62">
        <f t="shared" si="40"/>
        <v>1.1219173819252375</v>
      </c>
      <c r="AY62">
        <f t="shared" si="41"/>
        <v>7.8355578478551591</v>
      </c>
      <c r="AZ62">
        <f t="shared" si="42"/>
        <v>-8.1724348446793407</v>
      </c>
      <c r="BA62" s="1">
        <f t="shared" si="20"/>
        <v>5.9703909015778864E-2</v>
      </c>
      <c r="BB62" s="1">
        <f t="shared" si="21"/>
        <v>-7.8077413422656381</v>
      </c>
      <c r="BC62">
        <f t="shared" si="43"/>
        <v>6.5363717197461213</v>
      </c>
      <c r="BD62">
        <f t="shared" si="44"/>
        <v>-5.5517974869323083E-2</v>
      </c>
      <c r="BE62" s="1">
        <f t="shared" si="24"/>
        <v>4.8067268849891196</v>
      </c>
      <c r="BF62">
        <f t="shared" si="45"/>
        <v>-6.0780965075086426</v>
      </c>
      <c r="BH62" s="9">
        <f t="shared" si="46"/>
        <v>1.7588666580000001</v>
      </c>
      <c r="BI62" s="10">
        <v>0.181048235160161</v>
      </c>
      <c r="BJ62" s="9">
        <v>0.23037490999999999</v>
      </c>
      <c r="BL62" s="10">
        <f t="shared" si="47"/>
        <v>0.56658349085470638</v>
      </c>
      <c r="BM62" s="10">
        <f t="shared" si="48"/>
        <v>5.9102402066446284E-2</v>
      </c>
      <c r="BN62" s="10">
        <f t="shared" si="49"/>
        <v>0.62568589292115262</v>
      </c>
      <c r="BP62" s="10">
        <f t="shared" si="50"/>
        <v>0.23037490999999999</v>
      </c>
      <c r="BQ62" s="10">
        <f t="shared" si="51"/>
        <v>0.22098669510373337</v>
      </c>
      <c r="BR62" s="10">
        <f t="shared" si="52"/>
        <v>5.9703910881649988E-2</v>
      </c>
      <c r="BS62" s="10">
        <f t="shared" si="53"/>
        <v>0.11522188388510189</v>
      </c>
      <c r="BT62" s="10">
        <f t="shared" si="54"/>
        <v>0</v>
      </c>
      <c r="BU62" s="10">
        <f t="shared" si="55"/>
        <v>0.62628739987048521</v>
      </c>
      <c r="BW62">
        <f t="shared" si="56"/>
        <v>-6.0150694933258642E-4</v>
      </c>
    </row>
    <row r="63" spans="2:75">
      <c r="B63" s="13" t="s">
        <v>135</v>
      </c>
      <c r="C63" s="12" t="s">
        <v>121</v>
      </c>
      <c r="D63" s="12">
        <v>0</v>
      </c>
      <c r="E63" s="12">
        <v>8.5342824999999997E-2</v>
      </c>
      <c r="F63" s="12">
        <v>3.1043379949999999</v>
      </c>
      <c r="G63" s="12">
        <v>1.013397519</v>
      </c>
      <c r="H63" s="12">
        <v>1.7588666580000001</v>
      </c>
      <c r="I63" s="12">
        <v>0.35768767200000001</v>
      </c>
      <c r="J63" s="12">
        <v>0.68601739399999995</v>
      </c>
      <c r="K63" s="12">
        <v>0</v>
      </c>
      <c r="L63" s="12">
        <v>0.185341119</v>
      </c>
      <c r="M63" s="12">
        <v>27458.48</v>
      </c>
      <c r="N63" s="12">
        <v>191772.15</v>
      </c>
      <c r="O63" s="12">
        <v>-25.37</v>
      </c>
      <c r="Q63" s="16">
        <v>109.479795</v>
      </c>
      <c r="R63" s="16">
        <v>-31.70346</v>
      </c>
      <c r="S63" s="16">
        <v>170</v>
      </c>
      <c r="T63" s="15">
        <v>110.461518</v>
      </c>
      <c r="U63" s="15">
        <v>127.408748</v>
      </c>
      <c r="V63" s="15">
        <v>98.832477999999995</v>
      </c>
      <c r="W63" s="16">
        <v>38.544687000000003</v>
      </c>
      <c r="X63" s="16">
        <v>63.762642</v>
      </c>
      <c r="Y63" s="15">
        <v>25.324636999999999</v>
      </c>
      <c r="Z63" s="15">
        <v>24.781272999999999</v>
      </c>
      <c r="AA63" s="16"/>
      <c r="AB63" s="16">
        <v>73.605024</v>
      </c>
      <c r="AC63" s="16">
        <v>100.314611</v>
      </c>
      <c r="AD63" s="16">
        <v>87.395797999999999</v>
      </c>
      <c r="AE63" s="16">
        <v>114.70308199999999</v>
      </c>
      <c r="AF63" s="16">
        <v>70.567431999999997</v>
      </c>
      <c r="AG63" s="16">
        <v>97.538511999999997</v>
      </c>
      <c r="AH63" s="15">
        <v>13.421913</v>
      </c>
      <c r="AI63" s="15">
        <v>33.444763999999999</v>
      </c>
      <c r="AJ63" s="15">
        <v>0</v>
      </c>
      <c r="AK63" s="15">
        <v>5000</v>
      </c>
      <c r="AM63" t="str">
        <f t="shared" si="30"/>
        <v>CEN_DryMill_CCS_Fermentation</v>
      </c>
      <c r="AN63" t="str">
        <f t="shared" si="31"/>
        <v>Biomass_Corn</v>
      </c>
      <c r="AO63" s="11">
        <f t="shared" si="32"/>
        <v>58.199690645928278</v>
      </c>
      <c r="AP63" s="11">
        <f t="shared" si="33"/>
        <v>58.199690645928278</v>
      </c>
      <c r="AQ63" s="11">
        <f t="shared" si="34"/>
        <v>16.166580734980077</v>
      </c>
      <c r="AR63" s="11">
        <f t="shared" si="35"/>
        <v>16.166580734980077</v>
      </c>
      <c r="AS63" s="5">
        <f t="shared" si="36"/>
        <v>0</v>
      </c>
      <c r="AT63">
        <f t="shared" si="37"/>
        <v>0</v>
      </c>
      <c r="AU63">
        <f t="shared" si="38"/>
        <v>0.69621158107157877</v>
      </c>
      <c r="AV63" s="1" cm="1">
        <f t="array" ref="AV63">_xlfn.IFS(C63="Biomass_Corn", 1/F63*S63, C63="Biomass_Agri", 1/F63*V63, C63="Biomass_Wood", 1/F63*U63, C63="Biomass_Herb", 1/F63*T63)</f>
        <v>54.762078186656993</v>
      </c>
      <c r="AW63">
        <f t="shared" si="39"/>
        <v>4.3815246137313233</v>
      </c>
      <c r="AX63">
        <f t="shared" si="40"/>
        <v>1.1219173819252375</v>
      </c>
      <c r="AY63">
        <f t="shared" si="41"/>
        <v>7.8355578478551591</v>
      </c>
      <c r="AZ63">
        <f t="shared" si="42"/>
        <v>-8.1724348446793407</v>
      </c>
      <c r="BA63" s="1">
        <f t="shared" si="20"/>
        <v>5.9703909015778864E-2</v>
      </c>
      <c r="BB63" s="1">
        <f t="shared" si="21"/>
        <v>-8.9615358403787848</v>
      </c>
      <c r="BC63">
        <f t="shared" si="43"/>
        <v>6.5363717197461213</v>
      </c>
      <c r="BD63">
        <f t="shared" si="44"/>
        <v>-5.5517974869323083E-2</v>
      </c>
      <c r="BE63" s="1">
        <f>(I63+K63)/F63*-1*R63</f>
        <v>3.6529323868759724</v>
      </c>
      <c r="BF63">
        <f t="shared" si="45"/>
        <v>-6.0780965075086426</v>
      </c>
      <c r="BH63" s="9">
        <f t="shared" si="46"/>
        <v>1.7588666580000001</v>
      </c>
      <c r="BI63" s="10">
        <v>0.181048235160161</v>
      </c>
      <c r="BJ63" s="9">
        <v>0.23037490999999999</v>
      </c>
      <c r="BL63" s="10">
        <f t="shared" si="47"/>
        <v>0.56658349085470638</v>
      </c>
      <c r="BM63" s="10">
        <f t="shared" si="48"/>
        <v>5.9102402066446284E-2</v>
      </c>
      <c r="BN63" s="10">
        <f t="shared" si="49"/>
        <v>0.62568589292115262</v>
      </c>
      <c r="BP63" s="10">
        <f t="shared" si="50"/>
        <v>0.23037490999999999</v>
      </c>
      <c r="BQ63" s="10">
        <f t="shared" si="51"/>
        <v>0.22098669510373337</v>
      </c>
      <c r="BR63" s="10">
        <f t="shared" si="52"/>
        <v>5.9703910881649988E-2</v>
      </c>
      <c r="BS63" s="10">
        <f t="shared" si="53"/>
        <v>0.11522188388510189</v>
      </c>
      <c r="BT63" s="10">
        <f t="shared" si="54"/>
        <v>0</v>
      </c>
      <c r="BU63" s="10">
        <f t="shared" si="55"/>
        <v>0.62628739987048521</v>
      </c>
      <c r="BW63">
        <f t="shared" si="56"/>
        <v>-6.0150694933258642E-4</v>
      </c>
    </row>
    <row r="64" spans="2:75">
      <c r="B64" s="13" t="s">
        <v>136</v>
      </c>
      <c r="C64" s="12" t="s">
        <v>121</v>
      </c>
      <c r="D64" s="12">
        <v>0</v>
      </c>
      <c r="E64" s="12">
        <v>8.5342824999999997E-2</v>
      </c>
      <c r="F64" s="12">
        <v>3.1043379949999999</v>
      </c>
      <c r="G64" s="12">
        <v>1.013397519</v>
      </c>
      <c r="H64" s="12">
        <v>1.7588666580000001</v>
      </c>
      <c r="I64" s="12">
        <v>0.35768767200000001</v>
      </c>
      <c r="J64" s="12">
        <v>0.68601739399999995</v>
      </c>
      <c r="K64" s="12">
        <v>0</v>
      </c>
      <c r="L64" s="12">
        <v>0.185341119</v>
      </c>
      <c r="M64" s="12">
        <v>27458.48</v>
      </c>
      <c r="N64" s="12">
        <v>191772.15</v>
      </c>
      <c r="O64" s="12">
        <v>-25.37</v>
      </c>
      <c r="Q64" s="16">
        <v>109.479795</v>
      </c>
      <c r="R64" s="16">
        <v>-47.70091</v>
      </c>
      <c r="S64" s="16">
        <v>170</v>
      </c>
      <c r="T64" s="15">
        <v>99.632842999999994</v>
      </c>
      <c r="U64" s="15">
        <v>113.227017</v>
      </c>
      <c r="V64" s="15">
        <v>88.855315000000004</v>
      </c>
      <c r="W64" s="16">
        <v>39.264408000000003</v>
      </c>
      <c r="X64" s="16">
        <v>63.762642</v>
      </c>
      <c r="Y64" s="15">
        <v>38.218446</v>
      </c>
      <c r="Z64" s="15">
        <v>29.735685</v>
      </c>
      <c r="AA64" s="16"/>
      <c r="AB64" s="16">
        <v>73.605024</v>
      </c>
      <c r="AC64" s="16">
        <v>100.314611</v>
      </c>
      <c r="AD64" s="16">
        <v>87.395797999999999</v>
      </c>
      <c r="AE64" s="16">
        <v>114.70308199999999</v>
      </c>
      <c r="AF64" s="16">
        <v>70.567431999999997</v>
      </c>
      <c r="AG64" s="16">
        <v>97.538511999999997</v>
      </c>
      <c r="AH64" s="15">
        <v>13.421908</v>
      </c>
      <c r="AI64" s="15">
        <v>33.444758999999998</v>
      </c>
      <c r="AJ64" s="15">
        <v>0</v>
      </c>
      <c r="AK64" s="15">
        <v>5000</v>
      </c>
      <c r="AM64" t="str">
        <f t="shared" si="30"/>
        <v>SE_DryMill_CCS_Fermentation</v>
      </c>
      <c r="AN64" t="str">
        <f t="shared" si="31"/>
        <v>Biomass_Corn</v>
      </c>
      <c r="AO64" s="11">
        <f t="shared" si="32"/>
        <v>60.397415145485951</v>
      </c>
      <c r="AP64" s="11">
        <f t="shared" si="33"/>
        <v>60.397415145485944</v>
      </c>
      <c r="AQ64" s="11">
        <f t="shared" si="34"/>
        <v>16.777059762634988</v>
      </c>
      <c r="AR64" s="11">
        <f t="shared" si="35"/>
        <v>16.777059762634984</v>
      </c>
      <c r="AS64" s="5">
        <f t="shared" si="36"/>
        <v>0</v>
      </c>
      <c r="AT64">
        <f t="shared" si="37"/>
        <v>0</v>
      </c>
      <c r="AU64">
        <f t="shared" si="38"/>
        <v>1.0506813864995876</v>
      </c>
      <c r="AV64" s="1" cm="1">
        <f t="array" ref="AV64">_xlfn.IFS(C64="Biomass_Corn", 1/F64*S64, C64="Biomass_Agri", 1/F64*V64, C64="Biomass_Wood", 1/F64*U64, C64="Biomass_Herb", 1/F64*T64)</f>
        <v>54.762078186656993</v>
      </c>
      <c r="AW64">
        <f t="shared" si="39"/>
        <v>4.3815229815032604</v>
      </c>
      <c r="AX64">
        <f t="shared" si="40"/>
        <v>1.1219173819252375</v>
      </c>
      <c r="AY64">
        <f t="shared" si="41"/>
        <v>7.8355578478551591</v>
      </c>
      <c r="AZ64">
        <f t="shared" si="42"/>
        <v>-8.1724348446793407</v>
      </c>
      <c r="BA64" s="1">
        <f t="shared" si="20"/>
        <v>5.9703909015778864E-2</v>
      </c>
      <c r="BB64" s="1">
        <f t="shared" si="21"/>
        <v>-7.1182795140210633</v>
      </c>
      <c r="BC64">
        <f t="shared" si="43"/>
        <v>6.5363717197461213</v>
      </c>
      <c r="BD64">
        <f t="shared" si="44"/>
        <v>-5.5517974869323083E-2</v>
      </c>
      <c r="BE64" s="1">
        <f t="shared" si="24"/>
        <v>5.4961887132336953</v>
      </c>
      <c r="BF64">
        <f t="shared" si="45"/>
        <v>-6.0780965075086426</v>
      </c>
      <c r="BH64" s="9">
        <f t="shared" si="46"/>
        <v>1.7588666580000001</v>
      </c>
      <c r="BI64" s="10">
        <v>0.181048235160161</v>
      </c>
      <c r="BJ64" s="9">
        <v>0.23037490999999999</v>
      </c>
      <c r="BL64" s="10">
        <f t="shared" si="47"/>
        <v>0.56658349085470638</v>
      </c>
      <c r="BM64" s="10">
        <f t="shared" si="48"/>
        <v>5.9102402066446284E-2</v>
      </c>
      <c r="BN64" s="10">
        <f t="shared" si="49"/>
        <v>0.62568589292115262</v>
      </c>
      <c r="BP64" s="10">
        <f t="shared" si="50"/>
        <v>0.23037490999999999</v>
      </c>
      <c r="BQ64" s="10">
        <f t="shared" si="51"/>
        <v>0.22098669510373337</v>
      </c>
      <c r="BR64" s="10">
        <f t="shared" si="52"/>
        <v>5.9703910881649988E-2</v>
      </c>
      <c r="BS64" s="10">
        <f t="shared" si="53"/>
        <v>0.11522188388510189</v>
      </c>
      <c r="BT64" s="10">
        <f t="shared" si="54"/>
        <v>0</v>
      </c>
      <c r="BU64" s="10">
        <f t="shared" si="55"/>
        <v>0.62628739987048521</v>
      </c>
      <c r="BW64">
        <f t="shared" si="56"/>
        <v>-6.0150694933258642E-4</v>
      </c>
    </row>
    <row r="65" spans="2:75">
      <c r="B65" s="13" t="s">
        <v>137</v>
      </c>
      <c r="C65" s="12" t="s">
        <v>121</v>
      </c>
      <c r="D65" s="12">
        <v>0</v>
      </c>
      <c r="E65" s="12">
        <v>8.5342824999999997E-2</v>
      </c>
      <c r="F65" s="12">
        <v>3.1043379949999999</v>
      </c>
      <c r="G65" s="12">
        <v>1.013397519</v>
      </c>
      <c r="H65" s="12">
        <v>1.7588666580000001</v>
      </c>
      <c r="I65" s="12">
        <v>0.35768767200000001</v>
      </c>
      <c r="J65" s="12">
        <v>0.68601739399999995</v>
      </c>
      <c r="K65" s="12">
        <v>0</v>
      </c>
      <c r="L65" s="12">
        <v>0.185341119</v>
      </c>
      <c r="M65" s="12">
        <v>27458.48</v>
      </c>
      <c r="N65" s="12">
        <v>191772.15</v>
      </c>
      <c r="O65" s="12">
        <v>-25.37</v>
      </c>
      <c r="Q65" s="16">
        <v>109.479795</v>
      </c>
      <c r="R65" s="16">
        <v>-54.115442999999999</v>
      </c>
      <c r="S65" s="16">
        <v>170</v>
      </c>
      <c r="T65" s="15">
        <v>100.77374399999999</v>
      </c>
      <c r="U65" s="15">
        <v>108.668072</v>
      </c>
      <c r="V65" s="15">
        <v>89.424565000000001</v>
      </c>
      <c r="W65" s="16">
        <v>39.342497000000002</v>
      </c>
      <c r="X65" s="16">
        <v>63.762642</v>
      </c>
      <c r="Y65" s="15">
        <v>39.359471999999997</v>
      </c>
      <c r="Z65" s="15">
        <v>31.113724999999999</v>
      </c>
      <c r="AA65" s="16"/>
      <c r="AB65" s="16">
        <v>73.605024</v>
      </c>
      <c r="AC65" s="16">
        <v>100.314611</v>
      </c>
      <c r="AD65" s="16">
        <v>87.395797999999999</v>
      </c>
      <c r="AE65" s="16">
        <v>114.70308199999999</v>
      </c>
      <c r="AF65" s="16">
        <v>70.567431999999997</v>
      </c>
      <c r="AG65" s="16">
        <v>97.538511999999997</v>
      </c>
      <c r="AH65" s="15">
        <v>13.423121999999999</v>
      </c>
      <c r="AI65" s="15">
        <v>33.445973000000002</v>
      </c>
      <c r="AJ65" s="15">
        <v>0</v>
      </c>
      <c r="AK65" s="15">
        <v>5000</v>
      </c>
      <c r="AM65" t="str">
        <f t="shared" si="30"/>
        <v>MIDAT_DryMill_CCS_Fermentation</v>
      </c>
      <c r="AN65" t="str">
        <f t="shared" si="31"/>
        <v>Biomass_Corn</v>
      </c>
      <c r="AO65" s="11">
        <f t="shared" si="32"/>
        <v>61.168274512738485</v>
      </c>
      <c r="AP65" s="11">
        <f t="shared" si="33"/>
        <v>61.168274512738485</v>
      </c>
      <c r="AQ65" s="11">
        <f t="shared" si="34"/>
        <v>16.99118736464958</v>
      </c>
      <c r="AR65" s="11">
        <f t="shared" si="35"/>
        <v>16.99118736464958</v>
      </c>
      <c r="AS65" s="5">
        <f t="shared" si="36"/>
        <v>0</v>
      </c>
      <c r="AT65">
        <f t="shared" si="37"/>
        <v>0</v>
      </c>
      <c r="AU65">
        <f t="shared" si="38"/>
        <v>1.0820498722750709</v>
      </c>
      <c r="AV65" s="1" cm="1">
        <f t="array" ref="AV65">_xlfn.IFS(C65="Biomass_Corn", 1/F65*S65, C65="Biomass_Agri", 1/F65*V65, C65="Biomass_Wood", 1/F65*U65, C65="Biomass_Herb", 1/F65*T65)</f>
        <v>54.762078186656993</v>
      </c>
      <c r="AW65">
        <f t="shared" si="39"/>
        <v>4.3819192864771539</v>
      </c>
      <c r="AX65">
        <f t="shared" si="40"/>
        <v>1.1219173819252375</v>
      </c>
      <c r="AY65">
        <f t="shared" si="41"/>
        <v>7.8355578478551591</v>
      </c>
      <c r="AZ65">
        <f t="shared" si="42"/>
        <v>-8.1724348446793407</v>
      </c>
      <c r="BA65" s="1">
        <f t="shared" si="20"/>
        <v>5.9703909015778864E-2</v>
      </c>
      <c r="BB65" s="1">
        <f t="shared" si="21"/>
        <v>-6.379184937517909</v>
      </c>
      <c r="BC65">
        <f t="shared" si="43"/>
        <v>6.5363717197461213</v>
      </c>
      <c r="BD65">
        <f t="shared" si="44"/>
        <v>-5.5517974869323083E-2</v>
      </c>
      <c r="BE65" s="1">
        <f t="shared" si="24"/>
        <v>6.2352832897368495</v>
      </c>
      <c r="BF65">
        <f t="shared" si="45"/>
        <v>-6.0780965075086426</v>
      </c>
      <c r="BH65" s="9">
        <f t="shared" si="46"/>
        <v>1.7588666580000001</v>
      </c>
      <c r="BI65" s="10">
        <v>0.181048235160161</v>
      </c>
      <c r="BJ65" s="9">
        <v>0.23037490999999999</v>
      </c>
      <c r="BL65" s="10">
        <f t="shared" si="47"/>
        <v>0.56658349085470638</v>
      </c>
      <c r="BM65" s="10">
        <f t="shared" si="48"/>
        <v>5.9102402066446284E-2</v>
      </c>
      <c r="BN65" s="10">
        <f t="shared" si="49"/>
        <v>0.62568589292115262</v>
      </c>
      <c r="BP65" s="10">
        <f t="shared" si="50"/>
        <v>0.23037490999999999</v>
      </c>
      <c r="BQ65" s="10">
        <f t="shared" si="51"/>
        <v>0.22098669510373337</v>
      </c>
      <c r="BR65" s="10">
        <f t="shared" si="52"/>
        <v>5.9703910881649988E-2</v>
      </c>
      <c r="BS65" s="10">
        <f t="shared" si="53"/>
        <v>0.11522188388510189</v>
      </c>
      <c r="BT65" s="10">
        <f t="shared" si="54"/>
        <v>0</v>
      </c>
      <c r="BU65" s="10">
        <f t="shared" si="55"/>
        <v>0.62628739987048521</v>
      </c>
      <c r="BW65">
        <f t="shared" si="56"/>
        <v>-6.0150694933258642E-4</v>
      </c>
    </row>
    <row r="66" spans="2:75">
      <c r="B66" s="13" t="s">
        <v>138</v>
      </c>
      <c r="C66" s="12" t="s">
        <v>121</v>
      </c>
      <c r="D66" s="12">
        <v>0</v>
      </c>
      <c r="E66" s="12">
        <v>8.5342824999999997E-2</v>
      </c>
      <c r="F66" s="12">
        <v>3.1043379949999999</v>
      </c>
      <c r="G66" s="12">
        <v>1.013397519</v>
      </c>
      <c r="H66" s="12">
        <v>1.7588666580000001</v>
      </c>
      <c r="I66" s="12">
        <v>0.35768767200000001</v>
      </c>
      <c r="J66" s="12">
        <v>0.68601739399999995</v>
      </c>
      <c r="K66" s="12">
        <v>0</v>
      </c>
      <c r="L66" s="12">
        <v>0.185341119</v>
      </c>
      <c r="M66" s="12">
        <v>27458.48</v>
      </c>
      <c r="N66" s="12">
        <v>191772.15</v>
      </c>
      <c r="O66" s="12">
        <v>-25.37</v>
      </c>
      <c r="Q66" s="16">
        <v>109.479795</v>
      </c>
      <c r="R66" s="16">
        <v>-62.623761000000002</v>
      </c>
      <c r="S66" s="16">
        <v>170</v>
      </c>
      <c r="T66" s="15">
        <v>101.59236199999999</v>
      </c>
      <c r="U66" s="15">
        <v>107.351319</v>
      </c>
      <c r="V66" s="15">
        <v>91.706649999999996</v>
      </c>
      <c r="W66" s="16">
        <v>40.448720999999999</v>
      </c>
      <c r="X66" s="16">
        <v>63.762642</v>
      </c>
      <c r="Y66" s="15">
        <v>47.446024999999999</v>
      </c>
      <c r="Z66" s="15">
        <v>33.180356000000003</v>
      </c>
      <c r="AA66" s="16"/>
      <c r="AB66" s="16">
        <v>73.605024</v>
      </c>
      <c r="AC66" s="16">
        <v>100.314611</v>
      </c>
      <c r="AD66" s="16">
        <v>87.395797999999999</v>
      </c>
      <c r="AE66" s="16">
        <v>114.70308199999999</v>
      </c>
      <c r="AF66" s="16">
        <v>70.567431999999997</v>
      </c>
      <c r="AG66" s="16">
        <v>97.538511999999997</v>
      </c>
      <c r="AH66" s="15">
        <v>13.422786</v>
      </c>
      <c r="AI66" s="15">
        <v>33.445638000000002</v>
      </c>
      <c r="AJ66" s="15">
        <v>0</v>
      </c>
      <c r="AK66" s="15">
        <v>5000</v>
      </c>
      <c r="AM66" t="str">
        <f t="shared" si="30"/>
        <v>NE_DryMill_CCS_Fermentation</v>
      </c>
      <c r="AN66" t="str">
        <f t="shared" si="31"/>
        <v>Biomass_Corn</v>
      </c>
      <c r="AO66" s="11">
        <f t="shared" si="32"/>
        <v>62.370820511284485</v>
      </c>
      <c r="AP66" s="11">
        <f t="shared" si="33"/>
        <v>62.370820511284471</v>
      </c>
      <c r="AQ66" s="11">
        <f t="shared" si="34"/>
        <v>17.325227919801247</v>
      </c>
      <c r="AR66" s="11">
        <f t="shared" si="35"/>
        <v>17.325227919801243</v>
      </c>
      <c r="AS66" s="5">
        <f t="shared" si="36"/>
        <v>0</v>
      </c>
      <c r="AT66">
        <f t="shared" si="37"/>
        <v>0</v>
      </c>
      <c r="AU66">
        <f t="shared" si="38"/>
        <v>1.3043611278934286</v>
      </c>
      <c r="AV66" s="1" cm="1">
        <f t="array" ref="AV66">_xlfn.IFS(C66="Biomass_Corn", 1/F66*S66, C66="Biomass_Agri", 1/F66*V66, C66="Biomass_Wood", 1/F66*U66, C66="Biomass_Herb", 1/F66*T66)</f>
        <v>54.762078186656993</v>
      </c>
      <c r="AW66">
        <f t="shared" si="39"/>
        <v>4.3818096007512652</v>
      </c>
      <c r="AX66">
        <f t="shared" si="40"/>
        <v>1.1219173819252375</v>
      </c>
      <c r="AY66">
        <f t="shared" si="41"/>
        <v>7.8355578478551591</v>
      </c>
      <c r="AZ66">
        <f t="shared" si="42"/>
        <v>-8.1724348446793407</v>
      </c>
      <c r="BA66" s="1">
        <f t="shared" si="20"/>
        <v>5.9703909015778864E-2</v>
      </c>
      <c r="BB66" s="1">
        <f t="shared" si="21"/>
        <v>-5.3988405088643852</v>
      </c>
      <c r="BC66">
        <f t="shared" si="43"/>
        <v>6.5363717197461213</v>
      </c>
      <c r="BD66">
        <f t="shared" si="44"/>
        <v>-5.5517974869323083E-2</v>
      </c>
      <c r="BE66" s="1">
        <f t="shared" si="24"/>
        <v>7.2156277183903725</v>
      </c>
      <c r="BF66">
        <f t="shared" si="45"/>
        <v>-6.0780965075086426</v>
      </c>
      <c r="BH66" s="9">
        <f t="shared" si="46"/>
        <v>1.7588666580000001</v>
      </c>
      <c r="BI66" s="10">
        <v>0.181048235160161</v>
      </c>
      <c r="BJ66" s="9">
        <v>0.23037490999999999</v>
      </c>
      <c r="BL66" s="10">
        <f t="shared" si="47"/>
        <v>0.56658349085470638</v>
      </c>
      <c r="BM66" s="10">
        <f t="shared" si="48"/>
        <v>5.9102402066446284E-2</v>
      </c>
      <c r="BN66" s="10">
        <f t="shared" si="49"/>
        <v>0.62568589292115262</v>
      </c>
      <c r="BP66" s="10">
        <f t="shared" si="50"/>
        <v>0.23037490999999999</v>
      </c>
      <c r="BQ66" s="10">
        <f t="shared" si="51"/>
        <v>0.22098669510373337</v>
      </c>
      <c r="BR66" s="10">
        <f t="shared" si="52"/>
        <v>5.9703910881649988E-2</v>
      </c>
      <c r="BS66" s="10">
        <f t="shared" si="53"/>
        <v>0.11522188388510189</v>
      </c>
      <c r="BT66" s="10">
        <f t="shared" si="54"/>
        <v>0</v>
      </c>
      <c r="BU66" s="10">
        <f t="shared" si="55"/>
        <v>0.62628739987048521</v>
      </c>
      <c r="BW66">
        <f t="shared" si="56"/>
        <v>-6.0150694933258642E-4</v>
      </c>
    </row>
    <row r="67" spans="2:75">
      <c r="B67" s="25" t="s">
        <v>139</v>
      </c>
      <c r="C67" s="24" t="s">
        <v>121</v>
      </c>
      <c r="D67" s="24">
        <v>0</v>
      </c>
      <c r="E67" s="24">
        <v>8.5342824999999997E-2</v>
      </c>
      <c r="F67" s="24">
        <v>3.1043379949999999</v>
      </c>
      <c r="G67" s="24">
        <v>1.013397519</v>
      </c>
      <c r="H67" s="24">
        <v>1.7588666580000001</v>
      </c>
      <c r="I67" s="24">
        <v>0.35768767200000001</v>
      </c>
      <c r="J67" s="24">
        <v>0.68601739399999995</v>
      </c>
      <c r="K67" s="24">
        <v>0.15290642300000001</v>
      </c>
      <c r="L67" s="24">
        <v>3.2434695999999999E-2</v>
      </c>
      <c r="M67" s="24">
        <v>45179.42</v>
      </c>
      <c r="N67" s="24">
        <v>201481.25</v>
      </c>
      <c r="O67" s="24">
        <v>-25.28</v>
      </c>
      <c r="Q67" s="22">
        <v>109.479795</v>
      </c>
      <c r="R67" s="22">
        <v>-6.4959309999999997</v>
      </c>
      <c r="S67" s="22">
        <v>170</v>
      </c>
      <c r="T67" s="22">
        <v>1554.0826480000001</v>
      </c>
      <c r="U67" s="22">
        <v>159.85701800000001</v>
      </c>
      <c r="V67" s="22">
        <v>138.16451699999999</v>
      </c>
      <c r="W67" s="22">
        <v>38.602687000000003</v>
      </c>
      <c r="X67" s="22">
        <v>63.762642</v>
      </c>
      <c r="Y67" s="22">
        <v>36.550691999999998</v>
      </c>
      <c r="Z67" s="22">
        <v>29.713021000000001</v>
      </c>
      <c r="AA67" s="23"/>
      <c r="AB67" s="22">
        <v>73.605024</v>
      </c>
      <c r="AC67" s="22">
        <v>100.314611</v>
      </c>
      <c r="AD67" s="22">
        <v>87.395797999999999</v>
      </c>
      <c r="AE67" s="22">
        <v>114.70308199999999</v>
      </c>
      <c r="AF67" s="22">
        <v>70.567431999999997</v>
      </c>
      <c r="AG67" s="22">
        <v>97.538511999999997</v>
      </c>
      <c r="AH67" s="22">
        <v>13.678414</v>
      </c>
      <c r="AI67" s="22">
        <v>33.701264999999999</v>
      </c>
      <c r="AJ67" s="22">
        <v>0</v>
      </c>
      <c r="AK67" s="22">
        <v>5000</v>
      </c>
      <c r="AM67" t="str">
        <f t="shared" si="30"/>
        <v>CA_DryMill_CCS_Fermentation_Exhaust</v>
      </c>
      <c r="AN67" t="str">
        <f t="shared" si="31"/>
        <v>Biomass_Corn</v>
      </c>
      <c r="AO67" s="21">
        <f t="shared" si="32"/>
        <v>51.764788101919315</v>
      </c>
      <c r="AP67" s="21">
        <f t="shared" si="33"/>
        <v>51.764788101919315</v>
      </c>
      <c r="AQ67" s="21">
        <f t="shared" si="34"/>
        <v>14.379107806088697</v>
      </c>
      <c r="AR67" s="21">
        <f t="shared" si="35"/>
        <v>14.379107806088697</v>
      </c>
      <c r="AS67" s="5">
        <f t="shared" si="36"/>
        <v>0</v>
      </c>
      <c r="AT67">
        <f t="shared" si="37"/>
        <v>0</v>
      </c>
      <c r="AU67">
        <f t="shared" si="38"/>
        <v>1.0048323719933401</v>
      </c>
      <c r="AV67" s="1" cm="1">
        <f t="array" ref="AV67">_xlfn.IFS(C67="Biomass_Corn", 1/F67*S67, C67="Biomass_Agri", 1/F67*V67, C67="Biomass_Wood", 1/F67*U67, C67="Biomass_Herb", 1/F67*T67)</f>
        <v>54.762078186656993</v>
      </c>
      <c r="AW67">
        <f t="shared" si="39"/>
        <v>4.4652582398505434</v>
      </c>
      <c r="AX67">
        <f t="shared" si="40"/>
        <v>1.8459716853700829</v>
      </c>
      <c r="AY67">
        <f t="shared" si="41"/>
        <v>8.2322589053372308</v>
      </c>
      <c r="AZ67">
        <f t="shared" si="42"/>
        <v>-8.1434431562275815</v>
      </c>
      <c r="BA67" s="1">
        <f t="shared" si="20"/>
        <v>5.9703909015778864E-2</v>
      </c>
      <c r="BB67" s="1">
        <f t="shared" si="21"/>
        <v>-16.938539850807413</v>
      </c>
      <c r="BC67">
        <f t="shared" si="43"/>
        <v>6.5363717197461213</v>
      </c>
      <c r="BD67">
        <f t="shared" si="44"/>
        <v>-0.10477370129031155</v>
      </c>
      <c r="BE67" s="1">
        <f t="shared" si="24"/>
        <v>1.0684352075932522</v>
      </c>
      <c r="BF67">
        <f t="shared" si="45"/>
        <v>-11.470603338654543</v>
      </c>
      <c r="BH67" s="20">
        <f t="shared" si="46"/>
        <v>1.7588666580000001</v>
      </c>
      <c r="BI67" s="18">
        <v>0.181048235160161</v>
      </c>
      <c r="BJ67" s="20">
        <v>0.23037490999999999</v>
      </c>
      <c r="BL67" s="18">
        <f t="shared" si="47"/>
        <v>0.56658349085470638</v>
      </c>
      <c r="BM67" s="18">
        <f t="shared" si="48"/>
        <v>5.9102402066446284E-2</v>
      </c>
      <c r="BN67" s="18">
        <f t="shared" si="49"/>
        <v>0.62568589292115262</v>
      </c>
      <c r="BP67" s="18">
        <f t="shared" si="50"/>
        <v>0.23037490999999999</v>
      </c>
      <c r="BQ67" s="19">
        <f t="shared" si="51"/>
        <v>0.22098669510373337</v>
      </c>
      <c r="BR67" s="18">
        <f t="shared" si="52"/>
        <v>1.0448184460661475E-2</v>
      </c>
      <c r="BS67" s="19">
        <f t="shared" si="53"/>
        <v>0.11522188388510189</v>
      </c>
      <c r="BT67" s="18">
        <f t="shared" si="54"/>
        <v>4.9255726420988515E-2</v>
      </c>
      <c r="BU67" s="18">
        <f t="shared" si="55"/>
        <v>0.62628739987048521</v>
      </c>
      <c r="BW67">
        <f t="shared" si="56"/>
        <v>-6.0150694933258642E-4</v>
      </c>
    </row>
    <row r="68" spans="2:75">
      <c r="B68" s="25" t="s">
        <v>140</v>
      </c>
      <c r="C68" s="24" t="s">
        <v>121</v>
      </c>
      <c r="D68" s="24">
        <v>0</v>
      </c>
      <c r="E68" s="24">
        <v>8.5342824999999997E-2</v>
      </c>
      <c r="F68" s="24">
        <v>3.1043379949999999</v>
      </c>
      <c r="G68" s="24">
        <v>1.013397519</v>
      </c>
      <c r="H68" s="24">
        <v>1.7588666580000001</v>
      </c>
      <c r="I68" s="24">
        <v>0.35768767200000001</v>
      </c>
      <c r="J68" s="24">
        <v>0.68601739399999995</v>
      </c>
      <c r="K68" s="24">
        <v>0.15290642300000001</v>
      </c>
      <c r="L68" s="24">
        <v>3.2434695999999999E-2</v>
      </c>
      <c r="M68" s="24">
        <v>45179.42</v>
      </c>
      <c r="N68" s="24">
        <v>201481.25</v>
      </c>
      <c r="O68" s="24">
        <v>-25.28</v>
      </c>
      <c r="Q68" s="22">
        <v>109.479795</v>
      </c>
      <c r="R68" s="22">
        <v>-7.354813</v>
      </c>
      <c r="S68" s="22">
        <v>170</v>
      </c>
      <c r="T68" s="22">
        <v>138.356765</v>
      </c>
      <c r="U68" s="22">
        <v>156.77793399999999</v>
      </c>
      <c r="V68" s="22">
        <v>119.345797</v>
      </c>
      <c r="W68" s="22">
        <v>38.613644000000001</v>
      </c>
      <c r="X68" s="22">
        <v>63.762642</v>
      </c>
      <c r="Y68" s="22">
        <v>26.773821999999999</v>
      </c>
      <c r="Z68" s="22">
        <v>27.836881000000002</v>
      </c>
      <c r="AA68" s="23"/>
      <c r="AB68" s="22">
        <v>73.605024</v>
      </c>
      <c r="AC68" s="22">
        <v>100.314611</v>
      </c>
      <c r="AD68" s="22">
        <v>87.395797999999999</v>
      </c>
      <c r="AE68" s="22">
        <v>114.70308199999999</v>
      </c>
      <c r="AF68" s="22">
        <v>70.567431999999997</v>
      </c>
      <c r="AG68" s="22">
        <v>97.538511999999997</v>
      </c>
      <c r="AH68" s="22">
        <v>13.68019</v>
      </c>
      <c r="AI68" s="22">
        <v>33.703040999999999</v>
      </c>
      <c r="AJ68" s="22">
        <v>0</v>
      </c>
      <c r="AK68" s="22">
        <v>5000</v>
      </c>
      <c r="AM68" t="str">
        <f t="shared" ref="AM68:AM75" si="57">B68</f>
        <v>NW_DryMill_CCS_Fermentation_Exhaust</v>
      </c>
      <c r="AN68" t="str">
        <f t="shared" ref="AN68:AN75" si="58">C68</f>
        <v>Biomass_Corn</v>
      </c>
      <c r="AO68" s="21">
        <f t="shared" ref="AO68:AO75" si="59">SUM(AT68:AZ68)+BB68+BC68</f>
        <v>51.637854167986568</v>
      </c>
      <c r="AP68" s="21">
        <f t="shared" ref="AP68:AP75" si="60">SUM(AT68:AZ68)+BE68+BF68</f>
        <v>51.637854167986575</v>
      </c>
      <c r="AQ68" s="21">
        <f t="shared" ref="AQ68:AQ75" si="61">AO68/3.6</f>
        <v>14.343848379996269</v>
      </c>
      <c r="AR68" s="21">
        <f t="shared" ref="AR68:AR75" si="62">AP68/3.6</f>
        <v>14.34384837999627</v>
      </c>
      <c r="AS68" s="5">
        <f t="shared" ref="AS68:AS75" si="63">AO68-AP68</f>
        <v>0</v>
      </c>
      <c r="AT68">
        <f t="shared" ref="AT68:AT75" si="64">D68/F68*Y68*-1</f>
        <v>0</v>
      </c>
      <c r="AU68">
        <f t="shared" ref="AU68:AU75" si="65">E68/F68*Y68</f>
        <v>0.73605181175742107</v>
      </c>
      <c r="AV68" s="1" cm="1">
        <f t="array" ref="AV68">_xlfn.IFS(C68="Biomass_Corn", 1/F68*S68, C68="Biomass_Agri", 1/F68*V68, C68="Biomass_Wood", 1/F68*U68, C68="Biomass_Herb", 1/F68*T68)</f>
        <v>54.762078186656993</v>
      </c>
      <c r="AW68">
        <f t="shared" ref="AW68:AW74" si="66">G68/F68*AH68</f>
        <v>4.4658380072588102</v>
      </c>
      <c r="AX68">
        <f t="shared" ref="AX68:AX74" si="67">M68/F68/(0.9*8760)</f>
        <v>1.8459716853700829</v>
      </c>
      <c r="AY68">
        <f t="shared" ref="AY68:AY75" si="68">N68/F68/(0.9*8760)</f>
        <v>8.2322589053372308</v>
      </c>
      <c r="AZ68">
        <f t="shared" ref="AZ68:AZ75" si="69">O68/F68</f>
        <v>-8.1434431562275815</v>
      </c>
      <c r="BA68" s="1">
        <f t="shared" si="20"/>
        <v>5.9703909015778864E-2</v>
      </c>
      <c r="BB68" s="1">
        <f t="shared" si="21"/>
        <v>-16.797272991912497</v>
      </c>
      <c r="BC68">
        <f t="shared" ref="BC68:BC75" si="70">BA68*Q68</f>
        <v>6.5363717197461213</v>
      </c>
      <c r="BD68">
        <f t="shared" ref="BD68:BD75" si="71">SUM(BP68:BR68)-BL68</f>
        <v>-0.10477370129031155</v>
      </c>
      <c r="BE68" s="1">
        <f t="shared" si="24"/>
        <v>1.2097020664881679</v>
      </c>
      <c r="BF68">
        <f t="shared" ref="BF68:BF75" si="72">BD68*Q68</f>
        <v>-11.470603338654543</v>
      </c>
      <c r="BH68" s="20">
        <f t="shared" ref="BH68:BH75" si="73">H68</f>
        <v>1.7588666580000001</v>
      </c>
      <c r="BI68" s="18">
        <v>0.181048235160161</v>
      </c>
      <c r="BJ68" s="20">
        <v>0.23037490999999999</v>
      </c>
      <c r="BL68" s="18">
        <f t="shared" ref="BL68:BL75" si="74">BH68/F68</f>
        <v>0.56658349085470638</v>
      </c>
      <c r="BM68" s="18">
        <f t="shared" ref="BM68:BM75" si="75">BI68*G68/F68</f>
        <v>5.9102402066446284E-2</v>
      </c>
      <c r="BN68" s="18">
        <f t="shared" ref="BN68:BN75" si="76">SUM(BL68:BM68)</f>
        <v>0.62568589292115262</v>
      </c>
      <c r="BP68" s="18">
        <f t="shared" ref="BP68:BP75" si="77">BJ68</f>
        <v>0.23037490999999999</v>
      </c>
      <c r="BQ68" s="19">
        <f t="shared" ref="BQ68:BQ75" si="78">J68/F68</f>
        <v>0.22098669510373337</v>
      </c>
      <c r="BR68" s="18">
        <f t="shared" ref="BR68:BR75" si="79">L68/F68</f>
        <v>1.0448184460661475E-2</v>
      </c>
      <c r="BS68" s="19">
        <f t="shared" ref="BS68:BS75" si="80">I68/F68</f>
        <v>0.11522188388510189</v>
      </c>
      <c r="BT68" s="18">
        <f t="shared" ref="BT68:BT75" si="81">K68/F68</f>
        <v>4.9255726420988515E-2</v>
      </c>
      <c r="BU68" s="18">
        <f t="shared" ref="BU68:BU75" si="82">SUM(BP68:BT68)</f>
        <v>0.62628739987048521</v>
      </c>
      <c r="BW68">
        <f t="shared" ref="BW68:BW75" si="83">BN68-BU68</f>
        <v>-6.0150694933258642E-4</v>
      </c>
    </row>
    <row r="69" spans="2:75">
      <c r="B69" s="25" t="s">
        <v>141</v>
      </c>
      <c r="C69" s="24" t="s">
        <v>121</v>
      </c>
      <c r="D69" s="24">
        <v>0</v>
      </c>
      <c r="E69" s="24">
        <v>8.5342824999999997E-2</v>
      </c>
      <c r="F69" s="24">
        <v>3.1043379949999999</v>
      </c>
      <c r="G69" s="24">
        <v>1.013397519</v>
      </c>
      <c r="H69" s="24">
        <v>1.7588666580000001</v>
      </c>
      <c r="I69" s="24">
        <v>0.35768767200000001</v>
      </c>
      <c r="J69" s="24">
        <v>0.68601739399999995</v>
      </c>
      <c r="K69" s="24">
        <v>0.15290642300000001</v>
      </c>
      <c r="L69" s="24">
        <v>3.2434695999999999E-2</v>
      </c>
      <c r="M69" s="24">
        <v>45179.42</v>
      </c>
      <c r="N69" s="24">
        <v>201481.25</v>
      </c>
      <c r="O69" s="24">
        <v>-25.28</v>
      </c>
      <c r="Q69" s="22">
        <v>109.479795</v>
      </c>
      <c r="R69" s="22">
        <v>-16.598628000000001</v>
      </c>
      <c r="S69" s="22">
        <v>170</v>
      </c>
      <c r="T69" s="22">
        <v>123.651932</v>
      </c>
      <c r="U69" s="22">
        <v>141.0224</v>
      </c>
      <c r="V69" s="22">
        <v>111.7672</v>
      </c>
      <c r="W69" s="22">
        <v>38.593339999999998</v>
      </c>
      <c r="X69" s="22">
        <v>63.762642</v>
      </c>
      <c r="Y69" s="22">
        <v>27.997803999999999</v>
      </c>
      <c r="Z69" s="22">
        <v>26.264468000000001</v>
      </c>
      <c r="AA69" s="23"/>
      <c r="AB69" s="22">
        <v>73.605024</v>
      </c>
      <c r="AC69" s="22">
        <v>100.314611</v>
      </c>
      <c r="AD69" s="22">
        <v>87.395797999999999</v>
      </c>
      <c r="AE69" s="22">
        <v>114.70308199999999</v>
      </c>
      <c r="AF69" s="22">
        <v>70.567431999999997</v>
      </c>
      <c r="AG69" s="22">
        <v>97.538511999999997</v>
      </c>
      <c r="AH69" s="22">
        <v>13.680038</v>
      </c>
      <c r="AI69" s="22">
        <v>33.702888999999999</v>
      </c>
      <c r="AJ69" s="22">
        <v>0</v>
      </c>
      <c r="AK69" s="22">
        <v>5000</v>
      </c>
      <c r="AM69" t="str">
        <f t="shared" si="57"/>
        <v>SW_DryMill_CCS_Fermentation_Exhaust</v>
      </c>
      <c r="AN69" t="str">
        <f t="shared" si="58"/>
        <v>Biomass_Corn</v>
      </c>
      <c r="AO69" s="21">
        <f t="shared" si="59"/>
        <v>53.191854217996813</v>
      </c>
      <c r="AP69" s="21">
        <f t="shared" si="60"/>
        <v>53.19185421799682</v>
      </c>
      <c r="AQ69" s="21">
        <f t="shared" si="61"/>
        <v>14.775515060554669</v>
      </c>
      <c r="AR69" s="21">
        <f t="shared" si="62"/>
        <v>14.775515060554671</v>
      </c>
      <c r="AS69" s="5">
        <f t="shared" si="63"/>
        <v>0</v>
      </c>
      <c r="AT69">
        <f t="shared" si="64"/>
        <v>0</v>
      </c>
      <c r="AU69">
        <f t="shared" si="65"/>
        <v>0.76970088018920757</v>
      </c>
      <c r="AV69" s="1" cm="1">
        <f t="array" ref="AV69">_xlfn.IFS(C69="Biomass_Corn", 1/F69*S69, C69="Biomass_Agri", 1/F69*V69, C69="Biomass_Wood", 1/F69*U69, C69="Biomass_Herb", 1/F69*T69)</f>
        <v>54.762078186656993</v>
      </c>
      <c r="AW69">
        <f t="shared" si="66"/>
        <v>4.4657883875256701</v>
      </c>
      <c r="AX69">
        <f t="shared" si="67"/>
        <v>1.8459716853700829</v>
      </c>
      <c r="AY69">
        <f t="shared" si="68"/>
        <v>8.2322589053372308</v>
      </c>
      <c r="AZ69">
        <f t="shared" si="69"/>
        <v>-8.1434431562275815</v>
      </c>
      <c r="BA69" s="1">
        <f t="shared" ref="BA69:BA74" si="84">BP69+BQ69+BS69-BL69+BR69+BT69</f>
        <v>5.9703909015778864E-2</v>
      </c>
      <c r="BB69" s="1">
        <f t="shared" ref="BB69:BB75" si="85">(Q69+R69)*-1*(I69+K69)/F69</f>
        <v>-15.276872390600904</v>
      </c>
      <c r="BC69">
        <f t="shared" si="70"/>
        <v>6.5363717197461213</v>
      </c>
      <c r="BD69">
        <f t="shared" si="71"/>
        <v>-0.10477370129031155</v>
      </c>
      <c r="BE69" s="1">
        <f t="shared" ref="BE69:BE75" si="86">(I69+K69)/F69*-1*R69</f>
        <v>2.7301026677997613</v>
      </c>
      <c r="BF69">
        <f t="shared" si="72"/>
        <v>-11.470603338654543</v>
      </c>
      <c r="BH69" s="20">
        <f t="shared" si="73"/>
        <v>1.7588666580000001</v>
      </c>
      <c r="BI69" s="18">
        <v>0.181048235160161</v>
      </c>
      <c r="BJ69" s="20">
        <v>0.23037490999999999</v>
      </c>
      <c r="BL69" s="18">
        <f t="shared" si="74"/>
        <v>0.56658349085470638</v>
      </c>
      <c r="BM69" s="18">
        <f t="shared" si="75"/>
        <v>5.9102402066446284E-2</v>
      </c>
      <c r="BN69" s="18">
        <f t="shared" si="76"/>
        <v>0.62568589292115262</v>
      </c>
      <c r="BP69" s="18">
        <f t="shared" si="77"/>
        <v>0.23037490999999999</v>
      </c>
      <c r="BQ69" s="19">
        <f t="shared" si="78"/>
        <v>0.22098669510373337</v>
      </c>
      <c r="BR69" s="18">
        <f t="shared" si="79"/>
        <v>1.0448184460661475E-2</v>
      </c>
      <c r="BS69" s="19">
        <f t="shared" si="80"/>
        <v>0.11522188388510189</v>
      </c>
      <c r="BT69" s="18">
        <f t="shared" si="81"/>
        <v>4.9255726420988515E-2</v>
      </c>
      <c r="BU69" s="18">
        <f t="shared" si="82"/>
        <v>0.62628739987048521</v>
      </c>
      <c r="BW69">
        <f t="shared" si="83"/>
        <v>-6.0150694933258642E-4</v>
      </c>
    </row>
    <row r="70" spans="2:75">
      <c r="B70" s="25" t="s">
        <v>142</v>
      </c>
      <c r="C70" s="24" t="s">
        <v>121</v>
      </c>
      <c r="D70" s="24">
        <v>0</v>
      </c>
      <c r="E70" s="24">
        <v>8.5342824999999997E-2</v>
      </c>
      <c r="F70" s="24">
        <v>3.1043379949999999</v>
      </c>
      <c r="G70" s="24">
        <v>1.013397519</v>
      </c>
      <c r="H70" s="24">
        <v>1.7588666580000001</v>
      </c>
      <c r="I70" s="24">
        <v>0.35768767200000001</v>
      </c>
      <c r="J70" s="24">
        <v>0.68601739399999995</v>
      </c>
      <c r="K70" s="24">
        <v>0.15290642300000001</v>
      </c>
      <c r="L70" s="24">
        <v>3.2434695999999999E-2</v>
      </c>
      <c r="M70" s="24">
        <v>45179.42</v>
      </c>
      <c r="N70" s="24">
        <v>201481.25</v>
      </c>
      <c r="O70" s="24">
        <v>-25.28</v>
      </c>
      <c r="Q70" s="22">
        <v>109.479795</v>
      </c>
      <c r="R70" s="22">
        <v>-21.506692000000001</v>
      </c>
      <c r="S70" s="22">
        <v>170</v>
      </c>
      <c r="T70" s="22">
        <v>137.93464800000001</v>
      </c>
      <c r="U70" s="22">
        <v>157.881351</v>
      </c>
      <c r="V70" s="22">
        <v>111.364845</v>
      </c>
      <c r="W70" s="22">
        <v>38.568981999999998</v>
      </c>
      <c r="X70" s="22">
        <v>63.762642</v>
      </c>
      <c r="Y70" s="22">
        <v>20.230252</v>
      </c>
      <c r="Z70" s="22">
        <v>17.952764999999999</v>
      </c>
      <c r="AA70" s="23"/>
      <c r="AB70" s="22">
        <v>73.605024</v>
      </c>
      <c r="AC70" s="22">
        <v>100.314611</v>
      </c>
      <c r="AD70" s="22">
        <v>87.395797999999999</v>
      </c>
      <c r="AE70" s="22">
        <v>114.70308199999999</v>
      </c>
      <c r="AF70" s="22">
        <v>70.567431999999997</v>
      </c>
      <c r="AG70" s="22">
        <v>97.538511999999997</v>
      </c>
      <c r="AH70" s="22">
        <v>13.325948</v>
      </c>
      <c r="AI70" s="22">
        <v>33.348799</v>
      </c>
      <c r="AJ70" s="22">
        <v>0</v>
      </c>
      <c r="AK70" s="22">
        <v>5000</v>
      </c>
      <c r="AM70" t="str">
        <f t="shared" si="57"/>
        <v>TX_DryMill_CCS_Fermentation_Exhaust</v>
      </c>
      <c r="AN70" t="str">
        <f t="shared" si="58"/>
        <v>Biomass_Corn</v>
      </c>
      <c r="AO70" s="21">
        <f t="shared" si="59"/>
        <v>53.669988280768216</v>
      </c>
      <c r="AP70" s="21">
        <f t="shared" si="60"/>
        <v>53.669988280768223</v>
      </c>
      <c r="AQ70" s="21">
        <f t="shared" si="61"/>
        <v>14.90833007799117</v>
      </c>
      <c r="AR70" s="21">
        <f t="shared" si="62"/>
        <v>14.908330077991172</v>
      </c>
      <c r="AS70" s="5">
        <f t="shared" si="63"/>
        <v>0</v>
      </c>
      <c r="AT70">
        <f t="shared" si="64"/>
        <v>0</v>
      </c>
      <c r="AU70">
        <f t="shared" si="65"/>
        <v>0.55615943203436513</v>
      </c>
      <c r="AV70" s="1" cm="1">
        <f t="array" ref="AV70">_xlfn.IFS(C70="Biomass_Corn", 1/F70*S70, C70="Biomass_Agri", 1/F70*V70, C70="Biomass_Wood", 1/F70*U70, C70="Biomass_Herb", 1/F70*T70)</f>
        <v>54.762078186656993</v>
      </c>
      <c r="AW70">
        <f t="shared" si="66"/>
        <v>4.3501972605025605</v>
      </c>
      <c r="AX70">
        <f t="shared" si="67"/>
        <v>1.8459716853700829</v>
      </c>
      <c r="AY70">
        <f t="shared" si="68"/>
        <v>8.2322589053372308</v>
      </c>
      <c r="AZ70">
        <f t="shared" si="69"/>
        <v>-8.1434431562275815</v>
      </c>
      <c r="BA70" s="1">
        <f t="shared" si="84"/>
        <v>5.9703909015778864E-2</v>
      </c>
      <c r="BB70" s="1">
        <f t="shared" si="85"/>
        <v>-14.469605752651553</v>
      </c>
      <c r="BC70">
        <f t="shared" si="70"/>
        <v>6.5363717197461213</v>
      </c>
      <c r="BD70">
        <f t="shared" si="71"/>
        <v>-0.10477370129031155</v>
      </c>
      <c r="BE70" s="1">
        <f t="shared" si="86"/>
        <v>3.5373693057491127</v>
      </c>
      <c r="BF70">
        <f t="shared" si="72"/>
        <v>-11.470603338654543</v>
      </c>
      <c r="BH70" s="20">
        <f t="shared" si="73"/>
        <v>1.7588666580000001</v>
      </c>
      <c r="BI70" s="18">
        <v>0.181048235160161</v>
      </c>
      <c r="BJ70" s="20">
        <v>0.23037490999999999</v>
      </c>
      <c r="BL70" s="18">
        <f t="shared" si="74"/>
        <v>0.56658349085470638</v>
      </c>
      <c r="BM70" s="18">
        <f t="shared" si="75"/>
        <v>5.9102402066446284E-2</v>
      </c>
      <c r="BN70" s="18">
        <f t="shared" si="76"/>
        <v>0.62568589292115262</v>
      </c>
      <c r="BP70" s="18">
        <f t="shared" si="77"/>
        <v>0.23037490999999999</v>
      </c>
      <c r="BQ70" s="19">
        <f t="shared" si="78"/>
        <v>0.22098669510373337</v>
      </c>
      <c r="BR70" s="18">
        <f t="shared" si="79"/>
        <v>1.0448184460661475E-2</v>
      </c>
      <c r="BS70" s="19">
        <f t="shared" si="80"/>
        <v>0.11522188388510189</v>
      </c>
      <c r="BT70" s="18">
        <f t="shared" si="81"/>
        <v>4.9255726420988515E-2</v>
      </c>
      <c r="BU70" s="18">
        <f t="shared" si="82"/>
        <v>0.62628739987048521</v>
      </c>
      <c r="BW70">
        <f t="shared" si="83"/>
        <v>-6.0150694933258642E-4</v>
      </c>
    </row>
    <row r="71" spans="2:75">
      <c r="B71" s="25" t="s">
        <v>143</v>
      </c>
      <c r="C71" s="24" t="s">
        <v>121</v>
      </c>
      <c r="D71" s="24">
        <v>0</v>
      </c>
      <c r="E71" s="24">
        <v>8.5342824999999997E-2</v>
      </c>
      <c r="F71" s="24">
        <v>3.1043379949999999</v>
      </c>
      <c r="G71" s="24">
        <v>1.013397519</v>
      </c>
      <c r="H71" s="24">
        <v>1.7588666580000001</v>
      </c>
      <c r="I71" s="24">
        <v>0.35768767200000001</v>
      </c>
      <c r="J71" s="24">
        <v>0.68601739399999995</v>
      </c>
      <c r="K71" s="24">
        <v>0.15290642300000001</v>
      </c>
      <c r="L71" s="24">
        <v>3.2434695999999999E-2</v>
      </c>
      <c r="M71" s="24">
        <v>45179.42</v>
      </c>
      <c r="N71" s="24">
        <v>201481.25</v>
      </c>
      <c r="O71" s="24">
        <v>-25.28</v>
      </c>
      <c r="Q71" s="22">
        <v>109.479795</v>
      </c>
      <c r="R71" s="22">
        <v>-41.717134999999999</v>
      </c>
      <c r="S71" s="22">
        <v>170</v>
      </c>
      <c r="T71" s="22">
        <v>104.167382</v>
      </c>
      <c r="U71" s="22">
        <v>115.52638899999999</v>
      </c>
      <c r="V71" s="22">
        <v>92.044978</v>
      </c>
      <c r="W71" s="22">
        <v>38.682254</v>
      </c>
      <c r="X71" s="22">
        <v>63.762642</v>
      </c>
      <c r="Y71" s="22">
        <v>30.708172999999999</v>
      </c>
      <c r="Z71" s="22">
        <v>26.913516000000001</v>
      </c>
      <c r="AA71" s="23"/>
      <c r="AB71" s="22">
        <v>73.605024</v>
      </c>
      <c r="AC71" s="22">
        <v>100.314611</v>
      </c>
      <c r="AD71" s="22">
        <v>87.395797999999999</v>
      </c>
      <c r="AE71" s="22">
        <v>114.70308199999999</v>
      </c>
      <c r="AF71" s="22">
        <v>70.567431999999997</v>
      </c>
      <c r="AG71" s="22">
        <v>97.538511999999997</v>
      </c>
      <c r="AH71" s="22">
        <v>13.422003</v>
      </c>
      <c r="AI71" s="22">
        <v>33.444853999999999</v>
      </c>
      <c r="AJ71" s="22">
        <v>0</v>
      </c>
      <c r="AK71" s="22">
        <v>5000</v>
      </c>
      <c r="AM71" t="str">
        <f t="shared" si="57"/>
        <v>NCEN_DryMill_CCS_Fermentation_Exhaust</v>
      </c>
      <c r="AN71" t="str">
        <f t="shared" si="58"/>
        <v>Biomass_Corn</v>
      </c>
      <c r="AO71" s="21">
        <f t="shared" si="59"/>
        <v>57.313563867030503</v>
      </c>
      <c r="AP71" s="21">
        <f t="shared" si="60"/>
        <v>57.31356386703051</v>
      </c>
      <c r="AQ71" s="21">
        <f t="shared" si="61"/>
        <v>15.920434407508473</v>
      </c>
      <c r="AR71" s="21">
        <f t="shared" si="62"/>
        <v>15.920434407508475</v>
      </c>
      <c r="AS71" s="5">
        <f t="shared" si="63"/>
        <v>0</v>
      </c>
      <c r="AT71">
        <f t="shared" si="64"/>
        <v>0</v>
      </c>
      <c r="AU71">
        <f t="shared" si="65"/>
        <v>0.8442129170953</v>
      </c>
      <c r="AV71" s="1" cm="1">
        <f t="array" ref="AV71">_xlfn.IFS(C71="Biomass_Corn", 1/F71*S71, C71="Biomass_Agri", 1/F71*V71, C71="Biomass_Wood", 1/F71*U71, C71="Biomass_Herb", 1/F71*T71)</f>
        <v>54.762078186656993</v>
      </c>
      <c r="AW71">
        <f t="shared" si="66"/>
        <v>4.381553993836472</v>
      </c>
      <c r="AX71">
        <f t="shared" si="67"/>
        <v>1.8459716853700829</v>
      </c>
      <c r="AY71">
        <f t="shared" si="68"/>
        <v>8.2322589053372308</v>
      </c>
      <c r="AZ71">
        <f t="shared" si="69"/>
        <v>-8.1434431562275815</v>
      </c>
      <c r="BA71" s="1">
        <f t="shared" si="84"/>
        <v>5.9703909015778864E-2</v>
      </c>
      <c r="BB71" s="1">
        <f t="shared" si="85"/>
        <v>-11.1454403847841</v>
      </c>
      <c r="BC71">
        <f t="shared" si="70"/>
        <v>6.5363717197461213</v>
      </c>
      <c r="BD71">
        <f t="shared" si="71"/>
        <v>-0.10477370129031155</v>
      </c>
      <c r="BE71" s="1">
        <f t="shared" si="86"/>
        <v>6.8615346736165659</v>
      </c>
      <c r="BF71">
        <f t="shared" si="72"/>
        <v>-11.470603338654543</v>
      </c>
      <c r="BH71" s="20">
        <f t="shared" si="73"/>
        <v>1.7588666580000001</v>
      </c>
      <c r="BI71" s="18">
        <v>0.181048235160161</v>
      </c>
      <c r="BJ71" s="20">
        <v>0.23037490999999999</v>
      </c>
      <c r="BL71" s="18">
        <f t="shared" si="74"/>
        <v>0.56658349085470638</v>
      </c>
      <c r="BM71" s="18">
        <f t="shared" si="75"/>
        <v>5.9102402066446284E-2</v>
      </c>
      <c r="BN71" s="18">
        <f t="shared" si="76"/>
        <v>0.62568589292115262</v>
      </c>
      <c r="BP71" s="18">
        <f t="shared" si="77"/>
        <v>0.23037490999999999</v>
      </c>
      <c r="BQ71" s="19">
        <f t="shared" si="78"/>
        <v>0.22098669510373337</v>
      </c>
      <c r="BR71" s="18">
        <f t="shared" si="79"/>
        <v>1.0448184460661475E-2</v>
      </c>
      <c r="BS71" s="19">
        <f t="shared" si="80"/>
        <v>0.11522188388510189</v>
      </c>
      <c r="BT71" s="18">
        <f t="shared" si="81"/>
        <v>4.9255726420988515E-2</v>
      </c>
      <c r="BU71" s="18">
        <f t="shared" si="82"/>
        <v>0.62628739987048521</v>
      </c>
      <c r="BW71">
        <f t="shared" si="83"/>
        <v>-6.0150694933258642E-4</v>
      </c>
    </row>
    <row r="72" spans="2:75">
      <c r="B72" s="25" t="s">
        <v>144</v>
      </c>
      <c r="C72" s="24" t="s">
        <v>121</v>
      </c>
      <c r="D72" s="24">
        <v>0</v>
      </c>
      <c r="E72" s="24">
        <v>8.5342824999999997E-2</v>
      </c>
      <c r="F72" s="24">
        <v>3.1043379949999999</v>
      </c>
      <c r="G72" s="24">
        <v>1.013397519</v>
      </c>
      <c r="H72" s="24">
        <v>1.7588666580000001</v>
      </c>
      <c r="I72" s="24">
        <v>0.35768767200000001</v>
      </c>
      <c r="J72" s="24">
        <v>0.68601739399999995</v>
      </c>
      <c r="K72" s="24">
        <v>0.15290642300000001</v>
      </c>
      <c r="L72" s="24">
        <v>3.2434695999999999E-2</v>
      </c>
      <c r="M72" s="24">
        <v>45179.42</v>
      </c>
      <c r="N72" s="24">
        <v>201481.25</v>
      </c>
      <c r="O72" s="24">
        <v>-25.28</v>
      </c>
      <c r="Q72" s="22">
        <v>109.479795</v>
      </c>
      <c r="R72" s="22">
        <v>-31.70346</v>
      </c>
      <c r="S72" s="22">
        <v>170</v>
      </c>
      <c r="T72" s="22">
        <v>110.461518</v>
      </c>
      <c r="U72" s="22">
        <v>127.408748</v>
      </c>
      <c r="V72" s="22">
        <v>98.832477999999995</v>
      </c>
      <c r="W72" s="22">
        <v>38.544687000000003</v>
      </c>
      <c r="X72" s="22">
        <v>63.762642</v>
      </c>
      <c r="Y72" s="22">
        <v>25.324636999999999</v>
      </c>
      <c r="Z72" s="22">
        <v>24.781272999999999</v>
      </c>
      <c r="AA72" s="23"/>
      <c r="AB72" s="22">
        <v>73.605024</v>
      </c>
      <c r="AC72" s="22">
        <v>100.314611</v>
      </c>
      <c r="AD72" s="22">
        <v>87.395797999999999</v>
      </c>
      <c r="AE72" s="22">
        <v>114.70308199999999</v>
      </c>
      <c r="AF72" s="22">
        <v>70.567431999999997</v>
      </c>
      <c r="AG72" s="22">
        <v>97.538511999999997</v>
      </c>
      <c r="AH72" s="22">
        <v>13.421913</v>
      </c>
      <c r="AI72" s="22">
        <v>33.444763999999999</v>
      </c>
      <c r="AJ72" s="22">
        <v>0</v>
      </c>
      <c r="AK72" s="22">
        <v>5000</v>
      </c>
      <c r="AM72" t="str">
        <f t="shared" si="57"/>
        <v>CEN_DryMill_CCS_Fermentation_Exhaust</v>
      </c>
      <c r="AN72" t="str">
        <f t="shared" si="58"/>
        <v>Biomass_Corn</v>
      </c>
      <c r="AO72" s="21">
        <f t="shared" si="59"/>
        <v>55.518507816519808</v>
      </c>
      <c r="AP72" s="21">
        <f t="shared" si="60"/>
        <v>55.518507816519815</v>
      </c>
      <c r="AQ72" s="21">
        <f t="shared" si="61"/>
        <v>15.421807726811057</v>
      </c>
      <c r="AR72" s="21">
        <f t="shared" si="62"/>
        <v>15.421807726811059</v>
      </c>
      <c r="AS72" s="5">
        <f t="shared" si="63"/>
        <v>0</v>
      </c>
      <c r="AT72">
        <f t="shared" si="64"/>
        <v>0</v>
      </c>
      <c r="AU72">
        <f t="shared" si="65"/>
        <v>0.69621158107157877</v>
      </c>
      <c r="AV72" s="1" cm="1">
        <f t="array" ref="AV72">_xlfn.IFS(C72="Biomass_Corn", 1/F72*S72, C72="Biomass_Agri", 1/F72*V72, C72="Biomass_Wood", 1/F72*U72, C72="Biomass_Herb", 1/F72*T72)</f>
        <v>54.762078186656993</v>
      </c>
      <c r="AW72">
        <f t="shared" si="66"/>
        <v>4.3815246137313233</v>
      </c>
      <c r="AX72">
        <f t="shared" si="67"/>
        <v>1.8459716853700829</v>
      </c>
      <c r="AY72">
        <f t="shared" si="68"/>
        <v>8.2322589053372308</v>
      </c>
      <c r="AZ72">
        <f t="shared" si="69"/>
        <v>-8.1434431562275815</v>
      </c>
      <c r="BA72" s="1">
        <f t="shared" si="84"/>
        <v>5.9703909015778864E-2</v>
      </c>
      <c r="BB72" s="1">
        <f t="shared" si="85"/>
        <v>-12.792465719165941</v>
      </c>
      <c r="BC72">
        <f t="shared" si="70"/>
        <v>6.5363717197461213</v>
      </c>
      <c r="BD72">
        <f t="shared" si="71"/>
        <v>-0.10477370129031155</v>
      </c>
      <c r="BE72" s="1">
        <f t="shared" si="86"/>
        <v>5.2145093392347253</v>
      </c>
      <c r="BF72">
        <f t="shared" si="72"/>
        <v>-11.470603338654543</v>
      </c>
      <c r="BH72" s="20">
        <f t="shared" si="73"/>
        <v>1.7588666580000001</v>
      </c>
      <c r="BI72" s="18">
        <v>0.181048235160161</v>
      </c>
      <c r="BJ72" s="20">
        <v>0.23037490999999999</v>
      </c>
      <c r="BL72" s="18">
        <f t="shared" si="74"/>
        <v>0.56658349085470638</v>
      </c>
      <c r="BM72" s="18">
        <f t="shared" si="75"/>
        <v>5.9102402066446284E-2</v>
      </c>
      <c r="BN72" s="18">
        <f t="shared" si="76"/>
        <v>0.62568589292115262</v>
      </c>
      <c r="BP72" s="18">
        <f t="shared" si="77"/>
        <v>0.23037490999999999</v>
      </c>
      <c r="BQ72" s="19">
        <f t="shared" si="78"/>
        <v>0.22098669510373337</v>
      </c>
      <c r="BR72" s="18">
        <f t="shared" si="79"/>
        <v>1.0448184460661475E-2</v>
      </c>
      <c r="BS72" s="19">
        <f t="shared" si="80"/>
        <v>0.11522188388510189</v>
      </c>
      <c r="BT72" s="18">
        <f t="shared" si="81"/>
        <v>4.9255726420988515E-2</v>
      </c>
      <c r="BU72" s="18">
        <f t="shared" si="82"/>
        <v>0.62628739987048521</v>
      </c>
      <c r="BW72">
        <f t="shared" si="83"/>
        <v>-6.0150694933258642E-4</v>
      </c>
    </row>
    <row r="73" spans="2:75">
      <c r="B73" s="25" t="s">
        <v>145</v>
      </c>
      <c r="C73" s="24" t="s">
        <v>121</v>
      </c>
      <c r="D73" s="24">
        <v>0</v>
      </c>
      <c r="E73" s="24">
        <v>8.5342824999999997E-2</v>
      </c>
      <c r="F73" s="24">
        <v>3.1043379949999999</v>
      </c>
      <c r="G73" s="24">
        <v>1.013397519</v>
      </c>
      <c r="H73" s="24">
        <v>1.7588666580000001</v>
      </c>
      <c r="I73" s="24">
        <v>0.35768767200000001</v>
      </c>
      <c r="J73" s="24">
        <v>0.68601739399999995</v>
      </c>
      <c r="K73" s="24">
        <v>0.15290642300000001</v>
      </c>
      <c r="L73" s="24">
        <v>3.2434695999999999E-2</v>
      </c>
      <c r="M73" s="24">
        <v>45179.42</v>
      </c>
      <c r="N73" s="24">
        <v>201481.25</v>
      </c>
      <c r="O73" s="24">
        <v>-25.28</v>
      </c>
      <c r="Q73" s="22">
        <v>109.479795</v>
      </c>
      <c r="R73" s="22">
        <v>-47.70091</v>
      </c>
      <c r="S73" s="22">
        <v>170</v>
      </c>
      <c r="T73" s="22">
        <v>99.632842999999994</v>
      </c>
      <c r="U73" s="22">
        <v>113.227017</v>
      </c>
      <c r="V73" s="22">
        <v>88.855315000000004</v>
      </c>
      <c r="W73" s="22">
        <v>39.264408000000003</v>
      </c>
      <c r="X73" s="22">
        <v>63.762642</v>
      </c>
      <c r="Y73" s="22">
        <v>38.218446</v>
      </c>
      <c r="Z73" s="22">
        <v>29.735685</v>
      </c>
      <c r="AA73" s="23"/>
      <c r="AB73" s="22">
        <v>73.605024</v>
      </c>
      <c r="AC73" s="22">
        <v>100.314611</v>
      </c>
      <c r="AD73" s="22">
        <v>87.395797999999999</v>
      </c>
      <c r="AE73" s="22">
        <v>114.70308199999999</v>
      </c>
      <c r="AF73" s="22">
        <v>70.567431999999997</v>
      </c>
      <c r="AG73" s="22">
        <v>97.538511999999997</v>
      </c>
      <c r="AH73" s="22">
        <v>13.421908</v>
      </c>
      <c r="AI73" s="22">
        <v>33.444758999999998</v>
      </c>
      <c r="AJ73" s="22">
        <v>0</v>
      </c>
      <c r="AK73" s="22">
        <v>5000</v>
      </c>
      <c r="AM73" t="str">
        <f t="shared" si="57"/>
        <v>SE_DryMill_CCS_Fermentation_Exhaust</v>
      </c>
      <c r="AN73" t="str">
        <f t="shared" si="58"/>
        <v>Biomass_Corn</v>
      </c>
      <c r="AO73" s="21">
        <f t="shared" si="59"/>
        <v>58.504198336710921</v>
      </c>
      <c r="AP73" s="21">
        <f t="shared" si="60"/>
        <v>58.504198336710928</v>
      </c>
      <c r="AQ73" s="21">
        <f t="shared" si="61"/>
        <v>16.251166204641923</v>
      </c>
      <c r="AR73" s="21">
        <f t="shared" si="62"/>
        <v>16.251166204641923</v>
      </c>
      <c r="AS73" s="5">
        <f t="shared" si="63"/>
        <v>0</v>
      </c>
      <c r="AT73">
        <f t="shared" si="64"/>
        <v>0</v>
      </c>
      <c r="AU73">
        <f t="shared" si="65"/>
        <v>1.0506813864995876</v>
      </c>
      <c r="AV73" s="1" cm="1">
        <f t="array" ref="AV73">_xlfn.IFS(C73="Biomass_Corn", 1/F73*S73, C73="Biomass_Agri", 1/F73*V73, C73="Biomass_Wood", 1/F73*U73, C73="Biomass_Herb", 1/F73*T73)</f>
        <v>54.762078186656993</v>
      </c>
      <c r="AW73">
        <f t="shared" si="66"/>
        <v>4.3815229815032604</v>
      </c>
      <c r="AX73">
        <f t="shared" si="67"/>
        <v>1.8459716853700829</v>
      </c>
      <c r="AY73">
        <f t="shared" si="68"/>
        <v>8.2322589053372308</v>
      </c>
      <c r="AZ73">
        <f t="shared" si="69"/>
        <v>-8.1434431562275815</v>
      </c>
      <c r="BA73" s="1">
        <f t="shared" si="84"/>
        <v>5.9703909015778864E-2</v>
      </c>
      <c r="BB73" s="1">
        <f t="shared" si="85"/>
        <v>-10.161243372174775</v>
      </c>
      <c r="BC73">
        <f t="shared" si="70"/>
        <v>6.5363717197461213</v>
      </c>
      <c r="BD73">
        <f t="shared" si="71"/>
        <v>-0.10477370129031155</v>
      </c>
      <c r="BE73" s="1">
        <f t="shared" si="86"/>
        <v>7.8457316862258919</v>
      </c>
      <c r="BF73">
        <f t="shared" si="72"/>
        <v>-11.470603338654543</v>
      </c>
      <c r="BH73" s="20">
        <f t="shared" si="73"/>
        <v>1.7588666580000001</v>
      </c>
      <c r="BI73" s="18">
        <v>0.181048235160161</v>
      </c>
      <c r="BJ73" s="20">
        <v>0.23037490999999999</v>
      </c>
      <c r="BL73" s="18">
        <f t="shared" si="74"/>
        <v>0.56658349085470638</v>
      </c>
      <c r="BM73" s="18">
        <f t="shared" si="75"/>
        <v>5.9102402066446284E-2</v>
      </c>
      <c r="BN73" s="18">
        <f t="shared" si="76"/>
        <v>0.62568589292115262</v>
      </c>
      <c r="BP73" s="18">
        <f t="shared" si="77"/>
        <v>0.23037490999999999</v>
      </c>
      <c r="BQ73" s="19">
        <f t="shared" si="78"/>
        <v>0.22098669510373337</v>
      </c>
      <c r="BR73" s="18">
        <f t="shared" si="79"/>
        <v>1.0448184460661475E-2</v>
      </c>
      <c r="BS73" s="19">
        <f t="shared" si="80"/>
        <v>0.11522188388510189</v>
      </c>
      <c r="BT73" s="18">
        <f t="shared" si="81"/>
        <v>4.9255726420988515E-2</v>
      </c>
      <c r="BU73" s="18">
        <f t="shared" si="82"/>
        <v>0.62628739987048521</v>
      </c>
      <c r="BW73">
        <f t="shared" si="83"/>
        <v>-6.0150694933258642E-4</v>
      </c>
    </row>
    <row r="74" spans="2:75">
      <c r="B74" s="25" t="s">
        <v>146</v>
      </c>
      <c r="C74" s="24" t="s">
        <v>121</v>
      </c>
      <c r="D74" s="24">
        <v>0</v>
      </c>
      <c r="E74" s="24">
        <v>8.5342824999999997E-2</v>
      </c>
      <c r="F74" s="24">
        <v>3.1043379949999999</v>
      </c>
      <c r="G74" s="24">
        <v>1.013397519</v>
      </c>
      <c r="H74" s="24">
        <v>1.7588666580000001</v>
      </c>
      <c r="I74" s="24">
        <v>0.35768767200000001</v>
      </c>
      <c r="J74" s="24">
        <v>0.68601739399999995</v>
      </c>
      <c r="K74" s="24">
        <v>0.15290642300000001</v>
      </c>
      <c r="L74" s="24">
        <v>3.2434695999999999E-2</v>
      </c>
      <c r="M74" s="24">
        <v>45179.42</v>
      </c>
      <c r="N74" s="24">
        <v>201481.25</v>
      </c>
      <c r="O74" s="24">
        <v>-25.28</v>
      </c>
      <c r="Q74" s="22">
        <v>109.479795</v>
      </c>
      <c r="R74" s="22">
        <v>-54.115442999999999</v>
      </c>
      <c r="S74" s="22">
        <v>170</v>
      </c>
      <c r="T74" s="22">
        <v>100.77374399999999</v>
      </c>
      <c r="U74" s="22">
        <v>108.668072</v>
      </c>
      <c r="V74" s="22">
        <v>89.424565000000001</v>
      </c>
      <c r="W74" s="22">
        <v>39.342497000000002</v>
      </c>
      <c r="X74" s="22">
        <v>63.762642</v>
      </c>
      <c r="Y74" s="22">
        <v>39.359471999999997</v>
      </c>
      <c r="Z74" s="22">
        <v>31.113724999999999</v>
      </c>
      <c r="AA74" s="23"/>
      <c r="AB74" s="22">
        <v>73.605024</v>
      </c>
      <c r="AC74" s="22">
        <v>100.314611</v>
      </c>
      <c r="AD74" s="22">
        <v>87.395797999999999</v>
      </c>
      <c r="AE74" s="22">
        <v>114.70308199999999</v>
      </c>
      <c r="AF74" s="22">
        <v>70.567431999999997</v>
      </c>
      <c r="AG74" s="22">
        <v>97.538511999999997</v>
      </c>
      <c r="AH74" s="22">
        <v>13.423121999999999</v>
      </c>
      <c r="AI74" s="22">
        <v>33.445973000000002</v>
      </c>
      <c r="AJ74" s="22">
        <v>0</v>
      </c>
      <c r="AK74" s="22">
        <v>5000</v>
      </c>
      <c r="AM74" t="str">
        <f t="shared" si="57"/>
        <v>MIDAT_DryMill_CCS_Fermentation_Exhaust</v>
      </c>
      <c r="AN74" t="str">
        <f t="shared" si="58"/>
        <v>Biomass_Corn</v>
      </c>
      <c r="AO74" s="21">
        <f t="shared" si="59"/>
        <v>59.591010186529857</v>
      </c>
      <c r="AP74" s="21">
        <f t="shared" si="60"/>
        <v>59.591010186529857</v>
      </c>
      <c r="AQ74" s="21">
        <f t="shared" si="61"/>
        <v>16.553058385147182</v>
      </c>
      <c r="AR74" s="21">
        <f t="shared" si="62"/>
        <v>16.553058385147182</v>
      </c>
      <c r="AS74" s="5">
        <f t="shared" si="63"/>
        <v>0</v>
      </c>
      <c r="AT74">
        <f t="shared" si="64"/>
        <v>0</v>
      </c>
      <c r="AU74">
        <f t="shared" si="65"/>
        <v>1.0820498722750709</v>
      </c>
      <c r="AV74" s="1" cm="1">
        <f t="array" ref="AV74">_xlfn.IFS(C74="Biomass_Corn", 1/F74*S74, C74="Biomass_Agri", 1/F74*V74, C74="Biomass_Wood", 1/F74*U74, C74="Biomass_Herb", 1/F74*T74)</f>
        <v>54.762078186656993</v>
      </c>
      <c r="AW74">
        <f t="shared" si="66"/>
        <v>4.3819192864771539</v>
      </c>
      <c r="AX74">
        <f t="shared" si="67"/>
        <v>1.8459716853700829</v>
      </c>
      <c r="AY74">
        <f t="shared" si="68"/>
        <v>8.2322589053372308</v>
      </c>
      <c r="AZ74">
        <f t="shared" si="69"/>
        <v>-8.1434431562275815</v>
      </c>
      <c r="BA74" s="1">
        <f t="shared" si="84"/>
        <v>5.9703909015778864E-2</v>
      </c>
      <c r="BB74" s="1">
        <f t="shared" si="85"/>
        <v>-9.106196313105217</v>
      </c>
      <c r="BC74">
        <f t="shared" si="70"/>
        <v>6.5363717197461213</v>
      </c>
      <c r="BD74">
        <f t="shared" si="71"/>
        <v>-0.10477370129031155</v>
      </c>
      <c r="BE74" s="1">
        <f t="shared" si="86"/>
        <v>8.9007787452954492</v>
      </c>
      <c r="BF74">
        <f t="shared" si="72"/>
        <v>-11.470603338654543</v>
      </c>
      <c r="BH74" s="20">
        <f t="shared" si="73"/>
        <v>1.7588666580000001</v>
      </c>
      <c r="BI74" s="18">
        <v>0.181048235160161</v>
      </c>
      <c r="BJ74" s="20">
        <v>0.23037490999999999</v>
      </c>
      <c r="BL74" s="18">
        <f t="shared" si="74"/>
        <v>0.56658349085470638</v>
      </c>
      <c r="BM74" s="18">
        <f t="shared" si="75"/>
        <v>5.9102402066446284E-2</v>
      </c>
      <c r="BN74" s="18">
        <f t="shared" si="76"/>
        <v>0.62568589292115262</v>
      </c>
      <c r="BP74" s="18">
        <f t="shared" si="77"/>
        <v>0.23037490999999999</v>
      </c>
      <c r="BQ74" s="19">
        <f t="shared" si="78"/>
        <v>0.22098669510373337</v>
      </c>
      <c r="BR74" s="18">
        <f t="shared" si="79"/>
        <v>1.0448184460661475E-2</v>
      </c>
      <c r="BS74" s="19">
        <f t="shared" si="80"/>
        <v>0.11522188388510189</v>
      </c>
      <c r="BT74" s="18">
        <f t="shared" si="81"/>
        <v>4.9255726420988515E-2</v>
      </c>
      <c r="BU74" s="18">
        <f t="shared" si="82"/>
        <v>0.62628739987048521</v>
      </c>
      <c r="BW74">
        <f t="shared" si="83"/>
        <v>-6.0150694933258642E-4</v>
      </c>
    </row>
    <row r="75" spans="2:75">
      <c r="B75" s="25" t="s">
        <v>147</v>
      </c>
      <c r="C75" s="24" t="s">
        <v>121</v>
      </c>
      <c r="D75" s="24">
        <v>0</v>
      </c>
      <c r="E75" s="24">
        <v>8.5342824999999997E-2</v>
      </c>
      <c r="F75" s="24">
        <v>3.1043379949999999</v>
      </c>
      <c r="G75" s="24">
        <v>1.013397519</v>
      </c>
      <c r="H75" s="24">
        <v>1.7588666580000001</v>
      </c>
      <c r="I75" s="24">
        <v>0.35768767200000001</v>
      </c>
      <c r="J75" s="24">
        <v>0.68601739399999995</v>
      </c>
      <c r="K75" s="24">
        <v>0.15290642300000001</v>
      </c>
      <c r="L75" s="24">
        <v>3.2434695999999999E-2</v>
      </c>
      <c r="M75" s="24">
        <v>45179.42</v>
      </c>
      <c r="N75" s="24">
        <v>201481.25</v>
      </c>
      <c r="O75" s="24">
        <v>-25.28</v>
      </c>
      <c r="Q75" s="22">
        <v>109.479795</v>
      </c>
      <c r="R75" s="22">
        <v>-62.623761000000002</v>
      </c>
      <c r="S75" s="22">
        <v>170</v>
      </c>
      <c r="T75" s="22">
        <v>101.59236199999999</v>
      </c>
      <c r="U75" s="22">
        <v>107.351319</v>
      </c>
      <c r="V75" s="22">
        <v>91.706649999999996</v>
      </c>
      <c r="W75" s="22">
        <v>40.448720999999999</v>
      </c>
      <c r="X75" s="22">
        <v>63.762642</v>
      </c>
      <c r="Y75" s="22">
        <v>47.446024999999999</v>
      </c>
      <c r="Z75" s="22">
        <v>33.180356000000003</v>
      </c>
      <c r="AA75" s="23"/>
      <c r="AB75" s="22">
        <v>73.605024</v>
      </c>
      <c r="AC75" s="22">
        <v>100.314611</v>
      </c>
      <c r="AD75" s="22">
        <v>87.395797999999999</v>
      </c>
      <c r="AE75" s="22">
        <v>114.70308199999999</v>
      </c>
      <c r="AF75" s="22">
        <v>70.567431999999997</v>
      </c>
      <c r="AG75" s="22">
        <v>97.538511999999997</v>
      </c>
      <c r="AH75" s="22">
        <v>13.422786</v>
      </c>
      <c r="AI75" s="22">
        <v>33.445638000000002</v>
      </c>
      <c r="AJ75" s="22">
        <v>0</v>
      </c>
      <c r="AK75" s="22">
        <v>5000</v>
      </c>
      <c r="AM75" t="str">
        <f t="shared" si="57"/>
        <v>NE_DryMill_CCS_Fermentation_Exhaust</v>
      </c>
      <c r="AN75" t="str">
        <f t="shared" si="58"/>
        <v>Biomass_Corn</v>
      </c>
      <c r="AO75" s="21">
        <f t="shared" si="59"/>
        <v>61.212639568786614</v>
      </c>
      <c r="AP75" s="21">
        <f t="shared" si="60"/>
        <v>61.212639568786614</v>
      </c>
      <c r="AQ75" s="21">
        <f t="shared" si="61"/>
        <v>17.003510991329616</v>
      </c>
      <c r="AR75" s="21">
        <f t="shared" si="62"/>
        <v>17.003510991329616</v>
      </c>
      <c r="AS75" s="5">
        <f t="shared" si="63"/>
        <v>0</v>
      </c>
      <c r="AT75">
        <f t="shared" si="64"/>
        <v>0</v>
      </c>
      <c r="AU75">
        <f t="shared" si="65"/>
        <v>1.3043611278934286</v>
      </c>
      <c r="AV75" s="1" cm="1">
        <f t="array" ref="AV75">_xlfn.IFS(C75="Biomass_Corn", 1/F75*S75, C75="Biomass_Agri", 1/F75*V75, C75="Biomass_Wood", 1/F75*U75, C75="Biomass_Herb", 1/F75*T75)</f>
        <v>54.762078186656993</v>
      </c>
      <c r="AW75">
        <f>G75/F75*AH75</f>
        <v>4.3818096007512652</v>
      </c>
      <c r="AX75">
        <f>M75/F75/(0.9*8760)</f>
        <v>1.8459716853700829</v>
      </c>
      <c r="AY75">
        <f t="shared" si="68"/>
        <v>8.2322589053372308</v>
      </c>
      <c r="AZ75">
        <f t="shared" si="69"/>
        <v>-8.1434431562275815</v>
      </c>
      <c r="BA75" s="1">
        <f>BP75+BQ75+BS75-BL75+BR75+BT75</f>
        <v>5.9703909015778864E-2</v>
      </c>
      <c r="BB75" s="1">
        <f t="shared" si="85"/>
        <v>-7.7067685007409219</v>
      </c>
      <c r="BC75">
        <f t="shared" si="70"/>
        <v>6.5363717197461213</v>
      </c>
      <c r="BD75">
        <f t="shared" si="71"/>
        <v>-0.10477370129031155</v>
      </c>
      <c r="BE75" s="1">
        <f t="shared" si="86"/>
        <v>10.300206557659743</v>
      </c>
      <c r="BF75">
        <f t="shared" si="72"/>
        <v>-11.470603338654543</v>
      </c>
      <c r="BH75" s="20">
        <f t="shared" si="73"/>
        <v>1.7588666580000001</v>
      </c>
      <c r="BI75" s="18">
        <v>0.181048235160161</v>
      </c>
      <c r="BJ75" s="20">
        <v>0.23037490999999999</v>
      </c>
      <c r="BL75" s="18">
        <f t="shared" si="74"/>
        <v>0.56658349085470638</v>
      </c>
      <c r="BM75" s="18">
        <f t="shared" si="75"/>
        <v>5.9102402066446284E-2</v>
      </c>
      <c r="BN75" s="18">
        <f t="shared" si="76"/>
        <v>0.62568589292115262</v>
      </c>
      <c r="BP75" s="18">
        <f t="shared" si="77"/>
        <v>0.23037490999999999</v>
      </c>
      <c r="BQ75" s="19">
        <f t="shared" si="78"/>
        <v>0.22098669510373337</v>
      </c>
      <c r="BR75" s="18">
        <f t="shared" si="79"/>
        <v>1.0448184460661475E-2</v>
      </c>
      <c r="BS75" s="19">
        <f t="shared" si="80"/>
        <v>0.11522188388510189</v>
      </c>
      <c r="BT75" s="18">
        <f t="shared" si="81"/>
        <v>4.9255726420988515E-2</v>
      </c>
      <c r="BU75" s="18">
        <f t="shared" si="82"/>
        <v>0.62628739987048521</v>
      </c>
      <c r="BW75">
        <f t="shared" si="83"/>
        <v>-6.0150694933258642E-4</v>
      </c>
    </row>
    <row r="76" spans="2:75">
      <c r="AO76" s="5"/>
      <c r="AP76" s="5"/>
      <c r="AQ76" s="5"/>
      <c r="AR76" s="5"/>
      <c r="AS76" s="5"/>
      <c r="BH76" s="8"/>
      <c r="BJ76" s="8"/>
    </row>
    <row r="77" spans="2:75">
      <c r="AO77" s="5"/>
      <c r="AP77" s="5"/>
      <c r="AQ77" s="5"/>
      <c r="AR77" s="5"/>
      <c r="AS77" s="5"/>
      <c r="BH77" s="8"/>
      <c r="BJ77" s="8"/>
    </row>
    <row r="78" spans="2:75">
      <c r="AO78" s="5"/>
      <c r="AP78" s="5"/>
      <c r="AQ78" s="5"/>
      <c r="AR78" s="5"/>
      <c r="AS78" s="5"/>
      <c r="BH78" s="8"/>
      <c r="BJ78" s="8"/>
    </row>
    <row r="79" spans="2:75">
      <c r="AO79" s="5"/>
      <c r="AP79" s="5"/>
      <c r="AQ79" s="5"/>
      <c r="AR79" s="5"/>
      <c r="AS79" s="5"/>
      <c r="BH79" s="8"/>
      <c r="BJ79" s="8"/>
    </row>
    <row r="80" spans="2:75">
      <c r="AO80" s="5"/>
      <c r="AP80" s="5"/>
      <c r="AQ80" s="5"/>
      <c r="AR80" s="5"/>
      <c r="AS80" s="5"/>
      <c r="BH80" s="8"/>
      <c r="BJ80" s="8"/>
    </row>
    <row r="81" spans="41:62">
      <c r="AO81" s="5"/>
      <c r="AP81" s="5"/>
      <c r="AQ81" s="5"/>
      <c r="AR81" s="5"/>
      <c r="AS81" s="5"/>
      <c r="BH81" s="8"/>
      <c r="BJ81" s="8"/>
    </row>
    <row r="82" spans="41:62">
      <c r="AO82" s="5"/>
      <c r="AP82" s="5"/>
      <c r="AQ82" s="5"/>
      <c r="AR82" s="5"/>
      <c r="AS82" s="5"/>
      <c r="BH82" s="8"/>
      <c r="BJ82" s="8"/>
    </row>
    <row r="83" spans="41:62">
      <c r="AO83" s="5"/>
      <c r="AP83" s="5"/>
      <c r="AQ83" s="5"/>
      <c r="AR83" s="5"/>
      <c r="AS83" s="5"/>
      <c r="BH83" s="8"/>
      <c r="BJ83" s="8"/>
    </row>
    <row r="84" spans="41:62">
      <c r="AO84" s="5"/>
      <c r="AP84" s="5"/>
      <c r="AQ84" s="5"/>
      <c r="AR84" s="5"/>
      <c r="AS84" s="5"/>
      <c r="BH84" s="8"/>
      <c r="BJ84" s="8"/>
    </row>
    <row r="85" spans="41:62">
      <c r="AO85" s="5"/>
      <c r="AP85" s="5"/>
      <c r="AQ85" s="5"/>
      <c r="AR85" s="5"/>
      <c r="AS85" s="5"/>
      <c r="BH85" s="8"/>
      <c r="BJ85" s="8"/>
    </row>
    <row r="86" spans="41:62">
      <c r="AO86" s="5"/>
      <c r="AP86" s="5"/>
      <c r="AQ86" s="5"/>
      <c r="AR86" s="5"/>
      <c r="AS86" s="5"/>
      <c r="BH86" s="8"/>
      <c r="BJ86" s="8"/>
    </row>
    <row r="87" spans="41:62">
      <c r="AO87" s="5"/>
      <c r="AP87" s="5"/>
      <c r="AQ87" s="5"/>
      <c r="AR87" s="5"/>
      <c r="AS87" s="5"/>
      <c r="BH87" s="8"/>
      <c r="BJ87" s="8"/>
    </row>
    <row r="88" spans="41:62">
      <c r="AO88" s="5"/>
      <c r="AP88" s="5"/>
      <c r="AQ88" s="5"/>
      <c r="AR88" s="5"/>
      <c r="AS88" s="5"/>
      <c r="BH88" s="8"/>
      <c r="BJ88" s="8"/>
    </row>
    <row r="89" spans="41:62">
      <c r="AO89" s="5"/>
      <c r="AP89" s="5"/>
      <c r="AQ89" s="5"/>
      <c r="AR89" s="5"/>
      <c r="AS89" s="5"/>
      <c r="BH89" s="8"/>
      <c r="BJ89" s="8"/>
    </row>
    <row r="90" spans="41:62">
      <c r="AO90" s="5"/>
      <c r="AP90" s="5"/>
      <c r="AQ90" s="5"/>
      <c r="AR90" s="5"/>
      <c r="AS90" s="5"/>
      <c r="BH90" s="8"/>
      <c r="BJ90" s="8"/>
    </row>
    <row r="91" spans="41:62">
      <c r="AO91" s="5"/>
      <c r="AP91" s="5"/>
      <c r="AQ91" s="5"/>
      <c r="AR91" s="5"/>
      <c r="AS91" s="5"/>
      <c r="BH91" s="8"/>
      <c r="BJ91" s="8"/>
    </row>
    <row r="92" spans="41:62">
      <c r="AO92" s="5"/>
      <c r="AP92" s="5"/>
      <c r="AQ92" s="5"/>
      <c r="AR92" s="5"/>
      <c r="AS92" s="5"/>
      <c r="BH92" s="8"/>
      <c r="BJ92" s="8"/>
    </row>
    <row r="93" spans="41:62">
      <c r="AO93" s="5"/>
      <c r="AP93" s="5"/>
      <c r="AQ93" s="5"/>
      <c r="AR93" s="5"/>
      <c r="AS93" s="5"/>
      <c r="BH93" s="8"/>
      <c r="BJ93" s="8"/>
    </row>
    <row r="94" spans="41:62">
      <c r="AO94" s="5"/>
      <c r="AP94" s="5"/>
      <c r="AQ94" s="5"/>
      <c r="AR94" s="5"/>
      <c r="AS94" s="5"/>
      <c r="BH94" s="8"/>
      <c r="BJ94" s="8"/>
    </row>
    <row r="95" spans="41:62">
      <c r="AO95" s="5"/>
      <c r="AP95" s="5"/>
      <c r="AQ95" s="5"/>
      <c r="AR95" s="5"/>
      <c r="AS95" s="5"/>
      <c r="BH95" s="8"/>
      <c r="BJ95" s="8"/>
    </row>
    <row r="96" spans="41:62">
      <c r="AO96" s="5"/>
      <c r="AP96" s="5"/>
      <c r="AQ96" s="5"/>
      <c r="AR96" s="5"/>
      <c r="AS96" s="5"/>
      <c r="BH96" s="8"/>
      <c r="BJ96" s="8"/>
    </row>
    <row r="97" spans="41:62">
      <c r="AO97" s="5"/>
      <c r="AP97" s="5"/>
      <c r="AQ97" s="5"/>
      <c r="AR97" s="5"/>
      <c r="AS97" s="5"/>
      <c r="BH97" s="8"/>
      <c r="BJ97" s="8"/>
    </row>
    <row r="98" spans="41:62">
      <c r="AO98" s="5"/>
      <c r="AP98" s="5"/>
      <c r="AQ98" s="5"/>
      <c r="AR98" s="5"/>
      <c r="AS98" s="5"/>
      <c r="BH98" s="8"/>
      <c r="BJ98" s="8"/>
    </row>
    <row r="99" spans="41:62">
      <c r="AO99" s="5"/>
      <c r="AP99" s="5"/>
      <c r="AQ99" s="5"/>
      <c r="AR99" s="5"/>
      <c r="AS99" s="5"/>
      <c r="BH99" s="8"/>
      <c r="BJ99" s="8"/>
    </row>
    <row r="100" spans="41:62">
      <c r="AO100" s="5"/>
      <c r="AP100" s="5"/>
      <c r="AQ100" s="5"/>
      <c r="AR100" s="5"/>
      <c r="AS100" s="5"/>
      <c r="BH100" s="8"/>
      <c r="BJ100" s="8"/>
    </row>
    <row r="101" spans="41:62">
      <c r="AO101" s="5"/>
      <c r="AP101" s="5"/>
      <c r="AQ101" s="5"/>
      <c r="AR101" s="5"/>
      <c r="AS101" s="5"/>
      <c r="BH101" s="8"/>
      <c r="BJ101" s="8"/>
    </row>
    <row r="102" spans="41:62">
      <c r="AO102" s="5"/>
      <c r="AP102" s="5"/>
      <c r="AQ102" s="5"/>
      <c r="AR102" s="5"/>
      <c r="AS102" s="5"/>
      <c r="BH102" s="8"/>
      <c r="BJ102" s="8"/>
    </row>
    <row r="103" spans="41:62">
      <c r="AO103" s="5"/>
      <c r="AP103" s="5"/>
      <c r="AQ103" s="5"/>
      <c r="AR103" s="5"/>
      <c r="AS103" s="5"/>
      <c r="BH103" s="8"/>
      <c r="BJ103" s="8"/>
    </row>
    <row r="104" spans="41:62">
      <c r="AO104" s="5"/>
      <c r="AP104" s="5"/>
      <c r="AQ104" s="5"/>
      <c r="AR104" s="5"/>
      <c r="AS104" s="5"/>
      <c r="BH104" s="8"/>
      <c r="BJ104" s="8"/>
    </row>
    <row r="105" spans="41:62">
      <c r="AO105" s="5"/>
      <c r="AP105" s="5"/>
      <c r="AQ105" s="5"/>
      <c r="AR105" s="5"/>
      <c r="AS105" s="5"/>
    </row>
    <row r="106" spans="41:62">
      <c r="AO106" s="5"/>
      <c r="AP106" s="5"/>
      <c r="AQ106" s="5"/>
      <c r="AR106" s="5"/>
      <c r="AS106" s="5"/>
    </row>
    <row r="107" spans="41:62">
      <c r="AO107" s="5"/>
      <c r="AP107" s="5"/>
      <c r="AQ107" s="5"/>
      <c r="AR107" s="5"/>
      <c r="AS10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39BF-7F68-284A-BD1D-FC402D7FBBD8}">
  <dimension ref="B1:Z74"/>
  <sheetViews>
    <sheetView tabSelected="1" topLeftCell="V1" zoomScale="50" zoomScaleNormal="112" workbookViewId="0">
      <selection activeCell="BI34" sqref="BI34"/>
    </sheetView>
  </sheetViews>
  <sheetFormatPr baseColWidth="10" defaultRowHeight="16"/>
  <cols>
    <col min="2" max="2" width="37.83203125" bestFit="1" customWidth="1"/>
    <col min="3" max="3" width="13.6640625" bestFit="1" customWidth="1"/>
    <col min="4" max="4" width="15.1640625" bestFit="1" customWidth="1"/>
    <col min="5" max="5" width="18.5" bestFit="1" customWidth="1"/>
    <col min="6" max="6" width="17.1640625" bestFit="1" customWidth="1"/>
    <col min="7" max="7" width="13.6640625" bestFit="1" customWidth="1"/>
    <col min="8" max="8" width="12.1640625" bestFit="1" customWidth="1"/>
    <col min="9" max="9" width="14.5" bestFit="1" customWidth="1"/>
    <col min="10" max="10" width="17.83203125" bestFit="1" customWidth="1"/>
    <col min="11" max="11" width="19.33203125" bestFit="1" customWidth="1"/>
    <col min="12" max="12" width="18.6640625" bestFit="1" customWidth="1"/>
    <col min="13" max="13" width="16.33203125" bestFit="1" customWidth="1"/>
    <col min="15" max="15" width="39" bestFit="1" customWidth="1"/>
    <col min="16" max="16" width="13.6640625" bestFit="1" customWidth="1"/>
    <col min="17" max="17" width="15.1640625" bestFit="1" customWidth="1"/>
    <col min="18" max="18" width="18.5" bestFit="1" customWidth="1"/>
    <col min="19" max="19" width="17.1640625" bestFit="1" customWidth="1"/>
    <col min="20" max="20" width="13.6640625" bestFit="1" customWidth="1"/>
    <col min="21" max="21" width="12.1640625" bestFit="1" customWidth="1"/>
    <col min="22" max="22" width="14.5" bestFit="1" customWidth="1"/>
    <col min="23" max="23" width="17.83203125" bestFit="1" customWidth="1"/>
    <col min="24" max="24" width="19.33203125" bestFit="1" customWidth="1"/>
    <col min="25" max="25" width="18.6640625" bestFit="1" customWidth="1"/>
    <col min="26" max="26" width="16.33203125" bestFit="1" customWidth="1"/>
  </cols>
  <sheetData>
    <row r="1" spans="2:26">
      <c r="B1" t="s">
        <v>148</v>
      </c>
      <c r="O1" t="s">
        <v>149</v>
      </c>
    </row>
    <row r="2" spans="2:26">
      <c r="B2" s="2" t="s">
        <v>11</v>
      </c>
      <c r="C2" s="4" t="s">
        <v>51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4" t="s">
        <v>57</v>
      </c>
      <c r="J2" s="3" t="s">
        <v>58</v>
      </c>
      <c r="K2" s="3" t="s">
        <v>59</v>
      </c>
      <c r="L2" s="3" t="s">
        <v>48</v>
      </c>
      <c r="M2" s="3" t="s">
        <v>49</v>
      </c>
      <c r="O2" s="2" t="s">
        <v>11</v>
      </c>
      <c r="P2" s="4" t="s">
        <v>51</v>
      </c>
      <c r="Q2" s="4" t="s">
        <v>52</v>
      </c>
      <c r="R2" s="4" t="s">
        <v>53</v>
      </c>
      <c r="S2" s="4" t="s">
        <v>54</v>
      </c>
      <c r="T2" s="4" t="s">
        <v>55</v>
      </c>
      <c r="U2" s="4" t="s">
        <v>56</v>
      </c>
      <c r="V2" s="4" t="s">
        <v>57</v>
      </c>
      <c r="W2" s="3" t="s">
        <v>58</v>
      </c>
      <c r="X2" s="3" t="s">
        <v>59</v>
      </c>
      <c r="Y2" s="3" t="s">
        <v>48</v>
      </c>
      <c r="Z2" s="3" t="s">
        <v>49</v>
      </c>
    </row>
    <row r="3" spans="2:26">
      <c r="B3" t="str">
        <f>lc_detailed!B4</f>
        <v>CEN_Bio_Ethanol_Herb</v>
      </c>
      <c r="C3">
        <f>lc_detailed!AT4</f>
        <v>-2.7330397246070137</v>
      </c>
      <c r="D3">
        <f>lc_detailed!AU4</f>
        <v>0</v>
      </c>
      <c r="E3">
        <f>lc_detailed!AV4</f>
        <v>55.653727327690454</v>
      </c>
      <c r="F3">
        <f>lc_detailed!AW4</f>
        <v>0</v>
      </c>
      <c r="G3">
        <f>lc_detailed!AX4</f>
        <v>17.45471442935871</v>
      </c>
      <c r="H3">
        <f>lc_detailed!AY4</f>
        <v>9.2063495350048488</v>
      </c>
      <c r="I3">
        <f>lc_detailed!AZ4</f>
        <v>0.22672309552599759</v>
      </c>
      <c r="J3">
        <f>lc_detailed!BB4</f>
        <v>0</v>
      </c>
      <c r="K3">
        <f>lc_detailed!BC4</f>
        <v>4.590275527258122E-4</v>
      </c>
      <c r="L3">
        <f>lc_detailed!AP4</f>
        <v>79.80893369052572</v>
      </c>
      <c r="M3">
        <f>lc_detailed!AQ4</f>
        <v>22.169148247368256</v>
      </c>
      <c r="O3" t="str" cm="1">
        <f t="array" ref="O3:Z74">_xlfn._xlws.SORT(B3:M74, 11, 1)</f>
        <v>NW_DryMill_CCS_Fermentation_Exhaust</v>
      </c>
      <c r="P3">
        <v>0</v>
      </c>
      <c r="Q3">
        <v>0.73605181175742107</v>
      </c>
      <c r="R3">
        <v>54.762078186656993</v>
      </c>
      <c r="S3">
        <v>4.4658380072588102</v>
      </c>
      <c r="T3">
        <v>1.8459716853700829</v>
      </c>
      <c r="U3">
        <v>8.2322589053372308</v>
      </c>
      <c r="V3">
        <v>-8.1434431562275815</v>
      </c>
      <c r="W3">
        <v>-16.797272991912497</v>
      </c>
      <c r="X3">
        <v>6.5363717197461213</v>
      </c>
      <c r="Y3">
        <v>51.637854167986575</v>
      </c>
      <c r="Z3">
        <v>14.343848379996269</v>
      </c>
    </row>
    <row r="4" spans="2:26">
      <c r="B4" t="str">
        <f>lc_detailed!B5</f>
        <v>MIDAT_Bio_Ethanol_Herb</v>
      </c>
      <c r="C4">
        <f>lc_detailed!AT5</f>
        <v>-4.2472829150772933</v>
      </c>
      <c r="D4">
        <f>lc_detailed!AU5</f>
        <v>0</v>
      </c>
      <c r="E4">
        <f>lc_detailed!AV5</f>
        <v>50.579072475406548</v>
      </c>
      <c r="F4">
        <f>lc_detailed!AW5</f>
        <v>0</v>
      </c>
      <c r="G4">
        <f>lc_detailed!AX5</f>
        <v>17.388133507022271</v>
      </c>
      <c r="H4">
        <f>lc_detailed!AY5</f>
        <v>9.1712319599867627</v>
      </c>
      <c r="I4">
        <f>lc_detailed!AZ5</f>
        <v>0.22585826139329454</v>
      </c>
      <c r="J4">
        <f>lc_detailed!BB5</f>
        <v>0</v>
      </c>
      <c r="K4">
        <f>lc_detailed!BC5</f>
        <v>1.8960758874586782E-4</v>
      </c>
      <c r="L4">
        <f>lc_detailed!AP5</f>
        <v>73.11720289632035</v>
      </c>
      <c r="M4">
        <f>lc_detailed!AQ5</f>
        <v>20.310334137866764</v>
      </c>
      <c r="O4" t="str">
        <v>CA_DryMill_CCS_Fermentation_Exhaust</v>
      </c>
      <c r="P4">
        <v>0</v>
      </c>
      <c r="Q4">
        <v>1.0048323719933401</v>
      </c>
      <c r="R4">
        <v>54.762078186656993</v>
      </c>
      <c r="S4">
        <v>4.4652582398505434</v>
      </c>
      <c r="T4">
        <v>1.8459716853700829</v>
      </c>
      <c r="U4">
        <v>8.2322589053372308</v>
      </c>
      <c r="V4">
        <v>-8.1434431562275815</v>
      </c>
      <c r="W4">
        <v>-16.938539850807413</v>
      </c>
      <c r="X4">
        <v>6.5363717197461213</v>
      </c>
      <c r="Y4">
        <v>51.764788101919315</v>
      </c>
      <c r="Z4">
        <v>14.379107806088697</v>
      </c>
    </row>
    <row r="5" spans="2:26">
      <c r="B5" t="str">
        <f>lc_detailed!B6</f>
        <v>NCEN_Bio_Ethanol_Herb</v>
      </c>
      <c r="C5">
        <f>lc_detailed!AT6</f>
        <v>-3.3142741931687283</v>
      </c>
      <c r="D5">
        <f>lc_detailed!AU6</f>
        <v>0</v>
      </c>
      <c r="E5">
        <f>lc_detailed!AV6</f>
        <v>52.169771122351882</v>
      </c>
      <c r="F5">
        <f>lc_detailed!AW6</f>
        <v>0</v>
      </c>
      <c r="G5">
        <f>lc_detailed!AX6</f>
        <v>17.350687233631078</v>
      </c>
      <c r="H5">
        <f>lc_detailed!AY6</f>
        <v>9.1514812225560309</v>
      </c>
      <c r="I5">
        <f>lc_detailed!AZ6</f>
        <v>0.22537186357489861</v>
      </c>
      <c r="J5">
        <f>lc_detailed!BB6</f>
        <v>0</v>
      </c>
      <c r="K5">
        <f>lc_detailed!BC6</f>
        <v>-5.0477682210205491E-4</v>
      </c>
      <c r="L5">
        <f>lc_detailed!AP6</f>
        <v>75.582532472123049</v>
      </c>
      <c r="M5">
        <f>lc_detailed!AQ6</f>
        <v>20.995147908923069</v>
      </c>
      <c r="O5" t="str">
        <v>SW_DryMill_CCS_Fermentation_Exhaust</v>
      </c>
      <c r="P5">
        <v>0</v>
      </c>
      <c r="Q5">
        <v>0.76970088018920757</v>
      </c>
      <c r="R5">
        <v>54.762078186656993</v>
      </c>
      <c r="S5">
        <v>4.4657883875256701</v>
      </c>
      <c r="T5">
        <v>1.8459716853700829</v>
      </c>
      <c r="U5">
        <v>8.2322589053372308</v>
      </c>
      <c r="V5">
        <v>-8.1434431562275815</v>
      </c>
      <c r="W5">
        <v>-15.276872390600904</v>
      </c>
      <c r="X5">
        <v>6.5363717197461213</v>
      </c>
      <c r="Y5">
        <v>53.19185421799682</v>
      </c>
      <c r="Z5">
        <v>14.775515060554669</v>
      </c>
    </row>
    <row r="6" spans="2:26">
      <c r="B6" t="str">
        <f>lc_detailed!B7</f>
        <v>SE_Bio_Ethanol_Herb</v>
      </c>
      <c r="C6">
        <f>lc_detailed!AT7</f>
        <v>-4.1236960660105977</v>
      </c>
      <c r="D6">
        <f>lc_detailed!AU7</f>
        <v>0</v>
      </c>
      <c r="E6">
        <f>lc_detailed!AV7</f>
        <v>50.281525611910162</v>
      </c>
      <c r="F6">
        <f>lc_detailed!AW7</f>
        <v>0</v>
      </c>
      <c r="G6">
        <f>lc_detailed!AX7</f>
        <v>17.483783597976871</v>
      </c>
      <c r="H6">
        <f>lc_detailed!AY7</f>
        <v>9.2216818355173462</v>
      </c>
      <c r="I6">
        <f>lc_detailed!AZ7</f>
        <v>0.22710068130204392</v>
      </c>
      <c r="J6">
        <f>lc_detailed!BB7</f>
        <v>0</v>
      </c>
      <c r="K6">
        <f>lc_detailed!BC7</f>
        <v>2.963390012383203E-5</v>
      </c>
      <c r="L6">
        <f>lc_detailed!AP7</f>
        <v>73.09042529459596</v>
      </c>
      <c r="M6">
        <f>lc_detailed!AQ7</f>
        <v>20.302895915165543</v>
      </c>
      <c r="O6" t="str">
        <v>TX_DryMill_CCS_Fermentation_Exhaust</v>
      </c>
      <c r="P6">
        <v>0</v>
      </c>
      <c r="Q6">
        <v>0.55615943203436513</v>
      </c>
      <c r="R6">
        <v>54.762078186656993</v>
      </c>
      <c r="S6">
        <v>4.3501972605025605</v>
      </c>
      <c r="T6">
        <v>1.8459716853700829</v>
      </c>
      <c r="U6">
        <v>8.2322589053372308</v>
      </c>
      <c r="V6">
        <v>-8.1434431562275815</v>
      </c>
      <c r="W6">
        <v>-14.469605752651553</v>
      </c>
      <c r="X6">
        <v>6.5363717197461213</v>
      </c>
      <c r="Y6">
        <v>53.669988280768223</v>
      </c>
      <c r="Z6">
        <v>14.90833007799117</v>
      </c>
    </row>
    <row r="7" spans="2:26">
      <c r="B7" t="str">
        <f>lc_detailed!B8</f>
        <v>TX_Bio_Ethanol_Herb</v>
      </c>
      <c r="C7">
        <f>lc_detailed!AT8</f>
        <v>-2.1826272589443856</v>
      </c>
      <c r="D7">
        <f>lc_detailed!AU8</f>
        <v>0</v>
      </c>
      <c r="E7">
        <f>lc_detailed!AV8</f>
        <v>69.801451343555485</v>
      </c>
      <c r="F7">
        <f>lc_detailed!AW8</f>
        <v>0</v>
      </c>
      <c r="G7">
        <f>lc_detailed!AX8</f>
        <v>17.531560750666046</v>
      </c>
      <c r="H7">
        <f>lc_detailed!AY8</f>
        <v>9.2468815126145572</v>
      </c>
      <c r="I7">
        <f>lc_detailed!AZ8</f>
        <v>0.22772126916654017</v>
      </c>
      <c r="J7">
        <f>lc_detailed!BB8</f>
        <v>0</v>
      </c>
      <c r="K7">
        <f>lc_detailed!BC8</f>
        <v>5.8714750045968378E-4</v>
      </c>
      <c r="L7">
        <f>lc_detailed!AP8</f>
        <v>94.625574764558692</v>
      </c>
      <c r="M7">
        <f>lc_detailed!AQ8</f>
        <v>26.284881879044079</v>
      </c>
      <c r="O7" t="str">
        <v>NW_DryMill_CCS_Fermentation</v>
      </c>
      <c r="P7">
        <v>0</v>
      </c>
      <c r="Q7">
        <v>0.73605181175742107</v>
      </c>
      <c r="R7">
        <v>54.762078186656993</v>
      </c>
      <c r="S7">
        <v>4.4658380072588102</v>
      </c>
      <c r="T7">
        <v>1.1219173819252375</v>
      </c>
      <c r="U7">
        <v>7.8355578478551591</v>
      </c>
      <c r="V7">
        <v>-8.1724348446793407</v>
      </c>
      <c r="W7">
        <v>-11.767032817772119</v>
      </c>
      <c r="X7">
        <v>6.5363717197461213</v>
      </c>
      <c r="Y7">
        <v>55.518347292748274</v>
      </c>
      <c r="Z7">
        <v>15.421763136874523</v>
      </c>
    </row>
    <row r="8" spans="2:26">
      <c r="B8" t="str">
        <f>lc_detailed!B9</f>
        <v>CEN_Bio_Ethanol_Wood</v>
      </c>
      <c r="C8">
        <f>lc_detailed!AT9</f>
        <v>-2.7334799882959251</v>
      </c>
      <c r="D8">
        <f>lc_detailed!AU9</f>
        <v>0</v>
      </c>
      <c r="E8">
        <f>lc_detailed!AV9</f>
        <v>61.366317310471054</v>
      </c>
      <c r="F8">
        <f>lc_detailed!AW9</f>
        <v>0</v>
      </c>
      <c r="G8">
        <f>lc_detailed!AX9</f>
        <v>16.686310181770139</v>
      </c>
      <c r="H8">
        <f>lc_detailed!AY9</f>
        <v>8.8010608597811508</v>
      </c>
      <c r="I8">
        <f>lc_detailed!AZ9</f>
        <v>0.2167421250361237</v>
      </c>
      <c r="J8">
        <f>lc_detailed!BB9</f>
        <v>0</v>
      </c>
      <c r="K8">
        <f>lc_detailed!BC9</f>
        <v>-2.1399058463716691E-4</v>
      </c>
      <c r="L8">
        <f>lc_detailed!AP9</f>
        <v>84.336736498177885</v>
      </c>
      <c r="M8">
        <f>lc_detailed!AQ9</f>
        <v>23.426871249493857</v>
      </c>
      <c r="O8" t="str">
        <v>CEN_DryMill_CCS_Fermentation_Exhaust</v>
      </c>
      <c r="P8">
        <v>0</v>
      </c>
      <c r="Q8">
        <v>0.69621158107157877</v>
      </c>
      <c r="R8">
        <v>54.762078186656993</v>
      </c>
      <c r="S8">
        <v>4.3815246137313233</v>
      </c>
      <c r="T8">
        <v>1.8459716853700829</v>
      </c>
      <c r="U8">
        <v>8.2322589053372308</v>
      </c>
      <c r="V8">
        <v>-8.1434431562275815</v>
      </c>
      <c r="W8">
        <v>-12.792465719165941</v>
      </c>
      <c r="X8">
        <v>6.5363717197461213</v>
      </c>
      <c r="Y8">
        <v>55.518507816519815</v>
      </c>
      <c r="Z8">
        <v>15.421807726811057</v>
      </c>
    </row>
    <row r="9" spans="2:26">
      <c r="B9" t="str">
        <f>lc_detailed!B10</f>
        <v>MIDAT_Bio_Ethanol_Wood</v>
      </c>
      <c r="C9">
        <f>lc_detailed!AT10</f>
        <v>-4.2464947082185818</v>
      </c>
      <c r="D9">
        <f>lc_detailed!AU10</f>
        <v>0</v>
      </c>
      <c r="E9">
        <f>lc_detailed!AV10</f>
        <v>52.50426245349567</v>
      </c>
      <c r="F9">
        <f>lc_detailed!AW10</f>
        <v>0</v>
      </c>
      <c r="G9">
        <f>lc_detailed!AX10</f>
        <v>16.738714402759417</v>
      </c>
      <c r="H9">
        <f>lc_detailed!AY10</f>
        <v>8.8287010470491492</v>
      </c>
      <c r="I9">
        <f>lc_detailed!AZ10</f>
        <v>0.21742281490071025</v>
      </c>
      <c r="J9">
        <f>lc_detailed!BB10</f>
        <v>0</v>
      </c>
      <c r="K9">
        <f>lc_detailed!BC10</f>
        <v>1.80285023420268E-4</v>
      </c>
      <c r="L9">
        <f>lc_detailed!AP10</f>
        <v>74.04278629500979</v>
      </c>
      <c r="M9">
        <f>lc_detailed!AQ10</f>
        <v>20.56744063750272</v>
      </c>
      <c r="O9" t="str">
        <v>CA_DryMill_CCS_Fermentation</v>
      </c>
      <c r="P9">
        <v>0</v>
      </c>
      <c r="Q9">
        <v>1.0048323719933401</v>
      </c>
      <c r="R9">
        <v>54.762078186656993</v>
      </c>
      <c r="S9">
        <v>4.4652582398505434</v>
      </c>
      <c r="T9">
        <v>1.1219173819252375</v>
      </c>
      <c r="U9">
        <v>7.8355578478551591</v>
      </c>
      <c r="V9">
        <v>-8.1724348446793407</v>
      </c>
      <c r="W9">
        <v>-11.865994819847124</v>
      </c>
      <c r="X9">
        <v>6.5363717197461213</v>
      </c>
      <c r="Y9">
        <v>55.687586083500918</v>
      </c>
      <c r="Z9">
        <v>15.468773912083588</v>
      </c>
    </row>
    <row r="10" spans="2:26">
      <c r="B10" t="str">
        <f>lc_detailed!B11</f>
        <v>NCEN_Bio_Ethanol_Wood</v>
      </c>
      <c r="C10">
        <f>lc_detailed!AT11</f>
        <v>-3.3133631799431353</v>
      </c>
      <c r="D10">
        <f>lc_detailed!AU11</f>
        <v>0</v>
      </c>
      <c r="E10">
        <f>lc_detailed!AV11</f>
        <v>55.672685171798946</v>
      </c>
      <c r="F10">
        <f>lc_detailed!AW11</f>
        <v>0</v>
      </c>
      <c r="G10">
        <f>lc_detailed!AX11</f>
        <v>16.695155510284405</v>
      </c>
      <c r="H10">
        <f>lc_detailed!AY11</f>
        <v>8.8057262575671658</v>
      </c>
      <c r="I10">
        <f>lc_detailed!AZ11</f>
        <v>0.21685701893884632</v>
      </c>
      <c r="J10">
        <f>lc_detailed!BB11</f>
        <v>0</v>
      </c>
      <c r="K10">
        <f>lc_detailed!BC11</f>
        <v>-3.5102245176509884E-4</v>
      </c>
      <c r="L10">
        <f>lc_detailed!AP11</f>
        <v>78.076709756194475</v>
      </c>
      <c r="M10">
        <f>lc_detailed!AQ11</f>
        <v>21.687974932276244</v>
      </c>
      <c r="O10" t="str">
        <v>SW_DryMill_CCS_Fermentation</v>
      </c>
      <c r="P10">
        <v>0</v>
      </c>
      <c r="Q10">
        <v>0.76970088018920757</v>
      </c>
      <c r="R10">
        <v>54.762078186656993</v>
      </c>
      <c r="S10">
        <v>4.4657883875256701</v>
      </c>
      <c r="T10">
        <v>1.1219173819252375</v>
      </c>
      <c r="U10">
        <v>7.8355578478551591</v>
      </c>
      <c r="V10">
        <v>-8.1724348446793407</v>
      </c>
      <c r="W10">
        <v>-10.701943039186755</v>
      </c>
      <c r="X10">
        <v>6.5363717197461213</v>
      </c>
      <c r="Y10">
        <v>56.617036520032279</v>
      </c>
      <c r="Z10">
        <v>15.726954588897854</v>
      </c>
    </row>
    <row r="11" spans="2:26">
      <c r="B11" t="str">
        <f>lc_detailed!B12</f>
        <v>SE_Bio_Ethanol_Wood</v>
      </c>
      <c r="C11">
        <f>lc_detailed!AT12</f>
        <v>-4.1248337198387555</v>
      </c>
      <c r="D11">
        <f>lc_detailed!AU12</f>
        <v>0</v>
      </c>
      <c r="E11">
        <f>lc_detailed!AV12</f>
        <v>54.336796717535272</v>
      </c>
      <c r="F11">
        <f>lc_detailed!AW12</f>
        <v>0</v>
      </c>
      <c r="G11">
        <f>lc_detailed!AX12</f>
        <v>16.625452154425169</v>
      </c>
      <c r="H11">
        <f>lc_detailed!AY12</f>
        <v>8.7689617799585484</v>
      </c>
      <c r="I11">
        <f>lc_detailed!AZ12</f>
        <v>0.21595162683558883</v>
      </c>
      <c r="J11">
        <f>lc_detailed!BB12</f>
        <v>0</v>
      </c>
      <c r="K11">
        <f>lc_detailed!BC12</f>
        <v>-4.6913858271029377E-4</v>
      </c>
      <c r="L11">
        <f>lc_detailed!AP12</f>
        <v>75.821859420333098</v>
      </c>
      <c r="M11">
        <f>lc_detailed!AQ12</f>
        <v>21.061627616759193</v>
      </c>
      <c r="O11" t="str">
        <v>TX_DryMill_CCS_Fermentation</v>
      </c>
      <c r="P11">
        <v>0</v>
      </c>
      <c r="Q11">
        <v>0.55615943203436513</v>
      </c>
      <c r="R11">
        <v>54.762078186656993</v>
      </c>
      <c r="S11">
        <v>4.3501972605025605</v>
      </c>
      <c r="T11">
        <v>1.1219173819252375</v>
      </c>
      <c r="U11">
        <v>7.8355578478551591</v>
      </c>
      <c r="V11">
        <v>-8.1724348446793407</v>
      </c>
      <c r="W11">
        <v>-10.13642665887811</v>
      </c>
      <c r="X11">
        <v>6.5363717197461213</v>
      </c>
      <c r="Y11">
        <v>56.853420325162979</v>
      </c>
      <c r="Z11">
        <v>15.792616756989716</v>
      </c>
    </row>
    <row r="12" spans="2:26">
      <c r="B12" t="str">
        <f>lc_detailed!B13</f>
        <v>TX_Bio_Ethanol_Wood</v>
      </c>
      <c r="C12">
        <f>lc_detailed!AT13</f>
        <v>-2.1835733922340474</v>
      </c>
      <c r="D12">
        <f>lc_detailed!AU13</f>
        <v>0</v>
      </c>
      <c r="E12">
        <f>lc_detailed!AV13</f>
        <v>76.727098702434745</v>
      </c>
      <c r="F12">
        <f>lc_detailed!AW13</f>
        <v>0</v>
      </c>
      <c r="G12">
        <f>lc_detailed!AX13</f>
        <v>16.836330465758454</v>
      </c>
      <c r="H12">
        <f>lc_detailed!AY13</f>
        <v>8.8801878588120839</v>
      </c>
      <c r="I12">
        <f>lc_detailed!AZ13</f>
        <v>0.21869077124945327</v>
      </c>
      <c r="J12">
        <f>lc_detailed!BB13</f>
        <v>0</v>
      </c>
      <c r="K12">
        <f>lc_detailed!BC13</f>
        <v>-1.1179380457687476E-4</v>
      </c>
      <c r="L12">
        <f>lc_detailed!AP13</f>
        <v>100.4786226122161</v>
      </c>
      <c r="M12">
        <f>lc_detailed!AQ13</f>
        <v>27.910728503393361</v>
      </c>
      <c r="O12" t="str">
        <v>NCEN_DryMill_CCS_Fermentation_Exhaust</v>
      </c>
      <c r="P12">
        <v>0</v>
      </c>
      <c r="Q12">
        <v>0.8442129170953</v>
      </c>
      <c r="R12">
        <v>54.762078186656993</v>
      </c>
      <c r="S12">
        <v>4.381553993836472</v>
      </c>
      <c r="T12">
        <v>1.8459716853700829</v>
      </c>
      <c r="U12">
        <v>8.2322589053372308</v>
      </c>
      <c r="V12">
        <v>-8.1434431562275815</v>
      </c>
      <c r="W12">
        <v>-11.1454403847841</v>
      </c>
      <c r="X12">
        <v>6.5363717197461213</v>
      </c>
      <c r="Y12">
        <v>57.31356386703051</v>
      </c>
      <c r="Z12">
        <v>15.920434407508473</v>
      </c>
    </row>
    <row r="13" spans="2:26">
      <c r="B13" t="str">
        <f>lc_detailed!B14</f>
        <v>CEN_Bio_Ethanol_Agri</v>
      </c>
      <c r="C13">
        <f>lc_detailed!AT14</f>
        <v>-2.7324164346314324</v>
      </c>
      <c r="D13">
        <f>lc_detailed!AU14</f>
        <v>0</v>
      </c>
      <c r="E13">
        <f>lc_detailed!AV14</f>
        <v>52.868555686316462</v>
      </c>
      <c r="F13">
        <f>lc_detailed!AW14</f>
        <v>0</v>
      </c>
      <c r="G13">
        <f>lc_detailed!AX14</f>
        <v>18.5322120463203</v>
      </c>
      <c r="H13">
        <f>lc_detailed!AY14</f>
        <v>9.7746670359888874</v>
      </c>
      <c r="I13">
        <f>lc_detailed!AZ14</f>
        <v>0.24071894725580401</v>
      </c>
      <c r="J13">
        <f>lc_detailed!BB14</f>
        <v>0</v>
      </c>
      <c r="K13">
        <f>lc_detailed!BC14</f>
        <v>5.6707765910897902E-4</v>
      </c>
      <c r="L13">
        <f>lc_detailed!AP14</f>
        <v>78.684304358909131</v>
      </c>
      <c r="M13">
        <f>lc_detailed!AQ14</f>
        <v>21.856751210808092</v>
      </c>
      <c r="O13" t="str">
        <v>CEN_DryMill_CCS_Fermentation</v>
      </c>
      <c r="P13">
        <v>0</v>
      </c>
      <c r="Q13">
        <v>0.69621158107157877</v>
      </c>
      <c r="R13">
        <v>54.762078186656993</v>
      </c>
      <c r="S13">
        <v>4.3815246137313233</v>
      </c>
      <c r="T13">
        <v>1.1219173819252375</v>
      </c>
      <c r="U13">
        <v>7.8355578478551591</v>
      </c>
      <c r="V13">
        <v>-8.1724348446793407</v>
      </c>
      <c r="W13">
        <v>-8.9615358403787848</v>
      </c>
      <c r="X13">
        <v>6.5363717197461213</v>
      </c>
      <c r="Y13">
        <v>58.199690645928278</v>
      </c>
      <c r="Z13">
        <v>16.166580734980077</v>
      </c>
    </row>
    <row r="14" spans="2:26">
      <c r="B14" t="str">
        <f>lc_detailed!B15</f>
        <v>MIDAT_Bio_Ethanol_Agri</v>
      </c>
      <c r="C14">
        <f>lc_detailed!AT15</f>
        <v>-4.2470487513953117</v>
      </c>
      <c r="D14">
        <f>lc_detailed!AU15</f>
        <v>0</v>
      </c>
      <c r="E14">
        <f>lc_detailed!AV15</f>
        <v>47.53338914580344</v>
      </c>
      <c r="F14">
        <f>lc_detailed!AW15</f>
        <v>0</v>
      </c>
      <c r="G14">
        <f>lc_detailed!AX15</f>
        <v>18.41498814617082</v>
      </c>
      <c r="H14">
        <f>lc_detailed!AY15</f>
        <v>9.7128382273309022</v>
      </c>
      <c r="I14">
        <f>lc_detailed!AZ15</f>
        <v>0.23919630043055334</v>
      </c>
      <c r="J14">
        <f>lc_detailed!BB15</f>
        <v>0</v>
      </c>
      <c r="K14">
        <f>lc_detailed!BC15</f>
        <v>-4.5653047972455882E-4</v>
      </c>
      <c r="L14">
        <f>lc_detailed!AP15</f>
        <v>71.652906537860673</v>
      </c>
      <c r="M14">
        <f>lc_detailed!AQ15</f>
        <v>19.903585149405743</v>
      </c>
      <c r="O14" t="str">
        <v>SE_DryMill_CCS_Fermentation_Exhaust</v>
      </c>
      <c r="P14">
        <v>0</v>
      </c>
      <c r="Q14">
        <v>1.0506813864995876</v>
      </c>
      <c r="R14">
        <v>54.762078186656993</v>
      </c>
      <c r="S14">
        <v>4.3815229815032604</v>
      </c>
      <c r="T14">
        <v>1.8459716853700829</v>
      </c>
      <c r="U14">
        <v>8.2322589053372308</v>
      </c>
      <c r="V14">
        <v>-8.1434431562275815</v>
      </c>
      <c r="W14">
        <v>-10.161243372174775</v>
      </c>
      <c r="X14">
        <v>6.5363717197461213</v>
      </c>
      <c r="Y14">
        <v>58.504198336710928</v>
      </c>
      <c r="Z14">
        <v>16.251166204641923</v>
      </c>
    </row>
    <row r="15" spans="2:26">
      <c r="B15" t="str">
        <f>lc_detailed!B16</f>
        <v>NCEN_Bio_Ethanol_Agri</v>
      </c>
      <c r="C15">
        <f>lc_detailed!AT16</f>
        <v>-3.3145588377488719</v>
      </c>
      <c r="D15">
        <f>lc_detailed!AU16</f>
        <v>0</v>
      </c>
      <c r="E15">
        <f>lc_detailed!AV16</f>
        <v>48.869114945580044</v>
      </c>
      <c r="F15">
        <f>lc_detailed!AW16</f>
        <v>0</v>
      </c>
      <c r="G15">
        <f>lc_detailed!AX16</f>
        <v>18.393478736071767</v>
      </c>
      <c r="H15">
        <f>lc_detailed!AY16</f>
        <v>9.7014932609915725</v>
      </c>
      <c r="I15">
        <f>lc_detailed!AZ16</f>
        <v>0.23891691000796392</v>
      </c>
      <c r="J15">
        <f>lc_detailed!BB16</f>
        <v>0</v>
      </c>
      <c r="K15">
        <f>lc_detailed!BC16</f>
        <v>-1.5430417612133471E-4</v>
      </c>
      <c r="L15">
        <f>lc_detailed!AP16</f>
        <v>73.888290710726352</v>
      </c>
      <c r="M15">
        <f>lc_detailed!AQ16</f>
        <v>20.524525197423987</v>
      </c>
      <c r="O15" t="str">
        <v>NCEN_DryMill_CCS_Fermentation</v>
      </c>
      <c r="P15">
        <v>0</v>
      </c>
      <c r="Q15">
        <v>0.8442129170953</v>
      </c>
      <c r="R15">
        <v>54.762078186656993</v>
      </c>
      <c r="S15">
        <v>4.381553993836472</v>
      </c>
      <c r="T15">
        <v>1.1219173819252375</v>
      </c>
      <c r="U15">
        <v>7.8355578478551591</v>
      </c>
      <c r="V15">
        <v>-8.1724348446793407</v>
      </c>
      <c r="W15">
        <v>-7.8077413422656381</v>
      </c>
      <c r="X15">
        <v>6.5363717197461213</v>
      </c>
      <c r="Y15">
        <v>59.501515860170294</v>
      </c>
      <c r="Z15">
        <v>16.528198850047307</v>
      </c>
    </row>
    <row r="16" spans="2:26">
      <c r="B16" t="str">
        <f>lc_detailed!B17</f>
        <v>SE_Bio_Ethanol_Agri</v>
      </c>
      <c r="C16">
        <f>lc_detailed!AT17</f>
        <v>-4.1235745351031508</v>
      </c>
      <c r="D16">
        <f>lc_detailed!AU17</f>
        <v>0</v>
      </c>
      <c r="E16">
        <f>lc_detailed!AV17</f>
        <v>47.36676528599606</v>
      </c>
      <c r="F16">
        <f>lc_detailed!AW17</f>
        <v>0</v>
      </c>
      <c r="G16">
        <f>lc_detailed!AX17</f>
        <v>18.467997867365622</v>
      </c>
      <c r="H16">
        <f>lc_detailed!AY17</f>
        <v>9.7407977808399302</v>
      </c>
      <c r="I16">
        <f>lc_detailed!AZ17</f>
        <v>0.23988485526947068</v>
      </c>
      <c r="J16">
        <f>lc_detailed!BB17</f>
        <v>0</v>
      </c>
      <c r="K16">
        <f>lc_detailed!BC17</f>
        <v>1.2936287174757861E-4</v>
      </c>
      <c r="L16">
        <f>lc_detailed!AP17</f>
        <v>71.692000617239671</v>
      </c>
      <c r="M16">
        <f>lc_detailed!AQ17</f>
        <v>19.914444615899907</v>
      </c>
      <c r="O16" t="str">
        <v>MIDAT_DryMill_CCS_Fermentation_Exhaust</v>
      </c>
      <c r="P16">
        <v>0</v>
      </c>
      <c r="Q16">
        <v>1.0820498722750709</v>
      </c>
      <c r="R16">
        <v>54.762078186656993</v>
      </c>
      <c r="S16">
        <v>4.3819192864771539</v>
      </c>
      <c r="T16">
        <v>1.8459716853700829</v>
      </c>
      <c r="U16">
        <v>8.2322589053372308</v>
      </c>
      <c r="V16">
        <v>-8.1434431562275815</v>
      </c>
      <c r="W16">
        <v>-9.106196313105217</v>
      </c>
      <c r="X16">
        <v>6.5363717197461213</v>
      </c>
      <c r="Y16">
        <v>59.591010186529857</v>
      </c>
      <c r="Z16">
        <v>16.553058385147182</v>
      </c>
    </row>
    <row r="17" spans="2:26">
      <c r="B17" t="str">
        <f>lc_detailed!B18</f>
        <v>TX_Bio_Ethanol_Agri</v>
      </c>
      <c r="C17">
        <f>lc_detailed!AT18</f>
        <v>-2.1829676197541801</v>
      </c>
      <c r="D17">
        <f>lc_detailed!AU18</f>
        <v>0</v>
      </c>
      <c r="E17">
        <f>lc_detailed!AV18</f>
        <v>61.656984276381351</v>
      </c>
      <c r="F17">
        <f>lc_detailed!AW18</f>
        <v>0</v>
      </c>
      <c r="G17">
        <f>lc_detailed!AX18</f>
        <v>19.18066504229386</v>
      </c>
      <c r="H17">
        <f>lc_detailed!AY18</f>
        <v>10.11668838283558</v>
      </c>
      <c r="I17">
        <f>lc_detailed!AZ18</f>
        <v>0.24914184475694828</v>
      </c>
      <c r="J17">
        <f>lc_detailed!BB18</f>
        <v>0</v>
      </c>
      <c r="K17">
        <f>lc_detailed!BC18</f>
        <v>-1.5833997834873722E-4</v>
      </c>
      <c r="L17">
        <f>lc_detailed!AP18</f>
        <v>89.020353586535194</v>
      </c>
      <c r="M17">
        <f>lc_detailed!AQ18</f>
        <v>24.727875996259776</v>
      </c>
      <c r="O17" t="str">
        <v>SE_DryMill_CCS_Fermentation</v>
      </c>
      <c r="P17">
        <v>0</v>
      </c>
      <c r="Q17">
        <v>1.0506813864995876</v>
      </c>
      <c r="R17">
        <v>54.762078186656993</v>
      </c>
      <c r="S17">
        <v>4.3815229815032604</v>
      </c>
      <c r="T17">
        <v>1.1219173819252375</v>
      </c>
      <c r="U17">
        <v>7.8355578478551591</v>
      </c>
      <c r="V17">
        <v>-8.1724348446793407</v>
      </c>
      <c r="W17">
        <v>-7.1182795140210633</v>
      </c>
      <c r="X17">
        <v>6.5363717197461213</v>
      </c>
      <c r="Y17">
        <v>60.397415145485944</v>
      </c>
      <c r="Z17">
        <v>16.777059762634988</v>
      </c>
    </row>
    <row r="18" spans="2:26">
      <c r="B18" t="str">
        <f>lc_detailed!B19</f>
        <v>CEN_Bio_Ethanol_CCS_20_Herb</v>
      </c>
      <c r="C18">
        <f>lc_detailed!AT19</f>
        <v>0</v>
      </c>
      <c r="D18">
        <f>lc_detailed!AU19</f>
        <v>0</v>
      </c>
      <c r="E18">
        <f>lc_detailed!AV19</f>
        <v>55.653727327690454</v>
      </c>
      <c r="F18">
        <f>lc_detailed!AW19</f>
        <v>0</v>
      </c>
      <c r="G18">
        <f>lc_detailed!AX19</f>
        <v>18.725964591166843</v>
      </c>
      <c r="H18">
        <f>lc_detailed!AY19</f>
        <v>9.9021474929402586</v>
      </c>
      <c r="I18">
        <f>lc_detailed!AZ19</f>
        <v>0.2418379685610641</v>
      </c>
      <c r="J18">
        <f>lc_detailed!BB19</f>
        <v>-10.154123280036075</v>
      </c>
      <c r="K18">
        <f>lc_detailed!BC19</f>
        <v>4.5901146961605443E-4</v>
      </c>
      <c r="L18">
        <f>lc_detailed!AP19</f>
        <v>74.370013111792161</v>
      </c>
      <c r="M18">
        <f>lc_detailed!AQ19</f>
        <v>20.658336975497821</v>
      </c>
      <c r="O18" t="str">
        <v>MIDAT_DryMill_CCS_Fermentation</v>
      </c>
      <c r="P18">
        <v>0</v>
      </c>
      <c r="Q18">
        <v>1.0820498722750709</v>
      </c>
      <c r="R18">
        <v>54.762078186656993</v>
      </c>
      <c r="S18">
        <v>4.3819192864771539</v>
      </c>
      <c r="T18">
        <v>1.1219173819252375</v>
      </c>
      <c r="U18">
        <v>7.8355578478551591</v>
      </c>
      <c r="V18">
        <v>-8.1724348446793407</v>
      </c>
      <c r="W18">
        <v>-6.379184937517909</v>
      </c>
      <c r="X18">
        <v>6.5363717197461213</v>
      </c>
      <c r="Y18">
        <v>61.168274512738485</v>
      </c>
      <c r="Z18">
        <v>16.99118736464958</v>
      </c>
    </row>
    <row r="19" spans="2:26">
      <c r="B19" t="str">
        <f>lc_detailed!B20</f>
        <v>MIDAT_Bio_Ethanol_CCS_20_Herb</v>
      </c>
      <c r="C19">
        <f>lc_detailed!AT20</f>
        <v>0</v>
      </c>
      <c r="D19">
        <f>lc_detailed!AU20</f>
        <v>0</v>
      </c>
      <c r="E19">
        <f>lc_detailed!AV20</f>
        <v>50.579072475406548</v>
      </c>
      <c r="F19">
        <f>lc_detailed!AW20</f>
        <v>0</v>
      </c>
      <c r="G19">
        <f>lc_detailed!AX20</f>
        <v>18.654534491341071</v>
      </c>
      <c r="H19">
        <f>lc_detailed!AY20</f>
        <v>9.8643758000340416</v>
      </c>
      <c r="I19">
        <f>lc_detailed!AZ20</f>
        <v>0.24091547881951414</v>
      </c>
      <c r="J19">
        <f>lc_detailed!BB20</f>
        <v>-7.264510933472347</v>
      </c>
      <c r="K19">
        <f>lc_detailed!BC20</f>
        <v>1.895915054659443E-4</v>
      </c>
      <c r="L19">
        <f>lc_detailed!AP20</f>
        <v>72.074576903634281</v>
      </c>
      <c r="M19">
        <f>lc_detailed!AQ20</f>
        <v>20.020715806565079</v>
      </c>
      <c r="O19" t="str">
        <v>NE_DryMill_CCS_Fermentation_Exhaust</v>
      </c>
      <c r="P19">
        <v>0</v>
      </c>
      <c r="Q19">
        <v>1.3043611278934286</v>
      </c>
      <c r="R19">
        <v>54.762078186656993</v>
      </c>
      <c r="S19">
        <v>4.3818096007512652</v>
      </c>
      <c r="T19">
        <v>1.8459716853700829</v>
      </c>
      <c r="U19">
        <v>8.2322589053372308</v>
      </c>
      <c r="V19">
        <v>-8.1434431562275815</v>
      </c>
      <c r="W19">
        <v>-7.7067685007409219</v>
      </c>
      <c r="X19">
        <v>6.5363717197461213</v>
      </c>
      <c r="Y19">
        <v>61.212639568786614</v>
      </c>
      <c r="Z19">
        <v>17.003510991329616</v>
      </c>
    </row>
    <row r="20" spans="2:26">
      <c r="B20" t="str">
        <f>lc_detailed!B21</f>
        <v>NCEN_Bio_Ethanol_CCS_20_Herb</v>
      </c>
      <c r="C20">
        <f>lc_detailed!AT21</f>
        <v>0</v>
      </c>
      <c r="D20">
        <f>lc_detailed!AU21</f>
        <v>0</v>
      </c>
      <c r="E20">
        <f>lc_detailed!AV21</f>
        <v>52.169771122351882</v>
      </c>
      <c r="F20">
        <f>lc_detailed!AW21</f>
        <v>0</v>
      </c>
      <c r="G20">
        <f>lc_detailed!AX21</f>
        <v>18.614360955851129</v>
      </c>
      <c r="H20">
        <f>lc_detailed!AY21</f>
        <v>9.8431323403554991</v>
      </c>
      <c r="I20">
        <f>lc_detailed!AZ21</f>
        <v>0.24039665447989184</v>
      </c>
      <c r="J20">
        <f>lc_detailed!BB21</f>
        <v>-8.892999770974674</v>
      </c>
      <c r="K20">
        <f>lc_detailed!BC21</f>
        <v>-5.0479290581954763E-4</v>
      </c>
      <c r="L20">
        <f>lc_detailed!AP21</f>
        <v>71.974156509157908</v>
      </c>
      <c r="M20">
        <f>lc_detailed!AQ21</f>
        <v>19.992821252543866</v>
      </c>
      <c r="O20" t="str">
        <v>NE_DryMill_CCS_Fermentation</v>
      </c>
      <c r="P20">
        <v>0</v>
      </c>
      <c r="Q20">
        <v>1.3043611278934286</v>
      </c>
      <c r="R20">
        <v>54.762078186656993</v>
      </c>
      <c r="S20">
        <v>4.3818096007512652</v>
      </c>
      <c r="T20">
        <v>1.1219173819252375</v>
      </c>
      <c r="U20">
        <v>7.8355578478551591</v>
      </c>
      <c r="V20">
        <v>-8.1724348446793407</v>
      </c>
      <c r="W20">
        <v>-5.3988405088643852</v>
      </c>
      <c r="X20">
        <v>6.5363717197461213</v>
      </c>
      <c r="Y20">
        <v>62.370820511284471</v>
      </c>
      <c r="Z20">
        <v>17.325227919801247</v>
      </c>
    </row>
    <row r="21" spans="2:26">
      <c r="B21" t="str">
        <f>lc_detailed!B22</f>
        <v>SE_Bio_Ethanol_CCS_20_Herb</v>
      </c>
      <c r="C21">
        <f>lc_detailed!AT22</f>
        <v>0</v>
      </c>
      <c r="D21">
        <f>lc_detailed!AU22</f>
        <v>0</v>
      </c>
      <c r="E21">
        <f>lc_detailed!AV22</f>
        <v>50.281525611910162</v>
      </c>
      <c r="F21">
        <f>lc_detailed!AW22</f>
        <v>0</v>
      </c>
      <c r="G21">
        <f>lc_detailed!AX22</f>
        <v>18.757150906155914</v>
      </c>
      <c r="H21">
        <f>lc_detailed!AY22</f>
        <v>9.9186385788482578</v>
      </c>
      <c r="I21">
        <f>lc_detailed!AZ22</f>
        <v>0.24224072672218017</v>
      </c>
      <c r="J21">
        <f>lc_detailed!BB22</f>
        <v>-8.0455080014009788</v>
      </c>
      <c r="K21">
        <f>lc_detailed!BC22</f>
        <v>2.961781674667092E-5</v>
      </c>
      <c r="L21">
        <f>lc_detailed!AP22</f>
        <v>71.154077440052276</v>
      </c>
      <c r="M21">
        <f>lc_detailed!AQ22</f>
        <v>19.765021511125635</v>
      </c>
      <c r="O21" t="str">
        <v>TX_DryMill_Existing_Non_CCS</v>
      </c>
      <c r="P21">
        <v>0</v>
      </c>
      <c r="Q21">
        <v>0.55615943203436513</v>
      </c>
      <c r="R21">
        <v>54.762078186656993</v>
      </c>
      <c r="S21">
        <v>4.3501972605025605</v>
      </c>
      <c r="T21">
        <v>0</v>
      </c>
      <c r="U21">
        <v>7.2208724377810398</v>
      </c>
      <c r="V21">
        <v>-8.1853200395467898</v>
      </c>
      <c r="W21">
        <v>0</v>
      </c>
      <c r="X21">
        <v>6.5363717197461213</v>
      </c>
      <c r="Y21">
        <v>65.240358997174297</v>
      </c>
      <c r="Z21">
        <v>18.122321943659525</v>
      </c>
    </row>
    <row r="22" spans="2:26">
      <c r="B22" t="str">
        <f>lc_detailed!B23</f>
        <v>TX_Bio_Ethanol_CCS_20_Herb</v>
      </c>
      <c r="C22">
        <f>lc_detailed!AT23</f>
        <v>0</v>
      </c>
      <c r="D22">
        <f>lc_detailed!AU23</f>
        <v>0</v>
      </c>
      <c r="E22">
        <f>lc_detailed!AV23</f>
        <v>69.801451343555485</v>
      </c>
      <c r="F22">
        <f>lc_detailed!AW23</f>
        <v>0</v>
      </c>
      <c r="G22">
        <f>lc_detailed!AX23</f>
        <v>18.808407732679495</v>
      </c>
      <c r="H22">
        <f>lc_detailed!AY23</f>
        <v>9.945742798435214</v>
      </c>
      <c r="I22">
        <f>lc_detailed!AZ23</f>
        <v>0.24290268711097615</v>
      </c>
      <c r="J22">
        <f>lc_detailed!BB23</f>
        <v>-11.472195094539575</v>
      </c>
      <c r="K22">
        <f>lc_detailed!BC23</f>
        <v>5.8713141747147304E-4</v>
      </c>
      <c r="L22">
        <f>lc_detailed!AP23</f>
        <v>87.326896598659076</v>
      </c>
      <c r="M22">
        <f>lc_detailed!AQ23</f>
        <v>24.257471277405298</v>
      </c>
      <c r="O22" t="str">
        <v>CEN_DryMill_Existing_Non_CCS</v>
      </c>
      <c r="P22">
        <v>0</v>
      </c>
      <c r="Q22">
        <v>0.69621158107157877</v>
      </c>
      <c r="R22">
        <v>54.762078186656993</v>
      </c>
      <c r="S22">
        <v>4.3815246137313233</v>
      </c>
      <c r="T22">
        <v>0</v>
      </c>
      <c r="U22">
        <v>7.2208724377810398</v>
      </c>
      <c r="V22">
        <v>-8.1853200395467898</v>
      </c>
      <c r="W22">
        <v>0</v>
      </c>
      <c r="X22">
        <v>6.5363717197461213</v>
      </c>
      <c r="Y22">
        <v>65.411738499440276</v>
      </c>
      <c r="Z22">
        <v>18.169927360955633</v>
      </c>
    </row>
    <row r="23" spans="2:26">
      <c r="B23" t="str">
        <f>lc_detailed!B24</f>
        <v>CEN_Bio_Ethanol_CCS_20_Wood</v>
      </c>
      <c r="C23">
        <f>lc_detailed!AT24</f>
        <v>0</v>
      </c>
      <c r="D23">
        <f>lc_detailed!AU24</f>
        <v>0</v>
      </c>
      <c r="E23">
        <f>lc_detailed!AV24</f>
        <v>61.366317310471054</v>
      </c>
      <c r="F23">
        <f>lc_detailed!AW24</f>
        <v>0</v>
      </c>
      <c r="G23">
        <f>lc_detailed!AX24</f>
        <v>17.901596436060082</v>
      </c>
      <c r="H23">
        <f>lc_detailed!AY24</f>
        <v>9.4662278894074863</v>
      </c>
      <c r="I23">
        <f>lc_detailed!AZ24</f>
        <v>0.23119160003853192</v>
      </c>
      <c r="J23">
        <f>lc_detailed!BB24</f>
        <v>-10.151386379577907</v>
      </c>
      <c r="K23">
        <f>lc_detailed!BC24</f>
        <v>-2.1400666811156562E-4</v>
      </c>
      <c r="L23">
        <f>lc_detailed!AP24</f>
        <v>78.813732849731153</v>
      </c>
      <c r="M23">
        <f>lc_detailed!AQ24</f>
        <v>21.892703569369758</v>
      </c>
      <c r="O23" t="str">
        <v>NW_DryMill_Existing_Non_CCS</v>
      </c>
      <c r="P23">
        <v>0</v>
      </c>
      <c r="Q23">
        <v>0.73605181175742107</v>
      </c>
      <c r="R23">
        <v>54.762078186656993</v>
      </c>
      <c r="S23">
        <v>4.4658380072588102</v>
      </c>
      <c r="T23">
        <v>0</v>
      </c>
      <c r="U23">
        <v>7.2208724377810398</v>
      </c>
      <c r="V23">
        <v>-8.1853200395467898</v>
      </c>
      <c r="W23">
        <v>0</v>
      </c>
      <c r="X23">
        <v>6.5363717197461213</v>
      </c>
      <c r="Y23">
        <v>65.535892123653596</v>
      </c>
      <c r="Z23">
        <v>18.204414478792664</v>
      </c>
    </row>
    <row r="24" spans="2:26">
      <c r="B24" t="str">
        <f>lc_detailed!B25</f>
        <v>MIDAT_Bio_Ethanol_CCS_20_Wood</v>
      </c>
      <c r="C24">
        <f>lc_detailed!AT25</f>
        <v>0</v>
      </c>
      <c r="D24">
        <f>lc_detailed!AU25</f>
        <v>0</v>
      </c>
      <c r="E24">
        <f>lc_detailed!AV25</f>
        <v>52.50426245349567</v>
      </c>
      <c r="F24">
        <f>lc_detailed!AW25</f>
        <v>0</v>
      </c>
      <c r="G24">
        <f>lc_detailed!AX25</f>
        <v>17.957817326447284</v>
      </c>
      <c r="H24">
        <f>lc_detailed!AY25</f>
        <v>9.4959570681682486</v>
      </c>
      <c r="I24">
        <f>lc_detailed!AZ25</f>
        <v>0.23191766922742424</v>
      </c>
      <c r="J24">
        <f>lc_detailed!BB25</f>
        <v>-7.2790092167589471</v>
      </c>
      <c r="K24">
        <f>lc_detailed!BC25</f>
        <v>1.802689401646539E-4</v>
      </c>
      <c r="L24">
        <f>lc_detailed!AP25</f>
        <v>72.911125569519854</v>
      </c>
      <c r="M24">
        <f>lc_detailed!AQ25</f>
        <v>20.253090435977736</v>
      </c>
      <c r="O24" t="str">
        <v>NCEN_DryMill_Existing_Non_CCS</v>
      </c>
      <c r="P24">
        <v>0</v>
      </c>
      <c r="Q24">
        <v>0.8442129170953</v>
      </c>
      <c r="R24">
        <v>54.762078186656993</v>
      </c>
      <c r="S24">
        <v>4.381553993836472</v>
      </c>
      <c r="T24">
        <v>0</v>
      </c>
      <c r="U24">
        <v>7.2208724377810398</v>
      </c>
      <c r="V24">
        <v>-8.1853200395467898</v>
      </c>
      <c r="W24">
        <v>0</v>
      </c>
      <c r="X24">
        <v>6.5363717197461213</v>
      </c>
      <c r="Y24">
        <v>65.559769215569133</v>
      </c>
      <c r="Z24">
        <v>18.211047004324758</v>
      </c>
    </row>
    <row r="25" spans="2:26">
      <c r="B25" t="str">
        <f>lc_detailed!B26</f>
        <v>NCEN_Bio_Ethanol_CCS_20_Wood</v>
      </c>
      <c r="C25">
        <f>lc_detailed!AT26</f>
        <v>0</v>
      </c>
      <c r="D25">
        <f>lc_detailed!AU26</f>
        <v>0</v>
      </c>
      <c r="E25">
        <f>lc_detailed!AV26</f>
        <v>55.672685171798946</v>
      </c>
      <c r="F25">
        <f>lc_detailed!AW26</f>
        <v>0</v>
      </c>
      <c r="G25">
        <f>lc_detailed!AX26</f>
        <v>17.911085981662545</v>
      </c>
      <c r="H25">
        <f>lc_detailed!AY26</f>
        <v>9.4712458888669584</v>
      </c>
      <c r="I25">
        <f>lc_detailed!AZ26</f>
        <v>0.23131415353476942</v>
      </c>
      <c r="J25">
        <f>lc_detailed!BB26</f>
        <v>-8.8507641788688645</v>
      </c>
      <c r="K25">
        <f>lc_detailed!BC26</f>
        <v>-3.5103853537319925E-4</v>
      </c>
      <c r="L25">
        <f>lc_detailed!AP26</f>
        <v>74.435215978458999</v>
      </c>
      <c r="M25">
        <f>lc_detailed!AQ26</f>
        <v>20.676448882905273</v>
      </c>
      <c r="O25" t="str">
        <v>SW_DryMill_Existing_Non_CCS</v>
      </c>
      <c r="P25">
        <v>0</v>
      </c>
      <c r="Q25">
        <v>0.76970088018920757</v>
      </c>
      <c r="R25">
        <v>54.762078186656993</v>
      </c>
      <c r="S25">
        <v>4.4657883875256701</v>
      </c>
      <c r="T25">
        <v>0</v>
      </c>
      <c r="U25">
        <v>7.2208724377810398</v>
      </c>
      <c r="V25">
        <v>-8.1853200395467898</v>
      </c>
      <c r="W25">
        <v>0</v>
      </c>
      <c r="X25">
        <v>6.5363717197461213</v>
      </c>
      <c r="Y25">
        <v>65.569491572352234</v>
      </c>
      <c r="Z25">
        <v>18.21374765898673</v>
      </c>
    </row>
    <row r="26" spans="2:26">
      <c r="B26" t="str">
        <f>lc_detailed!B27</f>
        <v>SE_Bio_Ethanol_CCS_20_Wood</v>
      </c>
      <c r="C26">
        <f>lc_detailed!AT27</f>
        <v>0</v>
      </c>
      <c r="D26">
        <f>lc_detailed!AU27</f>
        <v>0</v>
      </c>
      <c r="E26">
        <f>lc_detailed!AV27</f>
        <v>54.336796717535272</v>
      </c>
      <c r="F26">
        <f>lc_detailed!AW27</f>
        <v>0</v>
      </c>
      <c r="G26">
        <f>lc_detailed!AX27</f>
        <v>17.836306037310653</v>
      </c>
      <c r="H26">
        <f>lc_detailed!AY27</f>
        <v>9.4317028236816505</v>
      </c>
      <c r="I26">
        <f>lc_detailed!AZ27</f>
        <v>0.23034840195796139</v>
      </c>
      <c r="J26">
        <f>lc_detailed!BB27</f>
        <v>-8.1386486701517278</v>
      </c>
      <c r="K26">
        <f>lc_detailed!BC27</f>
        <v>-4.6915466641563177E-4</v>
      </c>
      <c r="L26">
        <f>lc_detailed!AP27</f>
        <v>73.6960361556674</v>
      </c>
      <c r="M26">
        <f>lc_detailed!AQ27</f>
        <v>20.471121154352055</v>
      </c>
      <c r="O26" t="str">
        <v>SE_DryMill_Existing_Non_CCS</v>
      </c>
      <c r="P26">
        <v>0</v>
      </c>
      <c r="Q26">
        <v>1.0506813864995876</v>
      </c>
      <c r="R26">
        <v>54.762078186656993</v>
      </c>
      <c r="S26">
        <v>4.3815229815032604</v>
      </c>
      <c r="T26">
        <v>0</v>
      </c>
      <c r="U26">
        <v>7.2208724377810398</v>
      </c>
      <c r="V26">
        <v>-8.1853200395467898</v>
      </c>
      <c r="W26">
        <v>0</v>
      </c>
      <c r="X26">
        <v>6.5363717197461213</v>
      </c>
      <c r="Y26">
        <v>65.766206672640209</v>
      </c>
      <c r="Z26">
        <v>18.268390742400058</v>
      </c>
    </row>
    <row r="27" spans="2:26">
      <c r="B27" t="str">
        <f>lc_detailed!B28</f>
        <v>TX_Bio_Ethanol_CCS_20_Wood</v>
      </c>
      <c r="C27">
        <f>lc_detailed!AT28</f>
        <v>0</v>
      </c>
      <c r="D27">
        <f>lc_detailed!AU28</f>
        <v>0</v>
      </c>
      <c r="E27">
        <f>lc_detailed!AV28</f>
        <v>76.727098702434745</v>
      </c>
      <c r="F27">
        <f>lc_detailed!AW28</f>
        <v>0</v>
      </c>
      <c r="G27">
        <f>lc_detailed!AX28</f>
        <v>18.062542897676021</v>
      </c>
      <c r="H27">
        <f>lc_detailed!AY28</f>
        <v>9.551335152834632</v>
      </c>
      <c r="I27">
        <f>lc_detailed!AZ28</f>
        <v>0.23327015599941681</v>
      </c>
      <c r="J27">
        <f>lc_detailed!BB28</f>
        <v>-11.789119139782237</v>
      </c>
      <c r="K27">
        <f>lc_detailed!BC28</f>
        <v>-1.1180988803911878E-4</v>
      </c>
      <c r="L27">
        <f>lc_detailed!AP28</f>
        <v>92.785015959274546</v>
      </c>
      <c r="M27">
        <f>lc_detailed!AQ28</f>
        <v>25.773615544242929</v>
      </c>
      <c r="O27" t="str">
        <v>MIDAT_DryMill_Existing_Non_CCS</v>
      </c>
      <c r="P27">
        <v>0</v>
      </c>
      <c r="Q27">
        <v>1.0820498722750709</v>
      </c>
      <c r="R27">
        <v>54.762078186656993</v>
      </c>
      <c r="S27">
        <v>4.3819192864771539</v>
      </c>
      <c r="T27">
        <v>0</v>
      </c>
      <c r="U27">
        <v>7.2208724377810398</v>
      </c>
      <c r="V27">
        <v>-8.1853200395467898</v>
      </c>
      <c r="W27">
        <v>0</v>
      </c>
      <c r="X27">
        <v>6.5363717197461213</v>
      </c>
      <c r="Y27">
        <v>65.797971463389587</v>
      </c>
      <c r="Z27">
        <v>18.277214295385996</v>
      </c>
    </row>
    <row r="28" spans="2:26">
      <c r="B28" t="str">
        <f>lc_detailed!B29</f>
        <v>CEN_Bio_Ethanol_CCS_20_Agri</v>
      </c>
      <c r="C28">
        <f>lc_detailed!AT29</f>
        <v>0</v>
      </c>
      <c r="D28">
        <f>lc_detailed!AU29</f>
        <v>0</v>
      </c>
      <c r="E28">
        <f>lc_detailed!AV29</f>
        <v>52.868555686316462</v>
      </c>
      <c r="F28">
        <f>lc_detailed!AW29</f>
        <v>0</v>
      </c>
      <c r="G28">
        <f>lc_detailed!AX29</f>
        <v>19.881937798517143</v>
      </c>
      <c r="H28">
        <f>lc_detailed!AY29</f>
        <v>10.513417323198794</v>
      </c>
      <c r="I28">
        <f>lc_detailed!AZ29</f>
        <v>0.25676687707285761</v>
      </c>
      <c r="J28">
        <f>lc_detailed!BB29</f>
        <v>-10.811496455239345</v>
      </c>
      <c r="K28">
        <f>lc_detailed!BC29</f>
        <v>5.6706157607214951E-4</v>
      </c>
      <c r="L28">
        <f>lc_detailed!AP29</f>
        <v>72.709748291441997</v>
      </c>
      <c r="M28">
        <f>lc_detailed!AQ29</f>
        <v>20.197152303178331</v>
      </c>
      <c r="O28" t="str">
        <v>CA_DryMill_Existing_Non_CCS</v>
      </c>
      <c r="P28">
        <v>0</v>
      </c>
      <c r="Q28">
        <v>1.0048323719933401</v>
      </c>
      <c r="R28">
        <v>54.762078186656993</v>
      </c>
      <c r="S28">
        <v>4.4652582398505434</v>
      </c>
      <c r="T28">
        <v>0</v>
      </c>
      <c r="U28">
        <v>7.2208724377810398</v>
      </c>
      <c r="V28">
        <v>-8.1853200395467898</v>
      </c>
      <c r="W28">
        <v>0</v>
      </c>
      <c r="X28">
        <v>6.5363717197461213</v>
      </c>
      <c r="Y28">
        <v>65.804092916481238</v>
      </c>
      <c r="Z28">
        <v>18.278914699022565</v>
      </c>
    </row>
    <row r="29" spans="2:26">
      <c r="B29" t="str">
        <f>lc_detailed!B30</f>
        <v>MIDAT_Bio_Ethanol_CCS_20_Agri</v>
      </c>
      <c r="C29">
        <f>lc_detailed!AT30</f>
        <v>0</v>
      </c>
      <c r="D29">
        <f>lc_detailed!AU30</f>
        <v>0</v>
      </c>
      <c r="E29">
        <f>lc_detailed!AV30</f>
        <v>47.53338914580344</v>
      </c>
      <c r="F29">
        <f>lc_detailed!AW30</f>
        <v>0</v>
      </c>
      <c r="G29">
        <f>lc_detailed!AX30</f>
        <v>19.756176325172991</v>
      </c>
      <c r="H29">
        <f>lc_detailed!AY30</f>
        <v>10.446915613664926</v>
      </c>
      <c r="I29">
        <f>lc_detailed!AZ30</f>
        <v>0.2551427204592569</v>
      </c>
      <c r="J29">
        <f>lc_detailed!BB30</f>
        <v>-7.6789565147141294</v>
      </c>
      <c r="K29">
        <f>lc_detailed!BC30</f>
        <v>-4.5654656336912327E-4</v>
      </c>
      <c r="L29">
        <f>lc_detailed!AP30</f>
        <v>70.31221074382313</v>
      </c>
      <c r="M29">
        <f>lc_detailed!AQ30</f>
        <v>19.531169651061976</v>
      </c>
      <c r="O29" t="str">
        <v>NE_DryMill_Existing_Non_CCS</v>
      </c>
      <c r="P29">
        <v>0</v>
      </c>
      <c r="Q29">
        <v>1.3043611278934286</v>
      </c>
      <c r="R29">
        <v>54.762078186656993</v>
      </c>
      <c r="S29">
        <v>4.3818096007512652</v>
      </c>
      <c r="T29">
        <v>0</v>
      </c>
      <c r="U29">
        <v>7.2208724377810398</v>
      </c>
      <c r="V29">
        <v>-8.1853200395467898</v>
      </c>
      <c r="W29">
        <v>0</v>
      </c>
      <c r="X29">
        <v>6.5363717197461213</v>
      </c>
      <c r="Y29">
        <v>66.020173033282063</v>
      </c>
      <c r="Z29">
        <v>18.338936953689462</v>
      </c>
    </row>
    <row r="30" spans="2:26">
      <c r="B30" t="str">
        <f>lc_detailed!B31</f>
        <v>NCEN_Bio_Ethanol_CCS_20_Agri</v>
      </c>
      <c r="C30">
        <f>lc_detailed!AT31</f>
        <v>0</v>
      </c>
      <c r="D30">
        <f>lc_detailed!AU31</f>
        <v>0</v>
      </c>
      <c r="E30">
        <f>lc_detailed!AV31</f>
        <v>48.869114945580044</v>
      </c>
      <c r="F30">
        <f>lc_detailed!AW31</f>
        <v>0</v>
      </c>
      <c r="G30">
        <f>lc_detailed!AX31</f>
        <v>19.733100356011654</v>
      </c>
      <c r="H30">
        <f>lc_detailed!AY31</f>
        <v>10.434713216876997</v>
      </c>
      <c r="I30">
        <f>lc_detailed!AZ31</f>
        <v>0.25484470400849479</v>
      </c>
      <c r="J30">
        <f>lc_detailed!BB31</f>
        <v>-9.3986419893153954</v>
      </c>
      <c r="K30">
        <f>lc_detailed!BC31</f>
        <v>-1.543202595835787E-4</v>
      </c>
      <c r="L30">
        <f>lc_detailed!AP31</f>
        <v>69.892976912902213</v>
      </c>
      <c r="M30">
        <f>lc_detailed!AQ31</f>
        <v>19.414715809139505</v>
      </c>
      <c r="O30" t="str">
        <v>CEN_Bio_Ethanol_CCS_86_Agri</v>
      </c>
      <c r="P30">
        <v>0</v>
      </c>
      <c r="Q30">
        <v>3.5655528289290683</v>
      </c>
      <c r="R30">
        <v>52.868555686316462</v>
      </c>
      <c r="S30">
        <v>0</v>
      </c>
      <c r="T30">
        <v>35.292665333437341</v>
      </c>
      <c r="U30">
        <v>18.94822877590039</v>
      </c>
      <c r="V30">
        <v>0.89333475981598376</v>
      </c>
      <c r="W30">
        <v>-45.533764379187978</v>
      </c>
      <c r="X30">
        <v>5.6706157607214951E-4</v>
      </c>
      <c r="Y30">
        <v>66.035140066787349</v>
      </c>
      <c r="Z30">
        <v>18.34309446299649</v>
      </c>
    </row>
    <row r="31" spans="2:26">
      <c r="B31" t="str">
        <f>lc_detailed!B32</f>
        <v>SE_Bio_Ethanol_CCS_20_Agri</v>
      </c>
      <c r="C31">
        <f>lc_detailed!AT32</f>
        <v>0</v>
      </c>
      <c r="D31">
        <f>lc_detailed!AU32</f>
        <v>0</v>
      </c>
      <c r="E31">
        <f>lc_detailed!AV32</f>
        <v>47.36676528599606</v>
      </c>
      <c r="F31">
        <f>lc_detailed!AW32</f>
        <v>0</v>
      </c>
      <c r="G31">
        <f>lc_detailed!AX32</f>
        <v>19.813046815154298</v>
      </c>
      <c r="H31">
        <f>lc_detailed!AY32</f>
        <v>10.476988295744883</v>
      </c>
      <c r="I31">
        <f>lc_detailed!AZ32</f>
        <v>0.25587717895410206</v>
      </c>
      <c r="J31">
        <f>lc_detailed!BB32</f>
        <v>-8.4736654520709855</v>
      </c>
      <c r="K31">
        <f>lc_detailed!BC32</f>
        <v>1.2934678846765509E-4</v>
      </c>
      <c r="L31">
        <f>lc_detailed!AP32</f>
        <v>69.439141470566838</v>
      </c>
      <c r="M31">
        <f>lc_detailed!AQ32</f>
        <v>19.288650408490788</v>
      </c>
      <c r="O31" t="str">
        <v>CEN_Bio_Ethanol_CCS_86_Herb</v>
      </c>
      <c r="P31">
        <v>0</v>
      </c>
      <c r="Q31">
        <v>3.3582448903667879</v>
      </c>
      <c r="R31">
        <v>55.653727327690454</v>
      </c>
      <c r="S31">
        <v>0</v>
      </c>
      <c r="T31">
        <v>33.240683481624224</v>
      </c>
      <c r="U31">
        <v>17.846543164887237</v>
      </c>
      <c r="V31">
        <v>0.8413945989520355</v>
      </c>
      <c r="W31">
        <v>-42.765167507068689</v>
      </c>
      <c r="X31">
        <v>4.5901146962820915E-4</v>
      </c>
      <c r="Y31">
        <v>68.175884967921675</v>
      </c>
      <c r="Z31">
        <v>18.937745824422688</v>
      </c>
    </row>
    <row r="32" spans="2:26">
      <c r="B32" t="str">
        <f>lc_detailed!B33</f>
        <v>TX_Bio_Ethanol_CCS_20_Agri</v>
      </c>
      <c r="C32">
        <f>lc_detailed!AT33</f>
        <v>0</v>
      </c>
      <c r="D32">
        <f>lc_detailed!AU33</f>
        <v>0</v>
      </c>
      <c r="E32">
        <f>lc_detailed!AV33</f>
        <v>61.656984276381351</v>
      </c>
      <c r="F32">
        <f>lc_detailed!AW33</f>
        <v>0</v>
      </c>
      <c r="G32">
        <f>lc_detailed!AX33</f>
        <v>20.577618492164735</v>
      </c>
      <c r="H32">
        <f>lc_detailed!AY33</f>
        <v>10.881287976961479</v>
      </c>
      <c r="I32">
        <f>lc_detailed!AZ33</f>
        <v>0.26575130107407818</v>
      </c>
      <c r="J32">
        <f>lc_detailed!BB33</f>
        <v>-12.133809597520065</v>
      </c>
      <c r="K32">
        <f>lc_detailed!BC33</f>
        <v>-1.5835606181098123E-4</v>
      </c>
      <c r="L32">
        <f>lc_detailed!AP33</f>
        <v>81.247674092999759</v>
      </c>
      <c r="M32">
        <f>lc_detailed!AQ33</f>
        <v>22.568798359166596</v>
      </c>
      <c r="O32" t="str">
        <v>NCEN_Bio_Ethanol_CCS_86_Agri</v>
      </c>
      <c r="P32">
        <v>0</v>
      </c>
      <c r="Q32">
        <v>4.2911553669232809</v>
      </c>
      <c r="R32">
        <v>48.869114945580044</v>
      </c>
      <c r="S32">
        <v>0</v>
      </c>
      <c r="T32">
        <v>35.028462210951822</v>
      </c>
      <c r="U32">
        <v>18.806381138130178</v>
      </c>
      <c r="V32">
        <v>0.88664719936288827</v>
      </c>
      <c r="W32">
        <v>-39.583377897556339</v>
      </c>
      <c r="X32">
        <v>-1.5432025960788811E-4</v>
      </c>
      <c r="Y32">
        <v>68.298228643132234</v>
      </c>
      <c r="Z32">
        <v>18.971730178647849</v>
      </c>
    </row>
    <row r="33" spans="2:26">
      <c r="B33" t="str">
        <f>lc_detailed!B34</f>
        <v>CEN_Bio_Ethanol_CCS_86_Herb</v>
      </c>
      <c r="C33">
        <f>lc_detailed!AT34</f>
        <v>0</v>
      </c>
      <c r="D33">
        <f>lc_detailed!AU34</f>
        <v>3.3582448903667879</v>
      </c>
      <c r="E33">
        <f>lc_detailed!AV34</f>
        <v>55.653727327690454</v>
      </c>
      <c r="F33">
        <f>lc_detailed!AW34</f>
        <v>0</v>
      </c>
      <c r="G33">
        <f>lc_detailed!AX34</f>
        <v>33.240683481624224</v>
      </c>
      <c r="H33">
        <f>lc_detailed!AY34</f>
        <v>17.846543164887237</v>
      </c>
      <c r="I33">
        <f>lc_detailed!AZ34</f>
        <v>0.8413945989520355</v>
      </c>
      <c r="J33">
        <f>lc_detailed!BB34</f>
        <v>-42.765167507068689</v>
      </c>
      <c r="K33">
        <f>lc_detailed!BC34</f>
        <v>4.5901146962820915E-4</v>
      </c>
      <c r="L33">
        <f>lc_detailed!AP34</f>
        <v>68.175884967921675</v>
      </c>
      <c r="M33">
        <f>lc_detailed!AQ34</f>
        <v>18.937745824422688</v>
      </c>
      <c r="O33" t="str">
        <v>SE_Bio_Ethanol_CCS_20_Agri</v>
      </c>
      <c r="P33">
        <v>0</v>
      </c>
      <c r="Q33">
        <v>0</v>
      </c>
      <c r="R33">
        <v>47.36676528599606</v>
      </c>
      <c r="S33">
        <v>0</v>
      </c>
      <c r="T33">
        <v>19.813046815154298</v>
      </c>
      <c r="U33">
        <v>10.476988295744883</v>
      </c>
      <c r="V33">
        <v>0.25587717895410206</v>
      </c>
      <c r="W33">
        <v>-8.4736654520709855</v>
      </c>
      <c r="X33">
        <v>1.2934678846765509E-4</v>
      </c>
      <c r="Y33">
        <v>69.439141470566838</v>
      </c>
      <c r="Z33">
        <v>19.288650408490788</v>
      </c>
    </row>
    <row r="34" spans="2:26">
      <c r="B34" t="str">
        <f>lc_detailed!B35</f>
        <v>MIDAT_Bio_Ethanol_CCS_86_Herb</v>
      </c>
      <c r="C34">
        <f>lc_detailed!AT35</f>
        <v>0</v>
      </c>
      <c r="D34">
        <f>lc_detailed!AU35</f>
        <v>5.1994644802248535</v>
      </c>
      <c r="E34">
        <f>lc_detailed!AV35</f>
        <v>50.579072475406548</v>
      </c>
      <c r="F34">
        <f>lc_detailed!AW35</f>
        <v>0</v>
      </c>
      <c r="G34">
        <f>lc_detailed!AX35</f>
        <v>33.113887057984215</v>
      </c>
      <c r="H34">
        <f>lc_detailed!AY35</f>
        <v>17.778467613766406</v>
      </c>
      <c r="I34">
        <f>lc_detailed!AZ35</f>
        <v>0.83818510339289298</v>
      </c>
      <c r="J34">
        <f>lc_detailed!BB35</f>
        <v>-30.595258532824619</v>
      </c>
      <c r="K34">
        <f>lc_detailed!BC35</f>
        <v>1.895915054659443E-4</v>
      </c>
      <c r="L34">
        <f>lc_detailed!AP35</f>
        <v>76.914007789455766</v>
      </c>
      <c r="M34">
        <f>lc_detailed!AQ35</f>
        <v>21.365002163737714</v>
      </c>
      <c r="O34" t="str">
        <v>NCEN_Bio_Ethanol_CCS_20_Agri</v>
      </c>
      <c r="P34">
        <v>0</v>
      </c>
      <c r="Q34">
        <v>0</v>
      </c>
      <c r="R34">
        <v>48.869114945580044</v>
      </c>
      <c r="S34">
        <v>0</v>
      </c>
      <c r="T34">
        <v>19.733100356011654</v>
      </c>
      <c r="U34">
        <v>10.434713216876997</v>
      </c>
      <c r="V34">
        <v>0.25484470400849479</v>
      </c>
      <c r="W34">
        <v>-9.3986419893153954</v>
      </c>
      <c r="X34">
        <v>-1.543202595835787E-4</v>
      </c>
      <c r="Y34">
        <v>69.892976912902213</v>
      </c>
      <c r="Z34">
        <v>19.414715809139505</v>
      </c>
    </row>
    <row r="35" spans="2:26">
      <c r="B35" t="str">
        <f>lc_detailed!B36</f>
        <v>NCEN_Bio_Ethanol_CCS_86_Herb</v>
      </c>
      <c r="C35">
        <f>lc_detailed!AT36</f>
        <v>0</v>
      </c>
      <c r="D35">
        <f>lc_detailed!AU36</f>
        <v>4.0478745598237085</v>
      </c>
      <c r="E35">
        <f>lc_detailed!AV36</f>
        <v>52.169771122351882</v>
      </c>
      <c r="F35">
        <f>lc_detailed!AW36</f>
        <v>0</v>
      </c>
      <c r="G35">
        <f>lc_detailed!AX36</f>
        <v>33.042574535146869</v>
      </c>
      <c r="H35">
        <f>lc_detailed!AY36</f>
        <v>17.740180735046923</v>
      </c>
      <c r="I35">
        <f>lc_detailed!AZ36</f>
        <v>0.83638002704462366</v>
      </c>
      <c r="J35">
        <f>lc_detailed!BB36</f>
        <v>-37.453812048331194</v>
      </c>
      <c r="K35">
        <f>lc_detailed!BC36</f>
        <v>-5.0479290579523819E-4</v>
      </c>
      <c r="L35">
        <f>lc_detailed!AP36</f>
        <v>70.382464138177028</v>
      </c>
      <c r="M35">
        <f>lc_detailed!AQ36</f>
        <v>19.550684482826949</v>
      </c>
      <c r="O35" t="str">
        <v>MIDAT_Bio_Ethanol_CCS_20_Agri</v>
      </c>
      <c r="P35">
        <v>0</v>
      </c>
      <c r="Q35">
        <v>0</v>
      </c>
      <c r="R35">
        <v>47.53338914580344</v>
      </c>
      <c r="S35">
        <v>0</v>
      </c>
      <c r="T35">
        <v>19.756176325172991</v>
      </c>
      <c r="U35">
        <v>10.446915613664926</v>
      </c>
      <c r="V35">
        <v>0.2551427204592569</v>
      </c>
      <c r="W35">
        <v>-7.6789565147141294</v>
      </c>
      <c r="X35">
        <v>-4.5654656336912327E-4</v>
      </c>
      <c r="Y35">
        <v>70.31221074382313</v>
      </c>
      <c r="Z35">
        <v>19.531169651061976</v>
      </c>
    </row>
    <row r="36" spans="2:26">
      <c r="B36" t="str">
        <f>lc_detailed!B37</f>
        <v>SE_Bio_Ethanol_CCS_86_Herb</v>
      </c>
      <c r="C36">
        <f>lc_detailed!AT37</f>
        <v>0</v>
      </c>
      <c r="D36">
        <f>lc_detailed!AU37</f>
        <v>5.076505166389099</v>
      </c>
      <c r="E36">
        <f>lc_detailed!AV37</f>
        <v>50.281525611910162</v>
      </c>
      <c r="F36">
        <f>lc_detailed!AW37</f>
        <v>0</v>
      </c>
      <c r="G36">
        <f>lc_detailed!AX37</f>
        <v>33.296042681972118</v>
      </c>
      <c r="H36">
        <f>lc_detailed!AY37</f>
        <v>17.876264887039209</v>
      </c>
      <c r="I36">
        <f>lc_detailed!AZ37</f>
        <v>0.84279586172091847</v>
      </c>
      <c r="J36">
        <f>lc_detailed!BB37</f>
        <v>-33.884510545173519</v>
      </c>
      <c r="K36">
        <f>lc_detailed!BC37</f>
        <v>2.9617816734516221E-5</v>
      </c>
      <c r="L36">
        <f>lc_detailed!AP37</f>
        <v>73.488653281674715</v>
      </c>
      <c r="M36">
        <f>lc_detailed!AQ37</f>
        <v>20.413514800465201</v>
      </c>
      <c r="O36" t="str">
        <v>NCEN_Bio_Ethanol_CCS_86_Herb</v>
      </c>
      <c r="P36">
        <v>0</v>
      </c>
      <c r="Q36">
        <v>4.0478745598237085</v>
      </c>
      <c r="R36">
        <v>52.169771122351882</v>
      </c>
      <c r="S36">
        <v>0</v>
      </c>
      <c r="T36">
        <v>33.042574535146869</v>
      </c>
      <c r="U36">
        <v>17.740180735046923</v>
      </c>
      <c r="V36">
        <v>0.83638002704462366</v>
      </c>
      <c r="W36">
        <v>-37.453812048331194</v>
      </c>
      <c r="X36">
        <v>-5.0479290579523819E-4</v>
      </c>
      <c r="Y36">
        <v>70.382464138177028</v>
      </c>
      <c r="Z36">
        <v>19.550684482826949</v>
      </c>
    </row>
    <row r="37" spans="2:26">
      <c r="B37" t="str">
        <f>lc_detailed!B38</f>
        <v>TX_Bio_Ethanol_CCS_86_Herb</v>
      </c>
      <c r="C37">
        <f>lc_detailed!AT38</f>
        <v>0</v>
      </c>
      <c r="D37">
        <f>lc_detailed!AU38</f>
        <v>2.6945004434998232</v>
      </c>
      <c r="E37">
        <f>lc_detailed!AV38</f>
        <v>69.801451343555485</v>
      </c>
      <c r="F37">
        <f>lc_detailed!AW38</f>
        <v>0</v>
      </c>
      <c r="G37">
        <f>lc_detailed!AX38</f>
        <v>33.387029287145261</v>
      </c>
      <c r="H37">
        <f>lc_detailed!AY38</f>
        <v>17.925114555775615</v>
      </c>
      <c r="I37">
        <f>lc_detailed!AZ38</f>
        <v>0.84509893224027122</v>
      </c>
      <c r="J37">
        <f>lc_detailed!BB38</f>
        <v>-48.316366796170506</v>
      </c>
      <c r="K37">
        <f>lc_detailed!BC38</f>
        <v>5.8713141749578248E-4</v>
      </c>
      <c r="L37">
        <f>lc_detailed!AP38</f>
        <v>76.337414897463447</v>
      </c>
      <c r="M37">
        <f>lc_detailed!AQ38</f>
        <v>21.204837471517624</v>
      </c>
      <c r="O37" t="str">
        <v>TX_Bio_Ethanol_CCS_86_Agri</v>
      </c>
      <c r="P37">
        <v>0</v>
      </c>
      <c r="Q37">
        <v>2.9479583248809655</v>
      </c>
      <c r="R37">
        <v>61.656984276381351</v>
      </c>
      <c r="S37">
        <v>0</v>
      </c>
      <c r="T37">
        <v>36.527576444650514</v>
      </c>
      <c r="U37">
        <v>19.611238441849292</v>
      </c>
      <c r="V37">
        <v>0.92459306832023025</v>
      </c>
      <c r="W37">
        <v>-51.102826470212008</v>
      </c>
      <c r="X37">
        <v>-1.5835606181098123E-4</v>
      </c>
      <c r="Y37">
        <v>70.565365729808548</v>
      </c>
      <c r="Z37">
        <v>19.60149048050237</v>
      </c>
    </row>
    <row r="38" spans="2:26">
      <c r="B38" t="str">
        <f>lc_detailed!B39</f>
        <v>CEN_Bio_Ethanol_CCS_86_Wood</v>
      </c>
      <c r="C38">
        <f>lc_detailed!AT39</f>
        <v>0</v>
      </c>
      <c r="D38">
        <f>lc_detailed!AU39</f>
        <v>3.2104057693863788</v>
      </c>
      <c r="E38">
        <f>lc_detailed!AV39</f>
        <v>61.366317310471054</v>
      </c>
      <c r="F38">
        <f>lc_detailed!AW39</f>
        <v>0</v>
      </c>
      <c r="G38">
        <f>lc_detailed!AX39</f>
        <v>31.777337720030705</v>
      </c>
      <c r="H38">
        <f>lc_detailed!AY39</f>
        <v>17.06088954516337</v>
      </c>
      <c r="I38">
        <f>lc_detailed!AZ39</f>
        <v>0.8043541084673923</v>
      </c>
      <c r="J38">
        <f>lc_detailed!BB39</f>
        <v>-42.753640760414562</v>
      </c>
      <c r="K38">
        <f>lc_detailed!BC39</f>
        <v>-2.1400666813587501E-4</v>
      </c>
      <c r="L38">
        <f>lc_detailed!AP39</f>
        <v>71.465449686436187</v>
      </c>
      <c r="M38">
        <f>lc_detailed!AQ39</f>
        <v>19.851513801787828</v>
      </c>
      <c r="O38" t="str">
        <v>SE_Bio_Ethanol_CCS_20_Herb</v>
      </c>
      <c r="P38">
        <v>0</v>
      </c>
      <c r="Q38">
        <v>0</v>
      </c>
      <c r="R38">
        <v>50.281525611910162</v>
      </c>
      <c r="S38">
        <v>0</v>
      </c>
      <c r="T38">
        <v>18.757150906155914</v>
      </c>
      <c r="U38">
        <v>9.9186385788482578</v>
      </c>
      <c r="V38">
        <v>0.24224072672218017</v>
      </c>
      <c r="W38">
        <v>-8.0455080014009788</v>
      </c>
      <c r="X38">
        <v>2.961781674667092E-5</v>
      </c>
      <c r="Y38">
        <v>71.154077440052276</v>
      </c>
      <c r="Z38">
        <v>19.765021511125635</v>
      </c>
    </row>
    <row r="39" spans="2:26">
      <c r="B39" t="str">
        <f>lc_detailed!B40</f>
        <v>MIDAT_Bio_Ethanol_CCS_86_Wood</v>
      </c>
      <c r="C39">
        <f>lc_detailed!AT40</f>
        <v>0</v>
      </c>
      <c r="D39">
        <f>lc_detailed!AU40</f>
        <v>5.0052727595303663</v>
      </c>
      <c r="E39">
        <f>lc_detailed!AV40</f>
        <v>52.50426245349567</v>
      </c>
      <c r="F39">
        <f>lc_detailed!AW40</f>
        <v>0</v>
      </c>
      <c r="G39">
        <f>lc_detailed!AX40</f>
        <v>31.877136094278278</v>
      </c>
      <c r="H39">
        <f>lc_detailed!AY40</f>
        <v>17.114470152035651</v>
      </c>
      <c r="I39">
        <f>lc_detailed!AZ40</f>
        <v>0.80688022418708016</v>
      </c>
      <c r="J39">
        <f>lc_detailed!BB40</f>
        <v>-30.656319591097915</v>
      </c>
      <c r="K39">
        <f>lc_detailed!BC40</f>
        <v>1.8026894017680859E-4</v>
      </c>
      <c r="L39">
        <f>lc_detailed!AP40</f>
        <v>76.651882361369317</v>
      </c>
      <c r="M39">
        <f>lc_detailed!AQ40</f>
        <v>21.292189544824804</v>
      </c>
      <c r="O39" t="str">
        <v>CEN_Bio_Ethanol_CCS_86_Wood</v>
      </c>
      <c r="P39">
        <v>0</v>
      </c>
      <c r="Q39">
        <v>3.2104057693863788</v>
      </c>
      <c r="R39">
        <v>61.366317310471054</v>
      </c>
      <c r="S39">
        <v>0</v>
      </c>
      <c r="T39">
        <v>31.777337720030705</v>
      </c>
      <c r="U39">
        <v>17.06088954516337</v>
      </c>
      <c r="V39">
        <v>0.8043541084673923</v>
      </c>
      <c r="W39">
        <v>-42.753640760414562</v>
      </c>
      <c r="X39">
        <v>-2.1400666813587501E-4</v>
      </c>
      <c r="Y39">
        <v>71.465449686436187</v>
      </c>
      <c r="Z39">
        <v>19.851513801787828</v>
      </c>
    </row>
    <row r="40" spans="2:26">
      <c r="B40" t="str">
        <f>lc_detailed!B41</f>
        <v>NCEN_Bio_Ethanol_CCS_86_Wood</v>
      </c>
      <c r="C40">
        <f>lc_detailed!AT41</f>
        <v>0</v>
      </c>
      <c r="D40">
        <f>lc_detailed!AU41</f>
        <v>3.8949405491783522</v>
      </c>
      <c r="E40">
        <f>lc_detailed!AV41</f>
        <v>55.672685171798946</v>
      </c>
      <c r="F40">
        <f>lc_detailed!AW41</f>
        <v>0</v>
      </c>
      <c r="G40">
        <f>lc_detailed!AX41</f>
        <v>31.794182725809723</v>
      </c>
      <c r="H40">
        <f>lc_detailed!AY41</f>
        <v>17.069933436300992</v>
      </c>
      <c r="I40">
        <f>lc_detailed!AZ41</f>
        <v>0.80478049250638517</v>
      </c>
      <c r="J40">
        <f>lc_detailed!BB41</f>
        <v>-37.275932371144641</v>
      </c>
      <c r="K40">
        <f>lc_detailed!BC41</f>
        <v>-3.5103853538535397E-4</v>
      </c>
      <c r="L40">
        <f>lc_detailed!AP41</f>
        <v>71.960238965914385</v>
      </c>
      <c r="M40">
        <f>lc_detailed!AQ41</f>
        <v>19.988955268309546</v>
      </c>
      <c r="O40" t="str">
        <v>MIDAT_Bio_Ethanol_Agri</v>
      </c>
      <c r="P40">
        <v>-4.2470487513953117</v>
      </c>
      <c r="Q40">
        <v>0</v>
      </c>
      <c r="R40">
        <v>47.53338914580344</v>
      </c>
      <c r="S40">
        <v>0</v>
      </c>
      <c r="T40">
        <v>18.41498814617082</v>
      </c>
      <c r="U40">
        <v>9.7128382273309022</v>
      </c>
      <c r="V40">
        <v>0.23919630043055334</v>
      </c>
      <c r="W40">
        <v>0</v>
      </c>
      <c r="X40">
        <v>-4.5653047972455882E-4</v>
      </c>
      <c r="Y40">
        <v>71.652906537860673</v>
      </c>
      <c r="Z40">
        <v>19.903585149405743</v>
      </c>
    </row>
    <row r="41" spans="2:26">
      <c r="B41" t="str">
        <f>lc_detailed!B42</f>
        <v>SE_Bio_Ethanol_CCS_86_Wood</v>
      </c>
      <c r="C41">
        <f>lc_detailed!AT42</f>
        <v>0</v>
      </c>
      <c r="D41">
        <f>lc_detailed!AU42</f>
        <v>4.8272842821767918</v>
      </c>
      <c r="E41">
        <f>lc_detailed!AV42</f>
        <v>54.336796717535272</v>
      </c>
      <c r="F41">
        <f>lc_detailed!AW42</f>
        <v>0</v>
      </c>
      <c r="G41">
        <f>lc_detailed!AX42</f>
        <v>31.661439953127818</v>
      </c>
      <c r="H41">
        <f>lc_detailed!AY42</f>
        <v>16.998665358320466</v>
      </c>
      <c r="I41">
        <f>lc_detailed!AZ42</f>
        <v>0.80142048181207404</v>
      </c>
      <c r="J41">
        <f>lc_detailed!BB42</f>
        <v>-34.276782353481927</v>
      </c>
      <c r="K41">
        <f>lc_detailed!BC42</f>
        <v>-4.6915466637916767E-4</v>
      </c>
      <c r="L41">
        <f>lc_detailed!AP42</f>
        <v>74.348355284824123</v>
      </c>
      <c r="M41">
        <f>lc_detailed!AQ42</f>
        <v>20.652320912451145</v>
      </c>
      <c r="O41" t="str">
        <v>SE_Bio_Ethanol_Agri</v>
      </c>
      <c r="P41">
        <v>-4.1235745351031508</v>
      </c>
      <c r="Q41">
        <v>0</v>
      </c>
      <c r="R41">
        <v>47.36676528599606</v>
      </c>
      <c r="S41">
        <v>0</v>
      </c>
      <c r="T41">
        <v>18.467997867365622</v>
      </c>
      <c r="U41">
        <v>9.7407977808399302</v>
      </c>
      <c r="V41">
        <v>0.23988485526947068</v>
      </c>
      <c r="W41">
        <v>0</v>
      </c>
      <c r="X41">
        <v>1.2936287174757861E-4</v>
      </c>
      <c r="Y41">
        <v>71.692000617239671</v>
      </c>
      <c r="Z41">
        <v>19.914444615899907</v>
      </c>
    </row>
    <row r="42" spans="2:26">
      <c r="B42" t="str">
        <f>lc_detailed!B43</f>
        <v>TX_Bio_Ethanol_CCS_86_Wood</v>
      </c>
      <c r="C42">
        <f>lc_detailed!AT43</f>
        <v>0</v>
      </c>
      <c r="D42">
        <f>lc_detailed!AU43</f>
        <v>2.5876475319045533</v>
      </c>
      <c r="E42">
        <f>lc_detailed!AV43</f>
        <v>76.727098702434745</v>
      </c>
      <c r="F42">
        <f>lc_detailed!AW43</f>
        <v>0</v>
      </c>
      <c r="G42">
        <f>lc_detailed!AX43</f>
        <v>32.063035707016454</v>
      </c>
      <c r="H42">
        <f>lc_detailed!AY43</f>
        <v>17.214277530090971</v>
      </c>
      <c r="I42">
        <f>lc_detailed!AZ43</f>
        <v>0.81158575108130426</v>
      </c>
      <c r="J42">
        <f>lc_detailed!BB43</f>
        <v>-49.651126037125074</v>
      </c>
      <c r="K42">
        <f>lc_detailed!BC43</f>
        <v>-1.1180988801480938E-4</v>
      </c>
      <c r="L42">
        <f>lc_detailed!AP43</f>
        <v>79.752407375514949</v>
      </c>
      <c r="M42">
        <f>lc_detailed!AQ43</f>
        <v>22.153446493198601</v>
      </c>
      <c r="O42" t="str">
        <v>NCEN_Bio_Ethanol_CCS_86_Wood</v>
      </c>
      <c r="P42">
        <v>0</v>
      </c>
      <c r="Q42">
        <v>3.8949405491783522</v>
      </c>
      <c r="R42">
        <v>55.672685171798946</v>
      </c>
      <c r="S42">
        <v>0</v>
      </c>
      <c r="T42">
        <v>31.794182725809723</v>
      </c>
      <c r="U42">
        <v>17.069933436300992</v>
      </c>
      <c r="V42">
        <v>0.80478049250638517</v>
      </c>
      <c r="W42">
        <v>-37.275932371144641</v>
      </c>
      <c r="X42">
        <v>-3.5103853538535397E-4</v>
      </c>
      <c r="Y42">
        <v>71.960238965914385</v>
      </c>
      <c r="Z42">
        <v>19.988955268309546</v>
      </c>
    </row>
    <row r="43" spans="2:26">
      <c r="B43" t="str">
        <f>lc_detailed!B44</f>
        <v>CEN_Bio_Ethanol_CCS_86_Agri</v>
      </c>
      <c r="C43">
        <f>lc_detailed!AT44</f>
        <v>0</v>
      </c>
      <c r="D43">
        <f>lc_detailed!AU44</f>
        <v>3.5655528289290683</v>
      </c>
      <c r="E43">
        <f>lc_detailed!AV44</f>
        <v>52.868555686316462</v>
      </c>
      <c r="F43">
        <f>lc_detailed!AW44</f>
        <v>0</v>
      </c>
      <c r="G43">
        <f>lc_detailed!AX44</f>
        <v>35.292665333437341</v>
      </c>
      <c r="H43">
        <f>lc_detailed!AY44</f>
        <v>18.94822877590039</v>
      </c>
      <c r="I43">
        <f>lc_detailed!AZ44</f>
        <v>0.89333475981598376</v>
      </c>
      <c r="J43">
        <f>lc_detailed!BB44</f>
        <v>-45.533764379187978</v>
      </c>
      <c r="K43">
        <f>lc_detailed!BC44</f>
        <v>5.6706157607214951E-4</v>
      </c>
      <c r="L43">
        <f>lc_detailed!AP44</f>
        <v>66.035140066787349</v>
      </c>
      <c r="M43">
        <f>lc_detailed!AQ44</f>
        <v>18.34309446299649</v>
      </c>
      <c r="O43" t="str">
        <v>NCEN_Bio_Ethanol_CCS_20_Herb</v>
      </c>
      <c r="P43">
        <v>0</v>
      </c>
      <c r="Q43">
        <v>0</v>
      </c>
      <c r="R43">
        <v>52.169771122351882</v>
      </c>
      <c r="S43">
        <v>0</v>
      </c>
      <c r="T43">
        <v>18.614360955851129</v>
      </c>
      <c r="U43">
        <v>9.8431323403554991</v>
      </c>
      <c r="V43">
        <v>0.24039665447989184</v>
      </c>
      <c r="W43">
        <v>-8.892999770974674</v>
      </c>
      <c r="X43">
        <v>-5.0479290581954763E-4</v>
      </c>
      <c r="Y43">
        <v>71.974156509157908</v>
      </c>
      <c r="Z43">
        <v>19.992821252543866</v>
      </c>
    </row>
    <row r="44" spans="2:26">
      <c r="B44" t="str">
        <f>lc_detailed!B45</f>
        <v>MIDAT_Bio_Ethanol_CCS_86_Agri</v>
      </c>
      <c r="C44">
        <f>lc_detailed!AT45</f>
        <v>0</v>
      </c>
      <c r="D44">
        <f>lc_detailed!AU45</f>
        <v>5.506518381119438</v>
      </c>
      <c r="E44">
        <f>lc_detailed!AV45</f>
        <v>47.53338914580344</v>
      </c>
      <c r="F44">
        <f>lc_detailed!AW45</f>
        <v>0</v>
      </c>
      <c r="G44">
        <f>lc_detailed!AX45</f>
        <v>35.069424639519347</v>
      </c>
      <c r="H44">
        <f>lc_detailed!AY45</f>
        <v>18.828373398005734</v>
      </c>
      <c r="I44">
        <f>lc_detailed!AZ45</f>
        <v>0.88768404826449798</v>
      </c>
      <c r="J44">
        <f>lc_detailed!BB45</f>
        <v>-32.340740069297212</v>
      </c>
      <c r="K44">
        <f>lc_detailed!BC45</f>
        <v>-4.5654656334481389E-4</v>
      </c>
      <c r="L44">
        <f>lc_detailed!AP45</f>
        <v>75.484192996851903</v>
      </c>
      <c r="M44">
        <f>lc_detailed!AQ45</f>
        <v>20.967831388014417</v>
      </c>
      <c r="O44" t="str">
        <v>SE_Bio_Ethanol_CCS_86_Agri</v>
      </c>
      <c r="P44">
        <v>0</v>
      </c>
      <c r="Q44">
        <v>5.3622767669918439</v>
      </c>
      <c r="R44">
        <v>47.36676528599606</v>
      </c>
      <c r="S44">
        <v>0</v>
      </c>
      <c r="T44">
        <v>35.170376125767767</v>
      </c>
      <c r="U44">
        <v>18.88257309753622</v>
      </c>
      <c r="V44">
        <v>0.89023935177781333</v>
      </c>
      <c r="W44">
        <v>-35.687741074519352</v>
      </c>
      <c r="X44">
        <v>1.293467884555004E-4</v>
      </c>
      <c r="Y44">
        <v>71.984618900338802</v>
      </c>
      <c r="Z44">
        <v>19.995727472316332</v>
      </c>
    </row>
    <row r="45" spans="2:26">
      <c r="B45" t="str">
        <f>lc_detailed!B46</f>
        <v>NCEN_Bio_Ethanol_CCS_86_Agri</v>
      </c>
      <c r="C45">
        <f>lc_detailed!AT46</f>
        <v>0</v>
      </c>
      <c r="D45">
        <f>lc_detailed!AU46</f>
        <v>4.2911553669232809</v>
      </c>
      <c r="E45">
        <f>lc_detailed!AV46</f>
        <v>48.869114945580044</v>
      </c>
      <c r="F45">
        <f>lc_detailed!AW46</f>
        <v>0</v>
      </c>
      <c r="G45">
        <f>lc_detailed!AX46</f>
        <v>35.028462210951822</v>
      </c>
      <c r="H45">
        <f>lc_detailed!AY46</f>
        <v>18.806381138130178</v>
      </c>
      <c r="I45">
        <f>lc_detailed!AZ46</f>
        <v>0.88664719936288827</v>
      </c>
      <c r="J45">
        <f>lc_detailed!BB46</f>
        <v>-39.583377897556339</v>
      </c>
      <c r="K45">
        <f>lc_detailed!BC46</f>
        <v>-1.5432025960788811E-4</v>
      </c>
      <c r="L45">
        <f>lc_detailed!AP46</f>
        <v>68.298228643132234</v>
      </c>
      <c r="M45">
        <f>lc_detailed!AQ46</f>
        <v>18.971730178647849</v>
      </c>
      <c r="O45" t="str">
        <v>MIDAT_Bio_Ethanol_CCS_20_Herb</v>
      </c>
      <c r="P45">
        <v>0</v>
      </c>
      <c r="Q45">
        <v>0</v>
      </c>
      <c r="R45">
        <v>50.579072475406548</v>
      </c>
      <c r="S45">
        <v>0</v>
      </c>
      <c r="T45">
        <v>18.654534491341071</v>
      </c>
      <c r="U45">
        <v>9.8643758000340416</v>
      </c>
      <c r="V45">
        <v>0.24091547881951414</v>
      </c>
      <c r="W45">
        <v>-7.264510933472347</v>
      </c>
      <c r="X45">
        <v>1.895915054659443E-4</v>
      </c>
      <c r="Y45">
        <v>72.074576903634281</v>
      </c>
      <c r="Z45">
        <v>20.020715806565079</v>
      </c>
    </row>
    <row r="46" spans="2:26">
      <c r="B46" t="str">
        <f>lc_detailed!B47</f>
        <v>SE_Bio_Ethanol_CCS_86_Agri</v>
      </c>
      <c r="C46">
        <f>lc_detailed!AT47</f>
        <v>0</v>
      </c>
      <c r="D46">
        <f>lc_detailed!AU47</f>
        <v>5.3622767669918439</v>
      </c>
      <c r="E46">
        <f>lc_detailed!AV47</f>
        <v>47.36676528599606</v>
      </c>
      <c r="F46">
        <f>lc_detailed!AW47</f>
        <v>0</v>
      </c>
      <c r="G46">
        <f>lc_detailed!AX47</f>
        <v>35.170376125767767</v>
      </c>
      <c r="H46">
        <f>lc_detailed!AY47</f>
        <v>18.88257309753622</v>
      </c>
      <c r="I46">
        <f>lc_detailed!AZ47</f>
        <v>0.89023935177781333</v>
      </c>
      <c r="J46">
        <f>lc_detailed!BB47</f>
        <v>-35.687741074519352</v>
      </c>
      <c r="K46">
        <f>lc_detailed!BC47</f>
        <v>1.293467884555004E-4</v>
      </c>
      <c r="L46">
        <f>lc_detailed!AP47</f>
        <v>71.984618900338802</v>
      </c>
      <c r="M46">
        <f>lc_detailed!AQ47</f>
        <v>19.995727472316332</v>
      </c>
      <c r="O46" t="str">
        <v>CEN_Bio_Ethanol_CCS_20_Agri</v>
      </c>
      <c r="P46">
        <v>0</v>
      </c>
      <c r="Q46">
        <v>0</v>
      </c>
      <c r="R46">
        <v>52.868555686316462</v>
      </c>
      <c r="S46">
        <v>0</v>
      </c>
      <c r="T46">
        <v>19.881937798517143</v>
      </c>
      <c r="U46">
        <v>10.513417323198794</v>
      </c>
      <c r="V46">
        <v>0.25676687707285761</v>
      </c>
      <c r="W46">
        <v>-10.811496455239345</v>
      </c>
      <c r="X46">
        <v>5.6706157607214951E-4</v>
      </c>
      <c r="Y46">
        <v>72.709748291441997</v>
      </c>
      <c r="Z46">
        <v>20.197152303178331</v>
      </c>
    </row>
    <row r="47" spans="2:26">
      <c r="B47" t="str">
        <f>lc_detailed!B48</f>
        <v>TX_Bio_Ethanol_CCS_86_Agri</v>
      </c>
      <c r="C47">
        <f>lc_detailed!AT48</f>
        <v>0</v>
      </c>
      <c r="D47">
        <f>lc_detailed!AU48</f>
        <v>2.9479583248809655</v>
      </c>
      <c r="E47">
        <f>lc_detailed!AV48</f>
        <v>61.656984276381351</v>
      </c>
      <c r="F47">
        <f>lc_detailed!AW48</f>
        <v>0</v>
      </c>
      <c r="G47">
        <f>lc_detailed!AX48</f>
        <v>36.527576444650514</v>
      </c>
      <c r="H47">
        <f>lc_detailed!AY48</f>
        <v>19.611238441849292</v>
      </c>
      <c r="I47">
        <f>lc_detailed!AZ48</f>
        <v>0.92459306832023025</v>
      </c>
      <c r="J47">
        <f>lc_detailed!BB48</f>
        <v>-51.102826470212008</v>
      </c>
      <c r="K47">
        <f>lc_detailed!BC48</f>
        <v>-1.5835606181098123E-4</v>
      </c>
      <c r="L47">
        <f>lc_detailed!AP48</f>
        <v>70.565365729808548</v>
      </c>
      <c r="M47">
        <f>lc_detailed!AQ48</f>
        <v>19.60149048050237</v>
      </c>
      <c r="O47" t="str">
        <v>MIDAT_Bio_Ethanol_CCS_20_Wood</v>
      </c>
      <c r="P47">
        <v>0</v>
      </c>
      <c r="Q47">
        <v>0</v>
      </c>
      <c r="R47">
        <v>52.50426245349567</v>
      </c>
      <c r="S47">
        <v>0</v>
      </c>
      <c r="T47">
        <v>17.957817326447284</v>
      </c>
      <c r="U47">
        <v>9.4959570681682486</v>
      </c>
      <c r="V47">
        <v>0.23191766922742424</v>
      </c>
      <c r="W47">
        <v>-7.2790092167589471</v>
      </c>
      <c r="X47">
        <v>1.802689401646539E-4</v>
      </c>
      <c r="Y47">
        <v>72.911125569519854</v>
      </c>
      <c r="Z47">
        <v>20.253090435977736</v>
      </c>
    </row>
    <row r="48" spans="2:26">
      <c r="B48" t="str">
        <f>lc_detailed!B49</f>
        <v>CA_DryMill_Existing_Non_CCS</v>
      </c>
      <c r="C48">
        <f>lc_detailed!AT49</f>
        <v>0</v>
      </c>
      <c r="D48">
        <f>lc_detailed!AU49</f>
        <v>1.0048323719933401</v>
      </c>
      <c r="E48">
        <f>lc_detailed!AV49</f>
        <v>54.762078186656993</v>
      </c>
      <c r="F48">
        <f>lc_detailed!AW49</f>
        <v>4.4652582398505434</v>
      </c>
      <c r="G48">
        <f>lc_detailed!AX49</f>
        <v>0</v>
      </c>
      <c r="H48">
        <f>lc_detailed!AY49</f>
        <v>7.2208724377810398</v>
      </c>
      <c r="I48">
        <f>lc_detailed!AZ49</f>
        <v>-8.1853200395467898</v>
      </c>
      <c r="J48">
        <f>lc_detailed!BB49</f>
        <v>0</v>
      </c>
      <c r="K48">
        <f>lc_detailed!BC49</f>
        <v>6.5363717197461213</v>
      </c>
      <c r="L48">
        <f>lc_detailed!AP49</f>
        <v>65.804092916481238</v>
      </c>
      <c r="M48">
        <f>lc_detailed!AQ49</f>
        <v>18.278914699022565</v>
      </c>
      <c r="O48" t="str">
        <v>SE_Bio_Ethanol_Herb</v>
      </c>
      <c r="P48">
        <v>-4.1236960660105977</v>
      </c>
      <c r="Q48">
        <v>0</v>
      </c>
      <c r="R48">
        <v>50.281525611910162</v>
      </c>
      <c r="S48">
        <v>0</v>
      </c>
      <c r="T48">
        <v>17.483783597976871</v>
      </c>
      <c r="U48">
        <v>9.2216818355173462</v>
      </c>
      <c r="V48">
        <v>0.22710068130204392</v>
      </c>
      <c r="W48">
        <v>0</v>
      </c>
      <c r="X48">
        <v>2.963390012383203E-5</v>
      </c>
      <c r="Y48">
        <v>73.09042529459596</v>
      </c>
      <c r="Z48">
        <v>20.302895915165543</v>
      </c>
    </row>
    <row r="49" spans="2:26">
      <c r="B49" t="str">
        <f>lc_detailed!B50</f>
        <v>NW_DryMill_Existing_Non_CCS</v>
      </c>
      <c r="C49">
        <f>lc_detailed!AT50</f>
        <v>0</v>
      </c>
      <c r="D49">
        <f>lc_detailed!AU50</f>
        <v>0.73605181175742107</v>
      </c>
      <c r="E49">
        <f>lc_detailed!AV50</f>
        <v>54.762078186656993</v>
      </c>
      <c r="F49">
        <f>lc_detailed!AW50</f>
        <v>4.4658380072588102</v>
      </c>
      <c r="G49">
        <f>lc_detailed!AX50</f>
        <v>0</v>
      </c>
      <c r="H49">
        <f>lc_detailed!AY50</f>
        <v>7.2208724377810398</v>
      </c>
      <c r="I49">
        <f>lc_detailed!AZ50</f>
        <v>-8.1853200395467898</v>
      </c>
      <c r="J49">
        <f>lc_detailed!BB50</f>
        <v>0</v>
      </c>
      <c r="K49">
        <f>lc_detailed!BC50</f>
        <v>6.5363717197461213</v>
      </c>
      <c r="L49">
        <f>lc_detailed!AP50</f>
        <v>65.535892123653596</v>
      </c>
      <c r="M49">
        <f>lc_detailed!AQ50</f>
        <v>18.204414478792664</v>
      </c>
      <c r="O49" t="str">
        <v>MIDAT_Bio_Ethanol_Herb</v>
      </c>
      <c r="P49">
        <v>-4.2472829150772933</v>
      </c>
      <c r="Q49">
        <v>0</v>
      </c>
      <c r="R49">
        <v>50.579072475406548</v>
      </c>
      <c r="S49">
        <v>0</v>
      </c>
      <c r="T49">
        <v>17.388133507022271</v>
      </c>
      <c r="U49">
        <v>9.1712319599867627</v>
      </c>
      <c r="V49">
        <v>0.22585826139329454</v>
      </c>
      <c r="W49">
        <v>0</v>
      </c>
      <c r="X49">
        <v>1.8960758874586782E-4</v>
      </c>
      <c r="Y49">
        <v>73.11720289632035</v>
      </c>
      <c r="Z49">
        <v>20.310334137866764</v>
      </c>
    </row>
    <row r="50" spans="2:26">
      <c r="B50" t="str">
        <f>lc_detailed!B51</f>
        <v>SW_DryMill_Existing_Non_CCS</v>
      </c>
      <c r="C50">
        <f>lc_detailed!AT51</f>
        <v>0</v>
      </c>
      <c r="D50">
        <f>lc_detailed!AU51</f>
        <v>0.76970088018920757</v>
      </c>
      <c r="E50">
        <f>lc_detailed!AV51</f>
        <v>54.762078186656993</v>
      </c>
      <c r="F50">
        <f>lc_detailed!AW51</f>
        <v>4.4657883875256701</v>
      </c>
      <c r="G50">
        <f>lc_detailed!AX51</f>
        <v>0</v>
      </c>
      <c r="H50">
        <f>lc_detailed!AY51</f>
        <v>7.2208724377810398</v>
      </c>
      <c r="I50">
        <f>lc_detailed!AZ51</f>
        <v>-8.1853200395467898</v>
      </c>
      <c r="J50">
        <f>lc_detailed!BB51</f>
        <v>0</v>
      </c>
      <c r="K50">
        <f>lc_detailed!BC51</f>
        <v>6.5363717197461213</v>
      </c>
      <c r="L50">
        <f>lc_detailed!AP51</f>
        <v>65.569491572352234</v>
      </c>
      <c r="M50">
        <f>lc_detailed!AQ51</f>
        <v>18.21374765898673</v>
      </c>
      <c r="O50" t="str">
        <v>SE_Bio_Ethanol_CCS_86_Herb</v>
      </c>
      <c r="P50">
        <v>0</v>
      </c>
      <c r="Q50">
        <v>5.076505166389099</v>
      </c>
      <c r="R50">
        <v>50.281525611910162</v>
      </c>
      <c r="S50">
        <v>0</v>
      </c>
      <c r="T50">
        <v>33.296042681972118</v>
      </c>
      <c r="U50">
        <v>17.876264887039209</v>
      </c>
      <c r="V50">
        <v>0.84279586172091847</v>
      </c>
      <c r="W50">
        <v>-33.884510545173519</v>
      </c>
      <c r="X50">
        <v>2.9617816734516221E-5</v>
      </c>
      <c r="Y50">
        <v>73.488653281674715</v>
      </c>
      <c r="Z50">
        <v>20.413514800465201</v>
      </c>
    </row>
    <row r="51" spans="2:26">
      <c r="B51" t="str">
        <f>lc_detailed!B52</f>
        <v>TX_DryMill_Existing_Non_CCS</v>
      </c>
      <c r="C51">
        <f>lc_detailed!AT52</f>
        <v>0</v>
      </c>
      <c r="D51">
        <f>lc_detailed!AU52</f>
        <v>0.55615943203436513</v>
      </c>
      <c r="E51">
        <f>lc_detailed!AV52</f>
        <v>54.762078186656993</v>
      </c>
      <c r="F51">
        <f>lc_detailed!AW52</f>
        <v>4.3501972605025605</v>
      </c>
      <c r="G51">
        <f>lc_detailed!AX52</f>
        <v>0</v>
      </c>
      <c r="H51">
        <f>lc_detailed!AY52</f>
        <v>7.2208724377810398</v>
      </c>
      <c r="I51">
        <f>lc_detailed!AZ52</f>
        <v>-8.1853200395467898</v>
      </c>
      <c r="J51">
        <f>lc_detailed!BB52</f>
        <v>0</v>
      </c>
      <c r="K51">
        <f>lc_detailed!BC52</f>
        <v>6.5363717197461213</v>
      </c>
      <c r="L51">
        <f>lc_detailed!AP52</f>
        <v>65.240358997174297</v>
      </c>
      <c r="M51">
        <f>lc_detailed!AQ52</f>
        <v>18.122321943659525</v>
      </c>
      <c r="O51" t="str">
        <v>SE_Bio_Ethanol_CCS_20_Wood</v>
      </c>
      <c r="P51">
        <v>0</v>
      </c>
      <c r="Q51">
        <v>0</v>
      </c>
      <c r="R51">
        <v>54.336796717535272</v>
      </c>
      <c r="S51">
        <v>0</v>
      </c>
      <c r="T51">
        <v>17.836306037310653</v>
      </c>
      <c r="U51">
        <v>9.4317028236816505</v>
      </c>
      <c r="V51">
        <v>0.23034840195796139</v>
      </c>
      <c r="W51">
        <v>-8.1386486701517278</v>
      </c>
      <c r="X51">
        <v>-4.6915466641563177E-4</v>
      </c>
      <c r="Y51">
        <v>73.6960361556674</v>
      </c>
      <c r="Z51">
        <v>20.471121154352055</v>
      </c>
    </row>
    <row r="52" spans="2:26">
      <c r="B52" t="str">
        <f>lc_detailed!B53</f>
        <v>NCEN_DryMill_Existing_Non_CCS</v>
      </c>
      <c r="C52">
        <f>lc_detailed!AT53</f>
        <v>0</v>
      </c>
      <c r="D52">
        <f>lc_detailed!AU53</f>
        <v>0.8442129170953</v>
      </c>
      <c r="E52">
        <f>lc_detailed!AV53</f>
        <v>54.762078186656993</v>
      </c>
      <c r="F52">
        <f>lc_detailed!AW53</f>
        <v>4.381553993836472</v>
      </c>
      <c r="G52">
        <f>lc_detailed!AX53</f>
        <v>0</v>
      </c>
      <c r="H52">
        <f>lc_detailed!AY53</f>
        <v>7.2208724377810398</v>
      </c>
      <c r="I52">
        <f>lc_detailed!AZ53</f>
        <v>-8.1853200395467898</v>
      </c>
      <c r="J52">
        <f>lc_detailed!BB53</f>
        <v>0</v>
      </c>
      <c r="K52">
        <f>lc_detailed!BC53</f>
        <v>6.5363717197461213</v>
      </c>
      <c r="L52">
        <f>lc_detailed!AP53</f>
        <v>65.559769215569133</v>
      </c>
      <c r="M52">
        <f>lc_detailed!AQ53</f>
        <v>18.211047004324758</v>
      </c>
      <c r="O52" t="str">
        <v>NCEN_Bio_Ethanol_Agri</v>
      </c>
      <c r="P52">
        <v>-3.3145588377488719</v>
      </c>
      <c r="Q52">
        <v>0</v>
      </c>
      <c r="R52">
        <v>48.869114945580044</v>
      </c>
      <c r="S52">
        <v>0</v>
      </c>
      <c r="T52">
        <v>18.393478736071767</v>
      </c>
      <c r="U52">
        <v>9.7014932609915725</v>
      </c>
      <c r="V52">
        <v>0.23891691000796392</v>
      </c>
      <c r="W52">
        <v>0</v>
      </c>
      <c r="X52">
        <v>-1.5430417612133471E-4</v>
      </c>
      <c r="Y52">
        <v>73.888290710726352</v>
      </c>
      <c r="Z52">
        <v>20.524525197423987</v>
      </c>
    </row>
    <row r="53" spans="2:26">
      <c r="B53" t="str">
        <f>lc_detailed!B54</f>
        <v>CEN_DryMill_Existing_Non_CCS</v>
      </c>
      <c r="C53">
        <f>lc_detailed!AT54</f>
        <v>0</v>
      </c>
      <c r="D53">
        <f>lc_detailed!AU54</f>
        <v>0.69621158107157877</v>
      </c>
      <c r="E53">
        <f>lc_detailed!AV54</f>
        <v>54.762078186656993</v>
      </c>
      <c r="F53">
        <f>lc_detailed!AW54</f>
        <v>4.3815246137313233</v>
      </c>
      <c r="G53">
        <f>lc_detailed!AX54</f>
        <v>0</v>
      </c>
      <c r="H53">
        <f>lc_detailed!AY54</f>
        <v>7.2208724377810398</v>
      </c>
      <c r="I53">
        <f>lc_detailed!AZ54</f>
        <v>-8.1853200395467898</v>
      </c>
      <c r="J53">
        <f>lc_detailed!BB54</f>
        <v>0</v>
      </c>
      <c r="K53">
        <f>lc_detailed!BC54</f>
        <v>6.5363717197461213</v>
      </c>
      <c r="L53">
        <f>lc_detailed!AP54</f>
        <v>65.411738499440276</v>
      </c>
      <c r="M53">
        <f>lc_detailed!AQ54</f>
        <v>18.169927360955633</v>
      </c>
      <c r="O53" t="str">
        <v>MIDAT_Bio_Ethanol_Wood</v>
      </c>
      <c r="P53">
        <v>-4.2464947082185818</v>
      </c>
      <c r="Q53">
        <v>0</v>
      </c>
      <c r="R53">
        <v>52.50426245349567</v>
      </c>
      <c r="S53">
        <v>0</v>
      </c>
      <c r="T53">
        <v>16.738714402759417</v>
      </c>
      <c r="U53">
        <v>8.8287010470491492</v>
      </c>
      <c r="V53">
        <v>0.21742281490071025</v>
      </c>
      <c r="W53">
        <v>0</v>
      </c>
      <c r="X53">
        <v>1.80285023420268E-4</v>
      </c>
      <c r="Y53">
        <v>74.04278629500979</v>
      </c>
      <c r="Z53">
        <v>20.56744063750272</v>
      </c>
    </row>
    <row r="54" spans="2:26">
      <c r="B54" t="str">
        <f>lc_detailed!B55</f>
        <v>SE_DryMill_Existing_Non_CCS</v>
      </c>
      <c r="C54">
        <f>lc_detailed!AT55</f>
        <v>0</v>
      </c>
      <c r="D54">
        <f>lc_detailed!AU55</f>
        <v>1.0506813864995876</v>
      </c>
      <c r="E54">
        <f>lc_detailed!AV55</f>
        <v>54.762078186656993</v>
      </c>
      <c r="F54">
        <f>lc_detailed!AW55</f>
        <v>4.3815229815032604</v>
      </c>
      <c r="G54">
        <f>lc_detailed!AX55</f>
        <v>0</v>
      </c>
      <c r="H54">
        <f>lc_detailed!AY55</f>
        <v>7.2208724377810398</v>
      </c>
      <c r="I54">
        <f>lc_detailed!AZ55</f>
        <v>-8.1853200395467898</v>
      </c>
      <c r="J54">
        <f>lc_detailed!BB55</f>
        <v>0</v>
      </c>
      <c r="K54">
        <f>lc_detailed!BC55</f>
        <v>6.5363717197461213</v>
      </c>
      <c r="L54">
        <f>lc_detailed!AP55</f>
        <v>65.766206672640209</v>
      </c>
      <c r="M54">
        <f>lc_detailed!AQ55</f>
        <v>18.268390742400058</v>
      </c>
      <c r="O54" t="str">
        <v>SE_Bio_Ethanol_CCS_86_Wood</v>
      </c>
      <c r="P54">
        <v>0</v>
      </c>
      <c r="Q54">
        <v>4.8272842821767918</v>
      </c>
      <c r="R54">
        <v>54.336796717535272</v>
      </c>
      <c r="S54">
        <v>0</v>
      </c>
      <c r="T54">
        <v>31.661439953127818</v>
      </c>
      <c r="U54">
        <v>16.998665358320466</v>
      </c>
      <c r="V54">
        <v>0.80142048181207404</v>
      </c>
      <c r="W54">
        <v>-34.276782353481927</v>
      </c>
      <c r="X54">
        <v>-4.6915466637916767E-4</v>
      </c>
      <c r="Y54">
        <v>74.348355284824123</v>
      </c>
      <c r="Z54">
        <v>20.652320912451145</v>
      </c>
    </row>
    <row r="55" spans="2:26">
      <c r="B55" t="str">
        <f>lc_detailed!B56</f>
        <v>MIDAT_DryMill_Existing_Non_CCS</v>
      </c>
      <c r="C55">
        <f>lc_detailed!AT56</f>
        <v>0</v>
      </c>
      <c r="D55">
        <f>lc_detailed!AU56</f>
        <v>1.0820498722750709</v>
      </c>
      <c r="E55">
        <f>lc_detailed!AV56</f>
        <v>54.762078186656993</v>
      </c>
      <c r="F55">
        <f>lc_detailed!AW56</f>
        <v>4.3819192864771539</v>
      </c>
      <c r="G55">
        <f>lc_detailed!AX56</f>
        <v>0</v>
      </c>
      <c r="H55">
        <f>lc_detailed!AY56</f>
        <v>7.2208724377810398</v>
      </c>
      <c r="I55">
        <f>lc_detailed!AZ56</f>
        <v>-8.1853200395467898</v>
      </c>
      <c r="J55">
        <f>lc_detailed!BB56</f>
        <v>0</v>
      </c>
      <c r="K55">
        <f>lc_detailed!BC56</f>
        <v>6.5363717197461213</v>
      </c>
      <c r="L55">
        <f>lc_detailed!AP56</f>
        <v>65.797971463389587</v>
      </c>
      <c r="M55">
        <f>lc_detailed!AQ56</f>
        <v>18.277214295385996</v>
      </c>
      <c r="O55" t="str">
        <v>CEN_Bio_Ethanol_CCS_20_Herb</v>
      </c>
      <c r="P55">
        <v>0</v>
      </c>
      <c r="Q55">
        <v>0</v>
      </c>
      <c r="R55">
        <v>55.653727327690454</v>
      </c>
      <c r="S55">
        <v>0</v>
      </c>
      <c r="T55">
        <v>18.725964591166843</v>
      </c>
      <c r="U55">
        <v>9.9021474929402586</v>
      </c>
      <c r="V55">
        <v>0.2418379685610641</v>
      </c>
      <c r="W55">
        <v>-10.154123280036075</v>
      </c>
      <c r="X55">
        <v>4.5901146961605443E-4</v>
      </c>
      <c r="Y55">
        <v>74.370013111792161</v>
      </c>
      <c r="Z55">
        <v>20.658336975497821</v>
      </c>
    </row>
    <row r="56" spans="2:26">
      <c r="B56" t="str">
        <f>lc_detailed!B57</f>
        <v>NE_DryMill_Existing_Non_CCS</v>
      </c>
      <c r="C56">
        <f>lc_detailed!AT57</f>
        <v>0</v>
      </c>
      <c r="D56">
        <f>lc_detailed!AU57</f>
        <v>1.3043611278934286</v>
      </c>
      <c r="E56">
        <f>lc_detailed!AV57</f>
        <v>54.762078186656993</v>
      </c>
      <c r="F56">
        <f>lc_detailed!AW57</f>
        <v>4.3818096007512652</v>
      </c>
      <c r="G56">
        <f>lc_detailed!AX57</f>
        <v>0</v>
      </c>
      <c r="H56">
        <f>lc_detailed!AY57</f>
        <v>7.2208724377810398</v>
      </c>
      <c r="I56">
        <f>lc_detailed!AZ57</f>
        <v>-8.1853200395467898</v>
      </c>
      <c r="J56">
        <f>lc_detailed!BB57</f>
        <v>0</v>
      </c>
      <c r="K56">
        <f>lc_detailed!BC57</f>
        <v>6.5363717197461213</v>
      </c>
      <c r="L56">
        <f>lc_detailed!AP57</f>
        <v>66.020173033282063</v>
      </c>
      <c r="M56">
        <f>lc_detailed!AQ57</f>
        <v>18.338936953689462</v>
      </c>
      <c r="O56" t="str">
        <v>NCEN_Bio_Ethanol_CCS_20_Wood</v>
      </c>
      <c r="P56">
        <v>0</v>
      </c>
      <c r="Q56">
        <v>0</v>
      </c>
      <c r="R56">
        <v>55.672685171798946</v>
      </c>
      <c r="S56">
        <v>0</v>
      </c>
      <c r="T56">
        <v>17.911085981662545</v>
      </c>
      <c r="U56">
        <v>9.4712458888669584</v>
      </c>
      <c r="V56">
        <v>0.23131415353476942</v>
      </c>
      <c r="W56">
        <v>-8.8507641788688645</v>
      </c>
      <c r="X56">
        <v>-3.5103853537319925E-4</v>
      </c>
      <c r="Y56">
        <v>74.435215978458999</v>
      </c>
      <c r="Z56">
        <v>20.676448882905273</v>
      </c>
    </row>
    <row r="57" spans="2:26">
      <c r="B57" t="str">
        <f>lc_detailed!B58</f>
        <v>CA_DryMill_CCS_Fermentation</v>
      </c>
      <c r="C57">
        <f>lc_detailed!AT58</f>
        <v>0</v>
      </c>
      <c r="D57">
        <f>lc_detailed!AU58</f>
        <v>1.0048323719933401</v>
      </c>
      <c r="E57">
        <f>lc_detailed!AV58</f>
        <v>54.762078186656993</v>
      </c>
      <c r="F57">
        <f>lc_detailed!AW58</f>
        <v>4.4652582398505434</v>
      </c>
      <c r="G57">
        <f>lc_detailed!AX58</f>
        <v>1.1219173819252375</v>
      </c>
      <c r="H57">
        <f>lc_detailed!AY58</f>
        <v>7.8355578478551591</v>
      </c>
      <c r="I57">
        <f>lc_detailed!AZ58</f>
        <v>-8.1724348446793407</v>
      </c>
      <c r="J57">
        <f>lc_detailed!BB58</f>
        <v>-11.865994819847124</v>
      </c>
      <c r="K57">
        <f>lc_detailed!BC58</f>
        <v>6.5363717197461213</v>
      </c>
      <c r="L57">
        <f>lc_detailed!AP58</f>
        <v>55.687586083500918</v>
      </c>
      <c r="M57">
        <f>lc_detailed!AQ58</f>
        <v>15.468773912083588</v>
      </c>
      <c r="O57" t="str">
        <v>MIDAT_Bio_Ethanol_CCS_86_Agri</v>
      </c>
      <c r="P57">
        <v>0</v>
      </c>
      <c r="Q57">
        <v>5.506518381119438</v>
      </c>
      <c r="R57">
        <v>47.53338914580344</v>
      </c>
      <c r="S57">
        <v>0</v>
      </c>
      <c r="T57">
        <v>35.069424639519347</v>
      </c>
      <c r="U57">
        <v>18.828373398005734</v>
      </c>
      <c r="V57">
        <v>0.88768404826449798</v>
      </c>
      <c r="W57">
        <v>-32.340740069297212</v>
      </c>
      <c r="X57">
        <v>-4.5654656334481389E-4</v>
      </c>
      <c r="Y57">
        <v>75.484192996851903</v>
      </c>
      <c r="Z57">
        <v>20.967831388014417</v>
      </c>
    </row>
    <row r="58" spans="2:26">
      <c r="B58" t="str">
        <f>lc_detailed!B59</f>
        <v>NW_DryMill_CCS_Fermentation</v>
      </c>
      <c r="C58">
        <f>lc_detailed!AT59</f>
        <v>0</v>
      </c>
      <c r="D58">
        <f>lc_detailed!AU59</f>
        <v>0.73605181175742107</v>
      </c>
      <c r="E58">
        <f>lc_detailed!AV59</f>
        <v>54.762078186656993</v>
      </c>
      <c r="F58">
        <f>lc_detailed!AW59</f>
        <v>4.4658380072588102</v>
      </c>
      <c r="G58">
        <f>lc_detailed!AX59</f>
        <v>1.1219173819252375</v>
      </c>
      <c r="H58">
        <f>lc_detailed!AY59</f>
        <v>7.8355578478551591</v>
      </c>
      <c r="I58">
        <f>lc_detailed!AZ59</f>
        <v>-8.1724348446793407</v>
      </c>
      <c r="J58">
        <f>lc_detailed!BB59</f>
        <v>-11.767032817772119</v>
      </c>
      <c r="K58">
        <f>lc_detailed!BC59</f>
        <v>6.5363717197461213</v>
      </c>
      <c r="L58">
        <f>lc_detailed!AP59</f>
        <v>55.518347292748274</v>
      </c>
      <c r="M58">
        <f>lc_detailed!AQ59</f>
        <v>15.421763136874523</v>
      </c>
      <c r="O58" t="str">
        <v>NCEN_Bio_Ethanol_Herb</v>
      </c>
      <c r="P58">
        <v>-3.3142741931687283</v>
      </c>
      <c r="Q58">
        <v>0</v>
      </c>
      <c r="R58">
        <v>52.169771122351882</v>
      </c>
      <c r="S58">
        <v>0</v>
      </c>
      <c r="T58">
        <v>17.350687233631078</v>
      </c>
      <c r="U58">
        <v>9.1514812225560309</v>
      </c>
      <c r="V58">
        <v>0.22537186357489861</v>
      </c>
      <c r="W58">
        <v>0</v>
      </c>
      <c r="X58">
        <v>-5.0477682210205491E-4</v>
      </c>
      <c r="Y58">
        <v>75.582532472123049</v>
      </c>
      <c r="Z58">
        <v>20.995147908923069</v>
      </c>
    </row>
    <row r="59" spans="2:26">
      <c r="B59" t="str">
        <f>lc_detailed!B60</f>
        <v>SW_DryMill_CCS_Fermentation</v>
      </c>
      <c r="C59">
        <f>lc_detailed!AT60</f>
        <v>0</v>
      </c>
      <c r="D59">
        <f>lc_detailed!AU60</f>
        <v>0.76970088018920757</v>
      </c>
      <c r="E59">
        <f>lc_detailed!AV60</f>
        <v>54.762078186656993</v>
      </c>
      <c r="F59">
        <f>lc_detailed!AW60</f>
        <v>4.4657883875256701</v>
      </c>
      <c r="G59">
        <f>lc_detailed!AX60</f>
        <v>1.1219173819252375</v>
      </c>
      <c r="H59">
        <f>lc_detailed!AY60</f>
        <v>7.8355578478551591</v>
      </c>
      <c r="I59">
        <f>lc_detailed!AZ60</f>
        <v>-8.1724348446793407</v>
      </c>
      <c r="J59">
        <f>lc_detailed!BB60</f>
        <v>-10.701943039186755</v>
      </c>
      <c r="K59">
        <f>lc_detailed!BC60</f>
        <v>6.5363717197461213</v>
      </c>
      <c r="L59">
        <f>lc_detailed!AP60</f>
        <v>56.617036520032279</v>
      </c>
      <c r="M59">
        <f>lc_detailed!AQ60</f>
        <v>15.726954588897854</v>
      </c>
      <c r="O59" t="str">
        <v>SE_Bio_Ethanol_Wood</v>
      </c>
      <c r="P59">
        <v>-4.1248337198387555</v>
      </c>
      <c r="Q59">
        <v>0</v>
      </c>
      <c r="R59">
        <v>54.336796717535272</v>
      </c>
      <c r="S59">
        <v>0</v>
      </c>
      <c r="T59">
        <v>16.625452154425169</v>
      </c>
      <c r="U59">
        <v>8.7689617799585484</v>
      </c>
      <c r="V59">
        <v>0.21595162683558883</v>
      </c>
      <c r="W59">
        <v>0</v>
      </c>
      <c r="X59">
        <v>-4.6913858271029377E-4</v>
      </c>
      <c r="Y59">
        <v>75.821859420333098</v>
      </c>
      <c r="Z59">
        <v>21.061627616759193</v>
      </c>
    </row>
    <row r="60" spans="2:26">
      <c r="B60" t="str">
        <f>lc_detailed!B61</f>
        <v>TX_DryMill_CCS_Fermentation</v>
      </c>
      <c r="C60">
        <f>lc_detailed!AT61</f>
        <v>0</v>
      </c>
      <c r="D60">
        <f>lc_detailed!AU61</f>
        <v>0.55615943203436513</v>
      </c>
      <c r="E60">
        <f>lc_detailed!AV61</f>
        <v>54.762078186656993</v>
      </c>
      <c r="F60">
        <f>lc_detailed!AW61</f>
        <v>4.3501972605025605</v>
      </c>
      <c r="G60">
        <f>lc_detailed!AX61</f>
        <v>1.1219173819252375</v>
      </c>
      <c r="H60">
        <f>lc_detailed!AY61</f>
        <v>7.8355578478551591</v>
      </c>
      <c r="I60">
        <f>lc_detailed!AZ61</f>
        <v>-8.1724348446793407</v>
      </c>
      <c r="J60">
        <f>lc_detailed!BB61</f>
        <v>-10.13642665887811</v>
      </c>
      <c r="K60">
        <f>lc_detailed!BC61</f>
        <v>6.5363717197461213</v>
      </c>
      <c r="L60">
        <f>lc_detailed!AP61</f>
        <v>56.853420325162979</v>
      </c>
      <c r="M60">
        <f>lc_detailed!AQ61</f>
        <v>15.792616756989716</v>
      </c>
      <c r="O60" t="str">
        <v>TX_Bio_Ethanol_CCS_86_Herb</v>
      </c>
      <c r="P60">
        <v>0</v>
      </c>
      <c r="Q60">
        <v>2.6945004434998232</v>
      </c>
      <c r="R60">
        <v>69.801451343555485</v>
      </c>
      <c r="S60">
        <v>0</v>
      </c>
      <c r="T60">
        <v>33.387029287145261</v>
      </c>
      <c r="U60">
        <v>17.925114555775615</v>
      </c>
      <c r="V60">
        <v>0.84509893224027122</v>
      </c>
      <c r="W60">
        <v>-48.316366796170506</v>
      </c>
      <c r="X60">
        <v>5.8713141749578248E-4</v>
      </c>
      <c r="Y60">
        <v>76.337414897463447</v>
      </c>
      <c r="Z60">
        <v>21.204837471517624</v>
      </c>
    </row>
    <row r="61" spans="2:26">
      <c r="B61" t="str">
        <f>lc_detailed!B62</f>
        <v>NCEN_DryMill_CCS_Fermentation</v>
      </c>
      <c r="C61">
        <f>lc_detailed!AT62</f>
        <v>0</v>
      </c>
      <c r="D61">
        <f>lc_detailed!AU62</f>
        <v>0.8442129170953</v>
      </c>
      <c r="E61">
        <f>lc_detailed!AV62</f>
        <v>54.762078186656993</v>
      </c>
      <c r="F61">
        <f>lc_detailed!AW62</f>
        <v>4.381553993836472</v>
      </c>
      <c r="G61">
        <f>lc_detailed!AX62</f>
        <v>1.1219173819252375</v>
      </c>
      <c r="H61">
        <f>lc_detailed!AY62</f>
        <v>7.8355578478551591</v>
      </c>
      <c r="I61">
        <f>lc_detailed!AZ62</f>
        <v>-8.1724348446793407</v>
      </c>
      <c r="J61">
        <f>lc_detailed!BB62</f>
        <v>-7.8077413422656381</v>
      </c>
      <c r="K61">
        <f>lc_detailed!BC62</f>
        <v>6.5363717197461213</v>
      </c>
      <c r="L61">
        <f>lc_detailed!AP62</f>
        <v>59.501515860170294</v>
      </c>
      <c r="M61">
        <f>lc_detailed!AQ62</f>
        <v>16.528198850047307</v>
      </c>
      <c r="O61" t="str">
        <v>MIDAT_Bio_Ethanol_CCS_86_Wood</v>
      </c>
      <c r="P61">
        <v>0</v>
      </c>
      <c r="Q61">
        <v>5.0052727595303663</v>
      </c>
      <c r="R61">
        <v>52.50426245349567</v>
      </c>
      <c r="S61">
        <v>0</v>
      </c>
      <c r="T61">
        <v>31.877136094278278</v>
      </c>
      <c r="U61">
        <v>17.114470152035651</v>
      </c>
      <c r="V61">
        <v>0.80688022418708016</v>
      </c>
      <c r="W61">
        <v>-30.656319591097915</v>
      </c>
      <c r="X61">
        <v>1.8026894017680859E-4</v>
      </c>
      <c r="Y61">
        <v>76.651882361369317</v>
      </c>
      <c r="Z61">
        <v>21.292189544824804</v>
      </c>
    </row>
    <row r="62" spans="2:26">
      <c r="B62" t="str">
        <f>lc_detailed!B63</f>
        <v>CEN_DryMill_CCS_Fermentation</v>
      </c>
      <c r="C62">
        <f>lc_detailed!AT63</f>
        <v>0</v>
      </c>
      <c r="D62">
        <f>lc_detailed!AU63</f>
        <v>0.69621158107157877</v>
      </c>
      <c r="E62">
        <f>lc_detailed!AV63</f>
        <v>54.762078186656993</v>
      </c>
      <c r="F62">
        <f>lc_detailed!AW63</f>
        <v>4.3815246137313233</v>
      </c>
      <c r="G62">
        <f>lc_detailed!AX63</f>
        <v>1.1219173819252375</v>
      </c>
      <c r="H62">
        <f>lc_detailed!AY63</f>
        <v>7.8355578478551591</v>
      </c>
      <c r="I62">
        <f>lc_detailed!AZ63</f>
        <v>-8.1724348446793407</v>
      </c>
      <c r="J62">
        <f>lc_detailed!BB63</f>
        <v>-8.9615358403787848</v>
      </c>
      <c r="K62">
        <f>lc_detailed!BC63</f>
        <v>6.5363717197461213</v>
      </c>
      <c r="L62">
        <f>lc_detailed!AP63</f>
        <v>58.199690645928278</v>
      </c>
      <c r="M62">
        <f>lc_detailed!AQ63</f>
        <v>16.166580734980077</v>
      </c>
      <c r="O62" t="str">
        <v>MIDAT_Bio_Ethanol_CCS_86_Herb</v>
      </c>
      <c r="P62">
        <v>0</v>
      </c>
      <c r="Q62">
        <v>5.1994644802248535</v>
      </c>
      <c r="R62">
        <v>50.579072475406548</v>
      </c>
      <c r="S62">
        <v>0</v>
      </c>
      <c r="T62">
        <v>33.113887057984215</v>
      </c>
      <c r="U62">
        <v>17.778467613766406</v>
      </c>
      <c r="V62">
        <v>0.83818510339289298</v>
      </c>
      <c r="W62">
        <v>-30.595258532824619</v>
      </c>
      <c r="X62">
        <v>1.895915054659443E-4</v>
      </c>
      <c r="Y62">
        <v>76.914007789455766</v>
      </c>
      <c r="Z62">
        <v>21.365002163737714</v>
      </c>
    </row>
    <row r="63" spans="2:26">
      <c r="B63" t="str">
        <f>lc_detailed!B64</f>
        <v>SE_DryMill_CCS_Fermentation</v>
      </c>
      <c r="C63">
        <f>lc_detailed!AT64</f>
        <v>0</v>
      </c>
      <c r="D63">
        <f>lc_detailed!AU64</f>
        <v>1.0506813864995876</v>
      </c>
      <c r="E63">
        <f>lc_detailed!AV64</f>
        <v>54.762078186656993</v>
      </c>
      <c r="F63">
        <f>lc_detailed!AW64</f>
        <v>4.3815229815032604</v>
      </c>
      <c r="G63">
        <f>lc_detailed!AX64</f>
        <v>1.1219173819252375</v>
      </c>
      <c r="H63">
        <f>lc_detailed!AY64</f>
        <v>7.8355578478551591</v>
      </c>
      <c r="I63">
        <f>lc_detailed!AZ64</f>
        <v>-8.1724348446793407</v>
      </c>
      <c r="J63">
        <f>lc_detailed!BB64</f>
        <v>-7.1182795140210633</v>
      </c>
      <c r="K63">
        <f>lc_detailed!BC64</f>
        <v>6.5363717197461213</v>
      </c>
      <c r="L63">
        <f>lc_detailed!AP64</f>
        <v>60.397415145485944</v>
      </c>
      <c r="M63">
        <f>lc_detailed!AQ64</f>
        <v>16.777059762634988</v>
      </c>
      <c r="O63" t="str">
        <v>NCEN_Bio_Ethanol_Wood</v>
      </c>
      <c r="P63">
        <v>-3.3133631799431353</v>
      </c>
      <c r="Q63">
        <v>0</v>
      </c>
      <c r="R63">
        <v>55.672685171798946</v>
      </c>
      <c r="S63">
        <v>0</v>
      </c>
      <c r="T63">
        <v>16.695155510284405</v>
      </c>
      <c r="U63">
        <v>8.8057262575671658</v>
      </c>
      <c r="V63">
        <v>0.21685701893884632</v>
      </c>
      <c r="W63">
        <v>0</v>
      </c>
      <c r="X63">
        <v>-3.5102245176509884E-4</v>
      </c>
      <c r="Y63">
        <v>78.076709756194475</v>
      </c>
      <c r="Z63">
        <v>21.687974932276244</v>
      </c>
    </row>
    <row r="64" spans="2:26">
      <c r="B64" t="str">
        <f>lc_detailed!B65</f>
        <v>MIDAT_DryMill_CCS_Fermentation</v>
      </c>
      <c r="C64">
        <f>lc_detailed!AT65</f>
        <v>0</v>
      </c>
      <c r="D64">
        <f>lc_detailed!AU65</f>
        <v>1.0820498722750709</v>
      </c>
      <c r="E64">
        <f>lc_detailed!AV65</f>
        <v>54.762078186656993</v>
      </c>
      <c r="F64">
        <f>lc_detailed!AW65</f>
        <v>4.3819192864771539</v>
      </c>
      <c r="G64">
        <f>lc_detailed!AX65</f>
        <v>1.1219173819252375</v>
      </c>
      <c r="H64">
        <f>lc_detailed!AY65</f>
        <v>7.8355578478551591</v>
      </c>
      <c r="I64">
        <f>lc_detailed!AZ65</f>
        <v>-8.1724348446793407</v>
      </c>
      <c r="J64">
        <f>lc_detailed!BB65</f>
        <v>-6.379184937517909</v>
      </c>
      <c r="K64">
        <f>lc_detailed!BC65</f>
        <v>6.5363717197461213</v>
      </c>
      <c r="L64">
        <f>lc_detailed!AP65</f>
        <v>61.168274512738485</v>
      </c>
      <c r="M64">
        <f>lc_detailed!AQ65</f>
        <v>16.99118736464958</v>
      </c>
      <c r="O64" t="str">
        <v>CEN_Bio_Ethanol_Agri</v>
      </c>
      <c r="P64">
        <v>-2.7324164346314324</v>
      </c>
      <c r="Q64">
        <v>0</v>
      </c>
      <c r="R64">
        <v>52.868555686316462</v>
      </c>
      <c r="S64">
        <v>0</v>
      </c>
      <c r="T64">
        <v>18.5322120463203</v>
      </c>
      <c r="U64">
        <v>9.7746670359888874</v>
      </c>
      <c r="V64">
        <v>0.24071894725580401</v>
      </c>
      <c r="W64">
        <v>0</v>
      </c>
      <c r="X64">
        <v>5.6707765910897902E-4</v>
      </c>
      <c r="Y64">
        <v>78.684304358909131</v>
      </c>
      <c r="Z64">
        <v>21.856751210808092</v>
      </c>
    </row>
    <row r="65" spans="2:26">
      <c r="B65" t="str">
        <f>lc_detailed!B66</f>
        <v>NE_DryMill_CCS_Fermentation</v>
      </c>
      <c r="C65">
        <f>lc_detailed!AT66</f>
        <v>0</v>
      </c>
      <c r="D65">
        <f>lc_detailed!AU66</f>
        <v>1.3043611278934286</v>
      </c>
      <c r="E65">
        <f>lc_detailed!AV66</f>
        <v>54.762078186656993</v>
      </c>
      <c r="F65">
        <f>lc_detailed!AW66</f>
        <v>4.3818096007512652</v>
      </c>
      <c r="G65">
        <f>lc_detailed!AX66</f>
        <v>1.1219173819252375</v>
      </c>
      <c r="H65">
        <f>lc_detailed!AY66</f>
        <v>7.8355578478551591</v>
      </c>
      <c r="I65">
        <f>lc_detailed!AZ66</f>
        <v>-8.1724348446793407</v>
      </c>
      <c r="J65">
        <f>lc_detailed!BB66</f>
        <v>-5.3988405088643852</v>
      </c>
      <c r="K65">
        <f>lc_detailed!BC66</f>
        <v>6.5363717197461213</v>
      </c>
      <c r="L65">
        <f>lc_detailed!AP66</f>
        <v>62.370820511284471</v>
      </c>
      <c r="M65">
        <f>lc_detailed!AQ66</f>
        <v>17.325227919801247</v>
      </c>
      <c r="O65" t="str">
        <v>CEN_Bio_Ethanol_CCS_20_Wood</v>
      </c>
      <c r="P65">
        <v>0</v>
      </c>
      <c r="Q65">
        <v>0</v>
      </c>
      <c r="R65">
        <v>61.366317310471054</v>
      </c>
      <c r="S65">
        <v>0</v>
      </c>
      <c r="T65">
        <v>17.901596436060082</v>
      </c>
      <c r="U65">
        <v>9.4662278894074863</v>
      </c>
      <c r="V65">
        <v>0.23119160003853192</v>
      </c>
      <c r="W65">
        <v>-10.151386379577907</v>
      </c>
      <c r="X65">
        <v>-2.1400666811156562E-4</v>
      </c>
      <c r="Y65">
        <v>78.813732849731153</v>
      </c>
      <c r="Z65">
        <v>21.892703569369758</v>
      </c>
    </row>
    <row r="66" spans="2:26">
      <c r="B66" t="str">
        <f>lc_detailed!B67</f>
        <v>CA_DryMill_CCS_Fermentation_Exhaust</v>
      </c>
      <c r="C66">
        <f>lc_detailed!AT67</f>
        <v>0</v>
      </c>
      <c r="D66">
        <f>lc_detailed!AU67</f>
        <v>1.0048323719933401</v>
      </c>
      <c r="E66">
        <f>lc_detailed!AV67</f>
        <v>54.762078186656993</v>
      </c>
      <c r="F66">
        <f>lc_detailed!AW67</f>
        <v>4.4652582398505434</v>
      </c>
      <c r="G66">
        <f>lc_detailed!AX67</f>
        <v>1.8459716853700829</v>
      </c>
      <c r="H66">
        <f>lc_detailed!AY67</f>
        <v>8.2322589053372308</v>
      </c>
      <c r="I66">
        <f>lc_detailed!AZ67</f>
        <v>-8.1434431562275815</v>
      </c>
      <c r="J66">
        <f>lc_detailed!BB67</f>
        <v>-16.938539850807413</v>
      </c>
      <c r="K66">
        <f>lc_detailed!BC67</f>
        <v>6.5363717197461213</v>
      </c>
      <c r="L66">
        <f>lc_detailed!AP67</f>
        <v>51.764788101919315</v>
      </c>
      <c r="M66">
        <f>lc_detailed!AQ67</f>
        <v>14.379107806088697</v>
      </c>
      <c r="O66" t="str">
        <v>TX_Bio_Ethanol_CCS_86_Wood</v>
      </c>
      <c r="P66">
        <v>0</v>
      </c>
      <c r="Q66">
        <v>2.5876475319045533</v>
      </c>
      <c r="R66">
        <v>76.727098702434745</v>
      </c>
      <c r="S66">
        <v>0</v>
      </c>
      <c r="T66">
        <v>32.063035707016454</v>
      </c>
      <c r="U66">
        <v>17.214277530090971</v>
      </c>
      <c r="V66">
        <v>0.81158575108130426</v>
      </c>
      <c r="W66">
        <v>-49.651126037125074</v>
      </c>
      <c r="X66">
        <v>-1.1180988801480938E-4</v>
      </c>
      <c r="Y66">
        <v>79.752407375514949</v>
      </c>
      <c r="Z66">
        <v>22.153446493198601</v>
      </c>
    </row>
    <row r="67" spans="2:26">
      <c r="B67" t="str">
        <f>lc_detailed!B68</f>
        <v>NW_DryMill_CCS_Fermentation_Exhaust</v>
      </c>
      <c r="C67">
        <f>lc_detailed!AT68</f>
        <v>0</v>
      </c>
      <c r="D67">
        <f>lc_detailed!AU68</f>
        <v>0.73605181175742107</v>
      </c>
      <c r="E67">
        <f>lc_detailed!AV68</f>
        <v>54.762078186656993</v>
      </c>
      <c r="F67">
        <f>lc_detailed!AW68</f>
        <v>4.4658380072588102</v>
      </c>
      <c r="G67">
        <f>lc_detailed!AX68</f>
        <v>1.8459716853700829</v>
      </c>
      <c r="H67">
        <f>lc_detailed!AY68</f>
        <v>8.2322589053372308</v>
      </c>
      <c r="I67">
        <f>lc_detailed!AZ68</f>
        <v>-8.1434431562275815</v>
      </c>
      <c r="J67">
        <f>lc_detailed!BB68</f>
        <v>-16.797272991912497</v>
      </c>
      <c r="K67">
        <f>lc_detailed!BC68</f>
        <v>6.5363717197461213</v>
      </c>
      <c r="L67">
        <f>lc_detailed!AP68</f>
        <v>51.637854167986575</v>
      </c>
      <c r="M67">
        <f>lc_detailed!AQ68</f>
        <v>14.343848379996269</v>
      </c>
      <c r="O67" t="str">
        <v>CEN_Bio_Ethanol_Herb</v>
      </c>
      <c r="P67">
        <v>-2.7330397246070137</v>
      </c>
      <c r="Q67">
        <v>0</v>
      </c>
      <c r="R67">
        <v>55.653727327690454</v>
      </c>
      <c r="S67">
        <v>0</v>
      </c>
      <c r="T67">
        <v>17.45471442935871</v>
      </c>
      <c r="U67">
        <v>9.2063495350048488</v>
      </c>
      <c r="V67">
        <v>0.22672309552599759</v>
      </c>
      <c r="W67">
        <v>0</v>
      </c>
      <c r="X67">
        <v>4.590275527258122E-4</v>
      </c>
      <c r="Y67">
        <v>79.80893369052572</v>
      </c>
      <c r="Z67">
        <v>22.169148247368256</v>
      </c>
    </row>
    <row r="68" spans="2:26">
      <c r="B68" t="str">
        <f>lc_detailed!B69</f>
        <v>SW_DryMill_CCS_Fermentation_Exhaust</v>
      </c>
      <c r="C68">
        <f>lc_detailed!AT69</f>
        <v>0</v>
      </c>
      <c r="D68">
        <f>lc_detailed!AU69</f>
        <v>0.76970088018920757</v>
      </c>
      <c r="E68">
        <f>lc_detailed!AV69</f>
        <v>54.762078186656993</v>
      </c>
      <c r="F68">
        <f>lc_detailed!AW69</f>
        <v>4.4657883875256701</v>
      </c>
      <c r="G68">
        <f>lc_detailed!AX69</f>
        <v>1.8459716853700829</v>
      </c>
      <c r="H68">
        <f>lc_detailed!AY69</f>
        <v>8.2322589053372308</v>
      </c>
      <c r="I68">
        <f>lc_detailed!AZ69</f>
        <v>-8.1434431562275815</v>
      </c>
      <c r="J68">
        <f>lc_detailed!BB69</f>
        <v>-15.276872390600904</v>
      </c>
      <c r="K68">
        <f>lc_detailed!BC69</f>
        <v>6.5363717197461213</v>
      </c>
      <c r="L68">
        <f>lc_detailed!AP69</f>
        <v>53.19185421799682</v>
      </c>
      <c r="M68">
        <f>lc_detailed!AQ69</f>
        <v>14.775515060554669</v>
      </c>
      <c r="O68" t="str">
        <v>TX_Bio_Ethanol_CCS_20_Agri</v>
      </c>
      <c r="P68">
        <v>0</v>
      </c>
      <c r="Q68">
        <v>0</v>
      </c>
      <c r="R68">
        <v>61.656984276381351</v>
      </c>
      <c r="S68">
        <v>0</v>
      </c>
      <c r="T68">
        <v>20.577618492164735</v>
      </c>
      <c r="U68">
        <v>10.881287976961479</v>
      </c>
      <c r="V68">
        <v>0.26575130107407818</v>
      </c>
      <c r="W68">
        <v>-12.133809597520065</v>
      </c>
      <c r="X68">
        <v>-1.5835606181098123E-4</v>
      </c>
      <c r="Y68">
        <v>81.247674092999759</v>
      </c>
      <c r="Z68">
        <v>22.568798359166596</v>
      </c>
    </row>
    <row r="69" spans="2:26">
      <c r="B69" t="str">
        <f>lc_detailed!B70</f>
        <v>TX_DryMill_CCS_Fermentation_Exhaust</v>
      </c>
      <c r="C69">
        <f>lc_detailed!AT70</f>
        <v>0</v>
      </c>
      <c r="D69">
        <f>lc_detailed!AU70</f>
        <v>0.55615943203436513</v>
      </c>
      <c r="E69">
        <f>lc_detailed!AV70</f>
        <v>54.762078186656993</v>
      </c>
      <c r="F69">
        <f>lc_detailed!AW70</f>
        <v>4.3501972605025605</v>
      </c>
      <c r="G69">
        <f>lc_detailed!AX70</f>
        <v>1.8459716853700829</v>
      </c>
      <c r="H69">
        <f>lc_detailed!AY70</f>
        <v>8.2322589053372308</v>
      </c>
      <c r="I69">
        <f>lc_detailed!AZ70</f>
        <v>-8.1434431562275815</v>
      </c>
      <c r="J69">
        <f>lc_detailed!BB70</f>
        <v>-14.469605752651553</v>
      </c>
      <c r="K69">
        <f>lc_detailed!BC70</f>
        <v>6.5363717197461213</v>
      </c>
      <c r="L69">
        <f>lc_detailed!AP70</f>
        <v>53.669988280768223</v>
      </c>
      <c r="M69">
        <f>lc_detailed!AQ70</f>
        <v>14.90833007799117</v>
      </c>
      <c r="O69" t="str">
        <v>CEN_Bio_Ethanol_Wood</v>
      </c>
      <c r="P69">
        <v>-2.7334799882959251</v>
      </c>
      <c r="Q69">
        <v>0</v>
      </c>
      <c r="R69">
        <v>61.366317310471054</v>
      </c>
      <c r="S69">
        <v>0</v>
      </c>
      <c r="T69">
        <v>16.686310181770139</v>
      </c>
      <c r="U69">
        <v>8.8010608597811508</v>
      </c>
      <c r="V69">
        <v>0.2167421250361237</v>
      </c>
      <c r="W69">
        <v>0</v>
      </c>
      <c r="X69">
        <v>-2.1399058463716691E-4</v>
      </c>
      <c r="Y69">
        <v>84.336736498177885</v>
      </c>
      <c r="Z69">
        <v>23.426871249493857</v>
      </c>
    </row>
    <row r="70" spans="2:26">
      <c r="B70" t="str">
        <f>lc_detailed!B71</f>
        <v>NCEN_DryMill_CCS_Fermentation_Exhaust</v>
      </c>
      <c r="C70">
        <f>lc_detailed!AT71</f>
        <v>0</v>
      </c>
      <c r="D70">
        <f>lc_detailed!AU71</f>
        <v>0.8442129170953</v>
      </c>
      <c r="E70">
        <f>lc_detailed!AV71</f>
        <v>54.762078186656993</v>
      </c>
      <c r="F70">
        <f>lc_detailed!AW71</f>
        <v>4.381553993836472</v>
      </c>
      <c r="G70">
        <f>lc_detailed!AX71</f>
        <v>1.8459716853700829</v>
      </c>
      <c r="H70">
        <f>lc_detailed!AY71</f>
        <v>8.2322589053372308</v>
      </c>
      <c r="I70">
        <f>lc_detailed!AZ71</f>
        <v>-8.1434431562275815</v>
      </c>
      <c r="J70">
        <f>lc_detailed!BB71</f>
        <v>-11.1454403847841</v>
      </c>
      <c r="K70">
        <f>lc_detailed!BC71</f>
        <v>6.5363717197461213</v>
      </c>
      <c r="L70">
        <f>lc_detailed!AP71</f>
        <v>57.31356386703051</v>
      </c>
      <c r="M70">
        <f>lc_detailed!AQ71</f>
        <v>15.920434407508473</v>
      </c>
      <c r="O70" t="str">
        <v>TX_Bio_Ethanol_CCS_20_Herb</v>
      </c>
      <c r="P70">
        <v>0</v>
      </c>
      <c r="Q70">
        <v>0</v>
      </c>
      <c r="R70">
        <v>69.801451343555485</v>
      </c>
      <c r="S70">
        <v>0</v>
      </c>
      <c r="T70">
        <v>18.808407732679495</v>
      </c>
      <c r="U70">
        <v>9.945742798435214</v>
      </c>
      <c r="V70">
        <v>0.24290268711097615</v>
      </c>
      <c r="W70">
        <v>-11.472195094539575</v>
      </c>
      <c r="X70">
        <v>5.8713141747147304E-4</v>
      </c>
      <c r="Y70">
        <v>87.326896598659076</v>
      </c>
      <c r="Z70">
        <v>24.257471277405298</v>
      </c>
    </row>
    <row r="71" spans="2:26">
      <c r="B71" t="str">
        <f>lc_detailed!B72</f>
        <v>CEN_DryMill_CCS_Fermentation_Exhaust</v>
      </c>
      <c r="C71">
        <f>lc_detailed!AT72</f>
        <v>0</v>
      </c>
      <c r="D71">
        <f>lc_detailed!AU72</f>
        <v>0.69621158107157877</v>
      </c>
      <c r="E71">
        <f>lc_detailed!AV72</f>
        <v>54.762078186656993</v>
      </c>
      <c r="F71">
        <f>lc_detailed!AW72</f>
        <v>4.3815246137313233</v>
      </c>
      <c r="G71">
        <f>lc_detailed!AX72</f>
        <v>1.8459716853700829</v>
      </c>
      <c r="H71">
        <f>lc_detailed!AY72</f>
        <v>8.2322589053372308</v>
      </c>
      <c r="I71">
        <f>lc_detailed!AZ72</f>
        <v>-8.1434431562275815</v>
      </c>
      <c r="J71">
        <f>lc_detailed!BB72</f>
        <v>-12.792465719165941</v>
      </c>
      <c r="K71">
        <f>lc_detailed!BC72</f>
        <v>6.5363717197461213</v>
      </c>
      <c r="L71">
        <f>lc_detailed!AP72</f>
        <v>55.518507816519815</v>
      </c>
      <c r="M71">
        <f>lc_detailed!AQ72</f>
        <v>15.421807726811057</v>
      </c>
      <c r="O71" t="str">
        <v>TX_Bio_Ethanol_Agri</v>
      </c>
      <c r="P71">
        <v>-2.1829676197541801</v>
      </c>
      <c r="Q71">
        <v>0</v>
      </c>
      <c r="R71">
        <v>61.656984276381351</v>
      </c>
      <c r="S71">
        <v>0</v>
      </c>
      <c r="T71">
        <v>19.18066504229386</v>
      </c>
      <c r="U71">
        <v>10.11668838283558</v>
      </c>
      <c r="V71">
        <v>0.24914184475694828</v>
      </c>
      <c r="W71">
        <v>0</v>
      </c>
      <c r="X71">
        <v>-1.5833997834873722E-4</v>
      </c>
      <c r="Y71">
        <v>89.020353586535194</v>
      </c>
      <c r="Z71">
        <v>24.727875996259776</v>
      </c>
    </row>
    <row r="72" spans="2:26">
      <c r="B72" t="str">
        <f>lc_detailed!B73</f>
        <v>SE_DryMill_CCS_Fermentation_Exhaust</v>
      </c>
      <c r="C72">
        <f>lc_detailed!AT73</f>
        <v>0</v>
      </c>
      <c r="D72">
        <f>lc_detailed!AU73</f>
        <v>1.0506813864995876</v>
      </c>
      <c r="E72">
        <f>lc_detailed!AV73</f>
        <v>54.762078186656993</v>
      </c>
      <c r="F72">
        <f>lc_detailed!AW73</f>
        <v>4.3815229815032604</v>
      </c>
      <c r="G72">
        <f>lc_detailed!AX73</f>
        <v>1.8459716853700829</v>
      </c>
      <c r="H72">
        <f>lc_detailed!AY73</f>
        <v>8.2322589053372308</v>
      </c>
      <c r="I72">
        <f>lc_detailed!AZ73</f>
        <v>-8.1434431562275815</v>
      </c>
      <c r="J72">
        <f>lc_detailed!BB73</f>
        <v>-10.161243372174775</v>
      </c>
      <c r="K72">
        <f>lc_detailed!BC73</f>
        <v>6.5363717197461213</v>
      </c>
      <c r="L72">
        <f>lc_detailed!AP73</f>
        <v>58.504198336710928</v>
      </c>
      <c r="M72">
        <f>lc_detailed!AQ73</f>
        <v>16.251166204641923</v>
      </c>
      <c r="O72" t="str">
        <v>TX_Bio_Ethanol_CCS_20_Wood</v>
      </c>
      <c r="P72">
        <v>0</v>
      </c>
      <c r="Q72">
        <v>0</v>
      </c>
      <c r="R72">
        <v>76.727098702434745</v>
      </c>
      <c r="S72">
        <v>0</v>
      </c>
      <c r="T72">
        <v>18.062542897676021</v>
      </c>
      <c r="U72">
        <v>9.551335152834632</v>
      </c>
      <c r="V72">
        <v>0.23327015599941681</v>
      </c>
      <c r="W72">
        <v>-11.789119139782237</v>
      </c>
      <c r="X72">
        <v>-1.1180988803911878E-4</v>
      </c>
      <c r="Y72">
        <v>92.785015959274546</v>
      </c>
      <c r="Z72">
        <v>25.773615544242929</v>
      </c>
    </row>
    <row r="73" spans="2:26">
      <c r="B73" t="str">
        <f>lc_detailed!B74</f>
        <v>MIDAT_DryMill_CCS_Fermentation_Exhaust</v>
      </c>
      <c r="C73">
        <f>lc_detailed!AT74</f>
        <v>0</v>
      </c>
      <c r="D73">
        <f>lc_detailed!AU74</f>
        <v>1.0820498722750709</v>
      </c>
      <c r="E73">
        <f>lc_detailed!AV74</f>
        <v>54.762078186656993</v>
      </c>
      <c r="F73">
        <f>lc_detailed!AW74</f>
        <v>4.3819192864771539</v>
      </c>
      <c r="G73">
        <f>lc_detailed!AX74</f>
        <v>1.8459716853700829</v>
      </c>
      <c r="H73">
        <f>lc_detailed!AY74</f>
        <v>8.2322589053372308</v>
      </c>
      <c r="I73">
        <f>lc_detailed!AZ74</f>
        <v>-8.1434431562275815</v>
      </c>
      <c r="J73">
        <f>lc_detailed!BB74</f>
        <v>-9.106196313105217</v>
      </c>
      <c r="K73">
        <f>lc_detailed!BC74</f>
        <v>6.5363717197461213</v>
      </c>
      <c r="L73">
        <f>lc_detailed!AP74</f>
        <v>59.591010186529857</v>
      </c>
      <c r="M73">
        <f>lc_detailed!AQ74</f>
        <v>16.553058385147182</v>
      </c>
      <c r="O73" t="str">
        <v>TX_Bio_Ethanol_Herb</v>
      </c>
      <c r="P73">
        <v>-2.1826272589443856</v>
      </c>
      <c r="Q73">
        <v>0</v>
      </c>
      <c r="R73">
        <v>69.801451343555485</v>
      </c>
      <c r="S73">
        <v>0</v>
      </c>
      <c r="T73">
        <v>17.531560750666046</v>
      </c>
      <c r="U73">
        <v>9.2468815126145572</v>
      </c>
      <c r="V73">
        <v>0.22772126916654017</v>
      </c>
      <c r="W73">
        <v>0</v>
      </c>
      <c r="X73">
        <v>5.8714750045968378E-4</v>
      </c>
      <c r="Y73">
        <v>94.625574764558692</v>
      </c>
      <c r="Z73">
        <v>26.284881879044079</v>
      </c>
    </row>
    <row r="74" spans="2:26">
      <c r="B74" t="str">
        <f>lc_detailed!B75</f>
        <v>NE_DryMill_CCS_Fermentation_Exhaust</v>
      </c>
      <c r="C74">
        <f>lc_detailed!AT75</f>
        <v>0</v>
      </c>
      <c r="D74">
        <f>lc_detailed!AU75</f>
        <v>1.3043611278934286</v>
      </c>
      <c r="E74">
        <f>lc_detailed!AV75</f>
        <v>54.762078186656993</v>
      </c>
      <c r="F74">
        <f>lc_detailed!AW75</f>
        <v>4.3818096007512652</v>
      </c>
      <c r="G74">
        <f>lc_detailed!AX75</f>
        <v>1.8459716853700829</v>
      </c>
      <c r="H74">
        <f>lc_detailed!AY75</f>
        <v>8.2322589053372308</v>
      </c>
      <c r="I74">
        <f>lc_detailed!AZ75</f>
        <v>-8.1434431562275815</v>
      </c>
      <c r="J74">
        <f>lc_detailed!BB75</f>
        <v>-7.7067685007409219</v>
      </c>
      <c r="K74">
        <f>lc_detailed!BC75</f>
        <v>6.5363717197461213</v>
      </c>
      <c r="L74">
        <f>lc_detailed!AP75</f>
        <v>61.212639568786614</v>
      </c>
      <c r="M74">
        <f>lc_detailed!AQ75</f>
        <v>17.003510991329616</v>
      </c>
      <c r="O74" t="str">
        <v>TX_Bio_Ethanol_Wood</v>
      </c>
      <c r="P74">
        <v>-2.1835733922340474</v>
      </c>
      <c r="Q74">
        <v>0</v>
      </c>
      <c r="R74">
        <v>76.727098702434745</v>
      </c>
      <c r="S74">
        <v>0</v>
      </c>
      <c r="T74">
        <v>16.836330465758454</v>
      </c>
      <c r="U74">
        <v>8.8801878588120839</v>
      </c>
      <c r="V74">
        <v>0.21869077124945327</v>
      </c>
      <c r="W74">
        <v>0</v>
      </c>
      <c r="X74">
        <v>-1.1179380457687476E-4</v>
      </c>
      <c r="Y74">
        <v>100.4786226122161</v>
      </c>
      <c r="Z74">
        <v>27.910728503393361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2026-06-23T04:09:57Z</dcterms:modified>
</cp:coreProperties>
</file>