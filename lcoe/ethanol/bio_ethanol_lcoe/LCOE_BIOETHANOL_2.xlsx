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Desktop/Dolphyn_to_Macro/Dolphyn vs. Macro/Python Codes/lcoe/ethanol/bio_ethanol_lcoe/"/>
    </mc:Choice>
  </mc:AlternateContent>
  <xr:revisionPtr revIDLastSave="0" documentId="13_ncr:1_{12FF7152-09D0-8245-ACC7-496C1E68D98D}" xr6:coauthVersionLast="47" xr6:coauthVersionMax="47" xr10:uidLastSave="{00000000-0000-0000-0000-000000000000}"/>
  <bookViews>
    <workbookView xWindow="0" yWindow="740" windowWidth="29400" windowHeight="17500" xr2:uid="{00000000-000D-0000-FFFF-FFFF00000000}"/>
  </bookViews>
  <sheets>
    <sheet name="lc_detailed" sheetId="1" r:id="rId1"/>
    <sheet name="lc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4" i="2" l="1"/>
  <c r="C74" i="2"/>
  <c r="B74" i="2"/>
  <c r="M73" i="2"/>
  <c r="J73" i="2"/>
  <c r="F73" i="2"/>
  <c r="B73" i="2"/>
  <c r="M72" i="2"/>
  <c r="C72" i="2"/>
  <c r="B72" i="2"/>
  <c r="M71" i="2"/>
  <c r="J71" i="2"/>
  <c r="B71" i="2"/>
  <c r="M70" i="2"/>
  <c r="B70" i="2"/>
  <c r="M69" i="2"/>
  <c r="B69" i="2"/>
  <c r="M68" i="2"/>
  <c r="B68" i="2"/>
  <c r="M67" i="2"/>
  <c r="F67" i="2"/>
  <c r="B67" i="2"/>
  <c r="M66" i="2"/>
  <c r="B66" i="2"/>
  <c r="M65" i="2"/>
  <c r="F65" i="2"/>
  <c r="B65" i="2"/>
  <c r="M64" i="2"/>
  <c r="C64" i="2"/>
  <c r="B64" i="2"/>
  <c r="M63" i="2"/>
  <c r="B63" i="2"/>
  <c r="M62" i="2"/>
  <c r="C62" i="2"/>
  <c r="B62" i="2"/>
  <c r="M61" i="2"/>
  <c r="F61" i="2"/>
  <c r="B61" i="2"/>
  <c r="M60" i="2"/>
  <c r="B60" i="2"/>
  <c r="M59" i="2"/>
  <c r="F59" i="2"/>
  <c r="B59" i="2"/>
  <c r="M58" i="2"/>
  <c r="H58" i="2"/>
  <c r="B58" i="2"/>
  <c r="M57" i="2"/>
  <c r="B57" i="2"/>
  <c r="M56" i="2"/>
  <c r="J56" i="2"/>
  <c r="B56" i="2"/>
  <c r="M55" i="2"/>
  <c r="B55" i="2"/>
  <c r="M54" i="2"/>
  <c r="H54" i="2"/>
  <c r="B54" i="2"/>
  <c r="M53" i="2"/>
  <c r="B53" i="2"/>
  <c r="M52" i="2"/>
  <c r="B52" i="2"/>
  <c r="M51" i="2"/>
  <c r="B51" i="2"/>
  <c r="M50" i="2"/>
  <c r="B50" i="2"/>
  <c r="M49" i="2"/>
  <c r="B49" i="2"/>
  <c r="M48" i="2"/>
  <c r="F48" i="2"/>
  <c r="B48" i="2"/>
  <c r="M47" i="2"/>
  <c r="B47" i="2"/>
  <c r="M46" i="2"/>
  <c r="B46" i="2"/>
  <c r="M45" i="2"/>
  <c r="B45" i="2"/>
  <c r="M44" i="2"/>
  <c r="B44" i="2"/>
  <c r="M43" i="2"/>
  <c r="B43" i="2"/>
  <c r="M42" i="2"/>
  <c r="B42" i="2"/>
  <c r="M41" i="2"/>
  <c r="B41" i="2"/>
  <c r="M40" i="2"/>
  <c r="H40" i="2"/>
  <c r="B40" i="2"/>
  <c r="M39" i="2"/>
  <c r="B39" i="2"/>
  <c r="M38" i="2"/>
  <c r="B38" i="2"/>
  <c r="M37" i="2"/>
  <c r="B37" i="2"/>
  <c r="M36" i="2"/>
  <c r="B36" i="2"/>
  <c r="M35" i="2"/>
  <c r="B35" i="2"/>
  <c r="M34" i="2"/>
  <c r="B34" i="2"/>
  <c r="M33" i="2"/>
  <c r="B33" i="2"/>
  <c r="M32" i="2"/>
  <c r="B32" i="2"/>
  <c r="M31" i="2"/>
  <c r="B31" i="2"/>
  <c r="M30" i="2"/>
  <c r="B30" i="2"/>
  <c r="M29" i="2"/>
  <c r="B29" i="2"/>
  <c r="M28" i="2"/>
  <c r="B28" i="2"/>
  <c r="M27" i="2"/>
  <c r="B27" i="2"/>
  <c r="M26" i="2"/>
  <c r="B26" i="2"/>
  <c r="M25" i="2"/>
  <c r="B25" i="2"/>
  <c r="M24" i="2"/>
  <c r="B24" i="2"/>
  <c r="M23" i="2"/>
  <c r="B23" i="2"/>
  <c r="M22" i="2"/>
  <c r="B22" i="2"/>
  <c r="M21" i="2"/>
  <c r="B21" i="2"/>
  <c r="M20" i="2"/>
  <c r="B20" i="2"/>
  <c r="M19" i="2"/>
  <c r="B19" i="2"/>
  <c r="M18" i="2"/>
  <c r="B18" i="2"/>
  <c r="M17" i="2"/>
  <c r="B17" i="2"/>
  <c r="M16" i="2"/>
  <c r="B16" i="2"/>
  <c r="M15" i="2"/>
  <c r="B15" i="2"/>
  <c r="M14" i="2"/>
  <c r="B14" i="2"/>
  <c r="M13" i="2"/>
  <c r="B13" i="2"/>
  <c r="M12" i="2"/>
  <c r="B12" i="2"/>
  <c r="M11" i="2"/>
  <c r="B11" i="2"/>
  <c r="M10" i="2"/>
  <c r="B10" i="2"/>
  <c r="M9" i="2"/>
  <c r="B9" i="2"/>
  <c r="M8" i="2"/>
  <c r="B8" i="2"/>
  <c r="M7" i="2"/>
  <c r="B7" i="2"/>
  <c r="M6" i="2"/>
  <c r="B6" i="2"/>
  <c r="M5" i="2"/>
  <c r="B5" i="2"/>
  <c r="M4" i="2"/>
  <c r="B4" i="2"/>
  <c r="M3" i="2"/>
  <c r="B3" i="2"/>
  <c r="BD75" i="1"/>
  <c r="BC75" i="1"/>
  <c r="BB75" i="1"/>
  <c r="BA75" i="1"/>
  <c r="AZ75" i="1"/>
  <c r="AX75" i="1"/>
  <c r="AW75" i="1"/>
  <c r="BF75" i="1" s="1"/>
  <c r="AS75" i="1"/>
  <c r="AP75" i="1"/>
  <c r="AM75" i="1"/>
  <c r="AK75" i="1"/>
  <c r="I74" i="2" s="1"/>
  <c r="AJ75" i="1"/>
  <c r="H74" i="2" s="1"/>
  <c r="AI75" i="1"/>
  <c r="G74" i="2" s="1"/>
  <c r="AH75" i="1"/>
  <c r="F74" i="2" s="1"/>
  <c r="AG75" i="1" a="1"/>
  <c r="AG75" i="1" s="1"/>
  <c r="E74" i="2" s="1"/>
  <c r="AF75" i="1"/>
  <c r="D74" i="2" s="1"/>
  <c r="AE75" i="1"/>
  <c r="AA75" i="1"/>
  <c r="Z75" i="1"/>
  <c r="BD74" i="1"/>
  <c r="BC74" i="1"/>
  <c r="BB74" i="1"/>
  <c r="BA74" i="1"/>
  <c r="AZ74" i="1"/>
  <c r="AX74" i="1"/>
  <c r="AS74" i="1"/>
  <c r="AW74" i="1" s="1"/>
  <c r="AP74" i="1"/>
  <c r="AM74" i="1"/>
  <c r="AK74" i="1"/>
  <c r="I73" i="2" s="1"/>
  <c r="AJ74" i="1"/>
  <c r="H73" i="2" s="1"/>
  <c r="AI74" i="1"/>
  <c r="G73" i="2" s="1"/>
  <c r="AH74" i="1"/>
  <c r="AG74" i="1" a="1"/>
  <c r="AG74" i="1"/>
  <c r="E73" i="2" s="1"/>
  <c r="AF74" i="1"/>
  <c r="D73" i="2" s="1"/>
  <c r="AE74" i="1"/>
  <c r="C73" i="2" s="1"/>
  <c r="AA74" i="1"/>
  <c r="Z74" i="1"/>
  <c r="BD73" i="1"/>
  <c r="BC73" i="1"/>
  <c r="BB73" i="1"/>
  <c r="BA73" i="1"/>
  <c r="AZ73" i="1"/>
  <c r="AX73" i="1"/>
  <c r="AS73" i="1"/>
  <c r="AW73" i="1" s="1"/>
  <c r="AP73" i="1"/>
  <c r="AM73" i="1"/>
  <c r="AK73" i="1"/>
  <c r="I72" i="2" s="1"/>
  <c r="AJ73" i="1"/>
  <c r="H72" i="2" s="1"/>
  <c r="AI73" i="1"/>
  <c r="G72" i="2" s="1"/>
  <c r="AH73" i="1"/>
  <c r="F72" i="2" s="1"/>
  <c r="AG73" i="1" a="1"/>
  <c r="AG73" i="1" s="1"/>
  <c r="E72" i="2" s="1"/>
  <c r="AF73" i="1"/>
  <c r="D72" i="2" s="1"/>
  <c r="AE73" i="1"/>
  <c r="AA73" i="1"/>
  <c r="Z73" i="1"/>
  <c r="BD72" i="1"/>
  <c r="BC72" i="1"/>
  <c r="BB72" i="1"/>
  <c r="BA72" i="1"/>
  <c r="AZ72" i="1"/>
  <c r="AX72" i="1"/>
  <c r="AS72" i="1"/>
  <c r="AW72" i="1" s="1"/>
  <c r="AP72" i="1"/>
  <c r="AM72" i="1"/>
  <c r="AK72" i="1"/>
  <c r="I71" i="2" s="1"/>
  <c r="AJ72" i="1"/>
  <c r="H71" i="2" s="1"/>
  <c r="AI72" i="1"/>
  <c r="G71" i="2" s="1"/>
  <c r="AH72" i="1"/>
  <c r="F71" i="2" s="1"/>
  <c r="AG72" i="1" a="1"/>
  <c r="AG72" i="1" s="1"/>
  <c r="E71" i="2" s="1"/>
  <c r="AF72" i="1"/>
  <c r="D71" i="2" s="1"/>
  <c r="AE72" i="1"/>
  <c r="C71" i="2" s="1"/>
  <c r="AA72" i="1"/>
  <c r="Z72" i="1"/>
  <c r="BD71" i="1"/>
  <c r="BC71" i="1"/>
  <c r="BB71" i="1"/>
  <c r="BA71" i="1"/>
  <c r="AZ71" i="1"/>
  <c r="AX71" i="1"/>
  <c r="AW71" i="1"/>
  <c r="AS71" i="1"/>
  <c r="AP71" i="1"/>
  <c r="AO71" i="1"/>
  <c r="AQ71" i="1" s="1"/>
  <c r="AC71" i="1" s="1"/>
  <c r="L70" i="2" s="1"/>
  <c r="AM71" i="1"/>
  <c r="AK71" i="1"/>
  <c r="I70" i="2" s="1"/>
  <c r="AJ71" i="1"/>
  <c r="H70" i="2" s="1"/>
  <c r="AI71" i="1"/>
  <c r="G70" i="2" s="1"/>
  <c r="AH71" i="1"/>
  <c r="F70" i="2" s="1"/>
  <c r="AG71" i="1" a="1"/>
  <c r="AG71" i="1"/>
  <c r="E70" i="2" s="1"/>
  <c r="AF71" i="1"/>
  <c r="D70" i="2" s="1"/>
  <c r="AE71" i="1"/>
  <c r="C70" i="2" s="1"/>
  <c r="AA71" i="1"/>
  <c r="Z71" i="1"/>
  <c r="BD70" i="1"/>
  <c r="BC70" i="1"/>
  <c r="BB70" i="1"/>
  <c r="BA70" i="1"/>
  <c r="AO70" i="1" s="1"/>
  <c r="AQ70" i="1" s="1"/>
  <c r="AC70" i="1" s="1"/>
  <c r="L69" i="2" s="1"/>
  <c r="AZ70" i="1"/>
  <c r="AX70" i="1"/>
  <c r="AS70" i="1"/>
  <c r="AW70" i="1" s="1"/>
  <c r="BF70" i="1" s="1"/>
  <c r="AP70" i="1"/>
  <c r="AM70" i="1"/>
  <c r="J69" i="2" s="1"/>
  <c r="AK70" i="1"/>
  <c r="I69" i="2" s="1"/>
  <c r="AJ70" i="1"/>
  <c r="H69" i="2" s="1"/>
  <c r="AI70" i="1"/>
  <c r="G69" i="2" s="1"/>
  <c r="AH70" i="1"/>
  <c r="F69" i="2" s="1"/>
  <c r="AG70" i="1" a="1"/>
  <c r="AG70" i="1" s="1"/>
  <c r="E69" i="2" s="1"/>
  <c r="AF70" i="1"/>
  <c r="D69" i="2" s="1"/>
  <c r="AE70" i="1"/>
  <c r="C69" i="2" s="1"/>
  <c r="AA70" i="1"/>
  <c r="Z70" i="1"/>
  <c r="BD69" i="1"/>
  <c r="BC69" i="1"/>
  <c r="BB69" i="1"/>
  <c r="BA69" i="1"/>
  <c r="AZ69" i="1"/>
  <c r="AX69" i="1"/>
  <c r="AW69" i="1"/>
  <c r="BF69" i="1" s="1"/>
  <c r="AS69" i="1"/>
  <c r="AP69" i="1"/>
  <c r="AM69" i="1"/>
  <c r="J68" i="2" s="1"/>
  <c r="AK69" i="1"/>
  <c r="I68" i="2" s="1"/>
  <c r="AJ69" i="1"/>
  <c r="H68" i="2" s="1"/>
  <c r="AI69" i="1"/>
  <c r="G68" i="2" s="1"/>
  <c r="AH69" i="1"/>
  <c r="F68" i="2" s="1"/>
  <c r="AG69" i="1" a="1"/>
  <c r="AG69" i="1" s="1"/>
  <c r="E68" i="2" s="1"/>
  <c r="AF69" i="1"/>
  <c r="D68" i="2" s="1"/>
  <c r="AE69" i="1"/>
  <c r="C68" i="2" s="1"/>
  <c r="AA69" i="1"/>
  <c r="Z69" i="1"/>
  <c r="BD68" i="1"/>
  <c r="BC68" i="1"/>
  <c r="BB68" i="1"/>
  <c r="BA68" i="1"/>
  <c r="AZ68" i="1"/>
  <c r="AX68" i="1"/>
  <c r="AW68" i="1"/>
  <c r="BF68" i="1" s="1"/>
  <c r="AS68" i="1"/>
  <c r="AP68" i="1"/>
  <c r="AM68" i="1"/>
  <c r="J67" i="2" s="1"/>
  <c r="AK68" i="1"/>
  <c r="I67" i="2" s="1"/>
  <c r="AJ68" i="1"/>
  <c r="H67" i="2" s="1"/>
  <c r="AI68" i="1"/>
  <c r="G67" i="2" s="1"/>
  <c r="AH68" i="1"/>
  <c r="AG68" i="1" a="1"/>
  <c r="AG68" i="1"/>
  <c r="E67" i="2" s="1"/>
  <c r="AF68" i="1"/>
  <c r="D67" i="2" s="1"/>
  <c r="AE68" i="1"/>
  <c r="C67" i="2" s="1"/>
  <c r="AA68" i="1"/>
  <c r="Z68" i="1"/>
  <c r="BD67" i="1"/>
  <c r="BC67" i="1"/>
  <c r="BB67" i="1"/>
  <c r="BA67" i="1"/>
  <c r="AZ67" i="1"/>
  <c r="AX67" i="1"/>
  <c r="AW67" i="1"/>
  <c r="AL67" i="1" s="1"/>
  <c r="AN67" i="1" s="1"/>
  <c r="K66" i="2" s="1"/>
  <c r="AS67" i="1"/>
  <c r="AP67" i="1"/>
  <c r="AM67" i="1"/>
  <c r="J66" i="2" s="1"/>
  <c r="AK67" i="1"/>
  <c r="I66" i="2" s="1"/>
  <c r="AJ67" i="1"/>
  <c r="H66" i="2" s="1"/>
  <c r="AI67" i="1"/>
  <c r="G66" i="2" s="1"/>
  <c r="AH67" i="1"/>
  <c r="F66" i="2" s="1"/>
  <c r="AG67" i="1" a="1"/>
  <c r="AG67" i="1"/>
  <c r="E66" i="2" s="1"/>
  <c r="AF67" i="1"/>
  <c r="D66" i="2" s="1"/>
  <c r="AE67" i="1"/>
  <c r="C66" i="2" s="1"/>
  <c r="AA67" i="1"/>
  <c r="Z67" i="1"/>
  <c r="BD66" i="1"/>
  <c r="BC66" i="1"/>
  <c r="BB66" i="1"/>
  <c r="BA66" i="1"/>
  <c r="AZ66" i="1"/>
  <c r="AX66" i="1"/>
  <c r="AS66" i="1"/>
  <c r="AW66" i="1" s="1"/>
  <c r="AP66" i="1"/>
  <c r="AM66" i="1"/>
  <c r="AK66" i="1"/>
  <c r="I65" i="2" s="1"/>
  <c r="AJ66" i="1"/>
  <c r="H65" i="2" s="1"/>
  <c r="AI66" i="1"/>
  <c r="G65" i="2" s="1"/>
  <c r="AH66" i="1"/>
  <c r="AG66" i="1" a="1"/>
  <c r="AG66" i="1" s="1"/>
  <c r="E65" i="2" s="1"/>
  <c r="AF66" i="1"/>
  <c r="D65" i="2" s="1"/>
  <c r="AE66" i="1"/>
  <c r="C65" i="2" s="1"/>
  <c r="AA66" i="1"/>
  <c r="Z66" i="1"/>
  <c r="BD65" i="1"/>
  <c r="BC65" i="1"/>
  <c r="BB65" i="1"/>
  <c r="BA65" i="1"/>
  <c r="AZ65" i="1"/>
  <c r="AX65" i="1"/>
  <c r="AS65" i="1"/>
  <c r="AW65" i="1" s="1"/>
  <c r="AP65" i="1"/>
  <c r="AM65" i="1"/>
  <c r="J64" i="2" s="1"/>
  <c r="AK65" i="1"/>
  <c r="I64" i="2" s="1"/>
  <c r="AJ65" i="1"/>
  <c r="H64" i="2" s="1"/>
  <c r="AI65" i="1"/>
  <c r="G64" i="2" s="1"/>
  <c r="AH65" i="1"/>
  <c r="F64" i="2" s="1"/>
  <c r="AG65" i="1" a="1"/>
  <c r="AG65" i="1"/>
  <c r="E64" i="2" s="1"/>
  <c r="AF65" i="1"/>
  <c r="D64" i="2" s="1"/>
  <c r="AE65" i="1"/>
  <c r="AA65" i="1"/>
  <c r="Z65" i="1"/>
  <c r="BD64" i="1"/>
  <c r="BC64" i="1"/>
  <c r="BB64" i="1"/>
  <c r="BA64" i="1"/>
  <c r="AZ64" i="1"/>
  <c r="AX64" i="1"/>
  <c r="AS64" i="1"/>
  <c r="AW64" i="1" s="1"/>
  <c r="AP64" i="1"/>
  <c r="AM64" i="1"/>
  <c r="AK64" i="1"/>
  <c r="I63" i="2" s="1"/>
  <c r="AJ64" i="1"/>
  <c r="H63" i="2" s="1"/>
  <c r="AI64" i="1"/>
  <c r="G63" i="2" s="1"/>
  <c r="AH64" i="1"/>
  <c r="F63" i="2" s="1"/>
  <c r="AG64" i="1" a="1"/>
  <c r="AG64" i="1" s="1"/>
  <c r="E63" i="2" s="1"/>
  <c r="AF64" i="1"/>
  <c r="D63" i="2" s="1"/>
  <c r="AE64" i="1"/>
  <c r="C63" i="2" s="1"/>
  <c r="AA64" i="1"/>
  <c r="Z64" i="1"/>
  <c r="BD63" i="1"/>
  <c r="BC63" i="1"/>
  <c r="BB63" i="1"/>
  <c r="BA63" i="1"/>
  <c r="AZ63" i="1"/>
  <c r="AX63" i="1"/>
  <c r="AW63" i="1"/>
  <c r="AS63" i="1"/>
  <c r="AQ63" i="1"/>
  <c r="AP63" i="1"/>
  <c r="AO63" i="1"/>
  <c r="AM63" i="1"/>
  <c r="J62" i="2" s="1"/>
  <c r="AK63" i="1"/>
  <c r="I62" i="2" s="1"/>
  <c r="AJ63" i="1"/>
  <c r="H62" i="2" s="1"/>
  <c r="AI63" i="1"/>
  <c r="G62" i="2" s="1"/>
  <c r="AH63" i="1"/>
  <c r="F62" i="2" s="1"/>
  <c r="AG63" i="1" a="1"/>
  <c r="AG63" i="1"/>
  <c r="E62" i="2" s="1"/>
  <c r="AF63" i="1"/>
  <c r="D62" i="2" s="1"/>
  <c r="AE63" i="1"/>
  <c r="AA63" i="1"/>
  <c r="Z63" i="1"/>
  <c r="BD62" i="1"/>
  <c r="BC62" i="1"/>
  <c r="BB62" i="1"/>
  <c r="BA62" i="1"/>
  <c r="AZ62" i="1"/>
  <c r="AX62" i="1"/>
  <c r="AW62" i="1"/>
  <c r="AS62" i="1"/>
  <c r="AP62" i="1"/>
  <c r="AM62" i="1"/>
  <c r="J61" i="2" s="1"/>
  <c r="AK62" i="1"/>
  <c r="I61" i="2" s="1"/>
  <c r="AJ62" i="1"/>
  <c r="H61" i="2" s="1"/>
  <c r="AI62" i="1"/>
  <c r="G61" i="2" s="1"/>
  <c r="AH62" i="1"/>
  <c r="AG62" i="1" a="1"/>
  <c r="AG62" i="1"/>
  <c r="E61" i="2" s="1"/>
  <c r="AF62" i="1"/>
  <c r="D61" i="2" s="1"/>
  <c r="AE62" i="1"/>
  <c r="C61" i="2" s="1"/>
  <c r="AA62" i="1"/>
  <c r="Z62" i="1"/>
  <c r="BD61" i="1"/>
  <c r="BC61" i="1"/>
  <c r="BB61" i="1"/>
  <c r="BA61" i="1"/>
  <c r="AZ61" i="1"/>
  <c r="AX61" i="1"/>
  <c r="AS61" i="1"/>
  <c r="AW61" i="1" s="1"/>
  <c r="AP61" i="1"/>
  <c r="AM61" i="1"/>
  <c r="AK61" i="1"/>
  <c r="I60" i="2" s="1"/>
  <c r="AJ61" i="1"/>
  <c r="H60" i="2" s="1"/>
  <c r="AI61" i="1"/>
  <c r="G60" i="2" s="1"/>
  <c r="AH61" i="1"/>
  <c r="F60" i="2" s="1"/>
  <c r="AG61" i="1" a="1"/>
  <c r="AG61" i="1"/>
  <c r="E60" i="2" s="1"/>
  <c r="AF61" i="1"/>
  <c r="D60" i="2" s="1"/>
  <c r="AE61" i="1"/>
  <c r="C60" i="2" s="1"/>
  <c r="AA61" i="1"/>
  <c r="Z61" i="1"/>
  <c r="BD60" i="1"/>
  <c r="BC60" i="1"/>
  <c r="BB60" i="1"/>
  <c r="BA60" i="1"/>
  <c r="AZ60" i="1"/>
  <c r="AX60" i="1"/>
  <c r="AS60" i="1"/>
  <c r="AW60" i="1" s="1"/>
  <c r="AP60" i="1"/>
  <c r="AM60" i="1"/>
  <c r="J59" i="2" s="1"/>
  <c r="AK60" i="1"/>
  <c r="I59" i="2" s="1"/>
  <c r="AJ60" i="1"/>
  <c r="H59" i="2" s="1"/>
  <c r="AI60" i="1"/>
  <c r="G59" i="2" s="1"/>
  <c r="AH60" i="1"/>
  <c r="AG60" i="1" a="1"/>
  <c r="AG60" i="1" s="1"/>
  <c r="E59" i="2" s="1"/>
  <c r="AF60" i="1"/>
  <c r="D59" i="2" s="1"/>
  <c r="AE60" i="1"/>
  <c r="C59" i="2" s="1"/>
  <c r="AA60" i="1"/>
  <c r="Z60" i="1"/>
  <c r="BD59" i="1"/>
  <c r="BC59" i="1"/>
  <c r="BB59" i="1"/>
  <c r="BA59" i="1"/>
  <c r="AZ59" i="1"/>
  <c r="AX59" i="1"/>
  <c r="AW59" i="1"/>
  <c r="AS59" i="1"/>
  <c r="AP59" i="1"/>
  <c r="AM59" i="1"/>
  <c r="J58" i="2" s="1"/>
  <c r="AK59" i="1"/>
  <c r="I58" i="2" s="1"/>
  <c r="AJ59" i="1"/>
  <c r="AI59" i="1"/>
  <c r="G58" i="2" s="1"/>
  <c r="AH59" i="1"/>
  <c r="F58" i="2" s="1"/>
  <c r="AG59" i="1" a="1"/>
  <c r="AG59" i="1"/>
  <c r="E58" i="2" s="1"/>
  <c r="AF59" i="1"/>
  <c r="D58" i="2" s="1"/>
  <c r="AE59" i="1"/>
  <c r="C58" i="2" s="1"/>
  <c r="AA59" i="1"/>
  <c r="Z59" i="1"/>
  <c r="BD58" i="1"/>
  <c r="BC58" i="1"/>
  <c r="BB58" i="1"/>
  <c r="BA58" i="1"/>
  <c r="AZ58" i="1"/>
  <c r="AX58" i="1"/>
  <c r="AW58" i="1"/>
  <c r="AS58" i="1"/>
  <c r="AP58" i="1"/>
  <c r="AM58" i="1"/>
  <c r="J57" i="2" s="1"/>
  <c r="AK58" i="1"/>
  <c r="I57" i="2" s="1"/>
  <c r="AJ58" i="1"/>
  <c r="H57" i="2" s="1"/>
  <c r="AI58" i="1"/>
  <c r="G57" i="2" s="1"/>
  <c r="AH58" i="1"/>
  <c r="F57" i="2" s="1"/>
  <c r="AG58" i="1" a="1"/>
  <c r="AG58" i="1" s="1"/>
  <c r="E57" i="2" s="1"/>
  <c r="AF58" i="1"/>
  <c r="D57" i="2" s="1"/>
  <c r="AE58" i="1"/>
  <c r="C57" i="2" s="1"/>
  <c r="AA58" i="1"/>
  <c r="Z58" i="1"/>
  <c r="BD57" i="1"/>
  <c r="BC57" i="1"/>
  <c r="BB57" i="1"/>
  <c r="BA57" i="1"/>
  <c r="AZ57" i="1"/>
  <c r="AX57" i="1"/>
  <c r="AW57" i="1"/>
  <c r="AS57" i="1"/>
  <c r="AQ57" i="1"/>
  <c r="AP57" i="1"/>
  <c r="AO57" i="1"/>
  <c r="AM57" i="1"/>
  <c r="AL57" i="1"/>
  <c r="AN57" i="1" s="1"/>
  <c r="AK57" i="1"/>
  <c r="I56" i="2" s="1"/>
  <c r="AJ57" i="1"/>
  <c r="H56" i="2" s="1"/>
  <c r="AI57" i="1"/>
  <c r="G56" i="2" s="1"/>
  <c r="AH57" i="1"/>
  <c r="F56" i="2" s="1"/>
  <c r="AG57" i="1" a="1"/>
  <c r="AG57" i="1" s="1"/>
  <c r="E56" i="2" s="1"/>
  <c r="AF57" i="1"/>
  <c r="D56" i="2" s="1"/>
  <c r="AE57" i="1"/>
  <c r="C56" i="2" s="1"/>
  <c r="AA57" i="1"/>
  <c r="Z57" i="1"/>
  <c r="BD56" i="1"/>
  <c r="BC56" i="1"/>
  <c r="BB56" i="1"/>
  <c r="BA56" i="1"/>
  <c r="AZ56" i="1"/>
  <c r="AX56" i="1"/>
  <c r="AS56" i="1"/>
  <c r="AW56" i="1" s="1"/>
  <c r="AP56" i="1"/>
  <c r="AO56" i="1"/>
  <c r="AQ56" i="1" s="1"/>
  <c r="AM56" i="1"/>
  <c r="J55" i="2" s="1"/>
  <c r="AK56" i="1"/>
  <c r="I55" i="2" s="1"/>
  <c r="AJ56" i="1"/>
  <c r="H55" i="2" s="1"/>
  <c r="AI56" i="1"/>
  <c r="G55" i="2" s="1"/>
  <c r="AH56" i="1"/>
  <c r="F55" i="2" s="1"/>
  <c r="AG56" i="1" a="1"/>
  <c r="AG56" i="1" s="1"/>
  <c r="E55" i="2" s="1"/>
  <c r="AF56" i="1"/>
  <c r="D55" i="2" s="1"/>
  <c r="AE56" i="1"/>
  <c r="C55" i="2" s="1"/>
  <c r="AA56" i="1"/>
  <c r="Z56" i="1"/>
  <c r="BD55" i="1"/>
  <c r="BC55" i="1"/>
  <c r="BB55" i="1"/>
  <c r="BA55" i="1"/>
  <c r="AZ55" i="1"/>
  <c r="AX55" i="1"/>
  <c r="AW55" i="1"/>
  <c r="AS55" i="1"/>
  <c r="AP55" i="1"/>
  <c r="AM55" i="1"/>
  <c r="J54" i="2" s="1"/>
  <c r="AK55" i="1"/>
  <c r="I54" i="2" s="1"/>
  <c r="AJ55" i="1"/>
  <c r="AI55" i="1"/>
  <c r="G54" i="2" s="1"/>
  <c r="AH55" i="1"/>
  <c r="F54" i="2" s="1"/>
  <c r="AG55" i="1" a="1"/>
  <c r="AG55" i="1"/>
  <c r="E54" i="2" s="1"/>
  <c r="AF55" i="1"/>
  <c r="D54" i="2" s="1"/>
  <c r="AE55" i="1"/>
  <c r="C54" i="2" s="1"/>
  <c r="AA55" i="1"/>
  <c r="Z55" i="1"/>
  <c r="BD54" i="1"/>
  <c r="BC54" i="1"/>
  <c r="BB54" i="1"/>
  <c r="BA54" i="1"/>
  <c r="AZ54" i="1"/>
  <c r="AX54" i="1"/>
  <c r="AW54" i="1"/>
  <c r="AS54" i="1"/>
  <c r="AP54" i="1"/>
  <c r="AM54" i="1"/>
  <c r="J53" i="2" s="1"/>
  <c r="AK54" i="1"/>
  <c r="I53" i="2" s="1"/>
  <c r="AJ54" i="1"/>
  <c r="H53" i="2" s="1"/>
  <c r="AI54" i="1"/>
  <c r="G53" i="2" s="1"/>
  <c r="AH54" i="1"/>
  <c r="F53" i="2" s="1"/>
  <c r="AG54" i="1" a="1"/>
  <c r="AG54" i="1" s="1"/>
  <c r="E53" i="2" s="1"/>
  <c r="AF54" i="1"/>
  <c r="D53" i="2" s="1"/>
  <c r="AE54" i="1"/>
  <c r="C53" i="2" s="1"/>
  <c r="AA54" i="1"/>
  <c r="Z54" i="1"/>
  <c r="BD53" i="1"/>
  <c r="BC53" i="1"/>
  <c r="BB53" i="1"/>
  <c r="BA53" i="1"/>
  <c r="AZ53" i="1"/>
  <c r="AX53" i="1"/>
  <c r="AW53" i="1"/>
  <c r="AS53" i="1"/>
  <c r="AQ53" i="1"/>
  <c r="AP53" i="1"/>
  <c r="AO53" i="1"/>
  <c r="AM53" i="1"/>
  <c r="J52" i="2" s="1"/>
  <c r="AL53" i="1"/>
  <c r="AN53" i="1" s="1"/>
  <c r="AK53" i="1"/>
  <c r="I52" i="2" s="1"/>
  <c r="AJ53" i="1"/>
  <c r="H52" i="2" s="1"/>
  <c r="AI53" i="1"/>
  <c r="G52" i="2" s="1"/>
  <c r="AH53" i="1"/>
  <c r="F52" i="2" s="1"/>
  <c r="AG53" i="1" a="1"/>
  <c r="AG53" i="1" s="1"/>
  <c r="E52" i="2" s="1"/>
  <c r="AF53" i="1"/>
  <c r="D52" i="2" s="1"/>
  <c r="AE53" i="1"/>
  <c r="C52" i="2" s="1"/>
  <c r="AA53" i="1"/>
  <c r="Z53" i="1"/>
  <c r="BD52" i="1"/>
  <c r="BC52" i="1"/>
  <c r="BB52" i="1"/>
  <c r="BA52" i="1"/>
  <c r="AZ52" i="1"/>
  <c r="AX52" i="1"/>
  <c r="AS52" i="1"/>
  <c r="AW52" i="1" s="1"/>
  <c r="AO52" i="1" s="1"/>
  <c r="AQ52" i="1" s="1"/>
  <c r="AC52" i="1" s="1"/>
  <c r="L51" i="2" s="1"/>
  <c r="AP52" i="1"/>
  <c r="AM52" i="1"/>
  <c r="J51" i="2" s="1"/>
  <c r="AK52" i="1"/>
  <c r="I51" i="2" s="1"/>
  <c r="AJ52" i="1"/>
  <c r="H51" i="2" s="1"/>
  <c r="AI52" i="1"/>
  <c r="G51" i="2" s="1"/>
  <c r="AH52" i="1"/>
  <c r="F51" i="2" s="1"/>
  <c r="AG52" i="1" a="1"/>
  <c r="AG52" i="1" s="1"/>
  <c r="E51" i="2" s="1"/>
  <c r="AF52" i="1"/>
  <c r="D51" i="2" s="1"/>
  <c r="AE52" i="1"/>
  <c r="C51" i="2" s="1"/>
  <c r="AA52" i="1"/>
  <c r="Z52" i="1"/>
  <c r="BD51" i="1"/>
  <c r="BC51" i="1"/>
  <c r="BB51" i="1"/>
  <c r="BA51" i="1"/>
  <c r="AZ51" i="1"/>
  <c r="AX51" i="1"/>
  <c r="AW51" i="1"/>
  <c r="AS51" i="1"/>
  <c r="AP51" i="1"/>
  <c r="AM51" i="1"/>
  <c r="J50" i="2" s="1"/>
  <c r="AK51" i="1"/>
  <c r="I50" i="2" s="1"/>
  <c r="AJ51" i="1"/>
  <c r="H50" i="2" s="1"/>
  <c r="AI51" i="1"/>
  <c r="G50" i="2" s="1"/>
  <c r="AH51" i="1"/>
  <c r="F50" i="2" s="1"/>
  <c r="AG51" i="1" a="1"/>
  <c r="AG51" i="1"/>
  <c r="E50" i="2" s="1"/>
  <c r="AF51" i="1"/>
  <c r="D50" i="2" s="1"/>
  <c r="AE51" i="1"/>
  <c r="C50" i="2" s="1"/>
  <c r="AA51" i="1"/>
  <c r="Z51" i="1"/>
  <c r="BD50" i="1"/>
  <c r="BC50" i="1"/>
  <c r="BB50" i="1"/>
  <c r="BA50" i="1"/>
  <c r="AZ50" i="1"/>
  <c r="AX50" i="1"/>
  <c r="AW50" i="1"/>
  <c r="AS50" i="1"/>
  <c r="AP50" i="1"/>
  <c r="AM50" i="1"/>
  <c r="J49" i="2" s="1"/>
  <c r="AK50" i="1"/>
  <c r="I49" i="2" s="1"/>
  <c r="AJ50" i="1"/>
  <c r="H49" i="2" s="1"/>
  <c r="AI50" i="1"/>
  <c r="G49" i="2" s="1"/>
  <c r="AH50" i="1"/>
  <c r="F49" i="2" s="1"/>
  <c r="AG50" i="1" a="1"/>
  <c r="AG50" i="1" s="1"/>
  <c r="E49" i="2" s="1"/>
  <c r="AF50" i="1"/>
  <c r="D49" i="2" s="1"/>
  <c r="AE50" i="1"/>
  <c r="C49" i="2" s="1"/>
  <c r="AA50" i="1"/>
  <c r="Z50" i="1"/>
  <c r="BD49" i="1"/>
  <c r="BC49" i="1"/>
  <c r="BB49" i="1"/>
  <c r="BA49" i="1"/>
  <c r="AZ49" i="1"/>
  <c r="AX49" i="1"/>
  <c r="AW49" i="1"/>
  <c r="AS49" i="1"/>
  <c r="AQ49" i="1"/>
  <c r="AP49" i="1"/>
  <c r="AO49" i="1"/>
  <c r="AM49" i="1"/>
  <c r="J48" i="2" s="1"/>
  <c r="AL49" i="1"/>
  <c r="AN49" i="1" s="1"/>
  <c r="AK49" i="1"/>
  <c r="I48" i="2" s="1"/>
  <c r="AJ49" i="1"/>
  <c r="H48" i="2" s="1"/>
  <c r="AI49" i="1"/>
  <c r="G48" i="2" s="1"/>
  <c r="AH49" i="1"/>
  <c r="AG49" i="1" a="1"/>
  <c r="AG49" i="1" s="1"/>
  <c r="E48" i="2" s="1"/>
  <c r="AF49" i="1"/>
  <c r="D48" i="2" s="1"/>
  <c r="AE49" i="1"/>
  <c r="C48" i="2" s="1"/>
  <c r="AA49" i="1"/>
  <c r="Z49" i="1"/>
  <c r="BD48" i="1"/>
  <c r="BC48" i="1"/>
  <c r="BB48" i="1"/>
  <c r="BA48" i="1"/>
  <c r="AZ48" i="1"/>
  <c r="AX48" i="1"/>
  <c r="AS48" i="1"/>
  <c r="AW48" i="1" s="1"/>
  <c r="AO48" i="1" s="1"/>
  <c r="AQ48" i="1" s="1"/>
  <c r="AC48" i="1" s="1"/>
  <c r="L47" i="2" s="1"/>
  <c r="AP48" i="1"/>
  <c r="AM48" i="1"/>
  <c r="J47" i="2" s="1"/>
  <c r="AK48" i="1"/>
  <c r="I47" i="2" s="1"/>
  <c r="AJ48" i="1"/>
  <c r="H47" i="2" s="1"/>
  <c r="AI48" i="1"/>
  <c r="G47" i="2" s="1"/>
  <c r="AH48" i="1"/>
  <c r="F47" i="2" s="1"/>
  <c r="AG48" i="1" a="1"/>
  <c r="AG48" i="1" s="1"/>
  <c r="E47" i="2" s="1"/>
  <c r="AF48" i="1"/>
  <c r="D47" i="2" s="1"/>
  <c r="AE48" i="1"/>
  <c r="C47" i="2" s="1"/>
  <c r="AA48" i="1"/>
  <c r="Z48" i="1"/>
  <c r="BD47" i="1"/>
  <c r="BC47" i="1"/>
  <c r="BB47" i="1"/>
  <c r="BA47" i="1"/>
  <c r="AZ47" i="1"/>
  <c r="AX47" i="1"/>
  <c r="AW47" i="1"/>
  <c r="AS47" i="1"/>
  <c r="AP47" i="1"/>
  <c r="AM47" i="1"/>
  <c r="J46" i="2" s="1"/>
  <c r="AK47" i="1"/>
  <c r="I46" i="2" s="1"/>
  <c r="AJ47" i="1"/>
  <c r="H46" i="2" s="1"/>
  <c r="AI47" i="1"/>
  <c r="G46" i="2" s="1"/>
  <c r="AH47" i="1"/>
  <c r="F46" i="2" s="1"/>
  <c r="AG47" i="1" a="1"/>
  <c r="AG47" i="1"/>
  <c r="E46" i="2" s="1"/>
  <c r="AF47" i="1"/>
  <c r="D46" i="2" s="1"/>
  <c r="AE47" i="1"/>
  <c r="C46" i="2" s="1"/>
  <c r="AA47" i="1"/>
  <c r="Z47" i="1"/>
  <c r="BD46" i="1"/>
  <c r="BC46" i="1"/>
  <c r="BB46" i="1"/>
  <c r="BA46" i="1"/>
  <c r="AZ46" i="1"/>
  <c r="AX46" i="1"/>
  <c r="AW46" i="1"/>
  <c r="AS46" i="1"/>
  <c r="AP46" i="1"/>
  <c r="AM46" i="1"/>
  <c r="J45" i="2" s="1"/>
  <c r="AK46" i="1"/>
  <c r="I45" i="2" s="1"/>
  <c r="AJ46" i="1"/>
  <c r="H45" i="2" s="1"/>
  <c r="AI46" i="1"/>
  <c r="G45" i="2" s="1"/>
  <c r="AH46" i="1"/>
  <c r="F45" i="2" s="1"/>
  <c r="AG46" i="1" a="1"/>
  <c r="AG46" i="1" s="1"/>
  <c r="E45" i="2" s="1"/>
  <c r="AF46" i="1"/>
  <c r="D45" i="2" s="1"/>
  <c r="AE46" i="1"/>
  <c r="C45" i="2" s="1"/>
  <c r="AA46" i="1"/>
  <c r="Z46" i="1"/>
  <c r="BD45" i="1"/>
  <c r="BC45" i="1"/>
  <c r="BB45" i="1"/>
  <c r="BA45" i="1"/>
  <c r="AZ45" i="1"/>
  <c r="AX45" i="1"/>
  <c r="AW45" i="1"/>
  <c r="AS45" i="1"/>
  <c r="AP45" i="1"/>
  <c r="AO45" i="1"/>
  <c r="AQ45" i="1" s="1"/>
  <c r="AM45" i="1"/>
  <c r="J44" i="2" s="1"/>
  <c r="AL45" i="1"/>
  <c r="AN45" i="1" s="1"/>
  <c r="AK45" i="1"/>
  <c r="I44" i="2" s="1"/>
  <c r="AJ45" i="1"/>
  <c r="H44" i="2" s="1"/>
  <c r="AI45" i="1"/>
  <c r="G44" i="2" s="1"/>
  <c r="AH45" i="1"/>
  <c r="F44" i="2" s="1"/>
  <c r="AG45" i="1" a="1"/>
  <c r="AG45" i="1" s="1"/>
  <c r="E44" i="2" s="1"/>
  <c r="AF45" i="1"/>
  <c r="D44" i="2" s="1"/>
  <c r="AE45" i="1"/>
  <c r="C44" i="2" s="1"/>
  <c r="AA45" i="1"/>
  <c r="Z45" i="1"/>
  <c r="BD44" i="1"/>
  <c r="BC44" i="1"/>
  <c r="BB44" i="1"/>
  <c r="BA44" i="1"/>
  <c r="AZ44" i="1"/>
  <c r="AX44" i="1"/>
  <c r="AS44" i="1"/>
  <c r="AW44" i="1" s="1"/>
  <c r="AO44" i="1" s="1"/>
  <c r="AQ44" i="1" s="1"/>
  <c r="AC44" i="1" s="1"/>
  <c r="L43" i="2" s="1"/>
  <c r="AP44" i="1"/>
  <c r="AM44" i="1"/>
  <c r="J43" i="2" s="1"/>
  <c r="AK44" i="1"/>
  <c r="I43" i="2" s="1"/>
  <c r="AJ44" i="1"/>
  <c r="H43" i="2" s="1"/>
  <c r="AI44" i="1"/>
  <c r="G43" i="2" s="1"/>
  <c r="AH44" i="1"/>
  <c r="F43" i="2" s="1"/>
  <c r="AG44" i="1" a="1"/>
  <c r="AG44" i="1" s="1"/>
  <c r="E43" i="2" s="1"/>
  <c r="AF44" i="1"/>
  <c r="D43" i="2" s="1"/>
  <c r="AE44" i="1"/>
  <c r="C43" i="2" s="1"/>
  <c r="AA44" i="1"/>
  <c r="Z44" i="1"/>
  <c r="BD43" i="1"/>
  <c r="BC43" i="1"/>
  <c r="BB43" i="1"/>
  <c r="BA43" i="1"/>
  <c r="AZ43" i="1"/>
  <c r="AX43" i="1"/>
  <c r="AW43" i="1"/>
  <c r="AS43" i="1"/>
  <c r="AP43" i="1"/>
  <c r="AM43" i="1"/>
  <c r="J42" i="2" s="1"/>
  <c r="AK43" i="1"/>
  <c r="I42" i="2" s="1"/>
  <c r="AJ43" i="1"/>
  <c r="H42" i="2" s="1"/>
  <c r="AI43" i="1"/>
  <c r="G42" i="2" s="1"/>
  <c r="AH43" i="1"/>
  <c r="F42" i="2" s="1"/>
  <c r="AG43" i="1" a="1"/>
  <c r="AG43" i="1" s="1"/>
  <c r="E42" i="2" s="1"/>
  <c r="AF43" i="1"/>
  <c r="D42" i="2" s="1"/>
  <c r="AE43" i="1"/>
  <c r="C42" i="2" s="1"/>
  <c r="AA43" i="1"/>
  <c r="Z43" i="1"/>
  <c r="BD42" i="1"/>
  <c r="BC42" i="1"/>
  <c r="BB42" i="1"/>
  <c r="BA42" i="1"/>
  <c r="AZ42" i="1"/>
  <c r="AX42" i="1"/>
  <c r="AW42" i="1"/>
  <c r="AS42" i="1"/>
  <c r="AP42" i="1"/>
  <c r="AM42" i="1"/>
  <c r="J41" i="2" s="1"/>
  <c r="AK42" i="1"/>
  <c r="I41" i="2" s="1"/>
  <c r="AJ42" i="1"/>
  <c r="H41" i="2" s="1"/>
  <c r="AI42" i="1"/>
  <c r="G41" i="2" s="1"/>
  <c r="AH42" i="1"/>
  <c r="F41" i="2" s="1"/>
  <c r="AG42" i="1" a="1"/>
  <c r="AG42" i="1" s="1"/>
  <c r="E41" i="2" s="1"/>
  <c r="AF42" i="1"/>
  <c r="D41" i="2" s="1"/>
  <c r="AE42" i="1"/>
  <c r="C41" i="2" s="1"/>
  <c r="AA42" i="1"/>
  <c r="Z42" i="1"/>
  <c r="BD41" i="1"/>
  <c r="BC41" i="1"/>
  <c r="BB41" i="1"/>
  <c r="AO41" i="1" s="1"/>
  <c r="AQ41" i="1" s="1"/>
  <c r="AC41" i="1" s="1"/>
  <c r="L40" i="2" s="1"/>
  <c r="BA41" i="1"/>
  <c r="AZ41" i="1"/>
  <c r="AX41" i="1"/>
  <c r="AW41" i="1"/>
  <c r="AS41" i="1"/>
  <c r="AP41" i="1"/>
  <c r="AM41" i="1"/>
  <c r="J40" i="2" s="1"/>
  <c r="AK41" i="1"/>
  <c r="I40" i="2" s="1"/>
  <c r="AJ41" i="1"/>
  <c r="AI41" i="1"/>
  <c r="G40" i="2" s="1"/>
  <c r="AH41" i="1"/>
  <c r="F40" i="2" s="1"/>
  <c r="AG41" i="1" a="1"/>
  <c r="AG41" i="1" s="1"/>
  <c r="E40" i="2" s="1"/>
  <c r="AF41" i="1"/>
  <c r="D40" i="2" s="1"/>
  <c r="AE41" i="1"/>
  <c r="C40" i="2" s="1"/>
  <c r="AA41" i="1"/>
  <c r="Z41" i="1"/>
  <c r="BD40" i="1"/>
  <c r="BC40" i="1"/>
  <c r="BB40" i="1"/>
  <c r="BA40" i="1"/>
  <c r="AZ40" i="1"/>
  <c r="AX40" i="1"/>
  <c r="AW40" i="1"/>
  <c r="AS40" i="1"/>
  <c r="AP40" i="1"/>
  <c r="AM40" i="1"/>
  <c r="AK40" i="1"/>
  <c r="I39" i="2" s="1"/>
  <c r="AJ40" i="1"/>
  <c r="H39" i="2" s="1"/>
  <c r="AI40" i="1"/>
  <c r="G39" i="2" s="1"/>
  <c r="AH40" i="1"/>
  <c r="F39" i="2" s="1"/>
  <c r="AG40" i="1" a="1"/>
  <c r="AG40" i="1" s="1"/>
  <c r="E39" i="2" s="1"/>
  <c r="AF40" i="1"/>
  <c r="D39" i="2" s="1"/>
  <c r="AE40" i="1"/>
  <c r="C39" i="2" s="1"/>
  <c r="AA40" i="1"/>
  <c r="Z40" i="1"/>
  <c r="BD39" i="1"/>
  <c r="BC39" i="1"/>
  <c r="BB39" i="1"/>
  <c r="AL39" i="1" s="1"/>
  <c r="AN39" i="1" s="1"/>
  <c r="BA39" i="1"/>
  <c r="AZ39" i="1"/>
  <c r="AX39" i="1"/>
  <c r="AW39" i="1"/>
  <c r="AS39" i="1"/>
  <c r="AQ39" i="1"/>
  <c r="AC39" i="1" s="1"/>
  <c r="L38" i="2" s="1"/>
  <c r="AP39" i="1"/>
  <c r="AO39" i="1"/>
  <c r="AM39" i="1"/>
  <c r="J38" i="2" s="1"/>
  <c r="AK39" i="1"/>
  <c r="I38" i="2" s="1"/>
  <c r="AJ39" i="1"/>
  <c r="H38" i="2" s="1"/>
  <c r="AI39" i="1"/>
  <c r="G38" i="2" s="1"/>
  <c r="AH39" i="1"/>
  <c r="F38" i="2" s="1"/>
  <c r="AG39" i="1" a="1"/>
  <c r="AG39" i="1" s="1"/>
  <c r="E38" i="2" s="1"/>
  <c r="AF39" i="1"/>
  <c r="D38" i="2" s="1"/>
  <c r="AE39" i="1"/>
  <c r="C38" i="2" s="1"/>
  <c r="AA39" i="1"/>
  <c r="Z39" i="1"/>
  <c r="BD38" i="1"/>
  <c r="BC38" i="1"/>
  <c r="BB38" i="1"/>
  <c r="BA38" i="1"/>
  <c r="AZ38" i="1"/>
  <c r="AX38" i="1"/>
  <c r="AW38" i="1"/>
  <c r="AS38" i="1"/>
  <c r="AP38" i="1"/>
  <c r="AM38" i="1"/>
  <c r="AK38" i="1"/>
  <c r="I37" i="2" s="1"/>
  <c r="AJ38" i="1"/>
  <c r="H37" i="2" s="1"/>
  <c r="AI38" i="1"/>
  <c r="G37" i="2" s="1"/>
  <c r="AH38" i="1"/>
  <c r="F37" i="2" s="1"/>
  <c r="AG38" i="1" a="1"/>
  <c r="AG38" i="1" s="1"/>
  <c r="E37" i="2" s="1"/>
  <c r="AF38" i="1"/>
  <c r="D37" i="2" s="1"/>
  <c r="AE38" i="1"/>
  <c r="C37" i="2" s="1"/>
  <c r="AA38" i="1"/>
  <c r="Z38" i="1"/>
  <c r="BD37" i="1"/>
  <c r="BC37" i="1"/>
  <c r="BB37" i="1"/>
  <c r="AL37" i="1" s="1"/>
  <c r="AN37" i="1" s="1"/>
  <c r="BA37" i="1"/>
  <c r="AZ37" i="1"/>
  <c r="AX37" i="1"/>
  <c r="AW37" i="1"/>
  <c r="AS37" i="1"/>
  <c r="AP37" i="1"/>
  <c r="AO37" i="1"/>
  <c r="AQ37" i="1" s="1"/>
  <c r="AM37" i="1"/>
  <c r="J36" i="2" s="1"/>
  <c r="AK37" i="1"/>
  <c r="I36" i="2" s="1"/>
  <c r="AJ37" i="1"/>
  <c r="H36" i="2" s="1"/>
  <c r="AI37" i="1"/>
  <c r="G36" i="2" s="1"/>
  <c r="AH37" i="1"/>
  <c r="F36" i="2" s="1"/>
  <c r="AG37" i="1" a="1"/>
  <c r="AG37" i="1" s="1"/>
  <c r="E36" i="2" s="1"/>
  <c r="AF37" i="1"/>
  <c r="D36" i="2" s="1"/>
  <c r="AE37" i="1"/>
  <c r="C36" i="2" s="1"/>
  <c r="AA37" i="1"/>
  <c r="Z37" i="1"/>
  <c r="BD36" i="1"/>
  <c r="BC36" i="1"/>
  <c r="BB36" i="1"/>
  <c r="BA36" i="1"/>
  <c r="AZ36" i="1"/>
  <c r="AX36" i="1"/>
  <c r="AW36" i="1"/>
  <c r="AS36" i="1"/>
  <c r="AP36" i="1"/>
  <c r="AM36" i="1"/>
  <c r="AK36" i="1"/>
  <c r="I35" i="2" s="1"/>
  <c r="AJ36" i="1"/>
  <c r="H35" i="2" s="1"/>
  <c r="AI36" i="1"/>
  <c r="G35" i="2" s="1"/>
  <c r="AH36" i="1"/>
  <c r="F35" i="2" s="1"/>
  <c r="AG36" i="1" a="1"/>
  <c r="AG36" i="1" s="1"/>
  <c r="E35" i="2" s="1"/>
  <c r="AF36" i="1"/>
  <c r="D35" i="2" s="1"/>
  <c r="AE36" i="1"/>
  <c r="C35" i="2" s="1"/>
  <c r="AA36" i="1"/>
  <c r="Z36" i="1"/>
  <c r="BD35" i="1"/>
  <c r="BC35" i="1"/>
  <c r="BB35" i="1"/>
  <c r="AL35" i="1" s="1"/>
  <c r="AN35" i="1" s="1"/>
  <c r="BA35" i="1"/>
  <c r="AZ35" i="1"/>
  <c r="AX35" i="1"/>
  <c r="AW35" i="1"/>
  <c r="AS35" i="1"/>
  <c r="AP35" i="1"/>
  <c r="AO35" i="1"/>
  <c r="AQ35" i="1" s="1"/>
  <c r="AM35" i="1"/>
  <c r="J34" i="2" s="1"/>
  <c r="AK35" i="1"/>
  <c r="I34" i="2" s="1"/>
  <c r="AJ35" i="1"/>
  <c r="H34" i="2" s="1"/>
  <c r="AI35" i="1"/>
  <c r="G34" i="2" s="1"/>
  <c r="AH35" i="1"/>
  <c r="F34" i="2" s="1"/>
  <c r="AG35" i="1" a="1"/>
  <c r="AG35" i="1"/>
  <c r="E34" i="2" s="1"/>
  <c r="AF35" i="1"/>
  <c r="D34" i="2" s="1"/>
  <c r="AE35" i="1"/>
  <c r="C34" i="2" s="1"/>
  <c r="AA35" i="1"/>
  <c r="Z35" i="1"/>
  <c r="BD34" i="1"/>
  <c r="BC34" i="1"/>
  <c r="BB34" i="1"/>
  <c r="BA34" i="1"/>
  <c r="AZ34" i="1"/>
  <c r="AX34" i="1"/>
  <c r="AW34" i="1"/>
  <c r="BF34" i="1" s="1"/>
  <c r="AS34" i="1"/>
  <c r="AP34" i="1"/>
  <c r="AM34" i="1"/>
  <c r="AK34" i="1"/>
  <c r="I33" i="2" s="1"/>
  <c r="AJ34" i="1"/>
  <c r="H33" i="2" s="1"/>
  <c r="AI34" i="1"/>
  <c r="G33" i="2" s="1"/>
  <c r="AH34" i="1"/>
  <c r="F33" i="2" s="1"/>
  <c r="AG34" i="1" a="1"/>
  <c r="AG34" i="1" s="1"/>
  <c r="E33" i="2" s="1"/>
  <c r="AF34" i="1"/>
  <c r="D33" i="2" s="1"/>
  <c r="AE34" i="1"/>
  <c r="C33" i="2" s="1"/>
  <c r="AA34" i="1"/>
  <c r="Z34" i="1"/>
  <c r="BD33" i="1"/>
  <c r="BC33" i="1"/>
  <c r="BB33" i="1"/>
  <c r="AL33" i="1" s="1"/>
  <c r="AN33" i="1" s="1"/>
  <c r="BA33" i="1"/>
  <c r="AZ33" i="1"/>
  <c r="AX33" i="1"/>
  <c r="AW33" i="1"/>
  <c r="BF33" i="1" s="1"/>
  <c r="AS33" i="1"/>
  <c r="AP33" i="1"/>
  <c r="AO33" i="1"/>
  <c r="AQ33" i="1" s="1"/>
  <c r="AM33" i="1"/>
  <c r="J32" i="2" s="1"/>
  <c r="AK33" i="1"/>
  <c r="I32" i="2" s="1"/>
  <c r="AJ33" i="1"/>
  <c r="H32" i="2" s="1"/>
  <c r="AI33" i="1"/>
  <c r="G32" i="2" s="1"/>
  <c r="AH33" i="1"/>
  <c r="F32" i="2" s="1"/>
  <c r="AG33" i="1" a="1"/>
  <c r="AG33" i="1" s="1"/>
  <c r="E32" i="2" s="1"/>
  <c r="AF33" i="1"/>
  <c r="D32" i="2" s="1"/>
  <c r="AE33" i="1"/>
  <c r="C32" i="2" s="1"/>
  <c r="AA33" i="1"/>
  <c r="Z33" i="1"/>
  <c r="BD32" i="1"/>
  <c r="BC32" i="1"/>
  <c r="BB32" i="1"/>
  <c r="BA32" i="1"/>
  <c r="AZ32" i="1"/>
  <c r="AX32" i="1"/>
  <c r="AS32" i="1"/>
  <c r="AW32" i="1" s="1"/>
  <c r="AP32" i="1"/>
  <c r="AM32" i="1"/>
  <c r="AK32" i="1"/>
  <c r="I31" i="2" s="1"/>
  <c r="AJ32" i="1"/>
  <c r="H31" i="2" s="1"/>
  <c r="AI32" i="1"/>
  <c r="G31" i="2" s="1"/>
  <c r="AH32" i="1"/>
  <c r="F31" i="2" s="1"/>
  <c r="AG32" i="1" a="1"/>
  <c r="AG32" i="1" s="1"/>
  <c r="E31" i="2" s="1"/>
  <c r="AF32" i="1"/>
  <c r="D31" i="2" s="1"/>
  <c r="AE32" i="1"/>
  <c r="C31" i="2" s="1"/>
  <c r="AA32" i="1"/>
  <c r="Z32" i="1"/>
  <c r="BD31" i="1"/>
  <c r="BC31" i="1"/>
  <c r="BB31" i="1"/>
  <c r="AL31" i="1" s="1"/>
  <c r="AN31" i="1" s="1"/>
  <c r="BA31" i="1"/>
  <c r="AZ31" i="1"/>
  <c r="AX31" i="1"/>
  <c r="AW31" i="1"/>
  <c r="AS31" i="1"/>
  <c r="AP31" i="1"/>
  <c r="AO31" i="1"/>
  <c r="AQ31" i="1" s="1"/>
  <c r="AM31" i="1"/>
  <c r="J30" i="2" s="1"/>
  <c r="AK31" i="1"/>
  <c r="I30" i="2" s="1"/>
  <c r="AJ31" i="1"/>
  <c r="H30" i="2" s="1"/>
  <c r="AI31" i="1"/>
  <c r="G30" i="2" s="1"/>
  <c r="AH31" i="1"/>
  <c r="F30" i="2" s="1"/>
  <c r="AG31" i="1" a="1"/>
  <c r="AG31" i="1" s="1"/>
  <c r="E30" i="2" s="1"/>
  <c r="AF31" i="1"/>
  <c r="D30" i="2" s="1"/>
  <c r="AE31" i="1"/>
  <c r="C30" i="2" s="1"/>
  <c r="AA31" i="1"/>
  <c r="Z31" i="1"/>
  <c r="BD30" i="1"/>
  <c r="BC30" i="1"/>
  <c r="BB30" i="1"/>
  <c r="BA30" i="1"/>
  <c r="AZ30" i="1"/>
  <c r="AX30" i="1"/>
  <c r="AS30" i="1"/>
  <c r="AW30" i="1" s="1"/>
  <c r="AP30" i="1"/>
  <c r="AM30" i="1"/>
  <c r="AK30" i="1"/>
  <c r="I29" i="2" s="1"/>
  <c r="AJ30" i="1"/>
  <c r="H29" i="2" s="1"/>
  <c r="AI30" i="1"/>
  <c r="G29" i="2" s="1"/>
  <c r="AH30" i="1"/>
  <c r="F29" i="2" s="1"/>
  <c r="AG30" i="1" a="1"/>
  <c r="AG30" i="1" s="1"/>
  <c r="E29" i="2" s="1"/>
  <c r="AF30" i="1"/>
  <c r="D29" i="2" s="1"/>
  <c r="AE30" i="1"/>
  <c r="C29" i="2" s="1"/>
  <c r="AA30" i="1"/>
  <c r="Z30" i="1"/>
  <c r="BD29" i="1"/>
  <c r="BC29" i="1"/>
  <c r="BB29" i="1"/>
  <c r="BA29" i="1"/>
  <c r="AL29" i="1" s="1"/>
  <c r="AN29" i="1" s="1"/>
  <c r="AZ29" i="1"/>
  <c r="AX29" i="1"/>
  <c r="AW29" i="1"/>
  <c r="AS29" i="1"/>
  <c r="AP29" i="1"/>
  <c r="AO29" i="1"/>
  <c r="AQ29" i="1" s="1"/>
  <c r="AM29" i="1"/>
  <c r="J28" i="2" s="1"/>
  <c r="AK29" i="1"/>
  <c r="I28" i="2" s="1"/>
  <c r="AJ29" i="1"/>
  <c r="H28" i="2" s="1"/>
  <c r="AI29" i="1"/>
  <c r="G28" i="2" s="1"/>
  <c r="AH29" i="1"/>
  <c r="F28" i="2" s="1"/>
  <c r="AG29" i="1" a="1"/>
  <c r="AG29" i="1" s="1"/>
  <c r="E28" i="2" s="1"/>
  <c r="AF29" i="1"/>
  <c r="D28" i="2" s="1"/>
  <c r="AE29" i="1"/>
  <c r="C28" i="2" s="1"/>
  <c r="AA29" i="1"/>
  <c r="Z29" i="1"/>
  <c r="BD28" i="1"/>
  <c r="BC28" i="1"/>
  <c r="BB28" i="1"/>
  <c r="BA28" i="1"/>
  <c r="AZ28" i="1"/>
  <c r="AX28" i="1"/>
  <c r="AS28" i="1"/>
  <c r="AW28" i="1" s="1"/>
  <c r="AP28" i="1"/>
  <c r="AM28" i="1"/>
  <c r="AK28" i="1"/>
  <c r="I27" i="2" s="1"/>
  <c r="AJ28" i="1"/>
  <c r="H27" i="2" s="1"/>
  <c r="AI28" i="1"/>
  <c r="G27" i="2" s="1"/>
  <c r="AH28" i="1"/>
  <c r="F27" i="2" s="1"/>
  <c r="AG28" i="1" a="1"/>
  <c r="AG28" i="1" s="1"/>
  <c r="E27" i="2" s="1"/>
  <c r="AF28" i="1"/>
  <c r="D27" i="2" s="1"/>
  <c r="AE28" i="1"/>
  <c r="C27" i="2" s="1"/>
  <c r="AA28" i="1"/>
  <c r="Z28" i="1"/>
  <c r="BD27" i="1"/>
  <c r="BC27" i="1"/>
  <c r="BB27" i="1"/>
  <c r="BA27" i="1"/>
  <c r="AL27" i="1" s="1"/>
  <c r="AN27" i="1" s="1"/>
  <c r="AZ27" i="1"/>
  <c r="AX27" i="1"/>
  <c r="AW27" i="1"/>
  <c r="AS27" i="1"/>
  <c r="AP27" i="1"/>
  <c r="AO27" i="1"/>
  <c r="AQ27" i="1" s="1"/>
  <c r="AM27" i="1"/>
  <c r="J26" i="2" s="1"/>
  <c r="AK27" i="1"/>
  <c r="I26" i="2" s="1"/>
  <c r="AJ27" i="1"/>
  <c r="H26" i="2" s="1"/>
  <c r="AI27" i="1"/>
  <c r="G26" i="2" s="1"/>
  <c r="AH27" i="1"/>
  <c r="F26" i="2" s="1"/>
  <c r="AG27" i="1" a="1"/>
  <c r="AG27" i="1" s="1"/>
  <c r="E26" i="2" s="1"/>
  <c r="AF27" i="1"/>
  <c r="D26" i="2" s="1"/>
  <c r="AE27" i="1"/>
  <c r="C26" i="2" s="1"/>
  <c r="AA27" i="1"/>
  <c r="Z27" i="1"/>
  <c r="BD26" i="1"/>
  <c r="BC26" i="1"/>
  <c r="BB26" i="1"/>
  <c r="BA26" i="1"/>
  <c r="AZ26" i="1"/>
  <c r="AX26" i="1"/>
  <c r="AS26" i="1"/>
  <c r="AW26" i="1" s="1"/>
  <c r="AP26" i="1"/>
  <c r="AM26" i="1"/>
  <c r="AK26" i="1"/>
  <c r="I25" i="2" s="1"/>
  <c r="AJ26" i="1"/>
  <c r="H25" i="2" s="1"/>
  <c r="AI26" i="1"/>
  <c r="G25" i="2" s="1"/>
  <c r="AH26" i="1"/>
  <c r="F25" i="2" s="1"/>
  <c r="AG26" i="1" a="1"/>
  <c r="AG26" i="1" s="1"/>
  <c r="E25" i="2" s="1"/>
  <c r="AF26" i="1"/>
  <c r="D25" i="2" s="1"/>
  <c r="AE26" i="1"/>
  <c r="C25" i="2" s="1"/>
  <c r="AA26" i="1"/>
  <c r="Z26" i="1"/>
  <c r="BD25" i="1"/>
  <c r="BC25" i="1"/>
  <c r="BB25" i="1"/>
  <c r="AL25" i="1" s="1"/>
  <c r="AN25" i="1" s="1"/>
  <c r="BA25" i="1"/>
  <c r="AZ25" i="1"/>
  <c r="AX25" i="1"/>
  <c r="AW25" i="1"/>
  <c r="AS25" i="1"/>
  <c r="AP25" i="1"/>
  <c r="AO25" i="1"/>
  <c r="AQ25" i="1" s="1"/>
  <c r="AM25" i="1"/>
  <c r="J24" i="2" s="1"/>
  <c r="AK25" i="1"/>
  <c r="I24" i="2" s="1"/>
  <c r="AJ25" i="1"/>
  <c r="H24" i="2" s="1"/>
  <c r="AI25" i="1"/>
  <c r="G24" i="2" s="1"/>
  <c r="AH25" i="1"/>
  <c r="F24" i="2" s="1"/>
  <c r="AG25" i="1" a="1"/>
  <c r="AG25" i="1" s="1"/>
  <c r="E24" i="2" s="1"/>
  <c r="AF25" i="1"/>
  <c r="D24" i="2" s="1"/>
  <c r="AE25" i="1"/>
  <c r="C24" i="2" s="1"/>
  <c r="AA25" i="1"/>
  <c r="Z25" i="1"/>
  <c r="BD24" i="1"/>
  <c r="BC24" i="1"/>
  <c r="BB24" i="1"/>
  <c r="BA24" i="1"/>
  <c r="AZ24" i="1"/>
  <c r="AX24" i="1"/>
  <c r="AS24" i="1"/>
  <c r="AW24" i="1" s="1"/>
  <c r="AP24" i="1"/>
  <c r="AM24" i="1"/>
  <c r="AK24" i="1"/>
  <c r="I23" i="2" s="1"/>
  <c r="AJ24" i="1"/>
  <c r="H23" i="2" s="1"/>
  <c r="AI24" i="1"/>
  <c r="G23" i="2" s="1"/>
  <c r="AH24" i="1"/>
  <c r="F23" i="2" s="1"/>
  <c r="AG24" i="1" a="1"/>
  <c r="AG24" i="1"/>
  <c r="E23" i="2" s="1"/>
  <c r="AF24" i="1"/>
  <c r="D23" i="2" s="1"/>
  <c r="AE24" i="1"/>
  <c r="C23" i="2" s="1"/>
  <c r="AA24" i="1"/>
  <c r="Z24" i="1"/>
  <c r="BD23" i="1"/>
  <c r="BC23" i="1"/>
  <c r="BB23" i="1"/>
  <c r="AL23" i="1" s="1"/>
  <c r="AN23" i="1" s="1"/>
  <c r="BA23" i="1"/>
  <c r="AZ23" i="1"/>
  <c r="AX23" i="1"/>
  <c r="AW23" i="1"/>
  <c r="BF23" i="1" s="1"/>
  <c r="AS23" i="1"/>
  <c r="AP23" i="1"/>
  <c r="AO23" i="1"/>
  <c r="AQ23" i="1" s="1"/>
  <c r="AM23" i="1"/>
  <c r="J22" i="2" s="1"/>
  <c r="AK23" i="1"/>
  <c r="I22" i="2" s="1"/>
  <c r="AJ23" i="1"/>
  <c r="H22" i="2" s="1"/>
  <c r="AI23" i="1"/>
  <c r="G22" i="2" s="1"/>
  <c r="AH23" i="1"/>
  <c r="F22" i="2" s="1"/>
  <c r="AG23" i="1" a="1"/>
  <c r="AG23" i="1" s="1"/>
  <c r="E22" i="2" s="1"/>
  <c r="AF23" i="1"/>
  <c r="D22" i="2" s="1"/>
  <c r="AE23" i="1"/>
  <c r="C22" i="2" s="1"/>
  <c r="AA23" i="1"/>
  <c r="Z23" i="1"/>
  <c r="BD22" i="1"/>
  <c r="BC22" i="1"/>
  <c r="BB22" i="1"/>
  <c r="BA22" i="1"/>
  <c r="AZ22" i="1"/>
  <c r="AX22" i="1"/>
  <c r="AW22" i="1"/>
  <c r="AL22" i="1" s="1"/>
  <c r="AN22" i="1" s="1"/>
  <c r="K21" i="2" s="1"/>
  <c r="AS22" i="1"/>
  <c r="AP22" i="1"/>
  <c r="AO22" i="1"/>
  <c r="AQ22" i="1" s="1"/>
  <c r="AM22" i="1"/>
  <c r="AK22" i="1"/>
  <c r="I21" i="2" s="1"/>
  <c r="AJ22" i="1"/>
  <c r="H21" i="2" s="1"/>
  <c r="AI22" i="1"/>
  <c r="G21" i="2" s="1"/>
  <c r="AH22" i="1"/>
  <c r="F21" i="2" s="1"/>
  <c r="AG22" i="1" a="1"/>
  <c r="AG22" i="1" s="1"/>
  <c r="AF22" i="1"/>
  <c r="D21" i="2" s="1"/>
  <c r="AE22" i="1"/>
  <c r="C21" i="2" s="1"/>
  <c r="AA22" i="1"/>
  <c r="Z22" i="1"/>
  <c r="BD21" i="1"/>
  <c r="BC21" i="1"/>
  <c r="BB21" i="1"/>
  <c r="BA21" i="1"/>
  <c r="AZ21" i="1"/>
  <c r="AX21" i="1"/>
  <c r="AS21" i="1"/>
  <c r="AW21" i="1" s="1"/>
  <c r="AP21" i="1"/>
  <c r="AM21" i="1"/>
  <c r="J20" i="2" s="1"/>
  <c r="AK21" i="1"/>
  <c r="I20" i="2" s="1"/>
  <c r="AJ21" i="1"/>
  <c r="H20" i="2" s="1"/>
  <c r="AI21" i="1"/>
  <c r="G20" i="2" s="1"/>
  <c r="AH21" i="1"/>
  <c r="F20" i="2" s="1"/>
  <c r="AG21" i="1" a="1"/>
  <c r="AG21" i="1" s="1"/>
  <c r="E20" i="2" s="1"/>
  <c r="AF21" i="1"/>
  <c r="D20" i="2" s="1"/>
  <c r="AE21" i="1"/>
  <c r="C20" i="2" s="1"/>
  <c r="AA21" i="1"/>
  <c r="Z21" i="1"/>
  <c r="BD20" i="1"/>
  <c r="BC20" i="1"/>
  <c r="BB20" i="1"/>
  <c r="BA20" i="1"/>
  <c r="AZ20" i="1"/>
  <c r="AX20" i="1"/>
  <c r="AW20" i="1"/>
  <c r="BF20" i="1" s="1"/>
  <c r="AS20" i="1"/>
  <c r="AP20" i="1"/>
  <c r="AM20" i="1"/>
  <c r="AL20" i="1"/>
  <c r="AN20" i="1" s="1"/>
  <c r="K19" i="2" s="1"/>
  <c r="AK20" i="1"/>
  <c r="I19" i="2" s="1"/>
  <c r="AJ20" i="1"/>
  <c r="H19" i="2" s="1"/>
  <c r="AI20" i="1"/>
  <c r="G19" i="2" s="1"/>
  <c r="AH20" i="1"/>
  <c r="F19" i="2" s="1"/>
  <c r="AG20" i="1" a="1"/>
  <c r="AG20" i="1"/>
  <c r="E19" i="2" s="1"/>
  <c r="AF20" i="1"/>
  <c r="D19" i="2" s="1"/>
  <c r="AE20" i="1"/>
  <c r="C19" i="2" s="1"/>
  <c r="AA20" i="1"/>
  <c r="Z20" i="1"/>
  <c r="BD19" i="1"/>
  <c r="BC19" i="1"/>
  <c r="BB19" i="1"/>
  <c r="BA19" i="1"/>
  <c r="AZ19" i="1"/>
  <c r="AX19" i="1"/>
  <c r="AW19" i="1"/>
  <c r="AL19" i="1" s="1"/>
  <c r="AN19" i="1" s="1"/>
  <c r="AS19" i="1"/>
  <c r="AP19" i="1"/>
  <c r="AC19" i="1" s="1"/>
  <c r="L18" i="2" s="1"/>
  <c r="AO19" i="1"/>
  <c r="AQ19" i="1" s="1"/>
  <c r="AM19" i="1"/>
  <c r="J18" i="2" s="1"/>
  <c r="AK19" i="1"/>
  <c r="I18" i="2" s="1"/>
  <c r="AJ19" i="1"/>
  <c r="H18" i="2" s="1"/>
  <c r="AI19" i="1"/>
  <c r="G18" i="2" s="1"/>
  <c r="AH19" i="1"/>
  <c r="F18" i="2" s="1"/>
  <c r="AG19" i="1" a="1"/>
  <c r="AG19" i="1" s="1"/>
  <c r="E18" i="2" s="1"/>
  <c r="AF19" i="1"/>
  <c r="D18" i="2" s="1"/>
  <c r="AE19" i="1"/>
  <c r="C18" i="2" s="1"/>
  <c r="AA19" i="1"/>
  <c r="Z19" i="1"/>
  <c r="BD18" i="1"/>
  <c r="BC18" i="1"/>
  <c r="BB18" i="1"/>
  <c r="BA18" i="1"/>
  <c r="AZ18" i="1"/>
  <c r="AX18" i="1"/>
  <c r="AW18" i="1"/>
  <c r="BF18" i="1" s="1"/>
  <c r="AS18" i="1"/>
  <c r="AP18" i="1"/>
  <c r="AM18" i="1"/>
  <c r="AK18" i="1"/>
  <c r="I17" i="2" s="1"/>
  <c r="AJ18" i="1"/>
  <c r="H17" i="2" s="1"/>
  <c r="AI18" i="1"/>
  <c r="G17" i="2" s="1"/>
  <c r="AH18" i="1"/>
  <c r="F17" i="2" s="1"/>
  <c r="AG18" i="1" a="1"/>
  <c r="AG18" i="1"/>
  <c r="E17" i="2" s="1"/>
  <c r="AF18" i="1"/>
  <c r="D17" i="2" s="1"/>
  <c r="AE18" i="1"/>
  <c r="C17" i="2" s="1"/>
  <c r="AA18" i="1"/>
  <c r="Z18" i="1"/>
  <c r="BD17" i="1"/>
  <c r="BC17" i="1"/>
  <c r="BB17" i="1"/>
  <c r="BA17" i="1"/>
  <c r="AZ17" i="1"/>
  <c r="AX17" i="1"/>
  <c r="AW17" i="1"/>
  <c r="AL17" i="1" s="1"/>
  <c r="AN17" i="1" s="1"/>
  <c r="AS17" i="1"/>
  <c r="AP17" i="1"/>
  <c r="AM17" i="1"/>
  <c r="J16" i="2" s="1"/>
  <c r="AK17" i="1"/>
  <c r="I16" i="2" s="1"/>
  <c r="AJ17" i="1"/>
  <c r="H16" i="2" s="1"/>
  <c r="AI17" i="1"/>
  <c r="G16" i="2" s="1"/>
  <c r="AH17" i="1"/>
  <c r="F16" i="2" s="1"/>
  <c r="AG17" i="1" a="1"/>
  <c r="AG17" i="1"/>
  <c r="E16" i="2" s="1"/>
  <c r="AF17" i="1"/>
  <c r="D16" i="2" s="1"/>
  <c r="AE17" i="1"/>
  <c r="C16" i="2" s="1"/>
  <c r="AA17" i="1"/>
  <c r="Z17" i="1"/>
  <c r="BD16" i="1"/>
  <c r="BC16" i="1"/>
  <c r="BB16" i="1"/>
  <c r="BA16" i="1"/>
  <c r="AZ16" i="1"/>
  <c r="AX16" i="1"/>
  <c r="AS16" i="1"/>
  <c r="AW16" i="1" s="1"/>
  <c r="AP16" i="1"/>
  <c r="AM16" i="1"/>
  <c r="AK16" i="1"/>
  <c r="I15" i="2" s="1"/>
  <c r="AJ16" i="1"/>
  <c r="H15" i="2" s="1"/>
  <c r="AI16" i="1"/>
  <c r="G15" i="2" s="1"/>
  <c r="AH16" i="1"/>
  <c r="F15" i="2" s="1"/>
  <c r="AG16" i="1" a="1"/>
  <c r="AG16" i="1"/>
  <c r="E15" i="2" s="1"/>
  <c r="AF16" i="1"/>
  <c r="D15" i="2" s="1"/>
  <c r="AE16" i="1"/>
  <c r="C15" i="2" s="1"/>
  <c r="AA16" i="1"/>
  <c r="Z16" i="1"/>
  <c r="BD15" i="1"/>
  <c r="BC15" i="1"/>
  <c r="BB15" i="1"/>
  <c r="BA15" i="1"/>
  <c r="AZ15" i="1"/>
  <c r="AX15" i="1"/>
  <c r="AW15" i="1"/>
  <c r="BF15" i="1" s="1"/>
  <c r="AS15" i="1"/>
  <c r="AP15" i="1"/>
  <c r="AM15" i="1"/>
  <c r="J14" i="2" s="1"/>
  <c r="AK15" i="1"/>
  <c r="I14" i="2" s="1"/>
  <c r="AJ15" i="1"/>
  <c r="H14" i="2" s="1"/>
  <c r="AI15" i="1"/>
  <c r="G14" i="2" s="1"/>
  <c r="AH15" i="1"/>
  <c r="F14" i="2" s="1"/>
  <c r="AG15" i="1" a="1"/>
  <c r="AG15" i="1" s="1"/>
  <c r="E14" i="2" s="1"/>
  <c r="AF15" i="1"/>
  <c r="D14" i="2" s="1"/>
  <c r="AE15" i="1"/>
  <c r="C14" i="2" s="1"/>
  <c r="AA15" i="1"/>
  <c r="Z15" i="1"/>
  <c r="BD14" i="1"/>
  <c r="BC14" i="1"/>
  <c r="BB14" i="1"/>
  <c r="BA14" i="1"/>
  <c r="AZ14" i="1"/>
  <c r="AX14" i="1"/>
  <c r="AW14" i="1"/>
  <c r="AL14" i="1" s="1"/>
  <c r="AN14" i="1" s="1"/>
  <c r="K13" i="2" s="1"/>
  <c r="AS14" i="1"/>
  <c r="AP14" i="1"/>
  <c r="AM14" i="1"/>
  <c r="AK14" i="1"/>
  <c r="I13" i="2" s="1"/>
  <c r="AJ14" i="1"/>
  <c r="H13" i="2" s="1"/>
  <c r="AI14" i="1"/>
  <c r="G13" i="2" s="1"/>
  <c r="AH14" i="1"/>
  <c r="F13" i="2" s="1"/>
  <c r="AG14" i="1" a="1"/>
  <c r="AG14" i="1"/>
  <c r="E13" i="2" s="1"/>
  <c r="AF14" i="1"/>
  <c r="D13" i="2" s="1"/>
  <c r="AE14" i="1"/>
  <c r="C13" i="2" s="1"/>
  <c r="AA14" i="1"/>
  <c r="Z14" i="1"/>
  <c r="BD13" i="1"/>
  <c r="BC13" i="1"/>
  <c r="BB13" i="1"/>
  <c r="BA13" i="1"/>
  <c r="AZ13" i="1"/>
  <c r="AX13" i="1"/>
  <c r="AS13" i="1"/>
  <c r="AW13" i="1" s="1"/>
  <c r="AP13" i="1"/>
  <c r="AM13" i="1"/>
  <c r="J12" i="2" s="1"/>
  <c r="AK13" i="1"/>
  <c r="I12" i="2" s="1"/>
  <c r="AJ13" i="1"/>
  <c r="H12" i="2" s="1"/>
  <c r="AI13" i="1"/>
  <c r="G12" i="2" s="1"/>
  <c r="AH13" i="1"/>
  <c r="F12" i="2" s="1"/>
  <c r="AG13" i="1" a="1"/>
  <c r="AG13" i="1"/>
  <c r="E12" i="2" s="1"/>
  <c r="AF13" i="1"/>
  <c r="D12" i="2" s="1"/>
  <c r="AE13" i="1"/>
  <c r="C12" i="2" s="1"/>
  <c r="AA13" i="1"/>
  <c r="Z13" i="1"/>
  <c r="BD12" i="1"/>
  <c r="BC12" i="1"/>
  <c r="BB12" i="1"/>
  <c r="BA12" i="1"/>
  <c r="AZ12" i="1"/>
  <c r="AX12" i="1"/>
  <c r="AS12" i="1"/>
  <c r="AW12" i="1" s="1"/>
  <c r="AP12" i="1"/>
  <c r="AM12" i="1"/>
  <c r="AK12" i="1"/>
  <c r="I11" i="2" s="1"/>
  <c r="AJ12" i="1"/>
  <c r="H11" i="2" s="1"/>
  <c r="AI12" i="1"/>
  <c r="G11" i="2" s="1"/>
  <c r="AH12" i="1"/>
  <c r="F11" i="2" s="1"/>
  <c r="AG12" i="1" a="1"/>
  <c r="AG12" i="1"/>
  <c r="E11" i="2" s="1"/>
  <c r="AF12" i="1"/>
  <c r="D11" i="2" s="1"/>
  <c r="AE12" i="1"/>
  <c r="C11" i="2" s="1"/>
  <c r="AA12" i="1"/>
  <c r="Z12" i="1"/>
  <c r="BD11" i="1"/>
  <c r="BC11" i="1"/>
  <c r="BB11" i="1"/>
  <c r="BA11" i="1"/>
  <c r="AZ11" i="1"/>
  <c r="AX11" i="1"/>
  <c r="AW11" i="1"/>
  <c r="AL11" i="1" s="1"/>
  <c r="AN11" i="1" s="1"/>
  <c r="AS11" i="1"/>
  <c r="AP11" i="1"/>
  <c r="AO11" i="1"/>
  <c r="AQ11" i="1" s="1"/>
  <c r="AM11" i="1"/>
  <c r="J10" i="2" s="1"/>
  <c r="AK11" i="1"/>
  <c r="I10" i="2" s="1"/>
  <c r="AJ11" i="1"/>
  <c r="H10" i="2" s="1"/>
  <c r="AI11" i="1"/>
  <c r="G10" i="2" s="1"/>
  <c r="AH11" i="1"/>
  <c r="F10" i="2" s="1"/>
  <c r="AG11" i="1" a="1"/>
  <c r="AG11" i="1" s="1"/>
  <c r="E10" i="2" s="1"/>
  <c r="AF11" i="1"/>
  <c r="D10" i="2" s="1"/>
  <c r="AE11" i="1"/>
  <c r="C10" i="2" s="1"/>
  <c r="AA11" i="1"/>
  <c r="Z11" i="1"/>
  <c r="BD10" i="1"/>
  <c r="BC10" i="1"/>
  <c r="BB10" i="1"/>
  <c r="BA10" i="1"/>
  <c r="AZ10" i="1"/>
  <c r="AX10" i="1"/>
  <c r="AW10" i="1"/>
  <c r="BF10" i="1" s="1"/>
  <c r="AS10" i="1"/>
  <c r="AP10" i="1"/>
  <c r="AM10" i="1"/>
  <c r="AK10" i="1"/>
  <c r="I9" i="2" s="1"/>
  <c r="AJ10" i="1"/>
  <c r="H9" i="2" s="1"/>
  <c r="AI10" i="1"/>
  <c r="G9" i="2" s="1"/>
  <c r="AH10" i="1"/>
  <c r="F9" i="2" s="1"/>
  <c r="AG10" i="1" a="1"/>
  <c r="AG10" i="1"/>
  <c r="E9" i="2" s="1"/>
  <c r="AF10" i="1"/>
  <c r="D9" i="2" s="1"/>
  <c r="AE10" i="1"/>
  <c r="C9" i="2" s="1"/>
  <c r="AA10" i="1"/>
  <c r="Z10" i="1"/>
  <c r="BD9" i="1"/>
  <c r="BC9" i="1"/>
  <c r="BB9" i="1"/>
  <c r="BA9" i="1"/>
  <c r="AZ9" i="1"/>
  <c r="AX9" i="1"/>
  <c r="AS9" i="1"/>
  <c r="AW9" i="1" s="1"/>
  <c r="AP9" i="1"/>
  <c r="AM9" i="1"/>
  <c r="J8" i="2" s="1"/>
  <c r="AK9" i="1"/>
  <c r="I8" i="2" s="1"/>
  <c r="AJ9" i="1"/>
  <c r="H8" i="2" s="1"/>
  <c r="AI9" i="1"/>
  <c r="G8" i="2" s="1"/>
  <c r="AH9" i="1"/>
  <c r="F8" i="2" s="1"/>
  <c r="AG9" i="1" a="1"/>
  <c r="AG9" i="1"/>
  <c r="E8" i="2" s="1"/>
  <c r="AF9" i="1"/>
  <c r="D8" i="2" s="1"/>
  <c r="AE9" i="1"/>
  <c r="C8" i="2" s="1"/>
  <c r="AA9" i="1"/>
  <c r="Z9" i="1"/>
  <c r="BD8" i="1"/>
  <c r="BC8" i="1"/>
  <c r="BB8" i="1"/>
  <c r="BA8" i="1"/>
  <c r="AZ8" i="1"/>
  <c r="AX8" i="1"/>
  <c r="AS8" i="1"/>
  <c r="AW8" i="1" s="1"/>
  <c r="AP8" i="1"/>
  <c r="AM8" i="1"/>
  <c r="AK8" i="1"/>
  <c r="I7" i="2" s="1"/>
  <c r="AJ8" i="1"/>
  <c r="H7" i="2" s="1"/>
  <c r="AI8" i="1"/>
  <c r="G7" i="2" s="1"/>
  <c r="AH8" i="1"/>
  <c r="F7" i="2" s="1"/>
  <c r="AG8" i="1" a="1"/>
  <c r="AG8" i="1"/>
  <c r="E7" i="2" s="1"/>
  <c r="AF8" i="1"/>
  <c r="D7" i="2" s="1"/>
  <c r="AE8" i="1"/>
  <c r="C7" i="2" s="1"/>
  <c r="AA8" i="1"/>
  <c r="Z8" i="1"/>
  <c r="BD7" i="1"/>
  <c r="BC7" i="1"/>
  <c r="BB7" i="1"/>
  <c r="BA7" i="1"/>
  <c r="AZ7" i="1"/>
  <c r="AX7" i="1"/>
  <c r="AW7" i="1"/>
  <c r="BF7" i="1" s="1"/>
  <c r="AS7" i="1"/>
  <c r="AP7" i="1"/>
  <c r="AM7" i="1"/>
  <c r="J6" i="2" s="1"/>
  <c r="AK7" i="1"/>
  <c r="I6" i="2" s="1"/>
  <c r="AJ7" i="1"/>
  <c r="H6" i="2" s="1"/>
  <c r="AI7" i="1"/>
  <c r="G6" i="2" s="1"/>
  <c r="AH7" i="1"/>
  <c r="F6" i="2" s="1"/>
  <c r="AG7" i="1" a="1"/>
  <c r="AG7" i="1" s="1"/>
  <c r="E6" i="2" s="1"/>
  <c r="AF7" i="1"/>
  <c r="D6" i="2" s="1"/>
  <c r="AE7" i="1"/>
  <c r="C6" i="2" s="1"/>
  <c r="AA7" i="1"/>
  <c r="Z7" i="1"/>
  <c r="BD6" i="1"/>
  <c r="BC6" i="1"/>
  <c r="BB6" i="1"/>
  <c r="BA6" i="1"/>
  <c r="AZ6" i="1"/>
  <c r="AX6" i="1"/>
  <c r="AW6" i="1"/>
  <c r="AL6" i="1" s="1"/>
  <c r="AN6" i="1" s="1"/>
  <c r="K5" i="2" s="1"/>
  <c r="AS6" i="1"/>
  <c r="AP6" i="1"/>
  <c r="AO6" i="1"/>
  <c r="AQ6" i="1" s="1"/>
  <c r="AM6" i="1"/>
  <c r="J5" i="2" s="1"/>
  <c r="AK6" i="1"/>
  <c r="I5" i="2" s="1"/>
  <c r="AJ6" i="1"/>
  <c r="H5" i="2" s="1"/>
  <c r="AI6" i="1"/>
  <c r="G5" i="2" s="1"/>
  <c r="AH6" i="1"/>
  <c r="F5" i="2" s="1"/>
  <c r="AG6" i="1" a="1"/>
  <c r="AG6" i="1" s="1"/>
  <c r="E5" i="2" s="1"/>
  <c r="AF6" i="1"/>
  <c r="D5" i="2" s="1"/>
  <c r="AE6" i="1"/>
  <c r="C5" i="2" s="1"/>
  <c r="AA6" i="1"/>
  <c r="Z6" i="1"/>
  <c r="BD5" i="1"/>
  <c r="BC5" i="1"/>
  <c r="BB5" i="1"/>
  <c r="BA5" i="1"/>
  <c r="AZ5" i="1"/>
  <c r="AX5" i="1"/>
  <c r="AW5" i="1"/>
  <c r="BF5" i="1" s="1"/>
  <c r="AS5" i="1"/>
  <c r="AP5" i="1"/>
  <c r="AM5" i="1"/>
  <c r="J4" i="2" s="1"/>
  <c r="AK5" i="1"/>
  <c r="I4" i="2" s="1"/>
  <c r="AJ5" i="1"/>
  <c r="H4" i="2" s="1"/>
  <c r="AI5" i="1"/>
  <c r="G4" i="2" s="1"/>
  <c r="AH5" i="1"/>
  <c r="F4" i="2" s="1"/>
  <c r="AG5" i="1" a="1"/>
  <c r="AG5" i="1" s="1"/>
  <c r="E4" i="2" s="1"/>
  <c r="AF5" i="1"/>
  <c r="D4" i="2" s="1"/>
  <c r="AE5" i="1"/>
  <c r="C4" i="2" s="1"/>
  <c r="AA5" i="1"/>
  <c r="Z5" i="1"/>
  <c r="BD4" i="1"/>
  <c r="BC4" i="1"/>
  <c r="BB4" i="1"/>
  <c r="BA4" i="1"/>
  <c r="AZ4" i="1"/>
  <c r="AX4" i="1"/>
  <c r="AW4" i="1"/>
  <c r="AL4" i="1" s="1"/>
  <c r="AN4" i="1" s="1"/>
  <c r="K3" i="2" s="1"/>
  <c r="AS4" i="1"/>
  <c r="AP4" i="1"/>
  <c r="AO4" i="1"/>
  <c r="AQ4" i="1" s="1"/>
  <c r="AM4" i="1"/>
  <c r="J3" i="2" s="1"/>
  <c r="AK4" i="1"/>
  <c r="I3" i="2" s="1"/>
  <c r="AJ4" i="1"/>
  <c r="H3" i="2" s="1"/>
  <c r="AI4" i="1"/>
  <c r="G3" i="2" s="1"/>
  <c r="AH4" i="1"/>
  <c r="F3" i="2" s="1"/>
  <c r="AG4" i="1" a="1"/>
  <c r="AG4" i="1" s="1"/>
  <c r="E3" i="2" s="1"/>
  <c r="AF4" i="1"/>
  <c r="D3" i="2" s="1"/>
  <c r="AE4" i="1"/>
  <c r="C3" i="2" s="1"/>
  <c r="AA4" i="1"/>
  <c r="Z4" i="1"/>
  <c r="AO28" i="1" l="1"/>
  <c r="AQ28" i="1" s="1"/>
  <c r="AL28" i="1"/>
  <c r="AN28" i="1" s="1"/>
  <c r="K27" i="2" s="1"/>
  <c r="BF28" i="1"/>
  <c r="BF12" i="1"/>
  <c r="AO12" i="1"/>
  <c r="AQ12" i="1" s="1"/>
  <c r="AL12" i="1"/>
  <c r="AN12" i="1" s="1"/>
  <c r="K11" i="2" s="1"/>
  <c r="AC12" i="1"/>
  <c r="L11" i="2" s="1"/>
  <c r="AO21" i="1"/>
  <c r="AQ21" i="1" s="1"/>
  <c r="AC21" i="1" s="1"/>
  <c r="L20" i="2" s="1"/>
  <c r="AL21" i="1"/>
  <c r="AN21" i="1" s="1"/>
  <c r="BF21" i="1"/>
  <c r="K26" i="2"/>
  <c r="AB27" i="1"/>
  <c r="AD27" i="1" s="1"/>
  <c r="K16" i="2"/>
  <c r="AB17" i="1"/>
  <c r="AO8" i="1"/>
  <c r="AQ8" i="1" s="1"/>
  <c r="AC8" i="1" s="1"/>
  <c r="L7" i="2" s="1"/>
  <c r="AL8" i="1"/>
  <c r="AN8" i="1" s="1"/>
  <c r="K7" i="2" s="1"/>
  <c r="BF8" i="1"/>
  <c r="K36" i="2"/>
  <c r="AB37" i="1"/>
  <c r="K38" i="2"/>
  <c r="AB39" i="1"/>
  <c r="AD39" i="1" s="1"/>
  <c r="AC11" i="1"/>
  <c r="L10" i="2" s="1"/>
  <c r="K24" i="2"/>
  <c r="AB25" i="1"/>
  <c r="AO32" i="1"/>
  <c r="AQ32" i="1" s="1"/>
  <c r="AC32" i="1" s="1"/>
  <c r="L31" i="2" s="1"/>
  <c r="AL32" i="1"/>
  <c r="AN32" i="1" s="1"/>
  <c r="K31" i="2" s="1"/>
  <c r="BF32" i="1"/>
  <c r="K32" i="2"/>
  <c r="AB33" i="1"/>
  <c r="AC16" i="1"/>
  <c r="L15" i="2" s="1"/>
  <c r="AC20" i="1"/>
  <c r="L19" i="2" s="1"/>
  <c r="K22" i="2"/>
  <c r="AB23" i="1"/>
  <c r="AC30" i="1"/>
  <c r="L29" i="2" s="1"/>
  <c r="AC15" i="1"/>
  <c r="L14" i="2" s="1"/>
  <c r="AC26" i="1"/>
  <c r="L25" i="2" s="1"/>
  <c r="K18" i="2"/>
  <c r="AB19" i="1"/>
  <c r="AD19" i="1" s="1"/>
  <c r="AO26" i="1"/>
  <c r="AQ26" i="1" s="1"/>
  <c r="AL26" i="1"/>
  <c r="AN26" i="1" s="1"/>
  <c r="K25" i="2" s="1"/>
  <c r="BF26" i="1"/>
  <c r="AC6" i="1"/>
  <c r="L5" i="2" s="1"/>
  <c r="AC4" i="1"/>
  <c r="L3" i="2" s="1"/>
  <c r="AO13" i="1"/>
  <c r="AQ13" i="1" s="1"/>
  <c r="AC13" i="1" s="1"/>
  <c r="L12" i="2" s="1"/>
  <c r="AL13" i="1"/>
  <c r="AN13" i="1" s="1"/>
  <c r="BF13" i="1"/>
  <c r="E21" i="2"/>
  <c r="AC22" i="1"/>
  <c r="L21" i="2" s="1"/>
  <c r="AO24" i="1"/>
  <c r="AQ24" i="1" s="1"/>
  <c r="AC24" i="1" s="1"/>
  <c r="L23" i="2" s="1"/>
  <c r="AL24" i="1"/>
  <c r="AN24" i="1" s="1"/>
  <c r="K23" i="2" s="1"/>
  <c r="BF24" i="1"/>
  <c r="K34" i="2"/>
  <c r="AB35" i="1"/>
  <c r="AL9" i="1"/>
  <c r="AN9" i="1" s="1"/>
  <c r="BF9" i="1"/>
  <c r="AO9" i="1"/>
  <c r="AQ9" i="1" s="1"/>
  <c r="AC9" i="1" s="1"/>
  <c r="L8" i="2" s="1"/>
  <c r="K10" i="2"/>
  <c r="AB11" i="1"/>
  <c r="AD11" i="1" s="1"/>
  <c r="AO16" i="1"/>
  <c r="AQ16" i="1" s="1"/>
  <c r="AL16" i="1"/>
  <c r="AN16" i="1" s="1"/>
  <c r="K15" i="2" s="1"/>
  <c r="BF16" i="1"/>
  <c r="AO30" i="1"/>
  <c r="AQ30" i="1" s="1"/>
  <c r="AL30" i="1"/>
  <c r="AN30" i="1" s="1"/>
  <c r="K29" i="2" s="1"/>
  <c r="BF30" i="1"/>
  <c r="K30" i="2"/>
  <c r="AB31" i="1"/>
  <c r="AD31" i="1" s="1"/>
  <c r="AC23" i="1"/>
  <c r="L22" i="2" s="1"/>
  <c r="AC28" i="1"/>
  <c r="L27" i="2" s="1"/>
  <c r="K28" i="2"/>
  <c r="AB29" i="1"/>
  <c r="J25" i="2"/>
  <c r="AB26" i="1"/>
  <c r="AD26" i="1" s="1"/>
  <c r="J27" i="2"/>
  <c r="AB28" i="1"/>
  <c r="J29" i="2"/>
  <c r="AB30" i="1"/>
  <c r="AD30" i="1" s="1"/>
  <c r="BF39" i="1"/>
  <c r="BF54" i="1"/>
  <c r="AO54" i="1"/>
  <c r="AQ54" i="1" s="1"/>
  <c r="AL54" i="1"/>
  <c r="AN54" i="1" s="1"/>
  <c r="AL60" i="1"/>
  <c r="AN60" i="1" s="1"/>
  <c r="K59" i="2" s="1"/>
  <c r="BF60" i="1"/>
  <c r="AO62" i="1"/>
  <c r="AQ62" i="1" s="1"/>
  <c r="AC62" i="1" s="1"/>
  <c r="L61" i="2" s="1"/>
  <c r="BF62" i="1"/>
  <c r="AL62" i="1"/>
  <c r="AN62" i="1" s="1"/>
  <c r="AL64" i="1"/>
  <c r="AN64" i="1" s="1"/>
  <c r="K63" i="2" s="1"/>
  <c r="BF64" i="1"/>
  <c r="AO64" i="1"/>
  <c r="AQ64" i="1" s="1"/>
  <c r="AC64" i="1" s="1"/>
  <c r="L63" i="2" s="1"/>
  <c r="AL5" i="1"/>
  <c r="AN5" i="1" s="1"/>
  <c r="AL7" i="1"/>
  <c r="AN7" i="1" s="1"/>
  <c r="J11" i="2"/>
  <c r="AB12" i="1"/>
  <c r="AO14" i="1"/>
  <c r="AQ14" i="1" s="1"/>
  <c r="AC14" i="1" s="1"/>
  <c r="L13" i="2" s="1"/>
  <c r="J19" i="2"/>
  <c r="AB20" i="1"/>
  <c r="AD20" i="1" s="1"/>
  <c r="AC33" i="1"/>
  <c r="L32" i="2" s="1"/>
  <c r="AO34" i="1"/>
  <c r="AQ34" i="1" s="1"/>
  <c r="AC34" i="1" s="1"/>
  <c r="L33" i="2" s="1"/>
  <c r="AL34" i="1"/>
  <c r="AN34" i="1" s="1"/>
  <c r="K33" i="2" s="1"/>
  <c r="AO38" i="1"/>
  <c r="AQ38" i="1" s="1"/>
  <c r="AL38" i="1"/>
  <c r="AN38" i="1" s="1"/>
  <c r="K37" i="2" s="1"/>
  <c r="BF38" i="1"/>
  <c r="J39" i="2"/>
  <c r="BF58" i="1"/>
  <c r="AO58" i="1"/>
  <c r="AQ58" i="1" s="1"/>
  <c r="AL58" i="1"/>
  <c r="AN58" i="1" s="1"/>
  <c r="J60" i="2"/>
  <c r="AO72" i="1"/>
  <c r="AQ72" i="1" s="1"/>
  <c r="AC72" i="1" s="1"/>
  <c r="L71" i="2" s="1"/>
  <c r="AL72" i="1"/>
  <c r="AN72" i="1" s="1"/>
  <c r="BF72" i="1"/>
  <c r="AL15" i="1"/>
  <c r="AN15" i="1" s="1"/>
  <c r="AL10" i="1"/>
  <c r="AN10" i="1" s="1"/>
  <c r="K9" i="2" s="1"/>
  <c r="AL18" i="1"/>
  <c r="AN18" i="1" s="1"/>
  <c r="K17" i="2" s="1"/>
  <c r="AC27" i="1"/>
  <c r="L26" i="2" s="1"/>
  <c r="AC31" i="1"/>
  <c r="L30" i="2" s="1"/>
  <c r="BF35" i="1"/>
  <c r="AC37" i="1"/>
  <c r="L36" i="2" s="1"/>
  <c r="AB4" i="1"/>
  <c r="AD4" i="1" s="1"/>
  <c r="AB6" i="1"/>
  <c r="AD6" i="1" s="1"/>
  <c r="AO17" i="1"/>
  <c r="AQ17" i="1" s="1"/>
  <c r="AC17" i="1" s="1"/>
  <c r="L16" i="2" s="1"/>
  <c r="AC25" i="1"/>
  <c r="L24" i="2" s="1"/>
  <c r="AC29" i="1"/>
  <c r="L28" i="2" s="1"/>
  <c r="BF43" i="1"/>
  <c r="AO43" i="1"/>
  <c r="AQ43" i="1" s="1"/>
  <c r="AC43" i="1" s="1"/>
  <c r="L42" i="2" s="1"/>
  <c r="AL43" i="1"/>
  <c r="AN43" i="1" s="1"/>
  <c r="K42" i="2" s="1"/>
  <c r="AC55" i="1"/>
  <c r="L54" i="2" s="1"/>
  <c r="AC65" i="1"/>
  <c r="L64" i="2" s="1"/>
  <c r="BF4" i="1"/>
  <c r="BF6" i="1"/>
  <c r="J9" i="2"/>
  <c r="BF11" i="1"/>
  <c r="BF14" i="1"/>
  <c r="J17" i="2"/>
  <c r="AB18" i="1"/>
  <c r="AD18" i="1" s="1"/>
  <c r="BF19" i="1"/>
  <c r="AO20" i="1"/>
  <c r="AQ20" i="1" s="1"/>
  <c r="BF22" i="1"/>
  <c r="J35" i="2"/>
  <c r="AB36" i="1"/>
  <c r="BF61" i="1"/>
  <c r="AC63" i="1"/>
  <c r="L62" i="2" s="1"/>
  <c r="AL65" i="1"/>
  <c r="AN65" i="1" s="1"/>
  <c r="BF65" i="1"/>
  <c r="AO65" i="1"/>
  <c r="AQ65" i="1" s="1"/>
  <c r="AL73" i="1"/>
  <c r="AN73" i="1" s="1"/>
  <c r="K72" i="2" s="1"/>
  <c r="AO73" i="1"/>
  <c r="AQ73" i="1" s="1"/>
  <c r="AC73" i="1" s="1"/>
  <c r="L72" i="2" s="1"/>
  <c r="BF73" i="1"/>
  <c r="AO5" i="1"/>
  <c r="AQ5" i="1" s="1"/>
  <c r="AC5" i="1" s="1"/>
  <c r="L4" i="2" s="1"/>
  <c r="AO7" i="1"/>
  <c r="AQ7" i="1" s="1"/>
  <c r="AC7" i="1" s="1"/>
  <c r="L6" i="2" s="1"/>
  <c r="AO15" i="1"/>
  <c r="AQ15" i="1" s="1"/>
  <c r="AO40" i="1"/>
  <c r="AQ40" i="1" s="1"/>
  <c r="AC40" i="1" s="1"/>
  <c r="L39" i="2" s="1"/>
  <c r="AL40" i="1"/>
  <c r="AN40" i="1" s="1"/>
  <c r="K39" i="2" s="1"/>
  <c r="BF40" i="1"/>
  <c r="J7" i="2"/>
  <c r="AO10" i="1"/>
  <c r="AQ10" i="1" s="1"/>
  <c r="AC10" i="1" s="1"/>
  <c r="L9" i="2" s="1"/>
  <c r="J15" i="2"/>
  <c r="AB16" i="1"/>
  <c r="AD16" i="1" s="1"/>
  <c r="BF17" i="1"/>
  <c r="AO18" i="1"/>
  <c r="AQ18" i="1" s="1"/>
  <c r="AC18" i="1" s="1"/>
  <c r="L17" i="2" s="1"/>
  <c r="J23" i="2"/>
  <c r="AB24" i="1"/>
  <c r="BF25" i="1"/>
  <c r="BF27" i="1"/>
  <c r="BF29" i="1"/>
  <c r="BF31" i="1"/>
  <c r="BF37" i="1"/>
  <c r="AL41" i="1"/>
  <c r="AN41" i="1" s="1"/>
  <c r="AL44" i="1"/>
  <c r="AN44" i="1" s="1"/>
  <c r="K43" i="2" s="1"/>
  <c r="BF44" i="1"/>
  <c r="K44" i="2"/>
  <c r="AB45" i="1"/>
  <c r="AL48" i="1"/>
  <c r="AN48" i="1" s="1"/>
  <c r="K47" i="2" s="1"/>
  <c r="BF48" i="1"/>
  <c r="K48" i="2"/>
  <c r="AB49" i="1"/>
  <c r="AC50" i="1"/>
  <c r="L49" i="2" s="1"/>
  <c r="AC56" i="1"/>
  <c r="L55" i="2" s="1"/>
  <c r="AO66" i="1"/>
  <c r="AQ66" i="1" s="1"/>
  <c r="AC66" i="1" s="1"/>
  <c r="L65" i="2" s="1"/>
  <c r="AL66" i="1"/>
  <c r="AN66" i="1" s="1"/>
  <c r="K65" i="2" s="1"/>
  <c r="BF66" i="1"/>
  <c r="J33" i="2"/>
  <c r="AO36" i="1"/>
  <c r="AQ36" i="1" s="1"/>
  <c r="AC36" i="1" s="1"/>
  <c r="L35" i="2" s="1"/>
  <c r="AL36" i="1"/>
  <c r="AN36" i="1" s="1"/>
  <c r="K35" i="2" s="1"/>
  <c r="BF36" i="1"/>
  <c r="J37" i="2"/>
  <c r="AB38" i="1"/>
  <c r="BF42" i="1"/>
  <c r="AO42" i="1"/>
  <c r="AQ42" i="1" s="1"/>
  <c r="AC42" i="1" s="1"/>
  <c r="L41" i="2" s="1"/>
  <c r="AL42" i="1"/>
  <c r="AN42" i="1" s="1"/>
  <c r="BF46" i="1"/>
  <c r="AO46" i="1"/>
  <c r="AQ46" i="1" s="1"/>
  <c r="AC46" i="1" s="1"/>
  <c r="L45" i="2" s="1"/>
  <c r="AL46" i="1"/>
  <c r="AN46" i="1" s="1"/>
  <c r="AL52" i="1"/>
  <c r="AN52" i="1" s="1"/>
  <c r="K51" i="2" s="1"/>
  <c r="BF52" i="1"/>
  <c r="K52" i="2"/>
  <c r="AB53" i="1"/>
  <c r="AD53" i="1" s="1"/>
  <c r="AC54" i="1"/>
  <c r="L53" i="2" s="1"/>
  <c r="AO60" i="1"/>
  <c r="AQ60" i="1" s="1"/>
  <c r="AC60" i="1" s="1"/>
  <c r="L59" i="2" s="1"/>
  <c r="J63" i="2"/>
  <c r="AB64" i="1"/>
  <c r="AD64" i="1" s="1"/>
  <c r="AL74" i="1"/>
  <c r="AN74" i="1" s="1"/>
  <c r="BF74" i="1"/>
  <c r="AO74" i="1"/>
  <c r="AQ74" i="1" s="1"/>
  <c r="AC74" i="1" s="1"/>
  <c r="L73" i="2" s="1"/>
  <c r="J13" i="2"/>
  <c r="AB14" i="1"/>
  <c r="AB22" i="1"/>
  <c r="AD22" i="1" s="1"/>
  <c r="J21" i="2"/>
  <c r="J31" i="2"/>
  <c r="AC35" i="1"/>
  <c r="L34" i="2" s="1"/>
  <c r="AC38" i="1"/>
  <c r="L37" i="2" s="1"/>
  <c r="BF50" i="1"/>
  <c r="AO50" i="1"/>
  <c r="AQ50" i="1" s="1"/>
  <c r="AL50" i="1"/>
  <c r="AN50" i="1" s="1"/>
  <c r="AL56" i="1"/>
  <c r="AN56" i="1" s="1"/>
  <c r="K55" i="2" s="1"/>
  <c r="BF56" i="1"/>
  <c r="K56" i="2"/>
  <c r="AB57" i="1"/>
  <c r="AC58" i="1"/>
  <c r="L57" i="2" s="1"/>
  <c r="AB43" i="1"/>
  <c r="AB55" i="1"/>
  <c r="AD55" i="1" s="1"/>
  <c r="AO61" i="1"/>
  <c r="AQ61" i="1" s="1"/>
  <c r="AL63" i="1"/>
  <c r="AN63" i="1" s="1"/>
  <c r="BF47" i="1"/>
  <c r="BF51" i="1"/>
  <c r="BF55" i="1"/>
  <c r="BF59" i="1"/>
  <c r="AC61" i="1"/>
  <c r="L60" i="2" s="1"/>
  <c r="AL71" i="1"/>
  <c r="AN71" i="1" s="1"/>
  <c r="K70" i="2" s="1"/>
  <c r="BF71" i="1"/>
  <c r="AC45" i="1"/>
  <c r="L44" i="2" s="1"/>
  <c r="AL47" i="1"/>
  <c r="AN47" i="1" s="1"/>
  <c r="K46" i="2" s="1"/>
  <c r="AC49" i="1"/>
  <c r="L48" i="2" s="1"/>
  <c r="AL51" i="1"/>
  <c r="AN51" i="1" s="1"/>
  <c r="K50" i="2" s="1"/>
  <c r="AB52" i="1"/>
  <c r="AD52" i="1" s="1"/>
  <c r="AC53" i="1"/>
  <c r="L52" i="2" s="1"/>
  <c r="AL55" i="1"/>
  <c r="AN55" i="1" s="1"/>
  <c r="K54" i="2" s="1"/>
  <c r="AB56" i="1"/>
  <c r="AD56" i="1" s="1"/>
  <c r="AC57" i="1"/>
  <c r="L56" i="2" s="1"/>
  <c r="AL59" i="1"/>
  <c r="AN59" i="1" s="1"/>
  <c r="K58" i="2" s="1"/>
  <c r="AB60" i="1"/>
  <c r="AD60" i="1" s="1"/>
  <c r="BF67" i="1"/>
  <c r="AO68" i="1"/>
  <c r="AQ68" i="1" s="1"/>
  <c r="AC68" i="1" s="1"/>
  <c r="L67" i="2" s="1"/>
  <c r="AL70" i="1"/>
  <c r="AN70" i="1" s="1"/>
  <c r="AL61" i="1"/>
  <c r="AN61" i="1" s="1"/>
  <c r="K60" i="2" s="1"/>
  <c r="AB67" i="1"/>
  <c r="AD67" i="1" s="1"/>
  <c r="AL75" i="1"/>
  <c r="AN75" i="1" s="1"/>
  <c r="K74" i="2" s="1"/>
  <c r="AO75" i="1"/>
  <c r="AQ75" i="1" s="1"/>
  <c r="AC75" i="1" s="1"/>
  <c r="L74" i="2" s="1"/>
  <c r="J65" i="2"/>
  <c r="AB66" i="1"/>
  <c r="AD66" i="1" s="1"/>
  <c r="AB71" i="1"/>
  <c r="AD71" i="1" s="1"/>
  <c r="J70" i="2"/>
  <c r="BF41" i="1"/>
  <c r="BF45" i="1"/>
  <c r="AO47" i="1"/>
  <c r="AQ47" i="1" s="1"/>
  <c r="AC47" i="1" s="1"/>
  <c r="L46" i="2" s="1"/>
  <c r="BF49" i="1"/>
  <c r="AO51" i="1"/>
  <c r="AQ51" i="1" s="1"/>
  <c r="AC51" i="1" s="1"/>
  <c r="L50" i="2" s="1"/>
  <c r="BF53" i="1"/>
  <c r="AO55" i="1"/>
  <c r="AQ55" i="1" s="1"/>
  <c r="BF57" i="1"/>
  <c r="AO59" i="1"/>
  <c r="AQ59" i="1" s="1"/>
  <c r="AC59" i="1" s="1"/>
  <c r="L58" i="2" s="1"/>
  <c r="AB73" i="1"/>
  <c r="AD73" i="1" s="1"/>
  <c r="J72" i="2"/>
  <c r="AL69" i="1"/>
  <c r="AN69" i="1" s="1"/>
  <c r="K68" i="2" s="1"/>
  <c r="AO69" i="1"/>
  <c r="AQ69" i="1" s="1"/>
  <c r="AC69" i="1" s="1"/>
  <c r="L68" i="2" s="1"/>
  <c r="BF63" i="1"/>
  <c r="AO67" i="1"/>
  <c r="AQ67" i="1" s="1"/>
  <c r="AC67" i="1" s="1"/>
  <c r="L66" i="2" s="1"/>
  <c r="AL68" i="1"/>
  <c r="AN68" i="1" s="1"/>
  <c r="AB69" i="1"/>
  <c r="J74" i="2"/>
  <c r="AB75" i="1"/>
  <c r="AD75" i="1" s="1"/>
  <c r="K45" i="2" l="1"/>
  <c r="AB46" i="1"/>
  <c r="AD46" i="1" s="1"/>
  <c r="AD24" i="1"/>
  <c r="K6" i="2"/>
  <c r="AB7" i="1"/>
  <c r="AD7" i="1" s="1"/>
  <c r="AB51" i="1"/>
  <c r="AD51" i="1" s="1"/>
  <c r="K49" i="2"/>
  <c r="AB50" i="1"/>
  <c r="AD50" i="1" s="1"/>
  <c r="K14" i="2"/>
  <c r="AB15" i="1"/>
  <c r="AD15" i="1" s="1"/>
  <c r="K4" i="2"/>
  <c r="AB5" i="1"/>
  <c r="AD5" i="1" s="1"/>
  <c r="AD35" i="1"/>
  <c r="K12" i="2"/>
  <c r="AB13" i="1"/>
  <c r="AD13" i="1" s="1"/>
  <c r="AB48" i="1"/>
  <c r="AD48" i="1" s="1"/>
  <c r="AB47" i="1"/>
  <c r="AD47" i="1" s="1"/>
  <c r="AD14" i="1"/>
  <c r="AD49" i="1"/>
  <c r="K40" i="2"/>
  <c r="AB41" i="1"/>
  <c r="AD41" i="1" s="1"/>
  <c r="K53" i="2"/>
  <c r="AB54" i="1"/>
  <c r="AD54" i="1" s="1"/>
  <c r="AD28" i="1"/>
  <c r="AD33" i="1"/>
  <c r="AD17" i="1"/>
  <c r="AD43" i="1"/>
  <c r="K41" i="2"/>
  <c r="AB42" i="1"/>
  <c r="AD42" i="1" s="1"/>
  <c r="AB34" i="1"/>
  <c r="AD34" i="1" s="1"/>
  <c r="AD36" i="1"/>
  <c r="K71" i="2"/>
  <c r="AB72" i="1"/>
  <c r="AD72" i="1" s="1"/>
  <c r="AB40" i="1"/>
  <c r="AD40" i="1" s="1"/>
  <c r="AD37" i="1"/>
  <c r="AB10" i="1"/>
  <c r="AD10" i="1" s="1"/>
  <c r="AD69" i="1"/>
  <c r="AB44" i="1"/>
  <c r="AD44" i="1" s="1"/>
  <c r="K62" i="2"/>
  <c r="AB63" i="1"/>
  <c r="AD63" i="1" s="1"/>
  <c r="AD57" i="1"/>
  <c r="AB61" i="1"/>
  <c r="AD61" i="1" s="1"/>
  <c r="K61" i="2"/>
  <c r="AB62" i="1"/>
  <c r="AD62" i="1" s="1"/>
  <c r="K67" i="2"/>
  <c r="O3" i="2" s="1" a="1"/>
  <c r="AB68" i="1"/>
  <c r="AD68" i="1" s="1"/>
  <c r="K69" i="2"/>
  <c r="AB70" i="1"/>
  <c r="AD70" i="1" s="1"/>
  <c r="AB32" i="1"/>
  <c r="AD32" i="1" s="1"/>
  <c r="K73" i="2"/>
  <c r="AB74" i="1"/>
  <c r="AD74" i="1" s="1"/>
  <c r="AD38" i="1"/>
  <c r="AD45" i="1"/>
  <c r="AD12" i="1"/>
  <c r="AD29" i="1"/>
  <c r="AD23" i="1"/>
  <c r="AB59" i="1"/>
  <c r="AD59" i="1" s="1"/>
  <c r="AB8" i="1"/>
  <c r="AD8" i="1" s="1"/>
  <c r="K64" i="2"/>
  <c r="AB65" i="1"/>
  <c r="AD65" i="1" s="1"/>
  <c r="K57" i="2"/>
  <c r="AB58" i="1"/>
  <c r="AD58" i="1" s="1"/>
  <c r="K8" i="2"/>
  <c r="AB9" i="1"/>
  <c r="AD9" i="1" s="1"/>
  <c r="AD25" i="1"/>
  <c r="K20" i="2"/>
  <c r="AB21" i="1"/>
  <c r="AD21" i="1" s="1"/>
  <c r="Y74" i="2" l="1"/>
  <c r="Q74" i="2"/>
  <c r="U73" i="2"/>
  <c r="Y72" i="2"/>
  <c r="Q72" i="2"/>
  <c r="U71" i="2"/>
  <c r="Y70" i="2"/>
  <c r="Q70" i="2"/>
  <c r="U69" i="2"/>
  <c r="Y68" i="2"/>
  <c r="S74" i="2"/>
  <c r="V73" i="2"/>
  <c r="X72" i="2"/>
  <c r="O72" i="2"/>
  <c r="R71" i="2"/>
  <c r="U70" i="2"/>
  <c r="X69" i="2"/>
  <c r="O69" i="2"/>
  <c r="R68" i="2"/>
  <c r="V67" i="2"/>
  <c r="Z66" i="2"/>
  <c r="R66" i="2"/>
  <c r="V65" i="2"/>
  <c r="Z64" i="2"/>
  <c r="R64" i="2"/>
  <c r="V63" i="2"/>
  <c r="Z62" i="2"/>
  <c r="R62" i="2"/>
  <c r="V61" i="2"/>
  <c r="Z60" i="2"/>
  <c r="R60" i="2"/>
  <c r="V59" i="2"/>
  <c r="Z58" i="2"/>
  <c r="R58" i="2"/>
  <c r="V57" i="2"/>
  <c r="Z56" i="2"/>
  <c r="R56" i="2"/>
  <c r="V55" i="2"/>
  <c r="Z54" i="2"/>
  <c r="R54" i="2"/>
  <c r="V53" i="2"/>
  <c r="Z52" i="2"/>
  <c r="R52" i="2"/>
  <c r="V51" i="2"/>
  <c r="Z50" i="2"/>
  <c r="R50" i="2"/>
  <c r="V49" i="2"/>
  <c r="Z48" i="2"/>
  <c r="R48" i="2"/>
  <c r="V47" i="2"/>
  <c r="Z46" i="2"/>
  <c r="R46" i="2"/>
  <c r="V45" i="2"/>
  <c r="Z44" i="2"/>
  <c r="R44" i="2"/>
  <c r="V43" i="2"/>
  <c r="Z42" i="2"/>
  <c r="R42" i="2"/>
  <c r="V41" i="2"/>
  <c r="Z40" i="2"/>
  <c r="R40" i="2"/>
  <c r="V39" i="2"/>
  <c r="Z38" i="2"/>
  <c r="R38" i="2"/>
  <c r="V37" i="2"/>
  <c r="Z36" i="2"/>
  <c r="R36" i="2"/>
  <c r="V35" i="2"/>
  <c r="Z34" i="2"/>
  <c r="R34" i="2"/>
  <c r="V33" i="2"/>
  <c r="Z32" i="2"/>
  <c r="R32" i="2"/>
  <c r="V31" i="2"/>
  <c r="Z30" i="2"/>
  <c r="R30" i="2"/>
  <c r="V29" i="2"/>
  <c r="Z28" i="2"/>
  <c r="R28" i="2"/>
  <c r="V27" i="2"/>
  <c r="Z26" i="2"/>
  <c r="R26" i="2"/>
  <c r="V25" i="2"/>
  <c r="Z24" i="2"/>
  <c r="R24" i="2"/>
  <c r="V23" i="2"/>
  <c r="Z22" i="2"/>
  <c r="R22" i="2"/>
  <c r="V21" i="2"/>
  <c r="Z20" i="2"/>
  <c r="R20" i="2"/>
  <c r="V19" i="2"/>
  <c r="Z18" i="2"/>
  <c r="R18" i="2"/>
  <c r="V17" i="2"/>
  <c r="Z16" i="2"/>
  <c r="R16" i="2"/>
  <c r="V15" i="2"/>
  <c r="Z14" i="2"/>
  <c r="R14" i="2"/>
  <c r="V13" i="2"/>
  <c r="Z12" i="2"/>
  <c r="R12" i="2"/>
  <c r="V11" i="2"/>
  <c r="Z10" i="2"/>
  <c r="R10" i="2"/>
  <c r="V9" i="2"/>
  <c r="Z8" i="2"/>
  <c r="R8" i="2"/>
  <c r="V7" i="2"/>
  <c r="Z6" i="2"/>
  <c r="R6" i="2"/>
  <c r="V5" i="2"/>
  <c r="Z4" i="2"/>
  <c r="R4" i="2"/>
  <c r="V3" i="2"/>
  <c r="O3" i="2"/>
  <c r="V74" i="2"/>
  <c r="Y73" i="2"/>
  <c r="P73" i="2"/>
  <c r="S72" i="2"/>
  <c r="V71" i="2"/>
  <c r="X70" i="2"/>
  <c r="O70" i="2"/>
  <c r="R69" i="2"/>
  <c r="U68" i="2"/>
  <c r="Y67" i="2"/>
  <c r="Q67" i="2"/>
  <c r="U66" i="2"/>
  <c r="Y65" i="2"/>
  <c r="Q65" i="2"/>
  <c r="U64" i="2"/>
  <c r="Y63" i="2"/>
  <c r="Q63" i="2"/>
  <c r="U62" i="2"/>
  <c r="Y61" i="2"/>
  <c r="Q61" i="2"/>
  <c r="U60" i="2"/>
  <c r="Y59" i="2"/>
  <c r="Q59" i="2"/>
  <c r="U58" i="2"/>
  <c r="Y57" i="2"/>
  <c r="Q57" i="2"/>
  <c r="U56" i="2"/>
  <c r="Y55" i="2"/>
  <c r="T74" i="2"/>
  <c r="S73" i="2"/>
  <c r="T72" i="2"/>
  <c r="S71" i="2"/>
  <c r="S70" i="2"/>
  <c r="S69" i="2"/>
  <c r="S68" i="2"/>
  <c r="T67" i="2"/>
  <c r="V66" i="2"/>
  <c r="W65" i="2"/>
  <c r="X64" i="2"/>
  <c r="Z63" i="2"/>
  <c r="O63" i="2"/>
  <c r="P62" i="2"/>
  <c r="R61" i="2"/>
  <c r="S60" i="2"/>
  <c r="T59" i="2"/>
  <c r="V58" i="2"/>
  <c r="W57" i="2"/>
  <c r="X56" i="2"/>
  <c r="Z55" i="2"/>
  <c r="P55" i="2"/>
  <c r="S54" i="2"/>
  <c r="U53" i="2"/>
  <c r="X52" i="2"/>
  <c r="O52" i="2"/>
  <c r="R51" i="2"/>
  <c r="U50" i="2"/>
  <c r="X49" i="2"/>
  <c r="O49" i="2"/>
  <c r="Q48" i="2"/>
  <c r="T47" i="2"/>
  <c r="W46" i="2"/>
  <c r="Z45" i="2"/>
  <c r="Q45" i="2"/>
  <c r="T44" i="2"/>
  <c r="W43" i="2"/>
  <c r="Y42" i="2"/>
  <c r="P42" i="2"/>
  <c r="S41" i="2"/>
  <c r="V40" i="2"/>
  <c r="Y39" i="2"/>
  <c r="P39" i="2"/>
  <c r="S38" i="2"/>
  <c r="U37" i="2"/>
  <c r="X36" i="2"/>
  <c r="O36" i="2"/>
  <c r="R35" i="2"/>
  <c r="U34" i="2"/>
  <c r="X33" i="2"/>
  <c r="O33" i="2"/>
  <c r="Q32" i="2"/>
  <c r="T31" i="2"/>
  <c r="W30" i="2"/>
  <c r="Z29" i="2"/>
  <c r="Q29" i="2"/>
  <c r="T28" i="2"/>
  <c r="W27" i="2"/>
  <c r="Y26" i="2"/>
  <c r="P26" i="2"/>
  <c r="S25" i="2"/>
  <c r="V24" i="2"/>
  <c r="Y23" i="2"/>
  <c r="P23" i="2"/>
  <c r="S22" i="2"/>
  <c r="U21" i="2"/>
  <c r="X20" i="2"/>
  <c r="O20" i="2"/>
  <c r="R19" i="2"/>
  <c r="U18" i="2"/>
  <c r="X17" i="2"/>
  <c r="O17" i="2"/>
  <c r="Q16" i="2"/>
  <c r="T15" i="2"/>
  <c r="W14" i="2"/>
  <c r="Z13" i="2"/>
  <c r="Q13" i="2"/>
  <c r="T12" i="2"/>
  <c r="W11" i="2"/>
  <c r="Y10" i="2"/>
  <c r="P10" i="2"/>
  <c r="S9" i="2"/>
  <c r="V8" i="2"/>
  <c r="Y7" i="2"/>
  <c r="P7" i="2"/>
  <c r="S6" i="2"/>
  <c r="U5" i="2"/>
  <c r="X4" i="2"/>
  <c r="O4" i="2"/>
  <c r="R3" i="2"/>
  <c r="X74" i="2"/>
  <c r="X73" i="2"/>
  <c r="W72" i="2"/>
  <c r="X71" i="2"/>
  <c r="W70" i="2"/>
  <c r="W69" i="2"/>
  <c r="W68" i="2"/>
  <c r="X67" i="2"/>
  <c r="Y66" i="2"/>
  <c r="O66" i="2"/>
  <c r="P65" i="2"/>
  <c r="Q64" i="2"/>
  <c r="S63" i="2"/>
  <c r="T62" i="2"/>
  <c r="U61" i="2"/>
  <c r="W60" i="2"/>
  <c r="X59" i="2"/>
  <c r="Y58" i="2"/>
  <c r="O58" i="2"/>
  <c r="P57" i="2"/>
  <c r="Q56" i="2"/>
  <c r="S55" i="2"/>
  <c r="V54" i="2"/>
  <c r="Y53" i="2"/>
  <c r="P53" i="2"/>
  <c r="S52" i="2"/>
  <c r="U51" i="2"/>
  <c r="X50" i="2"/>
  <c r="O50" i="2"/>
  <c r="R49" i="2"/>
  <c r="U48" i="2"/>
  <c r="X47" i="2"/>
  <c r="O47" i="2"/>
  <c r="Q46" i="2"/>
  <c r="T45" i="2"/>
  <c r="W44" i="2"/>
  <c r="Z43" i="2"/>
  <c r="Q43" i="2"/>
  <c r="T42" i="2"/>
  <c r="W41" i="2"/>
  <c r="Y40" i="2"/>
  <c r="P40" i="2"/>
  <c r="S39" i="2"/>
  <c r="V38" i="2"/>
  <c r="Y37" i="2"/>
  <c r="P37" i="2"/>
  <c r="S36" i="2"/>
  <c r="U35" i="2"/>
  <c r="X34" i="2"/>
  <c r="O34" i="2"/>
  <c r="R33" i="2"/>
  <c r="U32" i="2"/>
  <c r="X31" i="2"/>
  <c r="O31" i="2"/>
  <c r="Q30" i="2"/>
  <c r="T29" i="2"/>
  <c r="W28" i="2"/>
  <c r="Z27" i="2"/>
  <c r="Q27" i="2"/>
  <c r="T26" i="2"/>
  <c r="W25" i="2"/>
  <c r="Y24" i="2"/>
  <c r="P24" i="2"/>
  <c r="S23" i="2"/>
  <c r="V22" i="2"/>
  <c r="Y21" i="2"/>
  <c r="P21" i="2"/>
  <c r="S20" i="2"/>
  <c r="U19" i="2"/>
  <c r="X18" i="2"/>
  <c r="O18" i="2"/>
  <c r="R17" i="2"/>
  <c r="U16" i="2"/>
  <c r="X15" i="2"/>
  <c r="O15" i="2"/>
  <c r="Q14" i="2"/>
  <c r="T13" i="2"/>
  <c r="W12" i="2"/>
  <c r="Z11" i="2"/>
  <c r="Q11" i="2"/>
  <c r="T10" i="2"/>
  <c r="W9" i="2"/>
  <c r="Y8" i="2"/>
  <c r="P8" i="2"/>
  <c r="S7" i="2"/>
  <c r="V6" i="2"/>
  <c r="Y5" i="2"/>
  <c r="P5" i="2"/>
  <c r="S4" i="2"/>
  <c r="U3" i="2"/>
  <c r="W74" i="2"/>
  <c r="W73" i="2"/>
  <c r="V72" i="2"/>
  <c r="W71" i="2"/>
  <c r="V70" i="2"/>
  <c r="V69" i="2"/>
  <c r="V68" i="2"/>
  <c r="W67" i="2"/>
  <c r="X66" i="2"/>
  <c r="Z65" i="2"/>
  <c r="O65" i="2"/>
  <c r="P64" i="2"/>
  <c r="R63" i="2"/>
  <c r="S62" i="2"/>
  <c r="T61" i="2"/>
  <c r="V60" i="2"/>
  <c r="W59" i="2"/>
  <c r="X58" i="2"/>
  <c r="Z57" i="2"/>
  <c r="O57" i="2"/>
  <c r="P56" i="2"/>
  <c r="R55" i="2"/>
  <c r="U54" i="2"/>
  <c r="X53" i="2"/>
  <c r="O53" i="2"/>
  <c r="Q52" i="2"/>
  <c r="T51" i="2"/>
  <c r="W50" i="2"/>
  <c r="Z49" i="2"/>
  <c r="Q49" i="2"/>
  <c r="T48" i="2"/>
  <c r="W47" i="2"/>
  <c r="Y46" i="2"/>
  <c r="P46" i="2"/>
  <c r="S45" i="2"/>
  <c r="V44" i="2"/>
  <c r="Y43" i="2"/>
  <c r="P43" i="2"/>
  <c r="S42" i="2"/>
  <c r="U41" i="2"/>
  <c r="X40" i="2"/>
  <c r="O40" i="2"/>
  <c r="R39" i="2"/>
  <c r="U38" i="2"/>
  <c r="X37" i="2"/>
  <c r="O37" i="2"/>
  <c r="Q36" i="2"/>
  <c r="T35" i="2"/>
  <c r="T73" i="2"/>
  <c r="Z71" i="2"/>
  <c r="R70" i="2"/>
  <c r="X68" i="2"/>
  <c r="R67" i="2"/>
  <c r="X65" i="2"/>
  <c r="T64" i="2"/>
  <c r="Y62" i="2"/>
  <c r="W61" i="2"/>
  <c r="P60" i="2"/>
  <c r="W58" i="2"/>
  <c r="S57" i="2"/>
  <c r="X55" i="2"/>
  <c r="W54" i="2"/>
  <c r="S53" i="2"/>
  <c r="P52" i="2"/>
  <c r="O51" i="2"/>
  <c r="W49" i="2"/>
  <c r="V48" i="2"/>
  <c r="R47" i="2"/>
  <c r="O46" i="2"/>
  <c r="Y44" i="2"/>
  <c r="U43" i="2"/>
  <c r="U42" i="2"/>
  <c r="Q41" i="2"/>
  <c r="Z39" i="2"/>
  <c r="X38" i="2"/>
  <c r="T37" i="2"/>
  <c r="T36" i="2"/>
  <c r="P35" i="2"/>
  <c r="P34" i="2"/>
  <c r="P33" i="2"/>
  <c r="O32" i="2"/>
  <c r="P31" i="2"/>
  <c r="O30" i="2"/>
  <c r="O29" i="2"/>
  <c r="O28" i="2"/>
  <c r="O27" i="2"/>
  <c r="Z25" i="2"/>
  <c r="O25" i="2"/>
  <c r="Z23" i="2"/>
  <c r="Y22" i="2"/>
  <c r="Z21" i="2"/>
  <c r="Y20" i="2"/>
  <c r="Y19" i="2"/>
  <c r="Y18" i="2"/>
  <c r="Y17" i="2"/>
  <c r="X16" i="2"/>
  <c r="Y15" i="2"/>
  <c r="X14" i="2"/>
  <c r="X13" i="2"/>
  <c r="X12" i="2"/>
  <c r="X11" i="2"/>
  <c r="W10" i="2"/>
  <c r="X9" i="2"/>
  <c r="W8" i="2"/>
  <c r="W7" i="2"/>
  <c r="W6" i="2"/>
  <c r="W5" i="2"/>
  <c r="V4" i="2"/>
  <c r="W3" i="2"/>
  <c r="R73" i="2"/>
  <c r="Y71" i="2"/>
  <c r="P70" i="2"/>
  <c r="T68" i="2"/>
  <c r="P67" i="2"/>
  <c r="U65" i="2"/>
  <c r="S64" i="2"/>
  <c r="X62" i="2"/>
  <c r="S61" i="2"/>
  <c r="O60" i="2"/>
  <c r="T58" i="2"/>
  <c r="R57" i="2"/>
  <c r="W55" i="2"/>
  <c r="T54" i="2"/>
  <c r="R53" i="2"/>
  <c r="Z51" i="2"/>
  <c r="Y50" i="2"/>
  <c r="U49" i="2"/>
  <c r="S48" i="2"/>
  <c r="Q47" i="2"/>
  <c r="Y45" i="2"/>
  <c r="X44" i="2"/>
  <c r="T43" i="2"/>
  <c r="Q42" i="2"/>
  <c r="P41" i="2"/>
  <c r="X39" i="2"/>
  <c r="W38" i="2"/>
  <c r="S37" i="2"/>
  <c r="P36" i="2"/>
  <c r="O35" i="2"/>
  <c r="Z33" i="2"/>
  <c r="Y32" i="2"/>
  <c r="Z31" i="2"/>
  <c r="Y30" i="2"/>
  <c r="Y29" i="2"/>
  <c r="Y28" i="2"/>
  <c r="Y27" i="2"/>
  <c r="X26" i="2"/>
  <c r="Y25" i="2"/>
  <c r="X24" i="2"/>
  <c r="X23" i="2"/>
  <c r="X22" i="2"/>
  <c r="X21" i="2"/>
  <c r="W20" i="2"/>
  <c r="X19" i="2"/>
  <c r="W18" i="2"/>
  <c r="W17" i="2"/>
  <c r="W16" i="2"/>
  <c r="W15" i="2"/>
  <c r="Z74" i="2"/>
  <c r="Q73" i="2"/>
  <c r="T71" i="2"/>
  <c r="Z69" i="2"/>
  <c r="U74" i="2"/>
  <c r="O73" i="2"/>
  <c r="Q71" i="2"/>
  <c r="Y69" i="2"/>
  <c r="P68" i="2"/>
  <c r="W66" i="2"/>
  <c r="S65" i="2"/>
  <c r="X63" i="2"/>
  <c r="V62" i="2"/>
  <c r="O61" i="2"/>
  <c r="U59" i="2"/>
  <c r="Q58" i="2"/>
  <c r="W56" i="2"/>
  <c r="T55" i="2"/>
  <c r="P54" i="2"/>
  <c r="Y52" i="2"/>
  <c r="X51" i="2"/>
  <c r="T50" i="2"/>
  <c r="S49" i="2"/>
  <c r="O48" i="2"/>
  <c r="X46" i="2"/>
  <c r="W45" i="2"/>
  <c r="S44" i="2"/>
  <c r="R43" i="2"/>
  <c r="Z41" i="2"/>
  <c r="W40" i="2"/>
  <c r="U39" i="2"/>
  <c r="Q38" i="2"/>
  <c r="Q37" i="2"/>
  <c r="Y35" i="2"/>
  <c r="W34" i="2"/>
  <c r="W33" i="2"/>
  <c r="W32" i="2"/>
  <c r="W31" i="2"/>
  <c r="V30" i="2"/>
  <c r="W29" i="2"/>
  <c r="V28" i="2"/>
  <c r="U27" i="2"/>
  <c r="V26" i="2"/>
  <c r="U25" i="2"/>
  <c r="U24" i="2"/>
  <c r="U23" i="2"/>
  <c r="U22" i="2"/>
  <c r="T21" i="2"/>
  <c r="U20" i="2"/>
  <c r="T19" i="2"/>
  <c r="T18" i="2"/>
  <c r="T17" i="2"/>
  <c r="T16" i="2"/>
  <c r="S15" i="2"/>
  <c r="T14" i="2"/>
  <c r="S13" i="2"/>
  <c r="S12" i="2"/>
  <c r="S11" i="2"/>
  <c r="S10" i="2"/>
  <c r="R9" i="2"/>
  <c r="S8" i="2"/>
  <c r="R7" i="2"/>
  <c r="Q6" i="2"/>
  <c r="R74" i="2"/>
  <c r="Z72" i="2"/>
  <c r="P71" i="2"/>
  <c r="T69" i="2"/>
  <c r="O68" i="2"/>
  <c r="T66" i="2"/>
  <c r="R65" i="2"/>
  <c r="W63" i="2"/>
  <c r="Q62" i="2"/>
  <c r="Y60" i="2"/>
  <c r="S59" i="2"/>
  <c r="P58" i="2"/>
  <c r="V56" i="2"/>
  <c r="Q55" i="2"/>
  <c r="O54" i="2"/>
  <c r="W52" i="2"/>
  <c r="W51" i="2"/>
  <c r="S50" i="2"/>
  <c r="P49" i="2"/>
  <c r="Z47" i="2"/>
  <c r="V46" i="2"/>
  <c r="U45" i="2"/>
  <c r="Q44" i="2"/>
  <c r="O43" i="2"/>
  <c r="Y41" i="2"/>
  <c r="U40" i="2"/>
  <c r="T39" i="2"/>
  <c r="P38" i="2"/>
  <c r="Y36" i="2"/>
  <c r="X35" i="2"/>
  <c r="V34" i="2"/>
  <c r="U33" i="2"/>
  <c r="V32" i="2"/>
  <c r="U31" i="2"/>
  <c r="U30" i="2"/>
  <c r="U29" i="2"/>
  <c r="U28" i="2"/>
  <c r="T27" i="2"/>
  <c r="U26" i="2"/>
  <c r="T25" i="2"/>
  <c r="T24" i="2"/>
  <c r="T23" i="2"/>
  <c r="T22" i="2"/>
  <c r="S21" i="2"/>
  <c r="T20" i="2"/>
  <c r="S19" i="2"/>
  <c r="S18" i="2"/>
  <c r="S17" i="2"/>
  <c r="S16" i="2"/>
  <c r="R15" i="2"/>
  <c r="S14" i="2"/>
  <c r="R13" i="2"/>
  <c r="P74" i="2"/>
  <c r="U72" i="2"/>
  <c r="O71" i="2"/>
  <c r="Q69" i="2"/>
  <c r="Z67" i="2"/>
  <c r="S66" i="2"/>
  <c r="Y64" i="2"/>
  <c r="U63" i="2"/>
  <c r="O62" i="2"/>
  <c r="X60" i="2"/>
  <c r="R59" i="2"/>
  <c r="X57" i="2"/>
  <c r="T56" i="2"/>
  <c r="O55" i="2"/>
  <c r="Z53" i="2"/>
  <c r="V52" i="2"/>
  <c r="S51" i="2"/>
  <c r="Q50" i="2"/>
  <c r="Y48" i="2"/>
  <c r="Y47" i="2"/>
  <c r="U46" i="2"/>
  <c r="R45" i="2"/>
  <c r="P44" i="2"/>
  <c r="X42" i="2"/>
  <c r="X41" i="2"/>
  <c r="T40" i="2"/>
  <c r="Q39" i="2"/>
  <c r="O38" i="2"/>
  <c r="W36" i="2"/>
  <c r="W35" i="2"/>
  <c r="T34" i="2"/>
  <c r="T33" i="2"/>
  <c r="T32" i="2"/>
  <c r="S31" i="2"/>
  <c r="T30" i="2"/>
  <c r="S29" i="2"/>
  <c r="S28" i="2"/>
  <c r="S27" i="2"/>
  <c r="S26" i="2"/>
  <c r="R25" i="2"/>
  <c r="S24" i="2"/>
  <c r="R23" i="2"/>
  <c r="Q22" i="2"/>
  <c r="R21" i="2"/>
  <c r="Q20" i="2"/>
  <c r="Q19" i="2"/>
  <c r="Q18" i="2"/>
  <c r="Q17" i="2"/>
  <c r="P16" i="2"/>
  <c r="Q15" i="2"/>
  <c r="P14" i="2"/>
  <c r="P13" i="2"/>
  <c r="P12" i="2"/>
  <c r="P11" i="2"/>
  <c r="O10" i="2"/>
  <c r="P9" i="2"/>
  <c r="O8" i="2"/>
  <c r="O7" i="2"/>
  <c r="O6" i="2"/>
  <c r="O5" i="2"/>
  <c r="Z3" i="2"/>
  <c r="Z68" i="2"/>
  <c r="W64" i="2"/>
  <c r="P61" i="2"/>
  <c r="T57" i="2"/>
  <c r="W53" i="2"/>
  <c r="V50" i="2"/>
  <c r="S47" i="2"/>
  <c r="O44" i="2"/>
  <c r="O41" i="2"/>
  <c r="W37" i="2"/>
  <c r="S34" i="2"/>
  <c r="Y31" i="2"/>
  <c r="P29" i="2"/>
  <c r="Q26" i="2"/>
  <c r="W23" i="2"/>
  <c r="O21" i="2"/>
  <c r="P18" i="2"/>
  <c r="U15" i="2"/>
  <c r="U13" i="2"/>
  <c r="U11" i="2"/>
  <c r="Z9" i="2"/>
  <c r="T8" i="2"/>
  <c r="X6" i="2"/>
  <c r="R5" i="2"/>
  <c r="Y3" i="2"/>
  <c r="O74" i="2"/>
  <c r="Q68" i="2"/>
  <c r="V64" i="2"/>
  <c r="T60" i="2"/>
  <c r="Y56" i="2"/>
  <c r="T53" i="2"/>
  <c r="P50" i="2"/>
  <c r="P47" i="2"/>
  <c r="X43" i="2"/>
  <c r="S40" i="2"/>
  <c r="R37" i="2"/>
  <c r="Q34" i="2"/>
  <c r="R31" i="2"/>
  <c r="X28" i="2"/>
  <c r="O26" i="2"/>
  <c r="Q23" i="2"/>
  <c r="V20" i="2"/>
  <c r="Z17" i="2"/>
  <c r="P15" i="2"/>
  <c r="O13" i="2"/>
  <c r="T11" i="2"/>
  <c r="Y9" i="2"/>
  <c r="Q8" i="2"/>
  <c r="U6" i="2"/>
  <c r="Q5" i="2"/>
  <c r="X3" i="2"/>
  <c r="Z73" i="2"/>
  <c r="U67" i="2"/>
  <c r="O64" i="2"/>
  <c r="Q60" i="2"/>
  <c r="S56" i="2"/>
  <c r="Q53" i="2"/>
  <c r="Y49" i="2"/>
  <c r="T46" i="2"/>
  <c r="S43" i="2"/>
  <c r="Q40" i="2"/>
  <c r="V36" i="2"/>
  <c r="Y33" i="2"/>
  <c r="Q31" i="2"/>
  <c r="Q28" i="2"/>
  <c r="X25" i="2"/>
  <c r="O23" i="2"/>
  <c r="P20" i="2"/>
  <c r="U17" i="2"/>
  <c r="Y14" i="2"/>
  <c r="Y12" i="2"/>
  <c r="R11" i="2"/>
  <c r="U9" i="2"/>
  <c r="Z7" i="2"/>
  <c r="T6" i="2"/>
  <c r="Y4" i="2"/>
  <c r="T3" i="2"/>
  <c r="R72" i="2"/>
  <c r="S67" i="2"/>
  <c r="T63" i="2"/>
  <c r="Z59" i="2"/>
  <c r="O56" i="2"/>
  <c r="U52" i="2"/>
  <c r="T49" i="2"/>
  <c r="S46" i="2"/>
  <c r="W42" i="2"/>
  <c r="W39" i="2"/>
  <c r="U36" i="2"/>
  <c r="S33" i="2"/>
  <c r="X30" i="2"/>
  <c r="P28" i="2"/>
  <c r="Q25" i="2"/>
  <c r="W22" i="2"/>
  <c r="Z19" i="2"/>
  <c r="P17" i="2"/>
  <c r="V14" i="2"/>
  <c r="V12" i="2"/>
  <c r="O11" i="2"/>
  <c r="T9" i="2"/>
  <c r="X7" i="2"/>
  <c r="P6" i="2"/>
  <c r="W4" i="2"/>
  <c r="S3" i="2"/>
  <c r="P72" i="2"/>
  <c r="O67" i="2"/>
  <c r="P63" i="2"/>
  <c r="P59" i="2"/>
  <c r="U55" i="2"/>
  <c r="T52" i="2"/>
  <c r="X48" i="2"/>
  <c r="X45" i="2"/>
  <c r="V42" i="2"/>
  <c r="O39" i="2"/>
  <c r="Z35" i="2"/>
  <c r="Q33" i="2"/>
  <c r="S30" i="2"/>
  <c r="X27" i="2"/>
  <c r="P25" i="2"/>
  <c r="P22" i="2"/>
  <c r="W19" i="2"/>
  <c r="Y16" i="2"/>
  <c r="U14" i="2"/>
  <c r="U12" i="2"/>
  <c r="X10" i="2"/>
  <c r="Q9" i="2"/>
  <c r="U7" i="2"/>
  <c r="Z5" i="2"/>
  <c r="U4" i="2"/>
  <c r="Q3" i="2"/>
  <c r="Z70" i="2"/>
  <c r="Q66" i="2"/>
  <c r="W62" i="2"/>
  <c r="O59" i="2"/>
  <c r="Y54" i="2"/>
  <c r="Y51" i="2"/>
  <c r="W48" i="2"/>
  <c r="P45" i="2"/>
  <c r="O42" i="2"/>
  <c r="Y38" i="2"/>
  <c r="S35" i="2"/>
  <c r="X32" i="2"/>
  <c r="P30" i="2"/>
  <c r="R27" i="2"/>
  <c r="W24" i="2"/>
  <c r="O22" i="2"/>
  <c r="P19" i="2"/>
  <c r="V16" i="2"/>
  <c r="O14" i="2"/>
  <c r="Q12" i="2"/>
  <c r="V10" i="2"/>
  <c r="O9" i="2"/>
  <c r="T7" i="2"/>
  <c r="X5" i="2"/>
  <c r="T4" i="2"/>
  <c r="P3" i="2"/>
  <c r="T70" i="2"/>
  <c r="P66" i="2"/>
  <c r="Z61" i="2"/>
  <c r="S58" i="2"/>
  <c r="X54" i="2"/>
  <c r="Q51" i="2"/>
  <c r="P48" i="2"/>
  <c r="O45" i="2"/>
  <c r="T41" i="2"/>
  <c r="T38" i="2"/>
  <c r="Q35" i="2"/>
  <c r="S32" i="2"/>
  <c r="X29" i="2"/>
  <c r="P27" i="2"/>
  <c r="Q24" i="2"/>
  <c r="W21" i="2"/>
  <c r="O19" i="2"/>
  <c r="O16" i="2"/>
  <c r="Y13" i="2"/>
  <c r="O12" i="2"/>
  <c r="U10" i="2"/>
  <c r="X8" i="2"/>
  <c r="Q7" i="2"/>
  <c r="T5" i="2"/>
  <c r="Q4" i="2"/>
  <c r="P69" i="2"/>
  <c r="T65" i="2"/>
  <c r="X61" i="2"/>
  <c r="U57" i="2"/>
  <c r="Q54" i="2"/>
  <c r="P51" i="2"/>
  <c r="U47" i="2"/>
  <c r="U44" i="2"/>
  <c r="R41" i="2"/>
  <c r="Z37" i="2"/>
  <c r="Y34" i="2"/>
  <c r="P32" i="2"/>
  <c r="R29" i="2"/>
  <c r="W26" i="2"/>
  <c r="O24" i="2"/>
  <c r="Q21" i="2"/>
  <c r="V18" i="2"/>
  <c r="Z15" i="2"/>
  <c r="W13" i="2"/>
  <c r="Y11" i="2"/>
  <c r="Q10" i="2"/>
  <c r="U8" i="2"/>
  <c r="Y6" i="2"/>
  <c r="S5" i="2"/>
  <c r="P4" i="2"/>
</calcChain>
</file>

<file path=xl/sharedStrings.xml><?xml version="1.0" encoding="utf-8"?>
<sst xmlns="http://schemas.openxmlformats.org/spreadsheetml/2006/main" count="232" uniqueCount="135">
  <si>
    <t>Asset Parameters (normalized by commodity feedstock)</t>
  </si>
  <si>
    <t>Duals</t>
  </si>
  <si>
    <t>LCOE for ethanol production ($/MWh-ethanol)</t>
  </si>
  <si>
    <t>CI</t>
  </si>
  <si>
    <t>CREDIT</t>
  </si>
  <si>
    <t>NET CARBON INTENSITY + credit for capture</t>
  </si>
  <si>
    <t>CREDIT for capture/storage + PAY for storage</t>
  </si>
  <si>
    <t>Carbon Content</t>
  </si>
  <si>
    <t>Carbon Inputs</t>
  </si>
  <si>
    <t>Carbon Outputs</t>
  </si>
  <si>
    <t>Sanity Checks</t>
  </si>
  <si>
    <t>id</t>
  </si>
  <si>
    <t>commodity</t>
  </si>
  <si>
    <t>elec_production (MWh/t-bio)</t>
  </si>
  <si>
    <t>elec_consumption (MWh/t-bio)</t>
  </si>
  <si>
    <t>ethanol_production (MWh-ethanol/t-bio)</t>
  </si>
  <si>
    <t>natgas_consumption (MWh/t-bio)</t>
  </si>
  <si>
    <t>co2_biomass_content (t-CO2/t-bio)</t>
  </si>
  <si>
    <t>process_capture_rate (t-CO2/t-bio)</t>
  </si>
  <si>
    <t>process_emission_rate (t-CO2/t-bio)</t>
  </si>
  <si>
    <t>fuel_capture_rate (t-CO2/t-bio)</t>
  </si>
  <si>
    <t>fuel_emission_rate (t-CO2/t-bio)</t>
  </si>
  <si>
    <t>investment_cost ($/yr per t-bio/hr)</t>
  </si>
  <si>
    <t>fixed_om_cost ($/yr per t-bio/hr)</t>
  </si>
  <si>
    <t>variable_om_cost ($/t-bio)</t>
  </si>
  <si>
    <t>co2_sink ($/t)</t>
  </si>
  <si>
    <t>co2_captured ($/t)</t>
  </si>
  <si>
    <t>biocorn_supply ($/t)</t>
  </si>
  <si>
    <t>bioherb_supply ($/t)</t>
  </si>
  <si>
    <t>biowood_supply ($/t)</t>
  </si>
  <si>
    <t>bioagri_supply ($/t)</t>
  </si>
  <si>
    <t>elec_demand ($/MWh)</t>
  </si>
  <si>
    <t>ng_balance ($/MWh)</t>
  </si>
  <si>
    <t>id_LC</t>
  </si>
  <si>
    <t>commodity_LC</t>
  </si>
  <si>
    <t>LCOE ($/MWh-ethanol)</t>
  </si>
  <si>
    <t>Diff. Between Methods ($/MWh)</t>
  </si>
  <si>
    <t>elec_production</t>
  </si>
  <si>
    <t>elec_consumption</t>
  </si>
  <si>
    <t>biomass_consumption</t>
  </si>
  <si>
    <t>natgas_consumption</t>
  </si>
  <si>
    <t>investment_cost</t>
  </si>
  <si>
    <t>fixed_om_cost</t>
  </si>
  <si>
    <t>variable_om_cost</t>
  </si>
  <si>
    <t>modified capture cost</t>
  </si>
  <si>
    <t>modified emissions cost</t>
  </si>
  <si>
    <t>Biomass CO2 content (t-CO2/t-bio)</t>
  </si>
  <si>
    <t>NG (t-CO2/MWh-NG)</t>
  </si>
  <si>
    <t>Ethanol (t-CO2/MWh-ethanol)</t>
  </si>
  <si>
    <t>Biomass (t-CO2/MWh-ethanol)</t>
  </si>
  <si>
    <t>NG (t-CO2/MWh-ethanol)</t>
  </si>
  <si>
    <t>Process Emissions (t-CO2/MWh-ethanol)</t>
  </si>
  <si>
    <t>Fuel Emissions (t-CO2/MWh-ethanol)</t>
  </si>
  <si>
    <t>Process Captured (t-CO2/MWh-ethanol)</t>
  </si>
  <si>
    <t>Fuel Captured (t-CO2/MWh-ethanol)</t>
  </si>
  <si>
    <t>Carbon INPUT - OUTPUT</t>
  </si>
  <si>
    <t>CEN_Bio_Ethanol_Herb</t>
  </si>
  <si>
    <t>Biomass_Herb</t>
  </si>
  <si>
    <t>MIDAT_Bio_Ethanol_Herb</t>
  </si>
  <si>
    <t>NCEN_Bio_Ethanol_Herb</t>
  </si>
  <si>
    <t>SE_Bio_Ethanol_Herb</t>
  </si>
  <si>
    <t>TX_Bio_Ethanol_Herb</t>
  </si>
  <si>
    <t>CEN_Bio_Ethanol_Wood</t>
  </si>
  <si>
    <t>Biomass_Wood</t>
  </si>
  <si>
    <t>MIDAT_Bio_Ethanol_Wood</t>
  </si>
  <si>
    <t>NCEN_Bio_Ethanol_Wood</t>
  </si>
  <si>
    <t>SE_Bio_Ethanol_Wood</t>
  </si>
  <si>
    <t>TX_Bio_Ethanol_Wood</t>
  </si>
  <si>
    <t>CEN_Bio_Ethanol_Agri</t>
  </si>
  <si>
    <t>Biomass_Agri</t>
  </si>
  <si>
    <t>MIDAT_Bio_Ethanol_Agri</t>
  </si>
  <si>
    <t>NCEN_Bio_Ethanol_Agri</t>
  </si>
  <si>
    <t>SE_Bio_Ethanol_Agri</t>
  </si>
  <si>
    <t>TX_Bio_Ethanol_Agri</t>
  </si>
  <si>
    <t>CEN_Bio_Ethanol_CCS_20_Herb</t>
  </si>
  <si>
    <t>MIDAT_Bio_Ethanol_CCS_20_Herb</t>
  </si>
  <si>
    <t>NCEN_Bio_Ethanol_CCS_20_Herb</t>
  </si>
  <si>
    <t>SE_Bio_Ethanol_CCS_20_Herb</t>
  </si>
  <si>
    <t>TX_Bio_Ethanol_CCS_20_Herb</t>
  </si>
  <si>
    <t>CEN_Bio_Ethanol_CCS_20_Wood</t>
  </si>
  <si>
    <t>MIDAT_Bio_Ethanol_CCS_20_Wood</t>
  </si>
  <si>
    <t>NCEN_Bio_Ethanol_CCS_20_Wood</t>
  </si>
  <si>
    <t>SE_Bio_Ethanol_CCS_20_Wood</t>
  </si>
  <si>
    <t>TX_Bio_Ethanol_CCS_20_Wood</t>
  </si>
  <si>
    <t>CEN_Bio_Ethanol_CCS_20_Agri</t>
  </si>
  <si>
    <t>MIDAT_Bio_Ethanol_CCS_20_Agri</t>
  </si>
  <si>
    <t>NCEN_Bio_Ethanol_CCS_20_Agri</t>
  </si>
  <si>
    <t>SE_Bio_Ethanol_CCS_20_Agri</t>
  </si>
  <si>
    <t>TX_Bio_Ethanol_CCS_20_Agri</t>
  </si>
  <si>
    <t>CEN_Bio_Ethanol_CCS_86_Herb</t>
  </si>
  <si>
    <t>MIDAT_Bio_Ethanol_CCS_86_Herb</t>
  </si>
  <si>
    <t>NCEN_Bio_Ethanol_CCS_86_Herb</t>
  </si>
  <si>
    <t>SE_Bio_Ethanol_CCS_86_Herb</t>
  </si>
  <si>
    <t>TX_Bio_Ethanol_CCS_86_Herb</t>
  </si>
  <si>
    <t>CEN_Bio_Ethanol_CCS_86_Wood</t>
  </si>
  <si>
    <t>MIDAT_Bio_Ethanol_CCS_86_Wood</t>
  </si>
  <si>
    <t>NCEN_Bio_Ethanol_CCS_86_Wood</t>
  </si>
  <si>
    <t>SE_Bio_Ethanol_CCS_86_Wood</t>
  </si>
  <si>
    <t>TX_Bio_Ethanol_CCS_86_Wood</t>
  </si>
  <si>
    <t>CEN_Bio_Ethanol_CCS_86_Agri</t>
  </si>
  <si>
    <t>MIDAT_Bio_Ethanol_CCS_86_Agri</t>
  </si>
  <si>
    <t>NCEN_Bio_Ethanol_CCS_86_Agri</t>
  </si>
  <si>
    <t>SE_Bio_Ethanol_CCS_86_Agri</t>
  </si>
  <si>
    <t>TX_Bio_Ethanol_CCS_86_Agri</t>
  </si>
  <si>
    <t>CA_DryMill_Existing_Non_CCS</t>
  </si>
  <si>
    <t>Biomass_Corn</t>
  </si>
  <si>
    <t>NW_DryMill_Existing_Non_CCS</t>
  </si>
  <si>
    <t>SW_DryMill_Existing_Non_CCS</t>
  </si>
  <si>
    <t>TX_DryMill_Existing_Non_CCS</t>
  </si>
  <si>
    <t>NCEN_DryMill_Existing_Non_CCS</t>
  </si>
  <si>
    <t>CEN_DryMill_Existing_Non_CCS</t>
  </si>
  <si>
    <t>SE_DryMill_Existing_Non_CCS</t>
  </si>
  <si>
    <t>MIDAT_DryMill_Existing_Non_CCS</t>
  </si>
  <si>
    <t>NE_DryMill_Existing_Non_CCS</t>
  </si>
  <si>
    <t>CA_DryMill_CCS_Fermentation</t>
  </si>
  <si>
    <t>NW_DryMill_CCS_Fermentation</t>
  </si>
  <si>
    <t>SW_DryMill_CCS_Fermentation</t>
  </si>
  <si>
    <t>TX_DryMill_CCS_Fermentation</t>
  </si>
  <si>
    <t>NCEN_DryMill_CCS_Fermentation</t>
  </si>
  <si>
    <t>CEN_DryMill_CCS_Fermentation</t>
  </si>
  <si>
    <t>SE_DryMill_CCS_Fermentation</t>
  </si>
  <si>
    <t>MIDAT_DryMill_CCS_Fermentation</t>
  </si>
  <si>
    <t>NE_DryMill_CCS_Fermentation</t>
  </si>
  <si>
    <t>CA_DryMill_CCS_Fermentation_Exhaust</t>
  </si>
  <si>
    <t>NW_DryMill_CCS_Fermentation_Exhaust</t>
  </si>
  <si>
    <t>SW_DryMill_CCS_Fermentation_Exhaust</t>
  </si>
  <si>
    <t>TX_DryMill_CCS_Fermentation_Exhaust</t>
  </si>
  <si>
    <t>NCEN_DryMill_CCS_Fermentation_Exhaust</t>
  </si>
  <si>
    <t>CEN_DryMill_CCS_Fermentation_Exhaust</t>
  </si>
  <si>
    <t>SE_DryMill_CCS_Fermentation_Exhaust</t>
  </si>
  <si>
    <t>MIDAT_DryMill_CCS_Fermentation_Exhaust</t>
  </si>
  <si>
    <t>NE_DryMill_CCS_Fermentation_Exhaust</t>
  </si>
  <si>
    <t>UNSORTED</t>
  </si>
  <si>
    <t>SORTED</t>
  </si>
  <si>
    <t>LCOE ($/GJ-ethanol)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</si>
</sst>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8E8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6D3D6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2F54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0" borderId="0" xfId="0" applyFont="1"/>
    <xf numFmtId="0" fontId="3" fillId="7" borderId="0" xfId="0" applyFont="1" applyFill="1"/>
    <xf numFmtId="0" fontId="1" fillId="7" borderId="0" xfId="0" applyFont="1" applyFill="1"/>
    <xf numFmtId="164" fontId="1" fillId="8" borderId="0" xfId="0" applyNumberFormat="1" applyFont="1" applyFill="1"/>
    <xf numFmtId="0" fontId="0" fillId="9" borderId="0" xfId="0" applyFill="1"/>
    <xf numFmtId="0" fontId="4" fillId="10" borderId="0" xfId="0" applyFont="1" applyFill="1"/>
    <xf numFmtId="0" fontId="2" fillId="11" borderId="0" xfId="0" applyFont="1" applyFill="1"/>
    <xf numFmtId="0" fontId="0" fillId="12" borderId="0" xfId="0" applyFill="1"/>
    <xf numFmtId="0" fontId="1" fillId="13" borderId="0" xfId="0" applyFont="1" applyFill="1"/>
    <xf numFmtId="0" fontId="2" fillId="0" borderId="0" xfId="0" applyFont="1"/>
    <xf numFmtId="0" fontId="0" fillId="14" borderId="0" xfId="0" applyFill="1"/>
    <xf numFmtId="0" fontId="1" fillId="14" borderId="0" xfId="0" applyFont="1" applyFill="1"/>
    <xf numFmtId="0" fontId="3" fillId="14" borderId="0" xfId="0" applyFont="1" applyFill="1"/>
    <xf numFmtId="164" fontId="1" fillId="15" borderId="0" xfId="0" applyNumberFormat="1" applyFont="1" applyFill="1"/>
    <xf numFmtId="0" fontId="0" fillId="16" borderId="0" xfId="0" applyFill="1"/>
    <xf numFmtId="0" fontId="0" fillId="17" borderId="0" xfId="0" applyFill="1"/>
    <xf numFmtId="0" fontId="4" fillId="1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lc_summary!$P$2</c:f>
              <c:strCache>
                <c:ptCount val="1"/>
                <c:pt idx="0">
                  <c:v>elec_production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lc_summary!$O$3:$O$74</c:f>
              <c:strCache>
                <c:ptCount val="72"/>
                <c:pt idx="0">
                  <c:v>NW_DryMill_CCS_Fermentation_Exhaust</c:v>
                </c:pt>
                <c:pt idx="1">
                  <c:v>CA_DryMill_CCS_Fermentation_Exhaust</c:v>
                </c:pt>
                <c:pt idx="2">
                  <c:v>SW_DryMill_CCS_Fermentation_Exhaust</c:v>
                </c:pt>
                <c:pt idx="3">
                  <c:v>TX_DryMill_CCS_Fermentation_Exhaust</c:v>
                </c:pt>
                <c:pt idx="4">
                  <c:v>CEN_DryMill_CCS_Fermentation_Exhaust</c:v>
                </c:pt>
                <c:pt idx="5">
                  <c:v>NW_DryMill_CCS_Fermentation</c:v>
                </c:pt>
                <c:pt idx="6">
                  <c:v>CA_DryMill_CCS_Fermentation</c:v>
                </c:pt>
                <c:pt idx="7">
                  <c:v>SW_DryMill_CCS_Fermentation</c:v>
                </c:pt>
                <c:pt idx="8">
                  <c:v>TX_DryMill_CCS_Fermentation</c:v>
                </c:pt>
                <c:pt idx="9">
                  <c:v>NCEN_DryMill_CCS_Fermentation_Exhaust</c:v>
                </c:pt>
                <c:pt idx="10">
                  <c:v>CEN_DryMill_CCS_Fermentation</c:v>
                </c:pt>
                <c:pt idx="11">
                  <c:v>SE_DryMill_CCS_Fermentation_Exhaust</c:v>
                </c:pt>
                <c:pt idx="12">
                  <c:v>MIDAT_DryMill_CCS_Fermentation_Exhaust</c:v>
                </c:pt>
                <c:pt idx="13">
                  <c:v>NCEN_DryMill_CCS_Fermentation</c:v>
                </c:pt>
                <c:pt idx="14">
                  <c:v>SE_DryMill_CCS_Fermentation</c:v>
                </c:pt>
                <c:pt idx="15">
                  <c:v>NE_DryMill_CCS_Fermentation_Exhaust</c:v>
                </c:pt>
                <c:pt idx="16">
                  <c:v>MIDAT_DryMill_CCS_Fermentation</c:v>
                </c:pt>
                <c:pt idx="17">
                  <c:v>NE_DryMill_CCS_Fermentation</c:v>
                </c:pt>
                <c:pt idx="18">
                  <c:v>TX_DryMill_Existing_Non_CCS</c:v>
                </c:pt>
                <c:pt idx="19">
                  <c:v>CEN_DryMill_Existing_Non_CCS</c:v>
                </c:pt>
                <c:pt idx="20">
                  <c:v>NW_DryMill_Existing_Non_CCS</c:v>
                </c:pt>
                <c:pt idx="21">
                  <c:v>NCEN_DryMill_Existing_Non_CCS</c:v>
                </c:pt>
                <c:pt idx="22">
                  <c:v>SW_DryMill_Existing_Non_CCS</c:v>
                </c:pt>
                <c:pt idx="23">
                  <c:v>SE_DryMill_Existing_Non_CCS</c:v>
                </c:pt>
                <c:pt idx="24">
                  <c:v>CA_DryMill_Existing_Non_CCS</c:v>
                </c:pt>
                <c:pt idx="25">
                  <c:v>MIDAT_DryMill_Existing_Non_CCS</c:v>
                </c:pt>
                <c:pt idx="26">
                  <c:v>NE_DryMill_Existing_Non_CCS</c:v>
                </c:pt>
                <c:pt idx="27">
                  <c:v>CEN_Bio_Ethanol_CCS_86_Agri</c:v>
                </c:pt>
                <c:pt idx="28">
                  <c:v>NCEN_Bio_Ethanol_CCS_86_Agri</c:v>
                </c:pt>
                <c:pt idx="29">
                  <c:v>CEN_Bio_Ethanol_CCS_86_Herb</c:v>
                </c:pt>
                <c:pt idx="30">
                  <c:v>SE_Bio_Ethanol_CCS_20_Agri</c:v>
                </c:pt>
                <c:pt idx="31">
                  <c:v>NCEN_Bio_Ethanol_CCS_20_Agri</c:v>
                </c:pt>
                <c:pt idx="32">
                  <c:v>MIDAT_Bio_Ethanol_CCS_20_Agri</c:v>
                </c:pt>
                <c:pt idx="33">
                  <c:v>NCEN_Bio_Ethanol_CCS_86_Herb</c:v>
                </c:pt>
                <c:pt idx="34">
                  <c:v>TX_Bio_Ethanol_CCS_86_Agri</c:v>
                </c:pt>
                <c:pt idx="35">
                  <c:v>SE_Bio_Ethanol_CCS_20_Herb</c:v>
                </c:pt>
                <c:pt idx="36">
                  <c:v>SE_Bio_Ethanol_CCS_86_Agri</c:v>
                </c:pt>
                <c:pt idx="37">
                  <c:v>CEN_Bio_Ethanol_CCS_86_Wood</c:v>
                </c:pt>
                <c:pt idx="38">
                  <c:v>MIDAT_Bio_Ethanol_Agri</c:v>
                </c:pt>
                <c:pt idx="39">
                  <c:v>SE_Bio_Ethanol_Agri</c:v>
                </c:pt>
                <c:pt idx="40">
                  <c:v>MIDAT_Bio_Ethanol_CCS_20_Herb</c:v>
                </c:pt>
                <c:pt idx="41">
                  <c:v>NCEN_Bio_Ethanol_CCS_86_Wood</c:v>
                </c:pt>
                <c:pt idx="42">
                  <c:v>NCEN_Bio_Ethanol_CCS_20_Herb</c:v>
                </c:pt>
                <c:pt idx="43">
                  <c:v>SE_Bio_Ethanol_CCS_86_Herb</c:v>
                </c:pt>
                <c:pt idx="44">
                  <c:v>MIDAT_Bio_Ethanol_CCS_20_Wood</c:v>
                </c:pt>
                <c:pt idx="45">
                  <c:v>SE_Bio_Ethanol_Herb</c:v>
                </c:pt>
                <c:pt idx="46">
                  <c:v>MIDAT_Bio_Ethanol_Herb</c:v>
                </c:pt>
                <c:pt idx="47">
                  <c:v>CEN_Bio_Ethanol_CCS_20_Agri</c:v>
                </c:pt>
                <c:pt idx="48">
                  <c:v>MIDAT_Bio_Ethanol_Wood</c:v>
                </c:pt>
                <c:pt idx="49">
                  <c:v>NCEN_Bio_Ethanol_Agri</c:v>
                </c:pt>
                <c:pt idx="50">
                  <c:v>SE_Bio_Ethanol_CCS_20_Wood</c:v>
                </c:pt>
                <c:pt idx="51">
                  <c:v>SE_Bio_Ethanol_CCS_86_Wood</c:v>
                </c:pt>
                <c:pt idx="52">
                  <c:v>MIDAT_Bio_Ethanol_CCS_86_Agri</c:v>
                </c:pt>
                <c:pt idx="53">
                  <c:v>CEN_Bio_Ethanol_CCS_20_Herb</c:v>
                </c:pt>
                <c:pt idx="54">
                  <c:v>NCEN_Bio_Ethanol_CCS_20_Wood</c:v>
                </c:pt>
                <c:pt idx="55">
                  <c:v>MIDAT_Bio_Ethanol_CCS_86_Wood</c:v>
                </c:pt>
                <c:pt idx="56">
                  <c:v>MIDAT_Bio_Ethanol_CCS_86_Herb</c:v>
                </c:pt>
                <c:pt idx="57">
                  <c:v>NCEN_Bio_Ethanol_Herb</c:v>
                </c:pt>
                <c:pt idx="58">
                  <c:v>TX_Bio_Ethanol_CCS_86_Herb</c:v>
                </c:pt>
                <c:pt idx="59">
                  <c:v>SE_Bio_Ethanol_Wood</c:v>
                </c:pt>
                <c:pt idx="60">
                  <c:v>NCEN_Bio_Ethanol_Wood</c:v>
                </c:pt>
                <c:pt idx="61">
                  <c:v>CEN_Bio_Ethanol_CCS_20_Wood</c:v>
                </c:pt>
                <c:pt idx="62">
                  <c:v>CEN_Bio_Ethanol_Agri</c:v>
                </c:pt>
                <c:pt idx="63">
                  <c:v>TX_Bio_Ethanol_CCS_86_Wood</c:v>
                </c:pt>
                <c:pt idx="64">
                  <c:v>CEN_Bio_Ethanol_Herb</c:v>
                </c:pt>
                <c:pt idx="65">
                  <c:v>TX_Bio_Ethanol_CCS_20_Agri</c:v>
                </c:pt>
                <c:pt idx="66">
                  <c:v>CEN_Bio_Ethanol_Wood</c:v>
                </c:pt>
                <c:pt idx="67">
                  <c:v>TX_Bio_Ethanol_CCS_20_Herb</c:v>
                </c:pt>
                <c:pt idx="68">
                  <c:v>TX_Bio_Ethanol_Agri</c:v>
                </c:pt>
                <c:pt idx="69">
                  <c:v>TX_Bio_Ethanol_CCS_20_Wood</c:v>
                </c:pt>
                <c:pt idx="70">
                  <c:v>TX_Bio_Ethanol_Herb</c:v>
                </c:pt>
                <c:pt idx="71">
                  <c:v>TX_Bio_Ethanol_Wood</c:v>
                </c:pt>
              </c:strCache>
            </c:strRef>
          </c:cat>
          <c:val>
            <c:numRef>
              <c:f>lc_summary!$P$3:$P$74</c:f>
              <c:numCache>
                <c:formatCode>General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-4.2491403646414714</c:v>
                </c:pt>
                <c:pt idx="39">
                  <c:v>-4.125049889652967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-4.125171464042392</c:v>
                </c:pt>
                <c:pt idx="46">
                  <c:v>-4.2493746436458535</c:v>
                </c:pt>
                <c:pt idx="47">
                  <c:v>0</c:v>
                </c:pt>
                <c:pt idx="48">
                  <c:v>-4.2485860486060778</c:v>
                </c:pt>
                <c:pt idx="49">
                  <c:v>-3.3169236371648525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-3.3166387895026794</c:v>
                </c:pt>
                <c:pt idx="58">
                  <c:v>0</c:v>
                </c:pt>
                <c:pt idx="59">
                  <c:v>-4.1263095249064206</c:v>
                </c:pt>
                <c:pt idx="60">
                  <c:v>-3.3157271263071659</c:v>
                </c:pt>
                <c:pt idx="61">
                  <c:v>0</c:v>
                </c:pt>
                <c:pt idx="62">
                  <c:v>-2.7371259688670162</c:v>
                </c:pt>
                <c:pt idx="63">
                  <c:v>0</c:v>
                </c:pt>
                <c:pt idx="64">
                  <c:v>-2.7377503331318023</c:v>
                </c:pt>
                <c:pt idx="65">
                  <c:v>0</c:v>
                </c:pt>
                <c:pt idx="66">
                  <c:v>-2.7381913556497448</c:v>
                </c:pt>
                <c:pt idx="67">
                  <c:v>0</c:v>
                </c:pt>
                <c:pt idx="68">
                  <c:v>-2.1841453069427526</c:v>
                </c:pt>
                <c:pt idx="69">
                  <c:v>0</c:v>
                </c:pt>
                <c:pt idx="70">
                  <c:v>-2.1838047625120187</c:v>
                </c:pt>
                <c:pt idx="71">
                  <c:v>-2.1847514062302569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5E-6C4E-9AA9-AF1999467EE7}"/>
            </c:ext>
          </c:extLst>
        </c:ser>
        <c:ser>
          <c:idx val="1"/>
          <c:order val="1"/>
          <c:tx>
            <c:strRef>
              <c:f>lc_summary!$Q$2</c:f>
              <c:strCache>
                <c:ptCount val="1"/>
                <c:pt idx="0">
                  <c:v>elec_consumption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lc_summary!$O$3:$O$74</c:f>
              <c:strCache>
                <c:ptCount val="72"/>
                <c:pt idx="0">
                  <c:v>NW_DryMill_CCS_Fermentation_Exhaust</c:v>
                </c:pt>
                <c:pt idx="1">
                  <c:v>CA_DryMill_CCS_Fermentation_Exhaust</c:v>
                </c:pt>
                <c:pt idx="2">
                  <c:v>SW_DryMill_CCS_Fermentation_Exhaust</c:v>
                </c:pt>
                <c:pt idx="3">
                  <c:v>TX_DryMill_CCS_Fermentation_Exhaust</c:v>
                </c:pt>
                <c:pt idx="4">
                  <c:v>CEN_DryMill_CCS_Fermentation_Exhaust</c:v>
                </c:pt>
                <c:pt idx="5">
                  <c:v>NW_DryMill_CCS_Fermentation</c:v>
                </c:pt>
                <c:pt idx="6">
                  <c:v>CA_DryMill_CCS_Fermentation</c:v>
                </c:pt>
                <c:pt idx="7">
                  <c:v>SW_DryMill_CCS_Fermentation</c:v>
                </c:pt>
                <c:pt idx="8">
                  <c:v>TX_DryMill_CCS_Fermentation</c:v>
                </c:pt>
                <c:pt idx="9">
                  <c:v>NCEN_DryMill_CCS_Fermentation_Exhaust</c:v>
                </c:pt>
                <c:pt idx="10">
                  <c:v>CEN_DryMill_CCS_Fermentation</c:v>
                </c:pt>
                <c:pt idx="11">
                  <c:v>SE_DryMill_CCS_Fermentation_Exhaust</c:v>
                </c:pt>
                <c:pt idx="12">
                  <c:v>MIDAT_DryMill_CCS_Fermentation_Exhaust</c:v>
                </c:pt>
                <c:pt idx="13">
                  <c:v>NCEN_DryMill_CCS_Fermentation</c:v>
                </c:pt>
                <c:pt idx="14">
                  <c:v>SE_DryMill_CCS_Fermentation</c:v>
                </c:pt>
                <c:pt idx="15">
                  <c:v>NE_DryMill_CCS_Fermentation_Exhaust</c:v>
                </c:pt>
                <c:pt idx="16">
                  <c:v>MIDAT_DryMill_CCS_Fermentation</c:v>
                </c:pt>
                <c:pt idx="17">
                  <c:v>NE_DryMill_CCS_Fermentation</c:v>
                </c:pt>
                <c:pt idx="18">
                  <c:v>TX_DryMill_Existing_Non_CCS</c:v>
                </c:pt>
                <c:pt idx="19">
                  <c:v>CEN_DryMill_Existing_Non_CCS</c:v>
                </c:pt>
                <c:pt idx="20">
                  <c:v>NW_DryMill_Existing_Non_CCS</c:v>
                </c:pt>
                <c:pt idx="21">
                  <c:v>NCEN_DryMill_Existing_Non_CCS</c:v>
                </c:pt>
                <c:pt idx="22">
                  <c:v>SW_DryMill_Existing_Non_CCS</c:v>
                </c:pt>
                <c:pt idx="23">
                  <c:v>SE_DryMill_Existing_Non_CCS</c:v>
                </c:pt>
                <c:pt idx="24">
                  <c:v>CA_DryMill_Existing_Non_CCS</c:v>
                </c:pt>
                <c:pt idx="25">
                  <c:v>MIDAT_DryMill_Existing_Non_CCS</c:v>
                </c:pt>
                <c:pt idx="26">
                  <c:v>NE_DryMill_Existing_Non_CCS</c:v>
                </c:pt>
                <c:pt idx="27">
                  <c:v>CEN_Bio_Ethanol_CCS_86_Agri</c:v>
                </c:pt>
                <c:pt idx="28">
                  <c:v>NCEN_Bio_Ethanol_CCS_86_Agri</c:v>
                </c:pt>
                <c:pt idx="29">
                  <c:v>CEN_Bio_Ethanol_CCS_86_Herb</c:v>
                </c:pt>
                <c:pt idx="30">
                  <c:v>SE_Bio_Ethanol_CCS_20_Agri</c:v>
                </c:pt>
                <c:pt idx="31">
                  <c:v>NCEN_Bio_Ethanol_CCS_20_Agri</c:v>
                </c:pt>
                <c:pt idx="32">
                  <c:v>MIDAT_Bio_Ethanol_CCS_20_Agri</c:v>
                </c:pt>
                <c:pt idx="33">
                  <c:v>NCEN_Bio_Ethanol_CCS_86_Herb</c:v>
                </c:pt>
                <c:pt idx="34">
                  <c:v>TX_Bio_Ethanol_CCS_86_Agri</c:v>
                </c:pt>
                <c:pt idx="35">
                  <c:v>SE_Bio_Ethanol_CCS_20_Herb</c:v>
                </c:pt>
                <c:pt idx="36">
                  <c:v>SE_Bio_Ethanol_CCS_86_Agri</c:v>
                </c:pt>
                <c:pt idx="37">
                  <c:v>CEN_Bio_Ethanol_CCS_86_Wood</c:v>
                </c:pt>
                <c:pt idx="38">
                  <c:v>MIDAT_Bio_Ethanol_Agri</c:v>
                </c:pt>
                <c:pt idx="39">
                  <c:v>SE_Bio_Ethanol_Agri</c:v>
                </c:pt>
                <c:pt idx="40">
                  <c:v>MIDAT_Bio_Ethanol_CCS_20_Herb</c:v>
                </c:pt>
                <c:pt idx="41">
                  <c:v>NCEN_Bio_Ethanol_CCS_86_Wood</c:v>
                </c:pt>
                <c:pt idx="42">
                  <c:v>NCEN_Bio_Ethanol_CCS_20_Herb</c:v>
                </c:pt>
                <c:pt idx="43">
                  <c:v>SE_Bio_Ethanol_CCS_86_Herb</c:v>
                </c:pt>
                <c:pt idx="44">
                  <c:v>MIDAT_Bio_Ethanol_CCS_20_Wood</c:v>
                </c:pt>
                <c:pt idx="45">
                  <c:v>SE_Bio_Ethanol_Herb</c:v>
                </c:pt>
                <c:pt idx="46">
                  <c:v>MIDAT_Bio_Ethanol_Herb</c:v>
                </c:pt>
                <c:pt idx="47">
                  <c:v>CEN_Bio_Ethanol_CCS_20_Agri</c:v>
                </c:pt>
                <c:pt idx="48">
                  <c:v>MIDAT_Bio_Ethanol_Wood</c:v>
                </c:pt>
                <c:pt idx="49">
                  <c:v>NCEN_Bio_Ethanol_Agri</c:v>
                </c:pt>
                <c:pt idx="50">
                  <c:v>SE_Bio_Ethanol_CCS_20_Wood</c:v>
                </c:pt>
                <c:pt idx="51">
                  <c:v>SE_Bio_Ethanol_CCS_86_Wood</c:v>
                </c:pt>
                <c:pt idx="52">
                  <c:v>MIDAT_Bio_Ethanol_CCS_86_Agri</c:v>
                </c:pt>
                <c:pt idx="53">
                  <c:v>CEN_Bio_Ethanol_CCS_20_Herb</c:v>
                </c:pt>
                <c:pt idx="54">
                  <c:v>NCEN_Bio_Ethanol_CCS_20_Wood</c:v>
                </c:pt>
                <c:pt idx="55">
                  <c:v>MIDAT_Bio_Ethanol_CCS_86_Wood</c:v>
                </c:pt>
                <c:pt idx="56">
                  <c:v>MIDAT_Bio_Ethanol_CCS_86_Herb</c:v>
                </c:pt>
                <c:pt idx="57">
                  <c:v>NCEN_Bio_Ethanol_Herb</c:v>
                </c:pt>
                <c:pt idx="58">
                  <c:v>TX_Bio_Ethanol_CCS_86_Herb</c:v>
                </c:pt>
                <c:pt idx="59">
                  <c:v>SE_Bio_Ethanol_Wood</c:v>
                </c:pt>
                <c:pt idx="60">
                  <c:v>NCEN_Bio_Ethanol_Wood</c:v>
                </c:pt>
                <c:pt idx="61">
                  <c:v>CEN_Bio_Ethanol_CCS_20_Wood</c:v>
                </c:pt>
                <c:pt idx="62">
                  <c:v>CEN_Bio_Ethanol_Agri</c:v>
                </c:pt>
                <c:pt idx="63">
                  <c:v>TX_Bio_Ethanol_CCS_86_Wood</c:v>
                </c:pt>
                <c:pt idx="64">
                  <c:v>CEN_Bio_Ethanol_Herb</c:v>
                </c:pt>
                <c:pt idx="65">
                  <c:v>TX_Bio_Ethanol_CCS_20_Agri</c:v>
                </c:pt>
                <c:pt idx="66">
                  <c:v>CEN_Bio_Ethanol_Wood</c:v>
                </c:pt>
                <c:pt idx="67">
                  <c:v>TX_Bio_Ethanol_CCS_20_Herb</c:v>
                </c:pt>
                <c:pt idx="68">
                  <c:v>TX_Bio_Ethanol_Agri</c:v>
                </c:pt>
                <c:pt idx="69">
                  <c:v>TX_Bio_Ethanol_CCS_20_Wood</c:v>
                </c:pt>
                <c:pt idx="70">
                  <c:v>TX_Bio_Ethanol_Herb</c:v>
                </c:pt>
                <c:pt idx="71">
                  <c:v>TX_Bio_Ethanol_Wood</c:v>
                </c:pt>
              </c:strCache>
            </c:strRef>
          </c:cat>
          <c:val>
            <c:numRef>
              <c:f>lc_summary!$Q$3:$Q$74</c:f>
              <c:numCache>
                <c:formatCode>General</c:formatCode>
                <c:ptCount val="72"/>
                <c:pt idx="0">
                  <c:v>0.73586366011438453</c:v>
                </c:pt>
                <c:pt idx="1">
                  <c:v>1.0053136927072917</c:v>
                </c:pt>
                <c:pt idx="2">
                  <c:v>0.77013340353811088</c:v>
                </c:pt>
                <c:pt idx="3">
                  <c:v>0.55645947397359674</c:v>
                </c:pt>
                <c:pt idx="4">
                  <c:v>0.69741155638819219</c:v>
                </c:pt>
                <c:pt idx="5">
                  <c:v>0.73586366011438453</c:v>
                </c:pt>
                <c:pt idx="6">
                  <c:v>1.0053136927072917</c:v>
                </c:pt>
                <c:pt idx="7">
                  <c:v>0.77013340353811088</c:v>
                </c:pt>
                <c:pt idx="8">
                  <c:v>0.55645947397359674</c:v>
                </c:pt>
                <c:pt idx="9">
                  <c:v>0.8448152277830977</c:v>
                </c:pt>
                <c:pt idx="10">
                  <c:v>0.69741155638819219</c:v>
                </c:pt>
                <c:pt idx="11">
                  <c:v>1.0510573049050351</c:v>
                </c:pt>
                <c:pt idx="12">
                  <c:v>1.0825827669928705</c:v>
                </c:pt>
                <c:pt idx="13">
                  <c:v>0.8448152277830977</c:v>
                </c:pt>
                <c:pt idx="14">
                  <c:v>1.0510573049050351</c:v>
                </c:pt>
                <c:pt idx="15">
                  <c:v>1.3054571304581477</c:v>
                </c:pt>
                <c:pt idx="16">
                  <c:v>1.0825827669928705</c:v>
                </c:pt>
                <c:pt idx="17">
                  <c:v>1.3054571304581477</c:v>
                </c:pt>
                <c:pt idx="18">
                  <c:v>0.55645947397359674</c:v>
                </c:pt>
                <c:pt idx="19">
                  <c:v>0.69741155638819219</c:v>
                </c:pt>
                <c:pt idx="20">
                  <c:v>0.73586366011438453</c:v>
                </c:pt>
                <c:pt idx="21">
                  <c:v>0.8448152277830977</c:v>
                </c:pt>
                <c:pt idx="22">
                  <c:v>0.77013340353811088</c:v>
                </c:pt>
                <c:pt idx="23">
                  <c:v>1.0510573049050351</c:v>
                </c:pt>
                <c:pt idx="24">
                  <c:v>1.0053136927072917</c:v>
                </c:pt>
                <c:pt idx="25">
                  <c:v>1.0825827669928705</c:v>
                </c:pt>
                <c:pt idx="26">
                  <c:v>1.3054571304581477</c:v>
                </c:pt>
                <c:pt idx="27">
                  <c:v>3.5716983391462507</c:v>
                </c:pt>
                <c:pt idx="28">
                  <c:v>4.2942169272099813</c:v>
                </c:pt>
                <c:pt idx="29">
                  <c:v>3.3640330890769854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4.0507625494065209</c:v>
                </c:pt>
                <c:pt idx="34">
                  <c:v>2.9495487161997564</c:v>
                </c:pt>
                <c:pt idx="35">
                  <c:v>0</c:v>
                </c:pt>
                <c:pt idx="36">
                  <c:v>5.3641953110506959</c:v>
                </c:pt>
                <c:pt idx="37">
                  <c:v>3.2159391557653407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3.8977194267264226</c:v>
                </c:pt>
                <c:pt idx="42">
                  <c:v>0</c:v>
                </c:pt>
                <c:pt idx="43">
                  <c:v>5.0783214655563969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4.8290114137633164</c:v>
                </c:pt>
                <c:pt idx="52">
                  <c:v>5.5092302658799763</c:v>
                </c:pt>
                <c:pt idx="53">
                  <c:v>0</c:v>
                </c:pt>
                <c:pt idx="54">
                  <c:v>0</c:v>
                </c:pt>
                <c:pt idx="55">
                  <c:v>5.0077377876986997</c:v>
                </c:pt>
                <c:pt idx="56">
                  <c:v>5.2020251451515751</c:v>
                </c:pt>
                <c:pt idx="57">
                  <c:v>0</c:v>
                </c:pt>
                <c:pt idx="58">
                  <c:v>2.6959540970598654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2.5890435394858331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5E-6C4E-9AA9-AF1999467EE7}"/>
            </c:ext>
          </c:extLst>
        </c:ser>
        <c:ser>
          <c:idx val="2"/>
          <c:order val="2"/>
          <c:tx>
            <c:strRef>
              <c:f>lc_summary!$R$2</c:f>
              <c:strCache>
                <c:ptCount val="1"/>
                <c:pt idx="0">
                  <c:v>biomass_consumption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lc_summary!$O$3:$O$74</c:f>
              <c:strCache>
                <c:ptCount val="72"/>
                <c:pt idx="0">
                  <c:v>NW_DryMill_CCS_Fermentation_Exhaust</c:v>
                </c:pt>
                <c:pt idx="1">
                  <c:v>CA_DryMill_CCS_Fermentation_Exhaust</c:v>
                </c:pt>
                <c:pt idx="2">
                  <c:v>SW_DryMill_CCS_Fermentation_Exhaust</c:v>
                </c:pt>
                <c:pt idx="3">
                  <c:v>TX_DryMill_CCS_Fermentation_Exhaust</c:v>
                </c:pt>
                <c:pt idx="4">
                  <c:v>CEN_DryMill_CCS_Fermentation_Exhaust</c:v>
                </c:pt>
                <c:pt idx="5">
                  <c:v>NW_DryMill_CCS_Fermentation</c:v>
                </c:pt>
                <c:pt idx="6">
                  <c:v>CA_DryMill_CCS_Fermentation</c:v>
                </c:pt>
                <c:pt idx="7">
                  <c:v>SW_DryMill_CCS_Fermentation</c:v>
                </c:pt>
                <c:pt idx="8">
                  <c:v>TX_DryMill_CCS_Fermentation</c:v>
                </c:pt>
                <c:pt idx="9">
                  <c:v>NCEN_DryMill_CCS_Fermentation_Exhaust</c:v>
                </c:pt>
                <c:pt idx="10">
                  <c:v>CEN_DryMill_CCS_Fermentation</c:v>
                </c:pt>
                <c:pt idx="11">
                  <c:v>SE_DryMill_CCS_Fermentation_Exhaust</c:v>
                </c:pt>
                <c:pt idx="12">
                  <c:v>MIDAT_DryMill_CCS_Fermentation_Exhaust</c:v>
                </c:pt>
                <c:pt idx="13">
                  <c:v>NCEN_DryMill_CCS_Fermentation</c:v>
                </c:pt>
                <c:pt idx="14">
                  <c:v>SE_DryMill_CCS_Fermentation</c:v>
                </c:pt>
                <c:pt idx="15">
                  <c:v>NE_DryMill_CCS_Fermentation_Exhaust</c:v>
                </c:pt>
                <c:pt idx="16">
                  <c:v>MIDAT_DryMill_CCS_Fermentation</c:v>
                </c:pt>
                <c:pt idx="17">
                  <c:v>NE_DryMill_CCS_Fermentation</c:v>
                </c:pt>
                <c:pt idx="18">
                  <c:v>TX_DryMill_Existing_Non_CCS</c:v>
                </c:pt>
                <c:pt idx="19">
                  <c:v>CEN_DryMill_Existing_Non_CCS</c:v>
                </c:pt>
                <c:pt idx="20">
                  <c:v>NW_DryMill_Existing_Non_CCS</c:v>
                </c:pt>
                <c:pt idx="21">
                  <c:v>NCEN_DryMill_Existing_Non_CCS</c:v>
                </c:pt>
                <c:pt idx="22">
                  <c:v>SW_DryMill_Existing_Non_CCS</c:v>
                </c:pt>
                <c:pt idx="23">
                  <c:v>SE_DryMill_Existing_Non_CCS</c:v>
                </c:pt>
                <c:pt idx="24">
                  <c:v>CA_DryMill_Existing_Non_CCS</c:v>
                </c:pt>
                <c:pt idx="25">
                  <c:v>MIDAT_DryMill_Existing_Non_CCS</c:v>
                </c:pt>
                <c:pt idx="26">
                  <c:v>NE_DryMill_Existing_Non_CCS</c:v>
                </c:pt>
                <c:pt idx="27">
                  <c:v>CEN_Bio_Ethanol_CCS_86_Agri</c:v>
                </c:pt>
                <c:pt idx="28">
                  <c:v>NCEN_Bio_Ethanol_CCS_86_Agri</c:v>
                </c:pt>
                <c:pt idx="29">
                  <c:v>CEN_Bio_Ethanol_CCS_86_Herb</c:v>
                </c:pt>
                <c:pt idx="30">
                  <c:v>SE_Bio_Ethanol_CCS_20_Agri</c:v>
                </c:pt>
                <c:pt idx="31">
                  <c:v>NCEN_Bio_Ethanol_CCS_20_Agri</c:v>
                </c:pt>
                <c:pt idx="32">
                  <c:v>MIDAT_Bio_Ethanol_CCS_20_Agri</c:v>
                </c:pt>
                <c:pt idx="33">
                  <c:v>NCEN_Bio_Ethanol_CCS_86_Herb</c:v>
                </c:pt>
                <c:pt idx="34">
                  <c:v>TX_Bio_Ethanol_CCS_86_Agri</c:v>
                </c:pt>
                <c:pt idx="35">
                  <c:v>SE_Bio_Ethanol_CCS_20_Herb</c:v>
                </c:pt>
                <c:pt idx="36">
                  <c:v>SE_Bio_Ethanol_CCS_86_Agri</c:v>
                </c:pt>
                <c:pt idx="37">
                  <c:v>CEN_Bio_Ethanol_CCS_86_Wood</c:v>
                </c:pt>
                <c:pt idx="38">
                  <c:v>MIDAT_Bio_Ethanol_Agri</c:v>
                </c:pt>
                <c:pt idx="39">
                  <c:v>SE_Bio_Ethanol_Agri</c:v>
                </c:pt>
                <c:pt idx="40">
                  <c:v>MIDAT_Bio_Ethanol_CCS_20_Herb</c:v>
                </c:pt>
                <c:pt idx="41">
                  <c:v>NCEN_Bio_Ethanol_CCS_86_Wood</c:v>
                </c:pt>
                <c:pt idx="42">
                  <c:v>NCEN_Bio_Ethanol_CCS_20_Herb</c:v>
                </c:pt>
                <c:pt idx="43">
                  <c:v>SE_Bio_Ethanol_CCS_86_Herb</c:v>
                </c:pt>
                <c:pt idx="44">
                  <c:v>MIDAT_Bio_Ethanol_CCS_20_Wood</c:v>
                </c:pt>
                <c:pt idx="45">
                  <c:v>SE_Bio_Ethanol_Herb</c:v>
                </c:pt>
                <c:pt idx="46">
                  <c:v>MIDAT_Bio_Ethanol_Herb</c:v>
                </c:pt>
                <c:pt idx="47">
                  <c:v>CEN_Bio_Ethanol_CCS_20_Agri</c:v>
                </c:pt>
                <c:pt idx="48">
                  <c:v>MIDAT_Bio_Ethanol_Wood</c:v>
                </c:pt>
                <c:pt idx="49">
                  <c:v>NCEN_Bio_Ethanol_Agri</c:v>
                </c:pt>
                <c:pt idx="50">
                  <c:v>SE_Bio_Ethanol_CCS_20_Wood</c:v>
                </c:pt>
                <c:pt idx="51">
                  <c:v>SE_Bio_Ethanol_CCS_86_Wood</c:v>
                </c:pt>
                <c:pt idx="52">
                  <c:v>MIDAT_Bio_Ethanol_CCS_86_Agri</c:v>
                </c:pt>
                <c:pt idx="53">
                  <c:v>CEN_Bio_Ethanol_CCS_20_Herb</c:v>
                </c:pt>
                <c:pt idx="54">
                  <c:v>NCEN_Bio_Ethanol_CCS_20_Wood</c:v>
                </c:pt>
                <c:pt idx="55">
                  <c:v>MIDAT_Bio_Ethanol_CCS_86_Wood</c:v>
                </c:pt>
                <c:pt idx="56">
                  <c:v>MIDAT_Bio_Ethanol_CCS_86_Herb</c:v>
                </c:pt>
                <c:pt idx="57">
                  <c:v>NCEN_Bio_Ethanol_Herb</c:v>
                </c:pt>
                <c:pt idx="58">
                  <c:v>TX_Bio_Ethanol_CCS_86_Herb</c:v>
                </c:pt>
                <c:pt idx="59">
                  <c:v>SE_Bio_Ethanol_Wood</c:v>
                </c:pt>
                <c:pt idx="60">
                  <c:v>NCEN_Bio_Ethanol_Wood</c:v>
                </c:pt>
                <c:pt idx="61">
                  <c:v>CEN_Bio_Ethanol_CCS_20_Wood</c:v>
                </c:pt>
                <c:pt idx="62">
                  <c:v>CEN_Bio_Ethanol_Agri</c:v>
                </c:pt>
                <c:pt idx="63">
                  <c:v>TX_Bio_Ethanol_CCS_86_Wood</c:v>
                </c:pt>
                <c:pt idx="64">
                  <c:v>CEN_Bio_Ethanol_Herb</c:v>
                </c:pt>
                <c:pt idx="65">
                  <c:v>TX_Bio_Ethanol_CCS_20_Agri</c:v>
                </c:pt>
                <c:pt idx="66">
                  <c:v>CEN_Bio_Ethanol_Wood</c:v>
                </c:pt>
                <c:pt idx="67">
                  <c:v>TX_Bio_Ethanol_CCS_20_Herb</c:v>
                </c:pt>
                <c:pt idx="68">
                  <c:v>TX_Bio_Ethanol_Agri</c:v>
                </c:pt>
                <c:pt idx="69">
                  <c:v>TX_Bio_Ethanol_CCS_20_Wood</c:v>
                </c:pt>
                <c:pt idx="70">
                  <c:v>TX_Bio_Ethanol_Herb</c:v>
                </c:pt>
                <c:pt idx="71">
                  <c:v>TX_Bio_Ethanol_Wood</c:v>
                </c:pt>
              </c:strCache>
            </c:strRef>
          </c:cat>
          <c:val>
            <c:numRef>
              <c:f>lc_summary!$R$3:$R$74</c:f>
              <c:numCache>
                <c:formatCode>General</c:formatCode>
                <c:ptCount val="72"/>
                <c:pt idx="0">
                  <c:v>51.540779469794813</c:v>
                </c:pt>
                <c:pt idx="1">
                  <c:v>51.540779469794813</c:v>
                </c:pt>
                <c:pt idx="2">
                  <c:v>51.540779469794813</c:v>
                </c:pt>
                <c:pt idx="3">
                  <c:v>51.540779469794813</c:v>
                </c:pt>
                <c:pt idx="4">
                  <c:v>51.540779469794813</c:v>
                </c:pt>
                <c:pt idx="5">
                  <c:v>51.540779469794813</c:v>
                </c:pt>
                <c:pt idx="6">
                  <c:v>51.540779469794813</c:v>
                </c:pt>
                <c:pt idx="7">
                  <c:v>51.540779469794813</c:v>
                </c:pt>
                <c:pt idx="8">
                  <c:v>51.540779469794813</c:v>
                </c:pt>
                <c:pt idx="9">
                  <c:v>51.540779469794813</c:v>
                </c:pt>
                <c:pt idx="10">
                  <c:v>51.540779469794813</c:v>
                </c:pt>
                <c:pt idx="11">
                  <c:v>51.540779469794813</c:v>
                </c:pt>
                <c:pt idx="12">
                  <c:v>51.540779469794813</c:v>
                </c:pt>
                <c:pt idx="13">
                  <c:v>51.540779469794813</c:v>
                </c:pt>
                <c:pt idx="14">
                  <c:v>51.540779469794813</c:v>
                </c:pt>
                <c:pt idx="15">
                  <c:v>51.540779469794813</c:v>
                </c:pt>
                <c:pt idx="16">
                  <c:v>51.540779469794813</c:v>
                </c:pt>
                <c:pt idx="17">
                  <c:v>51.540779469794813</c:v>
                </c:pt>
                <c:pt idx="18">
                  <c:v>51.540779469794813</c:v>
                </c:pt>
                <c:pt idx="19">
                  <c:v>51.540779469794813</c:v>
                </c:pt>
                <c:pt idx="20">
                  <c:v>51.540779469794813</c:v>
                </c:pt>
                <c:pt idx="21">
                  <c:v>51.540779469794813</c:v>
                </c:pt>
                <c:pt idx="22">
                  <c:v>51.540779469794813</c:v>
                </c:pt>
                <c:pt idx="23">
                  <c:v>51.540779469794813</c:v>
                </c:pt>
                <c:pt idx="24">
                  <c:v>51.540779469794813</c:v>
                </c:pt>
                <c:pt idx="25">
                  <c:v>51.540779469794813</c:v>
                </c:pt>
                <c:pt idx="26">
                  <c:v>51.540779469794813</c:v>
                </c:pt>
                <c:pt idx="27">
                  <c:v>54.205622124745908</c:v>
                </c:pt>
                <c:pt idx="28">
                  <c:v>49.602053092646671</c:v>
                </c:pt>
                <c:pt idx="29">
                  <c:v>56.806854091092305</c:v>
                </c:pt>
                <c:pt idx="30">
                  <c:v>47.791245802015041</c:v>
                </c:pt>
                <c:pt idx="31">
                  <c:v>49.602053092646671</c:v>
                </c:pt>
                <c:pt idx="32">
                  <c:v>47.956553978631803</c:v>
                </c:pt>
                <c:pt idx="33">
                  <c:v>53.324627635598738</c:v>
                </c:pt>
                <c:pt idx="34">
                  <c:v>62.940523197873986</c:v>
                </c:pt>
                <c:pt idx="35">
                  <c:v>50.715389351501386</c:v>
                </c:pt>
                <c:pt idx="36">
                  <c:v>47.791245802015041</c:v>
                </c:pt>
                <c:pt idx="37">
                  <c:v>62.517755514882957</c:v>
                </c:pt>
                <c:pt idx="38">
                  <c:v>47.956553978631803</c:v>
                </c:pt>
                <c:pt idx="39">
                  <c:v>47.791245802015041</c:v>
                </c:pt>
                <c:pt idx="40">
                  <c:v>51.008372314796226</c:v>
                </c:pt>
                <c:pt idx="41">
                  <c:v>56.823526577032439</c:v>
                </c:pt>
                <c:pt idx="42">
                  <c:v>53.324627635598738</c:v>
                </c:pt>
                <c:pt idx="43">
                  <c:v>50.715389351501386</c:v>
                </c:pt>
                <c:pt idx="44">
                  <c:v>52.936851234478418</c:v>
                </c:pt>
                <c:pt idx="45">
                  <c:v>50.715389351501386</c:v>
                </c:pt>
                <c:pt idx="46">
                  <c:v>51.008372314796226</c:v>
                </c:pt>
                <c:pt idx="47">
                  <c:v>54.205622124745908</c:v>
                </c:pt>
                <c:pt idx="48">
                  <c:v>52.936851234478418</c:v>
                </c:pt>
                <c:pt idx="49">
                  <c:v>49.602053092646671</c:v>
                </c:pt>
                <c:pt idx="50">
                  <c:v>55.507517995968897</c:v>
                </c:pt>
                <c:pt idx="51">
                  <c:v>55.507517995968897</c:v>
                </c:pt>
                <c:pt idx="52">
                  <c:v>47.956553978631803</c:v>
                </c:pt>
                <c:pt idx="53">
                  <c:v>56.806854091092305</c:v>
                </c:pt>
                <c:pt idx="54">
                  <c:v>56.823526577032439</c:v>
                </c:pt>
                <c:pt idx="55">
                  <c:v>52.936851234478418</c:v>
                </c:pt>
                <c:pt idx="56">
                  <c:v>51.008372314796226</c:v>
                </c:pt>
                <c:pt idx="57">
                  <c:v>53.324627635598738</c:v>
                </c:pt>
                <c:pt idx="58">
                  <c:v>71.032421942209396</c:v>
                </c:pt>
                <c:pt idx="59">
                  <c:v>55.507517995968897</c:v>
                </c:pt>
                <c:pt idx="60">
                  <c:v>56.823526577032439</c:v>
                </c:pt>
                <c:pt idx="61">
                  <c:v>62.517755514882957</c:v>
                </c:pt>
                <c:pt idx="62">
                  <c:v>54.205622124745908</c:v>
                </c:pt>
                <c:pt idx="63">
                  <c:v>77.975442970306659</c:v>
                </c:pt>
                <c:pt idx="64">
                  <c:v>56.806854091092305</c:v>
                </c:pt>
                <c:pt idx="65">
                  <c:v>62.940523197873986</c:v>
                </c:pt>
                <c:pt idx="66">
                  <c:v>62.517755514882957</c:v>
                </c:pt>
                <c:pt idx="67">
                  <c:v>71.032421942209396</c:v>
                </c:pt>
                <c:pt idx="68">
                  <c:v>62.940523197873986</c:v>
                </c:pt>
                <c:pt idx="69">
                  <c:v>77.975442970306659</c:v>
                </c:pt>
                <c:pt idx="70">
                  <c:v>71.032421942209396</c:v>
                </c:pt>
                <c:pt idx="71">
                  <c:v>77.975442970306659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5E-6C4E-9AA9-AF1999467EE7}"/>
            </c:ext>
          </c:extLst>
        </c:ser>
        <c:ser>
          <c:idx val="3"/>
          <c:order val="3"/>
          <c:tx>
            <c:strRef>
              <c:f>lc_summary!$S$2</c:f>
              <c:strCache>
                <c:ptCount val="1"/>
                <c:pt idx="0">
                  <c:v>natgas_consumption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strRef>
              <c:f>lc_summary!$O$3:$O$74</c:f>
              <c:strCache>
                <c:ptCount val="72"/>
                <c:pt idx="0">
                  <c:v>NW_DryMill_CCS_Fermentation_Exhaust</c:v>
                </c:pt>
                <c:pt idx="1">
                  <c:v>CA_DryMill_CCS_Fermentation_Exhaust</c:v>
                </c:pt>
                <c:pt idx="2">
                  <c:v>SW_DryMill_CCS_Fermentation_Exhaust</c:v>
                </c:pt>
                <c:pt idx="3">
                  <c:v>TX_DryMill_CCS_Fermentation_Exhaust</c:v>
                </c:pt>
                <c:pt idx="4">
                  <c:v>CEN_DryMill_CCS_Fermentation_Exhaust</c:v>
                </c:pt>
                <c:pt idx="5">
                  <c:v>NW_DryMill_CCS_Fermentation</c:v>
                </c:pt>
                <c:pt idx="6">
                  <c:v>CA_DryMill_CCS_Fermentation</c:v>
                </c:pt>
                <c:pt idx="7">
                  <c:v>SW_DryMill_CCS_Fermentation</c:v>
                </c:pt>
                <c:pt idx="8">
                  <c:v>TX_DryMill_CCS_Fermentation</c:v>
                </c:pt>
                <c:pt idx="9">
                  <c:v>NCEN_DryMill_CCS_Fermentation_Exhaust</c:v>
                </c:pt>
                <c:pt idx="10">
                  <c:v>CEN_DryMill_CCS_Fermentation</c:v>
                </c:pt>
                <c:pt idx="11">
                  <c:v>SE_DryMill_CCS_Fermentation_Exhaust</c:v>
                </c:pt>
                <c:pt idx="12">
                  <c:v>MIDAT_DryMill_CCS_Fermentation_Exhaust</c:v>
                </c:pt>
                <c:pt idx="13">
                  <c:v>NCEN_DryMill_CCS_Fermentation</c:v>
                </c:pt>
                <c:pt idx="14">
                  <c:v>SE_DryMill_CCS_Fermentation</c:v>
                </c:pt>
                <c:pt idx="15">
                  <c:v>NE_DryMill_CCS_Fermentation_Exhaust</c:v>
                </c:pt>
                <c:pt idx="16">
                  <c:v>MIDAT_DryMill_CCS_Fermentation</c:v>
                </c:pt>
                <c:pt idx="17">
                  <c:v>NE_DryMill_CCS_Fermentation</c:v>
                </c:pt>
                <c:pt idx="18">
                  <c:v>TX_DryMill_Existing_Non_CCS</c:v>
                </c:pt>
                <c:pt idx="19">
                  <c:v>CEN_DryMill_Existing_Non_CCS</c:v>
                </c:pt>
                <c:pt idx="20">
                  <c:v>NW_DryMill_Existing_Non_CCS</c:v>
                </c:pt>
                <c:pt idx="21">
                  <c:v>NCEN_DryMill_Existing_Non_CCS</c:v>
                </c:pt>
                <c:pt idx="22">
                  <c:v>SW_DryMill_Existing_Non_CCS</c:v>
                </c:pt>
                <c:pt idx="23">
                  <c:v>SE_DryMill_Existing_Non_CCS</c:v>
                </c:pt>
                <c:pt idx="24">
                  <c:v>CA_DryMill_Existing_Non_CCS</c:v>
                </c:pt>
                <c:pt idx="25">
                  <c:v>MIDAT_DryMill_Existing_Non_CCS</c:v>
                </c:pt>
                <c:pt idx="26">
                  <c:v>NE_DryMill_Existing_Non_CCS</c:v>
                </c:pt>
                <c:pt idx="27">
                  <c:v>CEN_Bio_Ethanol_CCS_86_Agri</c:v>
                </c:pt>
                <c:pt idx="28">
                  <c:v>NCEN_Bio_Ethanol_CCS_86_Agri</c:v>
                </c:pt>
                <c:pt idx="29">
                  <c:v>CEN_Bio_Ethanol_CCS_86_Herb</c:v>
                </c:pt>
                <c:pt idx="30">
                  <c:v>SE_Bio_Ethanol_CCS_20_Agri</c:v>
                </c:pt>
                <c:pt idx="31">
                  <c:v>NCEN_Bio_Ethanol_CCS_20_Agri</c:v>
                </c:pt>
                <c:pt idx="32">
                  <c:v>MIDAT_Bio_Ethanol_CCS_20_Agri</c:v>
                </c:pt>
                <c:pt idx="33">
                  <c:v>NCEN_Bio_Ethanol_CCS_86_Herb</c:v>
                </c:pt>
                <c:pt idx="34">
                  <c:v>TX_Bio_Ethanol_CCS_86_Agri</c:v>
                </c:pt>
                <c:pt idx="35">
                  <c:v>SE_Bio_Ethanol_CCS_20_Herb</c:v>
                </c:pt>
                <c:pt idx="36">
                  <c:v>SE_Bio_Ethanol_CCS_86_Agri</c:v>
                </c:pt>
                <c:pt idx="37">
                  <c:v>CEN_Bio_Ethanol_CCS_86_Wood</c:v>
                </c:pt>
                <c:pt idx="38">
                  <c:v>MIDAT_Bio_Ethanol_Agri</c:v>
                </c:pt>
                <c:pt idx="39">
                  <c:v>SE_Bio_Ethanol_Agri</c:v>
                </c:pt>
                <c:pt idx="40">
                  <c:v>MIDAT_Bio_Ethanol_CCS_20_Herb</c:v>
                </c:pt>
                <c:pt idx="41">
                  <c:v>NCEN_Bio_Ethanol_CCS_86_Wood</c:v>
                </c:pt>
                <c:pt idx="42">
                  <c:v>NCEN_Bio_Ethanol_CCS_20_Herb</c:v>
                </c:pt>
                <c:pt idx="43">
                  <c:v>SE_Bio_Ethanol_CCS_86_Herb</c:v>
                </c:pt>
                <c:pt idx="44">
                  <c:v>MIDAT_Bio_Ethanol_CCS_20_Wood</c:v>
                </c:pt>
                <c:pt idx="45">
                  <c:v>SE_Bio_Ethanol_Herb</c:v>
                </c:pt>
                <c:pt idx="46">
                  <c:v>MIDAT_Bio_Ethanol_Herb</c:v>
                </c:pt>
                <c:pt idx="47">
                  <c:v>CEN_Bio_Ethanol_CCS_20_Agri</c:v>
                </c:pt>
                <c:pt idx="48">
                  <c:v>MIDAT_Bio_Ethanol_Wood</c:v>
                </c:pt>
                <c:pt idx="49">
                  <c:v>NCEN_Bio_Ethanol_Agri</c:v>
                </c:pt>
                <c:pt idx="50">
                  <c:v>SE_Bio_Ethanol_CCS_20_Wood</c:v>
                </c:pt>
                <c:pt idx="51">
                  <c:v>SE_Bio_Ethanol_CCS_86_Wood</c:v>
                </c:pt>
                <c:pt idx="52">
                  <c:v>MIDAT_Bio_Ethanol_CCS_86_Agri</c:v>
                </c:pt>
                <c:pt idx="53">
                  <c:v>CEN_Bio_Ethanol_CCS_20_Herb</c:v>
                </c:pt>
                <c:pt idx="54">
                  <c:v>NCEN_Bio_Ethanol_CCS_20_Wood</c:v>
                </c:pt>
                <c:pt idx="55">
                  <c:v>MIDAT_Bio_Ethanol_CCS_86_Wood</c:v>
                </c:pt>
                <c:pt idx="56">
                  <c:v>MIDAT_Bio_Ethanol_CCS_86_Herb</c:v>
                </c:pt>
                <c:pt idx="57">
                  <c:v>NCEN_Bio_Ethanol_Herb</c:v>
                </c:pt>
                <c:pt idx="58">
                  <c:v>TX_Bio_Ethanol_CCS_86_Herb</c:v>
                </c:pt>
                <c:pt idx="59">
                  <c:v>SE_Bio_Ethanol_Wood</c:v>
                </c:pt>
                <c:pt idx="60">
                  <c:v>NCEN_Bio_Ethanol_Wood</c:v>
                </c:pt>
                <c:pt idx="61">
                  <c:v>CEN_Bio_Ethanol_CCS_20_Wood</c:v>
                </c:pt>
                <c:pt idx="62">
                  <c:v>CEN_Bio_Ethanol_Agri</c:v>
                </c:pt>
                <c:pt idx="63">
                  <c:v>TX_Bio_Ethanol_CCS_86_Wood</c:v>
                </c:pt>
                <c:pt idx="64">
                  <c:v>CEN_Bio_Ethanol_Herb</c:v>
                </c:pt>
                <c:pt idx="65">
                  <c:v>TX_Bio_Ethanol_CCS_20_Agri</c:v>
                </c:pt>
                <c:pt idx="66">
                  <c:v>CEN_Bio_Ethanol_Wood</c:v>
                </c:pt>
                <c:pt idx="67">
                  <c:v>TX_Bio_Ethanol_CCS_20_Herb</c:v>
                </c:pt>
                <c:pt idx="68">
                  <c:v>TX_Bio_Ethanol_Agri</c:v>
                </c:pt>
                <c:pt idx="69">
                  <c:v>TX_Bio_Ethanol_CCS_20_Wood</c:v>
                </c:pt>
                <c:pt idx="70">
                  <c:v>TX_Bio_Ethanol_Herb</c:v>
                </c:pt>
                <c:pt idx="71">
                  <c:v>TX_Bio_Ethanol_Wood</c:v>
                </c:pt>
              </c:strCache>
            </c:strRef>
          </c:cat>
          <c:val>
            <c:numRef>
              <c:f>lc_summary!$S$3:$S$74</c:f>
              <c:numCache>
                <c:formatCode>General</c:formatCode>
                <c:ptCount val="72"/>
                <c:pt idx="0">
                  <c:v>4.4575492267051553</c:v>
                </c:pt>
                <c:pt idx="1">
                  <c:v>4.4570380128755689</c:v>
                </c:pt>
                <c:pt idx="2">
                  <c:v>4.4574960160702748</c:v>
                </c:pt>
                <c:pt idx="3">
                  <c:v>4.3502184794673902</c:v>
                </c:pt>
                <c:pt idx="4">
                  <c:v>4.381555299618924</c:v>
                </c:pt>
                <c:pt idx="5">
                  <c:v>4.4575492267051553</c:v>
                </c:pt>
                <c:pt idx="6">
                  <c:v>4.4570380128755689</c:v>
                </c:pt>
                <c:pt idx="7">
                  <c:v>4.4574960160702748</c:v>
                </c:pt>
                <c:pt idx="8">
                  <c:v>4.3502184794673902</c:v>
                </c:pt>
                <c:pt idx="9">
                  <c:v>4.3815814152679442</c:v>
                </c:pt>
                <c:pt idx="10">
                  <c:v>4.381555299618924</c:v>
                </c:pt>
                <c:pt idx="11">
                  <c:v>4.3815504029347316</c:v>
                </c:pt>
                <c:pt idx="12">
                  <c:v>4.3817707537233472</c:v>
                </c:pt>
                <c:pt idx="13">
                  <c:v>4.3815814152679442</c:v>
                </c:pt>
                <c:pt idx="14">
                  <c:v>4.3815504029347316</c:v>
                </c:pt>
                <c:pt idx="15">
                  <c:v>4.3816848985271903</c:v>
                </c:pt>
                <c:pt idx="16">
                  <c:v>4.3817707537233472</c:v>
                </c:pt>
                <c:pt idx="17">
                  <c:v>4.3816848985271903</c:v>
                </c:pt>
                <c:pt idx="18">
                  <c:v>4.3502184794673902</c:v>
                </c:pt>
                <c:pt idx="19">
                  <c:v>4.381555299618924</c:v>
                </c:pt>
                <c:pt idx="20">
                  <c:v>4.4575492267051553</c:v>
                </c:pt>
                <c:pt idx="21">
                  <c:v>4.3815814152679442</c:v>
                </c:pt>
                <c:pt idx="22">
                  <c:v>4.4574960160702748</c:v>
                </c:pt>
                <c:pt idx="23">
                  <c:v>4.3815504029347316</c:v>
                </c:pt>
                <c:pt idx="24">
                  <c:v>4.4570380128755689</c:v>
                </c:pt>
                <c:pt idx="25">
                  <c:v>4.3817707537233472</c:v>
                </c:pt>
                <c:pt idx="26">
                  <c:v>4.3816848985271903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5E-6C4E-9AA9-AF1999467EE7}"/>
            </c:ext>
          </c:extLst>
        </c:ser>
        <c:ser>
          <c:idx val="4"/>
          <c:order val="4"/>
          <c:tx>
            <c:strRef>
              <c:f>lc_summary!$T$2</c:f>
              <c:strCache>
                <c:ptCount val="1"/>
                <c:pt idx="0">
                  <c:v>investment_cost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strRef>
              <c:f>lc_summary!$O$3:$O$74</c:f>
              <c:strCache>
                <c:ptCount val="72"/>
                <c:pt idx="0">
                  <c:v>NW_DryMill_CCS_Fermentation_Exhaust</c:v>
                </c:pt>
                <c:pt idx="1">
                  <c:v>CA_DryMill_CCS_Fermentation_Exhaust</c:v>
                </c:pt>
                <c:pt idx="2">
                  <c:v>SW_DryMill_CCS_Fermentation_Exhaust</c:v>
                </c:pt>
                <c:pt idx="3">
                  <c:v>TX_DryMill_CCS_Fermentation_Exhaust</c:v>
                </c:pt>
                <c:pt idx="4">
                  <c:v>CEN_DryMill_CCS_Fermentation_Exhaust</c:v>
                </c:pt>
                <c:pt idx="5">
                  <c:v>NW_DryMill_CCS_Fermentation</c:v>
                </c:pt>
                <c:pt idx="6">
                  <c:v>CA_DryMill_CCS_Fermentation</c:v>
                </c:pt>
                <c:pt idx="7">
                  <c:v>SW_DryMill_CCS_Fermentation</c:v>
                </c:pt>
                <c:pt idx="8">
                  <c:v>TX_DryMill_CCS_Fermentation</c:v>
                </c:pt>
                <c:pt idx="9">
                  <c:v>NCEN_DryMill_CCS_Fermentation_Exhaust</c:v>
                </c:pt>
                <c:pt idx="10">
                  <c:v>CEN_DryMill_CCS_Fermentation</c:v>
                </c:pt>
                <c:pt idx="11">
                  <c:v>SE_DryMill_CCS_Fermentation_Exhaust</c:v>
                </c:pt>
                <c:pt idx="12">
                  <c:v>MIDAT_DryMill_CCS_Fermentation_Exhaust</c:v>
                </c:pt>
                <c:pt idx="13">
                  <c:v>NCEN_DryMill_CCS_Fermentation</c:v>
                </c:pt>
                <c:pt idx="14">
                  <c:v>SE_DryMill_CCS_Fermentation</c:v>
                </c:pt>
                <c:pt idx="15">
                  <c:v>NE_DryMill_CCS_Fermentation_Exhaust</c:v>
                </c:pt>
                <c:pt idx="16">
                  <c:v>MIDAT_DryMill_CCS_Fermentation</c:v>
                </c:pt>
                <c:pt idx="17">
                  <c:v>NE_DryMill_CCS_Fermentation</c:v>
                </c:pt>
                <c:pt idx="18">
                  <c:v>TX_DryMill_Existing_Non_CCS</c:v>
                </c:pt>
                <c:pt idx="19">
                  <c:v>CEN_DryMill_Existing_Non_CCS</c:v>
                </c:pt>
                <c:pt idx="20">
                  <c:v>NW_DryMill_Existing_Non_CCS</c:v>
                </c:pt>
                <c:pt idx="21">
                  <c:v>NCEN_DryMill_Existing_Non_CCS</c:v>
                </c:pt>
                <c:pt idx="22">
                  <c:v>SW_DryMill_Existing_Non_CCS</c:v>
                </c:pt>
                <c:pt idx="23">
                  <c:v>SE_DryMill_Existing_Non_CCS</c:v>
                </c:pt>
                <c:pt idx="24">
                  <c:v>CA_DryMill_Existing_Non_CCS</c:v>
                </c:pt>
                <c:pt idx="25">
                  <c:v>MIDAT_DryMill_Existing_Non_CCS</c:v>
                </c:pt>
                <c:pt idx="26">
                  <c:v>NE_DryMill_Existing_Non_CCS</c:v>
                </c:pt>
                <c:pt idx="27">
                  <c:v>CEN_Bio_Ethanol_CCS_86_Agri</c:v>
                </c:pt>
                <c:pt idx="28">
                  <c:v>NCEN_Bio_Ethanol_CCS_86_Agri</c:v>
                </c:pt>
                <c:pt idx="29">
                  <c:v>CEN_Bio_Ethanol_CCS_86_Herb</c:v>
                </c:pt>
                <c:pt idx="30">
                  <c:v>SE_Bio_Ethanol_CCS_20_Agri</c:v>
                </c:pt>
                <c:pt idx="31">
                  <c:v>NCEN_Bio_Ethanol_CCS_20_Agri</c:v>
                </c:pt>
                <c:pt idx="32">
                  <c:v>MIDAT_Bio_Ethanol_CCS_20_Agri</c:v>
                </c:pt>
                <c:pt idx="33">
                  <c:v>NCEN_Bio_Ethanol_CCS_86_Herb</c:v>
                </c:pt>
                <c:pt idx="34">
                  <c:v>TX_Bio_Ethanol_CCS_86_Agri</c:v>
                </c:pt>
                <c:pt idx="35">
                  <c:v>SE_Bio_Ethanol_CCS_20_Herb</c:v>
                </c:pt>
                <c:pt idx="36">
                  <c:v>SE_Bio_Ethanol_CCS_86_Agri</c:v>
                </c:pt>
                <c:pt idx="37">
                  <c:v>CEN_Bio_Ethanol_CCS_86_Wood</c:v>
                </c:pt>
                <c:pt idx="38">
                  <c:v>MIDAT_Bio_Ethanol_Agri</c:v>
                </c:pt>
                <c:pt idx="39">
                  <c:v>SE_Bio_Ethanol_Agri</c:v>
                </c:pt>
                <c:pt idx="40">
                  <c:v>MIDAT_Bio_Ethanol_CCS_20_Herb</c:v>
                </c:pt>
                <c:pt idx="41">
                  <c:v>NCEN_Bio_Ethanol_CCS_86_Wood</c:v>
                </c:pt>
                <c:pt idx="42">
                  <c:v>NCEN_Bio_Ethanol_CCS_20_Herb</c:v>
                </c:pt>
                <c:pt idx="43">
                  <c:v>SE_Bio_Ethanol_CCS_86_Herb</c:v>
                </c:pt>
                <c:pt idx="44">
                  <c:v>MIDAT_Bio_Ethanol_CCS_20_Wood</c:v>
                </c:pt>
                <c:pt idx="45">
                  <c:v>SE_Bio_Ethanol_Herb</c:v>
                </c:pt>
                <c:pt idx="46">
                  <c:v>MIDAT_Bio_Ethanol_Herb</c:v>
                </c:pt>
                <c:pt idx="47">
                  <c:v>CEN_Bio_Ethanol_CCS_20_Agri</c:v>
                </c:pt>
                <c:pt idx="48">
                  <c:v>MIDAT_Bio_Ethanol_Wood</c:v>
                </c:pt>
                <c:pt idx="49">
                  <c:v>NCEN_Bio_Ethanol_Agri</c:v>
                </c:pt>
                <c:pt idx="50">
                  <c:v>SE_Bio_Ethanol_CCS_20_Wood</c:v>
                </c:pt>
                <c:pt idx="51">
                  <c:v>SE_Bio_Ethanol_CCS_86_Wood</c:v>
                </c:pt>
                <c:pt idx="52">
                  <c:v>MIDAT_Bio_Ethanol_CCS_86_Agri</c:v>
                </c:pt>
                <c:pt idx="53">
                  <c:v>CEN_Bio_Ethanol_CCS_20_Herb</c:v>
                </c:pt>
                <c:pt idx="54">
                  <c:v>NCEN_Bio_Ethanol_CCS_20_Wood</c:v>
                </c:pt>
                <c:pt idx="55">
                  <c:v>MIDAT_Bio_Ethanol_CCS_86_Wood</c:v>
                </c:pt>
                <c:pt idx="56">
                  <c:v>MIDAT_Bio_Ethanol_CCS_86_Herb</c:v>
                </c:pt>
                <c:pt idx="57">
                  <c:v>NCEN_Bio_Ethanol_Herb</c:v>
                </c:pt>
                <c:pt idx="58">
                  <c:v>TX_Bio_Ethanol_CCS_86_Herb</c:v>
                </c:pt>
                <c:pt idx="59">
                  <c:v>SE_Bio_Ethanol_Wood</c:v>
                </c:pt>
                <c:pt idx="60">
                  <c:v>NCEN_Bio_Ethanol_Wood</c:v>
                </c:pt>
                <c:pt idx="61">
                  <c:v>CEN_Bio_Ethanol_CCS_20_Wood</c:v>
                </c:pt>
                <c:pt idx="62">
                  <c:v>CEN_Bio_Ethanol_Agri</c:v>
                </c:pt>
                <c:pt idx="63">
                  <c:v>TX_Bio_Ethanol_CCS_86_Wood</c:v>
                </c:pt>
                <c:pt idx="64">
                  <c:v>CEN_Bio_Ethanol_Herb</c:v>
                </c:pt>
                <c:pt idx="65">
                  <c:v>TX_Bio_Ethanol_CCS_20_Agri</c:v>
                </c:pt>
                <c:pt idx="66">
                  <c:v>CEN_Bio_Ethanol_Wood</c:v>
                </c:pt>
                <c:pt idx="67">
                  <c:v>TX_Bio_Ethanol_CCS_20_Herb</c:v>
                </c:pt>
                <c:pt idx="68">
                  <c:v>TX_Bio_Ethanol_Agri</c:v>
                </c:pt>
                <c:pt idx="69">
                  <c:v>TX_Bio_Ethanol_CCS_20_Wood</c:v>
                </c:pt>
                <c:pt idx="70">
                  <c:v>TX_Bio_Ethanol_Herb</c:v>
                </c:pt>
                <c:pt idx="71">
                  <c:v>TX_Bio_Ethanol_Wood</c:v>
                </c:pt>
              </c:strCache>
            </c:strRef>
          </c:cat>
          <c:val>
            <c:numRef>
              <c:f>lc_summary!$T$3:$T$74</c:f>
              <c:numCache>
                <c:formatCode>General</c:formatCode>
                <c:ptCount val="72"/>
                <c:pt idx="0">
                  <c:v>1.8459716853700829</c:v>
                </c:pt>
                <c:pt idx="1">
                  <c:v>1.8459716853700829</c:v>
                </c:pt>
                <c:pt idx="2">
                  <c:v>1.8459716853700829</c:v>
                </c:pt>
                <c:pt idx="3">
                  <c:v>1.8459716853700829</c:v>
                </c:pt>
                <c:pt idx="4">
                  <c:v>1.8459716853700829</c:v>
                </c:pt>
                <c:pt idx="5">
                  <c:v>1.1219173819252375</c:v>
                </c:pt>
                <c:pt idx="6">
                  <c:v>1.1219173819252375</c:v>
                </c:pt>
                <c:pt idx="7">
                  <c:v>1.1219173819252375</c:v>
                </c:pt>
                <c:pt idx="8">
                  <c:v>1.1219173819252375</c:v>
                </c:pt>
                <c:pt idx="9">
                  <c:v>1.8459716853700829</c:v>
                </c:pt>
                <c:pt idx="10">
                  <c:v>1.1219173819252375</c:v>
                </c:pt>
                <c:pt idx="11">
                  <c:v>1.8459716853700829</c:v>
                </c:pt>
                <c:pt idx="12">
                  <c:v>1.8459716853700829</c:v>
                </c:pt>
                <c:pt idx="13">
                  <c:v>1.1219173819252375</c:v>
                </c:pt>
                <c:pt idx="14">
                  <c:v>1.1219173819252375</c:v>
                </c:pt>
                <c:pt idx="15">
                  <c:v>1.8459716853700829</c:v>
                </c:pt>
                <c:pt idx="16">
                  <c:v>1.1219173819252375</c:v>
                </c:pt>
                <c:pt idx="17">
                  <c:v>1.1219173819252375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35.292665333437341</c:v>
                </c:pt>
                <c:pt idx="28">
                  <c:v>35.028462210951822</c:v>
                </c:pt>
                <c:pt idx="29">
                  <c:v>33.240683481624224</c:v>
                </c:pt>
                <c:pt idx="30">
                  <c:v>19.813046815154298</c:v>
                </c:pt>
                <c:pt idx="31">
                  <c:v>19.733100356011654</c:v>
                </c:pt>
                <c:pt idx="32">
                  <c:v>19.756176325172991</c:v>
                </c:pt>
                <c:pt idx="33">
                  <c:v>33.042574535146869</c:v>
                </c:pt>
                <c:pt idx="34">
                  <c:v>36.527576444650514</c:v>
                </c:pt>
                <c:pt idx="35">
                  <c:v>18.757150906155914</c:v>
                </c:pt>
                <c:pt idx="36">
                  <c:v>35.170376125767767</c:v>
                </c:pt>
                <c:pt idx="37">
                  <c:v>31.777337720030705</c:v>
                </c:pt>
                <c:pt idx="38">
                  <c:v>18.41498814617082</c:v>
                </c:pt>
                <c:pt idx="39">
                  <c:v>18.467997867365622</c:v>
                </c:pt>
                <c:pt idx="40">
                  <c:v>18.654534491341071</c:v>
                </c:pt>
                <c:pt idx="41">
                  <c:v>31.794182725809723</c:v>
                </c:pt>
                <c:pt idx="42">
                  <c:v>18.614360955851129</c:v>
                </c:pt>
                <c:pt idx="43">
                  <c:v>33.296042681972118</c:v>
                </c:pt>
                <c:pt idx="44">
                  <c:v>17.957817326447284</c:v>
                </c:pt>
                <c:pt idx="45">
                  <c:v>17.483783597976871</c:v>
                </c:pt>
                <c:pt idx="46">
                  <c:v>17.388133507022271</c:v>
                </c:pt>
                <c:pt idx="47">
                  <c:v>19.881937798517143</c:v>
                </c:pt>
                <c:pt idx="48">
                  <c:v>16.738714402759417</c:v>
                </c:pt>
                <c:pt idx="49">
                  <c:v>18.393478736071767</c:v>
                </c:pt>
                <c:pt idx="50">
                  <c:v>17.836306037310653</c:v>
                </c:pt>
                <c:pt idx="51">
                  <c:v>31.661439953127818</c:v>
                </c:pt>
                <c:pt idx="52">
                  <c:v>35.069424639519347</c:v>
                </c:pt>
                <c:pt idx="53">
                  <c:v>18.725964591166843</c:v>
                </c:pt>
                <c:pt idx="54">
                  <c:v>17.911085981662545</c:v>
                </c:pt>
                <c:pt idx="55">
                  <c:v>31.877136094278278</c:v>
                </c:pt>
                <c:pt idx="56">
                  <c:v>33.113887057984215</c:v>
                </c:pt>
                <c:pt idx="57">
                  <c:v>17.350687233631078</c:v>
                </c:pt>
                <c:pt idx="58">
                  <c:v>33.387029287145261</c:v>
                </c:pt>
                <c:pt idx="59">
                  <c:v>16.625452154425169</c:v>
                </c:pt>
                <c:pt idx="60">
                  <c:v>16.695155510284405</c:v>
                </c:pt>
                <c:pt idx="61">
                  <c:v>17.901596436060082</c:v>
                </c:pt>
                <c:pt idx="62">
                  <c:v>18.5322120463203</c:v>
                </c:pt>
                <c:pt idx="63">
                  <c:v>32.063035707016454</c:v>
                </c:pt>
                <c:pt idx="64">
                  <c:v>17.45471442935871</c:v>
                </c:pt>
                <c:pt idx="65">
                  <c:v>20.577618492164735</c:v>
                </c:pt>
                <c:pt idx="66">
                  <c:v>16.686310181770139</c:v>
                </c:pt>
                <c:pt idx="67">
                  <c:v>18.808407732679495</c:v>
                </c:pt>
                <c:pt idx="68">
                  <c:v>19.18066504229386</c:v>
                </c:pt>
                <c:pt idx="69">
                  <c:v>18.062542897676021</c:v>
                </c:pt>
                <c:pt idx="70">
                  <c:v>17.531560750666046</c:v>
                </c:pt>
                <c:pt idx="71">
                  <c:v>16.836330465758454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5E-6C4E-9AA9-AF1999467EE7}"/>
            </c:ext>
          </c:extLst>
        </c:ser>
        <c:ser>
          <c:idx val="5"/>
          <c:order val="5"/>
          <c:tx>
            <c:strRef>
              <c:f>lc_summary!$U$2</c:f>
              <c:strCache>
                <c:ptCount val="1"/>
                <c:pt idx="0">
                  <c:v>fixed_om_cost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strRef>
              <c:f>lc_summary!$O$3:$O$74</c:f>
              <c:strCache>
                <c:ptCount val="72"/>
                <c:pt idx="0">
                  <c:v>NW_DryMill_CCS_Fermentation_Exhaust</c:v>
                </c:pt>
                <c:pt idx="1">
                  <c:v>CA_DryMill_CCS_Fermentation_Exhaust</c:v>
                </c:pt>
                <c:pt idx="2">
                  <c:v>SW_DryMill_CCS_Fermentation_Exhaust</c:v>
                </c:pt>
                <c:pt idx="3">
                  <c:v>TX_DryMill_CCS_Fermentation_Exhaust</c:v>
                </c:pt>
                <c:pt idx="4">
                  <c:v>CEN_DryMill_CCS_Fermentation_Exhaust</c:v>
                </c:pt>
                <c:pt idx="5">
                  <c:v>NW_DryMill_CCS_Fermentation</c:v>
                </c:pt>
                <c:pt idx="6">
                  <c:v>CA_DryMill_CCS_Fermentation</c:v>
                </c:pt>
                <c:pt idx="7">
                  <c:v>SW_DryMill_CCS_Fermentation</c:v>
                </c:pt>
                <c:pt idx="8">
                  <c:v>TX_DryMill_CCS_Fermentation</c:v>
                </c:pt>
                <c:pt idx="9">
                  <c:v>NCEN_DryMill_CCS_Fermentation_Exhaust</c:v>
                </c:pt>
                <c:pt idx="10">
                  <c:v>CEN_DryMill_CCS_Fermentation</c:v>
                </c:pt>
                <c:pt idx="11">
                  <c:v>SE_DryMill_CCS_Fermentation_Exhaust</c:v>
                </c:pt>
                <c:pt idx="12">
                  <c:v>MIDAT_DryMill_CCS_Fermentation_Exhaust</c:v>
                </c:pt>
                <c:pt idx="13">
                  <c:v>NCEN_DryMill_CCS_Fermentation</c:v>
                </c:pt>
                <c:pt idx="14">
                  <c:v>SE_DryMill_CCS_Fermentation</c:v>
                </c:pt>
                <c:pt idx="15">
                  <c:v>NE_DryMill_CCS_Fermentation_Exhaust</c:v>
                </c:pt>
                <c:pt idx="16">
                  <c:v>MIDAT_DryMill_CCS_Fermentation</c:v>
                </c:pt>
                <c:pt idx="17">
                  <c:v>NE_DryMill_CCS_Fermentation</c:v>
                </c:pt>
                <c:pt idx="18">
                  <c:v>TX_DryMill_Existing_Non_CCS</c:v>
                </c:pt>
                <c:pt idx="19">
                  <c:v>CEN_DryMill_Existing_Non_CCS</c:v>
                </c:pt>
                <c:pt idx="20">
                  <c:v>NW_DryMill_Existing_Non_CCS</c:v>
                </c:pt>
                <c:pt idx="21">
                  <c:v>NCEN_DryMill_Existing_Non_CCS</c:v>
                </c:pt>
                <c:pt idx="22">
                  <c:v>SW_DryMill_Existing_Non_CCS</c:v>
                </c:pt>
                <c:pt idx="23">
                  <c:v>SE_DryMill_Existing_Non_CCS</c:v>
                </c:pt>
                <c:pt idx="24">
                  <c:v>CA_DryMill_Existing_Non_CCS</c:v>
                </c:pt>
                <c:pt idx="25">
                  <c:v>MIDAT_DryMill_Existing_Non_CCS</c:v>
                </c:pt>
                <c:pt idx="26">
                  <c:v>NE_DryMill_Existing_Non_CCS</c:v>
                </c:pt>
                <c:pt idx="27">
                  <c:v>CEN_Bio_Ethanol_CCS_86_Agri</c:v>
                </c:pt>
                <c:pt idx="28">
                  <c:v>NCEN_Bio_Ethanol_CCS_86_Agri</c:v>
                </c:pt>
                <c:pt idx="29">
                  <c:v>CEN_Bio_Ethanol_CCS_86_Herb</c:v>
                </c:pt>
                <c:pt idx="30">
                  <c:v>SE_Bio_Ethanol_CCS_20_Agri</c:v>
                </c:pt>
                <c:pt idx="31">
                  <c:v>NCEN_Bio_Ethanol_CCS_20_Agri</c:v>
                </c:pt>
                <c:pt idx="32">
                  <c:v>MIDAT_Bio_Ethanol_CCS_20_Agri</c:v>
                </c:pt>
                <c:pt idx="33">
                  <c:v>NCEN_Bio_Ethanol_CCS_86_Herb</c:v>
                </c:pt>
                <c:pt idx="34">
                  <c:v>TX_Bio_Ethanol_CCS_86_Agri</c:v>
                </c:pt>
                <c:pt idx="35">
                  <c:v>SE_Bio_Ethanol_CCS_20_Herb</c:v>
                </c:pt>
                <c:pt idx="36">
                  <c:v>SE_Bio_Ethanol_CCS_86_Agri</c:v>
                </c:pt>
                <c:pt idx="37">
                  <c:v>CEN_Bio_Ethanol_CCS_86_Wood</c:v>
                </c:pt>
                <c:pt idx="38">
                  <c:v>MIDAT_Bio_Ethanol_Agri</c:v>
                </c:pt>
                <c:pt idx="39">
                  <c:v>SE_Bio_Ethanol_Agri</c:v>
                </c:pt>
                <c:pt idx="40">
                  <c:v>MIDAT_Bio_Ethanol_CCS_20_Herb</c:v>
                </c:pt>
                <c:pt idx="41">
                  <c:v>NCEN_Bio_Ethanol_CCS_86_Wood</c:v>
                </c:pt>
                <c:pt idx="42">
                  <c:v>NCEN_Bio_Ethanol_CCS_20_Herb</c:v>
                </c:pt>
                <c:pt idx="43">
                  <c:v>SE_Bio_Ethanol_CCS_86_Herb</c:v>
                </c:pt>
                <c:pt idx="44">
                  <c:v>MIDAT_Bio_Ethanol_CCS_20_Wood</c:v>
                </c:pt>
                <c:pt idx="45">
                  <c:v>SE_Bio_Ethanol_Herb</c:v>
                </c:pt>
                <c:pt idx="46">
                  <c:v>MIDAT_Bio_Ethanol_Herb</c:v>
                </c:pt>
                <c:pt idx="47">
                  <c:v>CEN_Bio_Ethanol_CCS_20_Agri</c:v>
                </c:pt>
                <c:pt idx="48">
                  <c:v>MIDAT_Bio_Ethanol_Wood</c:v>
                </c:pt>
                <c:pt idx="49">
                  <c:v>NCEN_Bio_Ethanol_Agri</c:v>
                </c:pt>
                <c:pt idx="50">
                  <c:v>SE_Bio_Ethanol_CCS_20_Wood</c:v>
                </c:pt>
                <c:pt idx="51">
                  <c:v>SE_Bio_Ethanol_CCS_86_Wood</c:v>
                </c:pt>
                <c:pt idx="52">
                  <c:v>MIDAT_Bio_Ethanol_CCS_86_Agri</c:v>
                </c:pt>
                <c:pt idx="53">
                  <c:v>CEN_Bio_Ethanol_CCS_20_Herb</c:v>
                </c:pt>
                <c:pt idx="54">
                  <c:v>NCEN_Bio_Ethanol_CCS_20_Wood</c:v>
                </c:pt>
                <c:pt idx="55">
                  <c:v>MIDAT_Bio_Ethanol_CCS_86_Wood</c:v>
                </c:pt>
                <c:pt idx="56">
                  <c:v>MIDAT_Bio_Ethanol_CCS_86_Herb</c:v>
                </c:pt>
                <c:pt idx="57">
                  <c:v>NCEN_Bio_Ethanol_Herb</c:v>
                </c:pt>
                <c:pt idx="58">
                  <c:v>TX_Bio_Ethanol_CCS_86_Herb</c:v>
                </c:pt>
                <c:pt idx="59">
                  <c:v>SE_Bio_Ethanol_Wood</c:v>
                </c:pt>
                <c:pt idx="60">
                  <c:v>NCEN_Bio_Ethanol_Wood</c:v>
                </c:pt>
                <c:pt idx="61">
                  <c:v>CEN_Bio_Ethanol_CCS_20_Wood</c:v>
                </c:pt>
                <c:pt idx="62">
                  <c:v>CEN_Bio_Ethanol_Agri</c:v>
                </c:pt>
                <c:pt idx="63">
                  <c:v>TX_Bio_Ethanol_CCS_86_Wood</c:v>
                </c:pt>
                <c:pt idx="64">
                  <c:v>CEN_Bio_Ethanol_Herb</c:v>
                </c:pt>
                <c:pt idx="65">
                  <c:v>TX_Bio_Ethanol_CCS_20_Agri</c:v>
                </c:pt>
                <c:pt idx="66">
                  <c:v>CEN_Bio_Ethanol_Wood</c:v>
                </c:pt>
                <c:pt idx="67">
                  <c:v>TX_Bio_Ethanol_CCS_20_Herb</c:v>
                </c:pt>
                <c:pt idx="68">
                  <c:v>TX_Bio_Ethanol_Agri</c:v>
                </c:pt>
                <c:pt idx="69">
                  <c:v>TX_Bio_Ethanol_CCS_20_Wood</c:v>
                </c:pt>
                <c:pt idx="70">
                  <c:v>TX_Bio_Ethanol_Herb</c:v>
                </c:pt>
                <c:pt idx="71">
                  <c:v>TX_Bio_Ethanol_Wood</c:v>
                </c:pt>
              </c:strCache>
            </c:strRef>
          </c:cat>
          <c:val>
            <c:numRef>
              <c:f>lc_summary!$U$3:$U$74</c:f>
              <c:numCache>
                <c:formatCode>General</c:formatCode>
                <c:ptCount val="72"/>
                <c:pt idx="0">
                  <c:v>8.2322589053372308</c:v>
                </c:pt>
                <c:pt idx="1">
                  <c:v>8.2322589053372308</c:v>
                </c:pt>
                <c:pt idx="2">
                  <c:v>8.2322589053372308</c:v>
                </c:pt>
                <c:pt idx="3">
                  <c:v>8.2322589053372308</c:v>
                </c:pt>
                <c:pt idx="4">
                  <c:v>8.2322589053372308</c:v>
                </c:pt>
                <c:pt idx="5">
                  <c:v>7.8355578478551591</c:v>
                </c:pt>
                <c:pt idx="6">
                  <c:v>7.8355578478551591</c:v>
                </c:pt>
                <c:pt idx="7">
                  <c:v>7.8355578478551591</c:v>
                </c:pt>
                <c:pt idx="8">
                  <c:v>7.8355578478551591</c:v>
                </c:pt>
                <c:pt idx="9">
                  <c:v>8.2322589053372308</c:v>
                </c:pt>
                <c:pt idx="10">
                  <c:v>7.8355578478551591</c:v>
                </c:pt>
                <c:pt idx="11">
                  <c:v>8.2322589053372308</c:v>
                </c:pt>
                <c:pt idx="12">
                  <c:v>8.2322589053372308</c:v>
                </c:pt>
                <c:pt idx="13">
                  <c:v>7.8355578478551591</c:v>
                </c:pt>
                <c:pt idx="14">
                  <c:v>7.8355578478551591</c:v>
                </c:pt>
                <c:pt idx="15">
                  <c:v>8.2322589053372308</c:v>
                </c:pt>
                <c:pt idx="16">
                  <c:v>7.8355578478551591</c:v>
                </c:pt>
                <c:pt idx="17">
                  <c:v>7.8355578478551591</c:v>
                </c:pt>
                <c:pt idx="18">
                  <c:v>7.2208724377810398</c:v>
                </c:pt>
                <c:pt idx="19">
                  <c:v>7.2208724377810398</c:v>
                </c:pt>
                <c:pt idx="20">
                  <c:v>7.2208724377810398</c:v>
                </c:pt>
                <c:pt idx="21">
                  <c:v>7.2208724377810398</c:v>
                </c:pt>
                <c:pt idx="22">
                  <c:v>7.2208724377810398</c:v>
                </c:pt>
                <c:pt idx="23">
                  <c:v>7.2208724377810398</c:v>
                </c:pt>
                <c:pt idx="24">
                  <c:v>7.2208724377810398</c:v>
                </c:pt>
                <c:pt idx="25">
                  <c:v>7.2208724377810398</c:v>
                </c:pt>
                <c:pt idx="26">
                  <c:v>7.2208724377810398</c:v>
                </c:pt>
                <c:pt idx="27">
                  <c:v>18.94822877590039</c:v>
                </c:pt>
                <c:pt idx="28">
                  <c:v>18.806381138130178</c:v>
                </c:pt>
                <c:pt idx="29">
                  <c:v>17.846543164887237</c:v>
                </c:pt>
                <c:pt idx="30">
                  <c:v>10.476988295744883</c:v>
                </c:pt>
                <c:pt idx="31">
                  <c:v>10.434713216876997</c:v>
                </c:pt>
                <c:pt idx="32">
                  <c:v>10.446915613664926</c:v>
                </c:pt>
                <c:pt idx="33">
                  <c:v>17.740180735046923</c:v>
                </c:pt>
                <c:pt idx="34">
                  <c:v>19.611238441849292</c:v>
                </c:pt>
                <c:pt idx="35">
                  <c:v>9.9186385788482578</c:v>
                </c:pt>
                <c:pt idx="36">
                  <c:v>18.88257309753622</c:v>
                </c:pt>
                <c:pt idx="37">
                  <c:v>17.06088954516337</c:v>
                </c:pt>
                <c:pt idx="38">
                  <c:v>9.7128382273309022</c:v>
                </c:pt>
                <c:pt idx="39">
                  <c:v>9.7407977808399302</c:v>
                </c:pt>
                <c:pt idx="40">
                  <c:v>9.8643758000340416</c:v>
                </c:pt>
                <c:pt idx="41">
                  <c:v>17.069933436300992</c:v>
                </c:pt>
                <c:pt idx="42">
                  <c:v>9.8431323403554991</c:v>
                </c:pt>
                <c:pt idx="43">
                  <c:v>17.876264887039209</c:v>
                </c:pt>
                <c:pt idx="44">
                  <c:v>9.4959570681682486</c:v>
                </c:pt>
                <c:pt idx="45">
                  <c:v>9.2216818355173462</c:v>
                </c:pt>
                <c:pt idx="46">
                  <c:v>9.1712319599867627</c:v>
                </c:pt>
                <c:pt idx="47">
                  <c:v>10.513417323198794</c:v>
                </c:pt>
                <c:pt idx="48">
                  <c:v>8.8287010470491492</c:v>
                </c:pt>
                <c:pt idx="49">
                  <c:v>9.7014932609915725</c:v>
                </c:pt>
                <c:pt idx="50">
                  <c:v>9.4317028236816505</c:v>
                </c:pt>
                <c:pt idx="51">
                  <c:v>16.998665358320466</c:v>
                </c:pt>
                <c:pt idx="52">
                  <c:v>18.828373398005734</c:v>
                </c:pt>
                <c:pt idx="53">
                  <c:v>9.9021474929402586</c:v>
                </c:pt>
                <c:pt idx="54">
                  <c:v>9.4712458888669584</c:v>
                </c:pt>
                <c:pt idx="55">
                  <c:v>17.114470152035651</c:v>
                </c:pt>
                <c:pt idx="56">
                  <c:v>17.778467613766406</c:v>
                </c:pt>
                <c:pt idx="57">
                  <c:v>9.1514812225560309</c:v>
                </c:pt>
                <c:pt idx="58">
                  <c:v>17.925114555775615</c:v>
                </c:pt>
                <c:pt idx="59">
                  <c:v>8.7689617799585484</c:v>
                </c:pt>
                <c:pt idx="60">
                  <c:v>8.8057262575671658</c:v>
                </c:pt>
                <c:pt idx="61">
                  <c:v>9.4662278894074863</c:v>
                </c:pt>
                <c:pt idx="62">
                  <c:v>9.7746670359888874</c:v>
                </c:pt>
                <c:pt idx="63">
                  <c:v>17.214277530090971</c:v>
                </c:pt>
                <c:pt idx="64">
                  <c:v>9.2063495350048488</c:v>
                </c:pt>
                <c:pt idx="65">
                  <c:v>10.881287976961479</c:v>
                </c:pt>
                <c:pt idx="66">
                  <c:v>8.8010608597811508</c:v>
                </c:pt>
                <c:pt idx="67">
                  <c:v>9.945742798435214</c:v>
                </c:pt>
                <c:pt idx="68">
                  <c:v>10.11668838283558</c:v>
                </c:pt>
                <c:pt idx="69">
                  <c:v>9.551335152834632</c:v>
                </c:pt>
                <c:pt idx="70">
                  <c:v>9.2468815126145572</c:v>
                </c:pt>
                <c:pt idx="71">
                  <c:v>8.8801878588120839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C5E-6C4E-9AA9-AF1999467EE7}"/>
            </c:ext>
          </c:extLst>
        </c:ser>
        <c:ser>
          <c:idx val="6"/>
          <c:order val="6"/>
          <c:tx>
            <c:strRef>
              <c:f>lc_summary!$V$2</c:f>
              <c:strCache>
                <c:ptCount val="1"/>
                <c:pt idx="0">
                  <c:v>variable_om_cost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lc_summary!$O$3:$O$74</c:f>
              <c:strCache>
                <c:ptCount val="72"/>
                <c:pt idx="0">
                  <c:v>NW_DryMill_CCS_Fermentation_Exhaust</c:v>
                </c:pt>
                <c:pt idx="1">
                  <c:v>CA_DryMill_CCS_Fermentation_Exhaust</c:v>
                </c:pt>
                <c:pt idx="2">
                  <c:v>SW_DryMill_CCS_Fermentation_Exhaust</c:v>
                </c:pt>
                <c:pt idx="3">
                  <c:v>TX_DryMill_CCS_Fermentation_Exhaust</c:v>
                </c:pt>
                <c:pt idx="4">
                  <c:v>CEN_DryMill_CCS_Fermentation_Exhaust</c:v>
                </c:pt>
                <c:pt idx="5">
                  <c:v>NW_DryMill_CCS_Fermentation</c:v>
                </c:pt>
                <c:pt idx="6">
                  <c:v>CA_DryMill_CCS_Fermentation</c:v>
                </c:pt>
                <c:pt idx="7">
                  <c:v>SW_DryMill_CCS_Fermentation</c:v>
                </c:pt>
                <c:pt idx="8">
                  <c:v>TX_DryMill_CCS_Fermentation</c:v>
                </c:pt>
                <c:pt idx="9">
                  <c:v>NCEN_DryMill_CCS_Fermentation_Exhaust</c:v>
                </c:pt>
                <c:pt idx="10">
                  <c:v>CEN_DryMill_CCS_Fermentation</c:v>
                </c:pt>
                <c:pt idx="11">
                  <c:v>SE_DryMill_CCS_Fermentation_Exhaust</c:v>
                </c:pt>
                <c:pt idx="12">
                  <c:v>MIDAT_DryMill_CCS_Fermentation_Exhaust</c:v>
                </c:pt>
                <c:pt idx="13">
                  <c:v>NCEN_DryMill_CCS_Fermentation</c:v>
                </c:pt>
                <c:pt idx="14">
                  <c:v>SE_DryMill_CCS_Fermentation</c:v>
                </c:pt>
                <c:pt idx="15">
                  <c:v>NE_DryMill_CCS_Fermentation_Exhaust</c:v>
                </c:pt>
                <c:pt idx="16">
                  <c:v>MIDAT_DryMill_CCS_Fermentation</c:v>
                </c:pt>
                <c:pt idx="17">
                  <c:v>NE_DryMill_CCS_Fermentation</c:v>
                </c:pt>
                <c:pt idx="18">
                  <c:v>TX_DryMill_Existing_Non_CCS</c:v>
                </c:pt>
                <c:pt idx="19">
                  <c:v>CEN_DryMill_Existing_Non_CCS</c:v>
                </c:pt>
                <c:pt idx="20">
                  <c:v>NW_DryMill_Existing_Non_CCS</c:v>
                </c:pt>
                <c:pt idx="21">
                  <c:v>NCEN_DryMill_Existing_Non_CCS</c:v>
                </c:pt>
                <c:pt idx="22">
                  <c:v>SW_DryMill_Existing_Non_CCS</c:v>
                </c:pt>
                <c:pt idx="23">
                  <c:v>SE_DryMill_Existing_Non_CCS</c:v>
                </c:pt>
                <c:pt idx="24">
                  <c:v>CA_DryMill_Existing_Non_CCS</c:v>
                </c:pt>
                <c:pt idx="25">
                  <c:v>MIDAT_DryMill_Existing_Non_CCS</c:v>
                </c:pt>
                <c:pt idx="26">
                  <c:v>NE_DryMill_Existing_Non_CCS</c:v>
                </c:pt>
                <c:pt idx="27">
                  <c:v>CEN_Bio_Ethanol_CCS_86_Agri</c:v>
                </c:pt>
                <c:pt idx="28">
                  <c:v>NCEN_Bio_Ethanol_CCS_86_Agri</c:v>
                </c:pt>
                <c:pt idx="29">
                  <c:v>CEN_Bio_Ethanol_CCS_86_Herb</c:v>
                </c:pt>
                <c:pt idx="30">
                  <c:v>SE_Bio_Ethanol_CCS_20_Agri</c:v>
                </c:pt>
                <c:pt idx="31">
                  <c:v>NCEN_Bio_Ethanol_CCS_20_Agri</c:v>
                </c:pt>
                <c:pt idx="32">
                  <c:v>MIDAT_Bio_Ethanol_CCS_20_Agri</c:v>
                </c:pt>
                <c:pt idx="33">
                  <c:v>NCEN_Bio_Ethanol_CCS_86_Herb</c:v>
                </c:pt>
                <c:pt idx="34">
                  <c:v>TX_Bio_Ethanol_CCS_86_Agri</c:v>
                </c:pt>
                <c:pt idx="35">
                  <c:v>SE_Bio_Ethanol_CCS_20_Herb</c:v>
                </c:pt>
                <c:pt idx="36">
                  <c:v>SE_Bio_Ethanol_CCS_86_Agri</c:v>
                </c:pt>
                <c:pt idx="37">
                  <c:v>CEN_Bio_Ethanol_CCS_86_Wood</c:v>
                </c:pt>
                <c:pt idx="38">
                  <c:v>MIDAT_Bio_Ethanol_Agri</c:v>
                </c:pt>
                <c:pt idx="39">
                  <c:v>SE_Bio_Ethanol_Agri</c:v>
                </c:pt>
                <c:pt idx="40">
                  <c:v>MIDAT_Bio_Ethanol_CCS_20_Herb</c:v>
                </c:pt>
                <c:pt idx="41">
                  <c:v>NCEN_Bio_Ethanol_CCS_86_Wood</c:v>
                </c:pt>
                <c:pt idx="42">
                  <c:v>NCEN_Bio_Ethanol_CCS_20_Herb</c:v>
                </c:pt>
                <c:pt idx="43">
                  <c:v>SE_Bio_Ethanol_CCS_86_Herb</c:v>
                </c:pt>
                <c:pt idx="44">
                  <c:v>MIDAT_Bio_Ethanol_CCS_20_Wood</c:v>
                </c:pt>
                <c:pt idx="45">
                  <c:v>SE_Bio_Ethanol_Herb</c:v>
                </c:pt>
                <c:pt idx="46">
                  <c:v>MIDAT_Bio_Ethanol_Herb</c:v>
                </c:pt>
                <c:pt idx="47">
                  <c:v>CEN_Bio_Ethanol_CCS_20_Agri</c:v>
                </c:pt>
                <c:pt idx="48">
                  <c:v>MIDAT_Bio_Ethanol_Wood</c:v>
                </c:pt>
                <c:pt idx="49">
                  <c:v>NCEN_Bio_Ethanol_Agri</c:v>
                </c:pt>
                <c:pt idx="50">
                  <c:v>SE_Bio_Ethanol_CCS_20_Wood</c:v>
                </c:pt>
                <c:pt idx="51">
                  <c:v>SE_Bio_Ethanol_CCS_86_Wood</c:v>
                </c:pt>
                <c:pt idx="52">
                  <c:v>MIDAT_Bio_Ethanol_CCS_86_Agri</c:v>
                </c:pt>
                <c:pt idx="53">
                  <c:v>CEN_Bio_Ethanol_CCS_20_Herb</c:v>
                </c:pt>
                <c:pt idx="54">
                  <c:v>NCEN_Bio_Ethanol_CCS_20_Wood</c:v>
                </c:pt>
                <c:pt idx="55">
                  <c:v>MIDAT_Bio_Ethanol_CCS_86_Wood</c:v>
                </c:pt>
                <c:pt idx="56">
                  <c:v>MIDAT_Bio_Ethanol_CCS_86_Herb</c:v>
                </c:pt>
                <c:pt idx="57">
                  <c:v>NCEN_Bio_Ethanol_Herb</c:v>
                </c:pt>
                <c:pt idx="58">
                  <c:v>TX_Bio_Ethanol_CCS_86_Herb</c:v>
                </c:pt>
                <c:pt idx="59">
                  <c:v>SE_Bio_Ethanol_Wood</c:v>
                </c:pt>
                <c:pt idx="60">
                  <c:v>NCEN_Bio_Ethanol_Wood</c:v>
                </c:pt>
                <c:pt idx="61">
                  <c:v>CEN_Bio_Ethanol_CCS_20_Wood</c:v>
                </c:pt>
                <c:pt idx="62">
                  <c:v>CEN_Bio_Ethanol_Agri</c:v>
                </c:pt>
                <c:pt idx="63">
                  <c:v>TX_Bio_Ethanol_CCS_86_Wood</c:v>
                </c:pt>
                <c:pt idx="64">
                  <c:v>CEN_Bio_Ethanol_Herb</c:v>
                </c:pt>
                <c:pt idx="65">
                  <c:v>TX_Bio_Ethanol_CCS_20_Agri</c:v>
                </c:pt>
                <c:pt idx="66">
                  <c:v>CEN_Bio_Ethanol_Wood</c:v>
                </c:pt>
                <c:pt idx="67">
                  <c:v>TX_Bio_Ethanol_CCS_20_Herb</c:v>
                </c:pt>
                <c:pt idx="68">
                  <c:v>TX_Bio_Ethanol_Agri</c:v>
                </c:pt>
                <c:pt idx="69">
                  <c:v>TX_Bio_Ethanol_CCS_20_Wood</c:v>
                </c:pt>
                <c:pt idx="70">
                  <c:v>TX_Bio_Ethanol_Herb</c:v>
                </c:pt>
                <c:pt idx="71">
                  <c:v>TX_Bio_Ethanol_Wood</c:v>
                </c:pt>
              </c:strCache>
            </c:strRef>
          </c:cat>
          <c:val>
            <c:numRef>
              <c:f>lc_summary!$V$3:$V$74</c:f>
              <c:numCache>
                <c:formatCode>General</c:formatCode>
                <c:ptCount val="72"/>
                <c:pt idx="0">
                  <c:v>-8.1434431562275815</c:v>
                </c:pt>
                <c:pt idx="1">
                  <c:v>-8.1434431562275815</c:v>
                </c:pt>
                <c:pt idx="2">
                  <c:v>-8.1434431562275815</c:v>
                </c:pt>
                <c:pt idx="3">
                  <c:v>-8.1434431562275815</c:v>
                </c:pt>
                <c:pt idx="4">
                  <c:v>-8.1434431562275815</c:v>
                </c:pt>
                <c:pt idx="5">
                  <c:v>-8.1724348446793407</c:v>
                </c:pt>
                <c:pt idx="6">
                  <c:v>-8.1724348446793407</c:v>
                </c:pt>
                <c:pt idx="7">
                  <c:v>-8.1724348446793407</c:v>
                </c:pt>
                <c:pt idx="8">
                  <c:v>-8.1724348446793407</c:v>
                </c:pt>
                <c:pt idx="9">
                  <c:v>-8.1434431562275815</c:v>
                </c:pt>
                <c:pt idx="10">
                  <c:v>-8.1724348446793407</c:v>
                </c:pt>
                <c:pt idx="11">
                  <c:v>-8.1434431562275815</c:v>
                </c:pt>
                <c:pt idx="12">
                  <c:v>-8.1434431562275815</c:v>
                </c:pt>
                <c:pt idx="13">
                  <c:v>-8.1724348446793407</c:v>
                </c:pt>
                <c:pt idx="14">
                  <c:v>-8.1724348446793407</c:v>
                </c:pt>
                <c:pt idx="15">
                  <c:v>-8.1434431562275815</c:v>
                </c:pt>
                <c:pt idx="16">
                  <c:v>-8.1724348446793407</c:v>
                </c:pt>
                <c:pt idx="17">
                  <c:v>-8.1724348446793407</c:v>
                </c:pt>
                <c:pt idx="18">
                  <c:v>-8.1853200395467898</c:v>
                </c:pt>
                <c:pt idx="19">
                  <c:v>-8.1853200395467898</c:v>
                </c:pt>
                <c:pt idx="20">
                  <c:v>-8.1853200395467898</c:v>
                </c:pt>
                <c:pt idx="21">
                  <c:v>-8.1853200395467898</c:v>
                </c:pt>
                <c:pt idx="22">
                  <c:v>-8.1853200395467898</c:v>
                </c:pt>
                <c:pt idx="23">
                  <c:v>-8.1853200395467898</c:v>
                </c:pt>
                <c:pt idx="24">
                  <c:v>-8.1853200395467898</c:v>
                </c:pt>
                <c:pt idx="25">
                  <c:v>-8.1853200395467898</c:v>
                </c:pt>
                <c:pt idx="26">
                  <c:v>-8.1853200395467898</c:v>
                </c:pt>
                <c:pt idx="27">
                  <c:v>0.89333475981598376</c:v>
                </c:pt>
                <c:pt idx="28">
                  <c:v>0.88664719936288827</c:v>
                </c:pt>
                <c:pt idx="29">
                  <c:v>0.8413945989520355</c:v>
                </c:pt>
                <c:pt idx="30">
                  <c:v>0.25587717895410206</c:v>
                </c:pt>
                <c:pt idx="31">
                  <c:v>0.25484470400849479</c:v>
                </c:pt>
                <c:pt idx="32">
                  <c:v>0.2551427204592569</c:v>
                </c:pt>
                <c:pt idx="33">
                  <c:v>0.83638002704462366</c:v>
                </c:pt>
                <c:pt idx="34">
                  <c:v>0.92459306832023025</c:v>
                </c:pt>
                <c:pt idx="35">
                  <c:v>0.24224072672218017</c:v>
                </c:pt>
                <c:pt idx="36">
                  <c:v>0.89023935177781333</c:v>
                </c:pt>
                <c:pt idx="37">
                  <c:v>0.8043541084673923</c:v>
                </c:pt>
                <c:pt idx="38">
                  <c:v>0.23919630043055334</c:v>
                </c:pt>
                <c:pt idx="39">
                  <c:v>0.23988485526947068</c:v>
                </c:pt>
                <c:pt idx="40">
                  <c:v>0.24091547881951414</c:v>
                </c:pt>
                <c:pt idx="41">
                  <c:v>0.80478049250638517</c:v>
                </c:pt>
                <c:pt idx="42">
                  <c:v>0.24039665447989184</c:v>
                </c:pt>
                <c:pt idx="43">
                  <c:v>0.84279586172091847</c:v>
                </c:pt>
                <c:pt idx="44">
                  <c:v>0.23191766922742424</c:v>
                </c:pt>
                <c:pt idx="45">
                  <c:v>0.22710068130204392</c:v>
                </c:pt>
                <c:pt idx="46">
                  <c:v>0.22585826139329454</c:v>
                </c:pt>
                <c:pt idx="47">
                  <c:v>0.25676687707285761</c:v>
                </c:pt>
                <c:pt idx="48">
                  <c:v>0.21742281490071025</c:v>
                </c:pt>
                <c:pt idx="49">
                  <c:v>0.23891691000796392</c:v>
                </c:pt>
                <c:pt idx="50">
                  <c:v>0.23034840195796139</c:v>
                </c:pt>
                <c:pt idx="51">
                  <c:v>0.80142048181207404</c:v>
                </c:pt>
                <c:pt idx="52">
                  <c:v>0.88768404826449798</c:v>
                </c:pt>
                <c:pt idx="53">
                  <c:v>0.2418379685610641</c:v>
                </c:pt>
                <c:pt idx="54">
                  <c:v>0.23131415353476942</c:v>
                </c:pt>
                <c:pt idx="55">
                  <c:v>0.80688022418708016</c:v>
                </c:pt>
                <c:pt idx="56">
                  <c:v>0.83818510339289298</c:v>
                </c:pt>
                <c:pt idx="57">
                  <c:v>0.22537186357489861</c:v>
                </c:pt>
                <c:pt idx="58">
                  <c:v>0.84509893224027122</c:v>
                </c:pt>
                <c:pt idx="59">
                  <c:v>0.21595162683558883</c:v>
                </c:pt>
                <c:pt idx="60">
                  <c:v>0.21685701893884632</c:v>
                </c:pt>
                <c:pt idx="61">
                  <c:v>0.23119160003853192</c:v>
                </c:pt>
                <c:pt idx="62">
                  <c:v>0.24071894725580401</c:v>
                </c:pt>
                <c:pt idx="63">
                  <c:v>0.81158575108130426</c:v>
                </c:pt>
                <c:pt idx="64">
                  <c:v>0.22672309552599759</c:v>
                </c:pt>
                <c:pt idx="65">
                  <c:v>0.26575130107407818</c:v>
                </c:pt>
                <c:pt idx="66">
                  <c:v>0.2167421250361237</c:v>
                </c:pt>
                <c:pt idx="67">
                  <c:v>0.24290268711097615</c:v>
                </c:pt>
                <c:pt idx="68">
                  <c:v>0.24914184475694828</c:v>
                </c:pt>
                <c:pt idx="69">
                  <c:v>0.23327015599941681</c:v>
                </c:pt>
                <c:pt idx="70">
                  <c:v>0.22772126916654017</c:v>
                </c:pt>
                <c:pt idx="71">
                  <c:v>0.21869077124945327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5E-6C4E-9AA9-AF1999467EE7}"/>
            </c:ext>
          </c:extLst>
        </c:ser>
        <c:ser>
          <c:idx val="7"/>
          <c:order val="7"/>
          <c:tx>
            <c:strRef>
              <c:f>lc_summary!$W$2</c:f>
              <c:strCache>
                <c:ptCount val="1"/>
                <c:pt idx="0">
                  <c:v>modified capture cost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lc_summary!$O$3:$O$74</c:f>
              <c:strCache>
                <c:ptCount val="72"/>
                <c:pt idx="0">
                  <c:v>NW_DryMill_CCS_Fermentation_Exhaust</c:v>
                </c:pt>
                <c:pt idx="1">
                  <c:v>CA_DryMill_CCS_Fermentation_Exhaust</c:v>
                </c:pt>
                <c:pt idx="2">
                  <c:v>SW_DryMill_CCS_Fermentation_Exhaust</c:v>
                </c:pt>
                <c:pt idx="3">
                  <c:v>TX_DryMill_CCS_Fermentation_Exhaust</c:v>
                </c:pt>
                <c:pt idx="4">
                  <c:v>CEN_DryMill_CCS_Fermentation_Exhaust</c:v>
                </c:pt>
                <c:pt idx="5">
                  <c:v>NW_DryMill_CCS_Fermentation</c:v>
                </c:pt>
                <c:pt idx="6">
                  <c:v>CA_DryMill_CCS_Fermentation</c:v>
                </c:pt>
                <c:pt idx="7">
                  <c:v>SW_DryMill_CCS_Fermentation</c:v>
                </c:pt>
                <c:pt idx="8">
                  <c:v>TX_DryMill_CCS_Fermentation</c:v>
                </c:pt>
                <c:pt idx="9">
                  <c:v>NCEN_DryMill_CCS_Fermentation_Exhaust</c:v>
                </c:pt>
                <c:pt idx="10">
                  <c:v>CEN_DryMill_CCS_Fermentation</c:v>
                </c:pt>
                <c:pt idx="11">
                  <c:v>SE_DryMill_CCS_Fermentation_Exhaust</c:v>
                </c:pt>
                <c:pt idx="12">
                  <c:v>MIDAT_DryMill_CCS_Fermentation_Exhaust</c:v>
                </c:pt>
                <c:pt idx="13">
                  <c:v>NCEN_DryMill_CCS_Fermentation</c:v>
                </c:pt>
                <c:pt idx="14">
                  <c:v>SE_DryMill_CCS_Fermentation</c:v>
                </c:pt>
                <c:pt idx="15">
                  <c:v>NE_DryMill_CCS_Fermentation_Exhaust</c:v>
                </c:pt>
                <c:pt idx="16">
                  <c:v>MIDAT_DryMill_CCS_Fermentation</c:v>
                </c:pt>
                <c:pt idx="17">
                  <c:v>NE_DryMill_CCS_Fermentation</c:v>
                </c:pt>
                <c:pt idx="18">
                  <c:v>TX_DryMill_Existing_Non_CCS</c:v>
                </c:pt>
                <c:pt idx="19">
                  <c:v>CEN_DryMill_Existing_Non_CCS</c:v>
                </c:pt>
                <c:pt idx="20">
                  <c:v>NW_DryMill_Existing_Non_CCS</c:v>
                </c:pt>
                <c:pt idx="21">
                  <c:v>NCEN_DryMill_Existing_Non_CCS</c:v>
                </c:pt>
                <c:pt idx="22">
                  <c:v>SW_DryMill_Existing_Non_CCS</c:v>
                </c:pt>
                <c:pt idx="23">
                  <c:v>SE_DryMill_Existing_Non_CCS</c:v>
                </c:pt>
                <c:pt idx="24">
                  <c:v>CA_DryMill_Existing_Non_CCS</c:v>
                </c:pt>
                <c:pt idx="25">
                  <c:v>MIDAT_DryMill_Existing_Non_CCS</c:v>
                </c:pt>
                <c:pt idx="26">
                  <c:v>NE_DryMill_Existing_Non_CCS</c:v>
                </c:pt>
                <c:pt idx="27">
                  <c:v>CEN_Bio_Ethanol_CCS_86_Agri</c:v>
                </c:pt>
                <c:pt idx="28">
                  <c:v>NCEN_Bio_Ethanol_CCS_86_Agri</c:v>
                </c:pt>
                <c:pt idx="29">
                  <c:v>CEN_Bio_Ethanol_CCS_86_Herb</c:v>
                </c:pt>
                <c:pt idx="30">
                  <c:v>SE_Bio_Ethanol_CCS_20_Agri</c:v>
                </c:pt>
                <c:pt idx="31">
                  <c:v>NCEN_Bio_Ethanol_CCS_20_Agri</c:v>
                </c:pt>
                <c:pt idx="32">
                  <c:v>MIDAT_Bio_Ethanol_CCS_20_Agri</c:v>
                </c:pt>
                <c:pt idx="33">
                  <c:v>NCEN_Bio_Ethanol_CCS_86_Herb</c:v>
                </c:pt>
                <c:pt idx="34">
                  <c:v>TX_Bio_Ethanol_CCS_86_Agri</c:v>
                </c:pt>
                <c:pt idx="35">
                  <c:v>SE_Bio_Ethanol_CCS_20_Herb</c:v>
                </c:pt>
                <c:pt idx="36">
                  <c:v>SE_Bio_Ethanol_CCS_86_Agri</c:v>
                </c:pt>
                <c:pt idx="37">
                  <c:v>CEN_Bio_Ethanol_CCS_86_Wood</c:v>
                </c:pt>
                <c:pt idx="38">
                  <c:v>MIDAT_Bio_Ethanol_Agri</c:v>
                </c:pt>
                <c:pt idx="39">
                  <c:v>SE_Bio_Ethanol_Agri</c:v>
                </c:pt>
                <c:pt idx="40">
                  <c:v>MIDAT_Bio_Ethanol_CCS_20_Herb</c:v>
                </c:pt>
                <c:pt idx="41">
                  <c:v>NCEN_Bio_Ethanol_CCS_86_Wood</c:v>
                </c:pt>
                <c:pt idx="42">
                  <c:v>NCEN_Bio_Ethanol_CCS_20_Herb</c:v>
                </c:pt>
                <c:pt idx="43">
                  <c:v>SE_Bio_Ethanol_CCS_86_Herb</c:v>
                </c:pt>
                <c:pt idx="44">
                  <c:v>MIDAT_Bio_Ethanol_CCS_20_Wood</c:v>
                </c:pt>
                <c:pt idx="45">
                  <c:v>SE_Bio_Ethanol_Herb</c:v>
                </c:pt>
                <c:pt idx="46">
                  <c:v>MIDAT_Bio_Ethanol_Herb</c:v>
                </c:pt>
                <c:pt idx="47">
                  <c:v>CEN_Bio_Ethanol_CCS_20_Agri</c:v>
                </c:pt>
                <c:pt idx="48">
                  <c:v>MIDAT_Bio_Ethanol_Wood</c:v>
                </c:pt>
                <c:pt idx="49">
                  <c:v>NCEN_Bio_Ethanol_Agri</c:v>
                </c:pt>
                <c:pt idx="50">
                  <c:v>SE_Bio_Ethanol_CCS_20_Wood</c:v>
                </c:pt>
                <c:pt idx="51">
                  <c:v>SE_Bio_Ethanol_CCS_86_Wood</c:v>
                </c:pt>
                <c:pt idx="52">
                  <c:v>MIDAT_Bio_Ethanol_CCS_86_Agri</c:v>
                </c:pt>
                <c:pt idx="53">
                  <c:v>CEN_Bio_Ethanol_CCS_20_Herb</c:v>
                </c:pt>
                <c:pt idx="54">
                  <c:v>NCEN_Bio_Ethanol_CCS_20_Wood</c:v>
                </c:pt>
                <c:pt idx="55">
                  <c:v>MIDAT_Bio_Ethanol_CCS_86_Wood</c:v>
                </c:pt>
                <c:pt idx="56">
                  <c:v>MIDAT_Bio_Ethanol_CCS_86_Herb</c:v>
                </c:pt>
                <c:pt idx="57">
                  <c:v>NCEN_Bio_Ethanol_Herb</c:v>
                </c:pt>
                <c:pt idx="58">
                  <c:v>TX_Bio_Ethanol_CCS_86_Herb</c:v>
                </c:pt>
                <c:pt idx="59">
                  <c:v>SE_Bio_Ethanol_Wood</c:v>
                </c:pt>
                <c:pt idx="60">
                  <c:v>NCEN_Bio_Ethanol_Wood</c:v>
                </c:pt>
                <c:pt idx="61">
                  <c:v>CEN_Bio_Ethanol_CCS_20_Wood</c:v>
                </c:pt>
                <c:pt idx="62">
                  <c:v>CEN_Bio_Ethanol_Agri</c:v>
                </c:pt>
                <c:pt idx="63">
                  <c:v>TX_Bio_Ethanol_CCS_86_Wood</c:v>
                </c:pt>
                <c:pt idx="64">
                  <c:v>CEN_Bio_Ethanol_Herb</c:v>
                </c:pt>
                <c:pt idx="65">
                  <c:v>TX_Bio_Ethanol_CCS_20_Agri</c:v>
                </c:pt>
                <c:pt idx="66">
                  <c:v>CEN_Bio_Ethanol_Wood</c:v>
                </c:pt>
                <c:pt idx="67">
                  <c:v>TX_Bio_Ethanol_CCS_20_Herb</c:v>
                </c:pt>
                <c:pt idx="68">
                  <c:v>TX_Bio_Ethanol_Agri</c:v>
                </c:pt>
                <c:pt idx="69">
                  <c:v>TX_Bio_Ethanol_CCS_20_Wood</c:v>
                </c:pt>
                <c:pt idx="70">
                  <c:v>TX_Bio_Ethanol_Herb</c:v>
                </c:pt>
                <c:pt idx="71">
                  <c:v>TX_Bio_Ethanol_Wood</c:v>
                </c:pt>
              </c:strCache>
            </c:strRef>
          </c:cat>
          <c:val>
            <c:numRef>
              <c:f>lc_summary!$W$3:$W$74</c:f>
              <c:numCache>
                <c:formatCode>General</c:formatCode>
                <c:ptCount val="72"/>
                <c:pt idx="0">
                  <c:v>-17.034878992536783</c:v>
                </c:pt>
                <c:pt idx="1">
                  <c:v>-17.179688041247246</c:v>
                </c:pt>
                <c:pt idx="2">
                  <c:v>-15.518125188800894</c:v>
                </c:pt>
                <c:pt idx="3">
                  <c:v>-14.711074674431483</c:v>
                </c:pt>
                <c:pt idx="4">
                  <c:v>-13.03375026154472</c:v>
                </c:pt>
                <c:pt idx="5">
                  <c:v>-11.933483503451379</c:v>
                </c:pt>
                <c:pt idx="6">
                  <c:v>-12.03492692401773</c:v>
                </c:pt>
                <c:pt idx="7">
                  <c:v>-10.870948424475515</c:v>
                </c:pt>
                <c:pt idx="8">
                  <c:v>-10.305583445722291</c:v>
                </c:pt>
                <c:pt idx="9">
                  <c:v>-11.386813416117223</c:v>
                </c:pt>
                <c:pt idx="10">
                  <c:v>-9.1305634634911339</c:v>
                </c:pt>
                <c:pt idx="11">
                  <c:v>-10.407067332120389</c:v>
                </c:pt>
                <c:pt idx="12">
                  <c:v>-9.3775205527974688</c:v>
                </c:pt>
                <c:pt idx="13">
                  <c:v>-7.9768309547515157</c:v>
                </c:pt>
                <c:pt idx="14">
                  <c:v>-7.2904871459067548</c:v>
                </c:pt>
                <c:pt idx="15">
                  <c:v>-7.9982598336656334</c:v>
                </c:pt>
                <c:pt idx="16">
                  <c:v>-6.5692563398373789</c:v>
                </c:pt>
                <c:pt idx="17">
                  <c:v>-5.6030396120326609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-46.392597519116201</c:v>
                </c:pt>
                <c:pt idx="28">
                  <c:v>-40.440621719575375</c:v>
                </c:pt>
                <c:pt idx="29">
                  <c:v>-43.571780876079742</c:v>
                </c:pt>
                <c:pt idx="30">
                  <c:v>-8.678663002113586</c:v>
                </c:pt>
                <c:pt idx="31">
                  <c:v>-9.602185198830286</c:v>
                </c:pt>
                <c:pt idx="32">
                  <c:v>-7.9077553420561451</c:v>
                </c:pt>
                <c:pt idx="33">
                  <c:v>-38.264936583296063</c:v>
                </c:pt>
                <c:pt idx="34">
                  <c:v>-51.955630936249911</c:v>
                </c:pt>
                <c:pt idx="35">
                  <c:v>-8.2401474332341351</c:v>
                </c:pt>
                <c:pt idx="36">
                  <c:v>-36.551110005970749</c:v>
                </c:pt>
                <c:pt idx="37">
                  <c:v>-43.560036718188982</c:v>
                </c:pt>
                <c:pt idx="38">
                  <c:v>0</c:v>
                </c:pt>
                <c:pt idx="39">
                  <c:v>0</c:v>
                </c:pt>
                <c:pt idx="40">
                  <c:v>-7.4809611216726379</c:v>
                </c:pt>
                <c:pt idx="41">
                  <c:v>-38.083204626126594</c:v>
                </c:pt>
                <c:pt idx="42">
                  <c:v>-9.0855924580519272</c:v>
                </c:pt>
                <c:pt idx="43">
                  <c:v>-34.704255162829575</c:v>
                </c:pt>
                <c:pt idx="44">
                  <c:v>-7.4958913894623533</c:v>
                </c:pt>
                <c:pt idx="45">
                  <c:v>0</c:v>
                </c:pt>
                <c:pt idx="46">
                  <c:v>0</c:v>
                </c:pt>
                <c:pt idx="47">
                  <c:v>-11.015417030982915</c:v>
                </c:pt>
                <c:pt idx="48">
                  <c:v>0</c:v>
                </c:pt>
                <c:pt idx="49">
                  <c:v>0</c:v>
                </c:pt>
                <c:pt idx="50">
                  <c:v>-8.3355413900113255</c:v>
                </c:pt>
                <c:pt idx="51">
                  <c:v>-35.106016932726483</c:v>
                </c:pt>
                <c:pt idx="52">
                  <c:v>-33.304350605318547</c:v>
                </c:pt>
                <c:pt idx="53">
                  <c:v>-10.34564483988755</c:v>
                </c:pt>
                <c:pt idx="54">
                  <c:v>-9.0424421840183715</c:v>
                </c:pt>
                <c:pt idx="55">
                  <c:v>-31.569741871797778</c:v>
                </c:pt>
                <c:pt idx="56">
                  <c:v>-31.506861464957733</c:v>
                </c:pt>
                <c:pt idx="57">
                  <c:v>0</c:v>
                </c:pt>
                <c:pt idx="58">
                  <c:v>-49.122670796019086</c:v>
                </c:pt>
                <c:pt idx="59">
                  <c:v>0</c:v>
                </c:pt>
                <c:pt idx="60">
                  <c:v>0</c:v>
                </c:pt>
                <c:pt idx="61">
                  <c:v>-10.342856317499015</c:v>
                </c:pt>
                <c:pt idx="62">
                  <c:v>0</c:v>
                </c:pt>
                <c:pt idx="63">
                  <c:v>-50.479704512191475</c:v>
                </c:pt>
                <c:pt idx="64">
                  <c:v>0</c:v>
                </c:pt>
                <c:pt idx="65">
                  <c:v>-12.336298730305126</c:v>
                </c:pt>
                <c:pt idx="66">
                  <c:v>0</c:v>
                </c:pt>
                <c:pt idx="67">
                  <c:v>-11.66364319805268</c:v>
                </c:pt>
                <c:pt idx="68">
                  <c:v>0</c:v>
                </c:pt>
                <c:pt idx="69">
                  <c:v>-11.985856074850195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C5E-6C4E-9AA9-AF1999467EE7}"/>
            </c:ext>
          </c:extLst>
        </c:ser>
        <c:ser>
          <c:idx val="8"/>
          <c:order val="8"/>
          <c:tx>
            <c:strRef>
              <c:f>lc_summary!$X$2</c:f>
              <c:strCache>
                <c:ptCount val="1"/>
                <c:pt idx="0">
                  <c:v>modified emissions cost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lc_summary!$O$3:$O$74</c:f>
              <c:strCache>
                <c:ptCount val="72"/>
                <c:pt idx="0">
                  <c:v>NW_DryMill_CCS_Fermentation_Exhaust</c:v>
                </c:pt>
                <c:pt idx="1">
                  <c:v>CA_DryMill_CCS_Fermentation_Exhaust</c:v>
                </c:pt>
                <c:pt idx="2">
                  <c:v>SW_DryMill_CCS_Fermentation_Exhaust</c:v>
                </c:pt>
                <c:pt idx="3">
                  <c:v>TX_DryMill_CCS_Fermentation_Exhaust</c:v>
                </c:pt>
                <c:pt idx="4">
                  <c:v>CEN_DryMill_CCS_Fermentation_Exhaust</c:v>
                </c:pt>
                <c:pt idx="5">
                  <c:v>NW_DryMill_CCS_Fermentation</c:v>
                </c:pt>
                <c:pt idx="6">
                  <c:v>CA_DryMill_CCS_Fermentation</c:v>
                </c:pt>
                <c:pt idx="7">
                  <c:v>SW_DryMill_CCS_Fermentation</c:v>
                </c:pt>
                <c:pt idx="8">
                  <c:v>TX_DryMill_CCS_Fermentation</c:v>
                </c:pt>
                <c:pt idx="9">
                  <c:v>NCEN_DryMill_CCS_Fermentation_Exhaust</c:v>
                </c:pt>
                <c:pt idx="10">
                  <c:v>CEN_DryMill_CCS_Fermentation</c:v>
                </c:pt>
                <c:pt idx="11">
                  <c:v>SE_DryMill_CCS_Fermentation_Exhaust</c:v>
                </c:pt>
                <c:pt idx="12">
                  <c:v>MIDAT_DryMill_CCS_Fermentation_Exhaust</c:v>
                </c:pt>
                <c:pt idx="13">
                  <c:v>NCEN_DryMill_CCS_Fermentation</c:v>
                </c:pt>
                <c:pt idx="14">
                  <c:v>SE_DryMill_CCS_Fermentation</c:v>
                </c:pt>
                <c:pt idx="15">
                  <c:v>NE_DryMill_CCS_Fermentation_Exhaust</c:v>
                </c:pt>
                <c:pt idx="16">
                  <c:v>MIDAT_DryMill_CCS_Fermentation</c:v>
                </c:pt>
                <c:pt idx="17">
                  <c:v>NE_DryMill_CCS_Fermentation</c:v>
                </c:pt>
                <c:pt idx="18">
                  <c:v>TX_DryMill_Existing_Non_CCS</c:v>
                </c:pt>
                <c:pt idx="19">
                  <c:v>CEN_DryMill_Existing_Non_CCS</c:v>
                </c:pt>
                <c:pt idx="20">
                  <c:v>NW_DryMill_Existing_Non_CCS</c:v>
                </c:pt>
                <c:pt idx="21">
                  <c:v>NCEN_DryMill_Existing_Non_CCS</c:v>
                </c:pt>
                <c:pt idx="22">
                  <c:v>SW_DryMill_Existing_Non_CCS</c:v>
                </c:pt>
                <c:pt idx="23">
                  <c:v>SE_DryMill_Existing_Non_CCS</c:v>
                </c:pt>
                <c:pt idx="24">
                  <c:v>CA_DryMill_Existing_Non_CCS</c:v>
                </c:pt>
                <c:pt idx="25">
                  <c:v>MIDAT_DryMill_Existing_Non_CCS</c:v>
                </c:pt>
                <c:pt idx="26">
                  <c:v>NE_DryMill_Existing_Non_CCS</c:v>
                </c:pt>
                <c:pt idx="27">
                  <c:v>CEN_Bio_Ethanol_CCS_86_Agri</c:v>
                </c:pt>
                <c:pt idx="28">
                  <c:v>NCEN_Bio_Ethanol_CCS_86_Agri</c:v>
                </c:pt>
                <c:pt idx="29">
                  <c:v>CEN_Bio_Ethanol_CCS_86_Herb</c:v>
                </c:pt>
                <c:pt idx="30">
                  <c:v>SE_Bio_Ethanol_CCS_20_Agri</c:v>
                </c:pt>
                <c:pt idx="31">
                  <c:v>NCEN_Bio_Ethanol_CCS_20_Agri</c:v>
                </c:pt>
                <c:pt idx="32">
                  <c:v>MIDAT_Bio_Ethanol_CCS_20_Agri</c:v>
                </c:pt>
                <c:pt idx="33">
                  <c:v>NCEN_Bio_Ethanol_CCS_86_Herb</c:v>
                </c:pt>
                <c:pt idx="34">
                  <c:v>TX_Bio_Ethanol_CCS_86_Agri</c:v>
                </c:pt>
                <c:pt idx="35">
                  <c:v>SE_Bio_Ethanol_CCS_20_Herb</c:v>
                </c:pt>
                <c:pt idx="36">
                  <c:v>SE_Bio_Ethanol_CCS_86_Agri</c:v>
                </c:pt>
                <c:pt idx="37">
                  <c:v>CEN_Bio_Ethanol_CCS_86_Wood</c:v>
                </c:pt>
                <c:pt idx="38">
                  <c:v>MIDAT_Bio_Ethanol_Agri</c:v>
                </c:pt>
                <c:pt idx="39">
                  <c:v>SE_Bio_Ethanol_Agri</c:v>
                </c:pt>
                <c:pt idx="40">
                  <c:v>MIDAT_Bio_Ethanol_CCS_20_Herb</c:v>
                </c:pt>
                <c:pt idx="41">
                  <c:v>NCEN_Bio_Ethanol_CCS_86_Wood</c:v>
                </c:pt>
                <c:pt idx="42">
                  <c:v>NCEN_Bio_Ethanol_CCS_20_Herb</c:v>
                </c:pt>
                <c:pt idx="43">
                  <c:v>SE_Bio_Ethanol_CCS_86_Herb</c:v>
                </c:pt>
                <c:pt idx="44">
                  <c:v>MIDAT_Bio_Ethanol_CCS_20_Wood</c:v>
                </c:pt>
                <c:pt idx="45">
                  <c:v>SE_Bio_Ethanol_Herb</c:v>
                </c:pt>
                <c:pt idx="46">
                  <c:v>MIDAT_Bio_Ethanol_Herb</c:v>
                </c:pt>
                <c:pt idx="47">
                  <c:v>CEN_Bio_Ethanol_CCS_20_Agri</c:v>
                </c:pt>
                <c:pt idx="48">
                  <c:v>MIDAT_Bio_Ethanol_Wood</c:v>
                </c:pt>
                <c:pt idx="49">
                  <c:v>NCEN_Bio_Ethanol_Agri</c:v>
                </c:pt>
                <c:pt idx="50">
                  <c:v>SE_Bio_Ethanol_CCS_20_Wood</c:v>
                </c:pt>
                <c:pt idx="51">
                  <c:v>SE_Bio_Ethanol_CCS_86_Wood</c:v>
                </c:pt>
                <c:pt idx="52">
                  <c:v>MIDAT_Bio_Ethanol_CCS_86_Agri</c:v>
                </c:pt>
                <c:pt idx="53">
                  <c:v>CEN_Bio_Ethanol_CCS_20_Herb</c:v>
                </c:pt>
                <c:pt idx="54">
                  <c:v>NCEN_Bio_Ethanol_CCS_20_Wood</c:v>
                </c:pt>
                <c:pt idx="55">
                  <c:v>MIDAT_Bio_Ethanol_CCS_86_Wood</c:v>
                </c:pt>
                <c:pt idx="56">
                  <c:v>MIDAT_Bio_Ethanol_CCS_86_Herb</c:v>
                </c:pt>
                <c:pt idx="57">
                  <c:v>NCEN_Bio_Ethanol_Herb</c:v>
                </c:pt>
                <c:pt idx="58">
                  <c:v>TX_Bio_Ethanol_CCS_86_Herb</c:v>
                </c:pt>
                <c:pt idx="59">
                  <c:v>SE_Bio_Ethanol_Wood</c:v>
                </c:pt>
                <c:pt idx="60">
                  <c:v>NCEN_Bio_Ethanol_Wood</c:v>
                </c:pt>
                <c:pt idx="61">
                  <c:v>CEN_Bio_Ethanol_CCS_20_Wood</c:v>
                </c:pt>
                <c:pt idx="62">
                  <c:v>CEN_Bio_Ethanol_Agri</c:v>
                </c:pt>
                <c:pt idx="63">
                  <c:v>TX_Bio_Ethanol_CCS_86_Wood</c:v>
                </c:pt>
                <c:pt idx="64">
                  <c:v>CEN_Bio_Ethanol_Herb</c:v>
                </c:pt>
                <c:pt idx="65">
                  <c:v>TX_Bio_Ethanol_CCS_20_Agri</c:v>
                </c:pt>
                <c:pt idx="66">
                  <c:v>CEN_Bio_Ethanol_Wood</c:v>
                </c:pt>
                <c:pt idx="67">
                  <c:v>TX_Bio_Ethanol_CCS_20_Herb</c:v>
                </c:pt>
                <c:pt idx="68">
                  <c:v>TX_Bio_Ethanol_Agri</c:v>
                </c:pt>
                <c:pt idx="69">
                  <c:v>TX_Bio_Ethanol_CCS_20_Wood</c:v>
                </c:pt>
                <c:pt idx="70">
                  <c:v>TX_Bio_Ethanol_Herb</c:v>
                </c:pt>
                <c:pt idx="71">
                  <c:v>TX_Bio_Ethanol_Wood</c:v>
                </c:pt>
              </c:strCache>
            </c:strRef>
          </c:cat>
          <c:val>
            <c:numRef>
              <c:f>lc_summary!$X$3:$X$74</c:f>
              <c:numCache>
                <c:formatCode>General</c:formatCode>
                <c:ptCount val="72"/>
                <c:pt idx="0">
                  <c:v>6.623714419066479</c:v>
                </c:pt>
                <c:pt idx="1">
                  <c:v>6.623714419066479</c:v>
                </c:pt>
                <c:pt idx="2">
                  <c:v>6.623714419066479</c:v>
                </c:pt>
                <c:pt idx="3">
                  <c:v>6.623714419066479</c:v>
                </c:pt>
                <c:pt idx="4">
                  <c:v>6.623714419066479</c:v>
                </c:pt>
                <c:pt idx="5">
                  <c:v>6.623714419066479</c:v>
                </c:pt>
                <c:pt idx="6">
                  <c:v>6.623714419066479</c:v>
                </c:pt>
                <c:pt idx="7">
                  <c:v>6.623714419066479</c:v>
                </c:pt>
                <c:pt idx="8">
                  <c:v>6.623714419066479</c:v>
                </c:pt>
                <c:pt idx="9">
                  <c:v>6.623714419066479</c:v>
                </c:pt>
                <c:pt idx="10">
                  <c:v>6.623714419066479</c:v>
                </c:pt>
                <c:pt idx="11">
                  <c:v>6.623714419066479</c:v>
                </c:pt>
                <c:pt idx="12">
                  <c:v>6.623714419066479</c:v>
                </c:pt>
                <c:pt idx="13">
                  <c:v>6.623714419066479</c:v>
                </c:pt>
                <c:pt idx="14">
                  <c:v>6.623714419066479</c:v>
                </c:pt>
                <c:pt idx="15">
                  <c:v>6.623714419066479</c:v>
                </c:pt>
                <c:pt idx="16">
                  <c:v>6.623714419066479</c:v>
                </c:pt>
                <c:pt idx="17">
                  <c:v>6.623714419066479</c:v>
                </c:pt>
                <c:pt idx="18">
                  <c:v>6.623714419066479</c:v>
                </c:pt>
                <c:pt idx="19">
                  <c:v>6.623714419066479</c:v>
                </c:pt>
                <c:pt idx="20">
                  <c:v>6.623714419066479</c:v>
                </c:pt>
                <c:pt idx="21">
                  <c:v>6.623714419066479</c:v>
                </c:pt>
                <c:pt idx="22">
                  <c:v>6.623714419066479</c:v>
                </c:pt>
                <c:pt idx="23">
                  <c:v>6.623714419066479</c:v>
                </c:pt>
                <c:pt idx="24">
                  <c:v>6.623714419066479</c:v>
                </c:pt>
                <c:pt idx="25">
                  <c:v>6.623714419066479</c:v>
                </c:pt>
                <c:pt idx="26">
                  <c:v>6.623714419066479</c:v>
                </c:pt>
                <c:pt idx="27">
                  <c:v>5.7463897387915856E-4</c:v>
                </c:pt>
                <c:pt idx="28">
                  <c:v>-1.5638237428127077E-4</c:v>
                </c:pt>
                <c:pt idx="29">
                  <c:v>4.6514504074308624E-4</c:v>
                </c:pt>
                <c:pt idx="30">
                  <c:v>1.3107519348156451E-4</c:v>
                </c:pt>
                <c:pt idx="31">
                  <c:v>-1.5638237425663653E-4</c:v>
                </c:pt>
                <c:pt idx="32">
                  <c:v>-4.6264719701112226E-4</c:v>
                </c:pt>
                <c:pt idx="33">
                  <c:v>-5.115382343781784E-4</c:v>
                </c:pt>
                <c:pt idx="34">
                  <c:v>-1.6047210515816873E-4</c:v>
                </c:pt>
                <c:pt idx="35">
                  <c:v>3.0013586781415905E-5</c:v>
                </c:pt>
                <c:pt idx="36">
                  <c:v>1.3107519346924738E-4</c:v>
                </c:pt>
                <c:pt idx="37">
                  <c:v>-2.1686634638995545E-4</c:v>
                </c:pt>
                <c:pt idx="38">
                  <c:v>-4.6263089844779376E-4</c:v>
                </c:pt>
                <c:pt idx="39">
                  <c:v>1.3109149167537951E-4</c:v>
                </c:pt>
                <c:pt idx="40">
                  <c:v>1.9212493449440382E-4</c:v>
                </c:pt>
                <c:pt idx="41">
                  <c:v>-3.5572931102673903E-4</c:v>
                </c:pt>
                <c:pt idx="42">
                  <c:v>-5.1153823440281266E-4</c:v>
                </c:pt>
                <c:pt idx="43">
                  <c:v>3.0013586769098789E-5</c:v>
                </c:pt>
                <c:pt idx="44">
                  <c:v>1.8267779579782362E-4</c:v>
                </c:pt>
                <c:pt idx="45">
                  <c:v>3.0029885073767839E-5</c:v>
                </c:pt>
                <c:pt idx="46">
                  <c:v>1.9214123268821882E-4</c:v>
                </c:pt>
                <c:pt idx="47">
                  <c:v>5.7463897387915856E-4</c:v>
                </c:pt>
                <c:pt idx="48">
                  <c:v>1.8269409396700438E-4</c:v>
                </c:pt>
                <c:pt idx="49">
                  <c:v>-1.5636607587806478E-4</c:v>
                </c:pt>
                <c:pt idx="50">
                  <c:v>-4.7542377666829607E-4</c:v>
                </c:pt>
                <c:pt idx="51">
                  <c:v>-4.7542377663134473E-4</c:v>
                </c:pt>
                <c:pt idx="52">
                  <c:v>-4.6264719698648805E-4</c:v>
                </c:pt>
                <c:pt idx="53">
                  <c:v>4.6514504073076911E-4</c:v>
                </c:pt>
                <c:pt idx="54">
                  <c:v>-3.5572931101442189E-4</c:v>
                </c:pt>
                <c:pt idx="55">
                  <c:v>1.8267779581014073E-4</c:v>
                </c:pt>
                <c:pt idx="56">
                  <c:v>1.9212493449440382E-4</c:v>
                </c:pt>
                <c:pt idx="57">
                  <c:v>-5.1152193576558137E-4</c:v>
                </c:pt>
                <c:pt idx="58">
                  <c:v>5.94976999885926E-4</c:v>
                </c:pt>
                <c:pt idx="59">
                  <c:v>-4.7540747804338196E-4</c:v>
                </c:pt>
                <c:pt idx="60">
                  <c:v>-3.5571301248804474E-4</c:v>
                </c:pt>
                <c:pt idx="61">
                  <c:v>-2.1686634636532121E-4</c:v>
                </c:pt>
                <c:pt idx="62">
                  <c:v>5.7465527182663128E-4</c:v>
                </c:pt>
                <c:pt idx="63">
                  <c:v>-1.1330395503679633E-4</c:v>
                </c:pt>
                <c:pt idx="64">
                  <c:v>4.6516133875214446E-4</c:v>
                </c:pt>
                <c:pt idx="65">
                  <c:v>-1.6047210515816873E-4</c:v>
                </c:pt>
                <c:pt idx="66">
                  <c:v>-2.1685004797443235E-4</c:v>
                </c:pt>
                <c:pt idx="67">
                  <c:v>5.9497699986129173E-4</c:v>
                </c:pt>
                <c:pt idx="68">
                  <c:v>-1.6045580677959698E-4</c:v>
                </c:pt>
                <c:pt idx="69">
                  <c:v>-1.1330395506143057E-4</c:v>
                </c:pt>
                <c:pt idx="70">
                  <c:v>5.9499329775949592E-4</c:v>
                </c:pt>
                <c:pt idx="71">
                  <c:v>-1.1328765668285881E-4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C5E-6C4E-9AA9-AF1999467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2013943488"/>
        <c:axId val="2013934048"/>
      </c:barChart>
      <c:catAx>
        <c:axId val="2013943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934048"/>
        <c:crosses val="autoZero"/>
        <c:auto val="1"/>
        <c:lblAlgn val="ctr"/>
        <c:lblOffset val="100"/>
        <c:noMultiLvlLbl val="0"/>
      </c:catAx>
      <c:valAx>
        <c:axId val="2013934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943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2115592502778697"/>
          <c:y val="0.64383176745676285"/>
          <c:w val="0.1164362853380233"/>
          <c:h val="0.15214643710442341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lc_summary!$O$3:$O$74</c:f>
              <c:strCache>
                <c:ptCount val="72"/>
                <c:pt idx="0">
                  <c:v>NW_DryMill_CCS_Fermentation_Exhaust</c:v>
                </c:pt>
                <c:pt idx="1">
                  <c:v>CA_DryMill_CCS_Fermentation_Exhaust</c:v>
                </c:pt>
                <c:pt idx="2">
                  <c:v>SW_DryMill_CCS_Fermentation_Exhaust</c:v>
                </c:pt>
                <c:pt idx="3">
                  <c:v>TX_DryMill_CCS_Fermentation_Exhaust</c:v>
                </c:pt>
                <c:pt idx="4">
                  <c:v>CEN_DryMill_CCS_Fermentation_Exhaust</c:v>
                </c:pt>
                <c:pt idx="5">
                  <c:v>NW_DryMill_CCS_Fermentation</c:v>
                </c:pt>
                <c:pt idx="6">
                  <c:v>CA_DryMill_CCS_Fermentation</c:v>
                </c:pt>
                <c:pt idx="7">
                  <c:v>SW_DryMill_CCS_Fermentation</c:v>
                </c:pt>
                <c:pt idx="8">
                  <c:v>TX_DryMill_CCS_Fermentation</c:v>
                </c:pt>
                <c:pt idx="9">
                  <c:v>NCEN_DryMill_CCS_Fermentation_Exhaust</c:v>
                </c:pt>
                <c:pt idx="10">
                  <c:v>CEN_DryMill_CCS_Fermentation</c:v>
                </c:pt>
                <c:pt idx="11">
                  <c:v>SE_DryMill_CCS_Fermentation_Exhaust</c:v>
                </c:pt>
                <c:pt idx="12">
                  <c:v>MIDAT_DryMill_CCS_Fermentation_Exhaust</c:v>
                </c:pt>
                <c:pt idx="13">
                  <c:v>NCEN_DryMill_CCS_Fermentation</c:v>
                </c:pt>
                <c:pt idx="14">
                  <c:v>SE_DryMill_CCS_Fermentation</c:v>
                </c:pt>
                <c:pt idx="15">
                  <c:v>NE_DryMill_CCS_Fermentation_Exhaust</c:v>
                </c:pt>
                <c:pt idx="16">
                  <c:v>MIDAT_DryMill_CCS_Fermentation</c:v>
                </c:pt>
                <c:pt idx="17">
                  <c:v>NE_DryMill_CCS_Fermentation</c:v>
                </c:pt>
                <c:pt idx="18">
                  <c:v>TX_DryMill_Existing_Non_CCS</c:v>
                </c:pt>
                <c:pt idx="19">
                  <c:v>CEN_DryMill_Existing_Non_CCS</c:v>
                </c:pt>
                <c:pt idx="20">
                  <c:v>NW_DryMill_Existing_Non_CCS</c:v>
                </c:pt>
                <c:pt idx="21">
                  <c:v>NCEN_DryMill_Existing_Non_CCS</c:v>
                </c:pt>
                <c:pt idx="22">
                  <c:v>SW_DryMill_Existing_Non_CCS</c:v>
                </c:pt>
                <c:pt idx="23">
                  <c:v>SE_DryMill_Existing_Non_CCS</c:v>
                </c:pt>
                <c:pt idx="24">
                  <c:v>CA_DryMill_Existing_Non_CCS</c:v>
                </c:pt>
                <c:pt idx="25">
                  <c:v>MIDAT_DryMill_Existing_Non_CCS</c:v>
                </c:pt>
                <c:pt idx="26">
                  <c:v>NE_DryMill_Existing_Non_CCS</c:v>
                </c:pt>
                <c:pt idx="27">
                  <c:v>CEN_Bio_Ethanol_CCS_86_Agri</c:v>
                </c:pt>
                <c:pt idx="28">
                  <c:v>NCEN_Bio_Ethanol_CCS_86_Agri</c:v>
                </c:pt>
                <c:pt idx="29">
                  <c:v>CEN_Bio_Ethanol_CCS_86_Herb</c:v>
                </c:pt>
                <c:pt idx="30">
                  <c:v>SE_Bio_Ethanol_CCS_20_Agri</c:v>
                </c:pt>
                <c:pt idx="31">
                  <c:v>NCEN_Bio_Ethanol_CCS_20_Agri</c:v>
                </c:pt>
                <c:pt idx="32">
                  <c:v>MIDAT_Bio_Ethanol_CCS_20_Agri</c:v>
                </c:pt>
                <c:pt idx="33">
                  <c:v>NCEN_Bio_Ethanol_CCS_86_Herb</c:v>
                </c:pt>
                <c:pt idx="34">
                  <c:v>TX_Bio_Ethanol_CCS_86_Agri</c:v>
                </c:pt>
                <c:pt idx="35">
                  <c:v>SE_Bio_Ethanol_CCS_20_Herb</c:v>
                </c:pt>
                <c:pt idx="36">
                  <c:v>SE_Bio_Ethanol_CCS_86_Agri</c:v>
                </c:pt>
                <c:pt idx="37">
                  <c:v>CEN_Bio_Ethanol_CCS_86_Wood</c:v>
                </c:pt>
                <c:pt idx="38">
                  <c:v>MIDAT_Bio_Ethanol_Agri</c:v>
                </c:pt>
                <c:pt idx="39">
                  <c:v>SE_Bio_Ethanol_Agri</c:v>
                </c:pt>
                <c:pt idx="40">
                  <c:v>MIDAT_Bio_Ethanol_CCS_20_Herb</c:v>
                </c:pt>
                <c:pt idx="41">
                  <c:v>NCEN_Bio_Ethanol_CCS_86_Wood</c:v>
                </c:pt>
                <c:pt idx="42">
                  <c:v>NCEN_Bio_Ethanol_CCS_20_Herb</c:v>
                </c:pt>
                <c:pt idx="43">
                  <c:v>SE_Bio_Ethanol_CCS_86_Herb</c:v>
                </c:pt>
                <c:pt idx="44">
                  <c:v>MIDAT_Bio_Ethanol_CCS_20_Wood</c:v>
                </c:pt>
                <c:pt idx="45">
                  <c:v>SE_Bio_Ethanol_Herb</c:v>
                </c:pt>
                <c:pt idx="46">
                  <c:v>MIDAT_Bio_Ethanol_Herb</c:v>
                </c:pt>
                <c:pt idx="47">
                  <c:v>CEN_Bio_Ethanol_CCS_20_Agri</c:v>
                </c:pt>
                <c:pt idx="48">
                  <c:v>MIDAT_Bio_Ethanol_Wood</c:v>
                </c:pt>
                <c:pt idx="49">
                  <c:v>NCEN_Bio_Ethanol_Agri</c:v>
                </c:pt>
                <c:pt idx="50">
                  <c:v>SE_Bio_Ethanol_CCS_20_Wood</c:v>
                </c:pt>
                <c:pt idx="51">
                  <c:v>SE_Bio_Ethanol_CCS_86_Wood</c:v>
                </c:pt>
                <c:pt idx="52">
                  <c:v>MIDAT_Bio_Ethanol_CCS_86_Agri</c:v>
                </c:pt>
                <c:pt idx="53">
                  <c:v>CEN_Bio_Ethanol_CCS_20_Herb</c:v>
                </c:pt>
                <c:pt idx="54">
                  <c:v>NCEN_Bio_Ethanol_CCS_20_Wood</c:v>
                </c:pt>
                <c:pt idx="55">
                  <c:v>MIDAT_Bio_Ethanol_CCS_86_Wood</c:v>
                </c:pt>
                <c:pt idx="56">
                  <c:v>MIDAT_Bio_Ethanol_CCS_86_Herb</c:v>
                </c:pt>
                <c:pt idx="57">
                  <c:v>NCEN_Bio_Ethanol_Herb</c:v>
                </c:pt>
                <c:pt idx="58">
                  <c:v>TX_Bio_Ethanol_CCS_86_Herb</c:v>
                </c:pt>
                <c:pt idx="59">
                  <c:v>SE_Bio_Ethanol_Wood</c:v>
                </c:pt>
                <c:pt idx="60">
                  <c:v>NCEN_Bio_Ethanol_Wood</c:v>
                </c:pt>
                <c:pt idx="61">
                  <c:v>CEN_Bio_Ethanol_CCS_20_Wood</c:v>
                </c:pt>
                <c:pt idx="62">
                  <c:v>CEN_Bio_Ethanol_Agri</c:v>
                </c:pt>
                <c:pt idx="63">
                  <c:v>TX_Bio_Ethanol_CCS_86_Wood</c:v>
                </c:pt>
                <c:pt idx="64">
                  <c:v>CEN_Bio_Ethanol_Herb</c:v>
                </c:pt>
                <c:pt idx="65">
                  <c:v>TX_Bio_Ethanol_CCS_20_Agri</c:v>
                </c:pt>
                <c:pt idx="66">
                  <c:v>CEN_Bio_Ethanol_Wood</c:v>
                </c:pt>
                <c:pt idx="67">
                  <c:v>TX_Bio_Ethanol_CCS_20_Herb</c:v>
                </c:pt>
                <c:pt idx="68">
                  <c:v>TX_Bio_Ethanol_Agri</c:v>
                </c:pt>
                <c:pt idx="69">
                  <c:v>TX_Bio_Ethanol_CCS_20_Wood</c:v>
                </c:pt>
                <c:pt idx="70">
                  <c:v>TX_Bio_Ethanol_Herb</c:v>
                </c:pt>
                <c:pt idx="71">
                  <c:v>TX_Bio_Ethanol_Wood</c:v>
                </c:pt>
              </c:strCache>
            </c:strRef>
          </c:cat>
          <c:val>
            <c:numRef>
              <c:f>lc_summary!$Y$3:$Y$74</c:f>
              <c:numCache>
                <c:formatCode>General</c:formatCode>
                <c:ptCount val="72"/>
                <c:pt idx="0">
                  <c:v>48.257815217623786</c:v>
                </c:pt>
                <c:pt idx="1">
                  <c:v>48.38194498767664</c:v>
                </c:pt>
                <c:pt idx="2">
                  <c:v>49.808785554148521</c:v>
                </c:pt>
                <c:pt idx="3">
                  <c:v>50.294884602350528</c:v>
                </c:pt>
                <c:pt idx="4">
                  <c:v>52.14449791780342</c:v>
                </c:pt>
                <c:pt idx="5">
                  <c:v>52.209463657330495</c:v>
                </c:pt>
                <c:pt idx="6">
                  <c:v>52.376959055527472</c:v>
                </c:pt>
                <c:pt idx="7">
                  <c:v>53.306215269095205</c:v>
                </c:pt>
                <c:pt idx="8">
                  <c:v>53.550628781681041</c:v>
                </c:pt>
                <c:pt idx="9">
                  <c:v>53.93886455027485</c:v>
                </c:pt>
                <c:pt idx="10">
                  <c:v>54.897937666478327</c:v>
                </c:pt>
                <c:pt idx="11">
                  <c:v>55.124821699060398</c:v>
                </c:pt>
                <c:pt idx="12">
                  <c:v>56.186114291259777</c:v>
                </c:pt>
                <c:pt idx="13">
                  <c:v>56.199099962261862</c:v>
                </c:pt>
                <c:pt idx="14">
                  <c:v>57.091654835895355</c:v>
                </c:pt>
                <c:pt idx="15">
                  <c:v>57.788163518660731</c:v>
                </c:pt>
                <c:pt idx="16">
                  <c:v>57.844631454841178</c:v>
                </c:pt>
                <c:pt idx="17">
                  <c:v>59.033636690915017</c:v>
                </c:pt>
                <c:pt idx="18">
                  <c:v>62.106724240536536</c:v>
                </c:pt>
                <c:pt idx="19">
                  <c:v>62.279013143102659</c:v>
                </c:pt>
                <c:pt idx="20">
                  <c:v>62.393459173915083</c:v>
                </c:pt>
                <c:pt idx="21">
                  <c:v>62.426442930146585</c:v>
                </c:pt>
                <c:pt idx="22">
                  <c:v>62.42767570670393</c:v>
                </c:pt>
                <c:pt idx="23">
                  <c:v>62.63265399493531</c:v>
                </c:pt>
                <c:pt idx="24">
                  <c:v>62.662397992678407</c:v>
                </c:pt>
                <c:pt idx="25">
                  <c:v>62.664399807811762</c:v>
                </c:pt>
                <c:pt idx="26">
                  <c:v>62.887188316080881</c:v>
                </c:pt>
                <c:pt idx="27">
                  <c:v>66.519526452903563</c:v>
                </c:pt>
                <c:pt idx="28">
                  <c:v>68.176982466351873</c:v>
                </c:pt>
                <c:pt idx="29">
                  <c:v>68.528192694593798</c:v>
                </c:pt>
                <c:pt idx="30">
                  <c:v>69.658626164948231</c:v>
                </c:pt>
                <c:pt idx="31">
                  <c:v>70.422369788339282</c:v>
                </c:pt>
                <c:pt idx="32">
                  <c:v>70.506570648675819</c:v>
                </c:pt>
                <c:pt idx="33">
                  <c:v>70.729077360713205</c:v>
                </c:pt>
                <c:pt idx="34">
                  <c:v>70.997688460538726</c:v>
                </c:pt>
                <c:pt idx="35">
                  <c:v>71.393302143580385</c:v>
                </c:pt>
                <c:pt idx="36">
                  <c:v>71.547650757370263</c:v>
                </c:pt>
                <c:pt idx="37">
                  <c:v>71.816022459774388</c:v>
                </c:pt>
                <c:pt idx="38">
                  <c:v>72.073973657024155</c:v>
                </c:pt>
                <c:pt idx="39">
                  <c:v>72.11500750732877</c:v>
                </c:pt>
                <c:pt idx="40">
                  <c:v>72.287429088252708</c:v>
                </c:pt>
                <c:pt idx="41">
                  <c:v>72.306582302938338</c:v>
                </c:pt>
                <c:pt idx="42">
                  <c:v>72.936413589998921</c:v>
                </c:pt>
                <c:pt idx="43">
                  <c:v>73.104589098547251</c:v>
                </c:pt>
                <c:pt idx="44">
                  <c:v>73.126834586654837</c:v>
                </c:pt>
                <c:pt idx="45">
                  <c:v>73.522814032140317</c:v>
                </c:pt>
                <c:pt idx="46">
                  <c:v>73.544413540785399</c:v>
                </c:pt>
                <c:pt idx="47">
                  <c:v>73.842901731525686</c:v>
                </c:pt>
                <c:pt idx="48">
                  <c:v>74.473286144675583</c:v>
                </c:pt>
                <c:pt idx="49">
                  <c:v>74.618861996477222</c:v>
                </c:pt>
                <c:pt idx="50">
                  <c:v>74.669858445131169</c:v>
                </c:pt>
                <c:pt idx="51">
                  <c:v>74.691562846489461</c:v>
                </c:pt>
                <c:pt idx="52">
                  <c:v>74.946453077785833</c:v>
                </c:pt>
                <c:pt idx="53">
                  <c:v>75.331624448913644</c:v>
                </c:pt>
                <c:pt idx="54">
                  <c:v>75.394374687767325</c:v>
                </c:pt>
                <c:pt idx="55">
                  <c:v>76.173516298676162</c:v>
                </c:pt>
                <c:pt idx="56">
                  <c:v>76.434267895068061</c:v>
                </c:pt>
                <c:pt idx="57">
                  <c:v>76.735017643922291</c:v>
                </c:pt>
                <c:pt idx="58">
                  <c:v>76.763542995411228</c:v>
                </c:pt>
                <c:pt idx="59">
                  <c:v>76.99109862480374</c:v>
                </c:pt>
                <c:pt idx="60">
                  <c:v>79.225182524503211</c:v>
                </c:pt>
                <c:pt idx="61">
                  <c:v>79.773698256543682</c:v>
                </c:pt>
                <c:pt idx="62">
                  <c:v>80.01666884071571</c:v>
                </c:pt>
                <c:pt idx="63">
                  <c:v>80.173567681834726</c:v>
                </c:pt>
                <c:pt idx="64">
                  <c:v>80.957355979188819</c:v>
                </c:pt>
                <c:pt idx="65">
                  <c:v>82.328721765663985</c:v>
                </c:pt>
                <c:pt idx="66">
                  <c:v>85.483460475772631</c:v>
                </c:pt>
                <c:pt idx="67">
                  <c:v>88.366426939382265</c:v>
                </c:pt>
                <c:pt idx="68">
                  <c:v>90.302712705010833</c:v>
                </c:pt>
                <c:pt idx="69">
                  <c:v>93.836621798011478</c:v>
                </c:pt>
                <c:pt idx="70">
                  <c:v>95.85537570544227</c:v>
                </c:pt>
                <c:pt idx="71">
                  <c:v>101.72578737223969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81-474B-8FA2-025AB1BC9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4004336"/>
        <c:axId val="2014014032"/>
      </c:barChart>
      <c:catAx>
        <c:axId val="1604004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014032"/>
        <c:crosses val="autoZero"/>
        <c:auto val="1"/>
        <c:lblAlgn val="ctr"/>
        <c:lblOffset val="100"/>
        <c:noMultiLvlLbl val="0"/>
      </c:catAx>
      <c:valAx>
        <c:axId val="201401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004336"/>
        <c:crosses val="autoZero"/>
        <c:crossBetween val="between"/>
        <c:majorUnit val="10"/>
        <c:minorUnit val="2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290079</xdr:colOff>
      <xdr:row>0</xdr:row>
      <xdr:rowOff>129887</xdr:rowOff>
    </xdr:from>
    <xdr:to>
      <xdr:col>46</xdr:col>
      <xdr:colOff>745067</xdr:colOff>
      <xdr:row>85</xdr:row>
      <xdr:rowOff>72158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47</xdr:col>
      <xdr:colOff>139700</xdr:colOff>
      <xdr:row>0</xdr:row>
      <xdr:rowOff>88900</xdr:rowOff>
    </xdr:from>
    <xdr:to>
      <xdr:col>54</xdr:col>
      <xdr:colOff>787400</xdr:colOff>
      <xdr:row>85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F107"/>
  <sheetViews>
    <sheetView tabSelected="1" topLeftCell="V1" zoomScale="82" zoomScaleNormal="157" workbookViewId="0">
      <selection activeCell="AG13" sqref="AG13"/>
    </sheetView>
  </sheetViews>
  <sheetFormatPr baseColWidth="10" defaultRowHeight="16" x14ac:dyDescent="0.2"/>
  <cols>
    <col min="1" max="1" width="2.6640625" style="1" customWidth="1"/>
    <col min="2" max="2" width="43.5" style="1" bestFit="1" customWidth="1"/>
    <col min="3" max="3" width="13.33203125" style="1" bestFit="1" customWidth="1"/>
    <col min="4" max="4" width="23.83203125" style="1" bestFit="1" customWidth="1"/>
    <col min="5" max="5" width="25.33203125" style="1" bestFit="1" customWidth="1"/>
    <col min="6" max="6" width="33.33203125" style="1" bestFit="1" customWidth="1"/>
    <col min="7" max="7" width="27.33203125" style="1" bestFit="1" customWidth="1"/>
    <col min="8" max="8" width="28.33203125" style="1" bestFit="1" customWidth="1"/>
    <col min="9" max="9" width="27.83203125" style="1" bestFit="1" customWidth="1"/>
    <col min="10" max="11" width="21" style="1" customWidth="1"/>
    <col min="12" max="12" width="22" style="1" bestFit="1" customWidth="1"/>
    <col min="13" max="13" width="27.83203125" style="1" bestFit="1" customWidth="1"/>
    <col min="14" max="14" width="26.1640625" style="1" bestFit="1" customWidth="1"/>
    <col min="15" max="15" width="14" style="1" customWidth="1"/>
    <col min="16" max="16" width="3" style="1" customWidth="1"/>
    <col min="17" max="17" width="12" style="1" bestFit="1" customWidth="1"/>
    <col min="18" max="18" width="15.6640625" style="1" bestFit="1" customWidth="1"/>
    <col min="19" max="20" width="17.1640625" style="1" bestFit="1" customWidth="1"/>
    <col min="21" max="21" width="18" style="1" bestFit="1" customWidth="1"/>
    <col min="22" max="22" width="16.1640625" style="1" bestFit="1" customWidth="1"/>
    <col min="23" max="23" width="18.83203125" style="1" bestFit="1" customWidth="1"/>
    <col min="24" max="24" width="17.5" style="1" bestFit="1" customWidth="1"/>
    <col min="25" max="25" width="3.33203125" customWidth="1"/>
    <col min="26" max="26" width="37.83203125" style="1" bestFit="1" customWidth="1"/>
    <col min="27" max="27" width="19.83203125" style="1" customWidth="1"/>
    <col min="28" max="29" width="18.83203125" style="1" bestFit="1" customWidth="1"/>
    <col min="30" max="30" width="27.83203125" style="1" bestFit="1" customWidth="1"/>
    <col min="31" max="31" width="12.6640625" style="1" bestFit="1" customWidth="1"/>
    <col min="32" max="32" width="15.1640625" style="1" bestFit="1" customWidth="1"/>
    <col min="33" max="33" width="18.5" style="1" bestFit="1" customWidth="1"/>
    <col min="34" max="34" width="17.1640625" style="1" bestFit="1" customWidth="1"/>
    <col min="35" max="35" width="13.6640625" style="1" bestFit="1" customWidth="1"/>
    <col min="36" max="36" width="12.1640625" style="1" bestFit="1" customWidth="1"/>
    <col min="37" max="37" width="14.5" style="1" bestFit="1" customWidth="1"/>
    <col min="38" max="38" width="10.5" style="1" customWidth="1"/>
    <col min="39" max="39" width="17.83203125" style="1" bestFit="1" customWidth="1"/>
    <col min="40" max="40" width="19.6640625" style="1" bestFit="1" customWidth="1"/>
    <col min="41" max="41" width="12.1640625" style="1" customWidth="1"/>
    <col min="42" max="42" width="17.83203125" style="1" bestFit="1" customWidth="1"/>
    <col min="43" max="43" width="19.33203125" style="1" bestFit="1" customWidth="1"/>
    <col min="44" max="44" width="3.33203125" style="1" customWidth="1"/>
    <col min="45" max="45" width="27.6640625" style="1" bestFit="1" customWidth="1"/>
    <col min="46" max="46" width="17" style="1" bestFit="1" customWidth="1"/>
    <col min="47" max="47" width="24.1640625" style="1" bestFit="1" customWidth="1"/>
    <col min="48" max="48" width="3.6640625" style="1" customWidth="1"/>
    <col min="49" max="49" width="24.5" style="1" bestFit="1" customWidth="1"/>
    <col min="50" max="50" width="20.5" style="1" bestFit="1" customWidth="1"/>
    <col min="51" max="51" width="3.33203125" style="1" customWidth="1"/>
    <col min="52" max="52" width="24.1640625" style="1" bestFit="1" customWidth="1"/>
    <col min="53" max="53" width="24.1640625" style="1" customWidth="1"/>
    <col min="54" max="54" width="25.6640625" style="1" bestFit="1" customWidth="1"/>
    <col min="55" max="55" width="25.6640625" style="1" customWidth="1"/>
    <col min="56" max="56" width="25.33203125" style="1" bestFit="1" customWidth="1"/>
    <col min="57" max="57" width="10.83203125" style="1" customWidth="1"/>
    <col min="58" max="58" width="19.1640625" style="1" bestFit="1" customWidth="1"/>
    <col min="59" max="76" width="10.83203125" style="1" customWidth="1"/>
    <col min="77" max="16384" width="10.83203125" style="1"/>
  </cols>
  <sheetData>
    <row r="1" spans="2:58" ht="15" customHeight="1" x14ac:dyDescent="0.2">
      <c r="Y1" s="1"/>
      <c r="AE1" s="17"/>
      <c r="AF1" s="17"/>
      <c r="AG1" s="17"/>
      <c r="AH1" s="17"/>
      <c r="AI1" s="17"/>
      <c r="AJ1" s="17"/>
      <c r="AK1" s="17"/>
      <c r="AL1" s="17"/>
    </row>
    <row r="2" spans="2:58" x14ac:dyDescent="0.2">
      <c r="B2" s="1" t="s">
        <v>0</v>
      </c>
      <c r="Q2" s="1" t="s">
        <v>1</v>
      </c>
      <c r="Z2" s="1" t="s">
        <v>2</v>
      </c>
      <c r="AB2" s="1" t="s">
        <v>3</v>
      </c>
      <c r="AC2" s="1" t="s">
        <v>4</v>
      </c>
      <c r="AL2" s="1" t="s">
        <v>5</v>
      </c>
      <c r="AO2" s="1" t="s">
        <v>6</v>
      </c>
      <c r="AS2" s="1" t="s">
        <v>7</v>
      </c>
      <c r="AW2" s="1" t="s">
        <v>8</v>
      </c>
      <c r="AZ2" s="1" t="s">
        <v>9</v>
      </c>
      <c r="BF2" s="1" t="s">
        <v>10</v>
      </c>
    </row>
    <row r="3" spans="2:58" x14ac:dyDescent="0.2"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  <c r="L3" s="2" t="s">
        <v>21</v>
      </c>
      <c r="M3" s="2" t="s">
        <v>22</v>
      </c>
      <c r="N3" s="2" t="s">
        <v>23</v>
      </c>
      <c r="O3" s="2" t="s">
        <v>24</v>
      </c>
      <c r="Q3" s="14" t="s">
        <v>25</v>
      </c>
      <c r="R3" s="14" t="s">
        <v>26</v>
      </c>
      <c r="S3" s="14" t="s">
        <v>27</v>
      </c>
      <c r="T3" s="14" t="s">
        <v>28</v>
      </c>
      <c r="U3" s="14" t="s">
        <v>29</v>
      </c>
      <c r="V3" s="14" t="s">
        <v>30</v>
      </c>
      <c r="W3" s="14" t="s">
        <v>31</v>
      </c>
      <c r="X3" s="14" t="s">
        <v>32</v>
      </c>
      <c r="Z3" s="4" t="s">
        <v>33</v>
      </c>
      <c r="AA3" s="4" t="s">
        <v>34</v>
      </c>
      <c r="AB3" s="3" t="s">
        <v>35</v>
      </c>
      <c r="AC3" s="6" t="s">
        <v>35</v>
      </c>
      <c r="AD3" s="7" t="s">
        <v>36</v>
      </c>
      <c r="AE3" s="4" t="s">
        <v>37</v>
      </c>
      <c r="AF3" s="4" t="s">
        <v>38</v>
      </c>
      <c r="AG3" s="4" t="s">
        <v>39</v>
      </c>
      <c r="AH3" s="4" t="s">
        <v>40</v>
      </c>
      <c r="AI3" s="4" t="s">
        <v>41</v>
      </c>
      <c r="AJ3" s="4" t="s">
        <v>42</v>
      </c>
      <c r="AK3" s="4" t="s">
        <v>43</v>
      </c>
      <c r="AL3" s="3" t="s">
        <v>3</v>
      </c>
      <c r="AM3" s="3" t="s">
        <v>44</v>
      </c>
      <c r="AN3" s="3" t="s">
        <v>45</v>
      </c>
      <c r="AO3" s="6" t="s">
        <v>3</v>
      </c>
      <c r="AP3" s="6" t="s">
        <v>44</v>
      </c>
      <c r="AQ3" s="6" t="s">
        <v>45</v>
      </c>
      <c r="AS3" s="7" t="s">
        <v>46</v>
      </c>
      <c r="AT3" s="7" t="s">
        <v>47</v>
      </c>
      <c r="AU3" s="7" t="s">
        <v>48</v>
      </c>
      <c r="AW3" s="7" t="s">
        <v>49</v>
      </c>
      <c r="AX3" s="7" t="s">
        <v>50</v>
      </c>
      <c r="AZ3" s="7" t="s">
        <v>48</v>
      </c>
      <c r="BA3" s="7" t="s">
        <v>51</v>
      </c>
      <c r="BB3" s="7" t="s">
        <v>52</v>
      </c>
      <c r="BC3" s="7" t="s">
        <v>53</v>
      </c>
      <c r="BD3" s="7" t="s">
        <v>54</v>
      </c>
      <c r="BF3" s="7" t="s">
        <v>55</v>
      </c>
    </row>
    <row r="4" spans="2:58" x14ac:dyDescent="0.2">
      <c r="B4" s="13" t="s">
        <v>56</v>
      </c>
      <c r="C4" s="12" t="s">
        <v>57</v>
      </c>
      <c r="D4" s="12">
        <v>0.2142</v>
      </c>
      <c r="E4" s="12">
        <v>0</v>
      </c>
      <c r="F4" s="12">
        <v>1.9847999999999999</v>
      </c>
      <c r="G4" s="12">
        <v>0</v>
      </c>
      <c r="H4" s="12">
        <v>1.7230000000000001</v>
      </c>
      <c r="I4" s="12">
        <v>0</v>
      </c>
      <c r="J4" s="12">
        <v>1.2657602005135551</v>
      </c>
      <c r="K4" s="12">
        <v>0</v>
      </c>
      <c r="L4" s="12">
        <v>0</v>
      </c>
      <c r="M4" s="12">
        <v>273134.21999999997</v>
      </c>
      <c r="N4" s="12">
        <v>144062.46</v>
      </c>
      <c r="O4" s="12">
        <v>0.45</v>
      </c>
      <c r="Q4" s="15">
        <v>110.94272599999999</v>
      </c>
      <c r="R4" s="15">
        <v>-31.699415999999999</v>
      </c>
      <c r="S4" s="15">
        <v>160</v>
      </c>
      <c r="T4" s="15">
        <v>112.750244</v>
      </c>
      <c r="U4" s="15">
        <v>129.799364</v>
      </c>
      <c r="V4" s="15">
        <v>101.33199</v>
      </c>
      <c r="W4" s="15">
        <v>25.368286000000001</v>
      </c>
      <c r="X4" s="15">
        <v>13.422007000000001</v>
      </c>
      <c r="Z4" s="1" t="str">
        <f t="shared" ref="Z4:Z35" si="0">B4</f>
        <v>CEN_Bio_Ethanol_Herb</v>
      </c>
      <c r="AA4" s="1" t="str">
        <f t="shared" ref="AA4:AA35" si="1">C4</f>
        <v>Biomass_Herb</v>
      </c>
      <c r="AB4" s="11">
        <f t="shared" ref="AB4:AB35" si="2">SUM(AE4:AK4)+AM4+AN4</f>
        <v>80.957355979188819</v>
      </c>
      <c r="AC4" s="11">
        <f t="shared" ref="AC4:AC35" si="3">SUM(AE4:AK4)+AP4+AQ4</f>
        <v>80.957355979188819</v>
      </c>
      <c r="AD4" s="5">
        <f t="shared" ref="AD4:AD35" si="4">AB4-AC4</f>
        <v>0</v>
      </c>
      <c r="AE4" s="1">
        <f t="shared" ref="AE4:AE35" si="5">D4/F4*W4*-1</f>
        <v>-2.7377503331318023</v>
      </c>
      <c r="AF4" s="1">
        <f t="shared" ref="AF4:AF35" si="6">E4/F4*W4</f>
        <v>0</v>
      </c>
      <c r="AG4" s="1">
        <f t="array" ref="AG4">_xlfn.IFS(C4="Biomass_Corn", 1/F4*S4, C4="Biomass_Agri", 1/F4*V4, C4="Biomass_Wood", 1/F4*U4, C4="Biomass_Herb", 1/F4*T4)</f>
        <v>56.806854091092305</v>
      </c>
      <c r="AH4" s="1">
        <f t="shared" ref="AH4:AH35" si="7">G4/F4*X4</f>
        <v>0</v>
      </c>
      <c r="AI4" s="1">
        <f t="shared" ref="AI4:AI35" si="8">M4/F4/(0.9*8760)</f>
        <v>17.45471442935871</v>
      </c>
      <c r="AJ4" s="1">
        <f t="shared" ref="AJ4:AJ35" si="9">N4/F4/(0.9*8760)</f>
        <v>9.2063495350048488</v>
      </c>
      <c r="AK4" s="1">
        <f t="shared" ref="AK4:AK35" si="10">O4/F4</f>
        <v>0.22672309552599759</v>
      </c>
      <c r="AL4" s="1">
        <f t="shared" ref="AL4:AL35" si="11">SUM(AZ4:BD4)-AW4</f>
        <v>4.1928061038642994E-6</v>
      </c>
      <c r="AM4" s="1">
        <f t="shared" ref="AM4:AM35" si="12">(Q4+R4)*-1*(I4+K4)/F4</f>
        <v>0</v>
      </c>
      <c r="AN4" s="1">
        <f t="shared" ref="AN4:AN35" si="13">AL4*Q4</f>
        <v>4.6516133875214446E-4</v>
      </c>
      <c r="AO4" s="1">
        <f t="shared" ref="AO4:AO35" si="14">SUM(AZ4:BB4)-AW4</f>
        <v>4.1928061038642994E-6</v>
      </c>
      <c r="AP4" s="1">
        <f t="shared" ref="AP4:AP35" si="15">(I4+K4)/F4*-1*R4</f>
        <v>0</v>
      </c>
      <c r="AQ4" s="1">
        <f t="shared" ref="AQ4:AQ35" si="16">AO4*Q4</f>
        <v>4.6516133875214446E-4</v>
      </c>
      <c r="AS4" s="9">
        <f t="shared" ref="AS4:AS35" si="17">H4</f>
        <v>1.7230000000000001</v>
      </c>
      <c r="AT4" s="10">
        <v>0.1828908353</v>
      </c>
      <c r="AU4" s="9">
        <v>0.23037490999999999</v>
      </c>
      <c r="AW4" s="10">
        <f t="shared" ref="AW4:AW35" si="18">AS4/F4</f>
        <v>0.86809754131398642</v>
      </c>
      <c r="AX4" s="10">
        <f t="shared" ref="AX4:AX35" si="19">AT4*G4/F4</f>
        <v>0</v>
      </c>
      <c r="AZ4" s="10">
        <f t="shared" ref="AZ4:AZ35" si="20">AU4</f>
        <v>0.23037490999999999</v>
      </c>
      <c r="BA4" s="10">
        <f t="shared" ref="BA4:BA35" si="21">J4/F4</f>
        <v>0.6377268241200903</v>
      </c>
      <c r="BB4" s="10">
        <f t="shared" ref="BB4:BB35" si="22">L4/F4</f>
        <v>0</v>
      </c>
      <c r="BC4" s="10">
        <f t="shared" ref="BC4:BC35" si="23">I4/F4</f>
        <v>0</v>
      </c>
      <c r="BD4" s="10">
        <f t="shared" ref="BD4:BD35" si="24">K4/F4</f>
        <v>0</v>
      </c>
      <c r="BF4" s="1">
        <f t="shared" ref="BF4:BF35" si="25">SUM(AW4:AX4)-SUM(AZ4:BD4)</f>
        <v>-4.1928061038642994E-6</v>
      </c>
    </row>
    <row r="5" spans="2:58" x14ac:dyDescent="0.2">
      <c r="B5" s="13" t="s">
        <v>58</v>
      </c>
      <c r="C5" s="12" t="s">
        <v>57</v>
      </c>
      <c r="D5" s="12">
        <v>0.215</v>
      </c>
      <c r="E5" s="12">
        <v>0</v>
      </c>
      <c r="F5" s="12">
        <v>1.9923999999999999</v>
      </c>
      <c r="G5" s="12">
        <v>0</v>
      </c>
      <c r="H5" s="12">
        <v>1.736</v>
      </c>
      <c r="I5" s="12">
        <v>0</v>
      </c>
      <c r="J5" s="12">
        <v>1.2770044799450391</v>
      </c>
      <c r="K5" s="12">
        <v>0</v>
      </c>
      <c r="L5" s="12">
        <v>0</v>
      </c>
      <c r="M5" s="12">
        <v>273134.21999999997</v>
      </c>
      <c r="N5" s="12">
        <v>144062.46</v>
      </c>
      <c r="O5" s="12">
        <v>0.45</v>
      </c>
      <c r="Q5" s="15">
        <v>110.94272599999999</v>
      </c>
      <c r="R5" s="15">
        <v>-53.928761999999999</v>
      </c>
      <c r="S5" s="15">
        <v>160</v>
      </c>
      <c r="T5" s="15">
        <v>101.629081</v>
      </c>
      <c r="U5" s="15">
        <v>109.563401</v>
      </c>
      <c r="V5" s="15">
        <v>90.220664999999997</v>
      </c>
      <c r="W5" s="15">
        <v>39.378855999999999</v>
      </c>
      <c r="X5" s="15">
        <v>13.422667000000001</v>
      </c>
      <c r="Z5" s="1" t="str">
        <f t="shared" si="0"/>
        <v>MIDAT_Bio_Ethanol_Herb</v>
      </c>
      <c r="AA5" s="1" t="str">
        <f t="shared" si="1"/>
        <v>Biomass_Herb</v>
      </c>
      <c r="AB5" s="11">
        <f t="shared" si="2"/>
        <v>73.544413540785399</v>
      </c>
      <c r="AC5" s="11">
        <f t="shared" si="3"/>
        <v>73.544413540785399</v>
      </c>
      <c r="AD5" s="5">
        <f t="shared" si="4"/>
        <v>0</v>
      </c>
      <c r="AE5" s="1">
        <f t="shared" si="5"/>
        <v>-4.2493746436458535</v>
      </c>
      <c r="AF5" s="1">
        <f t="shared" si="6"/>
        <v>0</v>
      </c>
      <c r="AG5" s="1">
        <f t="array" ref="AG5">_xlfn.IFS(C5="Biomass_Corn", 1/F5*S5, C5="Biomass_Agri", 1/F5*V5, C5="Biomass_Wood", 1/F5*U5, C5="Biomass_Herb", 1/F5*T5)</f>
        <v>51.008372314796226</v>
      </c>
      <c r="AH5" s="1">
        <f t="shared" si="7"/>
        <v>0</v>
      </c>
      <c r="AI5" s="1">
        <f t="shared" si="8"/>
        <v>17.388133507022271</v>
      </c>
      <c r="AJ5" s="1">
        <f t="shared" si="9"/>
        <v>9.1712319599867627</v>
      </c>
      <c r="AK5" s="1">
        <f t="shared" si="10"/>
        <v>0.22585826139329454</v>
      </c>
      <c r="AL5" s="1">
        <f t="shared" si="11"/>
        <v>1.7318957232781429E-6</v>
      </c>
      <c r="AM5" s="1">
        <f t="shared" si="12"/>
        <v>0</v>
      </c>
      <c r="AN5" s="1">
        <f t="shared" si="13"/>
        <v>1.9214123268821882E-4</v>
      </c>
      <c r="AO5" s="1">
        <f t="shared" si="14"/>
        <v>1.7318957232781429E-6</v>
      </c>
      <c r="AP5" s="1">
        <f t="shared" si="15"/>
        <v>0</v>
      </c>
      <c r="AQ5" s="1">
        <f t="shared" si="16"/>
        <v>1.9214123268821882E-4</v>
      </c>
      <c r="AS5" s="9">
        <f t="shared" si="17"/>
        <v>1.736</v>
      </c>
      <c r="AT5" s="10">
        <v>0.1828908353</v>
      </c>
      <c r="AU5" s="9">
        <v>0.23037490999999999</v>
      </c>
      <c r="AW5" s="10">
        <f t="shared" si="18"/>
        <v>0.8713109817305762</v>
      </c>
      <c r="AX5" s="10">
        <f t="shared" si="19"/>
        <v>0</v>
      </c>
      <c r="AZ5" s="10">
        <f t="shared" si="20"/>
        <v>0.23037490999999999</v>
      </c>
      <c r="BA5" s="10">
        <f t="shared" si="21"/>
        <v>0.64093780362629948</v>
      </c>
      <c r="BB5" s="10">
        <f t="shared" si="22"/>
        <v>0</v>
      </c>
      <c r="BC5" s="10">
        <f t="shared" si="23"/>
        <v>0</v>
      </c>
      <c r="BD5" s="10">
        <f t="shared" si="24"/>
        <v>0</v>
      </c>
      <c r="BF5" s="1">
        <f t="shared" si="25"/>
        <v>-1.7318957232781429E-6</v>
      </c>
    </row>
    <row r="6" spans="2:58" x14ac:dyDescent="0.2">
      <c r="B6" s="13" t="s">
        <v>59</v>
      </c>
      <c r="C6" s="12" t="s">
        <v>57</v>
      </c>
      <c r="D6" s="12">
        <v>0.2155</v>
      </c>
      <c r="E6" s="12">
        <v>0</v>
      </c>
      <c r="F6" s="12">
        <v>1.9966999999999999</v>
      </c>
      <c r="G6" s="12">
        <v>0</v>
      </c>
      <c r="H6" s="12">
        <v>1.74</v>
      </c>
      <c r="I6" s="12">
        <v>0</v>
      </c>
      <c r="J6" s="12">
        <v>1.280001211048744</v>
      </c>
      <c r="K6" s="12">
        <v>0</v>
      </c>
      <c r="L6" s="12">
        <v>0</v>
      </c>
      <c r="M6" s="12">
        <v>273134.21999999997</v>
      </c>
      <c r="N6" s="12">
        <v>144062.46</v>
      </c>
      <c r="O6" s="12">
        <v>0.45</v>
      </c>
      <c r="Q6" s="15">
        <v>110.94272599999999</v>
      </c>
      <c r="R6" s="15">
        <v>-41.712553</v>
      </c>
      <c r="S6" s="15">
        <v>160</v>
      </c>
      <c r="T6" s="15">
        <v>106.47328400000001</v>
      </c>
      <c r="U6" s="15">
        <v>117.9145</v>
      </c>
      <c r="V6" s="15">
        <v>93.425466999999998</v>
      </c>
      <c r="W6" s="15">
        <v>30.730081999999999</v>
      </c>
      <c r="X6" s="15">
        <v>13.422086999999999</v>
      </c>
      <c r="Z6" s="1" t="str">
        <f t="shared" si="0"/>
        <v>NCEN_Bio_Ethanol_Herb</v>
      </c>
      <c r="AA6" s="1" t="str">
        <f t="shared" si="1"/>
        <v>Biomass_Herb</v>
      </c>
      <c r="AB6" s="11">
        <f t="shared" si="2"/>
        <v>76.735017643922291</v>
      </c>
      <c r="AC6" s="11">
        <f t="shared" si="3"/>
        <v>76.735017643922291</v>
      </c>
      <c r="AD6" s="5">
        <f t="shared" si="4"/>
        <v>0</v>
      </c>
      <c r="AE6" s="1">
        <f t="shared" si="5"/>
        <v>-3.3166387895026794</v>
      </c>
      <c r="AF6" s="1">
        <f t="shared" si="6"/>
        <v>0</v>
      </c>
      <c r="AG6" s="1">
        <f t="array" ref="AG6">_xlfn.IFS(C6="Biomass_Corn", 1/F6*S6, C6="Biomass_Agri", 1/F6*V6, C6="Biomass_Wood", 1/F6*U6, C6="Biomass_Herb", 1/F6*T6)</f>
        <v>53.324627635598738</v>
      </c>
      <c r="AH6" s="1">
        <f t="shared" si="7"/>
        <v>0</v>
      </c>
      <c r="AI6" s="1">
        <f t="shared" si="8"/>
        <v>17.350687233631078</v>
      </c>
      <c r="AJ6" s="1">
        <f t="shared" si="9"/>
        <v>9.1514812225560309</v>
      </c>
      <c r="AK6" s="1">
        <f t="shared" si="10"/>
        <v>0.22537186357489861</v>
      </c>
      <c r="AL6" s="1">
        <f t="shared" si="11"/>
        <v>-4.6106847578775145E-6</v>
      </c>
      <c r="AM6" s="1">
        <f t="shared" si="12"/>
        <v>0</v>
      </c>
      <c r="AN6" s="1">
        <f t="shared" si="13"/>
        <v>-5.1152193576558137E-4</v>
      </c>
      <c r="AO6" s="1">
        <f t="shared" si="14"/>
        <v>-4.6106847578775145E-6</v>
      </c>
      <c r="AP6" s="1">
        <f t="shared" si="15"/>
        <v>0</v>
      </c>
      <c r="AQ6" s="1">
        <f t="shared" si="16"/>
        <v>-5.1152193576558137E-4</v>
      </c>
      <c r="AS6" s="9">
        <f t="shared" si="17"/>
        <v>1.74</v>
      </c>
      <c r="AT6" s="10">
        <v>0.1828908353</v>
      </c>
      <c r="AU6" s="9">
        <v>0.23037490999999999</v>
      </c>
      <c r="AW6" s="10">
        <f t="shared" si="18"/>
        <v>0.87143787248960791</v>
      </c>
      <c r="AX6" s="10">
        <f t="shared" si="19"/>
        <v>0</v>
      </c>
      <c r="AZ6" s="10">
        <f t="shared" si="20"/>
        <v>0.23037490999999999</v>
      </c>
      <c r="BA6" s="10">
        <f t="shared" si="21"/>
        <v>0.64105835180485005</v>
      </c>
      <c r="BB6" s="10">
        <f t="shared" si="22"/>
        <v>0</v>
      </c>
      <c r="BC6" s="10">
        <f t="shared" si="23"/>
        <v>0</v>
      </c>
      <c r="BD6" s="10">
        <f t="shared" si="24"/>
        <v>0</v>
      </c>
      <c r="BF6" s="1">
        <f t="shared" si="25"/>
        <v>4.6106847578775145E-6</v>
      </c>
    </row>
    <row r="7" spans="2:58" x14ac:dyDescent="0.2">
      <c r="B7" s="13" t="s">
        <v>60</v>
      </c>
      <c r="C7" s="12" t="s">
        <v>57</v>
      </c>
      <c r="D7" s="12">
        <v>0.21379999999999999</v>
      </c>
      <c r="E7" s="12">
        <v>0</v>
      </c>
      <c r="F7" s="12">
        <v>1.9815</v>
      </c>
      <c r="G7" s="12">
        <v>0</v>
      </c>
      <c r="H7" s="12">
        <v>1.7170000000000001</v>
      </c>
      <c r="I7" s="12">
        <v>0</v>
      </c>
      <c r="J7" s="12">
        <v>1.260512652185777</v>
      </c>
      <c r="K7" s="12">
        <v>0</v>
      </c>
      <c r="L7" s="12">
        <v>0</v>
      </c>
      <c r="M7" s="12">
        <v>273134.21999999997</v>
      </c>
      <c r="N7" s="12">
        <v>144062.46</v>
      </c>
      <c r="O7" s="12">
        <v>0.45</v>
      </c>
      <c r="Q7" s="15">
        <v>110.94272599999999</v>
      </c>
      <c r="R7" s="15">
        <v>-47.669266999999998</v>
      </c>
      <c r="S7" s="15">
        <v>160</v>
      </c>
      <c r="T7" s="15">
        <v>100.492544</v>
      </c>
      <c r="U7" s="15">
        <v>115.666566</v>
      </c>
      <c r="V7" s="15">
        <v>89.651598000000007</v>
      </c>
      <c r="W7" s="15">
        <v>38.232120000000002</v>
      </c>
      <c r="X7" s="15">
        <v>13.421991999999999</v>
      </c>
      <c r="Z7" s="1" t="str">
        <f t="shared" si="0"/>
        <v>SE_Bio_Ethanol_Herb</v>
      </c>
      <c r="AA7" s="1" t="str">
        <f t="shared" si="1"/>
        <v>Biomass_Herb</v>
      </c>
      <c r="AB7" s="11">
        <f t="shared" si="2"/>
        <v>73.522814032140317</v>
      </c>
      <c r="AC7" s="11">
        <f t="shared" si="3"/>
        <v>73.522814032140317</v>
      </c>
      <c r="AD7" s="5">
        <f t="shared" si="4"/>
        <v>0</v>
      </c>
      <c r="AE7" s="1">
        <f t="shared" si="5"/>
        <v>-4.125171464042392</v>
      </c>
      <c r="AF7" s="1">
        <f t="shared" si="6"/>
        <v>0</v>
      </c>
      <c r="AG7" s="1">
        <f t="array" ref="AG7">_xlfn.IFS(C7="Biomass_Corn", 1/F7*S7, C7="Biomass_Agri", 1/F7*V7, C7="Biomass_Wood", 1/F7*U7, C7="Biomass_Herb", 1/F7*T7)</f>
        <v>50.715389351501386</v>
      </c>
      <c r="AH7" s="1">
        <f t="shared" si="7"/>
        <v>0</v>
      </c>
      <c r="AI7" s="1">
        <f t="shared" si="8"/>
        <v>17.483783597976871</v>
      </c>
      <c r="AJ7" s="1">
        <f t="shared" si="9"/>
        <v>9.2216818355173462</v>
      </c>
      <c r="AK7" s="1">
        <f t="shared" si="10"/>
        <v>0.22710068130204392</v>
      </c>
      <c r="AL7" s="1">
        <f t="shared" si="11"/>
        <v>2.7067917074408143E-7</v>
      </c>
      <c r="AM7" s="1">
        <f t="shared" si="12"/>
        <v>0</v>
      </c>
      <c r="AN7" s="1">
        <f t="shared" si="13"/>
        <v>3.0029885073767839E-5</v>
      </c>
      <c r="AO7" s="1">
        <f t="shared" si="14"/>
        <v>2.7067917074408143E-7</v>
      </c>
      <c r="AP7" s="1">
        <f t="shared" si="15"/>
        <v>0</v>
      </c>
      <c r="AQ7" s="1">
        <f t="shared" si="16"/>
        <v>3.0029885073767839E-5</v>
      </c>
      <c r="AS7" s="9">
        <f t="shared" si="17"/>
        <v>1.7170000000000001</v>
      </c>
      <c r="AT7" s="10">
        <v>0.1828908353</v>
      </c>
      <c r="AU7" s="9">
        <v>0.23037490999999999</v>
      </c>
      <c r="AW7" s="10">
        <f t="shared" si="18"/>
        <v>0.86651526621246533</v>
      </c>
      <c r="AX7" s="10">
        <f t="shared" si="19"/>
        <v>0</v>
      </c>
      <c r="AZ7" s="10">
        <f t="shared" si="20"/>
        <v>0.23037490999999999</v>
      </c>
      <c r="BA7" s="10">
        <f t="shared" si="21"/>
        <v>0.63614062689163609</v>
      </c>
      <c r="BB7" s="10">
        <f t="shared" si="22"/>
        <v>0</v>
      </c>
      <c r="BC7" s="10">
        <f t="shared" si="23"/>
        <v>0</v>
      </c>
      <c r="BD7" s="10">
        <f t="shared" si="24"/>
        <v>0</v>
      </c>
      <c r="BF7" s="1">
        <f t="shared" si="25"/>
        <v>-2.7067917074408143E-7</v>
      </c>
    </row>
    <row r="8" spans="2:58" x14ac:dyDescent="0.2">
      <c r="B8" s="13" t="s">
        <v>61</v>
      </c>
      <c r="C8" s="12" t="s">
        <v>57</v>
      </c>
      <c r="D8" s="12">
        <v>0.2132</v>
      </c>
      <c r="E8" s="12">
        <v>0</v>
      </c>
      <c r="F8" s="12">
        <v>1.9761</v>
      </c>
      <c r="G8" s="12">
        <v>0</v>
      </c>
      <c r="H8" s="12">
        <v>1.714</v>
      </c>
      <c r="I8" s="12">
        <v>0</v>
      </c>
      <c r="J8" s="12">
        <v>1.2587667383061449</v>
      </c>
      <c r="K8" s="12">
        <v>0</v>
      </c>
      <c r="L8" s="12">
        <v>0</v>
      </c>
      <c r="M8" s="12">
        <v>273134.21999999997</v>
      </c>
      <c r="N8" s="12">
        <v>144062.46</v>
      </c>
      <c r="O8" s="12">
        <v>0.45</v>
      </c>
      <c r="Q8" s="15">
        <v>110.94272599999999</v>
      </c>
      <c r="R8" s="15">
        <v>-21.501526999999999</v>
      </c>
      <c r="S8" s="15">
        <v>160</v>
      </c>
      <c r="T8" s="15">
        <v>140.36716899999999</v>
      </c>
      <c r="U8" s="15">
        <v>160.45006900000001</v>
      </c>
      <c r="V8" s="15">
        <v>113.683173</v>
      </c>
      <c r="W8" s="15">
        <v>20.241166</v>
      </c>
      <c r="X8" s="15">
        <v>13.326013</v>
      </c>
      <c r="Z8" s="1" t="str">
        <f t="shared" si="0"/>
        <v>TX_Bio_Ethanol_Herb</v>
      </c>
      <c r="AA8" s="1" t="str">
        <f t="shared" si="1"/>
        <v>Biomass_Herb</v>
      </c>
      <c r="AB8" s="11">
        <f t="shared" si="2"/>
        <v>95.85537570544227</v>
      </c>
      <c r="AC8" s="11">
        <f t="shared" si="3"/>
        <v>95.85537570544227</v>
      </c>
      <c r="AD8" s="5">
        <f t="shared" si="4"/>
        <v>0</v>
      </c>
      <c r="AE8" s="1">
        <f t="shared" si="5"/>
        <v>-2.1838047625120187</v>
      </c>
      <c r="AF8" s="1">
        <f t="shared" si="6"/>
        <v>0</v>
      </c>
      <c r="AG8" s="1">
        <f t="array" ref="AG8">_xlfn.IFS(C8="Biomass_Corn", 1/F8*S8, C8="Biomass_Agri", 1/F8*V8, C8="Biomass_Wood", 1/F8*U8, C8="Biomass_Herb", 1/F8*T8)</f>
        <v>71.032421942209396</v>
      </c>
      <c r="AH8" s="1">
        <f t="shared" si="7"/>
        <v>0</v>
      </c>
      <c r="AI8" s="1">
        <f t="shared" si="8"/>
        <v>17.531560750666046</v>
      </c>
      <c r="AJ8" s="1">
        <f t="shared" si="9"/>
        <v>9.2468815126145572</v>
      </c>
      <c r="AK8" s="1">
        <f t="shared" si="10"/>
        <v>0.22772126916654017</v>
      </c>
      <c r="AL8" s="1">
        <f t="shared" si="11"/>
        <v>5.3630672258719869E-6</v>
      </c>
      <c r="AM8" s="1">
        <f t="shared" si="12"/>
        <v>0</v>
      </c>
      <c r="AN8" s="1">
        <f t="shared" si="13"/>
        <v>5.9499329775949592E-4</v>
      </c>
      <c r="AO8" s="1">
        <f t="shared" si="14"/>
        <v>5.3630672258719869E-6</v>
      </c>
      <c r="AP8" s="1">
        <f t="shared" si="15"/>
        <v>0</v>
      </c>
      <c r="AQ8" s="1">
        <f t="shared" si="16"/>
        <v>5.9499329775949592E-4</v>
      </c>
      <c r="AS8" s="9">
        <f t="shared" si="17"/>
        <v>1.714</v>
      </c>
      <c r="AT8" s="10">
        <v>0.1828908353</v>
      </c>
      <c r="AU8" s="9">
        <v>0.23037490999999999</v>
      </c>
      <c r="AW8" s="10">
        <f t="shared" si="18"/>
        <v>0.86736501189211068</v>
      </c>
      <c r="AX8" s="10">
        <f t="shared" si="19"/>
        <v>0</v>
      </c>
      <c r="AZ8" s="10">
        <f t="shared" si="20"/>
        <v>0.23037490999999999</v>
      </c>
      <c r="BA8" s="10">
        <f t="shared" si="21"/>
        <v>0.63699546495933657</v>
      </c>
      <c r="BB8" s="10">
        <f t="shared" si="22"/>
        <v>0</v>
      </c>
      <c r="BC8" s="10">
        <f t="shared" si="23"/>
        <v>0</v>
      </c>
      <c r="BD8" s="10">
        <f t="shared" si="24"/>
        <v>0</v>
      </c>
      <c r="BF8" s="1">
        <f t="shared" si="25"/>
        <v>-5.3630672258719869E-6</v>
      </c>
    </row>
    <row r="9" spans="2:58" ht="17" customHeight="1" x14ac:dyDescent="0.2">
      <c r="B9" s="13" t="s">
        <v>62</v>
      </c>
      <c r="C9" s="12" t="s">
        <v>63</v>
      </c>
      <c r="D9" s="12">
        <v>0.22409999999999999</v>
      </c>
      <c r="E9" s="12">
        <v>0</v>
      </c>
      <c r="F9" s="12">
        <v>2.0762</v>
      </c>
      <c r="G9" s="12">
        <v>0</v>
      </c>
      <c r="H9" s="12">
        <v>1.802</v>
      </c>
      <c r="I9" s="12">
        <v>0</v>
      </c>
      <c r="J9" s="12">
        <v>1.32369155369136</v>
      </c>
      <c r="K9" s="12">
        <v>0</v>
      </c>
      <c r="L9" s="12">
        <v>0</v>
      </c>
      <c r="M9" s="12">
        <v>273134.21999999997</v>
      </c>
      <c r="N9" s="12">
        <v>144062.46</v>
      </c>
      <c r="O9" s="12">
        <v>0.45</v>
      </c>
      <c r="Q9" s="15">
        <v>110.94272599999999</v>
      </c>
      <c r="R9" s="15">
        <v>-31.699415999999999</v>
      </c>
      <c r="S9" s="15">
        <v>160</v>
      </c>
      <c r="T9" s="15">
        <v>112.750244</v>
      </c>
      <c r="U9" s="15">
        <v>129.799364</v>
      </c>
      <c r="V9" s="15">
        <v>101.33199</v>
      </c>
      <c r="W9" s="15">
        <v>25.368286000000001</v>
      </c>
      <c r="X9" s="15">
        <v>13.422007000000001</v>
      </c>
      <c r="Z9" s="1" t="str">
        <f t="shared" si="0"/>
        <v>CEN_Bio_Ethanol_Wood</v>
      </c>
      <c r="AA9" s="1" t="str">
        <f t="shared" si="1"/>
        <v>Biomass_Wood</v>
      </c>
      <c r="AB9" s="11">
        <f t="shared" si="2"/>
        <v>85.483460475772631</v>
      </c>
      <c r="AC9" s="11">
        <f t="shared" si="3"/>
        <v>85.483460475772631</v>
      </c>
      <c r="AD9" s="5">
        <f t="shared" si="4"/>
        <v>0</v>
      </c>
      <c r="AE9" s="1">
        <f t="shared" si="5"/>
        <v>-2.7381913556497448</v>
      </c>
      <c r="AF9" s="1">
        <f t="shared" si="6"/>
        <v>0</v>
      </c>
      <c r="AG9" s="1">
        <f t="array" ref="AG9">_xlfn.IFS(C9="Biomass_Corn", 1/F9*S9, C9="Biomass_Agri", 1/F9*V9, C9="Biomass_Wood", 1/F9*U9, C9="Biomass_Herb", 1/F9*T9)</f>
        <v>62.517755514882957</v>
      </c>
      <c r="AH9" s="1">
        <f t="shared" si="7"/>
        <v>0</v>
      </c>
      <c r="AI9" s="1">
        <f t="shared" si="8"/>
        <v>16.686310181770139</v>
      </c>
      <c r="AJ9" s="1">
        <f t="shared" si="9"/>
        <v>8.8010608597811508</v>
      </c>
      <c r="AK9" s="1">
        <f t="shared" si="10"/>
        <v>0.2167421250361237</v>
      </c>
      <c r="AL9" s="1">
        <f t="shared" si="11"/>
        <v>-1.9546125806790826E-6</v>
      </c>
      <c r="AM9" s="1">
        <f t="shared" si="12"/>
        <v>0</v>
      </c>
      <c r="AN9" s="1">
        <f t="shared" si="13"/>
        <v>-2.1685004797443235E-4</v>
      </c>
      <c r="AO9" s="1">
        <f t="shared" si="14"/>
        <v>-1.9546125806790826E-6</v>
      </c>
      <c r="AP9" s="1">
        <f t="shared" si="15"/>
        <v>0</v>
      </c>
      <c r="AQ9" s="1">
        <f t="shared" si="16"/>
        <v>-2.1685004797443235E-4</v>
      </c>
      <c r="AS9" s="9">
        <f t="shared" si="17"/>
        <v>1.802</v>
      </c>
      <c r="AT9" s="10">
        <v>0.1828908353</v>
      </c>
      <c r="AU9" s="9">
        <v>0.23037490999999999</v>
      </c>
      <c r="AW9" s="10">
        <f t="shared" si="18"/>
        <v>0.86793179847798863</v>
      </c>
      <c r="AX9" s="10">
        <f t="shared" si="19"/>
        <v>0</v>
      </c>
      <c r="AZ9" s="10">
        <f t="shared" si="20"/>
        <v>0.23037490999999999</v>
      </c>
      <c r="BA9" s="10">
        <f t="shared" si="21"/>
        <v>0.63755493386540796</v>
      </c>
      <c r="BB9" s="10">
        <f t="shared" si="22"/>
        <v>0</v>
      </c>
      <c r="BC9" s="10">
        <f t="shared" si="23"/>
        <v>0</v>
      </c>
      <c r="BD9" s="10">
        <f t="shared" si="24"/>
        <v>0</v>
      </c>
      <c r="BF9" s="1">
        <f t="shared" si="25"/>
        <v>1.9546125806790826E-6</v>
      </c>
    </row>
    <row r="10" spans="2:58" x14ac:dyDescent="0.2">
      <c r="B10" s="13" t="s">
        <v>64</v>
      </c>
      <c r="C10" s="12" t="s">
        <v>63</v>
      </c>
      <c r="D10" s="12">
        <v>0.2233</v>
      </c>
      <c r="E10" s="12">
        <v>0</v>
      </c>
      <c r="F10" s="12">
        <v>2.0697000000000001</v>
      </c>
      <c r="G10" s="12">
        <v>0</v>
      </c>
      <c r="H10" s="12">
        <v>1.806</v>
      </c>
      <c r="I10" s="12">
        <v>0</v>
      </c>
      <c r="J10" s="12">
        <v>1.329196457035803</v>
      </c>
      <c r="K10" s="12">
        <v>0</v>
      </c>
      <c r="L10" s="12">
        <v>0</v>
      </c>
      <c r="M10" s="12">
        <v>273134.21999999997</v>
      </c>
      <c r="N10" s="12">
        <v>144062.46</v>
      </c>
      <c r="O10" s="12">
        <v>0.45</v>
      </c>
      <c r="Q10" s="15">
        <v>110.94272599999999</v>
      </c>
      <c r="R10" s="15">
        <v>-53.928761999999999</v>
      </c>
      <c r="S10" s="15">
        <v>160</v>
      </c>
      <c r="T10" s="15">
        <v>101.629081</v>
      </c>
      <c r="U10" s="15">
        <v>109.563401</v>
      </c>
      <c r="V10" s="15">
        <v>90.220664999999997</v>
      </c>
      <c r="W10" s="15">
        <v>39.378855999999999</v>
      </c>
      <c r="X10" s="15">
        <v>13.422667000000001</v>
      </c>
      <c r="Z10" s="1" t="str">
        <f t="shared" si="0"/>
        <v>MIDAT_Bio_Ethanol_Wood</v>
      </c>
      <c r="AA10" s="1" t="str">
        <f t="shared" si="1"/>
        <v>Biomass_Wood</v>
      </c>
      <c r="AB10" s="11">
        <f t="shared" si="2"/>
        <v>74.473286144675583</v>
      </c>
      <c r="AC10" s="11">
        <f t="shared" si="3"/>
        <v>74.473286144675583</v>
      </c>
      <c r="AD10" s="5">
        <f t="shared" si="4"/>
        <v>0</v>
      </c>
      <c r="AE10" s="1">
        <f t="shared" si="5"/>
        <v>-4.2485860486060778</v>
      </c>
      <c r="AF10" s="1">
        <f t="shared" si="6"/>
        <v>0</v>
      </c>
      <c r="AG10" s="1">
        <f t="array" ref="AG10">_xlfn.IFS(C10="Biomass_Corn", 1/F10*S10, C10="Biomass_Agri", 1/F10*V10, C10="Biomass_Wood", 1/F10*U10, C10="Biomass_Herb", 1/F10*T10)</f>
        <v>52.936851234478418</v>
      </c>
      <c r="AH10" s="1">
        <f t="shared" si="7"/>
        <v>0</v>
      </c>
      <c r="AI10" s="1">
        <f t="shared" si="8"/>
        <v>16.738714402759417</v>
      </c>
      <c r="AJ10" s="1">
        <f t="shared" si="9"/>
        <v>8.8287010470491492</v>
      </c>
      <c r="AK10" s="1">
        <f t="shared" si="10"/>
        <v>0.21742281490071025</v>
      </c>
      <c r="AL10" s="1">
        <f t="shared" si="11"/>
        <v>1.6467424278632237E-6</v>
      </c>
      <c r="AM10" s="1">
        <f t="shared" si="12"/>
        <v>0</v>
      </c>
      <c r="AN10" s="1">
        <f t="shared" si="13"/>
        <v>1.8269409396700438E-4</v>
      </c>
      <c r="AO10" s="1">
        <f t="shared" si="14"/>
        <v>1.6467424278632237E-6</v>
      </c>
      <c r="AP10" s="1">
        <f t="shared" si="15"/>
        <v>0</v>
      </c>
      <c r="AQ10" s="1">
        <f t="shared" si="16"/>
        <v>1.8269409396700438E-4</v>
      </c>
      <c r="AS10" s="9">
        <f t="shared" si="17"/>
        <v>1.806</v>
      </c>
      <c r="AT10" s="10">
        <v>0.1828908353</v>
      </c>
      <c r="AU10" s="9">
        <v>0.23037490999999999</v>
      </c>
      <c r="AW10" s="10">
        <f t="shared" si="18"/>
        <v>0.87259023046818374</v>
      </c>
      <c r="AX10" s="10">
        <f t="shared" si="19"/>
        <v>0</v>
      </c>
      <c r="AZ10" s="10">
        <f t="shared" si="20"/>
        <v>0.23037490999999999</v>
      </c>
      <c r="BA10" s="10">
        <f t="shared" si="21"/>
        <v>0.64221696721061161</v>
      </c>
      <c r="BB10" s="10">
        <f t="shared" si="22"/>
        <v>0</v>
      </c>
      <c r="BC10" s="10">
        <f t="shared" si="23"/>
        <v>0</v>
      </c>
      <c r="BD10" s="10">
        <f t="shared" si="24"/>
        <v>0</v>
      </c>
      <c r="BF10" s="1">
        <f t="shared" si="25"/>
        <v>-1.6467424278632237E-6</v>
      </c>
    </row>
    <row r="11" spans="2:58" x14ac:dyDescent="0.2">
      <c r="B11" s="13" t="s">
        <v>65</v>
      </c>
      <c r="C11" s="12" t="s">
        <v>63</v>
      </c>
      <c r="D11" s="12">
        <v>0.22389999999999999</v>
      </c>
      <c r="E11" s="12">
        <v>0</v>
      </c>
      <c r="F11" s="12">
        <v>2.0750999999999999</v>
      </c>
      <c r="G11" s="12">
        <v>0</v>
      </c>
      <c r="H11" s="12">
        <v>1.802</v>
      </c>
      <c r="I11" s="12">
        <v>0</v>
      </c>
      <c r="J11" s="12">
        <v>1.3239423709154341</v>
      </c>
      <c r="K11" s="12">
        <v>0</v>
      </c>
      <c r="L11" s="12">
        <v>0</v>
      </c>
      <c r="M11" s="12">
        <v>273134.21999999997</v>
      </c>
      <c r="N11" s="12">
        <v>144062.46</v>
      </c>
      <c r="O11" s="12">
        <v>0.45</v>
      </c>
      <c r="Q11" s="15">
        <v>110.94272599999999</v>
      </c>
      <c r="R11" s="15">
        <v>-41.712553</v>
      </c>
      <c r="S11" s="15">
        <v>160</v>
      </c>
      <c r="T11" s="15">
        <v>106.47328400000001</v>
      </c>
      <c r="U11" s="15">
        <v>117.9145</v>
      </c>
      <c r="V11" s="15">
        <v>93.425466999999998</v>
      </c>
      <c r="W11" s="15">
        <v>30.730081999999999</v>
      </c>
      <c r="X11" s="15">
        <v>13.422086999999999</v>
      </c>
      <c r="Z11" s="1" t="str">
        <f t="shared" si="0"/>
        <v>NCEN_Bio_Ethanol_Wood</v>
      </c>
      <c r="AA11" s="1" t="str">
        <f t="shared" si="1"/>
        <v>Biomass_Wood</v>
      </c>
      <c r="AB11" s="11">
        <f t="shared" si="2"/>
        <v>79.225182524503211</v>
      </c>
      <c r="AC11" s="11">
        <f t="shared" si="3"/>
        <v>79.225182524503211</v>
      </c>
      <c r="AD11" s="5">
        <f t="shared" si="4"/>
        <v>0</v>
      </c>
      <c r="AE11" s="1">
        <f t="shared" si="5"/>
        <v>-3.3157271263071659</v>
      </c>
      <c r="AF11" s="1">
        <f t="shared" si="6"/>
        <v>0</v>
      </c>
      <c r="AG11" s="1">
        <f t="array" ref="AG11">_xlfn.IFS(C11="Biomass_Corn", 1/F11*S11, C11="Biomass_Agri", 1/F11*V11, C11="Biomass_Wood", 1/F11*U11, C11="Biomass_Herb", 1/F11*T11)</f>
        <v>56.823526577032439</v>
      </c>
      <c r="AH11" s="1">
        <f t="shared" si="7"/>
        <v>0</v>
      </c>
      <c r="AI11" s="1">
        <f t="shared" si="8"/>
        <v>16.695155510284405</v>
      </c>
      <c r="AJ11" s="1">
        <f t="shared" si="9"/>
        <v>8.8057262575671658</v>
      </c>
      <c r="AK11" s="1">
        <f t="shared" si="10"/>
        <v>0.21685701893884632</v>
      </c>
      <c r="AL11" s="1">
        <f t="shared" si="11"/>
        <v>-3.2062761148310415E-6</v>
      </c>
      <c r="AM11" s="1">
        <f t="shared" si="12"/>
        <v>0</v>
      </c>
      <c r="AN11" s="1">
        <f t="shared" si="13"/>
        <v>-3.5571301248804474E-4</v>
      </c>
      <c r="AO11" s="1">
        <f t="shared" si="14"/>
        <v>-3.2062761148310415E-6</v>
      </c>
      <c r="AP11" s="1">
        <f t="shared" si="15"/>
        <v>0</v>
      </c>
      <c r="AQ11" s="1">
        <f t="shared" si="16"/>
        <v>-3.5571301248804474E-4</v>
      </c>
      <c r="AS11" s="9">
        <f t="shared" si="17"/>
        <v>1.802</v>
      </c>
      <c r="AT11" s="10">
        <v>0.1828908353</v>
      </c>
      <c r="AU11" s="9">
        <v>0.23037490999999999</v>
      </c>
      <c r="AW11" s="10">
        <f t="shared" si="18"/>
        <v>0.86839188472844686</v>
      </c>
      <c r="AX11" s="10">
        <f t="shared" si="19"/>
        <v>0</v>
      </c>
      <c r="AZ11" s="10">
        <f t="shared" si="20"/>
        <v>0.23037490999999999</v>
      </c>
      <c r="BA11" s="10">
        <f t="shared" si="21"/>
        <v>0.63801376845233204</v>
      </c>
      <c r="BB11" s="10">
        <f t="shared" si="22"/>
        <v>0</v>
      </c>
      <c r="BC11" s="10">
        <f t="shared" si="23"/>
        <v>0</v>
      </c>
      <c r="BD11" s="10">
        <f t="shared" si="24"/>
        <v>0</v>
      </c>
      <c r="BF11" s="1">
        <f t="shared" si="25"/>
        <v>3.2062761148310415E-6</v>
      </c>
    </row>
    <row r="12" spans="2:58" x14ac:dyDescent="0.2">
      <c r="B12" s="13" t="s">
        <v>66</v>
      </c>
      <c r="C12" s="12" t="s">
        <v>63</v>
      </c>
      <c r="D12" s="12">
        <v>0.22489999999999999</v>
      </c>
      <c r="E12" s="12">
        <v>0</v>
      </c>
      <c r="F12" s="12">
        <v>2.0838000000000001</v>
      </c>
      <c r="G12" s="12">
        <v>0</v>
      </c>
      <c r="H12" s="12">
        <v>1.821</v>
      </c>
      <c r="I12" s="12">
        <v>0</v>
      </c>
      <c r="J12" s="12">
        <v>1.340935833122844</v>
      </c>
      <c r="K12" s="12">
        <v>0</v>
      </c>
      <c r="L12" s="12">
        <v>0</v>
      </c>
      <c r="M12" s="12">
        <v>273134.21999999997</v>
      </c>
      <c r="N12" s="12">
        <v>144062.46</v>
      </c>
      <c r="O12" s="12">
        <v>0.45</v>
      </c>
      <c r="Q12" s="15">
        <v>110.94272599999999</v>
      </c>
      <c r="R12" s="15">
        <v>-47.669266999999998</v>
      </c>
      <c r="S12" s="15">
        <v>160</v>
      </c>
      <c r="T12" s="15">
        <v>100.492544</v>
      </c>
      <c r="U12" s="15">
        <v>115.666566</v>
      </c>
      <c r="V12" s="15">
        <v>89.651598000000007</v>
      </c>
      <c r="W12" s="15">
        <v>38.232120000000002</v>
      </c>
      <c r="X12" s="15">
        <v>13.421991999999999</v>
      </c>
      <c r="Z12" s="1" t="str">
        <f t="shared" si="0"/>
        <v>SE_Bio_Ethanol_Wood</v>
      </c>
      <c r="AA12" s="1" t="str">
        <f t="shared" si="1"/>
        <v>Biomass_Wood</v>
      </c>
      <c r="AB12" s="11">
        <f t="shared" si="2"/>
        <v>76.99109862480374</v>
      </c>
      <c r="AC12" s="11">
        <f t="shared" si="3"/>
        <v>76.99109862480374</v>
      </c>
      <c r="AD12" s="5">
        <f t="shared" si="4"/>
        <v>0</v>
      </c>
      <c r="AE12" s="1">
        <f t="shared" si="5"/>
        <v>-4.1263095249064206</v>
      </c>
      <c r="AF12" s="1">
        <f t="shared" si="6"/>
        <v>0</v>
      </c>
      <c r="AG12" s="1">
        <f t="array" ref="AG12">_xlfn.IFS(C12="Biomass_Corn", 1/F12*S12, C12="Biomass_Agri", 1/F12*V12, C12="Biomass_Wood", 1/F12*U12, C12="Biomass_Herb", 1/F12*T12)</f>
        <v>55.507517995968897</v>
      </c>
      <c r="AH12" s="1">
        <f t="shared" si="7"/>
        <v>0</v>
      </c>
      <c r="AI12" s="1">
        <f t="shared" si="8"/>
        <v>16.625452154425169</v>
      </c>
      <c r="AJ12" s="1">
        <f t="shared" si="9"/>
        <v>8.7689617799585484</v>
      </c>
      <c r="AK12" s="1">
        <f t="shared" si="10"/>
        <v>0.21595162683558883</v>
      </c>
      <c r="AL12" s="1">
        <f t="shared" si="11"/>
        <v>-4.2851613186734028E-6</v>
      </c>
      <c r="AM12" s="1">
        <f t="shared" si="12"/>
        <v>0</v>
      </c>
      <c r="AN12" s="1">
        <f t="shared" si="13"/>
        <v>-4.7540747804338196E-4</v>
      </c>
      <c r="AO12" s="1">
        <f t="shared" si="14"/>
        <v>-4.2851613186734028E-6</v>
      </c>
      <c r="AP12" s="1">
        <f t="shared" si="15"/>
        <v>0</v>
      </c>
      <c r="AQ12" s="1">
        <f t="shared" si="16"/>
        <v>-4.7540747804338196E-4</v>
      </c>
      <c r="AS12" s="9">
        <f t="shared" si="17"/>
        <v>1.821</v>
      </c>
      <c r="AT12" s="10">
        <v>0.1828908353</v>
      </c>
      <c r="AU12" s="9">
        <v>0.23037490999999999</v>
      </c>
      <c r="AW12" s="10">
        <f t="shared" si="18"/>
        <v>0.87388424992801605</v>
      </c>
      <c r="AX12" s="10">
        <f t="shared" si="19"/>
        <v>0</v>
      </c>
      <c r="AZ12" s="10">
        <f t="shared" si="20"/>
        <v>0.23037490999999999</v>
      </c>
      <c r="BA12" s="10">
        <f t="shared" si="21"/>
        <v>0.64350505476669739</v>
      </c>
      <c r="BB12" s="10">
        <f t="shared" si="22"/>
        <v>0</v>
      </c>
      <c r="BC12" s="10">
        <f t="shared" si="23"/>
        <v>0</v>
      </c>
      <c r="BD12" s="10">
        <f t="shared" si="24"/>
        <v>0</v>
      </c>
      <c r="BF12" s="1">
        <f t="shared" si="25"/>
        <v>4.2851613186734028E-6</v>
      </c>
    </row>
    <row r="13" spans="2:58" x14ac:dyDescent="0.2">
      <c r="B13" s="13" t="s">
        <v>67</v>
      </c>
      <c r="C13" s="12" t="s">
        <v>63</v>
      </c>
      <c r="D13" s="12">
        <v>0.22209999999999999</v>
      </c>
      <c r="E13" s="12">
        <v>0</v>
      </c>
      <c r="F13" s="12">
        <v>2.0577000000000001</v>
      </c>
      <c r="G13" s="12">
        <v>0</v>
      </c>
      <c r="H13" s="12">
        <v>1.821</v>
      </c>
      <c r="I13" s="12">
        <v>0</v>
      </c>
      <c r="J13" s="12">
        <v>1.3469554465006139</v>
      </c>
      <c r="K13" s="12">
        <v>0</v>
      </c>
      <c r="L13" s="12">
        <v>0</v>
      </c>
      <c r="M13" s="12">
        <v>273134.21999999997</v>
      </c>
      <c r="N13" s="12">
        <v>144062.46</v>
      </c>
      <c r="O13" s="12">
        <v>0.45</v>
      </c>
      <c r="Q13" s="15">
        <v>110.94272599999999</v>
      </c>
      <c r="R13" s="15">
        <v>-21.501526999999999</v>
      </c>
      <c r="S13" s="15">
        <v>160</v>
      </c>
      <c r="T13" s="15">
        <v>140.36716899999999</v>
      </c>
      <c r="U13" s="15">
        <v>160.45006900000001</v>
      </c>
      <c r="V13" s="15">
        <v>113.683173</v>
      </c>
      <c r="W13" s="15">
        <v>20.241166</v>
      </c>
      <c r="X13" s="15">
        <v>13.326013</v>
      </c>
      <c r="Z13" s="1" t="str">
        <f t="shared" si="0"/>
        <v>TX_Bio_Ethanol_Wood</v>
      </c>
      <c r="AA13" s="1" t="str">
        <f t="shared" si="1"/>
        <v>Biomass_Wood</v>
      </c>
      <c r="AB13" s="11">
        <f t="shared" si="2"/>
        <v>101.72578737223969</v>
      </c>
      <c r="AC13" s="11">
        <f t="shared" si="3"/>
        <v>101.72578737223969</v>
      </c>
      <c r="AD13" s="5">
        <f t="shared" si="4"/>
        <v>0</v>
      </c>
      <c r="AE13" s="1">
        <f t="shared" si="5"/>
        <v>-2.1847514062302569</v>
      </c>
      <c r="AF13" s="1">
        <f t="shared" si="6"/>
        <v>0</v>
      </c>
      <c r="AG13" s="1">
        <f t="array" ref="AG13">_xlfn.IFS(C13="Biomass_Corn", 1/F13*S13, C13="Biomass_Agri", 1/F13*V13, C13="Biomass_Wood", 1/F13*U13, C13="Biomass_Herb", 1/F13*T13)</f>
        <v>77.975442970306659</v>
      </c>
      <c r="AH13" s="1">
        <f t="shared" si="7"/>
        <v>0</v>
      </c>
      <c r="AI13" s="1">
        <f t="shared" si="8"/>
        <v>16.836330465758454</v>
      </c>
      <c r="AJ13" s="1">
        <f t="shared" si="9"/>
        <v>8.8801878588120839</v>
      </c>
      <c r="AK13" s="1">
        <f t="shared" si="10"/>
        <v>0.21869077124945327</v>
      </c>
      <c r="AL13" s="1">
        <f t="shared" si="11"/>
        <v>-1.0211364076528895E-6</v>
      </c>
      <c r="AM13" s="1">
        <f t="shared" si="12"/>
        <v>0</v>
      </c>
      <c r="AN13" s="1">
        <f t="shared" si="13"/>
        <v>-1.1328765668285881E-4</v>
      </c>
      <c r="AO13" s="1">
        <f t="shared" si="14"/>
        <v>-1.0211364076528895E-6</v>
      </c>
      <c r="AP13" s="1">
        <f t="shared" si="15"/>
        <v>0</v>
      </c>
      <c r="AQ13" s="1">
        <f t="shared" si="16"/>
        <v>-1.1328765668285881E-4</v>
      </c>
      <c r="AS13" s="9">
        <f t="shared" si="17"/>
        <v>1.821</v>
      </c>
      <c r="AT13" s="10">
        <v>0.1828908353</v>
      </c>
      <c r="AU13" s="9">
        <v>0.23037490999999999</v>
      </c>
      <c r="AW13" s="10">
        <f t="shared" si="18"/>
        <v>0.88496865432278748</v>
      </c>
      <c r="AX13" s="10">
        <f t="shared" si="19"/>
        <v>0</v>
      </c>
      <c r="AZ13" s="10">
        <f t="shared" si="20"/>
        <v>0.23037490999999999</v>
      </c>
      <c r="BA13" s="10">
        <f t="shared" si="21"/>
        <v>0.65459272318637984</v>
      </c>
      <c r="BB13" s="10">
        <f t="shared" si="22"/>
        <v>0</v>
      </c>
      <c r="BC13" s="10">
        <f t="shared" si="23"/>
        <v>0</v>
      </c>
      <c r="BD13" s="10">
        <f t="shared" si="24"/>
        <v>0</v>
      </c>
      <c r="BF13" s="1">
        <f t="shared" si="25"/>
        <v>1.0211364076528895E-6</v>
      </c>
    </row>
    <row r="14" spans="2:58" x14ac:dyDescent="0.2">
      <c r="B14" s="13" t="s">
        <v>68</v>
      </c>
      <c r="C14" s="12" t="s">
        <v>69</v>
      </c>
      <c r="D14" s="12">
        <v>0.20169999999999999</v>
      </c>
      <c r="E14" s="12">
        <v>0</v>
      </c>
      <c r="F14" s="12">
        <v>1.8694</v>
      </c>
      <c r="G14" s="12">
        <v>0</v>
      </c>
      <c r="H14" s="12">
        <v>1.7</v>
      </c>
      <c r="I14" s="12">
        <v>0</v>
      </c>
      <c r="J14" s="12">
        <v>1.2693468262653731</v>
      </c>
      <c r="K14" s="12">
        <v>0</v>
      </c>
      <c r="L14" s="12">
        <v>0</v>
      </c>
      <c r="M14" s="12">
        <v>273134.21999999997</v>
      </c>
      <c r="N14" s="12">
        <v>144062.46</v>
      </c>
      <c r="O14" s="12">
        <v>0.45</v>
      </c>
      <c r="Q14" s="15">
        <v>110.94272599999999</v>
      </c>
      <c r="R14" s="15">
        <v>-31.699415999999999</v>
      </c>
      <c r="S14" s="15">
        <v>160</v>
      </c>
      <c r="T14" s="15">
        <v>112.750244</v>
      </c>
      <c r="U14" s="15">
        <v>129.799364</v>
      </c>
      <c r="V14" s="15">
        <v>101.33199</v>
      </c>
      <c r="W14" s="15">
        <v>25.368286000000001</v>
      </c>
      <c r="X14" s="15">
        <v>13.422007000000001</v>
      </c>
      <c r="Z14" s="1" t="str">
        <f t="shared" si="0"/>
        <v>CEN_Bio_Ethanol_Agri</v>
      </c>
      <c r="AA14" s="1" t="str">
        <f t="shared" si="1"/>
        <v>Biomass_Agri</v>
      </c>
      <c r="AB14" s="11">
        <f t="shared" si="2"/>
        <v>80.01666884071571</v>
      </c>
      <c r="AC14" s="11">
        <f t="shared" si="3"/>
        <v>80.01666884071571</v>
      </c>
      <c r="AD14" s="5">
        <f t="shared" si="4"/>
        <v>0</v>
      </c>
      <c r="AE14" s="1">
        <f t="shared" si="5"/>
        <v>-2.7371259688670162</v>
      </c>
      <c r="AF14" s="1">
        <f t="shared" si="6"/>
        <v>0</v>
      </c>
      <c r="AG14" s="1">
        <f t="array" ref="AG14">_xlfn.IFS(C14="Biomass_Corn", 1/F14*S14, C14="Biomass_Agri", 1/F14*V14, C14="Biomass_Wood", 1/F14*U14, C14="Biomass_Herb", 1/F14*T14)</f>
        <v>54.205622124745908</v>
      </c>
      <c r="AH14" s="1">
        <f t="shared" si="7"/>
        <v>0</v>
      </c>
      <c r="AI14" s="1">
        <f t="shared" si="8"/>
        <v>18.5322120463203</v>
      </c>
      <c r="AJ14" s="1">
        <f t="shared" si="9"/>
        <v>9.7746670359888874</v>
      </c>
      <c r="AK14" s="1">
        <f t="shared" si="10"/>
        <v>0.24071894725580401</v>
      </c>
      <c r="AL14" s="1">
        <f t="shared" si="11"/>
        <v>5.1797471771752868E-6</v>
      </c>
      <c r="AM14" s="1">
        <f t="shared" si="12"/>
        <v>0</v>
      </c>
      <c r="AN14" s="1">
        <f t="shared" si="13"/>
        <v>5.7465527182663128E-4</v>
      </c>
      <c r="AO14" s="1">
        <f t="shared" si="14"/>
        <v>5.1797471771752868E-6</v>
      </c>
      <c r="AP14" s="1">
        <f t="shared" si="15"/>
        <v>0</v>
      </c>
      <c r="AQ14" s="1">
        <f t="shared" si="16"/>
        <v>5.7465527182663128E-4</v>
      </c>
      <c r="AS14" s="9">
        <f t="shared" si="17"/>
        <v>1.7</v>
      </c>
      <c r="AT14" s="10">
        <v>0.1828908353</v>
      </c>
      <c r="AU14" s="9">
        <v>0.23037490999999999</v>
      </c>
      <c r="AW14" s="10">
        <f t="shared" si="18"/>
        <v>0.90938268963303737</v>
      </c>
      <c r="AX14" s="10">
        <f t="shared" si="19"/>
        <v>0</v>
      </c>
      <c r="AZ14" s="10">
        <f t="shared" si="20"/>
        <v>0.23037490999999999</v>
      </c>
      <c r="BA14" s="10">
        <f t="shared" si="21"/>
        <v>0.67901295938021455</v>
      </c>
      <c r="BB14" s="10">
        <f t="shared" si="22"/>
        <v>0</v>
      </c>
      <c r="BC14" s="10">
        <f t="shared" si="23"/>
        <v>0</v>
      </c>
      <c r="BD14" s="10">
        <f t="shared" si="24"/>
        <v>0</v>
      </c>
      <c r="BF14" s="1">
        <f t="shared" si="25"/>
        <v>-5.1797471771752868E-6</v>
      </c>
    </row>
    <row r="15" spans="2:58" x14ac:dyDescent="0.2">
      <c r="B15" s="13" t="s">
        <v>70</v>
      </c>
      <c r="C15" s="12" t="s">
        <v>69</v>
      </c>
      <c r="D15" s="12">
        <v>0.20300000000000001</v>
      </c>
      <c r="E15" s="12">
        <v>0</v>
      </c>
      <c r="F15" s="12">
        <v>1.8813</v>
      </c>
      <c r="G15" s="12">
        <v>0</v>
      </c>
      <c r="H15" s="12">
        <v>1.708</v>
      </c>
      <c r="I15" s="12">
        <v>0</v>
      </c>
      <c r="J15" s="12">
        <v>1.274587836800561</v>
      </c>
      <c r="K15" s="12">
        <v>0</v>
      </c>
      <c r="L15" s="12">
        <v>0</v>
      </c>
      <c r="M15" s="12">
        <v>273134.21999999997</v>
      </c>
      <c r="N15" s="12">
        <v>144062.46</v>
      </c>
      <c r="O15" s="12">
        <v>0.45</v>
      </c>
      <c r="Q15" s="15">
        <v>110.94272599999999</v>
      </c>
      <c r="R15" s="15">
        <v>-53.928761999999999</v>
      </c>
      <c r="S15" s="15">
        <v>160</v>
      </c>
      <c r="T15" s="15">
        <v>101.629081</v>
      </c>
      <c r="U15" s="15">
        <v>109.563401</v>
      </c>
      <c r="V15" s="15">
        <v>90.220664999999997</v>
      </c>
      <c r="W15" s="15">
        <v>39.378855999999999</v>
      </c>
      <c r="X15" s="15">
        <v>13.422667000000001</v>
      </c>
      <c r="Z15" s="1" t="str">
        <f t="shared" si="0"/>
        <v>MIDAT_Bio_Ethanol_Agri</v>
      </c>
      <c r="AA15" s="1" t="str">
        <f t="shared" si="1"/>
        <v>Biomass_Agri</v>
      </c>
      <c r="AB15" s="11">
        <f t="shared" si="2"/>
        <v>72.073973657024155</v>
      </c>
      <c r="AC15" s="11">
        <f t="shared" si="3"/>
        <v>72.073973657024155</v>
      </c>
      <c r="AD15" s="5">
        <f t="shared" si="4"/>
        <v>0</v>
      </c>
      <c r="AE15" s="1">
        <f t="shared" si="5"/>
        <v>-4.2491403646414714</v>
      </c>
      <c r="AF15" s="1">
        <f t="shared" si="6"/>
        <v>0</v>
      </c>
      <c r="AG15" s="1">
        <f t="array" ref="AG15">_xlfn.IFS(C15="Biomass_Corn", 1/F15*S15, C15="Biomass_Agri", 1/F15*V15, C15="Biomass_Wood", 1/F15*U15, C15="Biomass_Herb", 1/F15*T15)</f>
        <v>47.956553978631803</v>
      </c>
      <c r="AH15" s="1">
        <f t="shared" si="7"/>
        <v>0</v>
      </c>
      <c r="AI15" s="1">
        <f t="shared" si="8"/>
        <v>18.41498814617082</v>
      </c>
      <c r="AJ15" s="1">
        <f t="shared" si="9"/>
        <v>9.7128382273309022</v>
      </c>
      <c r="AK15" s="1">
        <f t="shared" si="10"/>
        <v>0.23919630043055334</v>
      </c>
      <c r="AL15" s="1">
        <f t="shared" si="11"/>
        <v>-4.1699975755760121E-6</v>
      </c>
      <c r="AM15" s="1">
        <f t="shared" si="12"/>
        <v>0</v>
      </c>
      <c r="AN15" s="1">
        <f t="shared" si="13"/>
        <v>-4.6263089844779376E-4</v>
      </c>
      <c r="AO15" s="1">
        <f t="shared" si="14"/>
        <v>-4.1699975755760121E-6</v>
      </c>
      <c r="AP15" s="1">
        <f t="shared" si="15"/>
        <v>0</v>
      </c>
      <c r="AQ15" s="1">
        <f t="shared" si="16"/>
        <v>-4.6263089844779376E-4</v>
      </c>
      <c r="AS15" s="9">
        <f t="shared" si="17"/>
        <v>1.708</v>
      </c>
      <c r="AT15" s="10">
        <v>0.1828908353</v>
      </c>
      <c r="AU15" s="9">
        <v>0.23037490999999999</v>
      </c>
      <c r="AW15" s="10">
        <f t="shared" si="18"/>
        <v>0.90788284696752242</v>
      </c>
      <c r="AX15" s="10">
        <f t="shared" si="19"/>
        <v>0</v>
      </c>
      <c r="AZ15" s="10">
        <f t="shared" si="20"/>
        <v>0.23037490999999999</v>
      </c>
      <c r="BA15" s="10">
        <f t="shared" si="21"/>
        <v>0.67750376696994685</v>
      </c>
      <c r="BB15" s="10">
        <f t="shared" si="22"/>
        <v>0</v>
      </c>
      <c r="BC15" s="10">
        <f t="shared" si="23"/>
        <v>0</v>
      </c>
      <c r="BD15" s="10">
        <f t="shared" si="24"/>
        <v>0</v>
      </c>
      <c r="BF15" s="1">
        <f t="shared" si="25"/>
        <v>4.1699975755760121E-6</v>
      </c>
    </row>
    <row r="16" spans="2:58" x14ac:dyDescent="0.2">
      <c r="B16" s="13" t="s">
        <v>71</v>
      </c>
      <c r="C16" s="12" t="s">
        <v>69</v>
      </c>
      <c r="D16" s="12">
        <v>0.20330000000000001</v>
      </c>
      <c r="E16" s="12">
        <v>0</v>
      </c>
      <c r="F16" s="12">
        <v>1.8835</v>
      </c>
      <c r="G16" s="12">
        <v>0</v>
      </c>
      <c r="H16" s="12">
        <v>1.71</v>
      </c>
      <c r="I16" s="12">
        <v>0</v>
      </c>
      <c r="J16" s="12">
        <v>1.276086202352414</v>
      </c>
      <c r="K16" s="12">
        <v>0</v>
      </c>
      <c r="L16" s="12">
        <v>0</v>
      </c>
      <c r="M16" s="12">
        <v>273134.21999999997</v>
      </c>
      <c r="N16" s="12">
        <v>144062.46</v>
      </c>
      <c r="O16" s="12">
        <v>0.45</v>
      </c>
      <c r="Q16" s="15">
        <v>110.94272599999999</v>
      </c>
      <c r="R16" s="15">
        <v>-41.712553</v>
      </c>
      <c r="S16" s="15">
        <v>160</v>
      </c>
      <c r="T16" s="15">
        <v>106.47328400000001</v>
      </c>
      <c r="U16" s="15">
        <v>117.9145</v>
      </c>
      <c r="V16" s="15">
        <v>93.425466999999998</v>
      </c>
      <c r="W16" s="15">
        <v>30.730081999999999</v>
      </c>
      <c r="X16" s="15">
        <v>13.422086999999999</v>
      </c>
      <c r="Z16" s="1" t="str">
        <f t="shared" si="0"/>
        <v>NCEN_Bio_Ethanol_Agri</v>
      </c>
      <c r="AA16" s="1" t="str">
        <f t="shared" si="1"/>
        <v>Biomass_Agri</v>
      </c>
      <c r="AB16" s="11">
        <f t="shared" si="2"/>
        <v>74.618861996477222</v>
      </c>
      <c r="AC16" s="11">
        <f t="shared" si="3"/>
        <v>74.618861996477222</v>
      </c>
      <c r="AD16" s="5">
        <f t="shared" si="4"/>
        <v>0</v>
      </c>
      <c r="AE16" s="1">
        <f t="shared" si="5"/>
        <v>-3.3169236371648525</v>
      </c>
      <c r="AF16" s="1">
        <f t="shared" si="6"/>
        <v>0</v>
      </c>
      <c r="AG16" s="1">
        <f t="array" ref="AG16">_xlfn.IFS(C16="Biomass_Corn", 1/F16*S16, C16="Biomass_Agri", 1/F16*V16, C16="Biomass_Wood", 1/F16*U16, C16="Biomass_Herb", 1/F16*T16)</f>
        <v>49.602053092646671</v>
      </c>
      <c r="AH16" s="1">
        <f t="shared" si="7"/>
        <v>0</v>
      </c>
      <c r="AI16" s="1">
        <f t="shared" si="8"/>
        <v>18.393478736071767</v>
      </c>
      <c r="AJ16" s="1">
        <f t="shared" si="9"/>
        <v>9.7014932609915725</v>
      </c>
      <c r="AK16" s="1">
        <f t="shared" si="10"/>
        <v>0.23891691000796392</v>
      </c>
      <c r="AL16" s="1">
        <f t="shared" si="11"/>
        <v>-1.4094306270973078E-6</v>
      </c>
      <c r="AM16" s="1">
        <f t="shared" si="12"/>
        <v>0</v>
      </c>
      <c r="AN16" s="1">
        <f t="shared" si="13"/>
        <v>-1.5636607587806478E-4</v>
      </c>
      <c r="AO16" s="1">
        <f t="shared" si="14"/>
        <v>-1.4094306270973078E-6</v>
      </c>
      <c r="AP16" s="1">
        <f t="shared" si="15"/>
        <v>0</v>
      </c>
      <c r="AQ16" s="1">
        <f t="shared" si="16"/>
        <v>-1.5636607587806478E-4</v>
      </c>
      <c r="AS16" s="9">
        <f t="shared" si="17"/>
        <v>1.71</v>
      </c>
      <c r="AT16" s="10">
        <v>0.1828908353</v>
      </c>
      <c r="AU16" s="9">
        <v>0.23037490999999999</v>
      </c>
      <c r="AW16" s="10">
        <f t="shared" si="18"/>
        <v>0.90788425803026285</v>
      </c>
      <c r="AX16" s="10">
        <f t="shared" si="19"/>
        <v>0</v>
      </c>
      <c r="AZ16" s="10">
        <f t="shared" si="20"/>
        <v>0.23037490999999999</v>
      </c>
      <c r="BA16" s="10">
        <f t="shared" si="21"/>
        <v>0.67750793859963576</v>
      </c>
      <c r="BB16" s="10">
        <f t="shared" si="22"/>
        <v>0</v>
      </c>
      <c r="BC16" s="10">
        <f t="shared" si="23"/>
        <v>0</v>
      </c>
      <c r="BD16" s="10">
        <f t="shared" si="24"/>
        <v>0</v>
      </c>
      <c r="BF16" s="1">
        <f t="shared" si="25"/>
        <v>1.4094306270973078E-6</v>
      </c>
    </row>
    <row r="17" spans="2:58" x14ac:dyDescent="0.2">
      <c r="B17" s="13" t="s">
        <v>72</v>
      </c>
      <c r="C17" s="12" t="s">
        <v>69</v>
      </c>
      <c r="D17" s="12">
        <v>0.2024</v>
      </c>
      <c r="E17" s="12">
        <v>0</v>
      </c>
      <c r="F17" s="12">
        <v>1.8758999999999999</v>
      </c>
      <c r="G17" s="12">
        <v>0</v>
      </c>
      <c r="H17" s="12">
        <v>1.6890000000000001</v>
      </c>
      <c r="I17" s="12">
        <v>0</v>
      </c>
      <c r="J17" s="12">
        <v>1.25684192292093</v>
      </c>
      <c r="K17" s="12">
        <v>0</v>
      </c>
      <c r="L17" s="12">
        <v>0</v>
      </c>
      <c r="M17" s="12">
        <v>273134.21999999997</v>
      </c>
      <c r="N17" s="12">
        <v>144062.46</v>
      </c>
      <c r="O17" s="12">
        <v>0.45</v>
      </c>
      <c r="Q17" s="15">
        <v>110.94272599999999</v>
      </c>
      <c r="R17" s="15">
        <v>-47.669266999999998</v>
      </c>
      <c r="S17" s="15">
        <v>160</v>
      </c>
      <c r="T17" s="15">
        <v>100.492544</v>
      </c>
      <c r="U17" s="15">
        <v>115.666566</v>
      </c>
      <c r="V17" s="15">
        <v>89.651598000000007</v>
      </c>
      <c r="W17" s="15">
        <v>38.232120000000002</v>
      </c>
      <c r="X17" s="15">
        <v>13.421991999999999</v>
      </c>
      <c r="Z17" s="1" t="str">
        <f t="shared" si="0"/>
        <v>SE_Bio_Ethanol_Agri</v>
      </c>
      <c r="AA17" s="1" t="str">
        <f t="shared" si="1"/>
        <v>Biomass_Agri</v>
      </c>
      <c r="AB17" s="11">
        <f t="shared" si="2"/>
        <v>72.11500750732877</v>
      </c>
      <c r="AC17" s="11">
        <f t="shared" si="3"/>
        <v>72.11500750732877</v>
      </c>
      <c r="AD17" s="5">
        <f t="shared" si="4"/>
        <v>0</v>
      </c>
      <c r="AE17" s="1">
        <f t="shared" si="5"/>
        <v>-4.125049889652967</v>
      </c>
      <c r="AF17" s="1">
        <f t="shared" si="6"/>
        <v>0</v>
      </c>
      <c r="AG17" s="1">
        <f t="array" ref="AG17">_xlfn.IFS(C17="Biomass_Corn", 1/F17*S17, C17="Biomass_Agri", 1/F17*V17, C17="Biomass_Wood", 1/F17*U17, C17="Biomass_Herb", 1/F17*T17)</f>
        <v>47.791245802015041</v>
      </c>
      <c r="AH17" s="1">
        <f t="shared" si="7"/>
        <v>0</v>
      </c>
      <c r="AI17" s="1">
        <f t="shared" si="8"/>
        <v>18.467997867365622</v>
      </c>
      <c r="AJ17" s="1">
        <f t="shared" si="9"/>
        <v>9.7407977808399302</v>
      </c>
      <c r="AK17" s="1">
        <f t="shared" si="10"/>
        <v>0.23988485526947068</v>
      </c>
      <c r="AL17" s="1">
        <f t="shared" si="11"/>
        <v>1.1816141211040687E-6</v>
      </c>
      <c r="AM17" s="1">
        <f t="shared" si="12"/>
        <v>0</v>
      </c>
      <c r="AN17" s="1">
        <f t="shared" si="13"/>
        <v>1.3109149167537951E-4</v>
      </c>
      <c r="AO17" s="1">
        <f t="shared" si="14"/>
        <v>1.1816141211040687E-6</v>
      </c>
      <c r="AP17" s="1">
        <f t="shared" si="15"/>
        <v>0</v>
      </c>
      <c r="AQ17" s="1">
        <f t="shared" si="16"/>
        <v>1.3109149167537951E-4</v>
      </c>
      <c r="AS17" s="9">
        <f t="shared" si="17"/>
        <v>1.6890000000000001</v>
      </c>
      <c r="AT17" s="10">
        <v>0.1828908353</v>
      </c>
      <c r="AU17" s="9">
        <v>0.23037490999999999</v>
      </c>
      <c r="AW17" s="10">
        <f t="shared" si="18"/>
        <v>0.90036782344474664</v>
      </c>
      <c r="AX17" s="10">
        <f t="shared" si="19"/>
        <v>0</v>
      </c>
      <c r="AZ17" s="10">
        <f t="shared" si="20"/>
        <v>0.23037490999999999</v>
      </c>
      <c r="BA17" s="10">
        <f t="shared" si="21"/>
        <v>0.66999409505886776</v>
      </c>
      <c r="BB17" s="10">
        <f t="shared" si="22"/>
        <v>0</v>
      </c>
      <c r="BC17" s="10">
        <f t="shared" si="23"/>
        <v>0</v>
      </c>
      <c r="BD17" s="10">
        <f t="shared" si="24"/>
        <v>0</v>
      </c>
      <c r="BF17" s="1">
        <f t="shared" si="25"/>
        <v>-1.1816141211040687E-6</v>
      </c>
    </row>
    <row r="18" spans="2:58" x14ac:dyDescent="0.2">
      <c r="B18" s="13" t="s">
        <v>73</v>
      </c>
      <c r="C18" s="12" t="s">
        <v>69</v>
      </c>
      <c r="D18" s="12">
        <v>0.19489999999999999</v>
      </c>
      <c r="E18" s="12">
        <v>0</v>
      </c>
      <c r="F18" s="12">
        <v>1.8062</v>
      </c>
      <c r="G18" s="12">
        <v>0</v>
      </c>
      <c r="H18" s="12">
        <v>1.633</v>
      </c>
      <c r="I18" s="12">
        <v>0</v>
      </c>
      <c r="J18" s="12">
        <v>1.2168942252616499</v>
      </c>
      <c r="K18" s="12">
        <v>0</v>
      </c>
      <c r="L18" s="12">
        <v>0</v>
      </c>
      <c r="M18" s="12">
        <v>273134.21999999997</v>
      </c>
      <c r="N18" s="12">
        <v>144062.46</v>
      </c>
      <c r="O18" s="12">
        <v>0.45</v>
      </c>
      <c r="Q18" s="15">
        <v>110.94272599999999</v>
      </c>
      <c r="R18" s="15">
        <v>-21.501526999999999</v>
      </c>
      <c r="S18" s="15">
        <v>160</v>
      </c>
      <c r="T18" s="15">
        <v>140.36716899999999</v>
      </c>
      <c r="U18" s="15">
        <v>160.45006900000001</v>
      </c>
      <c r="V18" s="15">
        <v>113.683173</v>
      </c>
      <c r="W18" s="15">
        <v>20.241166</v>
      </c>
      <c r="X18" s="15">
        <v>13.326013</v>
      </c>
      <c r="Z18" s="1" t="str">
        <f t="shared" si="0"/>
        <v>TX_Bio_Ethanol_Agri</v>
      </c>
      <c r="AA18" s="1" t="str">
        <f t="shared" si="1"/>
        <v>Biomass_Agri</v>
      </c>
      <c r="AB18" s="11">
        <f t="shared" si="2"/>
        <v>90.302712705010833</v>
      </c>
      <c r="AC18" s="11">
        <f t="shared" si="3"/>
        <v>90.302712705010833</v>
      </c>
      <c r="AD18" s="5">
        <f t="shared" si="4"/>
        <v>0</v>
      </c>
      <c r="AE18" s="1">
        <f t="shared" si="5"/>
        <v>-2.1841453069427526</v>
      </c>
      <c r="AF18" s="1">
        <f t="shared" si="6"/>
        <v>0</v>
      </c>
      <c r="AG18" s="1">
        <f t="array" ref="AG18">_xlfn.IFS(C18="Biomass_Corn", 1/F18*S18, C18="Biomass_Agri", 1/F18*V18, C18="Biomass_Wood", 1/F18*U18, C18="Biomass_Herb", 1/F18*T18)</f>
        <v>62.940523197873986</v>
      </c>
      <c r="AH18" s="1">
        <f t="shared" si="7"/>
        <v>0</v>
      </c>
      <c r="AI18" s="1">
        <f t="shared" si="8"/>
        <v>19.18066504229386</v>
      </c>
      <c r="AJ18" s="1">
        <f t="shared" si="9"/>
        <v>10.11668838283558</v>
      </c>
      <c r="AK18" s="1">
        <f t="shared" si="10"/>
        <v>0.24914184475694828</v>
      </c>
      <c r="AL18" s="1">
        <f t="shared" si="11"/>
        <v>-1.4462940705062266E-6</v>
      </c>
      <c r="AM18" s="1">
        <f t="shared" si="12"/>
        <v>0</v>
      </c>
      <c r="AN18" s="1">
        <f t="shared" si="13"/>
        <v>-1.6045580677959698E-4</v>
      </c>
      <c r="AO18" s="1">
        <f t="shared" si="14"/>
        <v>-1.4462940705062266E-6</v>
      </c>
      <c r="AP18" s="1">
        <f t="shared" si="15"/>
        <v>0</v>
      </c>
      <c r="AQ18" s="1">
        <f t="shared" si="16"/>
        <v>-1.6045580677959698E-4</v>
      </c>
      <c r="AS18" s="9">
        <f t="shared" si="17"/>
        <v>1.633</v>
      </c>
      <c r="AT18" s="10">
        <v>0.1828908353</v>
      </c>
      <c r="AU18" s="9">
        <v>0.23037490999999999</v>
      </c>
      <c r="AW18" s="10">
        <f t="shared" si="18"/>
        <v>0.90410807219577016</v>
      </c>
      <c r="AX18" s="10">
        <f t="shared" si="19"/>
        <v>0</v>
      </c>
      <c r="AZ18" s="10">
        <f t="shared" si="20"/>
        <v>0.23037490999999999</v>
      </c>
      <c r="BA18" s="10">
        <f t="shared" si="21"/>
        <v>0.67373171590169967</v>
      </c>
      <c r="BB18" s="10">
        <f t="shared" si="22"/>
        <v>0</v>
      </c>
      <c r="BC18" s="10">
        <f t="shared" si="23"/>
        <v>0</v>
      </c>
      <c r="BD18" s="10">
        <f t="shared" si="24"/>
        <v>0</v>
      </c>
      <c r="BF18" s="1">
        <f t="shared" si="25"/>
        <v>1.4462940705062266E-6</v>
      </c>
    </row>
    <row r="19" spans="2:58" x14ac:dyDescent="0.2">
      <c r="B19" s="13" t="s">
        <v>74</v>
      </c>
      <c r="C19" s="12" t="s">
        <v>57</v>
      </c>
      <c r="D19" s="12">
        <v>0</v>
      </c>
      <c r="E19" s="12">
        <v>0</v>
      </c>
      <c r="F19" s="12">
        <v>1.9847999999999999</v>
      </c>
      <c r="G19" s="12">
        <v>0</v>
      </c>
      <c r="H19" s="12">
        <v>1.7230000000000001</v>
      </c>
      <c r="I19" s="12">
        <v>0.25912642818944348</v>
      </c>
      <c r="J19" s="12">
        <v>1.0066337720325349</v>
      </c>
      <c r="K19" s="12">
        <v>0</v>
      </c>
      <c r="L19" s="12">
        <v>0</v>
      </c>
      <c r="M19" s="12">
        <v>293026.95</v>
      </c>
      <c r="N19" s="12">
        <v>154950.42000000001</v>
      </c>
      <c r="O19" s="12">
        <v>0.48</v>
      </c>
      <c r="Q19" s="15">
        <v>110.94272599999999</v>
      </c>
      <c r="R19" s="15">
        <v>-31.699415999999999</v>
      </c>
      <c r="S19" s="15">
        <v>160</v>
      </c>
      <c r="T19" s="15">
        <v>112.750244</v>
      </c>
      <c r="U19" s="15">
        <v>129.799364</v>
      </c>
      <c r="V19" s="15">
        <v>101.33199</v>
      </c>
      <c r="W19" s="15">
        <v>25.368286000000001</v>
      </c>
      <c r="X19" s="15">
        <v>13.422007000000001</v>
      </c>
      <c r="Z19" s="1" t="str">
        <f t="shared" si="0"/>
        <v>CEN_Bio_Ethanol_CCS_20_Herb</v>
      </c>
      <c r="AA19" s="1" t="str">
        <f t="shared" si="1"/>
        <v>Biomass_Herb</v>
      </c>
      <c r="AB19" s="11">
        <f t="shared" si="2"/>
        <v>75.331624448913644</v>
      </c>
      <c r="AC19" s="11">
        <f t="shared" si="3"/>
        <v>75.331624448913644</v>
      </c>
      <c r="AD19" s="5">
        <f t="shared" si="4"/>
        <v>0</v>
      </c>
      <c r="AE19" s="1">
        <f t="shared" si="5"/>
        <v>0</v>
      </c>
      <c r="AF19" s="1">
        <f t="shared" si="6"/>
        <v>0</v>
      </c>
      <c r="AG19" s="1">
        <f t="array" ref="AG19">_xlfn.IFS(C19="Biomass_Corn", 1/F19*S19, C19="Biomass_Agri", 1/F19*V19, C19="Biomass_Wood", 1/F19*U19, C19="Biomass_Herb", 1/F19*T19)</f>
        <v>56.806854091092305</v>
      </c>
      <c r="AH19" s="1">
        <f t="shared" si="7"/>
        <v>0</v>
      </c>
      <c r="AI19" s="1">
        <f t="shared" si="8"/>
        <v>18.725964591166843</v>
      </c>
      <c r="AJ19" s="1">
        <f t="shared" si="9"/>
        <v>9.9021474929402586</v>
      </c>
      <c r="AK19" s="1">
        <f t="shared" si="10"/>
        <v>0.2418379685610641</v>
      </c>
      <c r="AL19" s="1">
        <f t="shared" si="11"/>
        <v>4.1926591990426587E-6</v>
      </c>
      <c r="AM19" s="1">
        <f t="shared" si="12"/>
        <v>-10.34564483988755</v>
      </c>
      <c r="AN19" s="1">
        <f t="shared" si="13"/>
        <v>4.6514504073076911E-4</v>
      </c>
      <c r="AO19" s="1">
        <f t="shared" si="14"/>
        <v>-0.13055124274459151</v>
      </c>
      <c r="AP19" s="1">
        <f t="shared" si="15"/>
        <v>4.1385310579258849</v>
      </c>
      <c r="AQ19" s="1">
        <f t="shared" si="16"/>
        <v>-14.483710752772703</v>
      </c>
      <c r="AS19" s="9">
        <f t="shared" si="17"/>
        <v>1.7230000000000001</v>
      </c>
      <c r="AT19" s="10">
        <v>0.1828908353</v>
      </c>
      <c r="AU19" s="9">
        <v>0.23037490999999999</v>
      </c>
      <c r="AW19" s="10">
        <f t="shared" si="18"/>
        <v>0.86809754131398642</v>
      </c>
      <c r="AX19" s="10">
        <f t="shared" si="19"/>
        <v>0</v>
      </c>
      <c r="AZ19" s="10">
        <f t="shared" si="20"/>
        <v>0.23037490999999999</v>
      </c>
      <c r="BA19" s="10">
        <f t="shared" si="21"/>
        <v>0.50717138856939492</v>
      </c>
      <c r="BB19" s="10">
        <f t="shared" si="22"/>
        <v>0</v>
      </c>
      <c r="BC19" s="10">
        <f t="shared" si="23"/>
        <v>0.13055543540379055</v>
      </c>
      <c r="BD19" s="10">
        <f t="shared" si="24"/>
        <v>0</v>
      </c>
      <c r="BF19" s="1">
        <f t="shared" si="25"/>
        <v>-4.1926591990426587E-6</v>
      </c>
    </row>
    <row r="20" spans="2:58" x14ac:dyDescent="0.2">
      <c r="B20" s="13" t="s">
        <v>75</v>
      </c>
      <c r="C20" s="12" t="s">
        <v>57</v>
      </c>
      <c r="D20" s="12">
        <v>0</v>
      </c>
      <c r="E20" s="12">
        <v>0</v>
      </c>
      <c r="F20" s="12">
        <v>1.9923999999999999</v>
      </c>
      <c r="G20" s="12">
        <v>0</v>
      </c>
      <c r="H20" s="12">
        <v>1.736</v>
      </c>
      <c r="I20" s="12">
        <v>0.26142835707442769</v>
      </c>
      <c r="J20" s="12">
        <v>1.015576122577915</v>
      </c>
      <c r="K20" s="12">
        <v>0</v>
      </c>
      <c r="L20" s="12">
        <v>0</v>
      </c>
      <c r="M20" s="12">
        <v>293026.95</v>
      </c>
      <c r="N20" s="12">
        <v>154950.42000000001</v>
      </c>
      <c r="O20" s="12">
        <v>0.48</v>
      </c>
      <c r="Q20" s="15">
        <v>110.94272599999999</v>
      </c>
      <c r="R20" s="15">
        <v>-53.928761999999999</v>
      </c>
      <c r="S20" s="15">
        <v>160</v>
      </c>
      <c r="T20" s="15">
        <v>101.629081</v>
      </c>
      <c r="U20" s="15">
        <v>109.563401</v>
      </c>
      <c r="V20" s="15">
        <v>90.220664999999997</v>
      </c>
      <c r="W20" s="15">
        <v>39.378855999999999</v>
      </c>
      <c r="X20" s="15">
        <v>13.422667000000001</v>
      </c>
      <c r="Z20" s="1" t="str">
        <f t="shared" si="0"/>
        <v>MIDAT_Bio_Ethanol_CCS_20_Herb</v>
      </c>
      <c r="AA20" s="1" t="str">
        <f t="shared" si="1"/>
        <v>Biomass_Herb</v>
      </c>
      <c r="AB20" s="11">
        <f t="shared" si="2"/>
        <v>72.287429088252722</v>
      </c>
      <c r="AC20" s="11">
        <f t="shared" si="3"/>
        <v>72.287429088252708</v>
      </c>
      <c r="AD20" s="5">
        <f t="shared" si="4"/>
        <v>0</v>
      </c>
      <c r="AE20" s="1">
        <f t="shared" si="5"/>
        <v>0</v>
      </c>
      <c r="AF20" s="1">
        <f t="shared" si="6"/>
        <v>0</v>
      </c>
      <c r="AG20" s="1">
        <f t="array" ref="AG20">_xlfn.IFS(C20="Biomass_Corn", 1/F20*S20, C20="Biomass_Agri", 1/F20*V20, C20="Biomass_Wood", 1/F20*U20, C20="Biomass_Herb", 1/F20*T20)</f>
        <v>51.008372314796226</v>
      </c>
      <c r="AH20" s="1">
        <f t="shared" si="7"/>
        <v>0</v>
      </c>
      <c r="AI20" s="1">
        <f t="shared" si="8"/>
        <v>18.654534491341071</v>
      </c>
      <c r="AJ20" s="1">
        <f t="shared" si="9"/>
        <v>9.8643758000340416</v>
      </c>
      <c r="AK20" s="1">
        <f t="shared" si="10"/>
        <v>0.24091547881951414</v>
      </c>
      <c r="AL20" s="1">
        <f t="shared" si="11"/>
        <v>1.73174881690219E-6</v>
      </c>
      <c r="AM20" s="1">
        <f t="shared" si="12"/>
        <v>-7.4809611216726379</v>
      </c>
      <c r="AN20" s="1">
        <f t="shared" si="13"/>
        <v>1.9212493449440382E-4</v>
      </c>
      <c r="AO20" s="1">
        <f t="shared" si="14"/>
        <v>-0.13121105537948452</v>
      </c>
      <c r="AP20" s="1">
        <f t="shared" si="15"/>
        <v>7.0761431683988292</v>
      </c>
      <c r="AQ20" s="1">
        <f t="shared" si="16"/>
        <v>-14.556912165136977</v>
      </c>
      <c r="AS20" s="9">
        <f t="shared" si="17"/>
        <v>1.736</v>
      </c>
      <c r="AT20" s="10">
        <v>0.1828908353</v>
      </c>
      <c r="AU20" s="9">
        <v>0.23037490999999999</v>
      </c>
      <c r="AW20" s="10">
        <f t="shared" si="18"/>
        <v>0.8713109817305762</v>
      </c>
      <c r="AX20" s="10">
        <f t="shared" si="19"/>
        <v>0</v>
      </c>
      <c r="AZ20" s="10">
        <f t="shared" si="20"/>
        <v>0.23037490999999999</v>
      </c>
      <c r="BA20" s="10">
        <f t="shared" si="21"/>
        <v>0.50972501635109169</v>
      </c>
      <c r="BB20" s="10">
        <f t="shared" si="22"/>
        <v>0</v>
      </c>
      <c r="BC20" s="10">
        <f t="shared" si="23"/>
        <v>0.13121278712830139</v>
      </c>
      <c r="BD20" s="10">
        <f t="shared" si="24"/>
        <v>0</v>
      </c>
      <c r="BF20" s="1">
        <f t="shared" si="25"/>
        <v>-1.73174881690219E-6</v>
      </c>
    </row>
    <row r="21" spans="2:58" x14ac:dyDescent="0.2">
      <c r="B21" s="13" t="s">
        <v>76</v>
      </c>
      <c r="C21" s="12" t="s">
        <v>57</v>
      </c>
      <c r="D21" s="12">
        <v>0</v>
      </c>
      <c r="E21" s="12">
        <v>0</v>
      </c>
      <c r="F21" s="12">
        <v>1.9966999999999999</v>
      </c>
      <c r="G21" s="12">
        <v>0</v>
      </c>
      <c r="H21" s="12">
        <v>1.74</v>
      </c>
      <c r="I21" s="12">
        <v>0.26204184786584722</v>
      </c>
      <c r="J21" s="12">
        <v>1.0179593628895609</v>
      </c>
      <c r="K21" s="12">
        <v>0</v>
      </c>
      <c r="L21" s="12">
        <v>0</v>
      </c>
      <c r="M21" s="12">
        <v>293026.95</v>
      </c>
      <c r="N21" s="12">
        <v>154950.42000000001</v>
      </c>
      <c r="O21" s="12">
        <v>0.48</v>
      </c>
      <c r="Q21" s="15">
        <v>110.94272599999999</v>
      </c>
      <c r="R21" s="15">
        <v>-41.712553</v>
      </c>
      <c r="S21" s="15">
        <v>160</v>
      </c>
      <c r="T21" s="15">
        <v>106.47328400000001</v>
      </c>
      <c r="U21" s="15">
        <v>117.9145</v>
      </c>
      <c r="V21" s="15">
        <v>93.425466999999998</v>
      </c>
      <c r="W21" s="15">
        <v>30.730081999999999</v>
      </c>
      <c r="X21" s="15">
        <v>13.422086999999999</v>
      </c>
      <c r="Z21" s="1" t="str">
        <f t="shared" si="0"/>
        <v>NCEN_Bio_Ethanol_CCS_20_Herb</v>
      </c>
      <c r="AA21" s="1" t="str">
        <f t="shared" si="1"/>
        <v>Biomass_Herb</v>
      </c>
      <c r="AB21" s="11">
        <f t="shared" si="2"/>
        <v>72.936413589998921</v>
      </c>
      <c r="AC21" s="11">
        <f t="shared" si="3"/>
        <v>72.936413589998921</v>
      </c>
      <c r="AD21" s="5">
        <f t="shared" si="4"/>
        <v>0</v>
      </c>
      <c r="AE21" s="1">
        <f t="shared" si="5"/>
        <v>0</v>
      </c>
      <c r="AF21" s="1">
        <f t="shared" si="6"/>
        <v>0</v>
      </c>
      <c r="AG21" s="1">
        <f t="array" ref="AG21">_xlfn.IFS(C21="Biomass_Corn", 1/F21*S21, C21="Biomass_Agri", 1/F21*V21, C21="Biomass_Wood", 1/F21*U21, C21="Biomass_Herb", 1/F21*T21)</f>
        <v>53.324627635598738</v>
      </c>
      <c r="AH21" s="1">
        <f t="shared" si="7"/>
        <v>0</v>
      </c>
      <c r="AI21" s="1">
        <f t="shared" si="8"/>
        <v>18.614360955851129</v>
      </c>
      <c r="AJ21" s="1">
        <f t="shared" si="9"/>
        <v>9.8431323403554991</v>
      </c>
      <c r="AK21" s="1">
        <f t="shared" si="10"/>
        <v>0.24039665447989184</v>
      </c>
      <c r="AL21" s="1">
        <f t="shared" si="11"/>
        <v>-4.6108316682502704E-6</v>
      </c>
      <c r="AM21" s="1">
        <f t="shared" si="12"/>
        <v>-9.0855924580519272</v>
      </c>
      <c r="AN21" s="1">
        <f t="shared" si="13"/>
        <v>-5.1153823440281266E-4</v>
      </c>
      <c r="AO21" s="1">
        <f t="shared" si="14"/>
        <v>-0.13124207658308173</v>
      </c>
      <c r="AP21" s="1">
        <f t="shared" si="15"/>
        <v>5.4742497457415187</v>
      </c>
      <c r="AQ21" s="1">
        <f t="shared" si="16"/>
        <v>-14.560353742027852</v>
      </c>
      <c r="AS21" s="9">
        <f t="shared" si="17"/>
        <v>1.74</v>
      </c>
      <c r="AT21" s="10">
        <v>0.1828908353</v>
      </c>
      <c r="AU21" s="9">
        <v>0.23037490999999999</v>
      </c>
      <c r="AW21" s="10">
        <f t="shared" si="18"/>
        <v>0.87143787248960791</v>
      </c>
      <c r="AX21" s="10">
        <f t="shared" si="19"/>
        <v>0</v>
      </c>
      <c r="AZ21" s="10">
        <f t="shared" si="20"/>
        <v>0.23037490999999999</v>
      </c>
      <c r="BA21" s="10">
        <f t="shared" si="21"/>
        <v>0.50982088590652619</v>
      </c>
      <c r="BB21" s="10">
        <f t="shared" si="22"/>
        <v>0</v>
      </c>
      <c r="BC21" s="10">
        <f t="shared" si="23"/>
        <v>0.13123746575141346</v>
      </c>
      <c r="BD21" s="10">
        <f t="shared" si="24"/>
        <v>0</v>
      </c>
      <c r="BF21" s="1">
        <f t="shared" si="25"/>
        <v>4.6108316682502704E-6</v>
      </c>
    </row>
    <row r="22" spans="2:58" x14ac:dyDescent="0.2">
      <c r="B22" s="13" t="s">
        <v>77</v>
      </c>
      <c r="C22" s="12" t="s">
        <v>57</v>
      </c>
      <c r="D22" s="12">
        <v>0</v>
      </c>
      <c r="E22" s="12">
        <v>0</v>
      </c>
      <c r="F22" s="12">
        <v>1.9815</v>
      </c>
      <c r="G22" s="12">
        <v>0</v>
      </c>
      <c r="H22" s="12">
        <v>1.7170000000000001</v>
      </c>
      <c r="I22" s="12">
        <v>0.2580521500958789</v>
      </c>
      <c r="J22" s="12">
        <v>1.0024605017988011</v>
      </c>
      <c r="K22" s="12">
        <v>0</v>
      </c>
      <c r="L22" s="12">
        <v>0</v>
      </c>
      <c r="M22" s="12">
        <v>293026.95</v>
      </c>
      <c r="N22" s="12">
        <v>154950.42000000001</v>
      </c>
      <c r="O22" s="12">
        <v>0.48</v>
      </c>
      <c r="Q22" s="15">
        <v>110.94272599999999</v>
      </c>
      <c r="R22" s="15">
        <v>-47.669266999999998</v>
      </c>
      <c r="S22" s="15">
        <v>160</v>
      </c>
      <c r="T22" s="15">
        <v>100.492544</v>
      </c>
      <c r="U22" s="15">
        <v>115.666566</v>
      </c>
      <c r="V22" s="15">
        <v>89.651598000000007</v>
      </c>
      <c r="W22" s="15">
        <v>38.232120000000002</v>
      </c>
      <c r="X22" s="15">
        <v>13.421991999999999</v>
      </c>
      <c r="Z22" s="1" t="str">
        <f t="shared" si="0"/>
        <v>SE_Bio_Ethanol_CCS_20_Herb</v>
      </c>
      <c r="AA22" s="1" t="str">
        <f t="shared" si="1"/>
        <v>Biomass_Herb</v>
      </c>
      <c r="AB22" s="11">
        <f t="shared" si="2"/>
        <v>71.393302143580399</v>
      </c>
      <c r="AC22" s="11">
        <f t="shared" si="3"/>
        <v>71.393302143580385</v>
      </c>
      <c r="AD22" s="5">
        <f t="shared" si="4"/>
        <v>0</v>
      </c>
      <c r="AE22" s="1">
        <f t="shared" si="5"/>
        <v>0</v>
      </c>
      <c r="AF22" s="1">
        <f t="shared" si="6"/>
        <v>0</v>
      </c>
      <c r="AG22" s="1">
        <f t="array" ref="AG22">_xlfn.IFS(C22="Biomass_Corn", 1/F22*S22, C22="Biomass_Agri", 1/F22*V22, C22="Biomass_Wood", 1/F22*U22, C22="Biomass_Herb", 1/F22*T22)</f>
        <v>50.715389351501386</v>
      </c>
      <c r="AH22" s="1">
        <f t="shared" si="7"/>
        <v>0</v>
      </c>
      <c r="AI22" s="1">
        <f t="shared" si="8"/>
        <v>18.757150906155914</v>
      </c>
      <c r="AJ22" s="1">
        <f t="shared" si="9"/>
        <v>9.9186385788482578</v>
      </c>
      <c r="AK22" s="1">
        <f t="shared" si="10"/>
        <v>0.24224072672218017</v>
      </c>
      <c r="AL22" s="1">
        <f t="shared" si="11"/>
        <v>2.7053226347995007E-7</v>
      </c>
      <c r="AM22" s="1">
        <f t="shared" si="12"/>
        <v>-8.2401474332341351</v>
      </c>
      <c r="AN22" s="1">
        <f t="shared" si="13"/>
        <v>3.0013586781415905E-5</v>
      </c>
      <c r="AO22" s="1">
        <f t="shared" si="14"/>
        <v>-0.13023043857491745</v>
      </c>
      <c r="AP22" s="1">
        <f t="shared" si="15"/>
        <v>6.2080024440295363</v>
      </c>
      <c r="AQ22" s="1">
        <f t="shared" si="16"/>
        <v>-14.448119863676895</v>
      </c>
      <c r="AS22" s="9">
        <f t="shared" si="17"/>
        <v>1.7170000000000001</v>
      </c>
      <c r="AT22" s="10">
        <v>0.1828908353</v>
      </c>
      <c r="AU22" s="9">
        <v>0.23037490999999999</v>
      </c>
      <c r="AW22" s="10">
        <f t="shared" si="18"/>
        <v>0.86651526621246533</v>
      </c>
      <c r="AX22" s="10">
        <f t="shared" si="19"/>
        <v>0</v>
      </c>
      <c r="AZ22" s="10">
        <f t="shared" si="20"/>
        <v>0.23037490999999999</v>
      </c>
      <c r="BA22" s="10">
        <f t="shared" si="21"/>
        <v>0.50590991763754789</v>
      </c>
      <c r="BB22" s="10">
        <f t="shared" si="22"/>
        <v>0</v>
      </c>
      <c r="BC22" s="10">
        <f t="shared" si="23"/>
        <v>0.13023070910718088</v>
      </c>
      <c r="BD22" s="10">
        <f t="shared" si="24"/>
        <v>0</v>
      </c>
      <c r="BF22" s="1">
        <f t="shared" si="25"/>
        <v>-2.7053226347995007E-7</v>
      </c>
    </row>
    <row r="23" spans="2:58" x14ac:dyDescent="0.2">
      <c r="B23" s="13" t="s">
        <v>78</v>
      </c>
      <c r="C23" s="12" t="s">
        <v>57</v>
      </c>
      <c r="D23" s="12">
        <v>0</v>
      </c>
      <c r="E23" s="12">
        <v>0</v>
      </c>
      <c r="F23" s="12">
        <v>1.9761</v>
      </c>
      <c r="G23" s="12">
        <v>0</v>
      </c>
      <c r="H23" s="12">
        <v>1.714</v>
      </c>
      <c r="I23" s="12">
        <v>0.25769472660660447</v>
      </c>
      <c r="J23" s="12">
        <v>1.001072011409244</v>
      </c>
      <c r="K23" s="12">
        <v>0</v>
      </c>
      <c r="L23" s="12">
        <v>0</v>
      </c>
      <c r="M23" s="12">
        <v>293026.95</v>
      </c>
      <c r="N23" s="12">
        <v>154950.42000000001</v>
      </c>
      <c r="O23" s="12">
        <v>0.48</v>
      </c>
      <c r="Q23" s="15">
        <v>110.94272599999999</v>
      </c>
      <c r="R23" s="15">
        <v>-21.501526999999999</v>
      </c>
      <c r="S23" s="15">
        <v>160</v>
      </c>
      <c r="T23" s="15">
        <v>140.36716899999999</v>
      </c>
      <c r="U23" s="15">
        <v>160.45006900000001</v>
      </c>
      <c r="V23" s="15">
        <v>113.683173</v>
      </c>
      <c r="W23" s="15">
        <v>20.241166</v>
      </c>
      <c r="X23" s="15">
        <v>13.326013</v>
      </c>
      <c r="Z23" s="1" t="str">
        <f t="shared" si="0"/>
        <v>TX_Bio_Ethanol_CCS_20_Herb</v>
      </c>
      <c r="AA23" s="1" t="str">
        <f t="shared" si="1"/>
        <v>Biomass_Herb</v>
      </c>
      <c r="AB23" s="11">
        <f t="shared" si="2"/>
        <v>88.366426939382265</v>
      </c>
      <c r="AC23" s="11">
        <f t="shared" si="3"/>
        <v>88.366426939382265</v>
      </c>
      <c r="AD23" s="5">
        <f t="shared" si="4"/>
        <v>0</v>
      </c>
      <c r="AE23" s="1">
        <f t="shared" si="5"/>
        <v>0</v>
      </c>
      <c r="AF23" s="1">
        <f t="shared" si="6"/>
        <v>0</v>
      </c>
      <c r="AG23" s="1">
        <f t="array" ref="AG23">_xlfn.IFS(C23="Biomass_Corn", 1/F23*S23, C23="Biomass_Agri", 1/F23*V23, C23="Biomass_Wood", 1/F23*U23, C23="Biomass_Herb", 1/F23*T23)</f>
        <v>71.032421942209396</v>
      </c>
      <c r="AH23" s="1">
        <f t="shared" si="7"/>
        <v>0</v>
      </c>
      <c r="AI23" s="1">
        <f t="shared" si="8"/>
        <v>18.808407732679495</v>
      </c>
      <c r="AJ23" s="1">
        <f t="shared" si="9"/>
        <v>9.945742798435214</v>
      </c>
      <c r="AK23" s="1">
        <f t="shared" si="10"/>
        <v>0.24290268711097615</v>
      </c>
      <c r="AL23" s="1">
        <f t="shared" si="11"/>
        <v>5.3629203221605692E-6</v>
      </c>
      <c r="AM23" s="1">
        <f t="shared" si="12"/>
        <v>-11.66364319805268</v>
      </c>
      <c r="AN23" s="1">
        <f t="shared" si="13"/>
        <v>5.9497699986129173E-4</v>
      </c>
      <c r="AO23" s="1">
        <f t="shared" si="14"/>
        <v>-0.13040034863607908</v>
      </c>
      <c r="AP23" s="1">
        <f t="shared" si="15"/>
        <v>2.8039219279841729</v>
      </c>
      <c r="AQ23" s="1">
        <f t="shared" si="16"/>
        <v>-14.466970149036994</v>
      </c>
      <c r="AS23" s="9">
        <f t="shared" si="17"/>
        <v>1.714</v>
      </c>
      <c r="AT23" s="10">
        <v>0.1828908353</v>
      </c>
      <c r="AU23" s="9">
        <v>0.23037490999999999</v>
      </c>
      <c r="AW23" s="10">
        <f t="shared" si="18"/>
        <v>0.86736501189211068</v>
      </c>
      <c r="AX23" s="10">
        <f t="shared" si="19"/>
        <v>0</v>
      </c>
      <c r="AZ23" s="10">
        <f t="shared" si="20"/>
        <v>0.23037490999999999</v>
      </c>
      <c r="BA23" s="10">
        <f t="shared" si="21"/>
        <v>0.50658975325603162</v>
      </c>
      <c r="BB23" s="10">
        <f t="shared" si="22"/>
        <v>0</v>
      </c>
      <c r="BC23" s="10">
        <f t="shared" si="23"/>
        <v>0.13040571155640124</v>
      </c>
      <c r="BD23" s="10">
        <f t="shared" si="24"/>
        <v>0</v>
      </c>
      <c r="BF23" s="1">
        <f t="shared" si="25"/>
        <v>-5.3629203221605692E-6</v>
      </c>
    </row>
    <row r="24" spans="2:58" x14ac:dyDescent="0.2">
      <c r="B24" s="13" t="s">
        <v>79</v>
      </c>
      <c r="C24" s="12" t="s">
        <v>63</v>
      </c>
      <c r="D24" s="12">
        <v>0</v>
      </c>
      <c r="E24" s="12">
        <v>0</v>
      </c>
      <c r="F24" s="12">
        <v>2.0762</v>
      </c>
      <c r="G24" s="12">
        <v>0</v>
      </c>
      <c r="H24" s="12">
        <v>1.802</v>
      </c>
      <c r="I24" s="12">
        <v>0.27098613480925338</v>
      </c>
      <c r="J24" s="12">
        <v>1.0527054185770961</v>
      </c>
      <c r="K24" s="12">
        <v>0</v>
      </c>
      <c r="L24" s="12">
        <v>0</v>
      </c>
      <c r="M24" s="12">
        <v>293026.95</v>
      </c>
      <c r="N24" s="12">
        <v>154950.42000000001</v>
      </c>
      <c r="O24" s="12">
        <v>0.48</v>
      </c>
      <c r="Q24" s="15">
        <v>110.94272599999999</v>
      </c>
      <c r="R24" s="15">
        <v>-31.699415999999999</v>
      </c>
      <c r="S24" s="15">
        <v>160</v>
      </c>
      <c r="T24" s="15">
        <v>112.750244</v>
      </c>
      <c r="U24" s="15">
        <v>129.799364</v>
      </c>
      <c r="V24" s="15">
        <v>101.33199</v>
      </c>
      <c r="W24" s="15">
        <v>25.368286000000001</v>
      </c>
      <c r="X24" s="15">
        <v>13.422007000000001</v>
      </c>
      <c r="Z24" s="1" t="str">
        <f t="shared" si="0"/>
        <v>CEN_Bio_Ethanol_CCS_20_Wood</v>
      </c>
      <c r="AA24" s="1" t="str">
        <f t="shared" si="1"/>
        <v>Biomass_Wood</v>
      </c>
      <c r="AB24" s="11">
        <f t="shared" si="2"/>
        <v>79.773698256543682</v>
      </c>
      <c r="AC24" s="11">
        <f t="shared" si="3"/>
        <v>79.773698256543682</v>
      </c>
      <c r="AD24" s="5">
        <f t="shared" si="4"/>
        <v>0</v>
      </c>
      <c r="AE24" s="1">
        <f t="shared" si="5"/>
        <v>0</v>
      </c>
      <c r="AF24" s="1">
        <f t="shared" si="6"/>
        <v>0</v>
      </c>
      <c r="AG24" s="1">
        <f t="array" ref="AG24">_xlfn.IFS(C24="Biomass_Corn", 1/F24*S24, C24="Biomass_Agri", 1/F24*V24, C24="Biomass_Wood", 1/F24*U24, C24="Biomass_Herb", 1/F24*T24)</f>
        <v>62.517755514882957</v>
      </c>
      <c r="AH24" s="1">
        <f t="shared" si="7"/>
        <v>0</v>
      </c>
      <c r="AI24" s="1">
        <f t="shared" si="8"/>
        <v>17.901596436060082</v>
      </c>
      <c r="AJ24" s="1">
        <f t="shared" si="9"/>
        <v>9.4662278894074863</v>
      </c>
      <c r="AK24" s="1">
        <f t="shared" si="10"/>
        <v>0.23119160003853192</v>
      </c>
      <c r="AL24" s="1">
        <f t="shared" si="11"/>
        <v>-1.9547594888313924E-6</v>
      </c>
      <c r="AM24" s="1">
        <f t="shared" si="12"/>
        <v>-10.342856317499015</v>
      </c>
      <c r="AN24" s="1">
        <f t="shared" si="13"/>
        <v>-2.1686634636532121E-4</v>
      </c>
      <c r="AO24" s="1">
        <f t="shared" si="14"/>
        <v>-0.13052220079034005</v>
      </c>
      <c r="AP24" s="1">
        <f t="shared" si="15"/>
        <v>4.1374155753543027</v>
      </c>
      <c r="AQ24" s="1">
        <f t="shared" si="16"/>
        <v>-14.480488759199678</v>
      </c>
      <c r="AS24" s="9">
        <f t="shared" si="17"/>
        <v>1.802</v>
      </c>
      <c r="AT24" s="10">
        <v>0.1828908353</v>
      </c>
      <c r="AU24" s="9">
        <v>0.23037490999999999</v>
      </c>
      <c r="AW24" s="10">
        <f t="shared" si="18"/>
        <v>0.86793179847798863</v>
      </c>
      <c r="AX24" s="10">
        <f t="shared" si="19"/>
        <v>0</v>
      </c>
      <c r="AZ24" s="10">
        <f t="shared" si="20"/>
        <v>0.23037490999999999</v>
      </c>
      <c r="BA24" s="10">
        <f t="shared" si="21"/>
        <v>0.50703468768764859</v>
      </c>
      <c r="BB24" s="10">
        <f t="shared" si="22"/>
        <v>0</v>
      </c>
      <c r="BC24" s="10">
        <f t="shared" si="23"/>
        <v>0.13052024603085124</v>
      </c>
      <c r="BD24" s="10">
        <f t="shared" si="24"/>
        <v>0</v>
      </c>
      <c r="BF24" s="1">
        <f t="shared" si="25"/>
        <v>1.9547594888313924E-6</v>
      </c>
    </row>
    <row r="25" spans="2:58" x14ac:dyDescent="0.2">
      <c r="B25" s="13" t="s">
        <v>80</v>
      </c>
      <c r="C25" s="12" t="s">
        <v>63</v>
      </c>
      <c r="D25" s="12">
        <v>0</v>
      </c>
      <c r="E25" s="12">
        <v>0</v>
      </c>
      <c r="F25" s="12">
        <v>2.0697000000000001</v>
      </c>
      <c r="G25" s="12">
        <v>0</v>
      </c>
      <c r="H25" s="12">
        <v>1.806</v>
      </c>
      <c r="I25" s="12">
        <v>0.27211309862212413</v>
      </c>
      <c r="J25" s="12">
        <v>1.0570833581096271</v>
      </c>
      <c r="K25" s="12">
        <v>0</v>
      </c>
      <c r="L25" s="12">
        <v>0</v>
      </c>
      <c r="M25" s="12">
        <v>293026.95</v>
      </c>
      <c r="N25" s="12">
        <v>154950.42000000001</v>
      </c>
      <c r="O25" s="12">
        <v>0.48</v>
      </c>
      <c r="Q25" s="15">
        <v>110.94272599999999</v>
      </c>
      <c r="R25" s="15">
        <v>-53.928761999999999</v>
      </c>
      <c r="S25" s="15">
        <v>160</v>
      </c>
      <c r="T25" s="15">
        <v>101.629081</v>
      </c>
      <c r="U25" s="15">
        <v>109.563401</v>
      </c>
      <c r="V25" s="15">
        <v>90.220664999999997</v>
      </c>
      <c r="W25" s="15">
        <v>39.378855999999999</v>
      </c>
      <c r="X25" s="15">
        <v>13.422667000000001</v>
      </c>
      <c r="Z25" s="1" t="str">
        <f t="shared" si="0"/>
        <v>MIDAT_Bio_Ethanol_CCS_20_Wood</v>
      </c>
      <c r="AA25" s="1" t="str">
        <f t="shared" si="1"/>
        <v>Biomass_Wood</v>
      </c>
      <c r="AB25" s="11">
        <f t="shared" si="2"/>
        <v>73.126834586654823</v>
      </c>
      <c r="AC25" s="11">
        <f t="shared" si="3"/>
        <v>73.126834586654837</v>
      </c>
      <c r="AD25" s="5">
        <f t="shared" si="4"/>
        <v>0</v>
      </c>
      <c r="AE25" s="1">
        <f t="shared" si="5"/>
        <v>0</v>
      </c>
      <c r="AF25" s="1">
        <f t="shared" si="6"/>
        <v>0</v>
      </c>
      <c r="AG25" s="1">
        <f t="array" ref="AG25">_xlfn.IFS(C25="Biomass_Corn", 1/F25*S25, C25="Biomass_Agri", 1/F25*V25, C25="Biomass_Wood", 1/F25*U25, C25="Biomass_Herb", 1/F25*T25)</f>
        <v>52.936851234478418</v>
      </c>
      <c r="AH25" s="1">
        <f t="shared" si="7"/>
        <v>0</v>
      </c>
      <c r="AI25" s="1">
        <f t="shared" si="8"/>
        <v>17.957817326447284</v>
      </c>
      <c r="AJ25" s="1">
        <f t="shared" si="9"/>
        <v>9.4959570681682486</v>
      </c>
      <c r="AK25" s="1">
        <f t="shared" si="10"/>
        <v>0.23191766922742424</v>
      </c>
      <c r="AL25" s="1">
        <f t="shared" si="11"/>
        <v>1.6465955217093153E-6</v>
      </c>
      <c r="AM25" s="1">
        <f t="shared" si="12"/>
        <v>-7.4958913894623533</v>
      </c>
      <c r="AN25" s="1">
        <f t="shared" si="13"/>
        <v>1.8267779579782362E-4</v>
      </c>
      <c r="AO25" s="1">
        <f t="shared" si="14"/>
        <v>-0.13147301090176011</v>
      </c>
      <c r="AP25" s="1">
        <f t="shared" si="15"/>
        <v>7.090265513202425</v>
      </c>
      <c r="AQ25" s="1">
        <f t="shared" si="16"/>
        <v>-14.585974224868984</v>
      </c>
      <c r="AS25" s="9">
        <f t="shared" si="17"/>
        <v>1.806</v>
      </c>
      <c r="AT25" s="10">
        <v>0.1828908353</v>
      </c>
      <c r="AU25" s="9">
        <v>0.23037490999999999</v>
      </c>
      <c r="AW25" s="10">
        <f t="shared" si="18"/>
        <v>0.87259023046818374</v>
      </c>
      <c r="AX25" s="10">
        <f t="shared" si="19"/>
        <v>0</v>
      </c>
      <c r="AZ25" s="10">
        <f t="shared" si="20"/>
        <v>0.23037490999999999</v>
      </c>
      <c r="BA25" s="10">
        <f t="shared" si="21"/>
        <v>0.51074230956642364</v>
      </c>
      <c r="BB25" s="10">
        <f t="shared" si="22"/>
        <v>0</v>
      </c>
      <c r="BC25" s="10">
        <f t="shared" si="23"/>
        <v>0.13147465749728179</v>
      </c>
      <c r="BD25" s="10">
        <f t="shared" si="24"/>
        <v>0</v>
      </c>
      <c r="BF25" s="1">
        <f t="shared" si="25"/>
        <v>-1.6465955217093153E-6</v>
      </c>
    </row>
    <row r="26" spans="2:58" x14ac:dyDescent="0.2">
      <c r="B26" s="13" t="s">
        <v>81</v>
      </c>
      <c r="C26" s="12" t="s">
        <v>63</v>
      </c>
      <c r="D26" s="12">
        <v>0</v>
      </c>
      <c r="E26" s="12">
        <v>0</v>
      </c>
      <c r="F26" s="12">
        <v>2.0750999999999999</v>
      </c>
      <c r="G26" s="12">
        <v>0</v>
      </c>
      <c r="H26" s="12">
        <v>1.802</v>
      </c>
      <c r="I26" s="12">
        <v>0.2710374821113985</v>
      </c>
      <c r="J26" s="12">
        <v>1.0529048884991841</v>
      </c>
      <c r="K26" s="12">
        <v>0</v>
      </c>
      <c r="L26" s="12">
        <v>0</v>
      </c>
      <c r="M26" s="12">
        <v>293026.95</v>
      </c>
      <c r="N26" s="12">
        <v>154950.42000000001</v>
      </c>
      <c r="O26" s="12">
        <v>0.48</v>
      </c>
      <c r="Q26" s="15">
        <v>110.94272599999999</v>
      </c>
      <c r="R26" s="15">
        <v>-41.712553</v>
      </c>
      <c r="S26" s="15">
        <v>160</v>
      </c>
      <c r="T26" s="15">
        <v>106.47328400000001</v>
      </c>
      <c r="U26" s="15">
        <v>117.9145</v>
      </c>
      <c r="V26" s="15">
        <v>93.425466999999998</v>
      </c>
      <c r="W26" s="15">
        <v>30.730081999999999</v>
      </c>
      <c r="X26" s="15">
        <v>13.422086999999999</v>
      </c>
      <c r="Z26" s="1" t="str">
        <f t="shared" si="0"/>
        <v>NCEN_Bio_Ethanol_CCS_20_Wood</v>
      </c>
      <c r="AA26" s="1" t="str">
        <f t="shared" si="1"/>
        <v>Biomass_Wood</v>
      </c>
      <c r="AB26" s="11">
        <f t="shared" si="2"/>
        <v>75.394374687767325</v>
      </c>
      <c r="AC26" s="11">
        <f t="shared" si="3"/>
        <v>75.394374687767325</v>
      </c>
      <c r="AD26" s="5">
        <f t="shared" si="4"/>
        <v>0</v>
      </c>
      <c r="AE26" s="1">
        <f t="shared" si="5"/>
        <v>0</v>
      </c>
      <c r="AF26" s="1">
        <f t="shared" si="6"/>
        <v>0</v>
      </c>
      <c r="AG26" s="1">
        <f t="array" ref="AG26">_xlfn.IFS(C26="Biomass_Corn", 1/F26*S26, C26="Biomass_Agri", 1/F26*V26, C26="Biomass_Wood", 1/F26*U26, C26="Biomass_Herb", 1/F26*T26)</f>
        <v>56.823526577032439</v>
      </c>
      <c r="AH26" s="1">
        <f t="shared" si="7"/>
        <v>0</v>
      </c>
      <c r="AI26" s="1">
        <f t="shared" si="8"/>
        <v>17.911085981662545</v>
      </c>
      <c r="AJ26" s="1">
        <f t="shared" si="9"/>
        <v>9.4712458888669584</v>
      </c>
      <c r="AK26" s="1">
        <f t="shared" si="10"/>
        <v>0.23131415353476942</v>
      </c>
      <c r="AL26" s="1">
        <f t="shared" si="11"/>
        <v>-3.2064230242045966E-6</v>
      </c>
      <c r="AM26" s="1">
        <f t="shared" si="12"/>
        <v>-9.0424421840183715</v>
      </c>
      <c r="AN26" s="1">
        <f t="shared" si="13"/>
        <v>-3.5572931101442189E-4</v>
      </c>
      <c r="AO26" s="1">
        <f t="shared" si="14"/>
        <v>-0.13061738507051035</v>
      </c>
      <c r="AP26" s="1">
        <f t="shared" si="15"/>
        <v>5.4482508493847339</v>
      </c>
      <c r="AQ26" s="1">
        <f t="shared" si="16"/>
        <v>-14.49104876271412</v>
      </c>
      <c r="AS26" s="9">
        <f t="shared" si="17"/>
        <v>1.802</v>
      </c>
      <c r="AT26" s="10">
        <v>0.1828908353</v>
      </c>
      <c r="AU26" s="9">
        <v>0.23037490999999999</v>
      </c>
      <c r="AW26" s="10">
        <f t="shared" si="18"/>
        <v>0.86839188472844686</v>
      </c>
      <c r="AX26" s="10">
        <f t="shared" si="19"/>
        <v>0</v>
      </c>
      <c r="AZ26" s="10">
        <f t="shared" si="20"/>
        <v>0.23037490999999999</v>
      </c>
      <c r="BA26" s="10">
        <f t="shared" si="21"/>
        <v>0.50739958965793652</v>
      </c>
      <c r="BB26" s="10">
        <f t="shared" si="22"/>
        <v>0</v>
      </c>
      <c r="BC26" s="10">
        <f t="shared" si="23"/>
        <v>0.13061417864748615</v>
      </c>
      <c r="BD26" s="10">
        <f t="shared" si="24"/>
        <v>0</v>
      </c>
      <c r="BF26" s="1">
        <f t="shared" si="25"/>
        <v>3.2064230242045966E-6</v>
      </c>
    </row>
    <row r="27" spans="2:58" x14ac:dyDescent="0.2">
      <c r="B27" s="13" t="s">
        <v>82</v>
      </c>
      <c r="C27" s="12" t="s">
        <v>63</v>
      </c>
      <c r="D27" s="12">
        <v>0</v>
      </c>
      <c r="E27" s="12">
        <v>0</v>
      </c>
      <c r="F27" s="12">
        <v>2.0838000000000001</v>
      </c>
      <c r="G27" s="12">
        <v>0</v>
      </c>
      <c r="H27" s="12">
        <v>1.821</v>
      </c>
      <c r="I27" s="12">
        <v>0.27451638369423748</v>
      </c>
      <c r="J27" s="12">
        <v>1.066419449122475</v>
      </c>
      <c r="K27" s="12">
        <v>0</v>
      </c>
      <c r="L27" s="12">
        <v>0</v>
      </c>
      <c r="M27" s="12">
        <v>293026.95</v>
      </c>
      <c r="N27" s="12">
        <v>154950.42000000001</v>
      </c>
      <c r="O27" s="12">
        <v>0.48</v>
      </c>
      <c r="Q27" s="15">
        <v>110.94272599999999</v>
      </c>
      <c r="R27" s="15">
        <v>-47.669266999999998</v>
      </c>
      <c r="S27" s="15">
        <v>160</v>
      </c>
      <c r="T27" s="15">
        <v>100.492544</v>
      </c>
      <c r="U27" s="15">
        <v>115.666566</v>
      </c>
      <c r="V27" s="15">
        <v>89.651598000000007</v>
      </c>
      <c r="W27" s="15">
        <v>38.232120000000002</v>
      </c>
      <c r="X27" s="15">
        <v>13.421991999999999</v>
      </c>
      <c r="Z27" s="1" t="str">
        <f t="shared" si="0"/>
        <v>SE_Bio_Ethanol_CCS_20_Wood</v>
      </c>
      <c r="AA27" s="1" t="str">
        <f t="shared" si="1"/>
        <v>Biomass_Wood</v>
      </c>
      <c r="AB27" s="11">
        <f t="shared" si="2"/>
        <v>74.669858445131169</v>
      </c>
      <c r="AC27" s="11">
        <f t="shared" si="3"/>
        <v>74.669858445131169</v>
      </c>
      <c r="AD27" s="5">
        <f t="shared" si="4"/>
        <v>0</v>
      </c>
      <c r="AE27" s="1">
        <f t="shared" si="5"/>
        <v>0</v>
      </c>
      <c r="AF27" s="1">
        <f t="shared" si="6"/>
        <v>0</v>
      </c>
      <c r="AG27" s="1">
        <f t="array" ref="AG27">_xlfn.IFS(C27="Biomass_Corn", 1/F27*S27, C27="Biomass_Agri", 1/F27*V27, C27="Biomass_Wood", 1/F27*U27, C27="Biomass_Herb", 1/F27*T27)</f>
        <v>55.507517995968897</v>
      </c>
      <c r="AH27" s="1">
        <f t="shared" si="7"/>
        <v>0</v>
      </c>
      <c r="AI27" s="1">
        <f t="shared" si="8"/>
        <v>17.836306037310653</v>
      </c>
      <c r="AJ27" s="1">
        <f t="shared" si="9"/>
        <v>9.4317028236816505</v>
      </c>
      <c r="AK27" s="1">
        <f t="shared" si="10"/>
        <v>0.23034840195796139</v>
      </c>
      <c r="AL27" s="1">
        <f t="shared" si="11"/>
        <v>-4.2853082289351363E-6</v>
      </c>
      <c r="AM27" s="1">
        <f t="shared" si="12"/>
        <v>-8.3355413900113255</v>
      </c>
      <c r="AN27" s="1">
        <f t="shared" si="13"/>
        <v>-4.7542377666829607E-4</v>
      </c>
      <c r="AO27" s="1">
        <f t="shared" si="14"/>
        <v>-0.13174264008999181</v>
      </c>
      <c r="AP27" s="1">
        <f t="shared" si="15"/>
        <v>6.2798708082325811</v>
      </c>
      <c r="AQ27" s="1">
        <f t="shared" si="16"/>
        <v>-14.615887622020576</v>
      </c>
      <c r="AS27" s="9">
        <f t="shared" si="17"/>
        <v>1.821</v>
      </c>
      <c r="AT27" s="10">
        <v>0.1828908353</v>
      </c>
      <c r="AU27" s="9">
        <v>0.23037490999999999</v>
      </c>
      <c r="AW27" s="10">
        <f t="shared" si="18"/>
        <v>0.87388424992801605</v>
      </c>
      <c r="AX27" s="10">
        <f t="shared" si="19"/>
        <v>0</v>
      </c>
      <c r="AZ27" s="10">
        <f t="shared" si="20"/>
        <v>0.23037490999999999</v>
      </c>
      <c r="BA27" s="10">
        <f t="shared" si="21"/>
        <v>0.51176669983802425</v>
      </c>
      <c r="BB27" s="10">
        <f t="shared" si="22"/>
        <v>0</v>
      </c>
      <c r="BC27" s="10">
        <f t="shared" si="23"/>
        <v>0.13173835478176288</v>
      </c>
      <c r="BD27" s="10">
        <f t="shared" si="24"/>
        <v>0</v>
      </c>
      <c r="BF27" s="1">
        <f t="shared" si="25"/>
        <v>4.2853082289351363E-6</v>
      </c>
    </row>
    <row r="28" spans="2:58" x14ac:dyDescent="0.2">
      <c r="B28" s="13" t="s">
        <v>83</v>
      </c>
      <c r="C28" s="12" t="s">
        <v>63</v>
      </c>
      <c r="D28" s="12">
        <v>0</v>
      </c>
      <c r="E28" s="12">
        <v>0</v>
      </c>
      <c r="F28" s="12">
        <v>2.0577000000000001</v>
      </c>
      <c r="G28" s="12">
        <v>0</v>
      </c>
      <c r="H28" s="12">
        <v>1.821</v>
      </c>
      <c r="I28" s="12">
        <v>0.27574871894572039</v>
      </c>
      <c r="J28" s="12">
        <v>1.0712067272526009</v>
      </c>
      <c r="K28" s="12">
        <v>0</v>
      </c>
      <c r="L28" s="12">
        <v>0</v>
      </c>
      <c r="M28" s="12">
        <v>293026.95</v>
      </c>
      <c r="N28" s="12">
        <v>154950.42000000001</v>
      </c>
      <c r="O28" s="12">
        <v>0.48</v>
      </c>
      <c r="Q28" s="15">
        <v>110.94272599999999</v>
      </c>
      <c r="R28" s="15">
        <v>-21.501526999999999</v>
      </c>
      <c r="S28" s="15">
        <v>160</v>
      </c>
      <c r="T28" s="15">
        <v>140.36716899999999</v>
      </c>
      <c r="U28" s="15">
        <v>160.45006900000001</v>
      </c>
      <c r="V28" s="15">
        <v>113.683173</v>
      </c>
      <c r="W28" s="15">
        <v>20.241166</v>
      </c>
      <c r="X28" s="15">
        <v>13.326013</v>
      </c>
      <c r="Z28" t="str">
        <f t="shared" si="0"/>
        <v>TX_Bio_Ethanol_CCS_20_Wood</v>
      </c>
      <c r="AA28" t="str">
        <f t="shared" si="1"/>
        <v>Biomass_Wood</v>
      </c>
      <c r="AB28" s="11">
        <f t="shared" si="2"/>
        <v>93.836621798011493</v>
      </c>
      <c r="AC28" s="11">
        <f t="shared" si="3"/>
        <v>93.836621798011478</v>
      </c>
      <c r="AD28" s="5">
        <f t="shared" si="4"/>
        <v>0</v>
      </c>
      <c r="AE28">
        <f t="shared" si="5"/>
        <v>0</v>
      </c>
      <c r="AF28">
        <f t="shared" si="6"/>
        <v>0</v>
      </c>
      <c r="AG28" s="1">
        <f t="array" ref="AG28">_xlfn.IFS(C28="Biomass_Corn", 1/F28*S28, C28="Biomass_Agri", 1/F28*V28, C28="Biomass_Wood", 1/F28*U28, C28="Biomass_Herb", 1/F28*T28)</f>
        <v>77.975442970306659</v>
      </c>
      <c r="AH28">
        <f t="shared" si="7"/>
        <v>0</v>
      </c>
      <c r="AI28">
        <f t="shared" si="8"/>
        <v>18.062542897676021</v>
      </c>
      <c r="AJ28">
        <f t="shared" si="9"/>
        <v>9.551335152834632</v>
      </c>
      <c r="AK28">
        <f t="shared" si="10"/>
        <v>0.23327015599941681</v>
      </c>
      <c r="AL28" s="1">
        <f t="shared" si="11"/>
        <v>-1.021283315694177E-6</v>
      </c>
      <c r="AM28" s="1">
        <f t="shared" si="12"/>
        <v>-11.985856074850195</v>
      </c>
      <c r="AN28">
        <f t="shared" si="13"/>
        <v>-1.1330395506143057E-4</v>
      </c>
      <c r="AO28">
        <f t="shared" si="14"/>
        <v>-0.13400924354395638</v>
      </c>
      <c r="AP28" s="1">
        <f t="shared" si="15"/>
        <v>2.8813814091591672</v>
      </c>
      <c r="AQ28">
        <f t="shared" si="16"/>
        <v>-14.867350787964421</v>
      </c>
      <c r="AS28" s="9">
        <f t="shared" si="17"/>
        <v>1.821</v>
      </c>
      <c r="AT28" s="10">
        <v>0.1828908353</v>
      </c>
      <c r="AU28" s="9">
        <v>0.23037490999999999</v>
      </c>
      <c r="AW28" s="10">
        <f t="shared" si="18"/>
        <v>0.88496865432278748</v>
      </c>
      <c r="AX28" s="10">
        <f t="shared" si="19"/>
        <v>0</v>
      </c>
      <c r="AZ28" s="10">
        <f t="shared" si="20"/>
        <v>0.23037490999999999</v>
      </c>
      <c r="BA28" s="10">
        <f t="shared" si="21"/>
        <v>0.52058450077883112</v>
      </c>
      <c r="BB28" s="10">
        <f t="shared" si="22"/>
        <v>0</v>
      </c>
      <c r="BC28" s="10">
        <f t="shared" si="23"/>
        <v>0.13400822226064071</v>
      </c>
      <c r="BD28" s="10">
        <f t="shared" si="24"/>
        <v>0</v>
      </c>
      <c r="BF28" s="1">
        <f t="shared" si="25"/>
        <v>1.021283315694177E-6</v>
      </c>
    </row>
    <row r="29" spans="2:58" x14ac:dyDescent="0.2">
      <c r="B29" s="13" t="s">
        <v>84</v>
      </c>
      <c r="C29" s="12" t="s">
        <v>69</v>
      </c>
      <c r="D29" s="12">
        <v>0</v>
      </c>
      <c r="E29" s="12">
        <v>0</v>
      </c>
      <c r="F29" s="12">
        <v>1.8694</v>
      </c>
      <c r="G29" s="12">
        <v>0</v>
      </c>
      <c r="H29" s="12">
        <v>1.7</v>
      </c>
      <c r="I29" s="12">
        <v>0.2598606822168264</v>
      </c>
      <c r="J29" s="12">
        <v>1.009486143773924</v>
      </c>
      <c r="K29" s="12">
        <v>0</v>
      </c>
      <c r="L29" s="12">
        <v>0</v>
      </c>
      <c r="M29" s="12">
        <v>293026.95</v>
      </c>
      <c r="N29" s="12">
        <v>154950.42000000001</v>
      </c>
      <c r="O29" s="12">
        <v>0.48</v>
      </c>
      <c r="Q29" s="15">
        <v>110.94272599999999</v>
      </c>
      <c r="R29" s="15">
        <v>-31.699415999999999</v>
      </c>
      <c r="S29" s="15">
        <v>160</v>
      </c>
      <c r="T29" s="15">
        <v>112.750244</v>
      </c>
      <c r="U29" s="15">
        <v>129.799364</v>
      </c>
      <c r="V29" s="15">
        <v>101.33199</v>
      </c>
      <c r="W29" s="15">
        <v>25.368286000000001</v>
      </c>
      <c r="X29" s="15">
        <v>13.422007000000001</v>
      </c>
      <c r="Z29" t="str">
        <f t="shared" si="0"/>
        <v>CEN_Bio_Ethanol_CCS_20_Agri</v>
      </c>
      <c r="AA29" t="str">
        <f t="shared" si="1"/>
        <v>Biomass_Agri</v>
      </c>
      <c r="AB29" s="11">
        <f t="shared" si="2"/>
        <v>73.842901731525671</v>
      </c>
      <c r="AC29" s="11">
        <f t="shared" si="3"/>
        <v>73.842901731525686</v>
      </c>
      <c r="AD29" s="5">
        <f t="shared" si="4"/>
        <v>0</v>
      </c>
      <c r="AE29">
        <f t="shared" si="5"/>
        <v>0</v>
      </c>
      <c r="AF29">
        <f t="shared" si="6"/>
        <v>0</v>
      </c>
      <c r="AG29" s="1">
        <f t="array" ref="AG29">_xlfn.IFS(C29="Biomass_Corn", 1/F29*S29, C29="Biomass_Agri", 1/F29*V29, C29="Biomass_Wood", 1/F29*U29, C29="Biomass_Herb", 1/F29*T29)</f>
        <v>54.205622124745908</v>
      </c>
      <c r="AH29">
        <f t="shared" si="7"/>
        <v>0</v>
      </c>
      <c r="AI29">
        <f t="shared" si="8"/>
        <v>19.881937798517143</v>
      </c>
      <c r="AJ29">
        <f t="shared" si="9"/>
        <v>10.513417323198794</v>
      </c>
      <c r="AK29">
        <f t="shared" si="10"/>
        <v>0.25676687707285761</v>
      </c>
      <c r="AL29" s="1">
        <f t="shared" si="11"/>
        <v>5.1796002730197799E-6</v>
      </c>
      <c r="AM29" s="1">
        <f t="shared" si="12"/>
        <v>-11.015417030982915</v>
      </c>
      <c r="AN29">
        <f t="shared" si="13"/>
        <v>5.7463897387915856E-4</v>
      </c>
      <c r="AO29">
        <f t="shared" si="14"/>
        <v>-0.13900235341397027</v>
      </c>
      <c r="AP29" s="1">
        <f t="shared" si="15"/>
        <v>4.406457616152232</v>
      </c>
      <c r="AQ29">
        <f t="shared" si="16"/>
        <v>-15.421300008161268</v>
      </c>
      <c r="AS29" s="9">
        <f t="shared" si="17"/>
        <v>1.7</v>
      </c>
      <c r="AT29" s="10">
        <v>0.1828908353</v>
      </c>
      <c r="AU29" s="9">
        <v>0.23037490999999999</v>
      </c>
      <c r="AW29" s="10">
        <f t="shared" si="18"/>
        <v>0.90938268963303737</v>
      </c>
      <c r="AX29" s="10">
        <f t="shared" si="19"/>
        <v>0</v>
      </c>
      <c r="AZ29" s="10">
        <f t="shared" si="20"/>
        <v>0.23037490999999999</v>
      </c>
      <c r="BA29" s="10">
        <f t="shared" si="21"/>
        <v>0.54000542621906711</v>
      </c>
      <c r="BB29" s="10">
        <f t="shared" si="22"/>
        <v>0</v>
      </c>
      <c r="BC29" s="10">
        <f t="shared" si="23"/>
        <v>0.13900753301424329</v>
      </c>
      <c r="BD29" s="10">
        <f t="shared" si="24"/>
        <v>0</v>
      </c>
      <c r="BF29" s="1">
        <f t="shared" si="25"/>
        <v>-5.1796002730197799E-6</v>
      </c>
    </row>
    <row r="30" spans="2:58" x14ac:dyDescent="0.2">
      <c r="B30" s="13" t="s">
        <v>85</v>
      </c>
      <c r="C30" s="12" t="s">
        <v>69</v>
      </c>
      <c r="D30" s="12">
        <v>0</v>
      </c>
      <c r="E30" s="12">
        <v>0</v>
      </c>
      <c r="F30" s="12">
        <v>1.8813</v>
      </c>
      <c r="G30" s="12">
        <v>0</v>
      </c>
      <c r="H30" s="12">
        <v>1.708</v>
      </c>
      <c r="I30" s="12">
        <v>0.26093362189322999</v>
      </c>
      <c r="J30" s="12">
        <v>1.01365421463095</v>
      </c>
      <c r="K30" s="12">
        <v>0</v>
      </c>
      <c r="L30" s="12">
        <v>0</v>
      </c>
      <c r="M30" s="12">
        <v>293026.95</v>
      </c>
      <c r="N30" s="12">
        <v>154950.42000000001</v>
      </c>
      <c r="O30" s="12">
        <v>0.48</v>
      </c>
      <c r="Q30" s="15">
        <v>110.94272599999999</v>
      </c>
      <c r="R30" s="15">
        <v>-53.928761999999999</v>
      </c>
      <c r="S30" s="15">
        <v>160</v>
      </c>
      <c r="T30" s="15">
        <v>101.629081</v>
      </c>
      <c r="U30" s="15">
        <v>109.563401</v>
      </c>
      <c r="V30" s="15">
        <v>90.220664999999997</v>
      </c>
      <c r="W30" s="15">
        <v>39.378855999999999</v>
      </c>
      <c r="X30" s="15">
        <v>13.422667000000001</v>
      </c>
      <c r="Z30" t="str">
        <f t="shared" si="0"/>
        <v>MIDAT_Bio_Ethanol_CCS_20_Agri</v>
      </c>
      <c r="AA30" t="str">
        <f t="shared" si="1"/>
        <v>Biomass_Agri</v>
      </c>
      <c r="AB30" s="11">
        <f t="shared" si="2"/>
        <v>70.506570648675819</v>
      </c>
      <c r="AC30" s="11">
        <f t="shared" si="3"/>
        <v>70.506570648675819</v>
      </c>
      <c r="AD30" s="5">
        <f t="shared" si="4"/>
        <v>0</v>
      </c>
      <c r="AE30">
        <f t="shared" si="5"/>
        <v>0</v>
      </c>
      <c r="AF30">
        <f t="shared" si="6"/>
        <v>0</v>
      </c>
      <c r="AG30" s="1">
        <f t="array" ref="AG30">_xlfn.IFS(C30="Biomass_Corn", 1/F30*S30, C30="Biomass_Agri", 1/F30*V30, C30="Biomass_Wood", 1/F30*U30, C30="Biomass_Herb", 1/F30*T30)</f>
        <v>47.956553978631803</v>
      </c>
      <c r="AH30">
        <f t="shared" si="7"/>
        <v>0</v>
      </c>
      <c r="AI30">
        <f t="shared" si="8"/>
        <v>19.756176325172991</v>
      </c>
      <c r="AJ30">
        <f t="shared" si="9"/>
        <v>10.446915613664926</v>
      </c>
      <c r="AK30">
        <f t="shared" si="10"/>
        <v>0.2551427204592569</v>
      </c>
      <c r="AL30" s="1">
        <f t="shared" si="11"/>
        <v>-4.1701444852826342E-6</v>
      </c>
      <c r="AM30" s="1">
        <f t="shared" si="12"/>
        <v>-7.9077553420561451</v>
      </c>
      <c r="AN30">
        <f t="shared" si="13"/>
        <v>-4.6264719701112226E-4</v>
      </c>
      <c r="AO30">
        <f t="shared" si="14"/>
        <v>-0.13870274128849736</v>
      </c>
      <c r="AP30" s="1">
        <f t="shared" si="15"/>
        <v>7.4798422329654972</v>
      </c>
      <c r="AQ30">
        <f t="shared" si="16"/>
        <v>-15.388060222218648</v>
      </c>
      <c r="AS30" s="9">
        <f t="shared" si="17"/>
        <v>1.708</v>
      </c>
      <c r="AT30" s="10">
        <v>0.1828908353</v>
      </c>
      <c r="AU30" s="9">
        <v>0.23037490999999999</v>
      </c>
      <c r="AW30" s="10">
        <f t="shared" si="18"/>
        <v>0.90788284696752242</v>
      </c>
      <c r="AX30" s="10">
        <f t="shared" si="19"/>
        <v>0</v>
      </c>
      <c r="AZ30" s="10">
        <f t="shared" si="20"/>
        <v>0.23037490999999999</v>
      </c>
      <c r="BA30" s="10">
        <f t="shared" si="21"/>
        <v>0.53880519567902507</v>
      </c>
      <c r="BB30" s="10">
        <f t="shared" si="22"/>
        <v>0</v>
      </c>
      <c r="BC30" s="10">
        <f t="shared" si="23"/>
        <v>0.13869857114401213</v>
      </c>
      <c r="BD30" s="10">
        <f t="shared" si="24"/>
        <v>0</v>
      </c>
      <c r="BF30" s="1">
        <f t="shared" si="25"/>
        <v>4.1701444852826342E-6</v>
      </c>
    </row>
    <row r="31" spans="2:58" x14ac:dyDescent="0.2">
      <c r="B31" s="13" t="s">
        <v>86</v>
      </c>
      <c r="C31" s="12" t="s">
        <v>69</v>
      </c>
      <c r="D31" s="12">
        <v>0</v>
      </c>
      <c r="E31" s="12">
        <v>0</v>
      </c>
      <c r="F31" s="12">
        <v>1.8835</v>
      </c>
      <c r="G31" s="12">
        <v>0</v>
      </c>
      <c r="H31" s="12">
        <v>1.71</v>
      </c>
      <c r="I31" s="12">
        <v>0.26124036728893979</v>
      </c>
      <c r="J31" s="12">
        <v>1.014845834786773</v>
      </c>
      <c r="K31" s="12">
        <v>0</v>
      </c>
      <c r="L31" s="12">
        <v>0</v>
      </c>
      <c r="M31" s="12">
        <v>293026.95</v>
      </c>
      <c r="N31" s="12">
        <v>154950.42000000001</v>
      </c>
      <c r="O31" s="12">
        <v>0.48</v>
      </c>
      <c r="Q31" s="15">
        <v>110.94272599999999</v>
      </c>
      <c r="R31" s="15">
        <v>-41.712553</v>
      </c>
      <c r="S31" s="15">
        <v>160</v>
      </c>
      <c r="T31" s="15">
        <v>106.47328400000001</v>
      </c>
      <c r="U31" s="15">
        <v>117.9145</v>
      </c>
      <c r="V31" s="15">
        <v>93.425466999999998</v>
      </c>
      <c r="W31" s="15">
        <v>30.730081999999999</v>
      </c>
      <c r="X31" s="15">
        <v>13.422086999999999</v>
      </c>
      <c r="Z31" t="str">
        <f t="shared" si="0"/>
        <v>NCEN_Bio_Ethanol_CCS_20_Agri</v>
      </c>
      <c r="AA31" t="str">
        <f t="shared" si="1"/>
        <v>Biomass_Agri</v>
      </c>
      <c r="AB31" s="11">
        <f t="shared" si="2"/>
        <v>70.422369788339282</v>
      </c>
      <c r="AC31" s="11">
        <f t="shared" si="3"/>
        <v>70.422369788339282</v>
      </c>
      <c r="AD31" s="5">
        <f t="shared" si="4"/>
        <v>0</v>
      </c>
      <c r="AE31">
        <f t="shared" si="5"/>
        <v>0</v>
      </c>
      <c r="AF31">
        <f t="shared" si="6"/>
        <v>0</v>
      </c>
      <c r="AG31" s="1">
        <f t="array" ref="AG31">_xlfn.IFS(C31="Biomass_Corn", 1/F31*S31, C31="Biomass_Agri", 1/F31*V31, C31="Biomass_Wood", 1/F31*U31, C31="Biomass_Herb", 1/F31*T31)</f>
        <v>49.602053092646671</v>
      </c>
      <c r="AH31">
        <f t="shared" si="7"/>
        <v>0</v>
      </c>
      <c r="AI31">
        <f t="shared" si="8"/>
        <v>19.733100356011654</v>
      </c>
      <c r="AJ31">
        <f t="shared" si="9"/>
        <v>10.434713216876997</v>
      </c>
      <c r="AK31">
        <f t="shared" si="10"/>
        <v>0.25484470400849479</v>
      </c>
      <c r="AL31" s="1">
        <f t="shared" si="11"/>
        <v>-1.4095775351385953E-6</v>
      </c>
      <c r="AM31" s="1">
        <f t="shared" si="12"/>
        <v>-9.602185198830286</v>
      </c>
      <c r="AN31">
        <f t="shared" si="13"/>
        <v>-1.5638237425663653E-4</v>
      </c>
      <c r="AO31">
        <f t="shared" si="14"/>
        <v>-0.13870083473757744</v>
      </c>
      <c r="AP31" s="1">
        <f t="shared" si="15"/>
        <v>5.7855071230578003</v>
      </c>
      <c r="AQ31">
        <f t="shared" si="16"/>
        <v>-15.387848704262336</v>
      </c>
      <c r="AS31" s="9">
        <f t="shared" si="17"/>
        <v>1.71</v>
      </c>
      <c r="AT31" s="10">
        <v>0.1828908353</v>
      </c>
      <c r="AU31" s="9">
        <v>0.23037490999999999</v>
      </c>
      <c r="AW31" s="10">
        <f t="shared" si="18"/>
        <v>0.90788425803026285</v>
      </c>
      <c r="AX31" s="10">
        <f t="shared" si="19"/>
        <v>0</v>
      </c>
      <c r="AZ31" s="10">
        <f t="shared" si="20"/>
        <v>0.23037490999999999</v>
      </c>
      <c r="BA31" s="10">
        <f t="shared" si="21"/>
        <v>0.53880851329268542</v>
      </c>
      <c r="BB31" s="10">
        <f t="shared" si="22"/>
        <v>0</v>
      </c>
      <c r="BC31" s="10">
        <f t="shared" si="23"/>
        <v>0.13869942516004236</v>
      </c>
      <c r="BD31" s="10">
        <f t="shared" si="24"/>
        <v>0</v>
      </c>
      <c r="BF31" s="1">
        <f t="shared" si="25"/>
        <v>1.4095775351385953E-6</v>
      </c>
    </row>
    <row r="32" spans="2:58" x14ac:dyDescent="0.2">
      <c r="B32" s="13" t="s">
        <v>87</v>
      </c>
      <c r="C32" s="12" t="s">
        <v>69</v>
      </c>
      <c r="D32" s="12">
        <v>0</v>
      </c>
      <c r="E32" s="12">
        <v>0</v>
      </c>
      <c r="F32" s="12">
        <v>1.8758999999999999</v>
      </c>
      <c r="G32" s="12">
        <v>0</v>
      </c>
      <c r="H32" s="12">
        <v>1.6890000000000001</v>
      </c>
      <c r="I32" s="12">
        <v>0.25730067840395571</v>
      </c>
      <c r="J32" s="12">
        <v>0.99954124424139257</v>
      </c>
      <c r="K32" s="12">
        <v>0</v>
      </c>
      <c r="L32" s="12">
        <v>0</v>
      </c>
      <c r="M32" s="12">
        <v>293026.95</v>
      </c>
      <c r="N32" s="12">
        <v>154950.42000000001</v>
      </c>
      <c r="O32" s="12">
        <v>0.48</v>
      </c>
      <c r="Q32" s="15">
        <v>110.94272599999999</v>
      </c>
      <c r="R32" s="15">
        <v>-47.669266999999998</v>
      </c>
      <c r="S32" s="15">
        <v>160</v>
      </c>
      <c r="T32" s="15">
        <v>100.492544</v>
      </c>
      <c r="U32" s="15">
        <v>115.666566</v>
      </c>
      <c r="V32" s="15">
        <v>89.651598000000007</v>
      </c>
      <c r="W32" s="15">
        <v>38.232120000000002</v>
      </c>
      <c r="X32" s="15">
        <v>13.421991999999999</v>
      </c>
      <c r="Z32" t="str">
        <f t="shared" si="0"/>
        <v>SE_Bio_Ethanol_CCS_20_Agri</v>
      </c>
      <c r="AA32" t="str">
        <f t="shared" si="1"/>
        <v>Biomass_Agri</v>
      </c>
      <c r="AB32" s="11">
        <f t="shared" si="2"/>
        <v>69.658626164948231</v>
      </c>
      <c r="AC32" s="11">
        <f t="shared" si="3"/>
        <v>69.658626164948231</v>
      </c>
      <c r="AD32" s="5">
        <f t="shared" si="4"/>
        <v>0</v>
      </c>
      <c r="AE32">
        <f t="shared" si="5"/>
        <v>0</v>
      </c>
      <c r="AF32">
        <f t="shared" si="6"/>
        <v>0</v>
      </c>
      <c r="AG32" s="1">
        <f t="array" ref="AG32">_xlfn.IFS(C32="Biomass_Corn", 1/F32*S32, C32="Biomass_Agri", 1/F32*V32, C32="Biomass_Wood", 1/F32*U32, C32="Biomass_Herb", 1/F32*T32)</f>
        <v>47.791245802015041</v>
      </c>
      <c r="AH32">
        <f t="shared" si="7"/>
        <v>0</v>
      </c>
      <c r="AI32">
        <f t="shared" si="8"/>
        <v>19.813046815154298</v>
      </c>
      <c r="AJ32">
        <f t="shared" si="9"/>
        <v>10.476988295744883</v>
      </c>
      <c r="AK32">
        <f t="shared" si="10"/>
        <v>0.25587717895410206</v>
      </c>
      <c r="AL32" s="1">
        <f t="shared" si="11"/>
        <v>1.1814672147281158E-6</v>
      </c>
      <c r="AM32" s="1">
        <f t="shared" si="12"/>
        <v>-8.678663002113586</v>
      </c>
      <c r="AN32">
        <f t="shared" si="13"/>
        <v>1.3107519348156451E-4</v>
      </c>
      <c r="AO32">
        <f t="shared" si="14"/>
        <v>-0.137160009643162</v>
      </c>
      <c r="AP32" s="1">
        <f t="shared" si="15"/>
        <v>6.5383734410785745</v>
      </c>
      <c r="AQ32">
        <f t="shared" si="16"/>
        <v>-15.216905367998677</v>
      </c>
      <c r="AS32" s="9">
        <f t="shared" si="17"/>
        <v>1.6890000000000001</v>
      </c>
      <c r="AT32" s="10">
        <v>0.1828908353</v>
      </c>
      <c r="AU32" s="9">
        <v>0.23037490999999999</v>
      </c>
      <c r="AW32" s="10">
        <f t="shared" si="18"/>
        <v>0.90036782344474664</v>
      </c>
      <c r="AX32" s="10">
        <f t="shared" si="19"/>
        <v>0</v>
      </c>
      <c r="AZ32" s="10">
        <f t="shared" si="20"/>
        <v>0.23037490999999999</v>
      </c>
      <c r="BA32" s="10">
        <f t="shared" si="21"/>
        <v>0.53283290380158466</v>
      </c>
      <c r="BB32" s="10">
        <f t="shared" si="22"/>
        <v>0</v>
      </c>
      <c r="BC32" s="10">
        <f t="shared" si="23"/>
        <v>0.13716119111037672</v>
      </c>
      <c r="BD32" s="10">
        <f t="shared" si="24"/>
        <v>0</v>
      </c>
      <c r="BF32" s="1">
        <f t="shared" si="25"/>
        <v>-1.1814672147281158E-6</v>
      </c>
    </row>
    <row r="33" spans="2:58" x14ac:dyDescent="0.2">
      <c r="B33" s="13" t="s">
        <v>88</v>
      </c>
      <c r="C33" s="12" t="s">
        <v>69</v>
      </c>
      <c r="D33" s="12">
        <v>0</v>
      </c>
      <c r="E33" s="12">
        <v>0</v>
      </c>
      <c r="F33" s="12">
        <v>1.8062</v>
      </c>
      <c r="G33" s="12">
        <v>0</v>
      </c>
      <c r="H33" s="12">
        <v>1.633</v>
      </c>
      <c r="I33" s="12">
        <v>0.24912258574124349</v>
      </c>
      <c r="J33" s="12">
        <v>0.96777163925506116</v>
      </c>
      <c r="K33" s="12">
        <v>0</v>
      </c>
      <c r="L33" s="12">
        <v>0</v>
      </c>
      <c r="M33" s="12">
        <v>293026.95</v>
      </c>
      <c r="N33" s="12">
        <v>154950.42000000001</v>
      </c>
      <c r="O33" s="12">
        <v>0.48</v>
      </c>
      <c r="Q33" s="15">
        <v>110.94272599999999</v>
      </c>
      <c r="R33" s="15">
        <v>-21.501526999999999</v>
      </c>
      <c r="S33" s="15">
        <v>160</v>
      </c>
      <c r="T33" s="15">
        <v>140.36716899999999</v>
      </c>
      <c r="U33" s="15">
        <v>160.45006900000001</v>
      </c>
      <c r="V33" s="15">
        <v>113.683173</v>
      </c>
      <c r="W33" s="15">
        <v>20.241166</v>
      </c>
      <c r="X33" s="15">
        <v>13.326013</v>
      </c>
      <c r="Z33" t="str">
        <f t="shared" si="0"/>
        <v>TX_Bio_Ethanol_CCS_20_Agri</v>
      </c>
      <c r="AA33" t="str">
        <f t="shared" si="1"/>
        <v>Biomass_Agri</v>
      </c>
      <c r="AB33" s="11">
        <f t="shared" si="2"/>
        <v>82.328721765663971</v>
      </c>
      <c r="AC33" s="11">
        <f t="shared" si="3"/>
        <v>82.328721765663985</v>
      </c>
      <c r="AD33" s="5">
        <f t="shared" si="4"/>
        <v>0</v>
      </c>
      <c r="AE33">
        <f t="shared" si="5"/>
        <v>0</v>
      </c>
      <c r="AF33">
        <f t="shared" si="6"/>
        <v>0</v>
      </c>
      <c r="AG33" s="1">
        <f t="array" ref="AG33">_xlfn.IFS(C33="Biomass_Corn", 1/F33*S33, C33="Biomass_Agri", 1/F33*V33, C33="Biomass_Wood", 1/F33*U33, C33="Biomass_Herb", 1/F33*T33)</f>
        <v>62.940523197873986</v>
      </c>
      <c r="AH33">
        <f t="shared" si="7"/>
        <v>0</v>
      </c>
      <c r="AI33">
        <f t="shared" si="8"/>
        <v>20.577618492164735</v>
      </c>
      <c r="AJ33">
        <f t="shared" si="9"/>
        <v>10.881287976961479</v>
      </c>
      <c r="AK33">
        <f t="shared" si="10"/>
        <v>0.26575130107407818</v>
      </c>
      <c r="AL33" s="1">
        <f t="shared" si="11"/>
        <v>-1.4464409785475141E-6</v>
      </c>
      <c r="AM33" s="1">
        <f t="shared" si="12"/>
        <v>-12.336298730305126</v>
      </c>
      <c r="AN33">
        <f t="shared" si="13"/>
        <v>-1.6047210515816873E-4</v>
      </c>
      <c r="AO33">
        <f t="shared" si="14"/>
        <v>-0.13792780329029952</v>
      </c>
      <c r="AP33" s="1">
        <f t="shared" si="15"/>
        <v>2.9656272858073094</v>
      </c>
      <c r="AQ33">
        <f t="shared" si="16"/>
        <v>-15.302086488217597</v>
      </c>
      <c r="AS33" s="9">
        <f t="shared" si="17"/>
        <v>1.633</v>
      </c>
      <c r="AT33" s="10">
        <v>0.1828908353</v>
      </c>
      <c r="AU33" s="9">
        <v>0.23037490999999999</v>
      </c>
      <c r="AW33" s="10">
        <f t="shared" si="18"/>
        <v>0.90410807219577016</v>
      </c>
      <c r="AX33" s="10">
        <f t="shared" si="19"/>
        <v>0</v>
      </c>
      <c r="AZ33" s="10">
        <f t="shared" si="20"/>
        <v>0.23037490999999999</v>
      </c>
      <c r="BA33" s="10">
        <f t="shared" si="21"/>
        <v>0.53580535890547065</v>
      </c>
      <c r="BB33" s="10">
        <f t="shared" si="22"/>
        <v>0</v>
      </c>
      <c r="BC33" s="10">
        <f t="shared" si="23"/>
        <v>0.13792635684932095</v>
      </c>
      <c r="BD33" s="10">
        <f t="shared" si="24"/>
        <v>0</v>
      </c>
      <c r="BF33" s="1">
        <f t="shared" si="25"/>
        <v>1.4464409785475141E-6</v>
      </c>
    </row>
    <row r="34" spans="2:58" x14ac:dyDescent="0.2">
      <c r="B34" s="13" t="s">
        <v>89</v>
      </c>
      <c r="C34" s="12" t="s">
        <v>57</v>
      </c>
      <c r="D34" s="12">
        <v>0</v>
      </c>
      <c r="E34" s="12">
        <v>0.26319999999999999</v>
      </c>
      <c r="F34" s="12">
        <v>1.9847999999999999</v>
      </c>
      <c r="G34" s="12">
        <v>0</v>
      </c>
      <c r="H34" s="12">
        <v>1.7230000000000001</v>
      </c>
      <c r="I34" s="12">
        <v>1.0913384446313901</v>
      </c>
      <c r="J34" s="12">
        <v>0.1744217555905887</v>
      </c>
      <c r="K34" s="12">
        <v>0</v>
      </c>
      <c r="L34" s="12">
        <v>0</v>
      </c>
      <c r="M34" s="12">
        <v>520155.64</v>
      </c>
      <c r="N34" s="12">
        <v>279265.62</v>
      </c>
      <c r="O34" s="12">
        <v>1.67</v>
      </c>
      <c r="Q34" s="15">
        <v>110.94272599999999</v>
      </c>
      <c r="R34" s="15">
        <v>-31.699415999999999</v>
      </c>
      <c r="S34" s="15">
        <v>160</v>
      </c>
      <c r="T34" s="15">
        <v>112.750244</v>
      </c>
      <c r="U34" s="15">
        <v>129.799364</v>
      </c>
      <c r="V34" s="15">
        <v>101.33199</v>
      </c>
      <c r="W34" s="15">
        <v>25.368286000000001</v>
      </c>
      <c r="X34" s="15">
        <v>13.422007000000001</v>
      </c>
      <c r="Z34" t="str">
        <f t="shared" si="0"/>
        <v>CEN_Bio_Ethanol_CCS_86_Herb</v>
      </c>
      <c r="AA34" t="str">
        <f t="shared" si="1"/>
        <v>Biomass_Herb</v>
      </c>
      <c r="AB34" s="11">
        <f t="shared" si="2"/>
        <v>68.528192694593798</v>
      </c>
      <c r="AC34" s="11">
        <f t="shared" si="3"/>
        <v>68.528192694593798</v>
      </c>
      <c r="AD34" s="5">
        <f t="shared" si="4"/>
        <v>0</v>
      </c>
      <c r="AE34">
        <f t="shared" si="5"/>
        <v>0</v>
      </c>
      <c r="AF34">
        <f t="shared" si="6"/>
        <v>3.3640330890769854</v>
      </c>
      <c r="AG34" s="1">
        <f t="array" ref="AG34">_xlfn.IFS(C34="Biomass_Corn", 1/F34*S34, C34="Biomass_Agri", 1/F34*V34, C34="Biomass_Wood", 1/F34*U34, C34="Biomass_Herb", 1/F34*T34)</f>
        <v>56.806854091092305</v>
      </c>
      <c r="AH34">
        <f t="shared" si="7"/>
        <v>0</v>
      </c>
      <c r="AI34">
        <f t="shared" si="8"/>
        <v>33.240683481624224</v>
      </c>
      <c r="AJ34">
        <f t="shared" si="9"/>
        <v>17.846543164887237</v>
      </c>
      <c r="AK34">
        <f t="shared" si="10"/>
        <v>0.8413945989520355</v>
      </c>
      <c r="AL34" s="1">
        <f t="shared" si="11"/>
        <v>4.192659199153681E-6</v>
      </c>
      <c r="AM34" s="1">
        <f t="shared" si="12"/>
        <v>-43.571780876079742</v>
      </c>
      <c r="AN34">
        <f t="shared" si="13"/>
        <v>4.6514504074308624E-4</v>
      </c>
      <c r="AO34">
        <f t="shared" si="14"/>
        <v>-0.54984387497048148</v>
      </c>
      <c r="AP34" s="1">
        <f t="shared" si="15"/>
        <v>17.42986263258938</v>
      </c>
      <c r="AQ34">
        <f t="shared" si="16"/>
        <v>-61.001178363628384</v>
      </c>
      <c r="AS34" s="9">
        <f t="shared" si="17"/>
        <v>1.7230000000000001</v>
      </c>
      <c r="AT34" s="10">
        <v>0.1828908353</v>
      </c>
      <c r="AU34" s="9">
        <v>0.23037490999999999</v>
      </c>
      <c r="AW34" s="10">
        <f t="shared" si="18"/>
        <v>0.86809754131398642</v>
      </c>
      <c r="AX34" s="10">
        <f t="shared" si="19"/>
        <v>0</v>
      </c>
      <c r="AZ34" s="10">
        <f t="shared" si="20"/>
        <v>0.23037490999999999</v>
      </c>
      <c r="BA34" s="10">
        <f t="shared" si="21"/>
        <v>8.7878756343504991E-2</v>
      </c>
      <c r="BB34" s="10">
        <f t="shared" si="22"/>
        <v>0</v>
      </c>
      <c r="BC34" s="10">
        <f t="shared" si="23"/>
        <v>0.54984806762968064</v>
      </c>
      <c r="BD34" s="10">
        <f t="shared" si="24"/>
        <v>0</v>
      </c>
      <c r="BF34" s="1">
        <f t="shared" si="25"/>
        <v>-4.192659199153681E-6</v>
      </c>
    </row>
    <row r="35" spans="2:58" x14ac:dyDescent="0.2">
      <c r="B35" s="13" t="s">
        <v>90</v>
      </c>
      <c r="C35" s="12" t="s">
        <v>57</v>
      </c>
      <c r="D35" s="12">
        <v>0</v>
      </c>
      <c r="E35" s="12">
        <v>0.26319999999999999</v>
      </c>
      <c r="F35" s="12">
        <v>1.9923999999999999</v>
      </c>
      <c r="G35" s="12">
        <v>0</v>
      </c>
      <c r="H35" s="12">
        <v>1.736</v>
      </c>
      <c r="I35" s="12">
        <v>1.10103326235625</v>
      </c>
      <c r="J35" s="12">
        <v>0.17597121729609291</v>
      </c>
      <c r="K35" s="12">
        <v>0</v>
      </c>
      <c r="L35" s="12">
        <v>0</v>
      </c>
      <c r="M35" s="12">
        <v>520155.64</v>
      </c>
      <c r="N35" s="12">
        <v>279265.62</v>
      </c>
      <c r="O35" s="12">
        <v>1.67</v>
      </c>
      <c r="Q35" s="15">
        <v>110.94272599999999</v>
      </c>
      <c r="R35" s="15">
        <v>-53.928761999999999</v>
      </c>
      <c r="S35" s="15">
        <v>160</v>
      </c>
      <c r="T35" s="15">
        <v>101.629081</v>
      </c>
      <c r="U35" s="15">
        <v>109.563401</v>
      </c>
      <c r="V35" s="15">
        <v>90.220664999999997</v>
      </c>
      <c r="W35" s="15">
        <v>39.378855999999999</v>
      </c>
      <c r="X35" s="15">
        <v>13.422667000000001</v>
      </c>
      <c r="Z35" t="str">
        <f t="shared" si="0"/>
        <v>MIDAT_Bio_Ethanol_CCS_86_Herb</v>
      </c>
      <c r="AA35" t="str">
        <f t="shared" si="1"/>
        <v>Biomass_Herb</v>
      </c>
      <c r="AB35" s="11">
        <f t="shared" si="2"/>
        <v>76.434267895068075</v>
      </c>
      <c r="AC35" s="11">
        <f t="shared" si="3"/>
        <v>76.434267895068061</v>
      </c>
      <c r="AD35" s="5">
        <f t="shared" si="4"/>
        <v>0</v>
      </c>
      <c r="AE35">
        <f t="shared" si="5"/>
        <v>0</v>
      </c>
      <c r="AF35">
        <f t="shared" si="6"/>
        <v>5.2020251451515751</v>
      </c>
      <c r="AG35" s="1">
        <f t="array" ref="AG35">_xlfn.IFS(C35="Biomass_Corn", 1/F35*S35, C35="Biomass_Agri", 1/F35*V35, C35="Biomass_Wood", 1/F35*U35, C35="Biomass_Herb", 1/F35*T35)</f>
        <v>51.008372314796226</v>
      </c>
      <c r="AH35">
        <f t="shared" si="7"/>
        <v>0</v>
      </c>
      <c r="AI35">
        <f t="shared" si="8"/>
        <v>33.113887057984215</v>
      </c>
      <c r="AJ35">
        <f t="shared" si="9"/>
        <v>17.778467613766406</v>
      </c>
      <c r="AK35">
        <f t="shared" si="10"/>
        <v>0.83818510339289298</v>
      </c>
      <c r="AL35" s="1">
        <f t="shared" si="11"/>
        <v>1.73174881690219E-6</v>
      </c>
      <c r="AM35" s="1">
        <f t="shared" si="12"/>
        <v>-31.506861464957733</v>
      </c>
      <c r="AN35">
        <f t="shared" si="13"/>
        <v>1.9212493449440382E-4</v>
      </c>
      <c r="AO35">
        <f t="shared" si="14"/>
        <v>-0.5526148424111158</v>
      </c>
      <c r="AP35" s="1">
        <f t="shared" si="15"/>
        <v>29.80192770512636</v>
      </c>
      <c r="AQ35">
        <f t="shared" si="16"/>
        <v>-61.308597045149597</v>
      </c>
      <c r="AS35" s="9">
        <f t="shared" si="17"/>
        <v>1.736</v>
      </c>
      <c r="AT35" s="10">
        <v>0.1828908353</v>
      </c>
      <c r="AU35" s="9">
        <v>0.23037490999999999</v>
      </c>
      <c r="AW35" s="10">
        <f t="shared" si="18"/>
        <v>0.8713109817305762</v>
      </c>
      <c r="AX35" s="10">
        <f t="shared" si="19"/>
        <v>0</v>
      </c>
      <c r="AZ35" s="10">
        <f t="shared" si="20"/>
        <v>0.23037490999999999</v>
      </c>
      <c r="BA35" s="10">
        <f t="shared" si="21"/>
        <v>8.8321229319460404E-2</v>
      </c>
      <c r="BB35" s="10">
        <f t="shared" si="22"/>
        <v>0</v>
      </c>
      <c r="BC35" s="10">
        <f t="shared" si="23"/>
        <v>0.55261657415993271</v>
      </c>
      <c r="BD35" s="10">
        <f t="shared" si="24"/>
        <v>0</v>
      </c>
      <c r="BF35" s="1">
        <f t="shared" si="25"/>
        <v>-1.73174881690219E-6</v>
      </c>
    </row>
    <row r="36" spans="2:58" x14ac:dyDescent="0.2">
      <c r="B36" s="13" t="s">
        <v>91</v>
      </c>
      <c r="C36" s="12" t="s">
        <v>57</v>
      </c>
      <c r="D36" s="12">
        <v>0</v>
      </c>
      <c r="E36" s="12">
        <v>0.26319999999999999</v>
      </c>
      <c r="F36" s="12">
        <v>1.9966999999999999</v>
      </c>
      <c r="G36" s="12">
        <v>0</v>
      </c>
      <c r="H36" s="12">
        <v>1.74</v>
      </c>
      <c r="I36" s="12">
        <v>1.1036170439133131</v>
      </c>
      <c r="J36" s="12">
        <v>0.17638416684209529</v>
      </c>
      <c r="K36" s="12">
        <v>0</v>
      </c>
      <c r="L36" s="12">
        <v>0</v>
      </c>
      <c r="M36" s="12">
        <v>520155.64</v>
      </c>
      <c r="N36" s="12">
        <v>279265.62</v>
      </c>
      <c r="O36" s="12">
        <v>1.67</v>
      </c>
      <c r="Q36" s="15">
        <v>110.94272599999999</v>
      </c>
      <c r="R36" s="15">
        <v>-41.712553</v>
      </c>
      <c r="S36" s="15">
        <v>160</v>
      </c>
      <c r="T36" s="15">
        <v>106.47328400000001</v>
      </c>
      <c r="U36" s="15">
        <v>117.9145</v>
      </c>
      <c r="V36" s="15">
        <v>93.425466999999998</v>
      </c>
      <c r="W36" s="15">
        <v>30.730081999999999</v>
      </c>
      <c r="X36" s="15">
        <v>13.422086999999999</v>
      </c>
      <c r="Z36" t="str">
        <f t="shared" ref="Z36:Z67" si="26">B36</f>
        <v>NCEN_Bio_Ethanol_CCS_86_Herb</v>
      </c>
      <c r="AA36" t="str">
        <f t="shared" ref="AA36:AA67" si="27">C36</f>
        <v>Biomass_Herb</v>
      </c>
      <c r="AB36" s="11">
        <f t="shared" ref="AB36:AB67" si="28">SUM(AE36:AK36)+AM36+AN36</f>
        <v>70.729077360713234</v>
      </c>
      <c r="AC36" s="11">
        <f t="shared" ref="AC36:AC67" si="29">SUM(AE36:AK36)+AP36+AQ36</f>
        <v>70.729077360713205</v>
      </c>
      <c r="AD36" s="5">
        <f t="shared" ref="AD36:AD67" si="30">AB36-AC36</f>
        <v>0</v>
      </c>
      <c r="AE36">
        <f t="shared" ref="AE36:AE67" si="31">D36/F36*W36*-1</f>
        <v>0</v>
      </c>
      <c r="AF36">
        <f t="shared" ref="AF36:AF67" si="32">E36/F36*W36</f>
        <v>4.0507625494065209</v>
      </c>
      <c r="AG36" s="1">
        <f t="array" ref="AG36">_xlfn.IFS(C36="Biomass_Corn", 1/F36*S36, C36="Biomass_Agri", 1/F36*V36, C36="Biomass_Wood", 1/F36*U36, C36="Biomass_Herb", 1/F36*T36)</f>
        <v>53.324627635598738</v>
      </c>
      <c r="AH36">
        <f t="shared" ref="AH36:AH67" si="33">G36/F36*X36</f>
        <v>0</v>
      </c>
      <c r="AI36">
        <f t="shared" ref="AI36:AI67" si="34">M36/F36/(0.9*8760)</f>
        <v>33.042574535146869</v>
      </c>
      <c r="AJ36">
        <f t="shared" ref="AJ36:AJ67" si="35">N36/F36/(0.9*8760)</f>
        <v>17.740180735046923</v>
      </c>
      <c r="AK36">
        <f t="shared" ref="AK36:AK67" si="36">O36/F36</f>
        <v>0.83638002704462366</v>
      </c>
      <c r="AL36" s="1">
        <f t="shared" ref="AL36:AL67" si="37">SUM(AZ36:BD36)-AW36</f>
        <v>-4.6108316680282257E-6</v>
      </c>
      <c r="AM36" s="1">
        <f t="shared" ref="AM36:AM67" si="38">(Q36+R36)*-1*(I36+K36)/F36</f>
        <v>-38.264936583296063</v>
      </c>
      <c r="AN36">
        <f t="shared" ref="AN36:AN67" si="39">AL36*Q36</f>
        <v>-5.115382343781784E-4</v>
      </c>
      <c r="AO36">
        <f t="shared" ref="AO36:AO67" si="40">SUM(AZ36:BB36)-AW36</f>
        <v>-0.55272512163114373</v>
      </c>
      <c r="AP36" s="1">
        <f t="shared" ref="AP36:AP67" si="41">(I36+K36)/F36*-1*R36</f>
        <v>23.055383600910204</v>
      </c>
      <c r="AQ36">
        <f t="shared" ref="AQ36:AQ67" si="42">AO36*Q36</f>
        <v>-61.320831722440651</v>
      </c>
      <c r="AS36" s="9">
        <f t="shared" ref="AS36:AS67" si="43">H36</f>
        <v>1.74</v>
      </c>
      <c r="AT36" s="10">
        <v>0.1828908353</v>
      </c>
      <c r="AU36" s="9">
        <v>0.23037490999999999</v>
      </c>
      <c r="AW36" s="10">
        <f t="shared" ref="AW36:AW67" si="44">AS36/F36</f>
        <v>0.87143787248960791</v>
      </c>
      <c r="AX36" s="10">
        <f t="shared" ref="AX36:AX67" si="45">AT36*G36/F36</f>
        <v>0</v>
      </c>
      <c r="AZ36" s="10">
        <f t="shared" ref="AZ36:AZ67" si="46">AU36</f>
        <v>0.23037490999999999</v>
      </c>
      <c r="BA36" s="10">
        <f t="shared" ref="BA36:BA67" si="47">J36/F36</f>
        <v>8.833784085846412E-2</v>
      </c>
      <c r="BB36" s="10">
        <f t="shared" ref="BB36:BB67" si="48">L36/F36</f>
        <v>0</v>
      </c>
      <c r="BC36" s="10">
        <f t="shared" ref="BC36:BC67" si="49">I36/F36</f>
        <v>0.55272051079947571</v>
      </c>
      <c r="BD36" s="10">
        <f t="shared" ref="BD36:BD67" si="50">K36/F36</f>
        <v>0</v>
      </c>
      <c r="BF36" s="1">
        <f t="shared" ref="BF36:BF67" si="51">SUM(AW36:AX36)-SUM(AZ36:BD36)</f>
        <v>4.6108316680282257E-6</v>
      </c>
    </row>
    <row r="37" spans="2:58" x14ac:dyDescent="0.2">
      <c r="B37" s="13" t="s">
        <v>92</v>
      </c>
      <c r="C37" s="12" t="s">
        <v>57</v>
      </c>
      <c r="D37" s="12">
        <v>0</v>
      </c>
      <c r="E37" s="12">
        <v>0.26319999999999999</v>
      </c>
      <c r="F37" s="12">
        <v>1.9815</v>
      </c>
      <c r="G37" s="12">
        <v>0</v>
      </c>
      <c r="H37" s="12">
        <v>1.7170000000000001</v>
      </c>
      <c r="I37" s="12">
        <v>1.0868140084635931</v>
      </c>
      <c r="J37" s="12">
        <v>0.1736986434310869</v>
      </c>
      <c r="K37" s="12">
        <v>0</v>
      </c>
      <c r="L37" s="12">
        <v>0</v>
      </c>
      <c r="M37" s="12">
        <v>520155.64</v>
      </c>
      <c r="N37" s="12">
        <v>279265.62</v>
      </c>
      <c r="O37" s="12">
        <v>1.67</v>
      </c>
      <c r="Q37" s="15">
        <v>110.94272599999999</v>
      </c>
      <c r="R37" s="15">
        <v>-47.669266999999998</v>
      </c>
      <c r="S37" s="15">
        <v>160</v>
      </c>
      <c r="T37" s="15">
        <v>100.492544</v>
      </c>
      <c r="U37" s="15">
        <v>115.666566</v>
      </c>
      <c r="V37" s="15">
        <v>89.651598000000007</v>
      </c>
      <c r="W37" s="15">
        <v>38.232120000000002</v>
      </c>
      <c r="X37" s="15">
        <v>13.421991999999999</v>
      </c>
      <c r="Z37" t="str">
        <f t="shared" si="26"/>
        <v>SE_Bio_Ethanol_CCS_86_Herb</v>
      </c>
      <c r="AA37" t="str">
        <f t="shared" si="27"/>
        <v>Biomass_Herb</v>
      </c>
      <c r="AB37" s="11">
        <f t="shared" si="28"/>
        <v>73.104589098547237</v>
      </c>
      <c r="AC37" s="11">
        <f t="shared" si="29"/>
        <v>73.104589098547251</v>
      </c>
      <c r="AD37" s="5">
        <f t="shared" si="30"/>
        <v>0</v>
      </c>
      <c r="AE37">
        <f t="shared" si="31"/>
        <v>0</v>
      </c>
      <c r="AF37">
        <f t="shared" si="32"/>
        <v>5.0783214655563969</v>
      </c>
      <c r="AG37" s="1">
        <f t="array" ref="AG37">_xlfn.IFS(C37="Biomass_Corn", 1/F37*S37, C37="Biomass_Agri", 1/F37*V37, C37="Biomass_Wood", 1/F37*U37, C37="Biomass_Herb", 1/F37*T37)</f>
        <v>50.715389351501386</v>
      </c>
      <c r="AH37">
        <f t="shared" si="33"/>
        <v>0</v>
      </c>
      <c r="AI37">
        <f t="shared" si="34"/>
        <v>33.296042681972118</v>
      </c>
      <c r="AJ37">
        <f t="shared" si="35"/>
        <v>17.876264887039209</v>
      </c>
      <c r="AK37">
        <f t="shared" si="36"/>
        <v>0.84279586172091847</v>
      </c>
      <c r="AL37" s="1">
        <f t="shared" si="37"/>
        <v>2.7053226336892777E-7</v>
      </c>
      <c r="AM37" s="1">
        <f t="shared" si="38"/>
        <v>-34.704255162829575</v>
      </c>
      <c r="AN37">
        <f t="shared" si="39"/>
        <v>3.0013586769098789E-5</v>
      </c>
      <c r="AO37">
        <f t="shared" si="40"/>
        <v>-0.54848017784704173</v>
      </c>
      <c r="AP37" s="1">
        <f t="shared" si="41"/>
        <v>26.145660938072812</v>
      </c>
      <c r="AQ37">
        <f t="shared" si="42"/>
        <v>-60.849886087315618</v>
      </c>
      <c r="AS37" s="9">
        <f t="shared" si="43"/>
        <v>1.7170000000000001</v>
      </c>
      <c r="AT37" s="10">
        <v>0.1828908353</v>
      </c>
      <c r="AU37" s="9">
        <v>0.23037490999999999</v>
      </c>
      <c r="AW37" s="10">
        <f t="shared" si="44"/>
        <v>0.86651526621246533</v>
      </c>
      <c r="AX37" s="10">
        <f t="shared" si="45"/>
        <v>0</v>
      </c>
      <c r="AZ37" s="10">
        <f t="shared" si="46"/>
        <v>0.23037490999999999</v>
      </c>
      <c r="BA37" s="10">
        <f t="shared" si="47"/>
        <v>8.7660178365423613E-2</v>
      </c>
      <c r="BB37" s="10">
        <f t="shared" si="48"/>
        <v>0</v>
      </c>
      <c r="BC37" s="10">
        <f t="shared" si="49"/>
        <v>0.5484804483793051</v>
      </c>
      <c r="BD37" s="10">
        <f t="shared" si="50"/>
        <v>0</v>
      </c>
      <c r="BF37" s="1">
        <f t="shared" si="51"/>
        <v>-2.7053226336892777E-7</v>
      </c>
    </row>
    <row r="38" spans="2:58" x14ac:dyDescent="0.2">
      <c r="B38" s="13" t="s">
        <v>93</v>
      </c>
      <c r="C38" s="12" t="s">
        <v>57</v>
      </c>
      <c r="D38" s="12">
        <v>0</v>
      </c>
      <c r="E38" s="12">
        <v>0.26319999999999999</v>
      </c>
      <c r="F38" s="12">
        <v>1.9761</v>
      </c>
      <c r="G38" s="12">
        <v>0</v>
      </c>
      <c r="H38" s="12">
        <v>1.714</v>
      </c>
      <c r="I38" s="12">
        <v>1.085308681517265</v>
      </c>
      <c r="J38" s="12">
        <v>0.1734580564985839</v>
      </c>
      <c r="K38" s="12">
        <v>0</v>
      </c>
      <c r="L38" s="12">
        <v>0</v>
      </c>
      <c r="M38" s="12">
        <v>520155.64</v>
      </c>
      <c r="N38" s="12">
        <v>279265.62</v>
      </c>
      <c r="O38" s="12">
        <v>1.67</v>
      </c>
      <c r="Q38" s="15">
        <v>110.94272599999999</v>
      </c>
      <c r="R38" s="15">
        <v>-21.501526999999999</v>
      </c>
      <c r="S38" s="15">
        <v>160</v>
      </c>
      <c r="T38" s="15">
        <v>140.36716899999999</v>
      </c>
      <c r="U38" s="15">
        <v>160.45006900000001</v>
      </c>
      <c r="V38" s="15">
        <v>113.683173</v>
      </c>
      <c r="W38" s="15">
        <v>20.241166</v>
      </c>
      <c r="X38" s="15">
        <v>13.326013</v>
      </c>
      <c r="Z38" t="str">
        <f t="shared" si="26"/>
        <v>TX_Bio_Ethanol_CCS_86_Herb</v>
      </c>
      <c r="AA38" t="str">
        <f t="shared" si="27"/>
        <v>Biomass_Herb</v>
      </c>
      <c r="AB38" s="11">
        <f t="shared" si="28"/>
        <v>76.763542995411242</v>
      </c>
      <c r="AC38" s="11">
        <f t="shared" si="29"/>
        <v>76.763542995411228</v>
      </c>
      <c r="AD38" s="5">
        <f t="shared" si="30"/>
        <v>0</v>
      </c>
      <c r="AE38">
        <f t="shared" si="31"/>
        <v>0</v>
      </c>
      <c r="AF38">
        <f t="shared" si="32"/>
        <v>2.6959540970598654</v>
      </c>
      <c r="AG38" s="1">
        <f t="array" ref="AG38">_xlfn.IFS(C38="Biomass_Corn", 1/F38*S38, C38="Biomass_Agri", 1/F38*V38, C38="Biomass_Wood", 1/F38*U38, C38="Biomass_Herb", 1/F38*T38)</f>
        <v>71.032421942209396</v>
      </c>
      <c r="AH38">
        <f t="shared" si="33"/>
        <v>0</v>
      </c>
      <c r="AI38">
        <f t="shared" si="34"/>
        <v>33.387029287145261</v>
      </c>
      <c r="AJ38">
        <f t="shared" si="35"/>
        <v>17.925114555775615</v>
      </c>
      <c r="AK38">
        <f t="shared" si="36"/>
        <v>0.84509893224027122</v>
      </c>
      <c r="AL38" s="1">
        <f t="shared" si="37"/>
        <v>5.3629203223826138E-6</v>
      </c>
      <c r="AM38" s="1">
        <f t="shared" si="38"/>
        <v>-49.122670796019086</v>
      </c>
      <c r="AN38">
        <f t="shared" si="39"/>
        <v>5.94976999885926E-4</v>
      </c>
      <c r="AO38">
        <f t="shared" si="40"/>
        <v>-0.54921212684095744</v>
      </c>
      <c r="AP38" s="1">
        <f t="shared" si="41"/>
        <v>11.809014684974381</v>
      </c>
      <c r="AQ38">
        <f t="shared" si="42"/>
        <v>-60.93109050399358</v>
      </c>
      <c r="AS38" s="9">
        <f t="shared" si="43"/>
        <v>1.714</v>
      </c>
      <c r="AT38" s="10">
        <v>0.1828908353</v>
      </c>
      <c r="AU38" s="9">
        <v>0.23037490999999999</v>
      </c>
      <c r="AW38" s="10">
        <f t="shared" si="44"/>
        <v>0.86736501189211068</v>
      </c>
      <c r="AX38" s="10">
        <f t="shared" si="45"/>
        <v>0</v>
      </c>
      <c r="AZ38" s="10">
        <f t="shared" si="46"/>
        <v>0.23037490999999999</v>
      </c>
      <c r="BA38" s="10">
        <f t="shared" si="47"/>
        <v>8.7777975051153229E-2</v>
      </c>
      <c r="BB38" s="10">
        <f t="shared" si="48"/>
        <v>0</v>
      </c>
      <c r="BC38" s="10">
        <f t="shared" si="49"/>
        <v>0.54921748976127982</v>
      </c>
      <c r="BD38" s="10">
        <f t="shared" si="50"/>
        <v>0</v>
      </c>
      <c r="BF38" s="1">
        <f t="shared" si="51"/>
        <v>-5.3629203223826138E-6</v>
      </c>
    </row>
    <row r="39" spans="2:58" x14ac:dyDescent="0.2">
      <c r="B39" s="13" t="s">
        <v>94</v>
      </c>
      <c r="C39" s="12" t="s">
        <v>63</v>
      </c>
      <c r="D39" s="12">
        <v>0</v>
      </c>
      <c r="E39" s="12">
        <v>0.26319999999999999</v>
      </c>
      <c r="F39" s="12">
        <v>2.0762</v>
      </c>
      <c r="G39" s="12">
        <v>0</v>
      </c>
      <c r="H39" s="12">
        <v>1.802</v>
      </c>
      <c r="I39" s="12">
        <v>1.1412868573297099</v>
      </c>
      <c r="J39" s="12">
        <v>0.18240469605663889</v>
      </c>
      <c r="K39" s="12">
        <v>0</v>
      </c>
      <c r="L39" s="12">
        <v>0</v>
      </c>
      <c r="M39" s="12">
        <v>520155.64</v>
      </c>
      <c r="N39" s="12">
        <v>279265.62</v>
      </c>
      <c r="O39" s="12">
        <v>1.67</v>
      </c>
      <c r="Q39" s="15">
        <v>110.94272599999999</v>
      </c>
      <c r="R39" s="15">
        <v>-31.699415999999999</v>
      </c>
      <c r="S39" s="15">
        <v>160</v>
      </c>
      <c r="T39" s="15">
        <v>112.750244</v>
      </c>
      <c r="U39" s="15">
        <v>129.799364</v>
      </c>
      <c r="V39" s="15">
        <v>101.33199</v>
      </c>
      <c r="W39" s="15">
        <v>25.368286000000001</v>
      </c>
      <c r="X39" s="15">
        <v>13.422007000000001</v>
      </c>
      <c r="Z39" t="str">
        <f t="shared" si="26"/>
        <v>CEN_Bio_Ethanol_CCS_86_Wood</v>
      </c>
      <c r="AA39" t="str">
        <f t="shared" si="27"/>
        <v>Biomass_Wood</v>
      </c>
      <c r="AB39" s="11">
        <f t="shared" si="28"/>
        <v>71.816022459774388</v>
      </c>
      <c r="AC39" s="11">
        <f t="shared" si="29"/>
        <v>71.816022459774388</v>
      </c>
      <c r="AD39" s="5">
        <f t="shared" si="30"/>
        <v>0</v>
      </c>
      <c r="AE39">
        <f t="shared" si="31"/>
        <v>0</v>
      </c>
      <c r="AF39">
        <f t="shared" si="32"/>
        <v>3.2159391557653407</v>
      </c>
      <c r="AG39" s="1">
        <f t="array" ref="AG39">_xlfn.IFS(C39="Biomass_Corn", 1/F39*S39, C39="Biomass_Agri", 1/F39*V39, C39="Biomass_Wood", 1/F39*U39, C39="Biomass_Herb", 1/F39*T39)</f>
        <v>62.517755514882957</v>
      </c>
      <c r="AH39">
        <f t="shared" si="33"/>
        <v>0</v>
      </c>
      <c r="AI39">
        <f t="shared" si="34"/>
        <v>31.777337720030705</v>
      </c>
      <c r="AJ39">
        <f t="shared" si="35"/>
        <v>17.06088954516337</v>
      </c>
      <c r="AK39">
        <f t="shared" si="36"/>
        <v>0.8043541084673923</v>
      </c>
      <c r="AL39" s="1">
        <f t="shared" si="37"/>
        <v>-1.954759489053437E-6</v>
      </c>
      <c r="AM39" s="1">
        <f t="shared" si="38"/>
        <v>-43.560036718188982</v>
      </c>
      <c r="AN39">
        <f t="shared" si="39"/>
        <v>-2.1686634638995545E-4</v>
      </c>
      <c r="AO39">
        <f t="shared" si="40"/>
        <v>-0.54970181861157941</v>
      </c>
      <c r="AP39" s="1">
        <f t="shared" si="41"/>
        <v>17.425164659390774</v>
      </c>
      <c r="AQ39">
        <f t="shared" si="42"/>
        <v>-60.985418243926148</v>
      </c>
      <c r="AS39" s="9">
        <f t="shared" si="43"/>
        <v>1.802</v>
      </c>
      <c r="AT39" s="10">
        <v>0.1828908353</v>
      </c>
      <c r="AU39" s="9">
        <v>0.23037490999999999</v>
      </c>
      <c r="AW39" s="10">
        <f t="shared" si="44"/>
        <v>0.86793179847798863</v>
      </c>
      <c r="AX39" s="10">
        <f t="shared" si="45"/>
        <v>0</v>
      </c>
      <c r="AZ39" s="10">
        <f t="shared" si="46"/>
        <v>0.23037490999999999</v>
      </c>
      <c r="BA39" s="10">
        <f t="shared" si="47"/>
        <v>8.7855069866409258E-2</v>
      </c>
      <c r="BB39" s="10">
        <f t="shared" si="48"/>
        <v>0</v>
      </c>
      <c r="BC39" s="10">
        <f t="shared" si="49"/>
        <v>0.54969986385209035</v>
      </c>
      <c r="BD39" s="10">
        <f t="shared" si="50"/>
        <v>0</v>
      </c>
      <c r="BF39" s="1">
        <f t="shared" si="51"/>
        <v>1.954759489053437E-6</v>
      </c>
    </row>
    <row r="40" spans="2:58" x14ac:dyDescent="0.2">
      <c r="B40" s="13" t="s">
        <v>95</v>
      </c>
      <c r="C40" s="12" t="s">
        <v>63</v>
      </c>
      <c r="D40" s="12">
        <v>0</v>
      </c>
      <c r="E40" s="12">
        <v>0.26319999999999999</v>
      </c>
      <c r="F40" s="12">
        <v>2.0697000000000001</v>
      </c>
      <c r="G40" s="12">
        <v>0</v>
      </c>
      <c r="H40" s="12">
        <v>1.806</v>
      </c>
      <c r="I40" s="12">
        <v>1.1460331849941161</v>
      </c>
      <c r="J40" s="12">
        <v>0.1831632717376353</v>
      </c>
      <c r="K40" s="12">
        <v>0</v>
      </c>
      <c r="L40" s="12">
        <v>0</v>
      </c>
      <c r="M40" s="12">
        <v>520155.64</v>
      </c>
      <c r="N40" s="12">
        <v>279265.62</v>
      </c>
      <c r="O40" s="12">
        <v>1.67</v>
      </c>
      <c r="Q40" s="15">
        <v>110.94272599999999</v>
      </c>
      <c r="R40" s="15">
        <v>-53.928761999999999</v>
      </c>
      <c r="S40" s="15">
        <v>160</v>
      </c>
      <c r="T40" s="15">
        <v>101.629081</v>
      </c>
      <c r="U40" s="15">
        <v>109.563401</v>
      </c>
      <c r="V40" s="15">
        <v>90.220664999999997</v>
      </c>
      <c r="W40" s="15">
        <v>39.378855999999999</v>
      </c>
      <c r="X40" s="15">
        <v>13.422667000000001</v>
      </c>
      <c r="Z40" t="str">
        <f t="shared" si="26"/>
        <v>MIDAT_Bio_Ethanol_CCS_86_Wood</v>
      </c>
      <c r="AA40" t="str">
        <f t="shared" si="27"/>
        <v>Biomass_Wood</v>
      </c>
      <c r="AB40" s="11">
        <f t="shared" si="28"/>
        <v>76.173516298676162</v>
      </c>
      <c r="AC40" s="11">
        <f t="shared" si="29"/>
        <v>76.173516298676162</v>
      </c>
      <c r="AD40" s="5">
        <f t="shared" si="30"/>
        <v>0</v>
      </c>
      <c r="AE40">
        <f t="shared" si="31"/>
        <v>0</v>
      </c>
      <c r="AF40">
        <f t="shared" si="32"/>
        <v>5.0077377876986997</v>
      </c>
      <c r="AG40" s="1">
        <f t="array" ref="AG40">_xlfn.IFS(C40="Biomass_Corn", 1/F40*S40, C40="Biomass_Agri", 1/F40*V40, C40="Biomass_Wood", 1/F40*U40, C40="Biomass_Herb", 1/F40*T40)</f>
        <v>52.936851234478418</v>
      </c>
      <c r="AH40">
        <f t="shared" si="33"/>
        <v>0</v>
      </c>
      <c r="AI40">
        <f t="shared" si="34"/>
        <v>31.877136094278278</v>
      </c>
      <c r="AJ40">
        <f t="shared" si="35"/>
        <v>17.114470152035651</v>
      </c>
      <c r="AK40">
        <f t="shared" si="36"/>
        <v>0.80688022418708016</v>
      </c>
      <c r="AL40" s="1">
        <f t="shared" si="37"/>
        <v>1.6465955218203376E-6</v>
      </c>
      <c r="AM40" s="1">
        <f t="shared" si="38"/>
        <v>-31.569741871797778</v>
      </c>
      <c r="AN40">
        <f t="shared" si="39"/>
        <v>1.8267779581014073E-4</v>
      </c>
      <c r="AO40">
        <f t="shared" si="40"/>
        <v>-0.55371782240680512</v>
      </c>
      <c r="AP40" s="1">
        <f t="shared" si="41"/>
        <v>29.861405458592866</v>
      </c>
      <c r="AQ40">
        <f t="shared" si="42"/>
        <v>-61.430964652594838</v>
      </c>
      <c r="AS40" s="9">
        <f t="shared" si="43"/>
        <v>1.806</v>
      </c>
      <c r="AT40" s="10">
        <v>0.1828908353</v>
      </c>
      <c r="AU40" s="9">
        <v>0.23037490999999999</v>
      </c>
      <c r="AW40" s="10">
        <f t="shared" si="44"/>
        <v>0.87259023046818374</v>
      </c>
      <c r="AX40" s="10">
        <f t="shared" si="45"/>
        <v>0</v>
      </c>
      <c r="AZ40" s="10">
        <f t="shared" si="46"/>
        <v>0.23037490999999999</v>
      </c>
      <c r="BA40" s="10">
        <f t="shared" si="47"/>
        <v>8.8497498061378604E-2</v>
      </c>
      <c r="BB40" s="10">
        <f t="shared" si="48"/>
        <v>0</v>
      </c>
      <c r="BC40" s="10">
        <f t="shared" si="49"/>
        <v>0.55371946900232694</v>
      </c>
      <c r="BD40" s="10">
        <f t="shared" si="50"/>
        <v>0</v>
      </c>
      <c r="BF40" s="1">
        <f t="shared" si="51"/>
        <v>-1.6465955218203376E-6</v>
      </c>
    </row>
    <row r="41" spans="2:58" x14ac:dyDescent="0.2">
      <c r="B41" s="13" t="s">
        <v>96</v>
      </c>
      <c r="C41" s="12" t="s">
        <v>63</v>
      </c>
      <c r="D41" s="12">
        <v>0</v>
      </c>
      <c r="E41" s="12">
        <v>0.26319999999999999</v>
      </c>
      <c r="F41" s="12">
        <v>2.0750999999999999</v>
      </c>
      <c r="G41" s="12">
        <v>0</v>
      </c>
      <c r="H41" s="12">
        <v>1.802</v>
      </c>
      <c r="I41" s="12">
        <v>1.141503111940444</v>
      </c>
      <c r="J41" s="12">
        <v>0.1824392586701383</v>
      </c>
      <c r="K41" s="12">
        <v>0</v>
      </c>
      <c r="L41" s="12">
        <v>0</v>
      </c>
      <c r="M41" s="12">
        <v>520155.64</v>
      </c>
      <c r="N41" s="12">
        <v>279265.62</v>
      </c>
      <c r="O41" s="12">
        <v>1.67</v>
      </c>
      <c r="Q41" s="15">
        <v>110.94272599999999</v>
      </c>
      <c r="R41" s="15">
        <v>-41.712553</v>
      </c>
      <c r="S41" s="15">
        <v>160</v>
      </c>
      <c r="T41" s="15">
        <v>106.47328400000001</v>
      </c>
      <c r="U41" s="15">
        <v>117.9145</v>
      </c>
      <c r="V41" s="15">
        <v>93.425466999999998</v>
      </c>
      <c r="W41" s="15">
        <v>30.730081999999999</v>
      </c>
      <c r="X41" s="15">
        <v>13.422086999999999</v>
      </c>
      <c r="Z41" t="str">
        <f t="shared" si="26"/>
        <v>NCEN_Bio_Ethanol_CCS_86_Wood</v>
      </c>
      <c r="AA41" t="str">
        <f t="shared" si="27"/>
        <v>Biomass_Wood</v>
      </c>
      <c r="AB41" s="11">
        <f t="shared" si="28"/>
        <v>72.306582302938352</v>
      </c>
      <c r="AC41" s="11">
        <f t="shared" si="29"/>
        <v>72.306582302938338</v>
      </c>
      <c r="AD41" s="5">
        <f t="shared" si="30"/>
        <v>0</v>
      </c>
      <c r="AE41">
        <f t="shared" si="31"/>
        <v>0</v>
      </c>
      <c r="AF41">
        <f t="shared" si="32"/>
        <v>3.8977194267264226</v>
      </c>
      <c r="AG41" s="1">
        <f t="array" ref="AG41">_xlfn.IFS(C41="Biomass_Corn", 1/F41*S41, C41="Biomass_Agri", 1/F41*V41, C41="Biomass_Wood", 1/F41*U41, C41="Biomass_Herb", 1/F41*T41)</f>
        <v>56.823526577032439</v>
      </c>
      <c r="AH41">
        <f t="shared" si="33"/>
        <v>0</v>
      </c>
      <c r="AI41">
        <f t="shared" si="34"/>
        <v>31.794182725809723</v>
      </c>
      <c r="AJ41">
        <f t="shared" si="35"/>
        <v>17.069933436300992</v>
      </c>
      <c r="AK41">
        <f t="shared" si="36"/>
        <v>0.80478049250638517</v>
      </c>
      <c r="AL41" s="1">
        <f t="shared" si="37"/>
        <v>-3.2064230243156189E-6</v>
      </c>
      <c r="AM41" s="1">
        <f t="shared" si="38"/>
        <v>-38.083204626126594</v>
      </c>
      <c r="AN41">
        <f t="shared" si="39"/>
        <v>-3.5572931102673903E-4</v>
      </c>
      <c r="AO41">
        <f t="shared" si="40"/>
        <v>-0.55009867745595964</v>
      </c>
      <c r="AP41" s="1">
        <f t="shared" si="41"/>
        <v>22.945886490521278</v>
      </c>
      <c r="AQ41">
        <f t="shared" si="42"/>
        <v>-61.029446845958901</v>
      </c>
      <c r="AS41" s="9">
        <f t="shared" si="43"/>
        <v>1.802</v>
      </c>
      <c r="AT41" s="10">
        <v>0.1828908353</v>
      </c>
      <c r="AU41" s="9">
        <v>0.23037490999999999</v>
      </c>
      <c r="AW41" s="10">
        <f t="shared" si="44"/>
        <v>0.86839188472844686</v>
      </c>
      <c r="AX41" s="10">
        <f t="shared" si="45"/>
        <v>0</v>
      </c>
      <c r="AZ41" s="10">
        <f t="shared" si="46"/>
        <v>0.23037490999999999</v>
      </c>
      <c r="BA41" s="10">
        <f t="shared" si="47"/>
        <v>8.7918297272487261E-2</v>
      </c>
      <c r="BB41" s="10">
        <f t="shared" si="48"/>
        <v>0</v>
      </c>
      <c r="BC41" s="10">
        <f t="shared" si="49"/>
        <v>0.55009547103293532</v>
      </c>
      <c r="BD41" s="10">
        <f t="shared" si="50"/>
        <v>0</v>
      </c>
      <c r="BF41" s="1">
        <f t="shared" si="51"/>
        <v>3.2064230243156189E-6</v>
      </c>
    </row>
    <row r="42" spans="2:58" x14ac:dyDescent="0.2">
      <c r="B42" s="13" t="s">
        <v>97</v>
      </c>
      <c r="C42" s="12" t="s">
        <v>63</v>
      </c>
      <c r="D42" s="12">
        <v>0</v>
      </c>
      <c r="E42" s="12">
        <v>0.26319999999999999</v>
      </c>
      <c r="F42" s="12">
        <v>2.0838000000000001</v>
      </c>
      <c r="G42" s="12">
        <v>0</v>
      </c>
      <c r="H42" s="12">
        <v>1.821</v>
      </c>
      <c r="I42" s="12">
        <v>1.15615487505457</v>
      </c>
      <c r="J42" s="12">
        <v>0.18478095776214309</v>
      </c>
      <c r="K42" s="12">
        <v>0</v>
      </c>
      <c r="L42" s="12">
        <v>0</v>
      </c>
      <c r="M42" s="12">
        <v>520155.64</v>
      </c>
      <c r="N42" s="12">
        <v>279265.62</v>
      </c>
      <c r="O42" s="12">
        <v>1.67</v>
      </c>
      <c r="Q42" s="15">
        <v>110.94272599999999</v>
      </c>
      <c r="R42" s="15">
        <v>-47.669266999999998</v>
      </c>
      <c r="S42" s="15">
        <v>160</v>
      </c>
      <c r="T42" s="15">
        <v>100.492544</v>
      </c>
      <c r="U42" s="15">
        <v>115.666566</v>
      </c>
      <c r="V42" s="15">
        <v>89.651598000000007</v>
      </c>
      <c r="W42" s="15">
        <v>38.232120000000002</v>
      </c>
      <c r="X42" s="15">
        <v>13.421991999999999</v>
      </c>
      <c r="Z42" t="str">
        <f t="shared" si="26"/>
        <v>SE_Bio_Ethanol_CCS_86_Wood</v>
      </c>
      <c r="AA42" t="str">
        <f t="shared" si="27"/>
        <v>Biomass_Wood</v>
      </c>
      <c r="AB42" s="11">
        <f t="shared" si="28"/>
        <v>74.691562846489461</v>
      </c>
      <c r="AC42" s="11">
        <f t="shared" si="29"/>
        <v>74.691562846489461</v>
      </c>
      <c r="AD42" s="5">
        <f t="shared" si="30"/>
        <v>0</v>
      </c>
      <c r="AE42">
        <f t="shared" si="31"/>
        <v>0</v>
      </c>
      <c r="AF42">
        <f t="shared" si="32"/>
        <v>4.8290114137633164</v>
      </c>
      <c r="AG42" s="1">
        <f t="array" ref="AG42">_xlfn.IFS(C42="Biomass_Corn", 1/F42*S42, C42="Biomass_Agri", 1/F42*V42, C42="Biomass_Wood", 1/F42*U42, C42="Biomass_Herb", 1/F42*T42)</f>
        <v>55.507517995968897</v>
      </c>
      <c r="AH42">
        <f t="shared" si="33"/>
        <v>0</v>
      </c>
      <c r="AI42">
        <f t="shared" si="34"/>
        <v>31.661439953127818</v>
      </c>
      <c r="AJ42">
        <f t="shared" si="35"/>
        <v>16.998665358320466</v>
      </c>
      <c r="AK42">
        <f t="shared" si="36"/>
        <v>0.80142048181207404</v>
      </c>
      <c r="AL42" s="1">
        <f t="shared" si="37"/>
        <v>-4.2853082286020694E-6</v>
      </c>
      <c r="AM42" s="1">
        <f t="shared" si="38"/>
        <v>-35.106016932726483</v>
      </c>
      <c r="AN42">
        <f t="shared" si="39"/>
        <v>-4.7542377663134473E-4</v>
      </c>
      <c r="AO42">
        <f t="shared" si="40"/>
        <v>-0.55483434340140936</v>
      </c>
      <c r="AP42" s="1">
        <f t="shared" si="41"/>
        <v>26.448342178869343</v>
      </c>
      <c r="AQ42">
        <f t="shared" si="42"/>
        <v>-61.554834535372464</v>
      </c>
      <c r="AS42" s="9">
        <f t="shared" si="43"/>
        <v>1.821</v>
      </c>
      <c r="AT42" s="10">
        <v>0.1828908353</v>
      </c>
      <c r="AU42" s="9">
        <v>0.23037490999999999</v>
      </c>
      <c r="AW42" s="10">
        <f t="shared" si="44"/>
        <v>0.87388424992801605</v>
      </c>
      <c r="AX42" s="10">
        <f t="shared" si="45"/>
        <v>0</v>
      </c>
      <c r="AZ42" s="10">
        <f t="shared" si="46"/>
        <v>0.23037490999999999</v>
      </c>
      <c r="BA42" s="10">
        <f t="shared" si="47"/>
        <v>8.8674996526606722E-2</v>
      </c>
      <c r="BB42" s="10">
        <f t="shared" si="48"/>
        <v>0</v>
      </c>
      <c r="BC42" s="10">
        <f t="shared" si="49"/>
        <v>0.55483005809318076</v>
      </c>
      <c r="BD42" s="10">
        <f t="shared" si="50"/>
        <v>0</v>
      </c>
      <c r="BF42" s="1">
        <f t="shared" si="51"/>
        <v>4.2853082286020694E-6</v>
      </c>
    </row>
    <row r="43" spans="2:58" x14ac:dyDescent="0.2">
      <c r="B43" s="13" t="s">
        <v>98</v>
      </c>
      <c r="C43" s="12" t="s">
        <v>63</v>
      </c>
      <c r="D43" s="12">
        <v>0</v>
      </c>
      <c r="E43" s="12">
        <v>0.26319999999999999</v>
      </c>
      <c r="F43" s="12">
        <v>2.0577000000000001</v>
      </c>
      <c r="G43" s="12">
        <v>0</v>
      </c>
      <c r="H43" s="12">
        <v>1.821</v>
      </c>
      <c r="I43" s="12">
        <v>1.1613449857121929</v>
      </c>
      <c r="J43" s="12">
        <v>0.1856104604861287</v>
      </c>
      <c r="K43" s="12">
        <v>0</v>
      </c>
      <c r="L43" s="12">
        <v>0</v>
      </c>
      <c r="M43" s="12">
        <v>520155.64</v>
      </c>
      <c r="N43" s="12">
        <v>279265.62</v>
      </c>
      <c r="O43" s="12">
        <v>1.67</v>
      </c>
      <c r="Q43" s="15">
        <v>110.94272599999999</v>
      </c>
      <c r="R43" s="15">
        <v>-21.501526999999999</v>
      </c>
      <c r="S43" s="15">
        <v>160</v>
      </c>
      <c r="T43" s="15">
        <v>140.36716899999999</v>
      </c>
      <c r="U43" s="15">
        <v>160.45006900000001</v>
      </c>
      <c r="V43" s="15">
        <v>113.683173</v>
      </c>
      <c r="W43" s="15">
        <v>20.241166</v>
      </c>
      <c r="X43" s="15">
        <v>13.326013</v>
      </c>
      <c r="Z43" t="str">
        <f t="shared" si="26"/>
        <v>TX_Bio_Ethanol_CCS_86_Wood</v>
      </c>
      <c r="AA43" t="str">
        <f t="shared" si="27"/>
        <v>Biomass_Wood</v>
      </c>
      <c r="AB43" s="11">
        <f t="shared" si="28"/>
        <v>80.173567681834712</v>
      </c>
      <c r="AC43" s="11">
        <f t="shared" si="29"/>
        <v>80.173567681834726</v>
      </c>
      <c r="AD43" s="5">
        <f t="shared" si="30"/>
        <v>0</v>
      </c>
      <c r="AE43">
        <f t="shared" si="31"/>
        <v>0</v>
      </c>
      <c r="AF43">
        <f t="shared" si="32"/>
        <v>2.5890435394858331</v>
      </c>
      <c r="AG43" s="1">
        <f t="array" ref="AG43">_xlfn.IFS(C43="Biomass_Corn", 1/F43*S43, C43="Biomass_Agri", 1/F43*V43, C43="Biomass_Wood", 1/F43*U43, C43="Biomass_Herb", 1/F43*T43)</f>
        <v>77.975442970306659</v>
      </c>
      <c r="AH43">
        <f t="shared" si="33"/>
        <v>0</v>
      </c>
      <c r="AI43">
        <f t="shared" si="34"/>
        <v>32.063035707016454</v>
      </c>
      <c r="AJ43">
        <f t="shared" si="35"/>
        <v>17.214277530090971</v>
      </c>
      <c r="AK43">
        <f t="shared" si="36"/>
        <v>0.81158575108130426</v>
      </c>
      <c r="AL43" s="1">
        <f t="shared" si="37"/>
        <v>-1.0212833154721324E-6</v>
      </c>
      <c r="AM43" s="1">
        <f t="shared" si="38"/>
        <v>-50.479704512191475</v>
      </c>
      <c r="AN43">
        <f t="shared" si="39"/>
        <v>-1.1330395503679633E-4</v>
      </c>
      <c r="AO43">
        <f t="shared" si="40"/>
        <v>-0.56439086708794828</v>
      </c>
      <c r="AP43" s="1">
        <f t="shared" si="41"/>
        <v>12.135243508094149</v>
      </c>
      <c r="AQ43">
        <f t="shared" si="42"/>
        <v>-62.615061324240656</v>
      </c>
      <c r="AS43" s="9">
        <f t="shared" si="43"/>
        <v>1.821</v>
      </c>
      <c r="AT43" s="10">
        <v>0.1828908353</v>
      </c>
      <c r="AU43" s="9">
        <v>0.23037490999999999</v>
      </c>
      <c r="AW43" s="10">
        <f t="shared" si="44"/>
        <v>0.88496865432278748</v>
      </c>
      <c r="AX43" s="10">
        <f t="shared" si="45"/>
        <v>0</v>
      </c>
      <c r="AZ43" s="10">
        <f t="shared" si="46"/>
        <v>0.23037490999999999</v>
      </c>
      <c r="BA43" s="10">
        <f t="shared" si="47"/>
        <v>9.0202877234839232E-2</v>
      </c>
      <c r="BB43" s="10">
        <f t="shared" si="48"/>
        <v>0</v>
      </c>
      <c r="BC43" s="10">
        <f t="shared" si="49"/>
        <v>0.56438984580463281</v>
      </c>
      <c r="BD43" s="10">
        <f t="shared" si="50"/>
        <v>0</v>
      </c>
      <c r="BF43" s="1">
        <f t="shared" si="51"/>
        <v>1.0212833154721324E-6</v>
      </c>
    </row>
    <row r="44" spans="2:58" x14ac:dyDescent="0.2">
      <c r="B44" s="13" t="s">
        <v>99</v>
      </c>
      <c r="C44" s="12" t="s">
        <v>69</v>
      </c>
      <c r="D44" s="12">
        <v>0</v>
      </c>
      <c r="E44" s="12">
        <v>0.26319999999999999</v>
      </c>
      <c r="F44" s="12">
        <v>1.8694</v>
      </c>
      <c r="G44" s="12">
        <v>0</v>
      </c>
      <c r="H44" s="12">
        <v>1.7</v>
      </c>
      <c r="I44" s="12">
        <v>1.094430833369225</v>
      </c>
      <c r="J44" s="12">
        <v>0.17491599262152541</v>
      </c>
      <c r="K44" s="12">
        <v>0</v>
      </c>
      <c r="L44" s="12">
        <v>0</v>
      </c>
      <c r="M44" s="12">
        <v>520155.64</v>
      </c>
      <c r="N44" s="12">
        <v>279265.62</v>
      </c>
      <c r="O44" s="12">
        <v>1.67</v>
      </c>
      <c r="Q44" s="15">
        <v>110.94272599999999</v>
      </c>
      <c r="R44" s="15">
        <v>-31.699415999999999</v>
      </c>
      <c r="S44" s="15">
        <v>160</v>
      </c>
      <c r="T44" s="15">
        <v>112.750244</v>
      </c>
      <c r="U44" s="15">
        <v>129.799364</v>
      </c>
      <c r="V44" s="15">
        <v>101.33199</v>
      </c>
      <c r="W44" s="15">
        <v>25.368286000000001</v>
      </c>
      <c r="X44" s="15">
        <v>13.422007000000001</v>
      </c>
      <c r="Z44" t="str">
        <f t="shared" si="26"/>
        <v>CEN_Bio_Ethanol_CCS_86_Agri</v>
      </c>
      <c r="AA44" t="str">
        <f t="shared" si="27"/>
        <v>Biomass_Agri</v>
      </c>
      <c r="AB44" s="11">
        <f t="shared" si="28"/>
        <v>66.519526452903548</v>
      </c>
      <c r="AC44" s="11">
        <f t="shared" si="29"/>
        <v>66.519526452903563</v>
      </c>
      <c r="AD44" s="5">
        <f t="shared" si="30"/>
        <v>0</v>
      </c>
      <c r="AE44">
        <f t="shared" si="31"/>
        <v>0</v>
      </c>
      <c r="AF44">
        <f t="shared" si="32"/>
        <v>3.5716983391462507</v>
      </c>
      <c r="AG44" s="1">
        <f t="array" ref="AG44">_xlfn.IFS(C44="Biomass_Corn", 1/F44*S44, C44="Biomass_Agri", 1/F44*V44, C44="Biomass_Wood", 1/F44*U44, C44="Biomass_Herb", 1/F44*T44)</f>
        <v>54.205622124745908</v>
      </c>
      <c r="AH44">
        <f t="shared" si="33"/>
        <v>0</v>
      </c>
      <c r="AI44">
        <f t="shared" si="34"/>
        <v>35.292665333437341</v>
      </c>
      <c r="AJ44">
        <f t="shared" si="35"/>
        <v>18.94822877590039</v>
      </c>
      <c r="AK44">
        <f t="shared" si="36"/>
        <v>0.89333475981598376</v>
      </c>
      <c r="AL44" s="1">
        <f t="shared" si="37"/>
        <v>5.1796002730197799E-6</v>
      </c>
      <c r="AM44" s="1">
        <f t="shared" si="38"/>
        <v>-46.392597519116201</v>
      </c>
      <c r="AN44">
        <f t="shared" si="39"/>
        <v>5.7463897387915856E-4</v>
      </c>
      <c r="AO44">
        <f t="shared" si="40"/>
        <v>-0.58543979385068723</v>
      </c>
      <c r="AP44" s="1">
        <f t="shared" si="41"/>
        <v>18.558263758530945</v>
      </c>
      <c r="AQ44">
        <f t="shared" si="42"/>
        <v>-64.950286638673276</v>
      </c>
      <c r="AS44" s="9">
        <f t="shared" si="43"/>
        <v>1.7</v>
      </c>
      <c r="AT44" s="10">
        <v>0.1828908353</v>
      </c>
      <c r="AU44" s="9">
        <v>0.23037490999999999</v>
      </c>
      <c r="AW44" s="10">
        <f t="shared" si="44"/>
        <v>0.90938268963303737</v>
      </c>
      <c r="AX44" s="10">
        <f t="shared" si="45"/>
        <v>0</v>
      </c>
      <c r="AZ44" s="10">
        <f t="shared" si="46"/>
        <v>0.23037490999999999</v>
      </c>
      <c r="BA44" s="10">
        <f t="shared" si="47"/>
        <v>9.3567985782350177E-2</v>
      </c>
      <c r="BB44" s="10">
        <f t="shared" si="48"/>
        <v>0</v>
      </c>
      <c r="BC44" s="10">
        <f t="shared" si="49"/>
        <v>0.58544497345096025</v>
      </c>
      <c r="BD44" s="10">
        <f t="shared" si="50"/>
        <v>0</v>
      </c>
      <c r="BF44" s="1">
        <f t="shared" si="51"/>
        <v>-5.1796002730197799E-6</v>
      </c>
    </row>
    <row r="45" spans="2:58" x14ac:dyDescent="0.2">
      <c r="B45" s="13" t="s">
        <v>100</v>
      </c>
      <c r="C45" s="12" t="s">
        <v>69</v>
      </c>
      <c r="D45" s="12">
        <v>0</v>
      </c>
      <c r="E45" s="12">
        <v>0.26319999999999999</v>
      </c>
      <c r="F45" s="12">
        <v>1.8813</v>
      </c>
      <c r="G45" s="12">
        <v>0</v>
      </c>
      <c r="H45" s="12">
        <v>1.708</v>
      </c>
      <c r="I45" s="12">
        <v>1.0989496326511481</v>
      </c>
      <c r="J45" s="12">
        <v>0.175638203873032</v>
      </c>
      <c r="K45" s="12">
        <v>0</v>
      </c>
      <c r="L45" s="12">
        <v>0</v>
      </c>
      <c r="M45" s="12">
        <v>520155.64</v>
      </c>
      <c r="N45" s="12">
        <v>279265.62</v>
      </c>
      <c r="O45" s="12">
        <v>1.67</v>
      </c>
      <c r="Q45" s="15">
        <v>110.94272599999999</v>
      </c>
      <c r="R45" s="15">
        <v>-53.928761999999999</v>
      </c>
      <c r="S45" s="15">
        <v>160</v>
      </c>
      <c r="T45" s="15">
        <v>101.629081</v>
      </c>
      <c r="U45" s="15">
        <v>109.563401</v>
      </c>
      <c r="V45" s="15">
        <v>90.220664999999997</v>
      </c>
      <c r="W45" s="15">
        <v>39.378855999999999</v>
      </c>
      <c r="X45" s="15">
        <v>13.422667000000001</v>
      </c>
      <c r="Z45" t="str">
        <f t="shared" si="26"/>
        <v>MIDAT_Bio_Ethanol_CCS_86_Agri</v>
      </c>
      <c r="AA45" t="str">
        <f t="shared" si="27"/>
        <v>Biomass_Agri</v>
      </c>
      <c r="AB45" s="11">
        <f t="shared" si="28"/>
        <v>74.946453077785847</v>
      </c>
      <c r="AC45" s="11">
        <f t="shared" si="29"/>
        <v>74.946453077785833</v>
      </c>
      <c r="AD45" s="5">
        <f t="shared" si="30"/>
        <v>0</v>
      </c>
      <c r="AE45">
        <f t="shared" si="31"/>
        <v>0</v>
      </c>
      <c r="AF45">
        <f t="shared" si="32"/>
        <v>5.5092302658799763</v>
      </c>
      <c r="AG45" s="1">
        <f t="array" ref="AG45">_xlfn.IFS(C45="Biomass_Corn", 1/F45*S45, C45="Biomass_Agri", 1/F45*V45, C45="Biomass_Wood", 1/F45*U45, C45="Biomass_Herb", 1/F45*T45)</f>
        <v>47.956553978631803</v>
      </c>
      <c r="AH45">
        <f t="shared" si="33"/>
        <v>0</v>
      </c>
      <c r="AI45">
        <f t="shared" si="34"/>
        <v>35.069424639519347</v>
      </c>
      <c r="AJ45">
        <f t="shared" si="35"/>
        <v>18.828373398005734</v>
      </c>
      <c r="AK45">
        <f t="shared" si="36"/>
        <v>0.88768404826449798</v>
      </c>
      <c r="AL45" s="1">
        <f t="shared" si="37"/>
        <v>-4.1701444850605895E-6</v>
      </c>
      <c r="AM45" s="1">
        <f t="shared" si="38"/>
        <v>-33.304350605318547</v>
      </c>
      <c r="AN45">
        <f t="shared" si="39"/>
        <v>-4.6264719698648805E-4</v>
      </c>
      <c r="AO45">
        <f t="shared" si="40"/>
        <v>-0.58414791789930787</v>
      </c>
      <c r="AP45" s="1">
        <f t="shared" si="41"/>
        <v>31.502149146457874</v>
      </c>
      <c r="AQ45">
        <f t="shared" si="42"/>
        <v>-64.806962398973411</v>
      </c>
      <c r="AS45" s="9">
        <f t="shared" si="43"/>
        <v>1.708</v>
      </c>
      <c r="AT45" s="10">
        <v>0.1828908353</v>
      </c>
      <c r="AU45" s="9">
        <v>0.23037490999999999</v>
      </c>
      <c r="AW45" s="10">
        <f t="shared" si="44"/>
        <v>0.90788284696752242</v>
      </c>
      <c r="AX45" s="10">
        <f t="shared" si="45"/>
        <v>0</v>
      </c>
      <c r="AZ45" s="10">
        <f t="shared" si="46"/>
        <v>0.23037490999999999</v>
      </c>
      <c r="BA45" s="10">
        <f t="shared" si="47"/>
        <v>9.3360019068214534E-2</v>
      </c>
      <c r="BB45" s="10">
        <f t="shared" si="48"/>
        <v>0</v>
      </c>
      <c r="BC45" s="10">
        <f t="shared" si="49"/>
        <v>0.58414374775482281</v>
      </c>
      <c r="BD45" s="10">
        <f t="shared" si="50"/>
        <v>0</v>
      </c>
      <c r="BF45" s="1">
        <f t="shared" si="51"/>
        <v>4.1701444850605895E-6</v>
      </c>
    </row>
    <row r="46" spans="2:58" x14ac:dyDescent="0.2">
      <c r="B46" s="13" t="s">
        <v>101</v>
      </c>
      <c r="C46" s="12" t="s">
        <v>69</v>
      </c>
      <c r="D46" s="12">
        <v>0</v>
      </c>
      <c r="E46" s="12">
        <v>0.26319999999999999</v>
      </c>
      <c r="F46" s="12">
        <v>1.8835</v>
      </c>
      <c r="G46" s="12">
        <v>0</v>
      </c>
      <c r="H46" s="12">
        <v>1.71</v>
      </c>
      <c r="I46" s="12">
        <v>1.100241523429679</v>
      </c>
      <c r="J46" s="12">
        <v>0.1758446786460332</v>
      </c>
      <c r="K46" s="12">
        <v>0</v>
      </c>
      <c r="L46" s="12">
        <v>0</v>
      </c>
      <c r="M46" s="12">
        <v>520155.64</v>
      </c>
      <c r="N46" s="12">
        <v>279265.62</v>
      </c>
      <c r="O46" s="12">
        <v>1.67</v>
      </c>
      <c r="Q46" s="15">
        <v>110.94272599999999</v>
      </c>
      <c r="R46" s="15">
        <v>-41.712553</v>
      </c>
      <c r="S46" s="15">
        <v>160</v>
      </c>
      <c r="T46" s="15">
        <v>106.47328400000001</v>
      </c>
      <c r="U46" s="15">
        <v>117.9145</v>
      </c>
      <c r="V46" s="15">
        <v>93.425466999999998</v>
      </c>
      <c r="W46" s="15">
        <v>30.730081999999999</v>
      </c>
      <c r="X46" s="15">
        <v>13.422086999999999</v>
      </c>
      <c r="Z46" t="str">
        <f t="shared" si="26"/>
        <v>NCEN_Bio_Ethanol_CCS_86_Agri</v>
      </c>
      <c r="AA46" t="str">
        <f t="shared" si="27"/>
        <v>Biomass_Agri</v>
      </c>
      <c r="AB46" s="11">
        <f t="shared" si="28"/>
        <v>68.176982466351873</v>
      </c>
      <c r="AC46" s="11">
        <f t="shared" si="29"/>
        <v>68.176982466351873</v>
      </c>
      <c r="AD46" s="5">
        <f t="shared" si="30"/>
        <v>0</v>
      </c>
      <c r="AE46">
        <f t="shared" si="31"/>
        <v>0</v>
      </c>
      <c r="AF46">
        <f t="shared" si="32"/>
        <v>4.2942169272099813</v>
      </c>
      <c r="AG46" s="1">
        <f t="array" ref="AG46">_xlfn.IFS(C46="Biomass_Corn", 1/F46*S46, C46="Biomass_Agri", 1/F46*V46, C46="Biomass_Wood", 1/F46*U46, C46="Biomass_Herb", 1/F46*T46)</f>
        <v>49.602053092646671</v>
      </c>
      <c r="AH46">
        <f t="shared" si="33"/>
        <v>0</v>
      </c>
      <c r="AI46">
        <f t="shared" si="34"/>
        <v>35.028462210951822</v>
      </c>
      <c r="AJ46">
        <f t="shared" si="35"/>
        <v>18.806381138130178</v>
      </c>
      <c r="AK46">
        <f t="shared" si="36"/>
        <v>0.88664719936288827</v>
      </c>
      <c r="AL46" s="1">
        <f t="shared" si="37"/>
        <v>-1.4095775353606399E-6</v>
      </c>
      <c r="AM46" s="1">
        <f t="shared" si="38"/>
        <v>-40.440621719575375</v>
      </c>
      <c r="AN46">
        <f t="shared" si="39"/>
        <v>-1.5638237428127077E-4</v>
      </c>
      <c r="AO46">
        <f t="shared" si="40"/>
        <v>-0.58414875411147693</v>
      </c>
      <c r="AP46" s="1">
        <f t="shared" si="41"/>
        <v>24.366277068681299</v>
      </c>
      <c r="AQ46">
        <f t="shared" si="42"/>
        <v>-64.80705517063096</v>
      </c>
      <c r="AS46" s="9">
        <f t="shared" si="43"/>
        <v>1.71</v>
      </c>
      <c r="AT46" s="10">
        <v>0.1828908353</v>
      </c>
      <c r="AU46" s="9">
        <v>0.23037490999999999</v>
      </c>
      <c r="AW46" s="10">
        <f t="shared" si="44"/>
        <v>0.90788425803026285</v>
      </c>
      <c r="AX46" s="10">
        <f t="shared" si="45"/>
        <v>0</v>
      </c>
      <c r="AZ46" s="10">
        <f t="shared" si="46"/>
        <v>0.23037490999999999</v>
      </c>
      <c r="BA46" s="10">
        <f t="shared" si="47"/>
        <v>9.3360593918785886E-2</v>
      </c>
      <c r="BB46" s="10">
        <f t="shared" si="48"/>
        <v>0</v>
      </c>
      <c r="BC46" s="10">
        <f t="shared" si="49"/>
        <v>0.58414734453394157</v>
      </c>
      <c r="BD46" s="10">
        <f t="shared" si="50"/>
        <v>0</v>
      </c>
      <c r="BF46" s="1">
        <f t="shared" si="51"/>
        <v>1.4095775353606399E-6</v>
      </c>
    </row>
    <row r="47" spans="2:58" x14ac:dyDescent="0.2">
      <c r="B47" s="13" t="s">
        <v>102</v>
      </c>
      <c r="C47" s="12" t="s">
        <v>69</v>
      </c>
      <c r="D47" s="12">
        <v>0</v>
      </c>
      <c r="E47" s="12">
        <v>0.26319999999999999</v>
      </c>
      <c r="F47" s="12">
        <v>1.8758999999999999</v>
      </c>
      <c r="G47" s="12">
        <v>0</v>
      </c>
      <c r="H47" s="12">
        <v>1.6890000000000001</v>
      </c>
      <c r="I47" s="12">
        <v>1.083649105704819</v>
      </c>
      <c r="J47" s="12">
        <v>0.17319281694052899</v>
      </c>
      <c r="K47" s="12">
        <v>0</v>
      </c>
      <c r="L47" s="12">
        <v>0</v>
      </c>
      <c r="M47" s="12">
        <v>520155.64</v>
      </c>
      <c r="N47" s="12">
        <v>279265.62</v>
      </c>
      <c r="O47" s="12">
        <v>1.67</v>
      </c>
      <c r="Q47" s="15">
        <v>110.94272599999999</v>
      </c>
      <c r="R47" s="15">
        <v>-47.669266999999998</v>
      </c>
      <c r="S47" s="15">
        <v>160</v>
      </c>
      <c r="T47" s="15">
        <v>100.492544</v>
      </c>
      <c r="U47" s="15">
        <v>115.666566</v>
      </c>
      <c r="V47" s="15">
        <v>89.651598000000007</v>
      </c>
      <c r="W47" s="15">
        <v>38.232120000000002</v>
      </c>
      <c r="X47" s="15">
        <v>13.421991999999999</v>
      </c>
      <c r="Z47" t="str">
        <f t="shared" si="26"/>
        <v>SE_Bio_Ethanol_CCS_86_Agri</v>
      </c>
      <c r="AA47" t="str">
        <f t="shared" si="27"/>
        <v>Biomass_Agri</v>
      </c>
      <c r="AB47" s="11">
        <f t="shared" si="28"/>
        <v>71.547650757370249</v>
      </c>
      <c r="AC47" s="11">
        <f t="shared" si="29"/>
        <v>71.547650757370263</v>
      </c>
      <c r="AD47" s="5">
        <f t="shared" si="30"/>
        <v>0</v>
      </c>
      <c r="AE47">
        <f t="shared" si="31"/>
        <v>0</v>
      </c>
      <c r="AF47">
        <f t="shared" si="32"/>
        <v>5.3641953110506959</v>
      </c>
      <c r="AG47" s="1">
        <f t="array" ref="AG47">_xlfn.IFS(C47="Biomass_Corn", 1/F47*S47, C47="Biomass_Agri", 1/F47*V47, C47="Biomass_Wood", 1/F47*U47, C47="Biomass_Herb", 1/F47*T47)</f>
        <v>47.791245802015041</v>
      </c>
      <c r="AH47">
        <f t="shared" si="33"/>
        <v>0</v>
      </c>
      <c r="AI47">
        <f t="shared" si="34"/>
        <v>35.170376125767767</v>
      </c>
      <c r="AJ47">
        <f t="shared" si="35"/>
        <v>18.88257309753622</v>
      </c>
      <c r="AK47">
        <f t="shared" si="36"/>
        <v>0.89023935177781333</v>
      </c>
      <c r="AL47" s="1">
        <f t="shared" si="37"/>
        <v>1.1814672146170935E-6</v>
      </c>
      <c r="AM47" s="1">
        <f t="shared" si="38"/>
        <v>-36.551110005970749</v>
      </c>
      <c r="AN47">
        <f t="shared" si="39"/>
        <v>1.3107519346924738E-4</v>
      </c>
      <c r="AO47">
        <f t="shared" si="40"/>
        <v>-0.57766772716587833</v>
      </c>
      <c r="AP47" s="1">
        <f t="shared" si="41"/>
        <v>27.53705344322951</v>
      </c>
      <c r="AQ47">
        <f t="shared" si="42"/>
        <v>-64.088032374006787</v>
      </c>
      <c r="AS47" s="9">
        <f t="shared" si="43"/>
        <v>1.6890000000000001</v>
      </c>
      <c r="AT47" s="10">
        <v>0.1828908353</v>
      </c>
      <c r="AU47" s="9">
        <v>0.23037490999999999</v>
      </c>
      <c r="AW47" s="10">
        <f t="shared" si="44"/>
        <v>0.90036782344474664</v>
      </c>
      <c r="AX47" s="10">
        <f t="shared" si="45"/>
        <v>0</v>
      </c>
      <c r="AZ47" s="10">
        <f t="shared" si="46"/>
        <v>0.23037490999999999</v>
      </c>
      <c r="BA47" s="10">
        <f t="shared" si="47"/>
        <v>9.2325186278868279E-2</v>
      </c>
      <c r="BB47" s="10">
        <f t="shared" si="48"/>
        <v>0</v>
      </c>
      <c r="BC47" s="10">
        <f t="shared" si="49"/>
        <v>0.57766890863309295</v>
      </c>
      <c r="BD47" s="10">
        <f t="shared" si="50"/>
        <v>0</v>
      </c>
      <c r="BF47" s="1">
        <f t="shared" si="51"/>
        <v>-1.1814672146170935E-6</v>
      </c>
    </row>
    <row r="48" spans="2:58" x14ac:dyDescent="0.2">
      <c r="B48" s="13" t="s">
        <v>103</v>
      </c>
      <c r="C48" s="12" t="s">
        <v>69</v>
      </c>
      <c r="D48" s="12">
        <v>0</v>
      </c>
      <c r="E48" s="12">
        <v>0.26319999999999999</v>
      </c>
      <c r="F48" s="12">
        <v>1.8062</v>
      </c>
      <c r="G48" s="12">
        <v>0</v>
      </c>
      <c r="H48" s="12">
        <v>1.633</v>
      </c>
      <c r="I48" s="12">
        <v>1.0492062007918139</v>
      </c>
      <c r="J48" s="12">
        <v>0.1676880242044908</v>
      </c>
      <c r="K48" s="12">
        <v>0</v>
      </c>
      <c r="L48" s="12">
        <v>0</v>
      </c>
      <c r="M48" s="12">
        <v>520155.64</v>
      </c>
      <c r="N48" s="12">
        <v>279265.62</v>
      </c>
      <c r="O48" s="12">
        <v>1.67</v>
      </c>
      <c r="Q48" s="15">
        <v>110.94272599999999</v>
      </c>
      <c r="R48" s="15">
        <v>-21.501526999999999</v>
      </c>
      <c r="S48" s="15">
        <v>160</v>
      </c>
      <c r="T48" s="15">
        <v>140.36716899999999</v>
      </c>
      <c r="U48" s="15">
        <v>160.45006900000001</v>
      </c>
      <c r="V48" s="15">
        <v>113.683173</v>
      </c>
      <c r="W48" s="15">
        <v>20.241166</v>
      </c>
      <c r="X48" s="15">
        <v>13.326013</v>
      </c>
      <c r="Z48" t="str">
        <f t="shared" si="26"/>
        <v>TX_Bio_Ethanol_CCS_86_Agri</v>
      </c>
      <c r="AA48" t="str">
        <f t="shared" si="27"/>
        <v>Biomass_Agri</v>
      </c>
      <c r="AB48" s="11">
        <f t="shared" si="28"/>
        <v>70.997688460538711</v>
      </c>
      <c r="AC48" s="11">
        <f t="shared" si="29"/>
        <v>70.997688460538726</v>
      </c>
      <c r="AD48" s="5">
        <f t="shared" si="30"/>
        <v>0</v>
      </c>
      <c r="AE48">
        <f t="shared" si="31"/>
        <v>0</v>
      </c>
      <c r="AF48">
        <f t="shared" si="32"/>
        <v>2.9495487161997564</v>
      </c>
      <c r="AG48" s="1">
        <f t="array" ref="AG48">_xlfn.IFS(C48="Biomass_Corn", 1/F48*S48, C48="Biomass_Agri", 1/F48*V48, C48="Biomass_Wood", 1/F48*U48, C48="Biomass_Herb", 1/F48*T48)</f>
        <v>62.940523197873986</v>
      </c>
      <c r="AH48">
        <f t="shared" si="33"/>
        <v>0</v>
      </c>
      <c r="AI48">
        <f t="shared" si="34"/>
        <v>36.527576444650514</v>
      </c>
      <c r="AJ48">
        <f t="shared" si="35"/>
        <v>19.611238441849292</v>
      </c>
      <c r="AK48">
        <f t="shared" si="36"/>
        <v>0.92459306832023025</v>
      </c>
      <c r="AL48" s="1">
        <f t="shared" si="37"/>
        <v>-1.4464409785475141E-6</v>
      </c>
      <c r="AM48" s="1">
        <f t="shared" si="38"/>
        <v>-51.955630936249911</v>
      </c>
      <c r="AN48">
        <f t="shared" si="39"/>
        <v>-1.6047210515816873E-4</v>
      </c>
      <c r="AO48">
        <f t="shared" si="40"/>
        <v>-0.58089293176475987</v>
      </c>
      <c r="AP48" s="1">
        <f t="shared" si="41"/>
        <v>12.490053955759388</v>
      </c>
      <c r="AQ48">
        <f t="shared" si="42"/>
        <v>-64.445845364114447</v>
      </c>
      <c r="AS48" s="9">
        <f t="shared" si="43"/>
        <v>1.633</v>
      </c>
      <c r="AT48" s="10">
        <v>0.1828908353</v>
      </c>
      <c r="AU48" s="9">
        <v>0.23037490999999999</v>
      </c>
      <c r="AW48" s="10">
        <f t="shared" si="44"/>
        <v>0.90410807219577016</v>
      </c>
      <c r="AX48" s="10">
        <f t="shared" si="45"/>
        <v>0</v>
      </c>
      <c r="AZ48" s="10">
        <f t="shared" si="46"/>
        <v>0.23037490999999999</v>
      </c>
      <c r="BA48" s="10">
        <f t="shared" si="47"/>
        <v>9.2840230431010293E-2</v>
      </c>
      <c r="BB48" s="10">
        <f t="shared" si="48"/>
        <v>0</v>
      </c>
      <c r="BC48" s="10">
        <f t="shared" si="49"/>
        <v>0.58089148532378132</v>
      </c>
      <c r="BD48" s="10">
        <f t="shared" si="50"/>
        <v>0</v>
      </c>
      <c r="BF48" s="1">
        <f t="shared" si="51"/>
        <v>1.4464409785475141E-6</v>
      </c>
    </row>
    <row r="49" spans="2:58" x14ac:dyDescent="0.2">
      <c r="B49" s="13" t="s">
        <v>104</v>
      </c>
      <c r="C49" s="12" t="s">
        <v>105</v>
      </c>
      <c r="D49" s="12">
        <v>0</v>
      </c>
      <c r="E49" s="12">
        <v>8.5342824999999997E-2</v>
      </c>
      <c r="F49" s="12">
        <v>3.1043379949999999</v>
      </c>
      <c r="G49" s="12">
        <v>1.013397519</v>
      </c>
      <c r="H49" s="12">
        <v>1.7588666580000001</v>
      </c>
      <c r="I49" s="12">
        <v>0</v>
      </c>
      <c r="J49" s="12">
        <v>1.043705066</v>
      </c>
      <c r="K49" s="12">
        <v>0</v>
      </c>
      <c r="L49" s="12">
        <v>0.185341119</v>
      </c>
      <c r="M49" s="12">
        <v>0</v>
      </c>
      <c r="N49" s="12">
        <v>176727.97</v>
      </c>
      <c r="O49" s="12">
        <v>-25.41</v>
      </c>
      <c r="Q49" s="15">
        <v>110.94272599999999</v>
      </c>
      <c r="R49" s="15">
        <v>-6.4927159999999997</v>
      </c>
      <c r="S49" s="15">
        <v>160</v>
      </c>
      <c r="T49" s="15">
        <v>1189.8046420000001</v>
      </c>
      <c r="U49" s="15">
        <v>162.166506</v>
      </c>
      <c r="V49" s="15">
        <v>140.42925199999999</v>
      </c>
      <c r="W49" s="15">
        <v>36.568199999999997</v>
      </c>
      <c r="X49" s="15">
        <v>13.653233</v>
      </c>
      <c r="Z49" t="str">
        <f t="shared" si="26"/>
        <v>CA_DryMill_Existing_Non_CCS</v>
      </c>
      <c r="AA49" t="str">
        <f t="shared" si="27"/>
        <v>Biomass_Corn</v>
      </c>
      <c r="AB49" s="11">
        <f t="shared" si="28"/>
        <v>62.662397992678407</v>
      </c>
      <c r="AC49" s="11">
        <f t="shared" si="29"/>
        <v>62.662397992678407</v>
      </c>
      <c r="AD49" s="5">
        <f t="shared" si="30"/>
        <v>0</v>
      </c>
      <c r="AE49">
        <f t="shared" si="31"/>
        <v>0</v>
      </c>
      <c r="AF49">
        <f t="shared" si="32"/>
        <v>1.0053136927072917</v>
      </c>
      <c r="AG49" s="1">
        <f t="array" ref="AG49">_xlfn.IFS(C49="Biomass_Corn", 1/F49*S49, C49="Biomass_Agri", 1/F49*V49, C49="Biomass_Wood", 1/F49*U49, C49="Biomass_Herb", 1/F49*T49)</f>
        <v>51.540779469794813</v>
      </c>
      <c r="AH49">
        <f t="shared" si="33"/>
        <v>4.4570380128755689</v>
      </c>
      <c r="AI49">
        <f t="shared" si="34"/>
        <v>0</v>
      </c>
      <c r="AJ49">
        <f t="shared" si="35"/>
        <v>7.2208724377810398</v>
      </c>
      <c r="AK49">
        <f t="shared" si="36"/>
        <v>-8.1853200395467898</v>
      </c>
      <c r="AL49" s="1">
        <f t="shared" si="37"/>
        <v>5.9703909015778822E-2</v>
      </c>
      <c r="AM49" s="1">
        <f t="shared" si="38"/>
        <v>0</v>
      </c>
      <c r="AN49">
        <f t="shared" si="39"/>
        <v>6.623714419066479</v>
      </c>
      <c r="AO49">
        <f t="shared" si="40"/>
        <v>5.9703909015778822E-2</v>
      </c>
      <c r="AP49" s="1">
        <f t="shared" si="41"/>
        <v>0</v>
      </c>
      <c r="AQ49">
        <f t="shared" si="42"/>
        <v>6.623714419066479</v>
      </c>
      <c r="AS49" s="9">
        <f t="shared" si="43"/>
        <v>1.7588666580000001</v>
      </c>
      <c r="AT49" s="10">
        <v>0.1828908353</v>
      </c>
      <c r="AU49" s="9">
        <v>0.23037490999999999</v>
      </c>
      <c r="AW49" s="10">
        <f t="shared" si="44"/>
        <v>0.56658349085470638</v>
      </c>
      <c r="AX49" s="10">
        <f t="shared" si="45"/>
        <v>5.9703910798172485E-2</v>
      </c>
      <c r="AZ49" s="10">
        <f t="shared" si="46"/>
        <v>0.23037490999999999</v>
      </c>
      <c r="BA49" s="10">
        <f t="shared" si="47"/>
        <v>0.33620857898883527</v>
      </c>
      <c r="BB49" s="10">
        <f t="shared" si="48"/>
        <v>5.9703910881649988E-2</v>
      </c>
      <c r="BC49" s="10">
        <f t="shared" si="49"/>
        <v>0</v>
      </c>
      <c r="BD49" s="10">
        <f t="shared" si="50"/>
        <v>0</v>
      </c>
      <c r="BF49" s="1">
        <f t="shared" si="51"/>
        <v>1.7823936770966498E-9</v>
      </c>
    </row>
    <row r="50" spans="2:58" x14ac:dyDescent="0.2">
      <c r="B50" s="13" t="s">
        <v>106</v>
      </c>
      <c r="C50" s="12" t="s">
        <v>105</v>
      </c>
      <c r="D50" s="12">
        <v>0</v>
      </c>
      <c r="E50" s="12">
        <v>8.5342824999999997E-2</v>
      </c>
      <c r="F50" s="12">
        <v>3.1043379949999999</v>
      </c>
      <c r="G50" s="12">
        <v>1.013397519</v>
      </c>
      <c r="H50" s="12">
        <v>1.7588666580000001</v>
      </c>
      <c r="I50" s="12">
        <v>0</v>
      </c>
      <c r="J50" s="12">
        <v>1.043705066</v>
      </c>
      <c r="K50" s="12">
        <v>0</v>
      </c>
      <c r="L50" s="12">
        <v>0.185341119</v>
      </c>
      <c r="M50" s="12">
        <v>0</v>
      </c>
      <c r="N50" s="12">
        <v>176727.97</v>
      </c>
      <c r="O50" s="12">
        <v>-25.41</v>
      </c>
      <c r="Q50" s="15">
        <v>110.94272599999999</v>
      </c>
      <c r="R50" s="15">
        <v>-7.3731340000000003</v>
      </c>
      <c r="S50" s="15">
        <v>160</v>
      </c>
      <c r="T50" s="15">
        <v>140.95085900000001</v>
      </c>
      <c r="U50" s="15">
        <v>159.53944000000001</v>
      </c>
      <c r="V50" s="15">
        <v>121.86433100000001</v>
      </c>
      <c r="W50" s="15">
        <v>26.766978000000002</v>
      </c>
      <c r="X50" s="15">
        <v>13.654799000000001</v>
      </c>
      <c r="Z50" t="str">
        <f t="shared" si="26"/>
        <v>NW_DryMill_Existing_Non_CCS</v>
      </c>
      <c r="AA50" t="str">
        <f t="shared" si="27"/>
        <v>Biomass_Corn</v>
      </c>
      <c r="AB50" s="11">
        <f t="shared" si="28"/>
        <v>62.393459173915083</v>
      </c>
      <c r="AC50" s="11">
        <f t="shared" si="29"/>
        <v>62.393459173915083</v>
      </c>
      <c r="AD50" s="5">
        <f t="shared" si="30"/>
        <v>0</v>
      </c>
      <c r="AE50">
        <f t="shared" si="31"/>
        <v>0</v>
      </c>
      <c r="AF50">
        <f t="shared" si="32"/>
        <v>0.73586366011438453</v>
      </c>
      <c r="AG50" s="1">
        <f t="array" ref="AG50">_xlfn.IFS(C50="Biomass_Corn", 1/F50*S50, C50="Biomass_Agri", 1/F50*V50, C50="Biomass_Wood", 1/F50*U50, C50="Biomass_Herb", 1/F50*T50)</f>
        <v>51.540779469794813</v>
      </c>
      <c r="AH50">
        <f t="shared" si="33"/>
        <v>4.4575492267051553</v>
      </c>
      <c r="AI50">
        <f t="shared" si="34"/>
        <v>0</v>
      </c>
      <c r="AJ50">
        <f t="shared" si="35"/>
        <v>7.2208724377810398</v>
      </c>
      <c r="AK50">
        <f t="shared" si="36"/>
        <v>-8.1853200395467898</v>
      </c>
      <c r="AL50" s="1">
        <f t="shared" si="37"/>
        <v>5.9703909015778822E-2</v>
      </c>
      <c r="AM50" s="1">
        <f t="shared" si="38"/>
        <v>0</v>
      </c>
      <c r="AN50">
        <f t="shared" si="39"/>
        <v>6.623714419066479</v>
      </c>
      <c r="AO50">
        <f t="shared" si="40"/>
        <v>5.9703909015778822E-2</v>
      </c>
      <c r="AP50" s="1">
        <f t="shared" si="41"/>
        <v>0</v>
      </c>
      <c r="AQ50">
        <f t="shared" si="42"/>
        <v>6.623714419066479</v>
      </c>
      <c r="AS50" s="9">
        <f t="shared" si="43"/>
        <v>1.7588666580000001</v>
      </c>
      <c r="AT50" s="10">
        <v>0.1828908353</v>
      </c>
      <c r="AU50" s="9">
        <v>0.23037490999999999</v>
      </c>
      <c r="AW50" s="10">
        <f t="shared" si="44"/>
        <v>0.56658349085470638</v>
      </c>
      <c r="AX50" s="10">
        <f t="shared" si="45"/>
        <v>5.9703910798172485E-2</v>
      </c>
      <c r="AZ50" s="10">
        <f t="shared" si="46"/>
        <v>0.23037490999999999</v>
      </c>
      <c r="BA50" s="10">
        <f t="shared" si="47"/>
        <v>0.33620857898883527</v>
      </c>
      <c r="BB50" s="10">
        <f t="shared" si="48"/>
        <v>5.9703910881649988E-2</v>
      </c>
      <c r="BC50" s="10">
        <f t="shared" si="49"/>
        <v>0</v>
      </c>
      <c r="BD50" s="10">
        <f t="shared" si="50"/>
        <v>0</v>
      </c>
      <c r="BF50" s="1">
        <f t="shared" si="51"/>
        <v>1.7823936770966498E-9</v>
      </c>
    </row>
    <row r="51" spans="2:58" x14ac:dyDescent="0.2">
      <c r="B51" s="13" t="s">
        <v>107</v>
      </c>
      <c r="C51" s="12" t="s">
        <v>105</v>
      </c>
      <c r="D51" s="12">
        <v>0</v>
      </c>
      <c r="E51" s="12">
        <v>8.5342824999999997E-2</v>
      </c>
      <c r="F51" s="12">
        <v>3.1043379949999999</v>
      </c>
      <c r="G51" s="12">
        <v>1.013397519</v>
      </c>
      <c r="H51" s="12">
        <v>1.7588666580000001</v>
      </c>
      <c r="I51" s="12">
        <v>0</v>
      </c>
      <c r="J51" s="12">
        <v>1.043705066</v>
      </c>
      <c r="K51" s="12">
        <v>0</v>
      </c>
      <c r="L51" s="12">
        <v>0.185341119</v>
      </c>
      <c r="M51" s="12">
        <v>0</v>
      </c>
      <c r="N51" s="12">
        <v>176727.97</v>
      </c>
      <c r="O51" s="12">
        <v>-25.41</v>
      </c>
      <c r="Q51" s="15">
        <v>110.94272599999999</v>
      </c>
      <c r="R51" s="15">
        <v>-16.594777000000001</v>
      </c>
      <c r="S51" s="15">
        <v>160</v>
      </c>
      <c r="T51" s="15">
        <v>125.912347</v>
      </c>
      <c r="U51" s="15">
        <v>143.39913899999999</v>
      </c>
      <c r="V51" s="15">
        <v>114.29872400000001</v>
      </c>
      <c r="W51" s="15">
        <v>28.013536999999999</v>
      </c>
      <c r="X51" s="15">
        <v>13.654636</v>
      </c>
      <c r="Z51" t="str">
        <f t="shared" si="26"/>
        <v>SW_DryMill_Existing_Non_CCS</v>
      </c>
      <c r="AA51" t="str">
        <f t="shared" si="27"/>
        <v>Biomass_Corn</v>
      </c>
      <c r="AB51" s="11">
        <f t="shared" si="28"/>
        <v>62.42767570670393</v>
      </c>
      <c r="AC51" s="11">
        <f t="shared" si="29"/>
        <v>62.42767570670393</v>
      </c>
      <c r="AD51" s="5">
        <f t="shared" si="30"/>
        <v>0</v>
      </c>
      <c r="AE51">
        <f t="shared" si="31"/>
        <v>0</v>
      </c>
      <c r="AF51">
        <f t="shared" si="32"/>
        <v>0.77013340353811088</v>
      </c>
      <c r="AG51" s="1">
        <f t="array" ref="AG51">_xlfn.IFS(C51="Biomass_Corn", 1/F51*S51, C51="Biomass_Agri", 1/F51*V51, C51="Biomass_Wood", 1/F51*U51, C51="Biomass_Herb", 1/F51*T51)</f>
        <v>51.540779469794813</v>
      </c>
      <c r="AH51">
        <f t="shared" si="33"/>
        <v>4.4574960160702748</v>
      </c>
      <c r="AI51">
        <f t="shared" si="34"/>
        <v>0</v>
      </c>
      <c r="AJ51">
        <f t="shared" si="35"/>
        <v>7.2208724377810398</v>
      </c>
      <c r="AK51">
        <f t="shared" si="36"/>
        <v>-8.1853200395467898</v>
      </c>
      <c r="AL51" s="1">
        <f t="shared" si="37"/>
        <v>5.9703909015778822E-2</v>
      </c>
      <c r="AM51" s="1">
        <f t="shared" si="38"/>
        <v>0</v>
      </c>
      <c r="AN51">
        <f t="shared" si="39"/>
        <v>6.623714419066479</v>
      </c>
      <c r="AO51">
        <f t="shared" si="40"/>
        <v>5.9703909015778822E-2</v>
      </c>
      <c r="AP51" s="1">
        <f t="shared" si="41"/>
        <v>0</v>
      </c>
      <c r="AQ51">
        <f t="shared" si="42"/>
        <v>6.623714419066479</v>
      </c>
      <c r="AS51" s="9">
        <f t="shared" si="43"/>
        <v>1.7588666580000001</v>
      </c>
      <c r="AT51" s="10">
        <v>0.1828908353</v>
      </c>
      <c r="AU51" s="9">
        <v>0.23037490999999999</v>
      </c>
      <c r="AW51" s="10">
        <f t="shared" si="44"/>
        <v>0.56658349085470638</v>
      </c>
      <c r="AX51" s="10">
        <f t="shared" si="45"/>
        <v>5.9703910798172485E-2</v>
      </c>
      <c r="AZ51" s="10">
        <f t="shared" si="46"/>
        <v>0.23037490999999999</v>
      </c>
      <c r="BA51" s="10">
        <f t="shared" si="47"/>
        <v>0.33620857898883527</v>
      </c>
      <c r="BB51" s="10">
        <f t="shared" si="48"/>
        <v>5.9703910881649988E-2</v>
      </c>
      <c r="BC51" s="10">
        <f t="shared" si="49"/>
        <v>0</v>
      </c>
      <c r="BD51" s="10">
        <f t="shared" si="50"/>
        <v>0</v>
      </c>
      <c r="BF51" s="1">
        <f t="shared" si="51"/>
        <v>1.7823936770966498E-9</v>
      </c>
    </row>
    <row r="52" spans="2:58" x14ac:dyDescent="0.2">
      <c r="B52" s="13" t="s">
        <v>108</v>
      </c>
      <c r="C52" s="12" t="s">
        <v>105</v>
      </c>
      <c r="D52" s="12">
        <v>0</v>
      </c>
      <c r="E52" s="12">
        <v>8.5342824999999997E-2</v>
      </c>
      <c r="F52" s="12">
        <v>3.1043379949999999</v>
      </c>
      <c r="G52" s="12">
        <v>1.013397519</v>
      </c>
      <c r="H52" s="12">
        <v>1.7588666580000001</v>
      </c>
      <c r="I52" s="12">
        <v>0</v>
      </c>
      <c r="J52" s="12">
        <v>1.043705066</v>
      </c>
      <c r="K52" s="12">
        <v>0</v>
      </c>
      <c r="L52" s="12">
        <v>0.185341119</v>
      </c>
      <c r="M52" s="12">
        <v>0</v>
      </c>
      <c r="N52" s="12">
        <v>176727.97</v>
      </c>
      <c r="O52" s="12">
        <v>-25.41</v>
      </c>
      <c r="Q52" s="15">
        <v>110.94272599999999</v>
      </c>
      <c r="R52" s="15">
        <v>-21.501526999999999</v>
      </c>
      <c r="S52" s="15">
        <v>160</v>
      </c>
      <c r="T52" s="15">
        <v>140.36716899999999</v>
      </c>
      <c r="U52" s="15">
        <v>160.45006900000001</v>
      </c>
      <c r="V52" s="15">
        <v>113.683173</v>
      </c>
      <c r="W52" s="15">
        <v>20.241166</v>
      </c>
      <c r="X52" s="15">
        <v>13.326013</v>
      </c>
      <c r="Z52" t="str">
        <f t="shared" si="26"/>
        <v>TX_DryMill_Existing_Non_CCS</v>
      </c>
      <c r="AA52" t="str">
        <f t="shared" si="27"/>
        <v>Biomass_Corn</v>
      </c>
      <c r="AB52" s="11">
        <f t="shared" si="28"/>
        <v>62.106724240536536</v>
      </c>
      <c r="AC52" s="11">
        <f t="shared" si="29"/>
        <v>62.106724240536536</v>
      </c>
      <c r="AD52" s="5">
        <f t="shared" si="30"/>
        <v>0</v>
      </c>
      <c r="AE52">
        <f t="shared" si="31"/>
        <v>0</v>
      </c>
      <c r="AF52">
        <f t="shared" si="32"/>
        <v>0.55645947397359674</v>
      </c>
      <c r="AG52" s="1">
        <f t="array" ref="AG52">_xlfn.IFS(C52="Biomass_Corn", 1/F52*S52, C52="Biomass_Agri", 1/F52*V52, C52="Biomass_Wood", 1/F52*U52, C52="Biomass_Herb", 1/F52*T52)</f>
        <v>51.540779469794813</v>
      </c>
      <c r="AH52">
        <f t="shared" si="33"/>
        <v>4.3502184794673902</v>
      </c>
      <c r="AI52">
        <f t="shared" si="34"/>
        <v>0</v>
      </c>
      <c r="AJ52">
        <f t="shared" si="35"/>
        <v>7.2208724377810398</v>
      </c>
      <c r="AK52">
        <f t="shared" si="36"/>
        <v>-8.1853200395467898</v>
      </c>
      <c r="AL52" s="1">
        <f t="shared" si="37"/>
        <v>5.9703909015778822E-2</v>
      </c>
      <c r="AM52" s="1">
        <f t="shared" si="38"/>
        <v>0</v>
      </c>
      <c r="AN52">
        <f t="shared" si="39"/>
        <v>6.623714419066479</v>
      </c>
      <c r="AO52">
        <f t="shared" si="40"/>
        <v>5.9703909015778822E-2</v>
      </c>
      <c r="AP52" s="1">
        <f t="shared" si="41"/>
        <v>0</v>
      </c>
      <c r="AQ52">
        <f t="shared" si="42"/>
        <v>6.623714419066479</v>
      </c>
      <c r="AS52" s="9">
        <f t="shared" si="43"/>
        <v>1.7588666580000001</v>
      </c>
      <c r="AT52" s="10">
        <v>0.1828908353</v>
      </c>
      <c r="AU52" s="9">
        <v>0.23037490999999999</v>
      </c>
      <c r="AW52" s="10">
        <f t="shared" si="44"/>
        <v>0.56658349085470638</v>
      </c>
      <c r="AX52" s="10">
        <f t="shared" si="45"/>
        <v>5.9703910798172485E-2</v>
      </c>
      <c r="AZ52" s="10">
        <f t="shared" si="46"/>
        <v>0.23037490999999999</v>
      </c>
      <c r="BA52" s="10">
        <f t="shared" si="47"/>
        <v>0.33620857898883527</v>
      </c>
      <c r="BB52" s="10">
        <f t="shared" si="48"/>
        <v>5.9703910881649988E-2</v>
      </c>
      <c r="BC52" s="10">
        <f t="shared" si="49"/>
        <v>0</v>
      </c>
      <c r="BD52" s="10">
        <f t="shared" si="50"/>
        <v>0</v>
      </c>
      <c r="BF52" s="1">
        <f t="shared" si="51"/>
        <v>1.7823936770966498E-9</v>
      </c>
    </row>
    <row r="53" spans="2:58" x14ac:dyDescent="0.2">
      <c r="B53" s="13" t="s">
        <v>109</v>
      </c>
      <c r="C53" s="12" t="s">
        <v>105</v>
      </c>
      <c r="D53" s="12">
        <v>0</v>
      </c>
      <c r="E53" s="12">
        <v>8.5342824999999997E-2</v>
      </c>
      <c r="F53" s="12">
        <v>3.1043379949999999</v>
      </c>
      <c r="G53" s="12">
        <v>1.013397519</v>
      </c>
      <c r="H53" s="12">
        <v>1.7588666580000001</v>
      </c>
      <c r="I53" s="12">
        <v>0</v>
      </c>
      <c r="J53" s="12">
        <v>1.043705066</v>
      </c>
      <c r="K53" s="12">
        <v>0</v>
      </c>
      <c r="L53" s="12">
        <v>0.185341119</v>
      </c>
      <c r="M53" s="12">
        <v>0</v>
      </c>
      <c r="N53" s="12">
        <v>176727.97</v>
      </c>
      <c r="O53" s="12">
        <v>-25.41</v>
      </c>
      <c r="Q53" s="15">
        <v>110.94272599999999</v>
      </c>
      <c r="R53" s="15">
        <v>-41.712553</v>
      </c>
      <c r="S53" s="15">
        <v>160</v>
      </c>
      <c r="T53" s="15">
        <v>106.47328400000001</v>
      </c>
      <c r="U53" s="15">
        <v>117.9145</v>
      </c>
      <c r="V53" s="15">
        <v>93.425466999999998</v>
      </c>
      <c r="W53" s="15">
        <v>30.730081999999999</v>
      </c>
      <c r="X53" s="15">
        <v>13.422086999999999</v>
      </c>
      <c r="Z53" t="str">
        <f t="shared" si="26"/>
        <v>NCEN_DryMill_Existing_Non_CCS</v>
      </c>
      <c r="AA53" t="str">
        <f t="shared" si="27"/>
        <v>Biomass_Corn</v>
      </c>
      <c r="AB53" s="11">
        <f t="shared" si="28"/>
        <v>62.426442930146585</v>
      </c>
      <c r="AC53" s="11">
        <f t="shared" si="29"/>
        <v>62.426442930146585</v>
      </c>
      <c r="AD53" s="5">
        <f t="shared" si="30"/>
        <v>0</v>
      </c>
      <c r="AE53">
        <f t="shared" si="31"/>
        <v>0</v>
      </c>
      <c r="AF53">
        <f t="shared" si="32"/>
        <v>0.8448152277830977</v>
      </c>
      <c r="AG53" s="1">
        <f t="array" ref="AG53">_xlfn.IFS(C53="Biomass_Corn", 1/F53*S53, C53="Biomass_Agri", 1/F53*V53, C53="Biomass_Wood", 1/F53*U53, C53="Biomass_Herb", 1/F53*T53)</f>
        <v>51.540779469794813</v>
      </c>
      <c r="AH53">
        <f t="shared" si="33"/>
        <v>4.3815814152679442</v>
      </c>
      <c r="AI53">
        <f t="shared" si="34"/>
        <v>0</v>
      </c>
      <c r="AJ53">
        <f t="shared" si="35"/>
        <v>7.2208724377810398</v>
      </c>
      <c r="AK53">
        <f t="shared" si="36"/>
        <v>-8.1853200395467898</v>
      </c>
      <c r="AL53" s="1">
        <f t="shared" si="37"/>
        <v>5.9703909015778822E-2</v>
      </c>
      <c r="AM53" s="1">
        <f t="shared" si="38"/>
        <v>0</v>
      </c>
      <c r="AN53">
        <f t="shared" si="39"/>
        <v>6.623714419066479</v>
      </c>
      <c r="AO53">
        <f t="shared" si="40"/>
        <v>5.9703909015778822E-2</v>
      </c>
      <c r="AP53" s="1">
        <f t="shared" si="41"/>
        <v>0</v>
      </c>
      <c r="AQ53">
        <f t="shared" si="42"/>
        <v>6.623714419066479</v>
      </c>
      <c r="AS53" s="9">
        <f t="shared" si="43"/>
        <v>1.7588666580000001</v>
      </c>
      <c r="AT53" s="10">
        <v>0.1828908353</v>
      </c>
      <c r="AU53" s="9">
        <v>0.23037490999999999</v>
      </c>
      <c r="AW53" s="10">
        <f t="shared" si="44"/>
        <v>0.56658349085470638</v>
      </c>
      <c r="AX53" s="10">
        <f t="shared" si="45"/>
        <v>5.9703910798172485E-2</v>
      </c>
      <c r="AZ53" s="10">
        <f t="shared" si="46"/>
        <v>0.23037490999999999</v>
      </c>
      <c r="BA53" s="10">
        <f t="shared" si="47"/>
        <v>0.33620857898883527</v>
      </c>
      <c r="BB53" s="10">
        <f t="shared" si="48"/>
        <v>5.9703910881649988E-2</v>
      </c>
      <c r="BC53" s="10">
        <f t="shared" si="49"/>
        <v>0</v>
      </c>
      <c r="BD53" s="10">
        <f t="shared" si="50"/>
        <v>0</v>
      </c>
      <c r="BF53" s="1">
        <f t="shared" si="51"/>
        <v>1.7823936770966498E-9</v>
      </c>
    </row>
    <row r="54" spans="2:58" x14ac:dyDescent="0.2">
      <c r="B54" s="13" t="s">
        <v>110</v>
      </c>
      <c r="C54" s="12" t="s">
        <v>105</v>
      </c>
      <c r="D54" s="12">
        <v>0</v>
      </c>
      <c r="E54" s="12">
        <v>8.5342824999999997E-2</v>
      </c>
      <c r="F54" s="12">
        <v>3.1043379949999999</v>
      </c>
      <c r="G54" s="12">
        <v>1.013397519</v>
      </c>
      <c r="H54" s="12">
        <v>1.7588666580000001</v>
      </c>
      <c r="I54" s="12">
        <v>0</v>
      </c>
      <c r="J54" s="12">
        <v>1.043705066</v>
      </c>
      <c r="K54" s="12">
        <v>0</v>
      </c>
      <c r="L54" s="12">
        <v>0.185341119</v>
      </c>
      <c r="M54" s="12">
        <v>0</v>
      </c>
      <c r="N54" s="12">
        <v>176727.97</v>
      </c>
      <c r="O54" s="12">
        <v>-25.41</v>
      </c>
      <c r="Q54" s="15">
        <v>110.94272599999999</v>
      </c>
      <c r="R54" s="15">
        <v>-31.699415999999999</v>
      </c>
      <c r="S54" s="15">
        <v>160</v>
      </c>
      <c r="T54" s="15">
        <v>112.750244</v>
      </c>
      <c r="U54" s="15">
        <v>129.799364</v>
      </c>
      <c r="V54" s="15">
        <v>101.33199</v>
      </c>
      <c r="W54" s="15">
        <v>25.368286000000001</v>
      </c>
      <c r="X54" s="15">
        <v>13.422007000000001</v>
      </c>
      <c r="Z54" t="str">
        <f t="shared" si="26"/>
        <v>CEN_DryMill_Existing_Non_CCS</v>
      </c>
      <c r="AA54" t="str">
        <f t="shared" si="27"/>
        <v>Biomass_Corn</v>
      </c>
      <c r="AB54" s="11">
        <f t="shared" si="28"/>
        <v>62.279013143102659</v>
      </c>
      <c r="AC54" s="11">
        <f t="shared" si="29"/>
        <v>62.279013143102659</v>
      </c>
      <c r="AD54" s="5">
        <f t="shared" si="30"/>
        <v>0</v>
      </c>
      <c r="AE54">
        <f t="shared" si="31"/>
        <v>0</v>
      </c>
      <c r="AF54">
        <f t="shared" si="32"/>
        <v>0.69741155638819219</v>
      </c>
      <c r="AG54" s="1">
        <f t="array" ref="AG54">_xlfn.IFS(C54="Biomass_Corn", 1/F54*S54, C54="Biomass_Agri", 1/F54*V54, C54="Biomass_Wood", 1/F54*U54, C54="Biomass_Herb", 1/F54*T54)</f>
        <v>51.540779469794813</v>
      </c>
      <c r="AH54">
        <f t="shared" si="33"/>
        <v>4.381555299618924</v>
      </c>
      <c r="AI54">
        <f t="shared" si="34"/>
        <v>0</v>
      </c>
      <c r="AJ54">
        <f t="shared" si="35"/>
        <v>7.2208724377810398</v>
      </c>
      <c r="AK54">
        <f t="shared" si="36"/>
        <v>-8.1853200395467898</v>
      </c>
      <c r="AL54" s="1">
        <f t="shared" si="37"/>
        <v>5.9703909015778822E-2</v>
      </c>
      <c r="AM54" s="1">
        <f t="shared" si="38"/>
        <v>0</v>
      </c>
      <c r="AN54">
        <f t="shared" si="39"/>
        <v>6.623714419066479</v>
      </c>
      <c r="AO54">
        <f t="shared" si="40"/>
        <v>5.9703909015778822E-2</v>
      </c>
      <c r="AP54" s="1">
        <f t="shared" si="41"/>
        <v>0</v>
      </c>
      <c r="AQ54">
        <f t="shared" si="42"/>
        <v>6.623714419066479</v>
      </c>
      <c r="AS54" s="9">
        <f t="shared" si="43"/>
        <v>1.7588666580000001</v>
      </c>
      <c r="AT54" s="10">
        <v>0.1828908353</v>
      </c>
      <c r="AU54" s="9">
        <v>0.23037490999999999</v>
      </c>
      <c r="AW54" s="10">
        <f t="shared" si="44"/>
        <v>0.56658349085470638</v>
      </c>
      <c r="AX54" s="10">
        <f t="shared" si="45"/>
        <v>5.9703910798172485E-2</v>
      </c>
      <c r="AZ54" s="10">
        <f t="shared" si="46"/>
        <v>0.23037490999999999</v>
      </c>
      <c r="BA54" s="10">
        <f t="shared" si="47"/>
        <v>0.33620857898883527</v>
      </c>
      <c r="BB54" s="10">
        <f t="shared" si="48"/>
        <v>5.9703910881649988E-2</v>
      </c>
      <c r="BC54" s="10">
        <f t="shared" si="49"/>
        <v>0</v>
      </c>
      <c r="BD54" s="10">
        <f t="shared" si="50"/>
        <v>0</v>
      </c>
      <c r="BF54" s="1">
        <f t="shared" si="51"/>
        <v>1.7823936770966498E-9</v>
      </c>
    </row>
    <row r="55" spans="2:58" x14ac:dyDescent="0.2">
      <c r="B55" s="13" t="s">
        <v>111</v>
      </c>
      <c r="C55" s="12" t="s">
        <v>105</v>
      </c>
      <c r="D55" s="12">
        <v>0</v>
      </c>
      <c r="E55" s="12">
        <v>8.5342824999999997E-2</v>
      </c>
      <c r="F55" s="12">
        <v>3.1043379949999999</v>
      </c>
      <c r="G55" s="12">
        <v>1.013397519</v>
      </c>
      <c r="H55" s="12">
        <v>1.7588666580000001</v>
      </c>
      <c r="I55" s="12">
        <v>0</v>
      </c>
      <c r="J55" s="12">
        <v>1.043705066</v>
      </c>
      <c r="K55" s="12">
        <v>0</v>
      </c>
      <c r="L55" s="12">
        <v>0.185341119</v>
      </c>
      <c r="M55" s="12">
        <v>0</v>
      </c>
      <c r="N55" s="12">
        <v>176727.97</v>
      </c>
      <c r="O55" s="12">
        <v>-25.41</v>
      </c>
      <c r="Q55" s="15">
        <v>110.94272599999999</v>
      </c>
      <c r="R55" s="15">
        <v>-47.669266999999998</v>
      </c>
      <c r="S55" s="15">
        <v>160</v>
      </c>
      <c r="T55" s="15">
        <v>100.492544</v>
      </c>
      <c r="U55" s="15">
        <v>115.666566</v>
      </c>
      <c r="V55" s="15">
        <v>89.651598000000007</v>
      </c>
      <c r="W55" s="15">
        <v>38.232120000000002</v>
      </c>
      <c r="X55" s="15">
        <v>13.421991999999999</v>
      </c>
      <c r="Z55" t="str">
        <f t="shared" si="26"/>
        <v>SE_DryMill_Existing_Non_CCS</v>
      </c>
      <c r="AA55" t="str">
        <f t="shared" si="27"/>
        <v>Biomass_Corn</v>
      </c>
      <c r="AB55" s="11">
        <f t="shared" si="28"/>
        <v>62.63265399493531</v>
      </c>
      <c r="AC55" s="11">
        <f t="shared" si="29"/>
        <v>62.63265399493531</v>
      </c>
      <c r="AD55" s="5">
        <f t="shared" si="30"/>
        <v>0</v>
      </c>
      <c r="AE55">
        <f t="shared" si="31"/>
        <v>0</v>
      </c>
      <c r="AF55">
        <f t="shared" si="32"/>
        <v>1.0510573049050351</v>
      </c>
      <c r="AG55" s="1">
        <f t="array" ref="AG55">_xlfn.IFS(C55="Biomass_Corn", 1/F55*S55, C55="Biomass_Agri", 1/F55*V55, C55="Biomass_Wood", 1/F55*U55, C55="Biomass_Herb", 1/F55*T55)</f>
        <v>51.540779469794813</v>
      </c>
      <c r="AH55">
        <f t="shared" si="33"/>
        <v>4.3815504029347316</v>
      </c>
      <c r="AI55">
        <f t="shared" si="34"/>
        <v>0</v>
      </c>
      <c r="AJ55">
        <f t="shared" si="35"/>
        <v>7.2208724377810398</v>
      </c>
      <c r="AK55">
        <f t="shared" si="36"/>
        <v>-8.1853200395467898</v>
      </c>
      <c r="AL55" s="1">
        <f t="shared" si="37"/>
        <v>5.9703909015778822E-2</v>
      </c>
      <c r="AM55" s="1">
        <f t="shared" si="38"/>
        <v>0</v>
      </c>
      <c r="AN55">
        <f t="shared" si="39"/>
        <v>6.623714419066479</v>
      </c>
      <c r="AO55">
        <f t="shared" si="40"/>
        <v>5.9703909015778822E-2</v>
      </c>
      <c r="AP55" s="1">
        <f t="shared" si="41"/>
        <v>0</v>
      </c>
      <c r="AQ55">
        <f t="shared" si="42"/>
        <v>6.623714419066479</v>
      </c>
      <c r="AS55" s="9">
        <f t="shared" si="43"/>
        <v>1.7588666580000001</v>
      </c>
      <c r="AT55" s="10">
        <v>0.1828908353</v>
      </c>
      <c r="AU55" s="9">
        <v>0.23037490999999999</v>
      </c>
      <c r="AW55" s="10">
        <f t="shared" si="44"/>
        <v>0.56658349085470638</v>
      </c>
      <c r="AX55" s="10">
        <f t="shared" si="45"/>
        <v>5.9703910798172485E-2</v>
      </c>
      <c r="AZ55" s="10">
        <f t="shared" si="46"/>
        <v>0.23037490999999999</v>
      </c>
      <c r="BA55" s="10">
        <f t="shared" si="47"/>
        <v>0.33620857898883527</v>
      </c>
      <c r="BB55" s="10">
        <f t="shared" si="48"/>
        <v>5.9703910881649988E-2</v>
      </c>
      <c r="BC55" s="10">
        <f t="shared" si="49"/>
        <v>0</v>
      </c>
      <c r="BD55" s="10">
        <f t="shared" si="50"/>
        <v>0</v>
      </c>
      <c r="BF55" s="1">
        <f t="shared" si="51"/>
        <v>1.7823936770966498E-9</v>
      </c>
    </row>
    <row r="56" spans="2:58" x14ac:dyDescent="0.2">
      <c r="B56" s="13" t="s">
        <v>112</v>
      </c>
      <c r="C56" s="12" t="s">
        <v>105</v>
      </c>
      <c r="D56" s="12">
        <v>0</v>
      </c>
      <c r="E56" s="12">
        <v>8.5342824999999997E-2</v>
      </c>
      <c r="F56" s="12">
        <v>3.1043379949999999</v>
      </c>
      <c r="G56" s="12">
        <v>1.013397519</v>
      </c>
      <c r="H56" s="12">
        <v>1.7588666580000001</v>
      </c>
      <c r="I56" s="12">
        <v>0</v>
      </c>
      <c r="J56" s="12">
        <v>1.043705066</v>
      </c>
      <c r="K56" s="12">
        <v>0</v>
      </c>
      <c r="L56" s="12">
        <v>0.185341119</v>
      </c>
      <c r="M56" s="12">
        <v>0</v>
      </c>
      <c r="N56" s="12">
        <v>176727.97</v>
      </c>
      <c r="O56" s="12">
        <v>-25.41</v>
      </c>
      <c r="Q56" s="15">
        <v>110.94272599999999</v>
      </c>
      <c r="R56" s="15">
        <v>-53.928761999999999</v>
      </c>
      <c r="S56" s="15">
        <v>160</v>
      </c>
      <c r="T56" s="15">
        <v>101.629081</v>
      </c>
      <c r="U56" s="15">
        <v>109.563401</v>
      </c>
      <c r="V56" s="15">
        <v>90.220664999999997</v>
      </c>
      <c r="W56" s="15">
        <v>39.378855999999999</v>
      </c>
      <c r="X56" s="15">
        <v>13.422667000000001</v>
      </c>
      <c r="Z56" t="str">
        <f t="shared" si="26"/>
        <v>MIDAT_DryMill_Existing_Non_CCS</v>
      </c>
      <c r="AA56" t="str">
        <f t="shared" si="27"/>
        <v>Biomass_Corn</v>
      </c>
      <c r="AB56" s="11">
        <f t="shared" si="28"/>
        <v>62.664399807811762</v>
      </c>
      <c r="AC56" s="11">
        <f t="shared" si="29"/>
        <v>62.664399807811762</v>
      </c>
      <c r="AD56" s="5">
        <f t="shared" si="30"/>
        <v>0</v>
      </c>
      <c r="AE56">
        <f t="shared" si="31"/>
        <v>0</v>
      </c>
      <c r="AF56">
        <f t="shared" si="32"/>
        <v>1.0825827669928705</v>
      </c>
      <c r="AG56" s="1">
        <f t="array" ref="AG56">_xlfn.IFS(C56="Biomass_Corn", 1/F56*S56, C56="Biomass_Agri", 1/F56*V56, C56="Biomass_Wood", 1/F56*U56, C56="Biomass_Herb", 1/F56*T56)</f>
        <v>51.540779469794813</v>
      </c>
      <c r="AH56">
        <f t="shared" si="33"/>
        <v>4.3817707537233472</v>
      </c>
      <c r="AI56">
        <f t="shared" si="34"/>
        <v>0</v>
      </c>
      <c r="AJ56">
        <f t="shared" si="35"/>
        <v>7.2208724377810398</v>
      </c>
      <c r="AK56">
        <f t="shared" si="36"/>
        <v>-8.1853200395467898</v>
      </c>
      <c r="AL56" s="1">
        <f t="shared" si="37"/>
        <v>5.9703909015778822E-2</v>
      </c>
      <c r="AM56" s="1">
        <f t="shared" si="38"/>
        <v>0</v>
      </c>
      <c r="AN56">
        <f t="shared" si="39"/>
        <v>6.623714419066479</v>
      </c>
      <c r="AO56">
        <f t="shared" si="40"/>
        <v>5.9703909015778822E-2</v>
      </c>
      <c r="AP56" s="1">
        <f t="shared" si="41"/>
        <v>0</v>
      </c>
      <c r="AQ56">
        <f t="shared" si="42"/>
        <v>6.623714419066479</v>
      </c>
      <c r="AS56" s="9">
        <f t="shared" si="43"/>
        <v>1.7588666580000001</v>
      </c>
      <c r="AT56" s="10">
        <v>0.1828908353</v>
      </c>
      <c r="AU56" s="9">
        <v>0.23037490999999999</v>
      </c>
      <c r="AW56" s="10">
        <f t="shared" si="44"/>
        <v>0.56658349085470638</v>
      </c>
      <c r="AX56" s="10">
        <f t="shared" si="45"/>
        <v>5.9703910798172485E-2</v>
      </c>
      <c r="AZ56" s="10">
        <f t="shared" si="46"/>
        <v>0.23037490999999999</v>
      </c>
      <c r="BA56" s="10">
        <f t="shared" si="47"/>
        <v>0.33620857898883527</v>
      </c>
      <c r="BB56" s="10">
        <f t="shared" si="48"/>
        <v>5.9703910881649988E-2</v>
      </c>
      <c r="BC56" s="10">
        <f t="shared" si="49"/>
        <v>0</v>
      </c>
      <c r="BD56" s="10">
        <f t="shared" si="50"/>
        <v>0</v>
      </c>
      <c r="BF56" s="1">
        <f t="shared" si="51"/>
        <v>1.7823936770966498E-9</v>
      </c>
    </row>
    <row r="57" spans="2:58" x14ac:dyDescent="0.2">
      <c r="B57" s="13" t="s">
        <v>113</v>
      </c>
      <c r="C57" s="12" t="s">
        <v>105</v>
      </c>
      <c r="D57" s="12">
        <v>0</v>
      </c>
      <c r="E57" s="12">
        <v>8.5342824999999997E-2</v>
      </c>
      <c r="F57" s="12">
        <v>3.1043379949999999</v>
      </c>
      <c r="G57" s="12">
        <v>1.013397519</v>
      </c>
      <c r="H57" s="12">
        <v>1.7588666580000001</v>
      </c>
      <c r="I57" s="12">
        <v>0</v>
      </c>
      <c r="J57" s="12">
        <v>1.043705066</v>
      </c>
      <c r="K57" s="12">
        <v>0</v>
      </c>
      <c r="L57" s="12">
        <v>0.185341119</v>
      </c>
      <c r="M57" s="12">
        <v>0</v>
      </c>
      <c r="N57" s="12">
        <v>176727.97</v>
      </c>
      <c r="O57" s="12">
        <v>-25.41</v>
      </c>
      <c r="Q57" s="15">
        <v>110.94272599999999</v>
      </c>
      <c r="R57" s="15">
        <v>-62.314467</v>
      </c>
      <c r="S57" s="15">
        <v>160</v>
      </c>
      <c r="T57" s="15">
        <v>102.428173</v>
      </c>
      <c r="U57" s="15">
        <v>108.231329</v>
      </c>
      <c r="V57" s="15">
        <v>92.486924000000002</v>
      </c>
      <c r="W57" s="15">
        <v>47.485892</v>
      </c>
      <c r="X57" s="15">
        <v>13.422404</v>
      </c>
      <c r="Z57" t="str">
        <f t="shared" si="26"/>
        <v>NE_DryMill_Existing_Non_CCS</v>
      </c>
      <c r="AA57" t="str">
        <f t="shared" si="27"/>
        <v>Biomass_Corn</v>
      </c>
      <c r="AB57" s="11">
        <f t="shared" si="28"/>
        <v>62.887188316080881</v>
      </c>
      <c r="AC57" s="11">
        <f t="shared" si="29"/>
        <v>62.887188316080881</v>
      </c>
      <c r="AD57" s="5">
        <f t="shared" si="30"/>
        <v>0</v>
      </c>
      <c r="AE57">
        <f t="shared" si="31"/>
        <v>0</v>
      </c>
      <c r="AF57">
        <f t="shared" si="32"/>
        <v>1.3054571304581477</v>
      </c>
      <c r="AG57" s="1">
        <f t="array" ref="AG57">_xlfn.IFS(C57="Biomass_Corn", 1/F57*S57, C57="Biomass_Agri", 1/F57*V57, C57="Biomass_Wood", 1/F57*U57, C57="Biomass_Herb", 1/F57*T57)</f>
        <v>51.540779469794813</v>
      </c>
      <c r="AH57">
        <f t="shared" si="33"/>
        <v>4.3816848985271903</v>
      </c>
      <c r="AI57">
        <f t="shared" si="34"/>
        <v>0</v>
      </c>
      <c r="AJ57">
        <f t="shared" si="35"/>
        <v>7.2208724377810398</v>
      </c>
      <c r="AK57">
        <f t="shared" si="36"/>
        <v>-8.1853200395467898</v>
      </c>
      <c r="AL57" s="1">
        <f t="shared" si="37"/>
        <v>5.9703909015778822E-2</v>
      </c>
      <c r="AM57" s="1">
        <f t="shared" si="38"/>
        <v>0</v>
      </c>
      <c r="AN57">
        <f t="shared" si="39"/>
        <v>6.623714419066479</v>
      </c>
      <c r="AO57">
        <f t="shared" si="40"/>
        <v>5.9703909015778822E-2</v>
      </c>
      <c r="AP57" s="1">
        <f t="shared" si="41"/>
        <v>0</v>
      </c>
      <c r="AQ57">
        <f t="shared" si="42"/>
        <v>6.623714419066479</v>
      </c>
      <c r="AS57" s="9">
        <f t="shared" si="43"/>
        <v>1.7588666580000001</v>
      </c>
      <c r="AT57" s="10">
        <v>0.1828908353</v>
      </c>
      <c r="AU57" s="9">
        <v>0.23037490999999999</v>
      </c>
      <c r="AW57" s="10">
        <f t="shared" si="44"/>
        <v>0.56658349085470638</v>
      </c>
      <c r="AX57" s="10">
        <f t="shared" si="45"/>
        <v>5.9703910798172485E-2</v>
      </c>
      <c r="AZ57" s="10">
        <f t="shared" si="46"/>
        <v>0.23037490999999999</v>
      </c>
      <c r="BA57" s="10">
        <f t="shared" si="47"/>
        <v>0.33620857898883527</v>
      </c>
      <c r="BB57" s="10">
        <f t="shared" si="48"/>
        <v>5.9703910881649988E-2</v>
      </c>
      <c r="BC57" s="10">
        <f t="shared" si="49"/>
        <v>0</v>
      </c>
      <c r="BD57" s="10">
        <f t="shared" si="50"/>
        <v>0</v>
      </c>
      <c r="BF57" s="1">
        <f t="shared" si="51"/>
        <v>1.7823936770966498E-9</v>
      </c>
    </row>
    <row r="58" spans="2:58" x14ac:dyDescent="0.2">
      <c r="B58" s="13" t="s">
        <v>114</v>
      </c>
      <c r="C58" s="12" t="s">
        <v>105</v>
      </c>
      <c r="D58" s="12">
        <v>0</v>
      </c>
      <c r="E58" s="12">
        <v>8.5342824999999997E-2</v>
      </c>
      <c r="F58" s="12">
        <v>3.1043379949999999</v>
      </c>
      <c r="G58" s="12">
        <v>1.013397519</v>
      </c>
      <c r="H58" s="12">
        <v>1.7588666580000001</v>
      </c>
      <c r="I58" s="12">
        <v>0.35768767200000001</v>
      </c>
      <c r="J58" s="12">
        <v>0.68601739399999995</v>
      </c>
      <c r="K58" s="12">
        <v>0</v>
      </c>
      <c r="L58" s="12">
        <v>0.185341119</v>
      </c>
      <c r="M58" s="12">
        <v>27458.48</v>
      </c>
      <c r="N58" s="12">
        <v>191772.15</v>
      </c>
      <c r="O58" s="12">
        <v>-25.37</v>
      </c>
      <c r="Q58" s="16">
        <v>110.94272599999999</v>
      </c>
      <c r="R58" s="16">
        <v>-6.4927159999999997</v>
      </c>
      <c r="S58" s="16">
        <v>160</v>
      </c>
      <c r="T58" s="15">
        <v>1189.8046420000001</v>
      </c>
      <c r="U58" s="15">
        <v>162.166506</v>
      </c>
      <c r="V58" s="15">
        <v>140.42925199999999</v>
      </c>
      <c r="W58" s="15">
        <v>36.568199999999997</v>
      </c>
      <c r="X58" s="15">
        <v>13.653233</v>
      </c>
      <c r="Z58" t="str">
        <f t="shared" si="26"/>
        <v>CA_DryMill_CCS_Fermentation</v>
      </c>
      <c r="AA58" t="str">
        <f t="shared" si="27"/>
        <v>Biomass_Corn</v>
      </c>
      <c r="AB58" s="11">
        <f t="shared" si="28"/>
        <v>52.376959055527479</v>
      </c>
      <c r="AC58" s="11">
        <f t="shared" si="29"/>
        <v>52.376959055527472</v>
      </c>
      <c r="AD58" s="5">
        <f t="shared" si="30"/>
        <v>0</v>
      </c>
      <c r="AE58">
        <f t="shared" si="31"/>
        <v>0</v>
      </c>
      <c r="AF58">
        <f t="shared" si="32"/>
        <v>1.0053136927072917</v>
      </c>
      <c r="AG58" s="1">
        <f t="array" ref="AG58">_xlfn.IFS(C58="Biomass_Corn", 1/F58*S58, C58="Biomass_Agri", 1/F58*V58, C58="Biomass_Wood", 1/F58*U58, C58="Biomass_Herb", 1/F58*T58)</f>
        <v>51.540779469794813</v>
      </c>
      <c r="AH58">
        <f t="shared" si="33"/>
        <v>4.4570380128755689</v>
      </c>
      <c r="AI58">
        <f t="shared" si="34"/>
        <v>1.1219173819252375</v>
      </c>
      <c r="AJ58">
        <f t="shared" si="35"/>
        <v>7.8355578478551591</v>
      </c>
      <c r="AK58">
        <f t="shared" si="36"/>
        <v>-8.1724348446793407</v>
      </c>
      <c r="AL58" s="1">
        <f t="shared" si="37"/>
        <v>5.9703909015778822E-2</v>
      </c>
      <c r="AM58" s="1">
        <f t="shared" si="38"/>
        <v>-12.03492692401773</v>
      </c>
      <c r="AN58">
        <f t="shared" si="39"/>
        <v>6.623714419066479</v>
      </c>
      <c r="AO58">
        <f t="shared" si="40"/>
        <v>-5.5517974869323083E-2</v>
      </c>
      <c r="AP58" s="1">
        <f t="shared" si="41"/>
        <v>0.7481029690509432</v>
      </c>
      <c r="AQ58">
        <f t="shared" si="42"/>
        <v>-6.159315474002196</v>
      </c>
      <c r="AS58" s="9">
        <f t="shared" si="43"/>
        <v>1.7588666580000001</v>
      </c>
      <c r="AT58" s="10">
        <v>0.1828908353</v>
      </c>
      <c r="AU58" s="9">
        <v>0.23037490999999999</v>
      </c>
      <c r="AW58" s="10">
        <f t="shared" si="44"/>
        <v>0.56658349085470638</v>
      </c>
      <c r="AX58" s="10">
        <f t="shared" si="45"/>
        <v>5.9703910798172485E-2</v>
      </c>
      <c r="AZ58" s="10">
        <f t="shared" si="46"/>
        <v>0.23037490999999999</v>
      </c>
      <c r="BA58" s="10">
        <f t="shared" si="47"/>
        <v>0.22098669510373337</v>
      </c>
      <c r="BB58" s="10">
        <f t="shared" si="48"/>
        <v>5.9703910881649988E-2</v>
      </c>
      <c r="BC58" s="10">
        <f t="shared" si="49"/>
        <v>0.11522188388510189</v>
      </c>
      <c r="BD58" s="10">
        <f t="shared" si="50"/>
        <v>0</v>
      </c>
      <c r="BF58" s="1">
        <f t="shared" si="51"/>
        <v>1.7823936770966498E-9</v>
      </c>
    </row>
    <row r="59" spans="2:58" x14ac:dyDescent="0.2">
      <c r="B59" s="13" t="s">
        <v>115</v>
      </c>
      <c r="C59" s="12" t="s">
        <v>105</v>
      </c>
      <c r="D59" s="12">
        <v>0</v>
      </c>
      <c r="E59" s="12">
        <v>8.5342824999999997E-2</v>
      </c>
      <c r="F59" s="12">
        <v>3.1043379949999999</v>
      </c>
      <c r="G59" s="12">
        <v>1.013397519</v>
      </c>
      <c r="H59" s="12">
        <v>1.7588666580000001</v>
      </c>
      <c r="I59" s="12">
        <v>0.35768767200000001</v>
      </c>
      <c r="J59" s="12">
        <v>0.68601739399999995</v>
      </c>
      <c r="K59" s="12">
        <v>0</v>
      </c>
      <c r="L59" s="12">
        <v>0.185341119</v>
      </c>
      <c r="M59" s="12">
        <v>27458.48</v>
      </c>
      <c r="N59" s="12">
        <v>191772.15</v>
      </c>
      <c r="O59" s="12">
        <v>-25.37</v>
      </c>
      <c r="Q59" s="16">
        <v>110.94272599999999</v>
      </c>
      <c r="R59" s="16">
        <v>-7.3731340000000003</v>
      </c>
      <c r="S59" s="16">
        <v>160</v>
      </c>
      <c r="T59" s="15">
        <v>140.95085900000001</v>
      </c>
      <c r="U59" s="15">
        <v>159.53944000000001</v>
      </c>
      <c r="V59" s="15">
        <v>121.86433100000001</v>
      </c>
      <c r="W59" s="15">
        <v>26.766978000000002</v>
      </c>
      <c r="X59" s="15">
        <v>13.654799000000001</v>
      </c>
      <c r="Z59" t="str">
        <f t="shared" si="26"/>
        <v>NW_DryMill_CCS_Fermentation</v>
      </c>
      <c r="AA59" t="str">
        <f t="shared" si="27"/>
        <v>Biomass_Corn</v>
      </c>
      <c r="AB59" s="11">
        <f t="shared" si="28"/>
        <v>52.209463657330502</v>
      </c>
      <c r="AC59" s="11">
        <f t="shared" si="29"/>
        <v>52.209463657330495</v>
      </c>
      <c r="AD59" s="5">
        <f t="shared" si="30"/>
        <v>0</v>
      </c>
      <c r="AE59">
        <f t="shared" si="31"/>
        <v>0</v>
      </c>
      <c r="AF59">
        <f t="shared" si="32"/>
        <v>0.73586366011438453</v>
      </c>
      <c r="AG59" s="1">
        <f t="array" ref="AG59">_xlfn.IFS(C59="Biomass_Corn", 1/F59*S59, C59="Biomass_Agri", 1/F59*V59, C59="Biomass_Wood", 1/F59*U59, C59="Biomass_Herb", 1/F59*T59)</f>
        <v>51.540779469794813</v>
      </c>
      <c r="AH59">
        <f t="shared" si="33"/>
        <v>4.4575492267051553</v>
      </c>
      <c r="AI59">
        <f t="shared" si="34"/>
        <v>1.1219173819252375</v>
      </c>
      <c r="AJ59">
        <f t="shared" si="35"/>
        <v>7.8355578478551591</v>
      </c>
      <c r="AK59">
        <f t="shared" si="36"/>
        <v>-8.1724348446793407</v>
      </c>
      <c r="AL59" s="1">
        <f t="shared" si="37"/>
        <v>5.9703909015778822E-2</v>
      </c>
      <c r="AM59" s="1">
        <f t="shared" si="38"/>
        <v>-11.933483503451379</v>
      </c>
      <c r="AN59">
        <f t="shared" si="39"/>
        <v>6.623714419066479</v>
      </c>
      <c r="AO59">
        <f t="shared" si="40"/>
        <v>-5.5517974869323083E-2</v>
      </c>
      <c r="AP59" s="1">
        <f t="shared" si="41"/>
        <v>0.84954638961729689</v>
      </c>
      <c r="AQ59">
        <f t="shared" si="42"/>
        <v>-6.159315474002196</v>
      </c>
      <c r="AS59" s="9">
        <f t="shared" si="43"/>
        <v>1.7588666580000001</v>
      </c>
      <c r="AT59" s="10">
        <v>0.1828908353</v>
      </c>
      <c r="AU59" s="9">
        <v>0.23037490999999999</v>
      </c>
      <c r="AW59" s="10">
        <f t="shared" si="44"/>
        <v>0.56658349085470638</v>
      </c>
      <c r="AX59" s="10">
        <f t="shared" si="45"/>
        <v>5.9703910798172485E-2</v>
      </c>
      <c r="AZ59" s="10">
        <f t="shared" si="46"/>
        <v>0.23037490999999999</v>
      </c>
      <c r="BA59" s="10">
        <f t="shared" si="47"/>
        <v>0.22098669510373337</v>
      </c>
      <c r="BB59" s="10">
        <f t="shared" si="48"/>
        <v>5.9703910881649988E-2</v>
      </c>
      <c r="BC59" s="10">
        <f t="shared" si="49"/>
        <v>0.11522188388510189</v>
      </c>
      <c r="BD59" s="10">
        <f t="shared" si="50"/>
        <v>0</v>
      </c>
      <c r="BF59" s="1">
        <f t="shared" si="51"/>
        <v>1.7823936770966498E-9</v>
      </c>
    </row>
    <row r="60" spans="2:58" x14ac:dyDescent="0.2">
      <c r="B60" s="13" t="s">
        <v>116</v>
      </c>
      <c r="C60" s="12" t="s">
        <v>105</v>
      </c>
      <c r="D60" s="12">
        <v>0</v>
      </c>
      <c r="E60" s="12">
        <v>8.5342824999999997E-2</v>
      </c>
      <c r="F60" s="12">
        <v>3.1043379949999999</v>
      </c>
      <c r="G60" s="12">
        <v>1.013397519</v>
      </c>
      <c r="H60" s="12">
        <v>1.7588666580000001</v>
      </c>
      <c r="I60" s="12">
        <v>0.35768767200000001</v>
      </c>
      <c r="J60" s="12">
        <v>0.68601739399999995</v>
      </c>
      <c r="K60" s="12">
        <v>0</v>
      </c>
      <c r="L60" s="12">
        <v>0.185341119</v>
      </c>
      <c r="M60" s="12">
        <v>27458.48</v>
      </c>
      <c r="N60" s="12">
        <v>191772.15</v>
      </c>
      <c r="O60" s="12">
        <v>-25.37</v>
      </c>
      <c r="Q60" s="16">
        <v>110.94272599999999</v>
      </c>
      <c r="R60" s="16">
        <v>-16.594777000000001</v>
      </c>
      <c r="S60" s="16">
        <v>160</v>
      </c>
      <c r="T60" s="15">
        <v>125.912347</v>
      </c>
      <c r="U60" s="15">
        <v>143.39913899999999</v>
      </c>
      <c r="V60" s="15">
        <v>114.29872400000001</v>
      </c>
      <c r="W60" s="15">
        <v>28.013536999999999</v>
      </c>
      <c r="X60" s="15">
        <v>13.654636</v>
      </c>
      <c r="Z60" t="str">
        <f t="shared" si="26"/>
        <v>SW_DryMill_CCS_Fermentation</v>
      </c>
      <c r="AA60" t="str">
        <f t="shared" si="27"/>
        <v>Biomass_Corn</v>
      </c>
      <c r="AB60" s="11">
        <f t="shared" si="28"/>
        <v>53.306215269095212</v>
      </c>
      <c r="AC60" s="11">
        <f t="shared" si="29"/>
        <v>53.306215269095205</v>
      </c>
      <c r="AD60" s="5">
        <f t="shared" si="30"/>
        <v>0</v>
      </c>
      <c r="AE60">
        <f t="shared" si="31"/>
        <v>0</v>
      </c>
      <c r="AF60">
        <f t="shared" si="32"/>
        <v>0.77013340353811088</v>
      </c>
      <c r="AG60" s="1">
        <f t="array" ref="AG60">_xlfn.IFS(C60="Biomass_Corn", 1/F60*S60, C60="Biomass_Agri", 1/F60*V60, C60="Biomass_Wood", 1/F60*U60, C60="Biomass_Herb", 1/F60*T60)</f>
        <v>51.540779469794813</v>
      </c>
      <c r="AH60">
        <f t="shared" si="33"/>
        <v>4.4574960160702748</v>
      </c>
      <c r="AI60">
        <f t="shared" si="34"/>
        <v>1.1219173819252375</v>
      </c>
      <c r="AJ60">
        <f t="shared" si="35"/>
        <v>7.8355578478551591</v>
      </c>
      <c r="AK60">
        <f t="shared" si="36"/>
        <v>-8.1724348446793407</v>
      </c>
      <c r="AL60" s="1">
        <f t="shared" si="37"/>
        <v>5.9703909015778822E-2</v>
      </c>
      <c r="AM60" s="1">
        <f t="shared" si="38"/>
        <v>-10.870948424475515</v>
      </c>
      <c r="AN60">
        <f t="shared" si="39"/>
        <v>6.623714419066479</v>
      </c>
      <c r="AO60">
        <f t="shared" si="40"/>
        <v>-5.5517974869323083E-2</v>
      </c>
      <c r="AP60" s="1">
        <f t="shared" si="41"/>
        <v>1.9120814685931595</v>
      </c>
      <c r="AQ60">
        <f t="shared" si="42"/>
        <v>-6.159315474002196</v>
      </c>
      <c r="AS60" s="9">
        <f t="shared" si="43"/>
        <v>1.7588666580000001</v>
      </c>
      <c r="AT60" s="10">
        <v>0.1828908353</v>
      </c>
      <c r="AU60" s="9">
        <v>0.23037490999999999</v>
      </c>
      <c r="AW60" s="10">
        <f t="shared" si="44"/>
        <v>0.56658349085470638</v>
      </c>
      <c r="AX60" s="10">
        <f t="shared" si="45"/>
        <v>5.9703910798172485E-2</v>
      </c>
      <c r="AZ60" s="10">
        <f t="shared" si="46"/>
        <v>0.23037490999999999</v>
      </c>
      <c r="BA60" s="10">
        <f t="shared" si="47"/>
        <v>0.22098669510373337</v>
      </c>
      <c r="BB60" s="10">
        <f t="shared" si="48"/>
        <v>5.9703910881649988E-2</v>
      </c>
      <c r="BC60" s="10">
        <f t="shared" si="49"/>
        <v>0.11522188388510189</v>
      </c>
      <c r="BD60" s="10">
        <f t="shared" si="50"/>
        <v>0</v>
      </c>
      <c r="BF60" s="1">
        <f t="shared" si="51"/>
        <v>1.7823936770966498E-9</v>
      </c>
    </row>
    <row r="61" spans="2:58" x14ac:dyDescent="0.2">
      <c r="B61" s="13" t="s">
        <v>117</v>
      </c>
      <c r="C61" s="12" t="s">
        <v>105</v>
      </c>
      <c r="D61" s="12">
        <v>0</v>
      </c>
      <c r="E61" s="12">
        <v>8.5342824999999997E-2</v>
      </c>
      <c r="F61" s="12">
        <v>3.1043379949999999</v>
      </c>
      <c r="G61" s="12">
        <v>1.013397519</v>
      </c>
      <c r="H61" s="12">
        <v>1.7588666580000001</v>
      </c>
      <c r="I61" s="12">
        <v>0.35768767200000001</v>
      </c>
      <c r="J61" s="12">
        <v>0.68601739399999995</v>
      </c>
      <c r="K61" s="12">
        <v>0</v>
      </c>
      <c r="L61" s="12">
        <v>0.185341119</v>
      </c>
      <c r="M61" s="12">
        <v>27458.48</v>
      </c>
      <c r="N61" s="12">
        <v>191772.15</v>
      </c>
      <c r="O61" s="12">
        <v>-25.37</v>
      </c>
      <c r="Q61" s="16">
        <v>110.94272599999999</v>
      </c>
      <c r="R61" s="16">
        <v>-21.501526999999999</v>
      </c>
      <c r="S61" s="16">
        <v>160</v>
      </c>
      <c r="T61" s="15">
        <v>140.36716899999999</v>
      </c>
      <c r="U61" s="15">
        <v>160.45006900000001</v>
      </c>
      <c r="V61" s="15">
        <v>113.683173</v>
      </c>
      <c r="W61" s="15">
        <v>20.241166</v>
      </c>
      <c r="X61" s="15">
        <v>13.326013</v>
      </c>
      <c r="Z61" t="str">
        <f t="shared" si="26"/>
        <v>TX_DryMill_CCS_Fermentation</v>
      </c>
      <c r="AA61" t="str">
        <f t="shared" si="27"/>
        <v>Biomass_Corn</v>
      </c>
      <c r="AB61" s="11">
        <f t="shared" si="28"/>
        <v>53.550628781681048</v>
      </c>
      <c r="AC61" s="11">
        <f t="shared" si="29"/>
        <v>53.550628781681041</v>
      </c>
      <c r="AD61" s="5">
        <f t="shared" si="30"/>
        <v>0</v>
      </c>
      <c r="AE61">
        <f t="shared" si="31"/>
        <v>0</v>
      </c>
      <c r="AF61">
        <f t="shared" si="32"/>
        <v>0.55645947397359674</v>
      </c>
      <c r="AG61" s="1">
        <f t="array" ref="AG61">_xlfn.IFS(C61="Biomass_Corn", 1/F61*S61, C61="Biomass_Agri", 1/F61*V61, C61="Biomass_Wood", 1/F61*U61, C61="Biomass_Herb", 1/F61*T61)</f>
        <v>51.540779469794813</v>
      </c>
      <c r="AH61">
        <f t="shared" si="33"/>
        <v>4.3502184794673902</v>
      </c>
      <c r="AI61">
        <f t="shared" si="34"/>
        <v>1.1219173819252375</v>
      </c>
      <c r="AJ61">
        <f t="shared" si="35"/>
        <v>7.8355578478551591</v>
      </c>
      <c r="AK61">
        <f t="shared" si="36"/>
        <v>-8.1724348446793407</v>
      </c>
      <c r="AL61" s="1">
        <f t="shared" si="37"/>
        <v>5.9703909015778822E-2</v>
      </c>
      <c r="AM61" s="1">
        <f t="shared" si="38"/>
        <v>-10.305583445722291</v>
      </c>
      <c r="AN61">
        <f t="shared" si="39"/>
        <v>6.623714419066479</v>
      </c>
      <c r="AO61">
        <f t="shared" si="40"/>
        <v>-5.5517974869323083E-2</v>
      </c>
      <c r="AP61" s="1">
        <f t="shared" si="41"/>
        <v>2.4774464473463831</v>
      </c>
      <c r="AQ61">
        <f t="shared" si="42"/>
        <v>-6.159315474002196</v>
      </c>
      <c r="AS61" s="9">
        <f t="shared" si="43"/>
        <v>1.7588666580000001</v>
      </c>
      <c r="AT61" s="10">
        <v>0.1828908353</v>
      </c>
      <c r="AU61" s="9">
        <v>0.23037490999999999</v>
      </c>
      <c r="AW61" s="10">
        <f t="shared" si="44"/>
        <v>0.56658349085470638</v>
      </c>
      <c r="AX61" s="10">
        <f t="shared" si="45"/>
        <v>5.9703910798172485E-2</v>
      </c>
      <c r="AZ61" s="10">
        <f t="shared" si="46"/>
        <v>0.23037490999999999</v>
      </c>
      <c r="BA61" s="10">
        <f t="shared" si="47"/>
        <v>0.22098669510373337</v>
      </c>
      <c r="BB61" s="10">
        <f t="shared" si="48"/>
        <v>5.9703910881649988E-2</v>
      </c>
      <c r="BC61" s="10">
        <f t="shared" si="49"/>
        <v>0.11522188388510189</v>
      </c>
      <c r="BD61" s="10">
        <f t="shared" si="50"/>
        <v>0</v>
      </c>
      <c r="BF61" s="1">
        <f t="shared" si="51"/>
        <v>1.7823936770966498E-9</v>
      </c>
    </row>
    <row r="62" spans="2:58" x14ac:dyDescent="0.2">
      <c r="B62" s="13" t="s">
        <v>118</v>
      </c>
      <c r="C62" s="12" t="s">
        <v>105</v>
      </c>
      <c r="D62" s="12">
        <v>0</v>
      </c>
      <c r="E62" s="12">
        <v>8.5342824999999997E-2</v>
      </c>
      <c r="F62" s="12">
        <v>3.1043379949999999</v>
      </c>
      <c r="G62" s="12">
        <v>1.013397519</v>
      </c>
      <c r="H62" s="12">
        <v>1.7588666580000001</v>
      </c>
      <c r="I62" s="12">
        <v>0.35768767200000001</v>
      </c>
      <c r="J62" s="12">
        <v>0.68601739399999995</v>
      </c>
      <c r="K62" s="12">
        <v>0</v>
      </c>
      <c r="L62" s="12">
        <v>0.185341119</v>
      </c>
      <c r="M62" s="12">
        <v>27458.48</v>
      </c>
      <c r="N62" s="12">
        <v>191772.15</v>
      </c>
      <c r="O62" s="12">
        <v>-25.37</v>
      </c>
      <c r="Q62" s="16">
        <v>110.94272599999999</v>
      </c>
      <c r="R62" s="16">
        <v>-41.712553</v>
      </c>
      <c r="S62" s="16">
        <v>160</v>
      </c>
      <c r="T62" s="15">
        <v>106.47328400000001</v>
      </c>
      <c r="U62" s="15">
        <v>117.9145</v>
      </c>
      <c r="V62" s="15">
        <v>93.425466999999998</v>
      </c>
      <c r="W62" s="15">
        <v>30.730081999999999</v>
      </c>
      <c r="X62" s="15">
        <v>13.422086999999999</v>
      </c>
      <c r="Z62" t="str">
        <f t="shared" si="26"/>
        <v>NCEN_DryMill_CCS_Fermentation</v>
      </c>
      <c r="AA62" t="str">
        <f t="shared" si="27"/>
        <v>Biomass_Corn</v>
      </c>
      <c r="AB62" s="11">
        <f t="shared" si="28"/>
        <v>56.199099962261869</v>
      </c>
      <c r="AC62" s="11">
        <f t="shared" si="29"/>
        <v>56.199099962261862</v>
      </c>
      <c r="AD62" s="5">
        <f t="shared" si="30"/>
        <v>0</v>
      </c>
      <c r="AE62">
        <f t="shared" si="31"/>
        <v>0</v>
      </c>
      <c r="AF62">
        <f t="shared" si="32"/>
        <v>0.8448152277830977</v>
      </c>
      <c r="AG62" s="1">
        <f t="array" ref="AG62">_xlfn.IFS(C62="Biomass_Corn", 1/F62*S62, C62="Biomass_Agri", 1/F62*V62, C62="Biomass_Wood", 1/F62*U62, C62="Biomass_Herb", 1/F62*T62)</f>
        <v>51.540779469794813</v>
      </c>
      <c r="AH62">
        <f t="shared" si="33"/>
        <v>4.3815814152679442</v>
      </c>
      <c r="AI62">
        <f t="shared" si="34"/>
        <v>1.1219173819252375</v>
      </c>
      <c r="AJ62">
        <f t="shared" si="35"/>
        <v>7.8355578478551591</v>
      </c>
      <c r="AK62">
        <f t="shared" si="36"/>
        <v>-8.1724348446793407</v>
      </c>
      <c r="AL62" s="1">
        <f t="shared" si="37"/>
        <v>5.9703909015778822E-2</v>
      </c>
      <c r="AM62" s="1">
        <f t="shared" si="38"/>
        <v>-7.9768309547515157</v>
      </c>
      <c r="AN62">
        <f t="shared" si="39"/>
        <v>6.623714419066479</v>
      </c>
      <c r="AO62">
        <f t="shared" si="40"/>
        <v>-5.5517974869323083E-2</v>
      </c>
      <c r="AP62" s="1">
        <f t="shared" si="41"/>
        <v>4.8061989383171584</v>
      </c>
      <c r="AQ62">
        <f t="shared" si="42"/>
        <v>-6.159315474002196</v>
      </c>
      <c r="AS62" s="9">
        <f t="shared" si="43"/>
        <v>1.7588666580000001</v>
      </c>
      <c r="AT62" s="10">
        <v>0.1828908353</v>
      </c>
      <c r="AU62" s="9">
        <v>0.23037490999999999</v>
      </c>
      <c r="AW62" s="10">
        <f t="shared" si="44"/>
        <v>0.56658349085470638</v>
      </c>
      <c r="AX62" s="10">
        <f t="shared" si="45"/>
        <v>5.9703910798172485E-2</v>
      </c>
      <c r="AZ62" s="10">
        <f t="shared" si="46"/>
        <v>0.23037490999999999</v>
      </c>
      <c r="BA62" s="10">
        <f t="shared" si="47"/>
        <v>0.22098669510373337</v>
      </c>
      <c r="BB62" s="10">
        <f t="shared" si="48"/>
        <v>5.9703910881649988E-2</v>
      </c>
      <c r="BC62" s="10">
        <f t="shared" si="49"/>
        <v>0.11522188388510189</v>
      </c>
      <c r="BD62" s="10">
        <f t="shared" si="50"/>
        <v>0</v>
      </c>
      <c r="BF62" s="1">
        <f t="shared" si="51"/>
        <v>1.7823936770966498E-9</v>
      </c>
    </row>
    <row r="63" spans="2:58" x14ac:dyDescent="0.2">
      <c r="B63" s="13" t="s">
        <v>119</v>
      </c>
      <c r="C63" s="12" t="s">
        <v>105</v>
      </c>
      <c r="D63" s="12">
        <v>0</v>
      </c>
      <c r="E63" s="12">
        <v>8.5342824999999997E-2</v>
      </c>
      <c r="F63" s="12">
        <v>3.1043379949999999</v>
      </c>
      <c r="G63" s="12">
        <v>1.013397519</v>
      </c>
      <c r="H63" s="12">
        <v>1.7588666580000001</v>
      </c>
      <c r="I63" s="12">
        <v>0.35768767200000001</v>
      </c>
      <c r="J63" s="12">
        <v>0.68601739399999995</v>
      </c>
      <c r="K63" s="12">
        <v>0</v>
      </c>
      <c r="L63" s="12">
        <v>0.185341119</v>
      </c>
      <c r="M63" s="12">
        <v>27458.48</v>
      </c>
      <c r="N63" s="12">
        <v>191772.15</v>
      </c>
      <c r="O63" s="12">
        <v>-25.37</v>
      </c>
      <c r="Q63" s="16">
        <v>110.94272599999999</v>
      </c>
      <c r="R63" s="16">
        <v>-31.699415999999999</v>
      </c>
      <c r="S63" s="16">
        <v>160</v>
      </c>
      <c r="T63" s="15">
        <v>112.750244</v>
      </c>
      <c r="U63" s="15">
        <v>129.799364</v>
      </c>
      <c r="V63" s="15">
        <v>101.33199</v>
      </c>
      <c r="W63" s="15">
        <v>25.368286000000001</v>
      </c>
      <c r="X63" s="15">
        <v>13.422007000000001</v>
      </c>
      <c r="Z63" t="str">
        <f t="shared" si="26"/>
        <v>CEN_DryMill_CCS_Fermentation</v>
      </c>
      <c r="AA63" t="str">
        <f t="shared" si="27"/>
        <v>Biomass_Corn</v>
      </c>
      <c r="AB63" s="11">
        <f t="shared" si="28"/>
        <v>54.897937666478327</v>
      </c>
      <c r="AC63" s="11">
        <f t="shared" si="29"/>
        <v>54.897937666478327</v>
      </c>
      <c r="AD63" s="5">
        <f t="shared" si="30"/>
        <v>0</v>
      </c>
      <c r="AE63">
        <f t="shared" si="31"/>
        <v>0</v>
      </c>
      <c r="AF63">
        <f t="shared" si="32"/>
        <v>0.69741155638819219</v>
      </c>
      <c r="AG63" s="1">
        <f t="array" ref="AG63">_xlfn.IFS(C63="Biomass_Corn", 1/F63*S63, C63="Biomass_Agri", 1/F63*V63, C63="Biomass_Wood", 1/F63*U63, C63="Biomass_Herb", 1/F63*T63)</f>
        <v>51.540779469794813</v>
      </c>
      <c r="AH63">
        <f t="shared" si="33"/>
        <v>4.381555299618924</v>
      </c>
      <c r="AI63">
        <f t="shared" si="34"/>
        <v>1.1219173819252375</v>
      </c>
      <c r="AJ63">
        <f t="shared" si="35"/>
        <v>7.8355578478551591</v>
      </c>
      <c r="AK63">
        <f t="shared" si="36"/>
        <v>-8.1724348446793407</v>
      </c>
      <c r="AL63" s="1">
        <f t="shared" si="37"/>
        <v>5.9703909015778822E-2</v>
      </c>
      <c r="AM63" s="1">
        <f t="shared" si="38"/>
        <v>-9.1305634634911339</v>
      </c>
      <c r="AN63">
        <f t="shared" si="39"/>
        <v>6.623714419066479</v>
      </c>
      <c r="AO63">
        <f t="shared" si="40"/>
        <v>-5.5517974869323083E-2</v>
      </c>
      <c r="AP63" s="1">
        <f t="shared" si="41"/>
        <v>3.6524664295775411</v>
      </c>
      <c r="AQ63">
        <f t="shared" si="42"/>
        <v>-6.159315474002196</v>
      </c>
      <c r="AS63" s="9">
        <f t="shared" si="43"/>
        <v>1.7588666580000001</v>
      </c>
      <c r="AT63" s="10">
        <v>0.1828908353</v>
      </c>
      <c r="AU63" s="9">
        <v>0.23037490999999999</v>
      </c>
      <c r="AW63" s="10">
        <f t="shared" si="44"/>
        <v>0.56658349085470638</v>
      </c>
      <c r="AX63" s="10">
        <f t="shared" si="45"/>
        <v>5.9703910798172485E-2</v>
      </c>
      <c r="AZ63" s="10">
        <f t="shared" si="46"/>
        <v>0.23037490999999999</v>
      </c>
      <c r="BA63" s="10">
        <f t="shared" si="47"/>
        <v>0.22098669510373337</v>
      </c>
      <c r="BB63" s="10">
        <f t="shared" si="48"/>
        <v>5.9703910881649988E-2</v>
      </c>
      <c r="BC63" s="10">
        <f t="shared" si="49"/>
        <v>0.11522188388510189</v>
      </c>
      <c r="BD63" s="10">
        <f t="shared" si="50"/>
        <v>0</v>
      </c>
      <c r="BF63" s="1">
        <f t="shared" si="51"/>
        <v>1.7823936770966498E-9</v>
      </c>
    </row>
    <row r="64" spans="2:58" x14ac:dyDescent="0.2">
      <c r="B64" s="13" t="s">
        <v>120</v>
      </c>
      <c r="C64" s="12" t="s">
        <v>105</v>
      </c>
      <c r="D64" s="12">
        <v>0</v>
      </c>
      <c r="E64" s="12">
        <v>8.5342824999999997E-2</v>
      </c>
      <c r="F64" s="12">
        <v>3.1043379949999999</v>
      </c>
      <c r="G64" s="12">
        <v>1.013397519</v>
      </c>
      <c r="H64" s="12">
        <v>1.7588666580000001</v>
      </c>
      <c r="I64" s="12">
        <v>0.35768767200000001</v>
      </c>
      <c r="J64" s="12">
        <v>0.68601739399999995</v>
      </c>
      <c r="K64" s="12">
        <v>0</v>
      </c>
      <c r="L64" s="12">
        <v>0.185341119</v>
      </c>
      <c r="M64" s="12">
        <v>27458.48</v>
      </c>
      <c r="N64" s="12">
        <v>191772.15</v>
      </c>
      <c r="O64" s="12">
        <v>-25.37</v>
      </c>
      <c r="Q64" s="16">
        <v>110.94272599999999</v>
      </c>
      <c r="R64" s="16">
        <v>-47.669266999999998</v>
      </c>
      <c r="S64" s="16">
        <v>160</v>
      </c>
      <c r="T64" s="15">
        <v>100.492544</v>
      </c>
      <c r="U64" s="15">
        <v>115.666566</v>
      </c>
      <c r="V64" s="15">
        <v>89.651598000000007</v>
      </c>
      <c r="W64" s="15">
        <v>38.232120000000002</v>
      </c>
      <c r="X64" s="15">
        <v>13.421991999999999</v>
      </c>
      <c r="Z64" t="str">
        <f t="shared" si="26"/>
        <v>SE_DryMill_CCS_Fermentation</v>
      </c>
      <c r="AA64" t="str">
        <f t="shared" si="27"/>
        <v>Biomass_Corn</v>
      </c>
      <c r="AB64" s="11">
        <f t="shared" si="28"/>
        <v>57.091654835895362</v>
      </c>
      <c r="AC64" s="11">
        <f t="shared" si="29"/>
        <v>57.091654835895355</v>
      </c>
      <c r="AD64" s="5">
        <f t="shared" si="30"/>
        <v>0</v>
      </c>
      <c r="AE64">
        <f t="shared" si="31"/>
        <v>0</v>
      </c>
      <c r="AF64">
        <f t="shared" si="32"/>
        <v>1.0510573049050351</v>
      </c>
      <c r="AG64" s="1">
        <f t="array" ref="AG64">_xlfn.IFS(C64="Biomass_Corn", 1/F64*S64, C64="Biomass_Agri", 1/F64*V64, C64="Biomass_Wood", 1/F64*U64, C64="Biomass_Herb", 1/F64*T64)</f>
        <v>51.540779469794813</v>
      </c>
      <c r="AH64">
        <f t="shared" si="33"/>
        <v>4.3815504029347316</v>
      </c>
      <c r="AI64">
        <f t="shared" si="34"/>
        <v>1.1219173819252375</v>
      </c>
      <c r="AJ64">
        <f t="shared" si="35"/>
        <v>7.8355578478551591</v>
      </c>
      <c r="AK64">
        <f t="shared" si="36"/>
        <v>-8.1724348446793407</v>
      </c>
      <c r="AL64" s="1">
        <f t="shared" si="37"/>
        <v>5.9703909015778822E-2</v>
      </c>
      <c r="AM64" s="1">
        <f t="shared" si="38"/>
        <v>-7.2904871459067548</v>
      </c>
      <c r="AN64">
        <f t="shared" si="39"/>
        <v>6.623714419066479</v>
      </c>
      <c r="AO64">
        <f t="shared" si="40"/>
        <v>-5.5517974869323083E-2</v>
      </c>
      <c r="AP64" s="1">
        <f t="shared" si="41"/>
        <v>5.4925427471619193</v>
      </c>
      <c r="AQ64">
        <f t="shared" si="42"/>
        <v>-6.159315474002196</v>
      </c>
      <c r="AS64" s="9">
        <f t="shared" si="43"/>
        <v>1.7588666580000001</v>
      </c>
      <c r="AT64" s="10">
        <v>0.1828908353</v>
      </c>
      <c r="AU64" s="9">
        <v>0.23037490999999999</v>
      </c>
      <c r="AW64" s="10">
        <f t="shared" si="44"/>
        <v>0.56658349085470638</v>
      </c>
      <c r="AX64" s="10">
        <f t="shared" si="45"/>
        <v>5.9703910798172485E-2</v>
      </c>
      <c r="AZ64" s="10">
        <f t="shared" si="46"/>
        <v>0.23037490999999999</v>
      </c>
      <c r="BA64" s="10">
        <f t="shared" si="47"/>
        <v>0.22098669510373337</v>
      </c>
      <c r="BB64" s="10">
        <f t="shared" si="48"/>
        <v>5.9703910881649988E-2</v>
      </c>
      <c r="BC64" s="10">
        <f t="shared" si="49"/>
        <v>0.11522188388510189</v>
      </c>
      <c r="BD64" s="10">
        <f t="shared" si="50"/>
        <v>0</v>
      </c>
      <c r="BF64" s="1">
        <f t="shared" si="51"/>
        <v>1.7823936770966498E-9</v>
      </c>
    </row>
    <row r="65" spans="2:58" x14ac:dyDescent="0.2">
      <c r="B65" s="13" t="s">
        <v>121</v>
      </c>
      <c r="C65" s="12" t="s">
        <v>105</v>
      </c>
      <c r="D65" s="12">
        <v>0</v>
      </c>
      <c r="E65" s="12">
        <v>8.5342824999999997E-2</v>
      </c>
      <c r="F65" s="12">
        <v>3.1043379949999999</v>
      </c>
      <c r="G65" s="12">
        <v>1.013397519</v>
      </c>
      <c r="H65" s="12">
        <v>1.7588666580000001</v>
      </c>
      <c r="I65" s="12">
        <v>0.35768767200000001</v>
      </c>
      <c r="J65" s="12">
        <v>0.68601739399999995</v>
      </c>
      <c r="K65" s="12">
        <v>0</v>
      </c>
      <c r="L65" s="12">
        <v>0.185341119</v>
      </c>
      <c r="M65" s="12">
        <v>27458.48</v>
      </c>
      <c r="N65" s="12">
        <v>191772.15</v>
      </c>
      <c r="O65" s="12">
        <v>-25.37</v>
      </c>
      <c r="Q65" s="16">
        <v>110.94272599999999</v>
      </c>
      <c r="R65" s="16">
        <v>-53.928761999999999</v>
      </c>
      <c r="S65" s="16">
        <v>160</v>
      </c>
      <c r="T65" s="15">
        <v>101.629081</v>
      </c>
      <c r="U65" s="15">
        <v>109.563401</v>
      </c>
      <c r="V65" s="15">
        <v>90.220664999999997</v>
      </c>
      <c r="W65" s="15">
        <v>39.378855999999999</v>
      </c>
      <c r="X65" s="15">
        <v>13.422667000000001</v>
      </c>
      <c r="Z65" t="str">
        <f t="shared" si="26"/>
        <v>MIDAT_DryMill_CCS_Fermentation</v>
      </c>
      <c r="AA65" t="str">
        <f t="shared" si="27"/>
        <v>Biomass_Corn</v>
      </c>
      <c r="AB65" s="11">
        <f t="shared" si="28"/>
        <v>57.844631454841185</v>
      </c>
      <c r="AC65" s="11">
        <f t="shared" si="29"/>
        <v>57.844631454841178</v>
      </c>
      <c r="AD65" s="5">
        <f t="shared" si="30"/>
        <v>0</v>
      </c>
      <c r="AE65">
        <f t="shared" si="31"/>
        <v>0</v>
      </c>
      <c r="AF65">
        <f t="shared" si="32"/>
        <v>1.0825827669928705</v>
      </c>
      <c r="AG65" s="1">
        <f t="array" ref="AG65">_xlfn.IFS(C65="Biomass_Corn", 1/F65*S65, C65="Biomass_Agri", 1/F65*V65, C65="Biomass_Wood", 1/F65*U65, C65="Biomass_Herb", 1/F65*T65)</f>
        <v>51.540779469794813</v>
      </c>
      <c r="AH65">
        <f t="shared" si="33"/>
        <v>4.3817707537233472</v>
      </c>
      <c r="AI65">
        <f t="shared" si="34"/>
        <v>1.1219173819252375</v>
      </c>
      <c r="AJ65">
        <f t="shared" si="35"/>
        <v>7.8355578478551591</v>
      </c>
      <c r="AK65">
        <f t="shared" si="36"/>
        <v>-8.1724348446793407</v>
      </c>
      <c r="AL65" s="1">
        <f t="shared" si="37"/>
        <v>5.9703909015778822E-2</v>
      </c>
      <c r="AM65" s="1">
        <f t="shared" si="38"/>
        <v>-6.5692563398373789</v>
      </c>
      <c r="AN65">
        <f t="shared" si="39"/>
        <v>6.623714419066479</v>
      </c>
      <c r="AO65">
        <f t="shared" si="40"/>
        <v>-5.5517974869323083E-2</v>
      </c>
      <c r="AP65" s="1">
        <f t="shared" si="41"/>
        <v>6.2137735532312952</v>
      </c>
      <c r="AQ65">
        <f t="shared" si="42"/>
        <v>-6.159315474002196</v>
      </c>
      <c r="AS65" s="9">
        <f t="shared" si="43"/>
        <v>1.7588666580000001</v>
      </c>
      <c r="AT65" s="10">
        <v>0.1828908353</v>
      </c>
      <c r="AU65" s="9">
        <v>0.23037490999999999</v>
      </c>
      <c r="AW65" s="10">
        <f t="shared" si="44"/>
        <v>0.56658349085470638</v>
      </c>
      <c r="AX65" s="10">
        <f t="shared" si="45"/>
        <v>5.9703910798172485E-2</v>
      </c>
      <c r="AZ65" s="10">
        <f t="shared" si="46"/>
        <v>0.23037490999999999</v>
      </c>
      <c r="BA65" s="10">
        <f t="shared" si="47"/>
        <v>0.22098669510373337</v>
      </c>
      <c r="BB65" s="10">
        <f t="shared" si="48"/>
        <v>5.9703910881649988E-2</v>
      </c>
      <c r="BC65" s="10">
        <f t="shared" si="49"/>
        <v>0.11522188388510189</v>
      </c>
      <c r="BD65" s="10">
        <f t="shared" si="50"/>
        <v>0</v>
      </c>
      <c r="BF65" s="1">
        <f t="shared" si="51"/>
        <v>1.7823936770966498E-9</v>
      </c>
    </row>
    <row r="66" spans="2:58" x14ac:dyDescent="0.2">
      <c r="B66" s="13" t="s">
        <v>122</v>
      </c>
      <c r="C66" s="12" t="s">
        <v>105</v>
      </c>
      <c r="D66" s="12">
        <v>0</v>
      </c>
      <c r="E66" s="12">
        <v>8.5342824999999997E-2</v>
      </c>
      <c r="F66" s="12">
        <v>3.1043379949999999</v>
      </c>
      <c r="G66" s="12">
        <v>1.013397519</v>
      </c>
      <c r="H66" s="12">
        <v>1.7588666580000001</v>
      </c>
      <c r="I66" s="12">
        <v>0.35768767200000001</v>
      </c>
      <c r="J66" s="12">
        <v>0.68601739399999995</v>
      </c>
      <c r="K66" s="12">
        <v>0</v>
      </c>
      <c r="L66" s="12">
        <v>0.185341119</v>
      </c>
      <c r="M66" s="12">
        <v>27458.48</v>
      </c>
      <c r="N66" s="12">
        <v>191772.15</v>
      </c>
      <c r="O66" s="12">
        <v>-25.37</v>
      </c>
      <c r="Q66" s="16">
        <v>110.94272599999999</v>
      </c>
      <c r="R66" s="16">
        <v>-62.314467</v>
      </c>
      <c r="S66" s="16">
        <v>160</v>
      </c>
      <c r="T66" s="15">
        <v>102.428173</v>
      </c>
      <c r="U66" s="15">
        <v>108.231329</v>
      </c>
      <c r="V66" s="15">
        <v>92.486924000000002</v>
      </c>
      <c r="W66" s="15">
        <v>47.485892</v>
      </c>
      <c r="X66" s="15">
        <v>13.422404</v>
      </c>
      <c r="Z66" t="str">
        <f t="shared" si="26"/>
        <v>NE_DryMill_CCS_Fermentation</v>
      </c>
      <c r="AA66" t="str">
        <f t="shared" si="27"/>
        <v>Biomass_Corn</v>
      </c>
      <c r="AB66" s="11">
        <f t="shared" si="28"/>
        <v>59.033636690915024</v>
      </c>
      <c r="AC66" s="11">
        <f t="shared" si="29"/>
        <v>59.033636690915017</v>
      </c>
      <c r="AD66" s="5">
        <f t="shared" si="30"/>
        <v>0</v>
      </c>
      <c r="AE66">
        <f t="shared" si="31"/>
        <v>0</v>
      </c>
      <c r="AF66">
        <f t="shared" si="32"/>
        <v>1.3054571304581477</v>
      </c>
      <c r="AG66" s="1">
        <f t="array" ref="AG66">_xlfn.IFS(C66="Biomass_Corn", 1/F66*S66, C66="Biomass_Agri", 1/F66*V66, C66="Biomass_Wood", 1/F66*U66, C66="Biomass_Herb", 1/F66*T66)</f>
        <v>51.540779469794813</v>
      </c>
      <c r="AH66">
        <f t="shared" si="33"/>
        <v>4.3816848985271903</v>
      </c>
      <c r="AI66">
        <f t="shared" si="34"/>
        <v>1.1219173819252375</v>
      </c>
      <c r="AJ66">
        <f t="shared" si="35"/>
        <v>7.8355578478551591</v>
      </c>
      <c r="AK66">
        <f t="shared" si="36"/>
        <v>-8.1724348446793407</v>
      </c>
      <c r="AL66" s="1">
        <f t="shared" si="37"/>
        <v>5.9703909015778822E-2</v>
      </c>
      <c r="AM66" s="1">
        <f t="shared" si="38"/>
        <v>-5.6030396120326609</v>
      </c>
      <c r="AN66">
        <f t="shared" si="39"/>
        <v>6.623714419066479</v>
      </c>
      <c r="AO66">
        <f t="shared" si="40"/>
        <v>-5.5517974869323083E-2</v>
      </c>
      <c r="AP66" s="1">
        <f t="shared" si="41"/>
        <v>7.1799902810360141</v>
      </c>
      <c r="AQ66">
        <f t="shared" si="42"/>
        <v>-6.159315474002196</v>
      </c>
      <c r="AS66" s="9">
        <f t="shared" si="43"/>
        <v>1.7588666580000001</v>
      </c>
      <c r="AT66" s="10">
        <v>0.1828908353</v>
      </c>
      <c r="AU66" s="9">
        <v>0.23037490999999999</v>
      </c>
      <c r="AW66" s="10">
        <f t="shared" si="44"/>
        <v>0.56658349085470638</v>
      </c>
      <c r="AX66" s="10">
        <f t="shared" si="45"/>
        <v>5.9703910798172485E-2</v>
      </c>
      <c r="AZ66" s="10">
        <f t="shared" si="46"/>
        <v>0.23037490999999999</v>
      </c>
      <c r="BA66" s="10">
        <f t="shared" si="47"/>
        <v>0.22098669510373337</v>
      </c>
      <c r="BB66" s="10">
        <f t="shared" si="48"/>
        <v>5.9703910881649988E-2</v>
      </c>
      <c r="BC66" s="10">
        <f t="shared" si="49"/>
        <v>0.11522188388510189</v>
      </c>
      <c r="BD66" s="10">
        <f t="shared" si="50"/>
        <v>0</v>
      </c>
      <c r="BF66" s="1">
        <f t="shared" si="51"/>
        <v>1.7823936770966498E-9</v>
      </c>
    </row>
    <row r="67" spans="2:58" x14ac:dyDescent="0.2">
      <c r="B67" s="24" t="s">
        <v>123</v>
      </c>
      <c r="C67" s="23" t="s">
        <v>105</v>
      </c>
      <c r="D67" s="23">
        <v>0</v>
      </c>
      <c r="E67" s="23">
        <v>8.5342824999999997E-2</v>
      </c>
      <c r="F67" s="23">
        <v>3.1043379949999999</v>
      </c>
      <c r="G67" s="23">
        <v>1.013397519</v>
      </c>
      <c r="H67" s="23">
        <v>1.7588666580000001</v>
      </c>
      <c r="I67" s="23">
        <v>0.35768767200000001</v>
      </c>
      <c r="J67" s="23">
        <v>0.68601739399999995</v>
      </c>
      <c r="K67" s="23">
        <v>0.15290642300000001</v>
      </c>
      <c r="L67" s="23">
        <v>3.2434695999999999E-2</v>
      </c>
      <c r="M67" s="23">
        <v>45179.42</v>
      </c>
      <c r="N67" s="23">
        <v>201481.25</v>
      </c>
      <c r="O67" s="23">
        <v>-25.28</v>
      </c>
      <c r="Q67" s="22">
        <v>110.94272599999999</v>
      </c>
      <c r="R67" s="22">
        <v>-6.4927159999999997</v>
      </c>
      <c r="S67" s="22">
        <v>160</v>
      </c>
      <c r="T67" s="22">
        <v>1189.8046420000001</v>
      </c>
      <c r="U67" s="22">
        <v>162.166506</v>
      </c>
      <c r="V67" s="22">
        <v>140.42925199999999</v>
      </c>
      <c r="W67" s="22">
        <v>36.568199999999997</v>
      </c>
      <c r="X67" s="22">
        <v>13.653233</v>
      </c>
      <c r="Z67" t="str">
        <f t="shared" si="26"/>
        <v>CA_DryMill_CCS_Fermentation_Exhaust</v>
      </c>
      <c r="AA67" t="str">
        <f t="shared" si="27"/>
        <v>Biomass_Corn</v>
      </c>
      <c r="AB67" s="21">
        <f t="shared" si="28"/>
        <v>48.381944987676633</v>
      </c>
      <c r="AC67" s="21">
        <f t="shared" si="29"/>
        <v>48.38194498767664</v>
      </c>
      <c r="AD67" s="5">
        <f t="shared" si="30"/>
        <v>0</v>
      </c>
      <c r="AE67">
        <f t="shared" si="31"/>
        <v>0</v>
      </c>
      <c r="AF67">
        <f t="shared" si="32"/>
        <v>1.0053136927072917</v>
      </c>
      <c r="AG67" s="1">
        <f t="array" ref="AG67">_xlfn.IFS(C67="Biomass_Corn", 1/F67*S67, C67="Biomass_Agri", 1/F67*V67, C67="Biomass_Wood", 1/F67*U67, C67="Biomass_Herb", 1/F67*T67)</f>
        <v>51.540779469794813</v>
      </c>
      <c r="AH67">
        <f t="shared" si="33"/>
        <v>4.4570380128755689</v>
      </c>
      <c r="AI67">
        <f t="shared" si="34"/>
        <v>1.8459716853700829</v>
      </c>
      <c r="AJ67">
        <f t="shared" si="35"/>
        <v>8.2322589053372308</v>
      </c>
      <c r="AK67">
        <f t="shared" si="36"/>
        <v>-8.1434431562275815</v>
      </c>
      <c r="AL67" s="1">
        <f t="shared" si="37"/>
        <v>5.9703909015778822E-2</v>
      </c>
      <c r="AM67" s="1">
        <f t="shared" si="38"/>
        <v>-17.179688041247246</v>
      </c>
      <c r="AN67">
        <f t="shared" si="39"/>
        <v>6.623714419066479</v>
      </c>
      <c r="AO67">
        <f t="shared" si="40"/>
        <v>-0.10477370129031155</v>
      </c>
      <c r="AP67" s="1">
        <f t="shared" si="41"/>
        <v>1.0679064120761181</v>
      </c>
      <c r="AQ67">
        <f t="shared" si="42"/>
        <v>-11.62388003425688</v>
      </c>
      <c r="AS67" s="20">
        <f t="shared" si="43"/>
        <v>1.7588666580000001</v>
      </c>
      <c r="AT67" s="10">
        <v>0.1828908353</v>
      </c>
      <c r="AU67" s="20">
        <v>0.23037490999999999</v>
      </c>
      <c r="AW67" s="18">
        <f t="shared" si="44"/>
        <v>0.56658349085470638</v>
      </c>
      <c r="AX67" s="18">
        <f t="shared" si="45"/>
        <v>5.9703910798172485E-2</v>
      </c>
      <c r="AZ67" s="18">
        <f t="shared" si="46"/>
        <v>0.23037490999999999</v>
      </c>
      <c r="BA67" s="19">
        <f t="shared" si="47"/>
        <v>0.22098669510373337</v>
      </c>
      <c r="BB67" s="18">
        <f t="shared" si="48"/>
        <v>1.0448184460661475E-2</v>
      </c>
      <c r="BC67" s="19">
        <f t="shared" si="49"/>
        <v>0.11522188388510189</v>
      </c>
      <c r="BD67" s="18">
        <f t="shared" si="50"/>
        <v>4.9255726420988515E-2</v>
      </c>
      <c r="BF67" s="1">
        <f t="shared" si="51"/>
        <v>1.7823936770966498E-9</v>
      </c>
    </row>
    <row r="68" spans="2:58" x14ac:dyDescent="0.2">
      <c r="B68" s="24" t="s">
        <v>124</v>
      </c>
      <c r="C68" s="23" t="s">
        <v>105</v>
      </c>
      <c r="D68" s="23">
        <v>0</v>
      </c>
      <c r="E68" s="23">
        <v>8.5342824999999997E-2</v>
      </c>
      <c r="F68" s="23">
        <v>3.1043379949999999</v>
      </c>
      <c r="G68" s="23">
        <v>1.013397519</v>
      </c>
      <c r="H68" s="23">
        <v>1.7588666580000001</v>
      </c>
      <c r="I68" s="23">
        <v>0.35768767200000001</v>
      </c>
      <c r="J68" s="23">
        <v>0.68601739399999995</v>
      </c>
      <c r="K68" s="23">
        <v>0.15290642300000001</v>
      </c>
      <c r="L68" s="23">
        <v>3.2434695999999999E-2</v>
      </c>
      <c r="M68" s="23">
        <v>45179.42</v>
      </c>
      <c r="N68" s="23">
        <v>201481.25</v>
      </c>
      <c r="O68" s="23">
        <v>-25.28</v>
      </c>
      <c r="Q68" s="22">
        <v>110.94272599999999</v>
      </c>
      <c r="R68" s="22">
        <v>-7.3731340000000003</v>
      </c>
      <c r="S68" s="22">
        <v>160</v>
      </c>
      <c r="T68" s="22">
        <v>140.95085900000001</v>
      </c>
      <c r="U68" s="22">
        <v>159.53944000000001</v>
      </c>
      <c r="V68" s="22">
        <v>121.86433100000001</v>
      </c>
      <c r="W68" s="22">
        <v>26.766978000000002</v>
      </c>
      <c r="X68" s="22">
        <v>13.654799000000001</v>
      </c>
      <c r="Z68" t="str">
        <f t="shared" ref="Z68:Z75" si="52">B68</f>
        <v>NW_DryMill_CCS_Fermentation_Exhaust</v>
      </c>
      <c r="AA68" t="str">
        <f t="shared" ref="AA68:AA75" si="53">C68</f>
        <v>Biomass_Corn</v>
      </c>
      <c r="AB68" s="21">
        <f t="shared" ref="AB68:AB75" si="54">SUM(AE68:AK68)+AM68+AN68</f>
        <v>48.257815217623779</v>
      </c>
      <c r="AC68" s="21">
        <f t="shared" ref="AC68:AC75" si="55">SUM(AE68:AK68)+AP68+AQ68</f>
        <v>48.257815217623786</v>
      </c>
      <c r="AD68" s="5">
        <f t="shared" ref="AD68:AD99" si="56">AB68-AC68</f>
        <v>0</v>
      </c>
      <c r="AE68">
        <f t="shared" ref="AE68:AE75" si="57">D68/F68*W68*-1</f>
        <v>0</v>
      </c>
      <c r="AF68">
        <f t="shared" ref="AF68:AF75" si="58">E68/F68*W68</f>
        <v>0.73586366011438453</v>
      </c>
      <c r="AG68" s="1">
        <f t="array" ref="AG68">_xlfn.IFS(C68="Biomass_Corn", 1/F68*S68, C68="Biomass_Agri", 1/F68*V68, C68="Biomass_Wood", 1/F68*U68, C68="Biomass_Herb", 1/F68*T68)</f>
        <v>51.540779469794813</v>
      </c>
      <c r="AH68">
        <f t="shared" ref="AH68:AH75" si="59">G68/F68*X68</f>
        <v>4.4575492267051553</v>
      </c>
      <c r="AI68">
        <f t="shared" ref="AI68:AI75" si="60">M68/F68/(0.9*8760)</f>
        <v>1.8459716853700829</v>
      </c>
      <c r="AJ68">
        <f t="shared" ref="AJ68:AJ75" si="61">N68/F68/(0.9*8760)</f>
        <v>8.2322589053372308</v>
      </c>
      <c r="AK68">
        <f t="shared" ref="AK68:AK75" si="62">O68/F68</f>
        <v>-8.1434431562275815</v>
      </c>
      <c r="AL68" s="1">
        <f t="shared" ref="AL68:AL75" si="63">SUM(AZ68:BD68)-AW68</f>
        <v>5.9703909015778822E-2</v>
      </c>
      <c r="AM68" s="1">
        <f t="shared" ref="AM68:AM75" si="64">(Q68+R68)*-1*(I68+K68)/F68</f>
        <v>-17.034878992536783</v>
      </c>
      <c r="AN68">
        <f t="shared" ref="AN68:AN75" si="65">AL68*Q68</f>
        <v>6.623714419066479</v>
      </c>
      <c r="AO68">
        <f t="shared" ref="AO68:AO75" si="66">SUM(AZ68:BB68)-AW68</f>
        <v>-0.10477370129031155</v>
      </c>
      <c r="AP68" s="1">
        <f t="shared" ref="AP68:AP75" si="67">(I68+K68)/F68*-1*R68</f>
        <v>1.2127154607865858</v>
      </c>
      <c r="AQ68">
        <f t="shared" ref="AQ68:AQ75" si="68">AO68*Q68</f>
        <v>-11.62388003425688</v>
      </c>
      <c r="AS68" s="20">
        <f t="shared" ref="AS68:AS75" si="69">H68</f>
        <v>1.7588666580000001</v>
      </c>
      <c r="AT68" s="10">
        <v>0.1828908353</v>
      </c>
      <c r="AU68" s="20">
        <v>0.23037490999999999</v>
      </c>
      <c r="AW68" s="18">
        <f t="shared" ref="AW68:AW75" si="70">AS68/F68</f>
        <v>0.56658349085470638</v>
      </c>
      <c r="AX68" s="18">
        <f t="shared" ref="AX68:AX75" si="71">AT68*G68/F68</f>
        <v>5.9703910798172485E-2</v>
      </c>
      <c r="AZ68" s="18">
        <f t="shared" ref="AZ68:AZ75" si="72">AU68</f>
        <v>0.23037490999999999</v>
      </c>
      <c r="BA68" s="19">
        <f t="shared" ref="BA68:BA75" si="73">J68/F68</f>
        <v>0.22098669510373337</v>
      </c>
      <c r="BB68" s="18">
        <f t="shared" ref="BB68:BB75" si="74">L68/F68</f>
        <v>1.0448184460661475E-2</v>
      </c>
      <c r="BC68" s="19">
        <f t="shared" ref="BC68:BC75" si="75">I68/F68</f>
        <v>0.11522188388510189</v>
      </c>
      <c r="BD68" s="18">
        <f t="shared" ref="BD68:BD75" si="76">K68/F68</f>
        <v>4.9255726420988515E-2</v>
      </c>
      <c r="BF68" s="1">
        <f t="shared" ref="BF68:BF75" si="77">SUM(AW68:AX68)-SUM(AZ68:BD68)</f>
        <v>1.7823936770966498E-9</v>
      </c>
    </row>
    <row r="69" spans="2:58" x14ac:dyDescent="0.2">
      <c r="B69" s="24" t="s">
        <v>125</v>
      </c>
      <c r="C69" s="23" t="s">
        <v>105</v>
      </c>
      <c r="D69" s="23">
        <v>0</v>
      </c>
      <c r="E69" s="23">
        <v>8.5342824999999997E-2</v>
      </c>
      <c r="F69" s="23">
        <v>3.1043379949999999</v>
      </c>
      <c r="G69" s="23">
        <v>1.013397519</v>
      </c>
      <c r="H69" s="23">
        <v>1.7588666580000001</v>
      </c>
      <c r="I69" s="23">
        <v>0.35768767200000001</v>
      </c>
      <c r="J69" s="23">
        <v>0.68601739399999995</v>
      </c>
      <c r="K69" s="23">
        <v>0.15290642300000001</v>
      </c>
      <c r="L69" s="23">
        <v>3.2434695999999999E-2</v>
      </c>
      <c r="M69" s="23">
        <v>45179.42</v>
      </c>
      <c r="N69" s="23">
        <v>201481.25</v>
      </c>
      <c r="O69" s="23">
        <v>-25.28</v>
      </c>
      <c r="Q69" s="22">
        <v>110.94272599999999</v>
      </c>
      <c r="R69" s="22">
        <v>-16.594777000000001</v>
      </c>
      <c r="S69" s="22">
        <v>160</v>
      </c>
      <c r="T69" s="22">
        <v>125.912347</v>
      </c>
      <c r="U69" s="22">
        <v>143.39913899999999</v>
      </c>
      <c r="V69" s="22">
        <v>114.29872400000001</v>
      </c>
      <c r="W69" s="22">
        <v>28.013536999999999</v>
      </c>
      <c r="X69" s="22">
        <v>13.654636</v>
      </c>
      <c r="Z69" t="str">
        <f t="shared" si="52"/>
        <v>SW_DryMill_CCS_Fermentation_Exhaust</v>
      </c>
      <c r="AA69" t="str">
        <f t="shared" si="53"/>
        <v>Biomass_Corn</v>
      </c>
      <c r="AB69" s="21">
        <f t="shared" si="54"/>
        <v>49.808785554148514</v>
      </c>
      <c r="AC69" s="21">
        <f t="shared" si="55"/>
        <v>49.808785554148521</v>
      </c>
      <c r="AD69" s="5">
        <f t="shared" si="56"/>
        <v>0</v>
      </c>
      <c r="AE69">
        <f t="shared" si="57"/>
        <v>0</v>
      </c>
      <c r="AF69">
        <f t="shared" si="58"/>
        <v>0.77013340353811088</v>
      </c>
      <c r="AG69" s="1">
        <f t="array" ref="AG69">_xlfn.IFS(C69="Biomass_Corn", 1/F69*S69, C69="Biomass_Agri", 1/F69*V69, C69="Biomass_Wood", 1/F69*U69, C69="Biomass_Herb", 1/F69*T69)</f>
        <v>51.540779469794813</v>
      </c>
      <c r="AH69">
        <f t="shared" si="59"/>
        <v>4.4574960160702748</v>
      </c>
      <c r="AI69">
        <f t="shared" si="60"/>
        <v>1.8459716853700829</v>
      </c>
      <c r="AJ69">
        <f t="shared" si="61"/>
        <v>8.2322589053372308</v>
      </c>
      <c r="AK69">
        <f t="shared" si="62"/>
        <v>-8.1434431562275815</v>
      </c>
      <c r="AL69" s="1">
        <f t="shared" si="63"/>
        <v>5.9703909015778822E-2</v>
      </c>
      <c r="AM69" s="1">
        <f t="shared" si="64"/>
        <v>-15.518125188800894</v>
      </c>
      <c r="AN69">
        <f t="shared" si="65"/>
        <v>6.623714419066479</v>
      </c>
      <c r="AO69">
        <f t="shared" si="66"/>
        <v>-0.10477370129031155</v>
      </c>
      <c r="AP69" s="1">
        <f t="shared" si="67"/>
        <v>2.7294692645224723</v>
      </c>
      <c r="AQ69">
        <f t="shared" si="68"/>
        <v>-11.62388003425688</v>
      </c>
      <c r="AS69" s="20">
        <f t="shared" si="69"/>
        <v>1.7588666580000001</v>
      </c>
      <c r="AT69" s="10">
        <v>0.1828908353</v>
      </c>
      <c r="AU69" s="20">
        <v>0.23037490999999999</v>
      </c>
      <c r="AW69" s="18">
        <f t="shared" si="70"/>
        <v>0.56658349085470638</v>
      </c>
      <c r="AX69" s="18">
        <f t="shared" si="71"/>
        <v>5.9703910798172485E-2</v>
      </c>
      <c r="AZ69" s="18">
        <f t="shared" si="72"/>
        <v>0.23037490999999999</v>
      </c>
      <c r="BA69" s="19">
        <f t="shared" si="73"/>
        <v>0.22098669510373337</v>
      </c>
      <c r="BB69" s="18">
        <f t="shared" si="74"/>
        <v>1.0448184460661475E-2</v>
      </c>
      <c r="BC69" s="19">
        <f t="shared" si="75"/>
        <v>0.11522188388510189</v>
      </c>
      <c r="BD69" s="18">
        <f t="shared" si="76"/>
        <v>4.9255726420988515E-2</v>
      </c>
      <c r="BF69" s="1">
        <f t="shared" si="77"/>
        <v>1.7823936770966498E-9</v>
      </c>
    </row>
    <row r="70" spans="2:58" x14ac:dyDescent="0.2">
      <c r="B70" s="24" t="s">
        <v>126</v>
      </c>
      <c r="C70" s="23" t="s">
        <v>105</v>
      </c>
      <c r="D70" s="23">
        <v>0</v>
      </c>
      <c r="E70" s="23">
        <v>8.5342824999999997E-2</v>
      </c>
      <c r="F70" s="23">
        <v>3.1043379949999999</v>
      </c>
      <c r="G70" s="23">
        <v>1.013397519</v>
      </c>
      <c r="H70" s="23">
        <v>1.7588666580000001</v>
      </c>
      <c r="I70" s="23">
        <v>0.35768767200000001</v>
      </c>
      <c r="J70" s="23">
        <v>0.68601739399999995</v>
      </c>
      <c r="K70" s="23">
        <v>0.15290642300000001</v>
      </c>
      <c r="L70" s="23">
        <v>3.2434695999999999E-2</v>
      </c>
      <c r="M70" s="23">
        <v>45179.42</v>
      </c>
      <c r="N70" s="23">
        <v>201481.25</v>
      </c>
      <c r="O70" s="23">
        <v>-25.28</v>
      </c>
      <c r="Q70" s="22">
        <v>110.94272599999999</v>
      </c>
      <c r="R70" s="22">
        <v>-21.501526999999999</v>
      </c>
      <c r="S70" s="22">
        <v>160</v>
      </c>
      <c r="T70" s="22">
        <v>140.36716899999999</v>
      </c>
      <c r="U70" s="22">
        <v>160.45006900000001</v>
      </c>
      <c r="V70" s="22">
        <v>113.683173</v>
      </c>
      <c r="W70" s="22">
        <v>20.241166</v>
      </c>
      <c r="X70" s="22">
        <v>13.326013</v>
      </c>
      <c r="Z70" t="str">
        <f t="shared" si="52"/>
        <v>TX_DryMill_CCS_Fermentation_Exhaust</v>
      </c>
      <c r="AA70" t="str">
        <f t="shared" si="53"/>
        <v>Biomass_Corn</v>
      </c>
      <c r="AB70" s="21">
        <f t="shared" si="54"/>
        <v>50.294884602350528</v>
      </c>
      <c r="AC70" s="21">
        <f t="shared" si="55"/>
        <v>50.294884602350528</v>
      </c>
      <c r="AD70" s="5">
        <f t="shared" si="56"/>
        <v>0</v>
      </c>
      <c r="AE70">
        <f t="shared" si="57"/>
        <v>0</v>
      </c>
      <c r="AF70">
        <f t="shared" si="58"/>
        <v>0.55645947397359674</v>
      </c>
      <c r="AG70" s="1">
        <f t="array" ref="AG70">_xlfn.IFS(C70="Biomass_Corn", 1/F70*S70, C70="Biomass_Agri", 1/F70*V70, C70="Biomass_Wood", 1/F70*U70, C70="Biomass_Herb", 1/F70*T70)</f>
        <v>51.540779469794813</v>
      </c>
      <c r="AH70">
        <f t="shared" si="59"/>
        <v>4.3502184794673902</v>
      </c>
      <c r="AI70">
        <f t="shared" si="60"/>
        <v>1.8459716853700829</v>
      </c>
      <c r="AJ70">
        <f t="shared" si="61"/>
        <v>8.2322589053372308</v>
      </c>
      <c r="AK70">
        <f t="shared" si="62"/>
        <v>-8.1434431562275815</v>
      </c>
      <c r="AL70" s="1">
        <f t="shared" si="63"/>
        <v>5.9703909015778822E-2</v>
      </c>
      <c r="AM70" s="1">
        <f t="shared" si="64"/>
        <v>-14.711074674431483</v>
      </c>
      <c r="AN70">
        <f t="shared" si="65"/>
        <v>6.623714419066479</v>
      </c>
      <c r="AO70">
        <f t="shared" si="66"/>
        <v>-0.10477370129031155</v>
      </c>
      <c r="AP70" s="1">
        <f t="shared" si="67"/>
        <v>3.5365197788918814</v>
      </c>
      <c r="AQ70">
        <f t="shared" si="68"/>
        <v>-11.62388003425688</v>
      </c>
      <c r="AS70" s="20">
        <f t="shared" si="69"/>
        <v>1.7588666580000001</v>
      </c>
      <c r="AT70" s="10">
        <v>0.1828908353</v>
      </c>
      <c r="AU70" s="20">
        <v>0.23037490999999999</v>
      </c>
      <c r="AW70" s="18">
        <f t="shared" si="70"/>
        <v>0.56658349085470638</v>
      </c>
      <c r="AX70" s="18">
        <f t="shared" si="71"/>
        <v>5.9703910798172485E-2</v>
      </c>
      <c r="AZ70" s="18">
        <f t="shared" si="72"/>
        <v>0.23037490999999999</v>
      </c>
      <c r="BA70" s="19">
        <f t="shared" si="73"/>
        <v>0.22098669510373337</v>
      </c>
      <c r="BB70" s="18">
        <f t="shared" si="74"/>
        <v>1.0448184460661475E-2</v>
      </c>
      <c r="BC70" s="19">
        <f t="shared" si="75"/>
        <v>0.11522188388510189</v>
      </c>
      <c r="BD70" s="18">
        <f t="shared" si="76"/>
        <v>4.9255726420988515E-2</v>
      </c>
      <c r="BF70" s="1">
        <f t="shared" si="77"/>
        <v>1.7823936770966498E-9</v>
      </c>
    </row>
    <row r="71" spans="2:58" x14ac:dyDescent="0.2">
      <c r="B71" s="24" t="s">
        <v>127</v>
      </c>
      <c r="C71" s="23" t="s">
        <v>105</v>
      </c>
      <c r="D71" s="23">
        <v>0</v>
      </c>
      <c r="E71" s="23">
        <v>8.5342824999999997E-2</v>
      </c>
      <c r="F71" s="23">
        <v>3.1043379949999999</v>
      </c>
      <c r="G71" s="23">
        <v>1.013397519</v>
      </c>
      <c r="H71" s="23">
        <v>1.7588666580000001</v>
      </c>
      <c r="I71" s="23">
        <v>0.35768767200000001</v>
      </c>
      <c r="J71" s="23">
        <v>0.68601739399999995</v>
      </c>
      <c r="K71" s="23">
        <v>0.15290642300000001</v>
      </c>
      <c r="L71" s="23">
        <v>3.2434695999999999E-2</v>
      </c>
      <c r="M71" s="23">
        <v>45179.42</v>
      </c>
      <c r="N71" s="23">
        <v>201481.25</v>
      </c>
      <c r="O71" s="23">
        <v>-25.28</v>
      </c>
      <c r="Q71" s="22">
        <v>110.94272599999999</v>
      </c>
      <c r="R71" s="22">
        <v>-41.712553</v>
      </c>
      <c r="S71" s="22">
        <v>160</v>
      </c>
      <c r="T71" s="22">
        <v>106.47328400000001</v>
      </c>
      <c r="U71" s="22">
        <v>117.9145</v>
      </c>
      <c r="V71" s="22">
        <v>93.425466999999998</v>
      </c>
      <c r="W71" s="22">
        <v>30.730081999999999</v>
      </c>
      <c r="X71" s="22">
        <v>13.422086999999999</v>
      </c>
      <c r="Z71" t="str">
        <f t="shared" si="52"/>
        <v>NCEN_DryMill_CCS_Fermentation_Exhaust</v>
      </c>
      <c r="AA71" t="str">
        <f t="shared" si="53"/>
        <v>Biomass_Corn</v>
      </c>
      <c r="AB71" s="21">
        <f t="shared" si="54"/>
        <v>53.938864550274843</v>
      </c>
      <c r="AC71" s="21">
        <f t="shared" si="55"/>
        <v>53.93886455027485</v>
      </c>
      <c r="AD71" s="5">
        <f t="shared" si="56"/>
        <v>0</v>
      </c>
      <c r="AE71">
        <f t="shared" si="57"/>
        <v>0</v>
      </c>
      <c r="AF71">
        <f t="shared" si="58"/>
        <v>0.8448152277830977</v>
      </c>
      <c r="AG71" s="1">
        <f t="array" ref="AG71">_xlfn.IFS(C71="Biomass_Corn", 1/F71*S71, C71="Biomass_Agri", 1/F71*V71, C71="Biomass_Wood", 1/F71*U71, C71="Biomass_Herb", 1/F71*T71)</f>
        <v>51.540779469794813</v>
      </c>
      <c r="AH71">
        <f t="shared" si="59"/>
        <v>4.3815814152679442</v>
      </c>
      <c r="AI71">
        <f t="shared" si="60"/>
        <v>1.8459716853700829</v>
      </c>
      <c r="AJ71">
        <f t="shared" si="61"/>
        <v>8.2322589053372308</v>
      </c>
      <c r="AK71">
        <f t="shared" si="62"/>
        <v>-8.1434431562275815</v>
      </c>
      <c r="AL71" s="1">
        <f t="shared" si="63"/>
        <v>5.9703909015778822E-2</v>
      </c>
      <c r="AM71" s="1">
        <f t="shared" si="64"/>
        <v>-11.386813416117223</v>
      </c>
      <c r="AN71">
        <f t="shared" si="65"/>
        <v>6.623714419066479</v>
      </c>
      <c r="AO71">
        <f t="shared" si="66"/>
        <v>-0.10477370129031155</v>
      </c>
      <c r="AP71" s="1">
        <f t="shared" si="67"/>
        <v>6.8607810372061433</v>
      </c>
      <c r="AQ71">
        <f t="shared" si="68"/>
        <v>-11.62388003425688</v>
      </c>
      <c r="AS71" s="20">
        <f t="shared" si="69"/>
        <v>1.7588666580000001</v>
      </c>
      <c r="AT71" s="10">
        <v>0.1828908353</v>
      </c>
      <c r="AU71" s="20">
        <v>0.23037490999999999</v>
      </c>
      <c r="AW71" s="18">
        <f t="shared" si="70"/>
        <v>0.56658349085470638</v>
      </c>
      <c r="AX71" s="18">
        <f t="shared" si="71"/>
        <v>5.9703910798172485E-2</v>
      </c>
      <c r="AZ71" s="18">
        <f t="shared" si="72"/>
        <v>0.23037490999999999</v>
      </c>
      <c r="BA71" s="19">
        <f t="shared" si="73"/>
        <v>0.22098669510373337</v>
      </c>
      <c r="BB71" s="18">
        <f t="shared" si="74"/>
        <v>1.0448184460661475E-2</v>
      </c>
      <c r="BC71" s="19">
        <f t="shared" si="75"/>
        <v>0.11522188388510189</v>
      </c>
      <c r="BD71" s="18">
        <f t="shared" si="76"/>
        <v>4.9255726420988515E-2</v>
      </c>
      <c r="BF71" s="1">
        <f t="shared" si="77"/>
        <v>1.7823936770966498E-9</v>
      </c>
    </row>
    <row r="72" spans="2:58" x14ac:dyDescent="0.2">
      <c r="B72" s="24" t="s">
        <v>128</v>
      </c>
      <c r="C72" s="23" t="s">
        <v>105</v>
      </c>
      <c r="D72" s="23">
        <v>0</v>
      </c>
      <c r="E72" s="23">
        <v>8.5342824999999997E-2</v>
      </c>
      <c r="F72" s="23">
        <v>3.1043379949999999</v>
      </c>
      <c r="G72" s="23">
        <v>1.013397519</v>
      </c>
      <c r="H72" s="23">
        <v>1.7588666580000001</v>
      </c>
      <c r="I72" s="23">
        <v>0.35768767200000001</v>
      </c>
      <c r="J72" s="23">
        <v>0.68601739399999995</v>
      </c>
      <c r="K72" s="23">
        <v>0.15290642300000001</v>
      </c>
      <c r="L72" s="23">
        <v>3.2434695999999999E-2</v>
      </c>
      <c r="M72" s="23">
        <v>45179.42</v>
      </c>
      <c r="N72" s="23">
        <v>201481.25</v>
      </c>
      <c r="O72" s="23">
        <v>-25.28</v>
      </c>
      <c r="Q72" s="22">
        <v>110.94272599999999</v>
      </c>
      <c r="R72" s="22">
        <v>-31.699415999999999</v>
      </c>
      <c r="S72" s="22">
        <v>160</v>
      </c>
      <c r="T72" s="22">
        <v>112.750244</v>
      </c>
      <c r="U72" s="22">
        <v>129.799364</v>
      </c>
      <c r="V72" s="22">
        <v>101.33199</v>
      </c>
      <c r="W72" s="22">
        <v>25.368286000000001</v>
      </c>
      <c r="X72" s="22">
        <v>13.422007000000001</v>
      </c>
      <c r="Z72" t="str">
        <f t="shared" si="52"/>
        <v>CEN_DryMill_CCS_Fermentation_Exhaust</v>
      </c>
      <c r="AA72" t="str">
        <f t="shared" si="53"/>
        <v>Biomass_Corn</v>
      </c>
      <c r="AB72" s="21">
        <f t="shared" si="54"/>
        <v>52.144497917803413</v>
      </c>
      <c r="AC72" s="21">
        <f t="shared" si="55"/>
        <v>52.14449791780342</v>
      </c>
      <c r="AD72" s="5">
        <f t="shared" si="56"/>
        <v>0</v>
      </c>
      <c r="AE72">
        <f t="shared" si="57"/>
        <v>0</v>
      </c>
      <c r="AF72">
        <f t="shared" si="58"/>
        <v>0.69741155638819219</v>
      </c>
      <c r="AG72" s="1">
        <f t="array" ref="AG72">_xlfn.IFS(C72="Biomass_Corn", 1/F72*S72, C72="Biomass_Agri", 1/F72*V72, C72="Biomass_Wood", 1/F72*U72, C72="Biomass_Herb", 1/F72*T72)</f>
        <v>51.540779469794813</v>
      </c>
      <c r="AH72">
        <f t="shared" si="59"/>
        <v>4.381555299618924</v>
      </c>
      <c r="AI72">
        <f t="shared" si="60"/>
        <v>1.8459716853700829</v>
      </c>
      <c r="AJ72">
        <f t="shared" si="61"/>
        <v>8.2322589053372308</v>
      </c>
      <c r="AK72">
        <f t="shared" si="62"/>
        <v>-8.1434431562275815</v>
      </c>
      <c r="AL72" s="1">
        <f t="shared" si="63"/>
        <v>5.9703909015778822E-2</v>
      </c>
      <c r="AM72" s="1">
        <f t="shared" si="64"/>
        <v>-13.03375026154472</v>
      </c>
      <c r="AN72">
        <f t="shared" si="65"/>
        <v>6.623714419066479</v>
      </c>
      <c r="AO72">
        <f t="shared" si="66"/>
        <v>-0.10477370129031155</v>
      </c>
      <c r="AP72" s="1">
        <f t="shared" si="67"/>
        <v>5.213844191778648</v>
      </c>
      <c r="AQ72">
        <f t="shared" si="68"/>
        <v>-11.62388003425688</v>
      </c>
      <c r="AS72" s="20">
        <f t="shared" si="69"/>
        <v>1.7588666580000001</v>
      </c>
      <c r="AT72" s="10">
        <v>0.1828908353</v>
      </c>
      <c r="AU72" s="20">
        <v>0.23037490999999999</v>
      </c>
      <c r="AW72" s="18">
        <f t="shared" si="70"/>
        <v>0.56658349085470638</v>
      </c>
      <c r="AX72" s="18">
        <f t="shared" si="71"/>
        <v>5.9703910798172485E-2</v>
      </c>
      <c r="AZ72" s="18">
        <f t="shared" si="72"/>
        <v>0.23037490999999999</v>
      </c>
      <c r="BA72" s="19">
        <f t="shared" si="73"/>
        <v>0.22098669510373337</v>
      </c>
      <c r="BB72" s="18">
        <f t="shared" si="74"/>
        <v>1.0448184460661475E-2</v>
      </c>
      <c r="BC72" s="19">
        <f t="shared" si="75"/>
        <v>0.11522188388510189</v>
      </c>
      <c r="BD72" s="18">
        <f t="shared" si="76"/>
        <v>4.9255726420988515E-2</v>
      </c>
      <c r="BF72" s="1">
        <f t="shared" si="77"/>
        <v>1.7823936770966498E-9</v>
      </c>
    </row>
    <row r="73" spans="2:58" x14ac:dyDescent="0.2">
      <c r="B73" s="24" t="s">
        <v>129</v>
      </c>
      <c r="C73" s="23" t="s">
        <v>105</v>
      </c>
      <c r="D73" s="23">
        <v>0</v>
      </c>
      <c r="E73" s="23">
        <v>8.5342824999999997E-2</v>
      </c>
      <c r="F73" s="23">
        <v>3.1043379949999999</v>
      </c>
      <c r="G73" s="23">
        <v>1.013397519</v>
      </c>
      <c r="H73" s="23">
        <v>1.7588666580000001</v>
      </c>
      <c r="I73" s="23">
        <v>0.35768767200000001</v>
      </c>
      <c r="J73" s="23">
        <v>0.68601739399999995</v>
      </c>
      <c r="K73" s="23">
        <v>0.15290642300000001</v>
      </c>
      <c r="L73" s="23">
        <v>3.2434695999999999E-2</v>
      </c>
      <c r="M73" s="23">
        <v>45179.42</v>
      </c>
      <c r="N73" s="23">
        <v>201481.25</v>
      </c>
      <c r="O73" s="23">
        <v>-25.28</v>
      </c>
      <c r="Q73" s="22">
        <v>110.94272599999999</v>
      </c>
      <c r="R73" s="22">
        <v>-47.669266999999998</v>
      </c>
      <c r="S73" s="22">
        <v>160</v>
      </c>
      <c r="T73" s="22">
        <v>100.492544</v>
      </c>
      <c r="U73" s="22">
        <v>115.666566</v>
      </c>
      <c r="V73" s="22">
        <v>89.651598000000007</v>
      </c>
      <c r="W73" s="22">
        <v>38.232120000000002</v>
      </c>
      <c r="X73" s="22">
        <v>13.421991999999999</v>
      </c>
      <c r="Z73" t="str">
        <f t="shared" si="52"/>
        <v>SE_DryMill_CCS_Fermentation_Exhaust</v>
      </c>
      <c r="AA73" t="str">
        <f t="shared" si="53"/>
        <v>Biomass_Corn</v>
      </c>
      <c r="AB73" s="21">
        <f t="shared" si="54"/>
        <v>55.124821699060391</v>
      </c>
      <c r="AC73" s="21">
        <f t="shared" si="55"/>
        <v>55.124821699060398</v>
      </c>
      <c r="AD73" s="5">
        <f t="shared" si="56"/>
        <v>0</v>
      </c>
      <c r="AE73">
        <f t="shared" si="57"/>
        <v>0</v>
      </c>
      <c r="AF73">
        <f t="shared" si="58"/>
        <v>1.0510573049050351</v>
      </c>
      <c r="AG73" s="1">
        <f t="array" ref="AG73">_xlfn.IFS(C73="Biomass_Corn", 1/F73*S73, C73="Biomass_Agri", 1/F73*V73, C73="Biomass_Wood", 1/F73*U73, C73="Biomass_Herb", 1/F73*T73)</f>
        <v>51.540779469794813</v>
      </c>
      <c r="AH73">
        <f t="shared" si="59"/>
        <v>4.3815504029347316</v>
      </c>
      <c r="AI73">
        <f t="shared" si="60"/>
        <v>1.8459716853700829</v>
      </c>
      <c r="AJ73">
        <f t="shared" si="61"/>
        <v>8.2322589053372308</v>
      </c>
      <c r="AK73">
        <f t="shared" si="62"/>
        <v>-8.1434431562275815</v>
      </c>
      <c r="AL73" s="1">
        <f t="shared" si="63"/>
        <v>5.9703909015778822E-2</v>
      </c>
      <c r="AM73" s="1">
        <f t="shared" si="64"/>
        <v>-10.407067332120389</v>
      </c>
      <c r="AN73">
        <f t="shared" si="65"/>
        <v>6.623714419066479</v>
      </c>
      <c r="AO73">
        <f t="shared" si="66"/>
        <v>-0.10477370129031155</v>
      </c>
      <c r="AP73" s="1">
        <f t="shared" si="67"/>
        <v>7.8405271212029763</v>
      </c>
      <c r="AQ73">
        <f t="shared" si="68"/>
        <v>-11.62388003425688</v>
      </c>
      <c r="AS73" s="20">
        <f t="shared" si="69"/>
        <v>1.7588666580000001</v>
      </c>
      <c r="AT73" s="10">
        <v>0.1828908353</v>
      </c>
      <c r="AU73" s="20">
        <v>0.23037490999999999</v>
      </c>
      <c r="AW73" s="18">
        <f t="shared" si="70"/>
        <v>0.56658349085470638</v>
      </c>
      <c r="AX73" s="18">
        <f t="shared" si="71"/>
        <v>5.9703910798172485E-2</v>
      </c>
      <c r="AZ73" s="18">
        <f t="shared" si="72"/>
        <v>0.23037490999999999</v>
      </c>
      <c r="BA73" s="19">
        <f t="shared" si="73"/>
        <v>0.22098669510373337</v>
      </c>
      <c r="BB73" s="18">
        <f t="shared" si="74"/>
        <v>1.0448184460661475E-2</v>
      </c>
      <c r="BC73" s="19">
        <f t="shared" si="75"/>
        <v>0.11522188388510189</v>
      </c>
      <c r="BD73" s="18">
        <f t="shared" si="76"/>
        <v>4.9255726420988515E-2</v>
      </c>
      <c r="BF73" s="1">
        <f t="shared" si="77"/>
        <v>1.7823936770966498E-9</v>
      </c>
    </row>
    <row r="74" spans="2:58" x14ac:dyDescent="0.2">
      <c r="B74" s="24" t="s">
        <v>130</v>
      </c>
      <c r="C74" s="23" t="s">
        <v>105</v>
      </c>
      <c r="D74" s="23">
        <v>0</v>
      </c>
      <c r="E74" s="23">
        <v>8.5342824999999997E-2</v>
      </c>
      <c r="F74" s="23">
        <v>3.1043379949999999</v>
      </c>
      <c r="G74" s="23">
        <v>1.013397519</v>
      </c>
      <c r="H74" s="23">
        <v>1.7588666580000001</v>
      </c>
      <c r="I74" s="23">
        <v>0.35768767200000001</v>
      </c>
      <c r="J74" s="23">
        <v>0.68601739399999995</v>
      </c>
      <c r="K74" s="23">
        <v>0.15290642300000001</v>
      </c>
      <c r="L74" s="23">
        <v>3.2434695999999999E-2</v>
      </c>
      <c r="M74" s="23">
        <v>45179.42</v>
      </c>
      <c r="N74" s="23">
        <v>201481.25</v>
      </c>
      <c r="O74" s="23">
        <v>-25.28</v>
      </c>
      <c r="Q74" s="22">
        <v>110.94272599999999</v>
      </c>
      <c r="R74" s="22">
        <v>-53.928761999999999</v>
      </c>
      <c r="S74" s="22">
        <v>160</v>
      </c>
      <c r="T74" s="22">
        <v>101.629081</v>
      </c>
      <c r="U74" s="22">
        <v>109.563401</v>
      </c>
      <c r="V74" s="22">
        <v>90.220664999999997</v>
      </c>
      <c r="W74" s="22">
        <v>39.378855999999999</v>
      </c>
      <c r="X74" s="22">
        <v>13.422667000000001</v>
      </c>
      <c r="Z74" t="str">
        <f t="shared" si="52"/>
        <v>MIDAT_DryMill_CCS_Fermentation_Exhaust</v>
      </c>
      <c r="AA74" t="str">
        <f t="shared" si="53"/>
        <v>Biomass_Corn</v>
      </c>
      <c r="AB74" s="21">
        <f t="shared" si="54"/>
        <v>56.186114291259763</v>
      </c>
      <c r="AC74" s="21">
        <f t="shared" si="55"/>
        <v>56.186114291259777</v>
      </c>
      <c r="AD74" s="5">
        <f t="shared" si="56"/>
        <v>0</v>
      </c>
      <c r="AE74">
        <f t="shared" si="57"/>
        <v>0</v>
      </c>
      <c r="AF74">
        <f t="shared" si="58"/>
        <v>1.0825827669928705</v>
      </c>
      <c r="AG74" s="1">
        <f t="array" ref="AG74">_xlfn.IFS(C74="Biomass_Corn", 1/F74*S74, C74="Biomass_Agri", 1/F74*V74, C74="Biomass_Wood", 1/F74*U74, C74="Biomass_Herb", 1/F74*T74)</f>
        <v>51.540779469794813</v>
      </c>
      <c r="AH74">
        <f t="shared" si="59"/>
        <v>4.3817707537233472</v>
      </c>
      <c r="AI74">
        <f t="shared" si="60"/>
        <v>1.8459716853700829</v>
      </c>
      <c r="AJ74">
        <f t="shared" si="61"/>
        <v>8.2322589053372308</v>
      </c>
      <c r="AK74">
        <f t="shared" si="62"/>
        <v>-8.1434431562275815</v>
      </c>
      <c r="AL74" s="1">
        <f t="shared" si="63"/>
        <v>5.9703909015778822E-2</v>
      </c>
      <c r="AM74" s="1">
        <f t="shared" si="64"/>
        <v>-9.3775205527974688</v>
      </c>
      <c r="AN74">
        <f t="shared" si="65"/>
        <v>6.623714419066479</v>
      </c>
      <c r="AO74">
        <f t="shared" si="66"/>
        <v>-0.10477370129031155</v>
      </c>
      <c r="AP74" s="1">
        <f t="shared" si="67"/>
        <v>8.8700739005258971</v>
      </c>
      <c r="AQ74">
        <f t="shared" si="68"/>
        <v>-11.62388003425688</v>
      </c>
      <c r="AS74" s="20">
        <f t="shared" si="69"/>
        <v>1.7588666580000001</v>
      </c>
      <c r="AT74" s="10">
        <v>0.1828908353</v>
      </c>
      <c r="AU74" s="20">
        <v>0.23037490999999999</v>
      </c>
      <c r="AW74" s="18">
        <f t="shared" si="70"/>
        <v>0.56658349085470638</v>
      </c>
      <c r="AX74" s="18">
        <f t="shared" si="71"/>
        <v>5.9703910798172485E-2</v>
      </c>
      <c r="AZ74" s="18">
        <f t="shared" si="72"/>
        <v>0.23037490999999999</v>
      </c>
      <c r="BA74" s="19">
        <f t="shared" si="73"/>
        <v>0.22098669510373337</v>
      </c>
      <c r="BB74" s="18">
        <f t="shared" si="74"/>
        <v>1.0448184460661475E-2</v>
      </c>
      <c r="BC74" s="19">
        <f t="shared" si="75"/>
        <v>0.11522188388510189</v>
      </c>
      <c r="BD74" s="18">
        <f t="shared" si="76"/>
        <v>4.9255726420988515E-2</v>
      </c>
      <c r="BF74" s="1">
        <f t="shared" si="77"/>
        <v>1.7823936770966498E-9</v>
      </c>
    </row>
    <row r="75" spans="2:58" x14ac:dyDescent="0.2">
      <c r="B75" s="24" t="s">
        <v>131</v>
      </c>
      <c r="C75" s="23" t="s">
        <v>105</v>
      </c>
      <c r="D75" s="23">
        <v>0</v>
      </c>
      <c r="E75" s="23">
        <v>8.5342824999999997E-2</v>
      </c>
      <c r="F75" s="23">
        <v>3.1043379949999999</v>
      </c>
      <c r="G75" s="23">
        <v>1.013397519</v>
      </c>
      <c r="H75" s="23">
        <v>1.7588666580000001</v>
      </c>
      <c r="I75" s="23">
        <v>0.35768767200000001</v>
      </c>
      <c r="J75" s="23">
        <v>0.68601739399999995</v>
      </c>
      <c r="K75" s="23">
        <v>0.15290642300000001</v>
      </c>
      <c r="L75" s="23">
        <v>3.2434695999999999E-2</v>
      </c>
      <c r="M75" s="23">
        <v>45179.42</v>
      </c>
      <c r="N75" s="23">
        <v>201481.25</v>
      </c>
      <c r="O75" s="23">
        <v>-25.28</v>
      </c>
      <c r="Q75" s="22">
        <v>110.94272599999999</v>
      </c>
      <c r="R75" s="22">
        <v>-62.314467</v>
      </c>
      <c r="S75" s="22">
        <v>160</v>
      </c>
      <c r="T75" s="22">
        <v>102.428173</v>
      </c>
      <c r="U75" s="22">
        <v>108.231329</v>
      </c>
      <c r="V75" s="22">
        <v>92.486924000000002</v>
      </c>
      <c r="W75" s="22">
        <v>47.485892</v>
      </c>
      <c r="X75" s="22">
        <v>13.422404</v>
      </c>
      <c r="Z75" t="str">
        <f t="shared" si="52"/>
        <v>NE_DryMill_CCS_Fermentation_Exhaust</v>
      </c>
      <c r="AA75" t="str">
        <f t="shared" si="53"/>
        <v>Biomass_Corn</v>
      </c>
      <c r="AB75" s="21">
        <f t="shared" si="54"/>
        <v>57.788163518660717</v>
      </c>
      <c r="AC75" s="21">
        <f t="shared" si="55"/>
        <v>57.788163518660731</v>
      </c>
      <c r="AD75" s="5">
        <f t="shared" si="56"/>
        <v>0</v>
      </c>
      <c r="AE75">
        <f t="shared" si="57"/>
        <v>0</v>
      </c>
      <c r="AF75">
        <f t="shared" si="58"/>
        <v>1.3054571304581477</v>
      </c>
      <c r="AG75" s="1">
        <f t="array" ref="AG75">_xlfn.IFS(C75="Biomass_Corn", 1/F75*S75, C75="Biomass_Agri", 1/F75*V75, C75="Biomass_Wood", 1/F75*U75, C75="Biomass_Herb", 1/F75*T75)</f>
        <v>51.540779469794813</v>
      </c>
      <c r="AH75">
        <f t="shared" si="59"/>
        <v>4.3816848985271903</v>
      </c>
      <c r="AI75">
        <f t="shared" si="60"/>
        <v>1.8459716853700829</v>
      </c>
      <c r="AJ75">
        <f t="shared" si="61"/>
        <v>8.2322589053372308</v>
      </c>
      <c r="AK75">
        <f t="shared" si="62"/>
        <v>-8.1434431562275815</v>
      </c>
      <c r="AL75" s="1">
        <f t="shared" si="63"/>
        <v>5.9703909015778822E-2</v>
      </c>
      <c r="AM75" s="1">
        <f t="shared" si="64"/>
        <v>-7.9982598336656334</v>
      </c>
      <c r="AN75">
        <f t="shared" si="65"/>
        <v>6.623714419066479</v>
      </c>
      <c r="AO75">
        <f t="shared" si="66"/>
        <v>-0.10477370129031155</v>
      </c>
      <c r="AP75" s="1">
        <f t="shared" si="67"/>
        <v>10.249334619657732</v>
      </c>
      <c r="AQ75">
        <f t="shared" si="68"/>
        <v>-11.62388003425688</v>
      </c>
      <c r="AS75" s="20">
        <f t="shared" si="69"/>
        <v>1.7588666580000001</v>
      </c>
      <c r="AT75" s="10">
        <v>0.1828908353</v>
      </c>
      <c r="AU75" s="20">
        <v>0.23037490999999999</v>
      </c>
      <c r="AW75" s="18">
        <f t="shared" si="70"/>
        <v>0.56658349085470638</v>
      </c>
      <c r="AX75" s="18">
        <f t="shared" si="71"/>
        <v>5.9703910798172485E-2</v>
      </c>
      <c r="AZ75" s="18">
        <f t="shared" si="72"/>
        <v>0.23037490999999999</v>
      </c>
      <c r="BA75" s="19">
        <f t="shared" si="73"/>
        <v>0.22098669510373337</v>
      </c>
      <c r="BB75" s="18">
        <f t="shared" si="74"/>
        <v>1.0448184460661475E-2</v>
      </c>
      <c r="BC75" s="19">
        <f t="shared" si="75"/>
        <v>0.11522188388510189</v>
      </c>
      <c r="BD75" s="18">
        <f t="shared" si="76"/>
        <v>4.9255726420988515E-2</v>
      </c>
      <c r="BF75" s="1">
        <f t="shared" si="77"/>
        <v>1.7823936770966498E-9</v>
      </c>
    </row>
    <row r="76" spans="2:58" x14ac:dyDescent="0.2">
      <c r="AB76" s="5"/>
      <c r="AC76" s="5"/>
      <c r="AD76" s="5"/>
      <c r="AS76" s="8"/>
      <c r="AU76" s="8"/>
    </row>
    <row r="77" spans="2:58" x14ac:dyDescent="0.2">
      <c r="AB77" s="5"/>
      <c r="AC77" s="5"/>
      <c r="AD77" s="5"/>
      <c r="AS77" s="8"/>
      <c r="AU77" s="8"/>
    </row>
    <row r="78" spans="2:58" x14ac:dyDescent="0.2">
      <c r="AB78" s="5"/>
      <c r="AC78" s="5"/>
      <c r="AD78" s="5"/>
      <c r="AS78" s="8"/>
      <c r="AU78" s="8"/>
    </row>
    <row r="79" spans="2:58" x14ac:dyDescent="0.2">
      <c r="AB79" s="5"/>
      <c r="AC79" s="5"/>
      <c r="AD79" s="5"/>
      <c r="AS79" s="8"/>
      <c r="AU79" s="8"/>
    </row>
    <row r="80" spans="2:58" x14ac:dyDescent="0.2">
      <c r="AB80" s="5"/>
      <c r="AC80" s="5"/>
      <c r="AD80" s="5"/>
      <c r="AS80" s="8"/>
      <c r="AU80" s="8"/>
    </row>
    <row r="81" spans="28:47" x14ac:dyDescent="0.2">
      <c r="AB81" s="5"/>
      <c r="AC81" s="5"/>
      <c r="AD81" s="5"/>
      <c r="AS81" s="8"/>
      <c r="AU81" s="8"/>
    </row>
    <row r="82" spans="28:47" x14ac:dyDescent="0.2">
      <c r="AB82" s="5"/>
      <c r="AC82" s="5"/>
      <c r="AD82" s="5"/>
      <c r="AS82" s="8"/>
      <c r="AU82" s="8"/>
    </row>
    <row r="83" spans="28:47" x14ac:dyDescent="0.2">
      <c r="AB83" s="5"/>
      <c r="AC83" s="5"/>
      <c r="AD83" s="5"/>
      <c r="AS83" s="8"/>
      <c r="AU83" s="8"/>
    </row>
    <row r="84" spans="28:47" x14ac:dyDescent="0.2">
      <c r="AB84" s="5"/>
      <c r="AC84" s="5"/>
      <c r="AD84" s="5"/>
      <c r="AS84" s="8"/>
      <c r="AU84" s="8"/>
    </row>
    <row r="85" spans="28:47" x14ac:dyDescent="0.2">
      <c r="AB85" s="5"/>
      <c r="AC85" s="5"/>
      <c r="AD85" s="5"/>
      <c r="AS85" s="8"/>
      <c r="AU85" s="8"/>
    </row>
    <row r="86" spans="28:47" x14ac:dyDescent="0.2">
      <c r="AB86" s="5"/>
      <c r="AC86" s="5"/>
      <c r="AD86" s="5"/>
      <c r="AS86" s="8"/>
      <c r="AU86" s="8"/>
    </row>
    <row r="87" spans="28:47" x14ac:dyDescent="0.2">
      <c r="AB87" s="5"/>
      <c r="AC87" s="5"/>
      <c r="AD87" s="5"/>
      <c r="AS87" s="8"/>
      <c r="AU87" s="8"/>
    </row>
    <row r="88" spans="28:47" x14ac:dyDescent="0.2">
      <c r="AB88" s="5"/>
      <c r="AC88" s="5"/>
      <c r="AD88" s="5"/>
      <c r="AS88" s="8"/>
      <c r="AU88" s="8"/>
    </row>
    <row r="89" spans="28:47" x14ac:dyDescent="0.2">
      <c r="AB89" s="5"/>
      <c r="AC89" s="5"/>
      <c r="AD89" s="5"/>
      <c r="AS89" s="8"/>
      <c r="AU89" s="8"/>
    </row>
    <row r="90" spans="28:47" x14ac:dyDescent="0.2">
      <c r="AB90" s="5"/>
      <c r="AC90" s="5"/>
      <c r="AD90" s="5"/>
      <c r="AS90" s="8"/>
      <c r="AU90" s="8"/>
    </row>
    <row r="91" spans="28:47" x14ac:dyDescent="0.2">
      <c r="AB91" s="5"/>
      <c r="AC91" s="5"/>
      <c r="AD91" s="5"/>
      <c r="AS91" s="8"/>
      <c r="AU91" s="8"/>
    </row>
    <row r="92" spans="28:47" x14ac:dyDescent="0.2">
      <c r="AB92" s="5"/>
      <c r="AC92" s="5"/>
      <c r="AD92" s="5"/>
      <c r="AS92" s="8"/>
      <c r="AU92" s="8"/>
    </row>
    <row r="93" spans="28:47" x14ac:dyDescent="0.2">
      <c r="AB93" s="5"/>
      <c r="AC93" s="5"/>
      <c r="AD93" s="5"/>
      <c r="AS93" s="8"/>
      <c r="AU93" s="8"/>
    </row>
    <row r="94" spans="28:47" x14ac:dyDescent="0.2">
      <c r="AB94" s="5"/>
      <c r="AC94" s="5"/>
      <c r="AD94" s="5"/>
      <c r="AS94" s="8"/>
      <c r="AU94" s="8"/>
    </row>
    <row r="95" spans="28:47" x14ac:dyDescent="0.2">
      <c r="AB95" s="5"/>
      <c r="AC95" s="5"/>
      <c r="AD95" s="5"/>
      <c r="AS95" s="8"/>
      <c r="AU95" s="8"/>
    </row>
    <row r="96" spans="28:47" x14ac:dyDescent="0.2">
      <c r="AB96" s="5"/>
      <c r="AC96" s="5"/>
      <c r="AD96" s="5"/>
      <c r="AS96" s="8"/>
      <c r="AU96" s="8"/>
    </row>
    <row r="97" spans="28:47" x14ac:dyDescent="0.2">
      <c r="AB97" s="5"/>
      <c r="AC97" s="5"/>
      <c r="AD97" s="5"/>
      <c r="AS97" s="8"/>
      <c r="AU97" s="8"/>
    </row>
    <row r="98" spans="28:47" x14ac:dyDescent="0.2">
      <c r="AB98" s="5"/>
      <c r="AC98" s="5"/>
      <c r="AD98" s="5"/>
      <c r="AS98" s="8"/>
      <c r="AU98" s="8"/>
    </row>
    <row r="99" spans="28:47" x14ac:dyDescent="0.2">
      <c r="AB99" s="5"/>
      <c r="AC99" s="5"/>
      <c r="AD99" s="5"/>
      <c r="AS99" s="8"/>
      <c r="AU99" s="8"/>
    </row>
    <row r="100" spans="28:47" x14ac:dyDescent="0.2">
      <c r="AB100" s="5"/>
      <c r="AC100" s="5"/>
      <c r="AD100" s="5"/>
      <c r="AS100" s="8"/>
      <c r="AU100" s="8"/>
    </row>
    <row r="101" spans="28:47" x14ac:dyDescent="0.2">
      <c r="AB101" s="5"/>
      <c r="AC101" s="5"/>
      <c r="AD101" s="5"/>
      <c r="AS101" s="8"/>
      <c r="AU101" s="8"/>
    </row>
    <row r="102" spans="28:47" x14ac:dyDescent="0.2">
      <c r="AB102" s="5"/>
      <c r="AC102" s="5"/>
      <c r="AD102" s="5"/>
      <c r="AS102" s="8"/>
      <c r="AU102" s="8"/>
    </row>
    <row r="103" spans="28:47" x14ac:dyDescent="0.2">
      <c r="AB103" s="5"/>
      <c r="AC103" s="5"/>
      <c r="AD103" s="5"/>
      <c r="AS103" s="8"/>
      <c r="AU103" s="8"/>
    </row>
    <row r="104" spans="28:47" x14ac:dyDescent="0.2">
      <c r="AB104" s="5"/>
      <c r="AC104" s="5"/>
      <c r="AD104" s="5"/>
      <c r="AS104" s="8"/>
      <c r="AU104" s="8"/>
    </row>
    <row r="105" spans="28:47" x14ac:dyDescent="0.2">
      <c r="AB105" s="5"/>
      <c r="AC105" s="5"/>
      <c r="AD105" s="5"/>
    </row>
    <row r="106" spans="28:47" x14ac:dyDescent="0.2">
      <c r="AB106" s="5"/>
      <c r="AC106" s="5"/>
      <c r="AD106" s="5"/>
    </row>
    <row r="107" spans="28:47" x14ac:dyDescent="0.2">
      <c r="AB107" s="5"/>
      <c r="AC107" s="5"/>
      <c r="AD10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Z74"/>
  <sheetViews>
    <sheetView topLeftCell="V1" zoomScale="50" zoomScaleNormal="112" workbookViewId="0">
      <selection activeCell="BI34" sqref="BI34"/>
    </sheetView>
  </sheetViews>
  <sheetFormatPr baseColWidth="10" defaultRowHeight="16" x14ac:dyDescent="0.2"/>
  <cols>
    <col min="2" max="2" width="37.83203125" bestFit="1" customWidth="1"/>
    <col min="3" max="3" width="13.6640625" bestFit="1" customWidth="1"/>
    <col min="4" max="4" width="15.1640625" bestFit="1" customWidth="1"/>
    <col min="5" max="5" width="18.5" bestFit="1" customWidth="1"/>
    <col min="6" max="6" width="17.1640625" bestFit="1" customWidth="1"/>
    <col min="7" max="7" width="13.6640625" bestFit="1" customWidth="1"/>
    <col min="8" max="8" width="12.1640625" bestFit="1" customWidth="1"/>
    <col min="9" max="9" width="14.5" bestFit="1" customWidth="1"/>
    <col min="10" max="10" width="17.83203125" bestFit="1" customWidth="1"/>
    <col min="11" max="11" width="19.33203125" bestFit="1" customWidth="1"/>
    <col min="12" max="12" width="18.6640625" bestFit="1" customWidth="1"/>
    <col min="13" max="13" width="16.33203125" bestFit="1" customWidth="1"/>
    <col min="15" max="15" width="39" bestFit="1" customWidth="1"/>
    <col min="16" max="16" width="13.6640625" bestFit="1" customWidth="1"/>
    <col min="17" max="17" width="15.1640625" bestFit="1" customWidth="1"/>
    <col min="18" max="18" width="18.5" bestFit="1" customWidth="1"/>
    <col min="19" max="19" width="17.1640625" bestFit="1" customWidth="1"/>
    <col min="20" max="20" width="13.6640625" bestFit="1" customWidth="1"/>
    <col min="21" max="21" width="12.1640625" bestFit="1" customWidth="1"/>
    <col min="22" max="22" width="14.5" bestFit="1" customWidth="1"/>
    <col min="23" max="23" width="17.83203125" bestFit="1" customWidth="1"/>
    <col min="24" max="24" width="19.33203125" bestFit="1" customWidth="1"/>
    <col min="25" max="25" width="18.6640625" bestFit="1" customWidth="1"/>
    <col min="26" max="26" width="16.33203125" bestFit="1" customWidth="1"/>
  </cols>
  <sheetData>
    <row r="1" spans="2:26" x14ac:dyDescent="0.2">
      <c r="B1" t="s">
        <v>132</v>
      </c>
      <c r="O1" t="s">
        <v>133</v>
      </c>
    </row>
    <row r="2" spans="2:26" x14ac:dyDescent="0.2">
      <c r="B2" s="2" t="s">
        <v>11</v>
      </c>
      <c r="C2" s="4" t="s">
        <v>37</v>
      </c>
      <c r="D2" s="4" t="s">
        <v>38</v>
      </c>
      <c r="E2" s="4" t="s">
        <v>39</v>
      </c>
      <c r="F2" s="4" t="s">
        <v>40</v>
      </c>
      <c r="G2" s="4" t="s">
        <v>41</v>
      </c>
      <c r="H2" s="4" t="s">
        <v>42</v>
      </c>
      <c r="I2" s="4" t="s">
        <v>43</v>
      </c>
      <c r="J2" s="3" t="s">
        <v>44</v>
      </c>
      <c r="K2" s="3" t="s">
        <v>45</v>
      </c>
      <c r="L2" s="3" t="s">
        <v>35</v>
      </c>
      <c r="M2" s="3" t="s">
        <v>134</v>
      </c>
      <c r="O2" s="2" t="s">
        <v>11</v>
      </c>
      <c r="P2" s="4" t="s">
        <v>37</v>
      </c>
      <c r="Q2" s="4" t="s">
        <v>38</v>
      </c>
      <c r="R2" s="4" t="s">
        <v>39</v>
      </c>
      <c r="S2" s="4" t="s">
        <v>40</v>
      </c>
      <c r="T2" s="4" t="s">
        <v>41</v>
      </c>
      <c r="U2" s="4" t="s">
        <v>42</v>
      </c>
      <c r="V2" s="4" t="s">
        <v>43</v>
      </c>
      <c r="W2" s="3" t="s">
        <v>44</v>
      </c>
      <c r="X2" s="3" t="s">
        <v>45</v>
      </c>
      <c r="Y2" s="3" t="s">
        <v>35</v>
      </c>
      <c r="Z2" s="3" t="s">
        <v>134</v>
      </c>
    </row>
    <row r="3" spans="2:26" x14ac:dyDescent="0.2">
      <c r="B3" t="str">
        <f>lc_detailed!B4</f>
        <v>CEN_Bio_Ethanol_Herb</v>
      </c>
      <c r="C3">
        <f>lc_detailed!AE4</f>
        <v>-2.7377503331318023</v>
      </c>
      <c r="D3">
        <f>lc_detailed!AF4</f>
        <v>0</v>
      </c>
      <c r="E3">
        <f>lc_detailed!AG4</f>
        <v>56.806854091092305</v>
      </c>
      <c r="F3">
        <f>lc_detailed!AH4</f>
        <v>0</v>
      </c>
      <c r="G3">
        <f>lc_detailed!AI4</f>
        <v>17.45471442935871</v>
      </c>
      <c r="H3">
        <f>lc_detailed!AJ4</f>
        <v>9.2063495350048488</v>
      </c>
      <c r="I3">
        <f>lc_detailed!AK4</f>
        <v>0.22672309552599759</v>
      </c>
      <c r="J3">
        <f>lc_detailed!AM4</f>
        <v>0</v>
      </c>
      <c r="K3">
        <f>lc_detailed!AN4</f>
        <v>4.6516133875214446E-4</v>
      </c>
      <c r="L3">
        <f>lc_detailed!AC4</f>
        <v>80.957355979188819</v>
      </c>
      <c r="M3" t="e">
        <f>lc_detailed!#REF!</f>
        <v>#REF!</v>
      </c>
      <c r="O3" t="str">
        <f t="array" ref="O3:Z74">_xlfn._xlws.SORT(B3:M74, 11, 1)</f>
        <v>NW_DryMill_CCS_Fermentation_Exhaust</v>
      </c>
      <c r="P3">
        <v>0</v>
      </c>
      <c r="Q3">
        <v>0.73586366011438453</v>
      </c>
      <c r="R3">
        <v>51.540779469794813</v>
      </c>
      <c r="S3">
        <v>4.4575492267051553</v>
      </c>
      <c r="T3">
        <v>1.8459716853700829</v>
      </c>
      <c r="U3">
        <v>8.2322589053372308</v>
      </c>
      <c r="V3">
        <v>-8.1434431562275815</v>
      </c>
      <c r="W3">
        <v>-17.034878992536783</v>
      </c>
      <c r="X3">
        <v>6.623714419066479</v>
      </c>
      <c r="Y3">
        <v>48.257815217623786</v>
      </c>
      <c r="Z3" t="e">
        <v>#REF!</v>
      </c>
    </row>
    <row r="4" spans="2:26" x14ac:dyDescent="0.2">
      <c r="B4" t="str">
        <f>lc_detailed!B5</f>
        <v>MIDAT_Bio_Ethanol_Herb</v>
      </c>
      <c r="C4">
        <f>lc_detailed!AE5</f>
        <v>-4.2493746436458535</v>
      </c>
      <c r="D4">
        <f>lc_detailed!AF5</f>
        <v>0</v>
      </c>
      <c r="E4">
        <f>lc_detailed!AG5</f>
        <v>51.008372314796226</v>
      </c>
      <c r="F4">
        <f>lc_detailed!AH5</f>
        <v>0</v>
      </c>
      <c r="G4">
        <f>lc_detailed!AI5</f>
        <v>17.388133507022271</v>
      </c>
      <c r="H4">
        <f>lc_detailed!AJ5</f>
        <v>9.1712319599867627</v>
      </c>
      <c r="I4">
        <f>lc_detailed!AK5</f>
        <v>0.22585826139329454</v>
      </c>
      <c r="J4">
        <f>lc_detailed!AM5</f>
        <v>0</v>
      </c>
      <c r="K4">
        <f>lc_detailed!AN5</f>
        <v>1.9214123268821882E-4</v>
      </c>
      <c r="L4">
        <f>lc_detailed!AC5</f>
        <v>73.544413540785399</v>
      </c>
      <c r="M4" t="e">
        <f>lc_detailed!#REF!</f>
        <v>#REF!</v>
      </c>
      <c r="O4" t="str">
        <v>CA_DryMill_CCS_Fermentation_Exhaust</v>
      </c>
      <c r="P4">
        <v>0</v>
      </c>
      <c r="Q4">
        <v>1.0053136927072917</v>
      </c>
      <c r="R4">
        <v>51.540779469794813</v>
      </c>
      <c r="S4">
        <v>4.4570380128755689</v>
      </c>
      <c r="T4">
        <v>1.8459716853700829</v>
      </c>
      <c r="U4">
        <v>8.2322589053372308</v>
      </c>
      <c r="V4">
        <v>-8.1434431562275815</v>
      </c>
      <c r="W4">
        <v>-17.179688041247246</v>
      </c>
      <c r="X4">
        <v>6.623714419066479</v>
      </c>
      <c r="Y4">
        <v>48.38194498767664</v>
      </c>
      <c r="Z4" t="e">
        <v>#REF!</v>
      </c>
    </row>
    <row r="5" spans="2:26" x14ac:dyDescent="0.2">
      <c r="B5" t="str">
        <f>lc_detailed!B6</f>
        <v>NCEN_Bio_Ethanol_Herb</v>
      </c>
      <c r="C5">
        <f>lc_detailed!AE6</f>
        <v>-3.3166387895026794</v>
      </c>
      <c r="D5">
        <f>lc_detailed!AF6</f>
        <v>0</v>
      </c>
      <c r="E5">
        <f>lc_detailed!AG6</f>
        <v>53.324627635598738</v>
      </c>
      <c r="F5">
        <f>lc_detailed!AH6</f>
        <v>0</v>
      </c>
      <c r="G5">
        <f>lc_detailed!AI6</f>
        <v>17.350687233631078</v>
      </c>
      <c r="H5">
        <f>lc_detailed!AJ6</f>
        <v>9.1514812225560309</v>
      </c>
      <c r="I5">
        <f>lc_detailed!AK6</f>
        <v>0.22537186357489861</v>
      </c>
      <c r="J5">
        <f>lc_detailed!AM6</f>
        <v>0</v>
      </c>
      <c r="K5">
        <f>lc_detailed!AN6</f>
        <v>-5.1152193576558137E-4</v>
      </c>
      <c r="L5">
        <f>lc_detailed!AC6</f>
        <v>76.735017643922291</v>
      </c>
      <c r="M5" t="e">
        <f>lc_detailed!#REF!</f>
        <v>#REF!</v>
      </c>
      <c r="O5" t="str">
        <v>SW_DryMill_CCS_Fermentation_Exhaust</v>
      </c>
      <c r="P5">
        <v>0</v>
      </c>
      <c r="Q5">
        <v>0.77013340353811088</v>
      </c>
      <c r="R5">
        <v>51.540779469794813</v>
      </c>
      <c r="S5">
        <v>4.4574960160702748</v>
      </c>
      <c r="T5">
        <v>1.8459716853700829</v>
      </c>
      <c r="U5">
        <v>8.2322589053372308</v>
      </c>
      <c r="V5">
        <v>-8.1434431562275815</v>
      </c>
      <c r="W5">
        <v>-15.518125188800894</v>
      </c>
      <c r="X5">
        <v>6.623714419066479</v>
      </c>
      <c r="Y5">
        <v>49.808785554148521</v>
      </c>
      <c r="Z5" t="e">
        <v>#REF!</v>
      </c>
    </row>
    <row r="6" spans="2:26" x14ac:dyDescent="0.2">
      <c r="B6" t="str">
        <f>lc_detailed!B7</f>
        <v>SE_Bio_Ethanol_Herb</v>
      </c>
      <c r="C6">
        <f>lc_detailed!AE7</f>
        <v>-4.125171464042392</v>
      </c>
      <c r="D6">
        <f>lc_detailed!AF7</f>
        <v>0</v>
      </c>
      <c r="E6">
        <f>lc_detailed!AG7</f>
        <v>50.715389351501386</v>
      </c>
      <c r="F6">
        <f>lc_detailed!AH7</f>
        <v>0</v>
      </c>
      <c r="G6">
        <f>lc_detailed!AI7</f>
        <v>17.483783597976871</v>
      </c>
      <c r="H6">
        <f>lc_detailed!AJ7</f>
        <v>9.2216818355173462</v>
      </c>
      <c r="I6">
        <f>lc_detailed!AK7</f>
        <v>0.22710068130204392</v>
      </c>
      <c r="J6">
        <f>lc_detailed!AM7</f>
        <v>0</v>
      </c>
      <c r="K6">
        <f>lc_detailed!AN7</f>
        <v>3.0029885073767839E-5</v>
      </c>
      <c r="L6">
        <f>lc_detailed!AC7</f>
        <v>73.522814032140317</v>
      </c>
      <c r="M6" t="e">
        <f>lc_detailed!#REF!</f>
        <v>#REF!</v>
      </c>
      <c r="O6" t="str">
        <v>TX_DryMill_CCS_Fermentation_Exhaust</v>
      </c>
      <c r="P6">
        <v>0</v>
      </c>
      <c r="Q6">
        <v>0.55645947397359674</v>
      </c>
      <c r="R6">
        <v>51.540779469794813</v>
      </c>
      <c r="S6">
        <v>4.3502184794673902</v>
      </c>
      <c r="T6">
        <v>1.8459716853700829</v>
      </c>
      <c r="U6">
        <v>8.2322589053372308</v>
      </c>
      <c r="V6">
        <v>-8.1434431562275815</v>
      </c>
      <c r="W6">
        <v>-14.711074674431483</v>
      </c>
      <c r="X6">
        <v>6.623714419066479</v>
      </c>
      <c r="Y6">
        <v>50.294884602350528</v>
      </c>
      <c r="Z6" t="e">
        <v>#REF!</v>
      </c>
    </row>
    <row r="7" spans="2:26" x14ac:dyDescent="0.2">
      <c r="B7" t="str">
        <f>lc_detailed!B8</f>
        <v>TX_Bio_Ethanol_Herb</v>
      </c>
      <c r="C7">
        <f>lc_detailed!AE8</f>
        <v>-2.1838047625120187</v>
      </c>
      <c r="D7">
        <f>lc_detailed!AF8</f>
        <v>0</v>
      </c>
      <c r="E7">
        <f>lc_detailed!AG8</f>
        <v>71.032421942209396</v>
      </c>
      <c r="F7">
        <f>lc_detailed!AH8</f>
        <v>0</v>
      </c>
      <c r="G7">
        <f>lc_detailed!AI8</f>
        <v>17.531560750666046</v>
      </c>
      <c r="H7">
        <f>lc_detailed!AJ8</f>
        <v>9.2468815126145572</v>
      </c>
      <c r="I7">
        <f>lc_detailed!AK8</f>
        <v>0.22772126916654017</v>
      </c>
      <c r="J7">
        <f>lc_detailed!AM8</f>
        <v>0</v>
      </c>
      <c r="K7">
        <f>lc_detailed!AN8</f>
        <v>5.9499329775949592E-4</v>
      </c>
      <c r="L7">
        <f>lc_detailed!AC8</f>
        <v>95.85537570544227</v>
      </c>
      <c r="M7" t="e">
        <f>lc_detailed!#REF!</f>
        <v>#REF!</v>
      </c>
      <c r="O7" t="str">
        <v>CEN_DryMill_CCS_Fermentation_Exhaust</v>
      </c>
      <c r="P7">
        <v>0</v>
      </c>
      <c r="Q7">
        <v>0.69741155638819219</v>
      </c>
      <c r="R7">
        <v>51.540779469794813</v>
      </c>
      <c r="S7">
        <v>4.381555299618924</v>
      </c>
      <c r="T7">
        <v>1.8459716853700829</v>
      </c>
      <c r="U7">
        <v>8.2322589053372308</v>
      </c>
      <c r="V7">
        <v>-8.1434431562275815</v>
      </c>
      <c r="W7">
        <v>-13.03375026154472</v>
      </c>
      <c r="X7">
        <v>6.623714419066479</v>
      </c>
      <c r="Y7">
        <v>52.14449791780342</v>
      </c>
      <c r="Z7" t="e">
        <v>#REF!</v>
      </c>
    </row>
    <row r="8" spans="2:26" x14ac:dyDescent="0.2">
      <c r="B8" t="str">
        <f>lc_detailed!B9</f>
        <v>CEN_Bio_Ethanol_Wood</v>
      </c>
      <c r="C8">
        <f>lc_detailed!AE9</f>
        <v>-2.7381913556497448</v>
      </c>
      <c r="D8">
        <f>lc_detailed!AF9</f>
        <v>0</v>
      </c>
      <c r="E8">
        <f>lc_detailed!AG9</f>
        <v>62.517755514882957</v>
      </c>
      <c r="F8">
        <f>lc_detailed!AH9</f>
        <v>0</v>
      </c>
      <c r="G8">
        <f>lc_detailed!AI9</f>
        <v>16.686310181770139</v>
      </c>
      <c r="H8">
        <f>lc_detailed!AJ9</f>
        <v>8.8010608597811508</v>
      </c>
      <c r="I8">
        <f>lc_detailed!AK9</f>
        <v>0.2167421250361237</v>
      </c>
      <c r="J8">
        <f>lc_detailed!AM9</f>
        <v>0</v>
      </c>
      <c r="K8">
        <f>lc_detailed!AN9</f>
        <v>-2.1685004797443235E-4</v>
      </c>
      <c r="L8">
        <f>lc_detailed!AC9</f>
        <v>85.483460475772631</v>
      </c>
      <c r="M8" t="e">
        <f>lc_detailed!#REF!</f>
        <v>#REF!</v>
      </c>
      <c r="O8" t="str">
        <v>NW_DryMill_CCS_Fermentation</v>
      </c>
      <c r="P8">
        <v>0</v>
      </c>
      <c r="Q8">
        <v>0.73586366011438453</v>
      </c>
      <c r="R8">
        <v>51.540779469794813</v>
      </c>
      <c r="S8">
        <v>4.4575492267051553</v>
      </c>
      <c r="T8">
        <v>1.1219173819252375</v>
      </c>
      <c r="U8">
        <v>7.8355578478551591</v>
      </c>
      <c r="V8">
        <v>-8.1724348446793407</v>
      </c>
      <c r="W8">
        <v>-11.933483503451379</v>
      </c>
      <c r="X8">
        <v>6.623714419066479</v>
      </c>
      <c r="Y8">
        <v>52.209463657330495</v>
      </c>
      <c r="Z8" t="e">
        <v>#REF!</v>
      </c>
    </row>
    <row r="9" spans="2:26" x14ac:dyDescent="0.2">
      <c r="B9" t="str">
        <f>lc_detailed!B10</f>
        <v>MIDAT_Bio_Ethanol_Wood</v>
      </c>
      <c r="C9">
        <f>lc_detailed!AE10</f>
        <v>-4.2485860486060778</v>
      </c>
      <c r="D9">
        <f>lc_detailed!AF10</f>
        <v>0</v>
      </c>
      <c r="E9">
        <f>lc_detailed!AG10</f>
        <v>52.936851234478418</v>
      </c>
      <c r="F9">
        <f>lc_detailed!AH10</f>
        <v>0</v>
      </c>
      <c r="G9">
        <f>lc_detailed!AI10</f>
        <v>16.738714402759417</v>
      </c>
      <c r="H9">
        <f>lc_detailed!AJ10</f>
        <v>8.8287010470491492</v>
      </c>
      <c r="I9">
        <f>lc_detailed!AK10</f>
        <v>0.21742281490071025</v>
      </c>
      <c r="J9">
        <f>lc_detailed!AM10</f>
        <v>0</v>
      </c>
      <c r="K9">
        <f>lc_detailed!AN10</f>
        <v>1.8269409396700438E-4</v>
      </c>
      <c r="L9">
        <f>lc_detailed!AC10</f>
        <v>74.473286144675583</v>
      </c>
      <c r="M9" t="e">
        <f>lc_detailed!#REF!</f>
        <v>#REF!</v>
      </c>
      <c r="O9" t="str">
        <v>CA_DryMill_CCS_Fermentation</v>
      </c>
      <c r="P9">
        <v>0</v>
      </c>
      <c r="Q9">
        <v>1.0053136927072917</v>
      </c>
      <c r="R9">
        <v>51.540779469794813</v>
      </c>
      <c r="S9">
        <v>4.4570380128755689</v>
      </c>
      <c r="T9">
        <v>1.1219173819252375</v>
      </c>
      <c r="U9">
        <v>7.8355578478551591</v>
      </c>
      <c r="V9">
        <v>-8.1724348446793407</v>
      </c>
      <c r="W9">
        <v>-12.03492692401773</v>
      </c>
      <c r="X9">
        <v>6.623714419066479</v>
      </c>
      <c r="Y9">
        <v>52.376959055527472</v>
      </c>
      <c r="Z9" t="e">
        <v>#REF!</v>
      </c>
    </row>
    <row r="10" spans="2:26" x14ac:dyDescent="0.2">
      <c r="B10" t="str">
        <f>lc_detailed!B11</f>
        <v>NCEN_Bio_Ethanol_Wood</v>
      </c>
      <c r="C10">
        <f>lc_detailed!AE11</f>
        <v>-3.3157271263071659</v>
      </c>
      <c r="D10">
        <f>lc_detailed!AF11</f>
        <v>0</v>
      </c>
      <c r="E10">
        <f>lc_detailed!AG11</f>
        <v>56.823526577032439</v>
      </c>
      <c r="F10">
        <f>lc_detailed!AH11</f>
        <v>0</v>
      </c>
      <c r="G10">
        <f>lc_detailed!AI11</f>
        <v>16.695155510284405</v>
      </c>
      <c r="H10">
        <f>lc_detailed!AJ11</f>
        <v>8.8057262575671658</v>
      </c>
      <c r="I10">
        <f>lc_detailed!AK11</f>
        <v>0.21685701893884632</v>
      </c>
      <c r="J10">
        <f>lc_detailed!AM11</f>
        <v>0</v>
      </c>
      <c r="K10">
        <f>lc_detailed!AN11</f>
        <v>-3.5571301248804474E-4</v>
      </c>
      <c r="L10">
        <f>lc_detailed!AC11</f>
        <v>79.225182524503211</v>
      </c>
      <c r="M10" t="e">
        <f>lc_detailed!#REF!</f>
        <v>#REF!</v>
      </c>
      <c r="O10" t="str">
        <v>SW_DryMill_CCS_Fermentation</v>
      </c>
      <c r="P10">
        <v>0</v>
      </c>
      <c r="Q10">
        <v>0.77013340353811088</v>
      </c>
      <c r="R10">
        <v>51.540779469794813</v>
      </c>
      <c r="S10">
        <v>4.4574960160702748</v>
      </c>
      <c r="T10">
        <v>1.1219173819252375</v>
      </c>
      <c r="U10">
        <v>7.8355578478551591</v>
      </c>
      <c r="V10">
        <v>-8.1724348446793407</v>
      </c>
      <c r="W10">
        <v>-10.870948424475515</v>
      </c>
      <c r="X10">
        <v>6.623714419066479</v>
      </c>
      <c r="Y10">
        <v>53.306215269095205</v>
      </c>
      <c r="Z10" t="e">
        <v>#REF!</v>
      </c>
    </row>
    <row r="11" spans="2:26" x14ac:dyDescent="0.2">
      <c r="B11" t="str">
        <f>lc_detailed!B12</f>
        <v>SE_Bio_Ethanol_Wood</v>
      </c>
      <c r="C11">
        <f>lc_detailed!AE12</f>
        <v>-4.1263095249064206</v>
      </c>
      <c r="D11">
        <f>lc_detailed!AF12</f>
        <v>0</v>
      </c>
      <c r="E11">
        <f>lc_detailed!AG12</f>
        <v>55.507517995968897</v>
      </c>
      <c r="F11">
        <f>lc_detailed!AH12</f>
        <v>0</v>
      </c>
      <c r="G11">
        <f>lc_detailed!AI12</f>
        <v>16.625452154425169</v>
      </c>
      <c r="H11">
        <f>lc_detailed!AJ12</f>
        <v>8.7689617799585484</v>
      </c>
      <c r="I11">
        <f>lc_detailed!AK12</f>
        <v>0.21595162683558883</v>
      </c>
      <c r="J11">
        <f>lc_detailed!AM12</f>
        <v>0</v>
      </c>
      <c r="K11">
        <f>lc_detailed!AN12</f>
        <v>-4.7540747804338196E-4</v>
      </c>
      <c r="L11">
        <f>lc_detailed!AC12</f>
        <v>76.99109862480374</v>
      </c>
      <c r="M11" t="e">
        <f>lc_detailed!#REF!</f>
        <v>#REF!</v>
      </c>
      <c r="O11" t="str">
        <v>TX_DryMill_CCS_Fermentation</v>
      </c>
      <c r="P11">
        <v>0</v>
      </c>
      <c r="Q11">
        <v>0.55645947397359674</v>
      </c>
      <c r="R11">
        <v>51.540779469794813</v>
      </c>
      <c r="S11">
        <v>4.3502184794673902</v>
      </c>
      <c r="T11">
        <v>1.1219173819252375</v>
      </c>
      <c r="U11">
        <v>7.8355578478551591</v>
      </c>
      <c r="V11">
        <v>-8.1724348446793407</v>
      </c>
      <c r="W11">
        <v>-10.305583445722291</v>
      </c>
      <c r="X11">
        <v>6.623714419066479</v>
      </c>
      <c r="Y11">
        <v>53.550628781681041</v>
      </c>
      <c r="Z11" t="e">
        <v>#REF!</v>
      </c>
    </row>
    <row r="12" spans="2:26" x14ac:dyDescent="0.2">
      <c r="B12" t="str">
        <f>lc_detailed!B13</f>
        <v>TX_Bio_Ethanol_Wood</v>
      </c>
      <c r="C12">
        <f>lc_detailed!AE13</f>
        <v>-2.1847514062302569</v>
      </c>
      <c r="D12">
        <f>lc_detailed!AF13</f>
        <v>0</v>
      </c>
      <c r="E12">
        <f>lc_detailed!AG13</f>
        <v>77.975442970306659</v>
      </c>
      <c r="F12">
        <f>lc_detailed!AH13</f>
        <v>0</v>
      </c>
      <c r="G12">
        <f>lc_detailed!AI13</f>
        <v>16.836330465758454</v>
      </c>
      <c r="H12">
        <f>lc_detailed!AJ13</f>
        <v>8.8801878588120839</v>
      </c>
      <c r="I12">
        <f>lc_detailed!AK13</f>
        <v>0.21869077124945327</v>
      </c>
      <c r="J12">
        <f>lc_detailed!AM13</f>
        <v>0</v>
      </c>
      <c r="K12">
        <f>lc_detailed!AN13</f>
        <v>-1.1328765668285881E-4</v>
      </c>
      <c r="L12">
        <f>lc_detailed!AC13</f>
        <v>101.72578737223969</v>
      </c>
      <c r="M12" t="e">
        <f>lc_detailed!#REF!</f>
        <v>#REF!</v>
      </c>
      <c r="O12" t="str">
        <v>NCEN_DryMill_CCS_Fermentation_Exhaust</v>
      </c>
      <c r="P12">
        <v>0</v>
      </c>
      <c r="Q12">
        <v>0.8448152277830977</v>
      </c>
      <c r="R12">
        <v>51.540779469794813</v>
      </c>
      <c r="S12">
        <v>4.3815814152679442</v>
      </c>
      <c r="T12">
        <v>1.8459716853700829</v>
      </c>
      <c r="U12">
        <v>8.2322589053372308</v>
      </c>
      <c r="V12">
        <v>-8.1434431562275815</v>
      </c>
      <c r="W12">
        <v>-11.386813416117223</v>
      </c>
      <c r="X12">
        <v>6.623714419066479</v>
      </c>
      <c r="Y12">
        <v>53.93886455027485</v>
      </c>
      <c r="Z12" t="e">
        <v>#REF!</v>
      </c>
    </row>
    <row r="13" spans="2:26" x14ac:dyDescent="0.2">
      <c r="B13" t="str">
        <f>lc_detailed!B14</f>
        <v>CEN_Bio_Ethanol_Agri</v>
      </c>
      <c r="C13">
        <f>lc_detailed!AE14</f>
        <v>-2.7371259688670162</v>
      </c>
      <c r="D13">
        <f>lc_detailed!AF14</f>
        <v>0</v>
      </c>
      <c r="E13">
        <f>lc_detailed!AG14</f>
        <v>54.205622124745908</v>
      </c>
      <c r="F13">
        <f>lc_detailed!AH14</f>
        <v>0</v>
      </c>
      <c r="G13">
        <f>lc_detailed!AI14</f>
        <v>18.5322120463203</v>
      </c>
      <c r="H13">
        <f>lc_detailed!AJ14</f>
        <v>9.7746670359888874</v>
      </c>
      <c r="I13">
        <f>lc_detailed!AK14</f>
        <v>0.24071894725580401</v>
      </c>
      <c r="J13">
        <f>lc_detailed!AM14</f>
        <v>0</v>
      </c>
      <c r="K13">
        <f>lc_detailed!AN14</f>
        <v>5.7465527182663128E-4</v>
      </c>
      <c r="L13">
        <f>lc_detailed!AC14</f>
        <v>80.01666884071571</v>
      </c>
      <c r="M13" t="e">
        <f>lc_detailed!#REF!</f>
        <v>#REF!</v>
      </c>
      <c r="O13" t="str">
        <v>CEN_DryMill_CCS_Fermentation</v>
      </c>
      <c r="P13">
        <v>0</v>
      </c>
      <c r="Q13">
        <v>0.69741155638819219</v>
      </c>
      <c r="R13">
        <v>51.540779469794813</v>
      </c>
      <c r="S13">
        <v>4.381555299618924</v>
      </c>
      <c r="T13">
        <v>1.1219173819252375</v>
      </c>
      <c r="U13">
        <v>7.8355578478551591</v>
      </c>
      <c r="V13">
        <v>-8.1724348446793407</v>
      </c>
      <c r="W13">
        <v>-9.1305634634911339</v>
      </c>
      <c r="X13">
        <v>6.623714419066479</v>
      </c>
      <c r="Y13">
        <v>54.897937666478327</v>
      </c>
      <c r="Z13" t="e">
        <v>#REF!</v>
      </c>
    </row>
    <row r="14" spans="2:26" x14ac:dyDescent="0.2">
      <c r="B14" t="str">
        <f>lc_detailed!B15</f>
        <v>MIDAT_Bio_Ethanol_Agri</v>
      </c>
      <c r="C14">
        <f>lc_detailed!AE15</f>
        <v>-4.2491403646414714</v>
      </c>
      <c r="D14">
        <f>lc_detailed!AF15</f>
        <v>0</v>
      </c>
      <c r="E14">
        <f>lc_detailed!AG15</f>
        <v>47.956553978631803</v>
      </c>
      <c r="F14">
        <f>lc_detailed!AH15</f>
        <v>0</v>
      </c>
      <c r="G14">
        <f>lc_detailed!AI15</f>
        <v>18.41498814617082</v>
      </c>
      <c r="H14">
        <f>lc_detailed!AJ15</f>
        <v>9.7128382273309022</v>
      </c>
      <c r="I14">
        <f>lc_detailed!AK15</f>
        <v>0.23919630043055334</v>
      </c>
      <c r="J14">
        <f>lc_detailed!AM15</f>
        <v>0</v>
      </c>
      <c r="K14">
        <f>lc_detailed!AN15</f>
        <v>-4.6263089844779376E-4</v>
      </c>
      <c r="L14">
        <f>lc_detailed!AC15</f>
        <v>72.073973657024155</v>
      </c>
      <c r="M14" t="e">
        <f>lc_detailed!#REF!</f>
        <v>#REF!</v>
      </c>
      <c r="O14" t="str">
        <v>SE_DryMill_CCS_Fermentation_Exhaust</v>
      </c>
      <c r="P14">
        <v>0</v>
      </c>
      <c r="Q14">
        <v>1.0510573049050351</v>
      </c>
      <c r="R14">
        <v>51.540779469794813</v>
      </c>
      <c r="S14">
        <v>4.3815504029347316</v>
      </c>
      <c r="T14">
        <v>1.8459716853700829</v>
      </c>
      <c r="U14">
        <v>8.2322589053372308</v>
      </c>
      <c r="V14">
        <v>-8.1434431562275815</v>
      </c>
      <c r="W14">
        <v>-10.407067332120389</v>
      </c>
      <c r="X14">
        <v>6.623714419066479</v>
      </c>
      <c r="Y14">
        <v>55.124821699060398</v>
      </c>
      <c r="Z14" t="e">
        <v>#REF!</v>
      </c>
    </row>
    <row r="15" spans="2:26" x14ac:dyDescent="0.2">
      <c r="B15" t="str">
        <f>lc_detailed!B16</f>
        <v>NCEN_Bio_Ethanol_Agri</v>
      </c>
      <c r="C15">
        <f>lc_detailed!AE16</f>
        <v>-3.3169236371648525</v>
      </c>
      <c r="D15">
        <f>lc_detailed!AF16</f>
        <v>0</v>
      </c>
      <c r="E15">
        <f>lc_detailed!AG16</f>
        <v>49.602053092646671</v>
      </c>
      <c r="F15">
        <f>lc_detailed!AH16</f>
        <v>0</v>
      </c>
      <c r="G15">
        <f>lc_detailed!AI16</f>
        <v>18.393478736071767</v>
      </c>
      <c r="H15">
        <f>lc_detailed!AJ16</f>
        <v>9.7014932609915725</v>
      </c>
      <c r="I15">
        <f>lc_detailed!AK16</f>
        <v>0.23891691000796392</v>
      </c>
      <c r="J15">
        <f>lc_detailed!AM16</f>
        <v>0</v>
      </c>
      <c r="K15">
        <f>lc_detailed!AN16</f>
        <v>-1.5636607587806478E-4</v>
      </c>
      <c r="L15">
        <f>lc_detailed!AC16</f>
        <v>74.618861996477222</v>
      </c>
      <c r="M15" t="e">
        <f>lc_detailed!#REF!</f>
        <v>#REF!</v>
      </c>
      <c r="O15" t="str">
        <v>MIDAT_DryMill_CCS_Fermentation_Exhaust</v>
      </c>
      <c r="P15">
        <v>0</v>
      </c>
      <c r="Q15">
        <v>1.0825827669928705</v>
      </c>
      <c r="R15">
        <v>51.540779469794813</v>
      </c>
      <c r="S15">
        <v>4.3817707537233472</v>
      </c>
      <c r="T15">
        <v>1.8459716853700829</v>
      </c>
      <c r="U15">
        <v>8.2322589053372308</v>
      </c>
      <c r="V15">
        <v>-8.1434431562275815</v>
      </c>
      <c r="W15">
        <v>-9.3775205527974688</v>
      </c>
      <c r="X15">
        <v>6.623714419066479</v>
      </c>
      <c r="Y15">
        <v>56.186114291259777</v>
      </c>
      <c r="Z15" t="e">
        <v>#REF!</v>
      </c>
    </row>
    <row r="16" spans="2:26" x14ac:dyDescent="0.2">
      <c r="B16" t="str">
        <f>lc_detailed!B17</f>
        <v>SE_Bio_Ethanol_Agri</v>
      </c>
      <c r="C16">
        <f>lc_detailed!AE17</f>
        <v>-4.125049889652967</v>
      </c>
      <c r="D16">
        <f>lc_detailed!AF17</f>
        <v>0</v>
      </c>
      <c r="E16">
        <f>lc_detailed!AG17</f>
        <v>47.791245802015041</v>
      </c>
      <c r="F16">
        <f>lc_detailed!AH17</f>
        <v>0</v>
      </c>
      <c r="G16">
        <f>lc_detailed!AI17</f>
        <v>18.467997867365622</v>
      </c>
      <c r="H16">
        <f>lc_detailed!AJ17</f>
        <v>9.7407977808399302</v>
      </c>
      <c r="I16">
        <f>lc_detailed!AK17</f>
        <v>0.23988485526947068</v>
      </c>
      <c r="J16">
        <f>lc_detailed!AM17</f>
        <v>0</v>
      </c>
      <c r="K16">
        <f>lc_detailed!AN17</f>
        <v>1.3109149167537951E-4</v>
      </c>
      <c r="L16">
        <f>lc_detailed!AC17</f>
        <v>72.11500750732877</v>
      </c>
      <c r="M16" t="e">
        <f>lc_detailed!#REF!</f>
        <v>#REF!</v>
      </c>
      <c r="O16" t="str">
        <v>NCEN_DryMill_CCS_Fermentation</v>
      </c>
      <c r="P16">
        <v>0</v>
      </c>
      <c r="Q16">
        <v>0.8448152277830977</v>
      </c>
      <c r="R16">
        <v>51.540779469794813</v>
      </c>
      <c r="S16">
        <v>4.3815814152679442</v>
      </c>
      <c r="T16">
        <v>1.1219173819252375</v>
      </c>
      <c r="U16">
        <v>7.8355578478551591</v>
      </c>
      <c r="V16">
        <v>-8.1724348446793407</v>
      </c>
      <c r="W16">
        <v>-7.9768309547515157</v>
      </c>
      <c r="X16">
        <v>6.623714419066479</v>
      </c>
      <c r="Y16">
        <v>56.199099962261862</v>
      </c>
      <c r="Z16" t="e">
        <v>#REF!</v>
      </c>
    </row>
    <row r="17" spans="2:26" x14ac:dyDescent="0.2">
      <c r="B17" t="str">
        <f>lc_detailed!B18</f>
        <v>TX_Bio_Ethanol_Agri</v>
      </c>
      <c r="C17">
        <f>lc_detailed!AE18</f>
        <v>-2.1841453069427526</v>
      </c>
      <c r="D17">
        <f>lc_detailed!AF18</f>
        <v>0</v>
      </c>
      <c r="E17">
        <f>lc_detailed!AG18</f>
        <v>62.940523197873986</v>
      </c>
      <c r="F17">
        <f>lc_detailed!AH18</f>
        <v>0</v>
      </c>
      <c r="G17">
        <f>lc_detailed!AI18</f>
        <v>19.18066504229386</v>
      </c>
      <c r="H17">
        <f>lc_detailed!AJ18</f>
        <v>10.11668838283558</v>
      </c>
      <c r="I17">
        <f>lc_detailed!AK18</f>
        <v>0.24914184475694828</v>
      </c>
      <c r="J17">
        <f>lc_detailed!AM18</f>
        <v>0</v>
      </c>
      <c r="K17">
        <f>lc_detailed!AN18</f>
        <v>-1.6045580677959698E-4</v>
      </c>
      <c r="L17">
        <f>lc_detailed!AC18</f>
        <v>90.302712705010833</v>
      </c>
      <c r="M17" t="e">
        <f>lc_detailed!#REF!</f>
        <v>#REF!</v>
      </c>
      <c r="O17" t="str">
        <v>SE_DryMill_CCS_Fermentation</v>
      </c>
      <c r="P17">
        <v>0</v>
      </c>
      <c r="Q17">
        <v>1.0510573049050351</v>
      </c>
      <c r="R17">
        <v>51.540779469794813</v>
      </c>
      <c r="S17">
        <v>4.3815504029347316</v>
      </c>
      <c r="T17">
        <v>1.1219173819252375</v>
      </c>
      <c r="U17">
        <v>7.8355578478551591</v>
      </c>
      <c r="V17">
        <v>-8.1724348446793407</v>
      </c>
      <c r="W17">
        <v>-7.2904871459067548</v>
      </c>
      <c r="X17">
        <v>6.623714419066479</v>
      </c>
      <c r="Y17">
        <v>57.091654835895355</v>
      </c>
      <c r="Z17" t="e">
        <v>#REF!</v>
      </c>
    </row>
    <row r="18" spans="2:26" x14ac:dyDescent="0.2">
      <c r="B18" t="str">
        <f>lc_detailed!B19</f>
        <v>CEN_Bio_Ethanol_CCS_20_Herb</v>
      </c>
      <c r="C18">
        <f>lc_detailed!AE19</f>
        <v>0</v>
      </c>
      <c r="D18">
        <f>lc_detailed!AF19</f>
        <v>0</v>
      </c>
      <c r="E18">
        <f>lc_detailed!AG19</f>
        <v>56.806854091092305</v>
      </c>
      <c r="F18">
        <f>lc_detailed!AH19</f>
        <v>0</v>
      </c>
      <c r="G18">
        <f>lc_detailed!AI19</f>
        <v>18.725964591166843</v>
      </c>
      <c r="H18">
        <f>lc_detailed!AJ19</f>
        <v>9.9021474929402586</v>
      </c>
      <c r="I18">
        <f>lc_detailed!AK19</f>
        <v>0.2418379685610641</v>
      </c>
      <c r="J18">
        <f>lc_detailed!AM19</f>
        <v>-10.34564483988755</v>
      </c>
      <c r="K18">
        <f>lc_detailed!AN19</f>
        <v>4.6514504073076911E-4</v>
      </c>
      <c r="L18">
        <f>lc_detailed!AC19</f>
        <v>75.331624448913644</v>
      </c>
      <c r="M18" t="e">
        <f>lc_detailed!#REF!</f>
        <v>#REF!</v>
      </c>
      <c r="O18" t="str">
        <v>NE_DryMill_CCS_Fermentation_Exhaust</v>
      </c>
      <c r="P18">
        <v>0</v>
      </c>
      <c r="Q18">
        <v>1.3054571304581477</v>
      </c>
      <c r="R18">
        <v>51.540779469794813</v>
      </c>
      <c r="S18">
        <v>4.3816848985271903</v>
      </c>
      <c r="T18">
        <v>1.8459716853700829</v>
      </c>
      <c r="U18">
        <v>8.2322589053372308</v>
      </c>
      <c r="V18">
        <v>-8.1434431562275815</v>
      </c>
      <c r="W18">
        <v>-7.9982598336656334</v>
      </c>
      <c r="X18">
        <v>6.623714419066479</v>
      </c>
      <c r="Y18">
        <v>57.788163518660731</v>
      </c>
      <c r="Z18" t="e">
        <v>#REF!</v>
      </c>
    </row>
    <row r="19" spans="2:26" x14ac:dyDescent="0.2">
      <c r="B19" t="str">
        <f>lc_detailed!B20</f>
        <v>MIDAT_Bio_Ethanol_CCS_20_Herb</v>
      </c>
      <c r="C19">
        <f>lc_detailed!AE20</f>
        <v>0</v>
      </c>
      <c r="D19">
        <f>lc_detailed!AF20</f>
        <v>0</v>
      </c>
      <c r="E19">
        <f>lc_detailed!AG20</f>
        <v>51.008372314796226</v>
      </c>
      <c r="F19">
        <f>lc_detailed!AH20</f>
        <v>0</v>
      </c>
      <c r="G19">
        <f>lc_detailed!AI20</f>
        <v>18.654534491341071</v>
      </c>
      <c r="H19">
        <f>lc_detailed!AJ20</f>
        <v>9.8643758000340416</v>
      </c>
      <c r="I19">
        <f>lc_detailed!AK20</f>
        <v>0.24091547881951414</v>
      </c>
      <c r="J19">
        <f>lc_detailed!AM20</f>
        <v>-7.4809611216726379</v>
      </c>
      <c r="K19">
        <f>lc_detailed!AN20</f>
        <v>1.9212493449440382E-4</v>
      </c>
      <c r="L19">
        <f>lc_detailed!AC20</f>
        <v>72.287429088252708</v>
      </c>
      <c r="M19" t="e">
        <f>lc_detailed!#REF!</f>
        <v>#REF!</v>
      </c>
      <c r="O19" t="str">
        <v>MIDAT_DryMill_CCS_Fermentation</v>
      </c>
      <c r="P19">
        <v>0</v>
      </c>
      <c r="Q19">
        <v>1.0825827669928705</v>
      </c>
      <c r="R19">
        <v>51.540779469794813</v>
      </c>
      <c r="S19">
        <v>4.3817707537233472</v>
      </c>
      <c r="T19">
        <v>1.1219173819252375</v>
      </c>
      <c r="U19">
        <v>7.8355578478551591</v>
      </c>
      <c r="V19">
        <v>-8.1724348446793407</v>
      </c>
      <c r="W19">
        <v>-6.5692563398373789</v>
      </c>
      <c r="X19">
        <v>6.623714419066479</v>
      </c>
      <c r="Y19">
        <v>57.844631454841178</v>
      </c>
      <c r="Z19" t="e">
        <v>#REF!</v>
      </c>
    </row>
    <row r="20" spans="2:26" x14ac:dyDescent="0.2">
      <c r="B20" t="str">
        <f>lc_detailed!B21</f>
        <v>NCEN_Bio_Ethanol_CCS_20_Herb</v>
      </c>
      <c r="C20">
        <f>lc_detailed!AE21</f>
        <v>0</v>
      </c>
      <c r="D20">
        <f>lc_detailed!AF21</f>
        <v>0</v>
      </c>
      <c r="E20">
        <f>lc_detailed!AG21</f>
        <v>53.324627635598738</v>
      </c>
      <c r="F20">
        <f>lc_detailed!AH21</f>
        <v>0</v>
      </c>
      <c r="G20">
        <f>lc_detailed!AI21</f>
        <v>18.614360955851129</v>
      </c>
      <c r="H20">
        <f>lc_detailed!AJ21</f>
        <v>9.8431323403554991</v>
      </c>
      <c r="I20">
        <f>lc_detailed!AK21</f>
        <v>0.24039665447989184</v>
      </c>
      <c r="J20">
        <f>lc_detailed!AM21</f>
        <v>-9.0855924580519272</v>
      </c>
      <c r="K20">
        <f>lc_detailed!AN21</f>
        <v>-5.1153823440281266E-4</v>
      </c>
      <c r="L20">
        <f>lc_detailed!AC21</f>
        <v>72.936413589998921</v>
      </c>
      <c r="M20" t="e">
        <f>lc_detailed!#REF!</f>
        <v>#REF!</v>
      </c>
      <c r="O20" t="str">
        <v>NE_DryMill_CCS_Fermentation</v>
      </c>
      <c r="P20">
        <v>0</v>
      </c>
      <c r="Q20">
        <v>1.3054571304581477</v>
      </c>
      <c r="R20">
        <v>51.540779469794813</v>
      </c>
      <c r="S20">
        <v>4.3816848985271903</v>
      </c>
      <c r="T20">
        <v>1.1219173819252375</v>
      </c>
      <c r="U20">
        <v>7.8355578478551591</v>
      </c>
      <c r="V20">
        <v>-8.1724348446793407</v>
      </c>
      <c r="W20">
        <v>-5.6030396120326609</v>
      </c>
      <c r="X20">
        <v>6.623714419066479</v>
      </c>
      <c r="Y20">
        <v>59.033636690915017</v>
      </c>
      <c r="Z20" t="e">
        <v>#REF!</v>
      </c>
    </row>
    <row r="21" spans="2:26" x14ac:dyDescent="0.2">
      <c r="B21" t="str">
        <f>lc_detailed!B22</f>
        <v>SE_Bio_Ethanol_CCS_20_Herb</v>
      </c>
      <c r="C21">
        <f>lc_detailed!AE22</f>
        <v>0</v>
      </c>
      <c r="D21">
        <f>lc_detailed!AF22</f>
        <v>0</v>
      </c>
      <c r="E21">
        <f>lc_detailed!AG22</f>
        <v>50.715389351501386</v>
      </c>
      <c r="F21">
        <f>lc_detailed!AH22</f>
        <v>0</v>
      </c>
      <c r="G21">
        <f>lc_detailed!AI22</f>
        <v>18.757150906155914</v>
      </c>
      <c r="H21">
        <f>lc_detailed!AJ22</f>
        <v>9.9186385788482578</v>
      </c>
      <c r="I21">
        <f>lc_detailed!AK22</f>
        <v>0.24224072672218017</v>
      </c>
      <c r="J21">
        <f>lc_detailed!AM22</f>
        <v>-8.2401474332341351</v>
      </c>
      <c r="K21">
        <f>lc_detailed!AN22</f>
        <v>3.0013586781415905E-5</v>
      </c>
      <c r="L21">
        <f>lc_detailed!AC22</f>
        <v>71.393302143580385</v>
      </c>
      <c r="M21" t="e">
        <f>lc_detailed!#REF!</f>
        <v>#REF!</v>
      </c>
      <c r="O21" t="str">
        <v>TX_DryMill_Existing_Non_CCS</v>
      </c>
      <c r="P21">
        <v>0</v>
      </c>
      <c r="Q21">
        <v>0.55645947397359674</v>
      </c>
      <c r="R21">
        <v>51.540779469794813</v>
      </c>
      <c r="S21">
        <v>4.3502184794673902</v>
      </c>
      <c r="T21">
        <v>0</v>
      </c>
      <c r="U21">
        <v>7.2208724377810398</v>
      </c>
      <c r="V21">
        <v>-8.1853200395467898</v>
      </c>
      <c r="W21">
        <v>0</v>
      </c>
      <c r="X21">
        <v>6.623714419066479</v>
      </c>
      <c r="Y21">
        <v>62.106724240536536</v>
      </c>
      <c r="Z21" t="e">
        <v>#REF!</v>
      </c>
    </row>
    <row r="22" spans="2:26" x14ac:dyDescent="0.2">
      <c r="B22" t="str">
        <f>lc_detailed!B23</f>
        <v>TX_Bio_Ethanol_CCS_20_Herb</v>
      </c>
      <c r="C22">
        <f>lc_detailed!AE23</f>
        <v>0</v>
      </c>
      <c r="D22">
        <f>lc_detailed!AF23</f>
        <v>0</v>
      </c>
      <c r="E22">
        <f>lc_detailed!AG23</f>
        <v>71.032421942209396</v>
      </c>
      <c r="F22">
        <f>lc_detailed!AH23</f>
        <v>0</v>
      </c>
      <c r="G22">
        <f>lc_detailed!AI23</f>
        <v>18.808407732679495</v>
      </c>
      <c r="H22">
        <f>lc_detailed!AJ23</f>
        <v>9.945742798435214</v>
      </c>
      <c r="I22">
        <f>lc_detailed!AK23</f>
        <v>0.24290268711097615</v>
      </c>
      <c r="J22">
        <f>lc_detailed!AM23</f>
        <v>-11.66364319805268</v>
      </c>
      <c r="K22">
        <f>lc_detailed!AN23</f>
        <v>5.9497699986129173E-4</v>
      </c>
      <c r="L22">
        <f>lc_detailed!AC23</f>
        <v>88.366426939382265</v>
      </c>
      <c r="M22" t="e">
        <f>lc_detailed!#REF!</f>
        <v>#REF!</v>
      </c>
      <c r="O22" t="str">
        <v>CEN_DryMill_Existing_Non_CCS</v>
      </c>
      <c r="P22">
        <v>0</v>
      </c>
      <c r="Q22">
        <v>0.69741155638819219</v>
      </c>
      <c r="R22">
        <v>51.540779469794813</v>
      </c>
      <c r="S22">
        <v>4.381555299618924</v>
      </c>
      <c r="T22">
        <v>0</v>
      </c>
      <c r="U22">
        <v>7.2208724377810398</v>
      </c>
      <c r="V22">
        <v>-8.1853200395467898</v>
      </c>
      <c r="W22">
        <v>0</v>
      </c>
      <c r="X22">
        <v>6.623714419066479</v>
      </c>
      <c r="Y22">
        <v>62.279013143102659</v>
      </c>
      <c r="Z22" t="e">
        <v>#REF!</v>
      </c>
    </row>
    <row r="23" spans="2:26" x14ac:dyDescent="0.2">
      <c r="B23" t="str">
        <f>lc_detailed!B24</f>
        <v>CEN_Bio_Ethanol_CCS_20_Wood</v>
      </c>
      <c r="C23">
        <f>lc_detailed!AE24</f>
        <v>0</v>
      </c>
      <c r="D23">
        <f>lc_detailed!AF24</f>
        <v>0</v>
      </c>
      <c r="E23">
        <f>lc_detailed!AG24</f>
        <v>62.517755514882957</v>
      </c>
      <c r="F23">
        <f>lc_detailed!AH24</f>
        <v>0</v>
      </c>
      <c r="G23">
        <f>lc_detailed!AI24</f>
        <v>17.901596436060082</v>
      </c>
      <c r="H23">
        <f>lc_detailed!AJ24</f>
        <v>9.4662278894074863</v>
      </c>
      <c r="I23">
        <f>lc_detailed!AK24</f>
        <v>0.23119160003853192</v>
      </c>
      <c r="J23">
        <f>lc_detailed!AM24</f>
        <v>-10.342856317499015</v>
      </c>
      <c r="K23">
        <f>lc_detailed!AN24</f>
        <v>-2.1686634636532121E-4</v>
      </c>
      <c r="L23">
        <f>lc_detailed!AC24</f>
        <v>79.773698256543682</v>
      </c>
      <c r="M23" t="e">
        <f>lc_detailed!#REF!</f>
        <v>#REF!</v>
      </c>
      <c r="O23" t="str">
        <v>NW_DryMill_Existing_Non_CCS</v>
      </c>
      <c r="P23">
        <v>0</v>
      </c>
      <c r="Q23">
        <v>0.73586366011438453</v>
      </c>
      <c r="R23">
        <v>51.540779469794813</v>
      </c>
      <c r="S23">
        <v>4.4575492267051553</v>
      </c>
      <c r="T23">
        <v>0</v>
      </c>
      <c r="U23">
        <v>7.2208724377810398</v>
      </c>
      <c r="V23">
        <v>-8.1853200395467898</v>
      </c>
      <c r="W23">
        <v>0</v>
      </c>
      <c r="X23">
        <v>6.623714419066479</v>
      </c>
      <c r="Y23">
        <v>62.393459173915083</v>
      </c>
      <c r="Z23" t="e">
        <v>#REF!</v>
      </c>
    </row>
    <row r="24" spans="2:26" x14ac:dyDescent="0.2">
      <c r="B24" t="str">
        <f>lc_detailed!B25</f>
        <v>MIDAT_Bio_Ethanol_CCS_20_Wood</v>
      </c>
      <c r="C24">
        <f>lc_detailed!AE25</f>
        <v>0</v>
      </c>
      <c r="D24">
        <f>lc_detailed!AF25</f>
        <v>0</v>
      </c>
      <c r="E24">
        <f>lc_detailed!AG25</f>
        <v>52.936851234478418</v>
      </c>
      <c r="F24">
        <f>lc_detailed!AH25</f>
        <v>0</v>
      </c>
      <c r="G24">
        <f>lc_detailed!AI25</f>
        <v>17.957817326447284</v>
      </c>
      <c r="H24">
        <f>lc_detailed!AJ25</f>
        <v>9.4959570681682486</v>
      </c>
      <c r="I24">
        <f>lc_detailed!AK25</f>
        <v>0.23191766922742424</v>
      </c>
      <c r="J24">
        <f>lc_detailed!AM25</f>
        <v>-7.4958913894623533</v>
      </c>
      <c r="K24">
        <f>lc_detailed!AN25</f>
        <v>1.8267779579782362E-4</v>
      </c>
      <c r="L24">
        <f>lc_detailed!AC25</f>
        <v>73.126834586654837</v>
      </c>
      <c r="M24" t="e">
        <f>lc_detailed!#REF!</f>
        <v>#REF!</v>
      </c>
      <c r="O24" t="str">
        <v>NCEN_DryMill_Existing_Non_CCS</v>
      </c>
      <c r="P24">
        <v>0</v>
      </c>
      <c r="Q24">
        <v>0.8448152277830977</v>
      </c>
      <c r="R24">
        <v>51.540779469794813</v>
      </c>
      <c r="S24">
        <v>4.3815814152679442</v>
      </c>
      <c r="T24">
        <v>0</v>
      </c>
      <c r="U24">
        <v>7.2208724377810398</v>
      </c>
      <c r="V24">
        <v>-8.1853200395467898</v>
      </c>
      <c r="W24">
        <v>0</v>
      </c>
      <c r="X24">
        <v>6.623714419066479</v>
      </c>
      <c r="Y24">
        <v>62.426442930146585</v>
      </c>
      <c r="Z24" t="e">
        <v>#REF!</v>
      </c>
    </row>
    <row r="25" spans="2:26" x14ac:dyDescent="0.2">
      <c r="B25" t="str">
        <f>lc_detailed!B26</f>
        <v>NCEN_Bio_Ethanol_CCS_20_Wood</v>
      </c>
      <c r="C25">
        <f>lc_detailed!AE26</f>
        <v>0</v>
      </c>
      <c r="D25">
        <f>lc_detailed!AF26</f>
        <v>0</v>
      </c>
      <c r="E25">
        <f>lc_detailed!AG26</f>
        <v>56.823526577032439</v>
      </c>
      <c r="F25">
        <f>lc_detailed!AH26</f>
        <v>0</v>
      </c>
      <c r="G25">
        <f>lc_detailed!AI26</f>
        <v>17.911085981662545</v>
      </c>
      <c r="H25">
        <f>lc_detailed!AJ26</f>
        <v>9.4712458888669584</v>
      </c>
      <c r="I25">
        <f>lc_detailed!AK26</f>
        <v>0.23131415353476942</v>
      </c>
      <c r="J25">
        <f>lc_detailed!AM26</f>
        <v>-9.0424421840183715</v>
      </c>
      <c r="K25">
        <f>lc_detailed!AN26</f>
        <v>-3.5572931101442189E-4</v>
      </c>
      <c r="L25">
        <f>lc_detailed!AC26</f>
        <v>75.394374687767325</v>
      </c>
      <c r="M25" t="e">
        <f>lc_detailed!#REF!</f>
        <v>#REF!</v>
      </c>
      <c r="O25" t="str">
        <v>SW_DryMill_Existing_Non_CCS</v>
      </c>
      <c r="P25">
        <v>0</v>
      </c>
      <c r="Q25">
        <v>0.77013340353811088</v>
      </c>
      <c r="R25">
        <v>51.540779469794813</v>
      </c>
      <c r="S25">
        <v>4.4574960160702748</v>
      </c>
      <c r="T25">
        <v>0</v>
      </c>
      <c r="U25">
        <v>7.2208724377810398</v>
      </c>
      <c r="V25">
        <v>-8.1853200395467898</v>
      </c>
      <c r="W25">
        <v>0</v>
      </c>
      <c r="X25">
        <v>6.623714419066479</v>
      </c>
      <c r="Y25">
        <v>62.42767570670393</v>
      </c>
      <c r="Z25" t="e">
        <v>#REF!</v>
      </c>
    </row>
    <row r="26" spans="2:26" x14ac:dyDescent="0.2">
      <c r="B26" t="str">
        <f>lc_detailed!B27</f>
        <v>SE_Bio_Ethanol_CCS_20_Wood</v>
      </c>
      <c r="C26">
        <f>lc_detailed!AE27</f>
        <v>0</v>
      </c>
      <c r="D26">
        <f>lc_detailed!AF27</f>
        <v>0</v>
      </c>
      <c r="E26">
        <f>lc_detailed!AG27</f>
        <v>55.507517995968897</v>
      </c>
      <c r="F26">
        <f>lc_detailed!AH27</f>
        <v>0</v>
      </c>
      <c r="G26">
        <f>lc_detailed!AI27</f>
        <v>17.836306037310653</v>
      </c>
      <c r="H26">
        <f>lc_detailed!AJ27</f>
        <v>9.4317028236816505</v>
      </c>
      <c r="I26">
        <f>lc_detailed!AK27</f>
        <v>0.23034840195796139</v>
      </c>
      <c r="J26">
        <f>lc_detailed!AM27</f>
        <v>-8.3355413900113255</v>
      </c>
      <c r="K26">
        <f>lc_detailed!AN27</f>
        <v>-4.7542377666829607E-4</v>
      </c>
      <c r="L26">
        <f>lc_detailed!AC27</f>
        <v>74.669858445131169</v>
      </c>
      <c r="M26" t="e">
        <f>lc_detailed!#REF!</f>
        <v>#REF!</v>
      </c>
      <c r="O26" t="str">
        <v>SE_DryMill_Existing_Non_CCS</v>
      </c>
      <c r="P26">
        <v>0</v>
      </c>
      <c r="Q26">
        <v>1.0510573049050351</v>
      </c>
      <c r="R26">
        <v>51.540779469794813</v>
      </c>
      <c r="S26">
        <v>4.3815504029347316</v>
      </c>
      <c r="T26">
        <v>0</v>
      </c>
      <c r="U26">
        <v>7.2208724377810398</v>
      </c>
      <c r="V26">
        <v>-8.1853200395467898</v>
      </c>
      <c r="W26">
        <v>0</v>
      </c>
      <c r="X26">
        <v>6.623714419066479</v>
      </c>
      <c r="Y26">
        <v>62.63265399493531</v>
      </c>
      <c r="Z26" t="e">
        <v>#REF!</v>
      </c>
    </row>
    <row r="27" spans="2:26" x14ac:dyDescent="0.2">
      <c r="B27" t="str">
        <f>lc_detailed!B28</f>
        <v>TX_Bio_Ethanol_CCS_20_Wood</v>
      </c>
      <c r="C27">
        <f>lc_detailed!AE28</f>
        <v>0</v>
      </c>
      <c r="D27">
        <f>lc_detailed!AF28</f>
        <v>0</v>
      </c>
      <c r="E27">
        <f>lc_detailed!AG28</f>
        <v>77.975442970306659</v>
      </c>
      <c r="F27">
        <f>lc_detailed!AH28</f>
        <v>0</v>
      </c>
      <c r="G27">
        <f>lc_detailed!AI28</f>
        <v>18.062542897676021</v>
      </c>
      <c r="H27">
        <f>lc_detailed!AJ28</f>
        <v>9.551335152834632</v>
      </c>
      <c r="I27">
        <f>lc_detailed!AK28</f>
        <v>0.23327015599941681</v>
      </c>
      <c r="J27">
        <f>lc_detailed!AM28</f>
        <v>-11.985856074850195</v>
      </c>
      <c r="K27">
        <f>lc_detailed!AN28</f>
        <v>-1.1330395506143057E-4</v>
      </c>
      <c r="L27">
        <f>lc_detailed!AC28</f>
        <v>93.836621798011478</v>
      </c>
      <c r="M27" t="e">
        <f>lc_detailed!#REF!</f>
        <v>#REF!</v>
      </c>
      <c r="O27" t="str">
        <v>CA_DryMill_Existing_Non_CCS</v>
      </c>
      <c r="P27">
        <v>0</v>
      </c>
      <c r="Q27">
        <v>1.0053136927072917</v>
      </c>
      <c r="R27">
        <v>51.540779469794813</v>
      </c>
      <c r="S27">
        <v>4.4570380128755689</v>
      </c>
      <c r="T27">
        <v>0</v>
      </c>
      <c r="U27">
        <v>7.2208724377810398</v>
      </c>
      <c r="V27">
        <v>-8.1853200395467898</v>
      </c>
      <c r="W27">
        <v>0</v>
      </c>
      <c r="X27">
        <v>6.623714419066479</v>
      </c>
      <c r="Y27">
        <v>62.662397992678407</v>
      </c>
      <c r="Z27" t="e">
        <v>#REF!</v>
      </c>
    </row>
    <row r="28" spans="2:26" x14ac:dyDescent="0.2">
      <c r="B28" t="str">
        <f>lc_detailed!B29</f>
        <v>CEN_Bio_Ethanol_CCS_20_Agri</v>
      </c>
      <c r="C28">
        <f>lc_detailed!AE29</f>
        <v>0</v>
      </c>
      <c r="D28">
        <f>lc_detailed!AF29</f>
        <v>0</v>
      </c>
      <c r="E28">
        <f>lc_detailed!AG29</f>
        <v>54.205622124745908</v>
      </c>
      <c r="F28">
        <f>lc_detailed!AH29</f>
        <v>0</v>
      </c>
      <c r="G28">
        <f>lc_detailed!AI29</f>
        <v>19.881937798517143</v>
      </c>
      <c r="H28">
        <f>lc_detailed!AJ29</f>
        <v>10.513417323198794</v>
      </c>
      <c r="I28">
        <f>lc_detailed!AK29</f>
        <v>0.25676687707285761</v>
      </c>
      <c r="J28">
        <f>lc_detailed!AM29</f>
        <v>-11.015417030982915</v>
      </c>
      <c r="K28">
        <f>lc_detailed!AN29</f>
        <v>5.7463897387915856E-4</v>
      </c>
      <c r="L28">
        <f>lc_detailed!AC29</f>
        <v>73.842901731525686</v>
      </c>
      <c r="M28" t="e">
        <f>lc_detailed!#REF!</f>
        <v>#REF!</v>
      </c>
      <c r="O28" t="str">
        <v>MIDAT_DryMill_Existing_Non_CCS</v>
      </c>
      <c r="P28">
        <v>0</v>
      </c>
      <c r="Q28">
        <v>1.0825827669928705</v>
      </c>
      <c r="R28">
        <v>51.540779469794813</v>
      </c>
      <c r="S28">
        <v>4.3817707537233472</v>
      </c>
      <c r="T28">
        <v>0</v>
      </c>
      <c r="U28">
        <v>7.2208724377810398</v>
      </c>
      <c r="V28">
        <v>-8.1853200395467898</v>
      </c>
      <c r="W28">
        <v>0</v>
      </c>
      <c r="X28">
        <v>6.623714419066479</v>
      </c>
      <c r="Y28">
        <v>62.664399807811762</v>
      </c>
      <c r="Z28" t="e">
        <v>#REF!</v>
      </c>
    </row>
    <row r="29" spans="2:26" x14ac:dyDescent="0.2">
      <c r="B29" t="str">
        <f>lc_detailed!B30</f>
        <v>MIDAT_Bio_Ethanol_CCS_20_Agri</v>
      </c>
      <c r="C29">
        <f>lc_detailed!AE30</f>
        <v>0</v>
      </c>
      <c r="D29">
        <f>lc_detailed!AF30</f>
        <v>0</v>
      </c>
      <c r="E29">
        <f>lc_detailed!AG30</f>
        <v>47.956553978631803</v>
      </c>
      <c r="F29">
        <f>lc_detailed!AH30</f>
        <v>0</v>
      </c>
      <c r="G29">
        <f>lc_detailed!AI30</f>
        <v>19.756176325172991</v>
      </c>
      <c r="H29">
        <f>lc_detailed!AJ30</f>
        <v>10.446915613664926</v>
      </c>
      <c r="I29">
        <f>lc_detailed!AK30</f>
        <v>0.2551427204592569</v>
      </c>
      <c r="J29">
        <f>lc_detailed!AM30</f>
        <v>-7.9077553420561451</v>
      </c>
      <c r="K29">
        <f>lc_detailed!AN30</f>
        <v>-4.6264719701112226E-4</v>
      </c>
      <c r="L29">
        <f>lc_detailed!AC30</f>
        <v>70.506570648675819</v>
      </c>
      <c r="M29" t="e">
        <f>lc_detailed!#REF!</f>
        <v>#REF!</v>
      </c>
      <c r="O29" t="str">
        <v>NE_DryMill_Existing_Non_CCS</v>
      </c>
      <c r="P29">
        <v>0</v>
      </c>
      <c r="Q29">
        <v>1.3054571304581477</v>
      </c>
      <c r="R29">
        <v>51.540779469794813</v>
      </c>
      <c r="S29">
        <v>4.3816848985271903</v>
      </c>
      <c r="T29">
        <v>0</v>
      </c>
      <c r="U29">
        <v>7.2208724377810398</v>
      </c>
      <c r="V29">
        <v>-8.1853200395467898</v>
      </c>
      <c r="W29">
        <v>0</v>
      </c>
      <c r="X29">
        <v>6.623714419066479</v>
      </c>
      <c r="Y29">
        <v>62.887188316080881</v>
      </c>
      <c r="Z29" t="e">
        <v>#REF!</v>
      </c>
    </row>
    <row r="30" spans="2:26" x14ac:dyDescent="0.2">
      <c r="B30" t="str">
        <f>lc_detailed!B31</f>
        <v>NCEN_Bio_Ethanol_CCS_20_Agri</v>
      </c>
      <c r="C30">
        <f>lc_detailed!AE31</f>
        <v>0</v>
      </c>
      <c r="D30">
        <f>lc_detailed!AF31</f>
        <v>0</v>
      </c>
      <c r="E30">
        <f>lc_detailed!AG31</f>
        <v>49.602053092646671</v>
      </c>
      <c r="F30">
        <f>lc_detailed!AH31</f>
        <v>0</v>
      </c>
      <c r="G30">
        <f>lc_detailed!AI31</f>
        <v>19.733100356011654</v>
      </c>
      <c r="H30">
        <f>lc_detailed!AJ31</f>
        <v>10.434713216876997</v>
      </c>
      <c r="I30">
        <f>lc_detailed!AK31</f>
        <v>0.25484470400849479</v>
      </c>
      <c r="J30">
        <f>lc_detailed!AM31</f>
        <v>-9.602185198830286</v>
      </c>
      <c r="K30">
        <f>lc_detailed!AN31</f>
        <v>-1.5638237425663653E-4</v>
      </c>
      <c r="L30">
        <f>lc_detailed!AC31</f>
        <v>70.422369788339282</v>
      </c>
      <c r="M30" t="e">
        <f>lc_detailed!#REF!</f>
        <v>#REF!</v>
      </c>
      <c r="O30" t="str">
        <v>CEN_Bio_Ethanol_CCS_86_Agri</v>
      </c>
      <c r="P30">
        <v>0</v>
      </c>
      <c r="Q30">
        <v>3.5716983391462507</v>
      </c>
      <c r="R30">
        <v>54.205622124745908</v>
      </c>
      <c r="S30">
        <v>0</v>
      </c>
      <c r="T30">
        <v>35.292665333437341</v>
      </c>
      <c r="U30">
        <v>18.94822877590039</v>
      </c>
      <c r="V30">
        <v>0.89333475981598376</v>
      </c>
      <c r="W30">
        <v>-46.392597519116201</v>
      </c>
      <c r="X30">
        <v>5.7463897387915856E-4</v>
      </c>
      <c r="Y30">
        <v>66.519526452903563</v>
      </c>
      <c r="Z30" t="e">
        <v>#REF!</v>
      </c>
    </row>
    <row r="31" spans="2:26" x14ac:dyDescent="0.2">
      <c r="B31" t="str">
        <f>lc_detailed!B32</f>
        <v>SE_Bio_Ethanol_CCS_20_Agri</v>
      </c>
      <c r="C31">
        <f>lc_detailed!AE32</f>
        <v>0</v>
      </c>
      <c r="D31">
        <f>lc_detailed!AF32</f>
        <v>0</v>
      </c>
      <c r="E31">
        <f>lc_detailed!AG32</f>
        <v>47.791245802015041</v>
      </c>
      <c r="F31">
        <f>lc_detailed!AH32</f>
        <v>0</v>
      </c>
      <c r="G31">
        <f>lc_detailed!AI32</f>
        <v>19.813046815154298</v>
      </c>
      <c r="H31">
        <f>lc_detailed!AJ32</f>
        <v>10.476988295744883</v>
      </c>
      <c r="I31">
        <f>lc_detailed!AK32</f>
        <v>0.25587717895410206</v>
      </c>
      <c r="J31">
        <f>lc_detailed!AM32</f>
        <v>-8.678663002113586</v>
      </c>
      <c r="K31">
        <f>lc_detailed!AN32</f>
        <v>1.3107519348156451E-4</v>
      </c>
      <c r="L31">
        <f>lc_detailed!AC32</f>
        <v>69.658626164948231</v>
      </c>
      <c r="M31" t="e">
        <f>lc_detailed!#REF!</f>
        <v>#REF!</v>
      </c>
      <c r="O31" t="str">
        <v>NCEN_Bio_Ethanol_CCS_86_Agri</v>
      </c>
      <c r="P31">
        <v>0</v>
      </c>
      <c r="Q31">
        <v>4.2942169272099813</v>
      </c>
      <c r="R31">
        <v>49.602053092646671</v>
      </c>
      <c r="S31">
        <v>0</v>
      </c>
      <c r="T31">
        <v>35.028462210951822</v>
      </c>
      <c r="U31">
        <v>18.806381138130178</v>
      </c>
      <c r="V31">
        <v>0.88664719936288827</v>
      </c>
      <c r="W31">
        <v>-40.440621719575375</v>
      </c>
      <c r="X31">
        <v>-1.5638237428127077E-4</v>
      </c>
      <c r="Y31">
        <v>68.176982466351873</v>
      </c>
      <c r="Z31" t="e">
        <v>#REF!</v>
      </c>
    </row>
    <row r="32" spans="2:26" x14ac:dyDescent="0.2">
      <c r="B32" t="str">
        <f>lc_detailed!B33</f>
        <v>TX_Bio_Ethanol_CCS_20_Agri</v>
      </c>
      <c r="C32">
        <f>lc_detailed!AE33</f>
        <v>0</v>
      </c>
      <c r="D32">
        <f>lc_detailed!AF33</f>
        <v>0</v>
      </c>
      <c r="E32">
        <f>lc_detailed!AG33</f>
        <v>62.940523197873986</v>
      </c>
      <c r="F32">
        <f>lc_detailed!AH33</f>
        <v>0</v>
      </c>
      <c r="G32">
        <f>lc_detailed!AI33</f>
        <v>20.577618492164735</v>
      </c>
      <c r="H32">
        <f>lc_detailed!AJ33</f>
        <v>10.881287976961479</v>
      </c>
      <c r="I32">
        <f>lc_detailed!AK33</f>
        <v>0.26575130107407818</v>
      </c>
      <c r="J32">
        <f>lc_detailed!AM33</f>
        <v>-12.336298730305126</v>
      </c>
      <c r="K32">
        <f>lc_detailed!AN33</f>
        <v>-1.6047210515816873E-4</v>
      </c>
      <c r="L32">
        <f>lc_detailed!AC33</f>
        <v>82.328721765663985</v>
      </c>
      <c r="M32" t="e">
        <f>lc_detailed!#REF!</f>
        <v>#REF!</v>
      </c>
      <c r="O32" t="str">
        <v>CEN_Bio_Ethanol_CCS_86_Herb</v>
      </c>
      <c r="P32">
        <v>0</v>
      </c>
      <c r="Q32">
        <v>3.3640330890769854</v>
      </c>
      <c r="R32">
        <v>56.806854091092305</v>
      </c>
      <c r="S32">
        <v>0</v>
      </c>
      <c r="T32">
        <v>33.240683481624224</v>
      </c>
      <c r="U32">
        <v>17.846543164887237</v>
      </c>
      <c r="V32">
        <v>0.8413945989520355</v>
      </c>
      <c r="W32">
        <v>-43.571780876079742</v>
      </c>
      <c r="X32">
        <v>4.6514504074308624E-4</v>
      </c>
      <c r="Y32">
        <v>68.528192694593798</v>
      </c>
      <c r="Z32" t="e">
        <v>#REF!</v>
      </c>
    </row>
    <row r="33" spans="2:26" x14ac:dyDescent="0.2">
      <c r="B33" t="str">
        <f>lc_detailed!B34</f>
        <v>CEN_Bio_Ethanol_CCS_86_Herb</v>
      </c>
      <c r="C33">
        <f>lc_detailed!AE34</f>
        <v>0</v>
      </c>
      <c r="D33">
        <f>lc_detailed!AF34</f>
        <v>3.3640330890769854</v>
      </c>
      <c r="E33">
        <f>lc_detailed!AG34</f>
        <v>56.806854091092305</v>
      </c>
      <c r="F33">
        <f>lc_detailed!AH34</f>
        <v>0</v>
      </c>
      <c r="G33">
        <f>lc_detailed!AI34</f>
        <v>33.240683481624224</v>
      </c>
      <c r="H33">
        <f>lc_detailed!AJ34</f>
        <v>17.846543164887237</v>
      </c>
      <c r="I33">
        <f>lc_detailed!AK34</f>
        <v>0.8413945989520355</v>
      </c>
      <c r="J33">
        <f>lc_detailed!AM34</f>
        <v>-43.571780876079742</v>
      </c>
      <c r="K33">
        <f>lc_detailed!AN34</f>
        <v>4.6514504074308624E-4</v>
      </c>
      <c r="L33">
        <f>lc_detailed!AC34</f>
        <v>68.528192694593798</v>
      </c>
      <c r="M33" t="e">
        <f>lc_detailed!#REF!</f>
        <v>#REF!</v>
      </c>
      <c r="O33" t="str">
        <v>SE_Bio_Ethanol_CCS_20_Agri</v>
      </c>
      <c r="P33">
        <v>0</v>
      </c>
      <c r="Q33">
        <v>0</v>
      </c>
      <c r="R33">
        <v>47.791245802015041</v>
      </c>
      <c r="S33">
        <v>0</v>
      </c>
      <c r="T33">
        <v>19.813046815154298</v>
      </c>
      <c r="U33">
        <v>10.476988295744883</v>
      </c>
      <c r="V33">
        <v>0.25587717895410206</v>
      </c>
      <c r="W33">
        <v>-8.678663002113586</v>
      </c>
      <c r="X33">
        <v>1.3107519348156451E-4</v>
      </c>
      <c r="Y33">
        <v>69.658626164948231</v>
      </c>
      <c r="Z33" t="e">
        <v>#REF!</v>
      </c>
    </row>
    <row r="34" spans="2:26" x14ac:dyDescent="0.2">
      <c r="B34" t="str">
        <f>lc_detailed!B35</f>
        <v>MIDAT_Bio_Ethanol_CCS_86_Herb</v>
      </c>
      <c r="C34">
        <f>lc_detailed!AE35</f>
        <v>0</v>
      </c>
      <c r="D34">
        <f>lc_detailed!AF35</f>
        <v>5.2020251451515751</v>
      </c>
      <c r="E34">
        <f>lc_detailed!AG35</f>
        <v>51.008372314796226</v>
      </c>
      <c r="F34">
        <f>lc_detailed!AH35</f>
        <v>0</v>
      </c>
      <c r="G34">
        <f>lc_detailed!AI35</f>
        <v>33.113887057984215</v>
      </c>
      <c r="H34">
        <f>lc_detailed!AJ35</f>
        <v>17.778467613766406</v>
      </c>
      <c r="I34">
        <f>lc_detailed!AK35</f>
        <v>0.83818510339289298</v>
      </c>
      <c r="J34">
        <f>lc_detailed!AM35</f>
        <v>-31.506861464957733</v>
      </c>
      <c r="K34">
        <f>lc_detailed!AN35</f>
        <v>1.9212493449440382E-4</v>
      </c>
      <c r="L34">
        <f>lc_detailed!AC35</f>
        <v>76.434267895068061</v>
      </c>
      <c r="M34" t="e">
        <f>lc_detailed!#REF!</f>
        <v>#REF!</v>
      </c>
      <c r="O34" t="str">
        <v>NCEN_Bio_Ethanol_CCS_20_Agri</v>
      </c>
      <c r="P34">
        <v>0</v>
      </c>
      <c r="Q34">
        <v>0</v>
      </c>
      <c r="R34">
        <v>49.602053092646671</v>
      </c>
      <c r="S34">
        <v>0</v>
      </c>
      <c r="T34">
        <v>19.733100356011654</v>
      </c>
      <c r="U34">
        <v>10.434713216876997</v>
      </c>
      <c r="V34">
        <v>0.25484470400849479</v>
      </c>
      <c r="W34">
        <v>-9.602185198830286</v>
      </c>
      <c r="X34">
        <v>-1.5638237425663653E-4</v>
      </c>
      <c r="Y34">
        <v>70.422369788339282</v>
      </c>
      <c r="Z34" t="e">
        <v>#REF!</v>
      </c>
    </row>
    <row r="35" spans="2:26" x14ac:dyDescent="0.2">
      <c r="B35" t="str">
        <f>lc_detailed!B36</f>
        <v>NCEN_Bio_Ethanol_CCS_86_Herb</v>
      </c>
      <c r="C35">
        <f>lc_detailed!AE36</f>
        <v>0</v>
      </c>
      <c r="D35">
        <f>lc_detailed!AF36</f>
        <v>4.0507625494065209</v>
      </c>
      <c r="E35">
        <f>lc_detailed!AG36</f>
        <v>53.324627635598738</v>
      </c>
      <c r="F35">
        <f>lc_detailed!AH36</f>
        <v>0</v>
      </c>
      <c r="G35">
        <f>lc_detailed!AI36</f>
        <v>33.042574535146869</v>
      </c>
      <c r="H35">
        <f>lc_detailed!AJ36</f>
        <v>17.740180735046923</v>
      </c>
      <c r="I35">
        <f>lc_detailed!AK36</f>
        <v>0.83638002704462366</v>
      </c>
      <c r="J35">
        <f>lc_detailed!AM36</f>
        <v>-38.264936583296063</v>
      </c>
      <c r="K35">
        <f>lc_detailed!AN36</f>
        <v>-5.115382343781784E-4</v>
      </c>
      <c r="L35">
        <f>lc_detailed!AC36</f>
        <v>70.729077360713205</v>
      </c>
      <c r="M35" t="e">
        <f>lc_detailed!#REF!</f>
        <v>#REF!</v>
      </c>
      <c r="O35" t="str">
        <v>MIDAT_Bio_Ethanol_CCS_20_Agri</v>
      </c>
      <c r="P35">
        <v>0</v>
      </c>
      <c r="Q35">
        <v>0</v>
      </c>
      <c r="R35">
        <v>47.956553978631803</v>
      </c>
      <c r="S35">
        <v>0</v>
      </c>
      <c r="T35">
        <v>19.756176325172991</v>
      </c>
      <c r="U35">
        <v>10.446915613664926</v>
      </c>
      <c r="V35">
        <v>0.2551427204592569</v>
      </c>
      <c r="W35">
        <v>-7.9077553420561451</v>
      </c>
      <c r="X35">
        <v>-4.6264719701112226E-4</v>
      </c>
      <c r="Y35">
        <v>70.506570648675819</v>
      </c>
      <c r="Z35" t="e">
        <v>#REF!</v>
      </c>
    </row>
    <row r="36" spans="2:26" x14ac:dyDescent="0.2">
      <c r="B36" t="str">
        <f>lc_detailed!B37</f>
        <v>SE_Bio_Ethanol_CCS_86_Herb</v>
      </c>
      <c r="C36">
        <f>lc_detailed!AE37</f>
        <v>0</v>
      </c>
      <c r="D36">
        <f>lc_detailed!AF37</f>
        <v>5.0783214655563969</v>
      </c>
      <c r="E36">
        <f>lc_detailed!AG37</f>
        <v>50.715389351501386</v>
      </c>
      <c r="F36">
        <f>lc_detailed!AH37</f>
        <v>0</v>
      </c>
      <c r="G36">
        <f>lc_detailed!AI37</f>
        <v>33.296042681972118</v>
      </c>
      <c r="H36">
        <f>lc_detailed!AJ37</f>
        <v>17.876264887039209</v>
      </c>
      <c r="I36">
        <f>lc_detailed!AK37</f>
        <v>0.84279586172091847</v>
      </c>
      <c r="J36">
        <f>lc_detailed!AM37</f>
        <v>-34.704255162829575</v>
      </c>
      <c r="K36">
        <f>lc_detailed!AN37</f>
        <v>3.0013586769098789E-5</v>
      </c>
      <c r="L36">
        <f>lc_detailed!AC37</f>
        <v>73.104589098547251</v>
      </c>
      <c r="M36" t="e">
        <f>lc_detailed!#REF!</f>
        <v>#REF!</v>
      </c>
      <c r="O36" t="str">
        <v>NCEN_Bio_Ethanol_CCS_86_Herb</v>
      </c>
      <c r="P36">
        <v>0</v>
      </c>
      <c r="Q36">
        <v>4.0507625494065209</v>
      </c>
      <c r="R36">
        <v>53.324627635598738</v>
      </c>
      <c r="S36">
        <v>0</v>
      </c>
      <c r="T36">
        <v>33.042574535146869</v>
      </c>
      <c r="U36">
        <v>17.740180735046923</v>
      </c>
      <c r="V36">
        <v>0.83638002704462366</v>
      </c>
      <c r="W36">
        <v>-38.264936583296063</v>
      </c>
      <c r="X36">
        <v>-5.115382343781784E-4</v>
      </c>
      <c r="Y36">
        <v>70.729077360713205</v>
      </c>
      <c r="Z36" t="e">
        <v>#REF!</v>
      </c>
    </row>
    <row r="37" spans="2:26" x14ac:dyDescent="0.2">
      <c r="B37" t="str">
        <f>lc_detailed!B38</f>
        <v>TX_Bio_Ethanol_CCS_86_Herb</v>
      </c>
      <c r="C37">
        <f>lc_detailed!AE38</f>
        <v>0</v>
      </c>
      <c r="D37">
        <f>lc_detailed!AF38</f>
        <v>2.6959540970598654</v>
      </c>
      <c r="E37">
        <f>lc_detailed!AG38</f>
        <v>71.032421942209396</v>
      </c>
      <c r="F37">
        <f>lc_detailed!AH38</f>
        <v>0</v>
      </c>
      <c r="G37">
        <f>lc_detailed!AI38</f>
        <v>33.387029287145261</v>
      </c>
      <c r="H37">
        <f>lc_detailed!AJ38</f>
        <v>17.925114555775615</v>
      </c>
      <c r="I37">
        <f>lc_detailed!AK38</f>
        <v>0.84509893224027122</v>
      </c>
      <c r="J37">
        <f>lc_detailed!AM38</f>
        <v>-49.122670796019086</v>
      </c>
      <c r="K37">
        <f>lc_detailed!AN38</f>
        <v>5.94976999885926E-4</v>
      </c>
      <c r="L37">
        <f>lc_detailed!AC38</f>
        <v>76.763542995411228</v>
      </c>
      <c r="M37" t="e">
        <f>lc_detailed!#REF!</f>
        <v>#REF!</v>
      </c>
      <c r="O37" t="str">
        <v>TX_Bio_Ethanol_CCS_86_Agri</v>
      </c>
      <c r="P37">
        <v>0</v>
      </c>
      <c r="Q37">
        <v>2.9495487161997564</v>
      </c>
      <c r="R37">
        <v>62.940523197873986</v>
      </c>
      <c r="S37">
        <v>0</v>
      </c>
      <c r="T37">
        <v>36.527576444650514</v>
      </c>
      <c r="U37">
        <v>19.611238441849292</v>
      </c>
      <c r="V37">
        <v>0.92459306832023025</v>
      </c>
      <c r="W37">
        <v>-51.955630936249911</v>
      </c>
      <c r="X37">
        <v>-1.6047210515816873E-4</v>
      </c>
      <c r="Y37">
        <v>70.997688460538726</v>
      </c>
      <c r="Z37" t="e">
        <v>#REF!</v>
      </c>
    </row>
    <row r="38" spans="2:26" x14ac:dyDescent="0.2">
      <c r="B38" t="str">
        <f>lc_detailed!B39</f>
        <v>CEN_Bio_Ethanol_CCS_86_Wood</v>
      </c>
      <c r="C38">
        <f>lc_detailed!AE39</f>
        <v>0</v>
      </c>
      <c r="D38">
        <f>lc_detailed!AF39</f>
        <v>3.2159391557653407</v>
      </c>
      <c r="E38">
        <f>lc_detailed!AG39</f>
        <v>62.517755514882957</v>
      </c>
      <c r="F38">
        <f>lc_detailed!AH39</f>
        <v>0</v>
      </c>
      <c r="G38">
        <f>lc_detailed!AI39</f>
        <v>31.777337720030705</v>
      </c>
      <c r="H38">
        <f>lc_detailed!AJ39</f>
        <v>17.06088954516337</v>
      </c>
      <c r="I38">
        <f>lc_detailed!AK39</f>
        <v>0.8043541084673923</v>
      </c>
      <c r="J38">
        <f>lc_detailed!AM39</f>
        <v>-43.560036718188982</v>
      </c>
      <c r="K38">
        <f>lc_detailed!AN39</f>
        <v>-2.1686634638995545E-4</v>
      </c>
      <c r="L38">
        <f>lc_detailed!AC39</f>
        <v>71.816022459774388</v>
      </c>
      <c r="M38" t="e">
        <f>lc_detailed!#REF!</f>
        <v>#REF!</v>
      </c>
      <c r="O38" t="str">
        <v>SE_Bio_Ethanol_CCS_20_Herb</v>
      </c>
      <c r="P38">
        <v>0</v>
      </c>
      <c r="Q38">
        <v>0</v>
      </c>
      <c r="R38">
        <v>50.715389351501386</v>
      </c>
      <c r="S38">
        <v>0</v>
      </c>
      <c r="T38">
        <v>18.757150906155914</v>
      </c>
      <c r="U38">
        <v>9.9186385788482578</v>
      </c>
      <c r="V38">
        <v>0.24224072672218017</v>
      </c>
      <c r="W38">
        <v>-8.2401474332341351</v>
      </c>
      <c r="X38">
        <v>3.0013586781415905E-5</v>
      </c>
      <c r="Y38">
        <v>71.393302143580385</v>
      </c>
      <c r="Z38" t="e">
        <v>#REF!</v>
      </c>
    </row>
    <row r="39" spans="2:26" x14ac:dyDescent="0.2">
      <c r="B39" t="str">
        <f>lc_detailed!B40</f>
        <v>MIDAT_Bio_Ethanol_CCS_86_Wood</v>
      </c>
      <c r="C39">
        <f>lc_detailed!AE40</f>
        <v>0</v>
      </c>
      <c r="D39">
        <f>lc_detailed!AF40</f>
        <v>5.0077377876986997</v>
      </c>
      <c r="E39">
        <f>lc_detailed!AG40</f>
        <v>52.936851234478418</v>
      </c>
      <c r="F39">
        <f>lc_detailed!AH40</f>
        <v>0</v>
      </c>
      <c r="G39">
        <f>lc_detailed!AI40</f>
        <v>31.877136094278278</v>
      </c>
      <c r="H39">
        <f>lc_detailed!AJ40</f>
        <v>17.114470152035651</v>
      </c>
      <c r="I39">
        <f>lc_detailed!AK40</f>
        <v>0.80688022418708016</v>
      </c>
      <c r="J39">
        <f>lc_detailed!AM40</f>
        <v>-31.569741871797778</v>
      </c>
      <c r="K39">
        <f>lc_detailed!AN40</f>
        <v>1.8267779581014073E-4</v>
      </c>
      <c r="L39">
        <f>lc_detailed!AC40</f>
        <v>76.173516298676162</v>
      </c>
      <c r="M39" t="e">
        <f>lc_detailed!#REF!</f>
        <v>#REF!</v>
      </c>
      <c r="O39" t="str">
        <v>SE_Bio_Ethanol_CCS_86_Agri</v>
      </c>
      <c r="P39">
        <v>0</v>
      </c>
      <c r="Q39">
        <v>5.3641953110506959</v>
      </c>
      <c r="R39">
        <v>47.791245802015041</v>
      </c>
      <c r="S39">
        <v>0</v>
      </c>
      <c r="T39">
        <v>35.170376125767767</v>
      </c>
      <c r="U39">
        <v>18.88257309753622</v>
      </c>
      <c r="V39">
        <v>0.89023935177781333</v>
      </c>
      <c r="W39">
        <v>-36.551110005970749</v>
      </c>
      <c r="X39">
        <v>1.3107519346924738E-4</v>
      </c>
      <c r="Y39">
        <v>71.547650757370263</v>
      </c>
      <c r="Z39" t="e">
        <v>#REF!</v>
      </c>
    </row>
    <row r="40" spans="2:26" x14ac:dyDescent="0.2">
      <c r="B40" t="str">
        <f>lc_detailed!B41</f>
        <v>NCEN_Bio_Ethanol_CCS_86_Wood</v>
      </c>
      <c r="C40">
        <f>lc_detailed!AE41</f>
        <v>0</v>
      </c>
      <c r="D40">
        <f>lc_detailed!AF41</f>
        <v>3.8977194267264226</v>
      </c>
      <c r="E40">
        <f>lc_detailed!AG41</f>
        <v>56.823526577032439</v>
      </c>
      <c r="F40">
        <f>lc_detailed!AH41</f>
        <v>0</v>
      </c>
      <c r="G40">
        <f>lc_detailed!AI41</f>
        <v>31.794182725809723</v>
      </c>
      <c r="H40">
        <f>lc_detailed!AJ41</f>
        <v>17.069933436300992</v>
      </c>
      <c r="I40">
        <f>lc_detailed!AK41</f>
        <v>0.80478049250638517</v>
      </c>
      <c r="J40">
        <f>lc_detailed!AM41</f>
        <v>-38.083204626126594</v>
      </c>
      <c r="K40">
        <f>lc_detailed!AN41</f>
        <v>-3.5572931102673903E-4</v>
      </c>
      <c r="L40">
        <f>lc_detailed!AC41</f>
        <v>72.306582302938338</v>
      </c>
      <c r="M40" t="e">
        <f>lc_detailed!#REF!</f>
        <v>#REF!</v>
      </c>
      <c r="O40" t="str">
        <v>CEN_Bio_Ethanol_CCS_86_Wood</v>
      </c>
      <c r="P40">
        <v>0</v>
      </c>
      <c r="Q40">
        <v>3.2159391557653407</v>
      </c>
      <c r="R40">
        <v>62.517755514882957</v>
      </c>
      <c r="S40">
        <v>0</v>
      </c>
      <c r="T40">
        <v>31.777337720030705</v>
      </c>
      <c r="U40">
        <v>17.06088954516337</v>
      </c>
      <c r="V40">
        <v>0.8043541084673923</v>
      </c>
      <c r="W40">
        <v>-43.560036718188982</v>
      </c>
      <c r="X40">
        <v>-2.1686634638995545E-4</v>
      </c>
      <c r="Y40">
        <v>71.816022459774388</v>
      </c>
      <c r="Z40" t="e">
        <v>#REF!</v>
      </c>
    </row>
    <row r="41" spans="2:26" x14ac:dyDescent="0.2">
      <c r="B41" t="str">
        <f>lc_detailed!B42</f>
        <v>SE_Bio_Ethanol_CCS_86_Wood</v>
      </c>
      <c r="C41">
        <f>lc_detailed!AE42</f>
        <v>0</v>
      </c>
      <c r="D41">
        <f>lc_detailed!AF42</f>
        <v>4.8290114137633164</v>
      </c>
      <c r="E41">
        <f>lc_detailed!AG42</f>
        <v>55.507517995968897</v>
      </c>
      <c r="F41">
        <f>lc_detailed!AH42</f>
        <v>0</v>
      </c>
      <c r="G41">
        <f>lc_detailed!AI42</f>
        <v>31.661439953127818</v>
      </c>
      <c r="H41">
        <f>lc_detailed!AJ42</f>
        <v>16.998665358320466</v>
      </c>
      <c r="I41">
        <f>lc_detailed!AK42</f>
        <v>0.80142048181207404</v>
      </c>
      <c r="J41">
        <f>lc_detailed!AM42</f>
        <v>-35.106016932726483</v>
      </c>
      <c r="K41">
        <f>lc_detailed!AN42</f>
        <v>-4.7542377663134473E-4</v>
      </c>
      <c r="L41">
        <f>lc_detailed!AC42</f>
        <v>74.691562846489461</v>
      </c>
      <c r="M41" t="e">
        <f>lc_detailed!#REF!</f>
        <v>#REF!</v>
      </c>
      <c r="O41" t="str">
        <v>MIDAT_Bio_Ethanol_Agri</v>
      </c>
      <c r="P41">
        <v>-4.2491403646414714</v>
      </c>
      <c r="Q41">
        <v>0</v>
      </c>
      <c r="R41">
        <v>47.956553978631803</v>
      </c>
      <c r="S41">
        <v>0</v>
      </c>
      <c r="T41">
        <v>18.41498814617082</v>
      </c>
      <c r="U41">
        <v>9.7128382273309022</v>
      </c>
      <c r="V41">
        <v>0.23919630043055334</v>
      </c>
      <c r="W41">
        <v>0</v>
      </c>
      <c r="X41">
        <v>-4.6263089844779376E-4</v>
      </c>
      <c r="Y41">
        <v>72.073973657024155</v>
      </c>
      <c r="Z41" t="e">
        <v>#REF!</v>
      </c>
    </row>
    <row r="42" spans="2:26" x14ac:dyDescent="0.2">
      <c r="B42" t="str">
        <f>lc_detailed!B43</f>
        <v>TX_Bio_Ethanol_CCS_86_Wood</v>
      </c>
      <c r="C42">
        <f>lc_detailed!AE43</f>
        <v>0</v>
      </c>
      <c r="D42">
        <f>lc_detailed!AF43</f>
        <v>2.5890435394858331</v>
      </c>
      <c r="E42">
        <f>lc_detailed!AG43</f>
        <v>77.975442970306659</v>
      </c>
      <c r="F42">
        <f>lc_detailed!AH43</f>
        <v>0</v>
      </c>
      <c r="G42">
        <f>lc_detailed!AI43</f>
        <v>32.063035707016454</v>
      </c>
      <c r="H42">
        <f>lc_detailed!AJ43</f>
        <v>17.214277530090971</v>
      </c>
      <c r="I42">
        <f>lc_detailed!AK43</f>
        <v>0.81158575108130426</v>
      </c>
      <c r="J42">
        <f>lc_detailed!AM43</f>
        <v>-50.479704512191475</v>
      </c>
      <c r="K42">
        <f>lc_detailed!AN43</f>
        <v>-1.1330395503679633E-4</v>
      </c>
      <c r="L42">
        <f>lc_detailed!AC43</f>
        <v>80.173567681834726</v>
      </c>
      <c r="M42" t="e">
        <f>lc_detailed!#REF!</f>
        <v>#REF!</v>
      </c>
      <c r="O42" t="str">
        <v>SE_Bio_Ethanol_Agri</v>
      </c>
      <c r="P42">
        <v>-4.125049889652967</v>
      </c>
      <c r="Q42">
        <v>0</v>
      </c>
      <c r="R42">
        <v>47.791245802015041</v>
      </c>
      <c r="S42">
        <v>0</v>
      </c>
      <c r="T42">
        <v>18.467997867365622</v>
      </c>
      <c r="U42">
        <v>9.7407977808399302</v>
      </c>
      <c r="V42">
        <v>0.23988485526947068</v>
      </c>
      <c r="W42">
        <v>0</v>
      </c>
      <c r="X42">
        <v>1.3109149167537951E-4</v>
      </c>
      <c r="Y42">
        <v>72.11500750732877</v>
      </c>
      <c r="Z42" t="e">
        <v>#REF!</v>
      </c>
    </row>
    <row r="43" spans="2:26" x14ac:dyDescent="0.2">
      <c r="B43" t="str">
        <f>lc_detailed!B44</f>
        <v>CEN_Bio_Ethanol_CCS_86_Agri</v>
      </c>
      <c r="C43">
        <f>lc_detailed!AE44</f>
        <v>0</v>
      </c>
      <c r="D43">
        <f>lc_detailed!AF44</f>
        <v>3.5716983391462507</v>
      </c>
      <c r="E43">
        <f>lc_detailed!AG44</f>
        <v>54.205622124745908</v>
      </c>
      <c r="F43">
        <f>lc_detailed!AH44</f>
        <v>0</v>
      </c>
      <c r="G43">
        <f>lc_detailed!AI44</f>
        <v>35.292665333437341</v>
      </c>
      <c r="H43">
        <f>lc_detailed!AJ44</f>
        <v>18.94822877590039</v>
      </c>
      <c r="I43">
        <f>lc_detailed!AK44</f>
        <v>0.89333475981598376</v>
      </c>
      <c r="J43">
        <f>lc_detailed!AM44</f>
        <v>-46.392597519116201</v>
      </c>
      <c r="K43">
        <f>lc_detailed!AN44</f>
        <v>5.7463897387915856E-4</v>
      </c>
      <c r="L43">
        <f>lc_detailed!AC44</f>
        <v>66.519526452903563</v>
      </c>
      <c r="M43" t="e">
        <f>lc_detailed!#REF!</f>
        <v>#REF!</v>
      </c>
      <c r="O43" t="str">
        <v>MIDAT_Bio_Ethanol_CCS_20_Herb</v>
      </c>
      <c r="P43">
        <v>0</v>
      </c>
      <c r="Q43">
        <v>0</v>
      </c>
      <c r="R43">
        <v>51.008372314796226</v>
      </c>
      <c r="S43">
        <v>0</v>
      </c>
      <c r="T43">
        <v>18.654534491341071</v>
      </c>
      <c r="U43">
        <v>9.8643758000340416</v>
      </c>
      <c r="V43">
        <v>0.24091547881951414</v>
      </c>
      <c r="W43">
        <v>-7.4809611216726379</v>
      </c>
      <c r="X43">
        <v>1.9212493449440382E-4</v>
      </c>
      <c r="Y43">
        <v>72.287429088252708</v>
      </c>
      <c r="Z43" t="e">
        <v>#REF!</v>
      </c>
    </row>
    <row r="44" spans="2:26" x14ac:dyDescent="0.2">
      <c r="B44" t="str">
        <f>lc_detailed!B45</f>
        <v>MIDAT_Bio_Ethanol_CCS_86_Agri</v>
      </c>
      <c r="C44">
        <f>lc_detailed!AE45</f>
        <v>0</v>
      </c>
      <c r="D44">
        <f>lc_detailed!AF45</f>
        <v>5.5092302658799763</v>
      </c>
      <c r="E44">
        <f>lc_detailed!AG45</f>
        <v>47.956553978631803</v>
      </c>
      <c r="F44">
        <f>lc_detailed!AH45</f>
        <v>0</v>
      </c>
      <c r="G44">
        <f>lc_detailed!AI45</f>
        <v>35.069424639519347</v>
      </c>
      <c r="H44">
        <f>lc_detailed!AJ45</f>
        <v>18.828373398005734</v>
      </c>
      <c r="I44">
        <f>lc_detailed!AK45</f>
        <v>0.88768404826449798</v>
      </c>
      <c r="J44">
        <f>lc_detailed!AM45</f>
        <v>-33.304350605318547</v>
      </c>
      <c r="K44">
        <f>lc_detailed!AN45</f>
        <v>-4.6264719698648805E-4</v>
      </c>
      <c r="L44">
        <f>lc_detailed!AC45</f>
        <v>74.946453077785833</v>
      </c>
      <c r="M44" t="e">
        <f>lc_detailed!#REF!</f>
        <v>#REF!</v>
      </c>
      <c r="O44" t="str">
        <v>NCEN_Bio_Ethanol_CCS_86_Wood</v>
      </c>
      <c r="P44">
        <v>0</v>
      </c>
      <c r="Q44">
        <v>3.8977194267264226</v>
      </c>
      <c r="R44">
        <v>56.823526577032439</v>
      </c>
      <c r="S44">
        <v>0</v>
      </c>
      <c r="T44">
        <v>31.794182725809723</v>
      </c>
      <c r="U44">
        <v>17.069933436300992</v>
      </c>
      <c r="V44">
        <v>0.80478049250638517</v>
      </c>
      <c r="W44">
        <v>-38.083204626126594</v>
      </c>
      <c r="X44">
        <v>-3.5572931102673903E-4</v>
      </c>
      <c r="Y44">
        <v>72.306582302938338</v>
      </c>
      <c r="Z44" t="e">
        <v>#REF!</v>
      </c>
    </row>
    <row r="45" spans="2:26" x14ac:dyDescent="0.2">
      <c r="B45" t="str">
        <f>lc_detailed!B46</f>
        <v>NCEN_Bio_Ethanol_CCS_86_Agri</v>
      </c>
      <c r="C45">
        <f>lc_detailed!AE46</f>
        <v>0</v>
      </c>
      <c r="D45">
        <f>lc_detailed!AF46</f>
        <v>4.2942169272099813</v>
      </c>
      <c r="E45">
        <f>lc_detailed!AG46</f>
        <v>49.602053092646671</v>
      </c>
      <c r="F45">
        <f>lc_detailed!AH46</f>
        <v>0</v>
      </c>
      <c r="G45">
        <f>lc_detailed!AI46</f>
        <v>35.028462210951822</v>
      </c>
      <c r="H45">
        <f>lc_detailed!AJ46</f>
        <v>18.806381138130178</v>
      </c>
      <c r="I45">
        <f>lc_detailed!AK46</f>
        <v>0.88664719936288827</v>
      </c>
      <c r="J45">
        <f>lc_detailed!AM46</f>
        <v>-40.440621719575375</v>
      </c>
      <c r="K45">
        <f>lc_detailed!AN46</f>
        <v>-1.5638237428127077E-4</v>
      </c>
      <c r="L45">
        <f>lc_detailed!AC46</f>
        <v>68.176982466351873</v>
      </c>
      <c r="M45" t="e">
        <f>lc_detailed!#REF!</f>
        <v>#REF!</v>
      </c>
      <c r="O45" t="str">
        <v>NCEN_Bio_Ethanol_CCS_20_Herb</v>
      </c>
      <c r="P45">
        <v>0</v>
      </c>
      <c r="Q45">
        <v>0</v>
      </c>
      <c r="R45">
        <v>53.324627635598738</v>
      </c>
      <c r="S45">
        <v>0</v>
      </c>
      <c r="T45">
        <v>18.614360955851129</v>
      </c>
      <c r="U45">
        <v>9.8431323403554991</v>
      </c>
      <c r="V45">
        <v>0.24039665447989184</v>
      </c>
      <c r="W45">
        <v>-9.0855924580519272</v>
      </c>
      <c r="X45">
        <v>-5.1153823440281266E-4</v>
      </c>
      <c r="Y45">
        <v>72.936413589998921</v>
      </c>
      <c r="Z45" t="e">
        <v>#REF!</v>
      </c>
    </row>
    <row r="46" spans="2:26" x14ac:dyDescent="0.2">
      <c r="B46" t="str">
        <f>lc_detailed!B47</f>
        <v>SE_Bio_Ethanol_CCS_86_Agri</v>
      </c>
      <c r="C46">
        <f>lc_detailed!AE47</f>
        <v>0</v>
      </c>
      <c r="D46">
        <f>lc_detailed!AF47</f>
        <v>5.3641953110506959</v>
      </c>
      <c r="E46">
        <f>lc_detailed!AG47</f>
        <v>47.791245802015041</v>
      </c>
      <c r="F46">
        <f>lc_detailed!AH47</f>
        <v>0</v>
      </c>
      <c r="G46">
        <f>lc_detailed!AI47</f>
        <v>35.170376125767767</v>
      </c>
      <c r="H46">
        <f>lc_detailed!AJ47</f>
        <v>18.88257309753622</v>
      </c>
      <c r="I46">
        <f>lc_detailed!AK47</f>
        <v>0.89023935177781333</v>
      </c>
      <c r="J46">
        <f>lc_detailed!AM47</f>
        <v>-36.551110005970749</v>
      </c>
      <c r="K46">
        <f>lc_detailed!AN47</f>
        <v>1.3107519346924738E-4</v>
      </c>
      <c r="L46">
        <f>lc_detailed!AC47</f>
        <v>71.547650757370263</v>
      </c>
      <c r="M46" t="e">
        <f>lc_detailed!#REF!</f>
        <v>#REF!</v>
      </c>
      <c r="O46" t="str">
        <v>SE_Bio_Ethanol_CCS_86_Herb</v>
      </c>
      <c r="P46">
        <v>0</v>
      </c>
      <c r="Q46">
        <v>5.0783214655563969</v>
      </c>
      <c r="R46">
        <v>50.715389351501386</v>
      </c>
      <c r="S46">
        <v>0</v>
      </c>
      <c r="T46">
        <v>33.296042681972118</v>
      </c>
      <c r="U46">
        <v>17.876264887039209</v>
      </c>
      <c r="V46">
        <v>0.84279586172091847</v>
      </c>
      <c r="W46">
        <v>-34.704255162829575</v>
      </c>
      <c r="X46">
        <v>3.0013586769098789E-5</v>
      </c>
      <c r="Y46">
        <v>73.104589098547251</v>
      </c>
      <c r="Z46" t="e">
        <v>#REF!</v>
      </c>
    </row>
    <row r="47" spans="2:26" x14ac:dyDescent="0.2">
      <c r="B47" t="str">
        <f>lc_detailed!B48</f>
        <v>TX_Bio_Ethanol_CCS_86_Agri</v>
      </c>
      <c r="C47">
        <f>lc_detailed!AE48</f>
        <v>0</v>
      </c>
      <c r="D47">
        <f>lc_detailed!AF48</f>
        <v>2.9495487161997564</v>
      </c>
      <c r="E47">
        <f>lc_detailed!AG48</f>
        <v>62.940523197873986</v>
      </c>
      <c r="F47">
        <f>lc_detailed!AH48</f>
        <v>0</v>
      </c>
      <c r="G47">
        <f>lc_detailed!AI48</f>
        <v>36.527576444650514</v>
      </c>
      <c r="H47">
        <f>lc_detailed!AJ48</f>
        <v>19.611238441849292</v>
      </c>
      <c r="I47">
        <f>lc_detailed!AK48</f>
        <v>0.92459306832023025</v>
      </c>
      <c r="J47">
        <f>lc_detailed!AM48</f>
        <v>-51.955630936249911</v>
      </c>
      <c r="K47">
        <f>lc_detailed!AN48</f>
        <v>-1.6047210515816873E-4</v>
      </c>
      <c r="L47">
        <f>lc_detailed!AC48</f>
        <v>70.997688460538726</v>
      </c>
      <c r="M47" t="e">
        <f>lc_detailed!#REF!</f>
        <v>#REF!</v>
      </c>
      <c r="O47" t="str">
        <v>MIDAT_Bio_Ethanol_CCS_20_Wood</v>
      </c>
      <c r="P47">
        <v>0</v>
      </c>
      <c r="Q47">
        <v>0</v>
      </c>
      <c r="R47">
        <v>52.936851234478418</v>
      </c>
      <c r="S47">
        <v>0</v>
      </c>
      <c r="T47">
        <v>17.957817326447284</v>
      </c>
      <c r="U47">
        <v>9.4959570681682486</v>
      </c>
      <c r="V47">
        <v>0.23191766922742424</v>
      </c>
      <c r="W47">
        <v>-7.4958913894623533</v>
      </c>
      <c r="X47">
        <v>1.8267779579782362E-4</v>
      </c>
      <c r="Y47">
        <v>73.126834586654837</v>
      </c>
      <c r="Z47" t="e">
        <v>#REF!</v>
      </c>
    </row>
    <row r="48" spans="2:26" x14ac:dyDescent="0.2">
      <c r="B48" t="str">
        <f>lc_detailed!B49</f>
        <v>CA_DryMill_Existing_Non_CCS</v>
      </c>
      <c r="C48">
        <f>lc_detailed!AE49</f>
        <v>0</v>
      </c>
      <c r="D48">
        <f>lc_detailed!AF49</f>
        <v>1.0053136927072917</v>
      </c>
      <c r="E48">
        <f>lc_detailed!AG49</f>
        <v>51.540779469794813</v>
      </c>
      <c r="F48">
        <f>lc_detailed!AH49</f>
        <v>4.4570380128755689</v>
      </c>
      <c r="G48">
        <f>lc_detailed!AI49</f>
        <v>0</v>
      </c>
      <c r="H48">
        <f>lc_detailed!AJ49</f>
        <v>7.2208724377810398</v>
      </c>
      <c r="I48">
        <f>lc_detailed!AK49</f>
        <v>-8.1853200395467898</v>
      </c>
      <c r="J48">
        <f>lc_detailed!AM49</f>
        <v>0</v>
      </c>
      <c r="K48">
        <f>lc_detailed!AN49</f>
        <v>6.623714419066479</v>
      </c>
      <c r="L48">
        <f>lc_detailed!AC49</f>
        <v>62.662397992678407</v>
      </c>
      <c r="M48" t="e">
        <f>lc_detailed!#REF!</f>
        <v>#REF!</v>
      </c>
      <c r="O48" t="str">
        <v>SE_Bio_Ethanol_Herb</v>
      </c>
      <c r="P48">
        <v>-4.125171464042392</v>
      </c>
      <c r="Q48">
        <v>0</v>
      </c>
      <c r="R48">
        <v>50.715389351501386</v>
      </c>
      <c r="S48">
        <v>0</v>
      </c>
      <c r="T48">
        <v>17.483783597976871</v>
      </c>
      <c r="U48">
        <v>9.2216818355173462</v>
      </c>
      <c r="V48">
        <v>0.22710068130204392</v>
      </c>
      <c r="W48">
        <v>0</v>
      </c>
      <c r="X48">
        <v>3.0029885073767839E-5</v>
      </c>
      <c r="Y48">
        <v>73.522814032140317</v>
      </c>
      <c r="Z48" t="e">
        <v>#REF!</v>
      </c>
    </row>
    <row r="49" spans="2:26" x14ac:dyDescent="0.2">
      <c r="B49" t="str">
        <f>lc_detailed!B50</f>
        <v>NW_DryMill_Existing_Non_CCS</v>
      </c>
      <c r="C49">
        <f>lc_detailed!AE50</f>
        <v>0</v>
      </c>
      <c r="D49">
        <f>lc_detailed!AF50</f>
        <v>0.73586366011438453</v>
      </c>
      <c r="E49">
        <f>lc_detailed!AG50</f>
        <v>51.540779469794813</v>
      </c>
      <c r="F49">
        <f>lc_detailed!AH50</f>
        <v>4.4575492267051553</v>
      </c>
      <c r="G49">
        <f>lc_detailed!AI50</f>
        <v>0</v>
      </c>
      <c r="H49">
        <f>lc_detailed!AJ50</f>
        <v>7.2208724377810398</v>
      </c>
      <c r="I49">
        <f>lc_detailed!AK50</f>
        <v>-8.1853200395467898</v>
      </c>
      <c r="J49">
        <f>lc_detailed!AM50</f>
        <v>0</v>
      </c>
      <c r="K49">
        <f>lc_detailed!AN50</f>
        <v>6.623714419066479</v>
      </c>
      <c r="L49">
        <f>lc_detailed!AC50</f>
        <v>62.393459173915083</v>
      </c>
      <c r="M49" t="e">
        <f>lc_detailed!#REF!</f>
        <v>#REF!</v>
      </c>
      <c r="O49" t="str">
        <v>MIDAT_Bio_Ethanol_Herb</v>
      </c>
      <c r="P49">
        <v>-4.2493746436458535</v>
      </c>
      <c r="Q49">
        <v>0</v>
      </c>
      <c r="R49">
        <v>51.008372314796226</v>
      </c>
      <c r="S49">
        <v>0</v>
      </c>
      <c r="T49">
        <v>17.388133507022271</v>
      </c>
      <c r="U49">
        <v>9.1712319599867627</v>
      </c>
      <c r="V49">
        <v>0.22585826139329454</v>
      </c>
      <c r="W49">
        <v>0</v>
      </c>
      <c r="X49">
        <v>1.9214123268821882E-4</v>
      </c>
      <c r="Y49">
        <v>73.544413540785399</v>
      </c>
      <c r="Z49" t="e">
        <v>#REF!</v>
      </c>
    </row>
    <row r="50" spans="2:26" x14ac:dyDescent="0.2">
      <c r="B50" t="str">
        <f>lc_detailed!B51</f>
        <v>SW_DryMill_Existing_Non_CCS</v>
      </c>
      <c r="C50">
        <f>lc_detailed!AE51</f>
        <v>0</v>
      </c>
      <c r="D50">
        <f>lc_detailed!AF51</f>
        <v>0.77013340353811088</v>
      </c>
      <c r="E50">
        <f>lc_detailed!AG51</f>
        <v>51.540779469794813</v>
      </c>
      <c r="F50">
        <f>lc_detailed!AH51</f>
        <v>4.4574960160702748</v>
      </c>
      <c r="G50">
        <f>lc_detailed!AI51</f>
        <v>0</v>
      </c>
      <c r="H50">
        <f>lc_detailed!AJ51</f>
        <v>7.2208724377810398</v>
      </c>
      <c r="I50">
        <f>lc_detailed!AK51</f>
        <v>-8.1853200395467898</v>
      </c>
      <c r="J50">
        <f>lc_detailed!AM51</f>
        <v>0</v>
      </c>
      <c r="K50">
        <f>lc_detailed!AN51</f>
        <v>6.623714419066479</v>
      </c>
      <c r="L50">
        <f>lc_detailed!AC51</f>
        <v>62.42767570670393</v>
      </c>
      <c r="M50" t="e">
        <f>lc_detailed!#REF!</f>
        <v>#REF!</v>
      </c>
      <c r="O50" t="str">
        <v>CEN_Bio_Ethanol_CCS_20_Agri</v>
      </c>
      <c r="P50">
        <v>0</v>
      </c>
      <c r="Q50">
        <v>0</v>
      </c>
      <c r="R50">
        <v>54.205622124745908</v>
      </c>
      <c r="S50">
        <v>0</v>
      </c>
      <c r="T50">
        <v>19.881937798517143</v>
      </c>
      <c r="U50">
        <v>10.513417323198794</v>
      </c>
      <c r="V50">
        <v>0.25676687707285761</v>
      </c>
      <c r="W50">
        <v>-11.015417030982915</v>
      </c>
      <c r="X50">
        <v>5.7463897387915856E-4</v>
      </c>
      <c r="Y50">
        <v>73.842901731525686</v>
      </c>
      <c r="Z50" t="e">
        <v>#REF!</v>
      </c>
    </row>
    <row r="51" spans="2:26" x14ac:dyDescent="0.2">
      <c r="B51" t="str">
        <f>lc_detailed!B52</f>
        <v>TX_DryMill_Existing_Non_CCS</v>
      </c>
      <c r="C51">
        <f>lc_detailed!AE52</f>
        <v>0</v>
      </c>
      <c r="D51">
        <f>lc_detailed!AF52</f>
        <v>0.55645947397359674</v>
      </c>
      <c r="E51">
        <f>lc_detailed!AG52</f>
        <v>51.540779469794813</v>
      </c>
      <c r="F51">
        <f>lc_detailed!AH52</f>
        <v>4.3502184794673902</v>
      </c>
      <c r="G51">
        <f>lc_detailed!AI52</f>
        <v>0</v>
      </c>
      <c r="H51">
        <f>lc_detailed!AJ52</f>
        <v>7.2208724377810398</v>
      </c>
      <c r="I51">
        <f>lc_detailed!AK52</f>
        <v>-8.1853200395467898</v>
      </c>
      <c r="J51">
        <f>lc_detailed!AM52</f>
        <v>0</v>
      </c>
      <c r="K51">
        <f>lc_detailed!AN52</f>
        <v>6.623714419066479</v>
      </c>
      <c r="L51">
        <f>lc_detailed!AC52</f>
        <v>62.106724240536536</v>
      </c>
      <c r="M51" t="e">
        <f>lc_detailed!#REF!</f>
        <v>#REF!</v>
      </c>
      <c r="O51" t="str">
        <v>MIDAT_Bio_Ethanol_Wood</v>
      </c>
      <c r="P51">
        <v>-4.2485860486060778</v>
      </c>
      <c r="Q51">
        <v>0</v>
      </c>
      <c r="R51">
        <v>52.936851234478418</v>
      </c>
      <c r="S51">
        <v>0</v>
      </c>
      <c r="T51">
        <v>16.738714402759417</v>
      </c>
      <c r="U51">
        <v>8.8287010470491492</v>
      </c>
      <c r="V51">
        <v>0.21742281490071025</v>
      </c>
      <c r="W51">
        <v>0</v>
      </c>
      <c r="X51">
        <v>1.8269409396700438E-4</v>
      </c>
      <c r="Y51">
        <v>74.473286144675583</v>
      </c>
      <c r="Z51" t="e">
        <v>#REF!</v>
      </c>
    </row>
    <row r="52" spans="2:26" x14ac:dyDescent="0.2">
      <c r="B52" t="str">
        <f>lc_detailed!B53</f>
        <v>NCEN_DryMill_Existing_Non_CCS</v>
      </c>
      <c r="C52">
        <f>lc_detailed!AE53</f>
        <v>0</v>
      </c>
      <c r="D52">
        <f>lc_detailed!AF53</f>
        <v>0.8448152277830977</v>
      </c>
      <c r="E52">
        <f>lc_detailed!AG53</f>
        <v>51.540779469794813</v>
      </c>
      <c r="F52">
        <f>lc_detailed!AH53</f>
        <v>4.3815814152679442</v>
      </c>
      <c r="G52">
        <f>lc_detailed!AI53</f>
        <v>0</v>
      </c>
      <c r="H52">
        <f>lc_detailed!AJ53</f>
        <v>7.2208724377810398</v>
      </c>
      <c r="I52">
        <f>lc_detailed!AK53</f>
        <v>-8.1853200395467898</v>
      </c>
      <c r="J52">
        <f>lc_detailed!AM53</f>
        <v>0</v>
      </c>
      <c r="K52">
        <f>lc_detailed!AN53</f>
        <v>6.623714419066479</v>
      </c>
      <c r="L52">
        <f>lc_detailed!AC53</f>
        <v>62.426442930146585</v>
      </c>
      <c r="M52" t="e">
        <f>lc_detailed!#REF!</f>
        <v>#REF!</v>
      </c>
      <c r="O52" t="str">
        <v>NCEN_Bio_Ethanol_Agri</v>
      </c>
      <c r="P52">
        <v>-3.3169236371648525</v>
      </c>
      <c r="Q52">
        <v>0</v>
      </c>
      <c r="R52">
        <v>49.602053092646671</v>
      </c>
      <c r="S52">
        <v>0</v>
      </c>
      <c r="T52">
        <v>18.393478736071767</v>
      </c>
      <c r="U52">
        <v>9.7014932609915725</v>
      </c>
      <c r="V52">
        <v>0.23891691000796392</v>
      </c>
      <c r="W52">
        <v>0</v>
      </c>
      <c r="X52">
        <v>-1.5636607587806478E-4</v>
      </c>
      <c r="Y52">
        <v>74.618861996477222</v>
      </c>
      <c r="Z52" t="e">
        <v>#REF!</v>
      </c>
    </row>
    <row r="53" spans="2:26" x14ac:dyDescent="0.2">
      <c r="B53" t="str">
        <f>lc_detailed!B54</f>
        <v>CEN_DryMill_Existing_Non_CCS</v>
      </c>
      <c r="C53">
        <f>lc_detailed!AE54</f>
        <v>0</v>
      </c>
      <c r="D53">
        <f>lc_detailed!AF54</f>
        <v>0.69741155638819219</v>
      </c>
      <c r="E53">
        <f>lc_detailed!AG54</f>
        <v>51.540779469794813</v>
      </c>
      <c r="F53">
        <f>lc_detailed!AH54</f>
        <v>4.381555299618924</v>
      </c>
      <c r="G53">
        <f>lc_detailed!AI54</f>
        <v>0</v>
      </c>
      <c r="H53">
        <f>lc_detailed!AJ54</f>
        <v>7.2208724377810398</v>
      </c>
      <c r="I53">
        <f>lc_detailed!AK54</f>
        <v>-8.1853200395467898</v>
      </c>
      <c r="J53">
        <f>lc_detailed!AM54</f>
        <v>0</v>
      </c>
      <c r="K53">
        <f>lc_detailed!AN54</f>
        <v>6.623714419066479</v>
      </c>
      <c r="L53">
        <f>lc_detailed!AC54</f>
        <v>62.279013143102659</v>
      </c>
      <c r="M53" t="e">
        <f>lc_detailed!#REF!</f>
        <v>#REF!</v>
      </c>
      <c r="O53" t="str">
        <v>SE_Bio_Ethanol_CCS_20_Wood</v>
      </c>
      <c r="P53">
        <v>0</v>
      </c>
      <c r="Q53">
        <v>0</v>
      </c>
      <c r="R53">
        <v>55.507517995968897</v>
      </c>
      <c r="S53">
        <v>0</v>
      </c>
      <c r="T53">
        <v>17.836306037310653</v>
      </c>
      <c r="U53">
        <v>9.4317028236816505</v>
      </c>
      <c r="V53">
        <v>0.23034840195796139</v>
      </c>
      <c r="W53">
        <v>-8.3355413900113255</v>
      </c>
      <c r="X53">
        <v>-4.7542377666829607E-4</v>
      </c>
      <c r="Y53">
        <v>74.669858445131169</v>
      </c>
      <c r="Z53" t="e">
        <v>#REF!</v>
      </c>
    </row>
    <row r="54" spans="2:26" x14ac:dyDescent="0.2">
      <c r="B54" t="str">
        <f>lc_detailed!B55</f>
        <v>SE_DryMill_Existing_Non_CCS</v>
      </c>
      <c r="C54">
        <f>lc_detailed!AE55</f>
        <v>0</v>
      </c>
      <c r="D54">
        <f>lc_detailed!AF55</f>
        <v>1.0510573049050351</v>
      </c>
      <c r="E54">
        <f>lc_detailed!AG55</f>
        <v>51.540779469794813</v>
      </c>
      <c r="F54">
        <f>lc_detailed!AH55</f>
        <v>4.3815504029347316</v>
      </c>
      <c r="G54">
        <f>lc_detailed!AI55</f>
        <v>0</v>
      </c>
      <c r="H54">
        <f>lc_detailed!AJ55</f>
        <v>7.2208724377810398</v>
      </c>
      <c r="I54">
        <f>lc_detailed!AK55</f>
        <v>-8.1853200395467898</v>
      </c>
      <c r="J54">
        <f>lc_detailed!AM55</f>
        <v>0</v>
      </c>
      <c r="K54">
        <f>lc_detailed!AN55</f>
        <v>6.623714419066479</v>
      </c>
      <c r="L54">
        <f>lc_detailed!AC55</f>
        <v>62.63265399493531</v>
      </c>
      <c r="M54" t="e">
        <f>lc_detailed!#REF!</f>
        <v>#REF!</v>
      </c>
      <c r="O54" t="str">
        <v>SE_Bio_Ethanol_CCS_86_Wood</v>
      </c>
      <c r="P54">
        <v>0</v>
      </c>
      <c r="Q54">
        <v>4.8290114137633164</v>
      </c>
      <c r="R54">
        <v>55.507517995968897</v>
      </c>
      <c r="S54">
        <v>0</v>
      </c>
      <c r="T54">
        <v>31.661439953127818</v>
      </c>
      <c r="U54">
        <v>16.998665358320466</v>
      </c>
      <c r="V54">
        <v>0.80142048181207404</v>
      </c>
      <c r="W54">
        <v>-35.106016932726483</v>
      </c>
      <c r="X54">
        <v>-4.7542377663134473E-4</v>
      </c>
      <c r="Y54">
        <v>74.691562846489461</v>
      </c>
      <c r="Z54" t="e">
        <v>#REF!</v>
      </c>
    </row>
    <row r="55" spans="2:26" x14ac:dyDescent="0.2">
      <c r="B55" t="str">
        <f>lc_detailed!B56</f>
        <v>MIDAT_DryMill_Existing_Non_CCS</v>
      </c>
      <c r="C55">
        <f>lc_detailed!AE56</f>
        <v>0</v>
      </c>
      <c r="D55">
        <f>lc_detailed!AF56</f>
        <v>1.0825827669928705</v>
      </c>
      <c r="E55">
        <f>lc_detailed!AG56</f>
        <v>51.540779469794813</v>
      </c>
      <c r="F55">
        <f>lc_detailed!AH56</f>
        <v>4.3817707537233472</v>
      </c>
      <c r="G55">
        <f>lc_detailed!AI56</f>
        <v>0</v>
      </c>
      <c r="H55">
        <f>lc_detailed!AJ56</f>
        <v>7.2208724377810398</v>
      </c>
      <c r="I55">
        <f>lc_detailed!AK56</f>
        <v>-8.1853200395467898</v>
      </c>
      <c r="J55">
        <f>lc_detailed!AM56</f>
        <v>0</v>
      </c>
      <c r="K55">
        <f>lc_detailed!AN56</f>
        <v>6.623714419066479</v>
      </c>
      <c r="L55">
        <f>lc_detailed!AC56</f>
        <v>62.664399807811762</v>
      </c>
      <c r="M55" t="e">
        <f>lc_detailed!#REF!</f>
        <v>#REF!</v>
      </c>
      <c r="O55" t="str">
        <v>MIDAT_Bio_Ethanol_CCS_86_Agri</v>
      </c>
      <c r="P55">
        <v>0</v>
      </c>
      <c r="Q55">
        <v>5.5092302658799763</v>
      </c>
      <c r="R55">
        <v>47.956553978631803</v>
      </c>
      <c r="S55">
        <v>0</v>
      </c>
      <c r="T55">
        <v>35.069424639519347</v>
      </c>
      <c r="U55">
        <v>18.828373398005734</v>
      </c>
      <c r="V55">
        <v>0.88768404826449798</v>
      </c>
      <c r="W55">
        <v>-33.304350605318547</v>
      </c>
      <c r="X55">
        <v>-4.6264719698648805E-4</v>
      </c>
      <c r="Y55">
        <v>74.946453077785833</v>
      </c>
      <c r="Z55" t="e">
        <v>#REF!</v>
      </c>
    </row>
    <row r="56" spans="2:26" x14ac:dyDescent="0.2">
      <c r="B56" t="str">
        <f>lc_detailed!B57</f>
        <v>NE_DryMill_Existing_Non_CCS</v>
      </c>
      <c r="C56">
        <f>lc_detailed!AE57</f>
        <v>0</v>
      </c>
      <c r="D56">
        <f>lc_detailed!AF57</f>
        <v>1.3054571304581477</v>
      </c>
      <c r="E56">
        <f>lc_detailed!AG57</f>
        <v>51.540779469794813</v>
      </c>
      <c r="F56">
        <f>lc_detailed!AH57</f>
        <v>4.3816848985271903</v>
      </c>
      <c r="G56">
        <f>lc_detailed!AI57</f>
        <v>0</v>
      </c>
      <c r="H56">
        <f>lc_detailed!AJ57</f>
        <v>7.2208724377810398</v>
      </c>
      <c r="I56">
        <f>lc_detailed!AK57</f>
        <v>-8.1853200395467898</v>
      </c>
      <c r="J56">
        <f>lc_detailed!AM57</f>
        <v>0</v>
      </c>
      <c r="K56">
        <f>lc_detailed!AN57</f>
        <v>6.623714419066479</v>
      </c>
      <c r="L56">
        <f>lc_detailed!AC57</f>
        <v>62.887188316080881</v>
      </c>
      <c r="M56" t="e">
        <f>lc_detailed!#REF!</f>
        <v>#REF!</v>
      </c>
      <c r="O56" t="str">
        <v>CEN_Bio_Ethanol_CCS_20_Herb</v>
      </c>
      <c r="P56">
        <v>0</v>
      </c>
      <c r="Q56">
        <v>0</v>
      </c>
      <c r="R56">
        <v>56.806854091092305</v>
      </c>
      <c r="S56">
        <v>0</v>
      </c>
      <c r="T56">
        <v>18.725964591166843</v>
      </c>
      <c r="U56">
        <v>9.9021474929402586</v>
      </c>
      <c r="V56">
        <v>0.2418379685610641</v>
      </c>
      <c r="W56">
        <v>-10.34564483988755</v>
      </c>
      <c r="X56">
        <v>4.6514504073076911E-4</v>
      </c>
      <c r="Y56">
        <v>75.331624448913644</v>
      </c>
      <c r="Z56" t="e">
        <v>#REF!</v>
      </c>
    </row>
    <row r="57" spans="2:26" x14ac:dyDescent="0.2">
      <c r="B57" t="str">
        <f>lc_detailed!B58</f>
        <v>CA_DryMill_CCS_Fermentation</v>
      </c>
      <c r="C57">
        <f>lc_detailed!AE58</f>
        <v>0</v>
      </c>
      <c r="D57">
        <f>lc_detailed!AF58</f>
        <v>1.0053136927072917</v>
      </c>
      <c r="E57">
        <f>lc_detailed!AG58</f>
        <v>51.540779469794813</v>
      </c>
      <c r="F57">
        <f>lc_detailed!AH58</f>
        <v>4.4570380128755689</v>
      </c>
      <c r="G57">
        <f>lc_detailed!AI58</f>
        <v>1.1219173819252375</v>
      </c>
      <c r="H57">
        <f>lc_detailed!AJ58</f>
        <v>7.8355578478551591</v>
      </c>
      <c r="I57">
        <f>lc_detailed!AK58</f>
        <v>-8.1724348446793407</v>
      </c>
      <c r="J57">
        <f>lc_detailed!AM58</f>
        <v>-12.03492692401773</v>
      </c>
      <c r="K57">
        <f>lc_detailed!AN58</f>
        <v>6.623714419066479</v>
      </c>
      <c r="L57">
        <f>lc_detailed!AC58</f>
        <v>52.376959055527472</v>
      </c>
      <c r="M57" t="e">
        <f>lc_detailed!#REF!</f>
        <v>#REF!</v>
      </c>
      <c r="O57" t="str">
        <v>NCEN_Bio_Ethanol_CCS_20_Wood</v>
      </c>
      <c r="P57">
        <v>0</v>
      </c>
      <c r="Q57">
        <v>0</v>
      </c>
      <c r="R57">
        <v>56.823526577032439</v>
      </c>
      <c r="S57">
        <v>0</v>
      </c>
      <c r="T57">
        <v>17.911085981662545</v>
      </c>
      <c r="U57">
        <v>9.4712458888669584</v>
      </c>
      <c r="V57">
        <v>0.23131415353476942</v>
      </c>
      <c r="W57">
        <v>-9.0424421840183715</v>
      </c>
      <c r="X57">
        <v>-3.5572931101442189E-4</v>
      </c>
      <c r="Y57">
        <v>75.394374687767325</v>
      </c>
      <c r="Z57" t="e">
        <v>#REF!</v>
      </c>
    </row>
    <row r="58" spans="2:26" x14ac:dyDescent="0.2">
      <c r="B58" t="str">
        <f>lc_detailed!B59</f>
        <v>NW_DryMill_CCS_Fermentation</v>
      </c>
      <c r="C58">
        <f>lc_detailed!AE59</f>
        <v>0</v>
      </c>
      <c r="D58">
        <f>lc_detailed!AF59</f>
        <v>0.73586366011438453</v>
      </c>
      <c r="E58">
        <f>lc_detailed!AG59</f>
        <v>51.540779469794813</v>
      </c>
      <c r="F58">
        <f>lc_detailed!AH59</f>
        <v>4.4575492267051553</v>
      </c>
      <c r="G58">
        <f>lc_detailed!AI59</f>
        <v>1.1219173819252375</v>
      </c>
      <c r="H58">
        <f>lc_detailed!AJ59</f>
        <v>7.8355578478551591</v>
      </c>
      <c r="I58">
        <f>lc_detailed!AK59</f>
        <v>-8.1724348446793407</v>
      </c>
      <c r="J58">
        <f>lc_detailed!AM59</f>
        <v>-11.933483503451379</v>
      </c>
      <c r="K58">
        <f>lc_detailed!AN59</f>
        <v>6.623714419066479</v>
      </c>
      <c r="L58">
        <f>lc_detailed!AC59</f>
        <v>52.209463657330495</v>
      </c>
      <c r="M58" t="e">
        <f>lc_detailed!#REF!</f>
        <v>#REF!</v>
      </c>
      <c r="O58" t="str">
        <v>MIDAT_Bio_Ethanol_CCS_86_Wood</v>
      </c>
      <c r="P58">
        <v>0</v>
      </c>
      <c r="Q58">
        <v>5.0077377876986997</v>
      </c>
      <c r="R58">
        <v>52.936851234478418</v>
      </c>
      <c r="S58">
        <v>0</v>
      </c>
      <c r="T58">
        <v>31.877136094278278</v>
      </c>
      <c r="U58">
        <v>17.114470152035651</v>
      </c>
      <c r="V58">
        <v>0.80688022418708016</v>
      </c>
      <c r="W58">
        <v>-31.569741871797778</v>
      </c>
      <c r="X58">
        <v>1.8267779581014073E-4</v>
      </c>
      <c r="Y58">
        <v>76.173516298676162</v>
      </c>
      <c r="Z58" t="e">
        <v>#REF!</v>
      </c>
    </row>
    <row r="59" spans="2:26" x14ac:dyDescent="0.2">
      <c r="B59" t="str">
        <f>lc_detailed!B60</f>
        <v>SW_DryMill_CCS_Fermentation</v>
      </c>
      <c r="C59">
        <f>lc_detailed!AE60</f>
        <v>0</v>
      </c>
      <c r="D59">
        <f>lc_detailed!AF60</f>
        <v>0.77013340353811088</v>
      </c>
      <c r="E59">
        <f>lc_detailed!AG60</f>
        <v>51.540779469794813</v>
      </c>
      <c r="F59">
        <f>lc_detailed!AH60</f>
        <v>4.4574960160702748</v>
      </c>
      <c r="G59">
        <f>lc_detailed!AI60</f>
        <v>1.1219173819252375</v>
      </c>
      <c r="H59">
        <f>lc_detailed!AJ60</f>
        <v>7.8355578478551591</v>
      </c>
      <c r="I59">
        <f>lc_detailed!AK60</f>
        <v>-8.1724348446793407</v>
      </c>
      <c r="J59">
        <f>lc_detailed!AM60</f>
        <v>-10.870948424475515</v>
      </c>
      <c r="K59">
        <f>lc_detailed!AN60</f>
        <v>6.623714419066479</v>
      </c>
      <c r="L59">
        <f>lc_detailed!AC60</f>
        <v>53.306215269095205</v>
      </c>
      <c r="M59" t="e">
        <f>lc_detailed!#REF!</f>
        <v>#REF!</v>
      </c>
      <c r="O59" t="str">
        <v>MIDAT_Bio_Ethanol_CCS_86_Herb</v>
      </c>
      <c r="P59">
        <v>0</v>
      </c>
      <c r="Q59">
        <v>5.2020251451515751</v>
      </c>
      <c r="R59">
        <v>51.008372314796226</v>
      </c>
      <c r="S59">
        <v>0</v>
      </c>
      <c r="T59">
        <v>33.113887057984215</v>
      </c>
      <c r="U59">
        <v>17.778467613766406</v>
      </c>
      <c r="V59">
        <v>0.83818510339289298</v>
      </c>
      <c r="W59">
        <v>-31.506861464957733</v>
      </c>
      <c r="X59">
        <v>1.9212493449440382E-4</v>
      </c>
      <c r="Y59">
        <v>76.434267895068061</v>
      </c>
      <c r="Z59" t="e">
        <v>#REF!</v>
      </c>
    </row>
    <row r="60" spans="2:26" x14ac:dyDescent="0.2">
      <c r="B60" t="str">
        <f>lc_detailed!B61</f>
        <v>TX_DryMill_CCS_Fermentation</v>
      </c>
      <c r="C60">
        <f>lc_detailed!AE61</f>
        <v>0</v>
      </c>
      <c r="D60">
        <f>lc_detailed!AF61</f>
        <v>0.55645947397359674</v>
      </c>
      <c r="E60">
        <f>lc_detailed!AG61</f>
        <v>51.540779469794813</v>
      </c>
      <c r="F60">
        <f>lc_detailed!AH61</f>
        <v>4.3502184794673902</v>
      </c>
      <c r="G60">
        <f>lc_detailed!AI61</f>
        <v>1.1219173819252375</v>
      </c>
      <c r="H60">
        <f>lc_detailed!AJ61</f>
        <v>7.8355578478551591</v>
      </c>
      <c r="I60">
        <f>lc_detailed!AK61</f>
        <v>-8.1724348446793407</v>
      </c>
      <c r="J60">
        <f>lc_detailed!AM61</f>
        <v>-10.305583445722291</v>
      </c>
      <c r="K60">
        <f>lc_detailed!AN61</f>
        <v>6.623714419066479</v>
      </c>
      <c r="L60">
        <f>lc_detailed!AC61</f>
        <v>53.550628781681041</v>
      </c>
      <c r="M60" t="e">
        <f>lc_detailed!#REF!</f>
        <v>#REF!</v>
      </c>
      <c r="O60" t="str">
        <v>NCEN_Bio_Ethanol_Herb</v>
      </c>
      <c r="P60">
        <v>-3.3166387895026794</v>
      </c>
      <c r="Q60">
        <v>0</v>
      </c>
      <c r="R60">
        <v>53.324627635598738</v>
      </c>
      <c r="S60">
        <v>0</v>
      </c>
      <c r="T60">
        <v>17.350687233631078</v>
      </c>
      <c r="U60">
        <v>9.1514812225560309</v>
      </c>
      <c r="V60">
        <v>0.22537186357489861</v>
      </c>
      <c r="W60">
        <v>0</v>
      </c>
      <c r="X60">
        <v>-5.1152193576558137E-4</v>
      </c>
      <c r="Y60">
        <v>76.735017643922291</v>
      </c>
      <c r="Z60" t="e">
        <v>#REF!</v>
      </c>
    </row>
    <row r="61" spans="2:26" x14ac:dyDescent="0.2">
      <c r="B61" t="str">
        <f>lc_detailed!B62</f>
        <v>NCEN_DryMill_CCS_Fermentation</v>
      </c>
      <c r="C61">
        <f>lc_detailed!AE62</f>
        <v>0</v>
      </c>
      <c r="D61">
        <f>lc_detailed!AF62</f>
        <v>0.8448152277830977</v>
      </c>
      <c r="E61">
        <f>lc_detailed!AG62</f>
        <v>51.540779469794813</v>
      </c>
      <c r="F61">
        <f>lc_detailed!AH62</f>
        <v>4.3815814152679442</v>
      </c>
      <c r="G61">
        <f>lc_detailed!AI62</f>
        <v>1.1219173819252375</v>
      </c>
      <c r="H61">
        <f>lc_detailed!AJ62</f>
        <v>7.8355578478551591</v>
      </c>
      <c r="I61">
        <f>lc_detailed!AK62</f>
        <v>-8.1724348446793407</v>
      </c>
      <c r="J61">
        <f>lc_detailed!AM62</f>
        <v>-7.9768309547515157</v>
      </c>
      <c r="K61">
        <f>lc_detailed!AN62</f>
        <v>6.623714419066479</v>
      </c>
      <c r="L61">
        <f>lc_detailed!AC62</f>
        <v>56.199099962261862</v>
      </c>
      <c r="M61" t="e">
        <f>lc_detailed!#REF!</f>
        <v>#REF!</v>
      </c>
      <c r="O61" t="str">
        <v>TX_Bio_Ethanol_CCS_86_Herb</v>
      </c>
      <c r="P61">
        <v>0</v>
      </c>
      <c r="Q61">
        <v>2.6959540970598654</v>
      </c>
      <c r="R61">
        <v>71.032421942209396</v>
      </c>
      <c r="S61">
        <v>0</v>
      </c>
      <c r="T61">
        <v>33.387029287145261</v>
      </c>
      <c r="U61">
        <v>17.925114555775615</v>
      </c>
      <c r="V61">
        <v>0.84509893224027122</v>
      </c>
      <c r="W61">
        <v>-49.122670796019086</v>
      </c>
      <c r="X61">
        <v>5.94976999885926E-4</v>
      </c>
      <c r="Y61">
        <v>76.763542995411228</v>
      </c>
      <c r="Z61" t="e">
        <v>#REF!</v>
      </c>
    </row>
    <row r="62" spans="2:26" x14ac:dyDescent="0.2">
      <c r="B62" t="str">
        <f>lc_detailed!B63</f>
        <v>CEN_DryMill_CCS_Fermentation</v>
      </c>
      <c r="C62">
        <f>lc_detailed!AE63</f>
        <v>0</v>
      </c>
      <c r="D62">
        <f>lc_detailed!AF63</f>
        <v>0.69741155638819219</v>
      </c>
      <c r="E62">
        <f>lc_detailed!AG63</f>
        <v>51.540779469794813</v>
      </c>
      <c r="F62">
        <f>lc_detailed!AH63</f>
        <v>4.381555299618924</v>
      </c>
      <c r="G62">
        <f>lc_detailed!AI63</f>
        <v>1.1219173819252375</v>
      </c>
      <c r="H62">
        <f>lc_detailed!AJ63</f>
        <v>7.8355578478551591</v>
      </c>
      <c r="I62">
        <f>lc_detailed!AK63</f>
        <v>-8.1724348446793407</v>
      </c>
      <c r="J62">
        <f>lc_detailed!AM63</f>
        <v>-9.1305634634911339</v>
      </c>
      <c r="K62">
        <f>lc_detailed!AN63</f>
        <v>6.623714419066479</v>
      </c>
      <c r="L62">
        <f>lc_detailed!AC63</f>
        <v>54.897937666478327</v>
      </c>
      <c r="M62" t="e">
        <f>lc_detailed!#REF!</f>
        <v>#REF!</v>
      </c>
      <c r="O62" t="str">
        <v>SE_Bio_Ethanol_Wood</v>
      </c>
      <c r="P62">
        <v>-4.1263095249064206</v>
      </c>
      <c r="Q62">
        <v>0</v>
      </c>
      <c r="R62">
        <v>55.507517995968897</v>
      </c>
      <c r="S62">
        <v>0</v>
      </c>
      <c r="T62">
        <v>16.625452154425169</v>
      </c>
      <c r="U62">
        <v>8.7689617799585484</v>
      </c>
      <c r="V62">
        <v>0.21595162683558883</v>
      </c>
      <c r="W62">
        <v>0</v>
      </c>
      <c r="X62">
        <v>-4.7540747804338196E-4</v>
      </c>
      <c r="Y62">
        <v>76.99109862480374</v>
      </c>
      <c r="Z62" t="e">
        <v>#REF!</v>
      </c>
    </row>
    <row r="63" spans="2:26" x14ac:dyDescent="0.2">
      <c r="B63" t="str">
        <f>lc_detailed!B64</f>
        <v>SE_DryMill_CCS_Fermentation</v>
      </c>
      <c r="C63">
        <f>lc_detailed!AE64</f>
        <v>0</v>
      </c>
      <c r="D63">
        <f>lc_detailed!AF64</f>
        <v>1.0510573049050351</v>
      </c>
      <c r="E63">
        <f>lc_detailed!AG64</f>
        <v>51.540779469794813</v>
      </c>
      <c r="F63">
        <f>lc_detailed!AH64</f>
        <v>4.3815504029347316</v>
      </c>
      <c r="G63">
        <f>lc_detailed!AI64</f>
        <v>1.1219173819252375</v>
      </c>
      <c r="H63">
        <f>lc_detailed!AJ64</f>
        <v>7.8355578478551591</v>
      </c>
      <c r="I63">
        <f>lc_detailed!AK64</f>
        <v>-8.1724348446793407</v>
      </c>
      <c r="J63">
        <f>lc_detailed!AM64</f>
        <v>-7.2904871459067548</v>
      </c>
      <c r="K63">
        <f>lc_detailed!AN64</f>
        <v>6.623714419066479</v>
      </c>
      <c r="L63">
        <f>lc_detailed!AC64</f>
        <v>57.091654835895355</v>
      </c>
      <c r="M63" t="e">
        <f>lc_detailed!#REF!</f>
        <v>#REF!</v>
      </c>
      <c r="O63" t="str">
        <v>NCEN_Bio_Ethanol_Wood</v>
      </c>
      <c r="P63">
        <v>-3.3157271263071659</v>
      </c>
      <c r="Q63">
        <v>0</v>
      </c>
      <c r="R63">
        <v>56.823526577032439</v>
      </c>
      <c r="S63">
        <v>0</v>
      </c>
      <c r="T63">
        <v>16.695155510284405</v>
      </c>
      <c r="U63">
        <v>8.8057262575671658</v>
      </c>
      <c r="V63">
        <v>0.21685701893884632</v>
      </c>
      <c r="W63">
        <v>0</v>
      </c>
      <c r="X63">
        <v>-3.5571301248804474E-4</v>
      </c>
      <c r="Y63">
        <v>79.225182524503211</v>
      </c>
      <c r="Z63" t="e">
        <v>#REF!</v>
      </c>
    </row>
    <row r="64" spans="2:26" x14ac:dyDescent="0.2">
      <c r="B64" t="str">
        <f>lc_detailed!B65</f>
        <v>MIDAT_DryMill_CCS_Fermentation</v>
      </c>
      <c r="C64">
        <f>lc_detailed!AE65</f>
        <v>0</v>
      </c>
      <c r="D64">
        <f>lc_detailed!AF65</f>
        <v>1.0825827669928705</v>
      </c>
      <c r="E64">
        <f>lc_detailed!AG65</f>
        <v>51.540779469794813</v>
      </c>
      <c r="F64">
        <f>lc_detailed!AH65</f>
        <v>4.3817707537233472</v>
      </c>
      <c r="G64">
        <f>lc_detailed!AI65</f>
        <v>1.1219173819252375</v>
      </c>
      <c r="H64">
        <f>lc_detailed!AJ65</f>
        <v>7.8355578478551591</v>
      </c>
      <c r="I64">
        <f>lc_detailed!AK65</f>
        <v>-8.1724348446793407</v>
      </c>
      <c r="J64">
        <f>lc_detailed!AM65</f>
        <v>-6.5692563398373789</v>
      </c>
      <c r="K64">
        <f>lc_detailed!AN65</f>
        <v>6.623714419066479</v>
      </c>
      <c r="L64">
        <f>lc_detailed!AC65</f>
        <v>57.844631454841178</v>
      </c>
      <c r="M64" t="e">
        <f>lc_detailed!#REF!</f>
        <v>#REF!</v>
      </c>
      <c r="O64" t="str">
        <v>CEN_Bio_Ethanol_CCS_20_Wood</v>
      </c>
      <c r="P64">
        <v>0</v>
      </c>
      <c r="Q64">
        <v>0</v>
      </c>
      <c r="R64">
        <v>62.517755514882957</v>
      </c>
      <c r="S64">
        <v>0</v>
      </c>
      <c r="T64">
        <v>17.901596436060082</v>
      </c>
      <c r="U64">
        <v>9.4662278894074863</v>
      </c>
      <c r="V64">
        <v>0.23119160003853192</v>
      </c>
      <c r="W64">
        <v>-10.342856317499015</v>
      </c>
      <c r="X64">
        <v>-2.1686634636532121E-4</v>
      </c>
      <c r="Y64">
        <v>79.773698256543682</v>
      </c>
      <c r="Z64" t="e">
        <v>#REF!</v>
      </c>
    </row>
    <row r="65" spans="2:26" x14ac:dyDescent="0.2">
      <c r="B65" t="str">
        <f>lc_detailed!B66</f>
        <v>NE_DryMill_CCS_Fermentation</v>
      </c>
      <c r="C65">
        <f>lc_detailed!AE66</f>
        <v>0</v>
      </c>
      <c r="D65">
        <f>lc_detailed!AF66</f>
        <v>1.3054571304581477</v>
      </c>
      <c r="E65">
        <f>lc_detailed!AG66</f>
        <v>51.540779469794813</v>
      </c>
      <c r="F65">
        <f>lc_detailed!AH66</f>
        <v>4.3816848985271903</v>
      </c>
      <c r="G65">
        <f>lc_detailed!AI66</f>
        <v>1.1219173819252375</v>
      </c>
      <c r="H65">
        <f>lc_detailed!AJ66</f>
        <v>7.8355578478551591</v>
      </c>
      <c r="I65">
        <f>lc_detailed!AK66</f>
        <v>-8.1724348446793407</v>
      </c>
      <c r="J65">
        <f>lc_detailed!AM66</f>
        <v>-5.6030396120326609</v>
      </c>
      <c r="K65">
        <f>lc_detailed!AN66</f>
        <v>6.623714419066479</v>
      </c>
      <c r="L65">
        <f>lc_detailed!AC66</f>
        <v>59.033636690915017</v>
      </c>
      <c r="M65" t="e">
        <f>lc_detailed!#REF!</f>
        <v>#REF!</v>
      </c>
      <c r="O65" t="str">
        <v>CEN_Bio_Ethanol_Agri</v>
      </c>
      <c r="P65">
        <v>-2.7371259688670162</v>
      </c>
      <c r="Q65">
        <v>0</v>
      </c>
      <c r="R65">
        <v>54.205622124745908</v>
      </c>
      <c r="S65">
        <v>0</v>
      </c>
      <c r="T65">
        <v>18.5322120463203</v>
      </c>
      <c r="U65">
        <v>9.7746670359888874</v>
      </c>
      <c r="V65">
        <v>0.24071894725580401</v>
      </c>
      <c r="W65">
        <v>0</v>
      </c>
      <c r="X65">
        <v>5.7465527182663128E-4</v>
      </c>
      <c r="Y65">
        <v>80.01666884071571</v>
      </c>
      <c r="Z65" t="e">
        <v>#REF!</v>
      </c>
    </row>
    <row r="66" spans="2:26" x14ac:dyDescent="0.2">
      <c r="B66" t="str">
        <f>lc_detailed!B67</f>
        <v>CA_DryMill_CCS_Fermentation_Exhaust</v>
      </c>
      <c r="C66">
        <f>lc_detailed!AE67</f>
        <v>0</v>
      </c>
      <c r="D66">
        <f>lc_detailed!AF67</f>
        <v>1.0053136927072917</v>
      </c>
      <c r="E66">
        <f>lc_detailed!AG67</f>
        <v>51.540779469794813</v>
      </c>
      <c r="F66">
        <f>lc_detailed!AH67</f>
        <v>4.4570380128755689</v>
      </c>
      <c r="G66">
        <f>lc_detailed!AI67</f>
        <v>1.8459716853700829</v>
      </c>
      <c r="H66">
        <f>lc_detailed!AJ67</f>
        <v>8.2322589053372308</v>
      </c>
      <c r="I66">
        <f>lc_detailed!AK67</f>
        <v>-8.1434431562275815</v>
      </c>
      <c r="J66">
        <f>lc_detailed!AM67</f>
        <v>-17.179688041247246</v>
      </c>
      <c r="K66">
        <f>lc_detailed!AN67</f>
        <v>6.623714419066479</v>
      </c>
      <c r="L66">
        <f>lc_detailed!AC67</f>
        <v>48.38194498767664</v>
      </c>
      <c r="M66" t="e">
        <f>lc_detailed!#REF!</f>
        <v>#REF!</v>
      </c>
      <c r="O66" t="str">
        <v>TX_Bio_Ethanol_CCS_86_Wood</v>
      </c>
      <c r="P66">
        <v>0</v>
      </c>
      <c r="Q66">
        <v>2.5890435394858331</v>
      </c>
      <c r="R66">
        <v>77.975442970306659</v>
      </c>
      <c r="S66">
        <v>0</v>
      </c>
      <c r="T66">
        <v>32.063035707016454</v>
      </c>
      <c r="U66">
        <v>17.214277530090971</v>
      </c>
      <c r="V66">
        <v>0.81158575108130426</v>
      </c>
      <c r="W66">
        <v>-50.479704512191475</v>
      </c>
      <c r="X66">
        <v>-1.1330395503679633E-4</v>
      </c>
      <c r="Y66">
        <v>80.173567681834726</v>
      </c>
      <c r="Z66" t="e">
        <v>#REF!</v>
      </c>
    </row>
    <row r="67" spans="2:26" x14ac:dyDescent="0.2">
      <c r="B67" t="str">
        <f>lc_detailed!B68</f>
        <v>NW_DryMill_CCS_Fermentation_Exhaust</v>
      </c>
      <c r="C67">
        <f>lc_detailed!AE68</f>
        <v>0</v>
      </c>
      <c r="D67">
        <f>lc_detailed!AF68</f>
        <v>0.73586366011438453</v>
      </c>
      <c r="E67">
        <f>lc_detailed!AG68</f>
        <v>51.540779469794813</v>
      </c>
      <c r="F67">
        <f>lc_detailed!AH68</f>
        <v>4.4575492267051553</v>
      </c>
      <c r="G67">
        <f>lc_detailed!AI68</f>
        <v>1.8459716853700829</v>
      </c>
      <c r="H67">
        <f>lc_detailed!AJ68</f>
        <v>8.2322589053372308</v>
      </c>
      <c r="I67">
        <f>lc_detailed!AK68</f>
        <v>-8.1434431562275815</v>
      </c>
      <c r="J67">
        <f>lc_detailed!AM68</f>
        <v>-17.034878992536783</v>
      </c>
      <c r="K67">
        <f>lc_detailed!AN68</f>
        <v>6.623714419066479</v>
      </c>
      <c r="L67">
        <f>lc_detailed!AC68</f>
        <v>48.257815217623786</v>
      </c>
      <c r="M67" t="e">
        <f>lc_detailed!#REF!</f>
        <v>#REF!</v>
      </c>
      <c r="O67" t="str">
        <v>CEN_Bio_Ethanol_Herb</v>
      </c>
      <c r="P67">
        <v>-2.7377503331318023</v>
      </c>
      <c r="Q67">
        <v>0</v>
      </c>
      <c r="R67">
        <v>56.806854091092305</v>
      </c>
      <c r="S67">
        <v>0</v>
      </c>
      <c r="T67">
        <v>17.45471442935871</v>
      </c>
      <c r="U67">
        <v>9.2063495350048488</v>
      </c>
      <c r="V67">
        <v>0.22672309552599759</v>
      </c>
      <c r="W67">
        <v>0</v>
      </c>
      <c r="X67">
        <v>4.6516133875214446E-4</v>
      </c>
      <c r="Y67">
        <v>80.957355979188819</v>
      </c>
      <c r="Z67" t="e">
        <v>#REF!</v>
      </c>
    </row>
    <row r="68" spans="2:26" x14ac:dyDescent="0.2">
      <c r="B68" t="str">
        <f>lc_detailed!B69</f>
        <v>SW_DryMill_CCS_Fermentation_Exhaust</v>
      </c>
      <c r="C68">
        <f>lc_detailed!AE69</f>
        <v>0</v>
      </c>
      <c r="D68">
        <f>lc_detailed!AF69</f>
        <v>0.77013340353811088</v>
      </c>
      <c r="E68">
        <f>lc_detailed!AG69</f>
        <v>51.540779469794813</v>
      </c>
      <c r="F68">
        <f>lc_detailed!AH69</f>
        <v>4.4574960160702748</v>
      </c>
      <c r="G68">
        <f>lc_detailed!AI69</f>
        <v>1.8459716853700829</v>
      </c>
      <c r="H68">
        <f>lc_detailed!AJ69</f>
        <v>8.2322589053372308</v>
      </c>
      <c r="I68">
        <f>lc_detailed!AK69</f>
        <v>-8.1434431562275815</v>
      </c>
      <c r="J68">
        <f>lc_detailed!AM69</f>
        <v>-15.518125188800894</v>
      </c>
      <c r="K68">
        <f>lc_detailed!AN69</f>
        <v>6.623714419066479</v>
      </c>
      <c r="L68">
        <f>lc_detailed!AC69</f>
        <v>49.808785554148521</v>
      </c>
      <c r="M68" t="e">
        <f>lc_detailed!#REF!</f>
        <v>#REF!</v>
      </c>
      <c r="O68" t="str">
        <v>TX_Bio_Ethanol_CCS_20_Agri</v>
      </c>
      <c r="P68">
        <v>0</v>
      </c>
      <c r="Q68">
        <v>0</v>
      </c>
      <c r="R68">
        <v>62.940523197873986</v>
      </c>
      <c r="S68">
        <v>0</v>
      </c>
      <c r="T68">
        <v>20.577618492164735</v>
      </c>
      <c r="U68">
        <v>10.881287976961479</v>
      </c>
      <c r="V68">
        <v>0.26575130107407818</v>
      </c>
      <c r="W68">
        <v>-12.336298730305126</v>
      </c>
      <c r="X68">
        <v>-1.6047210515816873E-4</v>
      </c>
      <c r="Y68">
        <v>82.328721765663985</v>
      </c>
      <c r="Z68" t="e">
        <v>#REF!</v>
      </c>
    </row>
    <row r="69" spans="2:26" x14ac:dyDescent="0.2">
      <c r="B69" t="str">
        <f>lc_detailed!B70</f>
        <v>TX_DryMill_CCS_Fermentation_Exhaust</v>
      </c>
      <c r="C69">
        <f>lc_detailed!AE70</f>
        <v>0</v>
      </c>
      <c r="D69">
        <f>lc_detailed!AF70</f>
        <v>0.55645947397359674</v>
      </c>
      <c r="E69">
        <f>lc_detailed!AG70</f>
        <v>51.540779469794813</v>
      </c>
      <c r="F69">
        <f>lc_detailed!AH70</f>
        <v>4.3502184794673902</v>
      </c>
      <c r="G69">
        <f>lc_detailed!AI70</f>
        <v>1.8459716853700829</v>
      </c>
      <c r="H69">
        <f>lc_detailed!AJ70</f>
        <v>8.2322589053372308</v>
      </c>
      <c r="I69">
        <f>lc_detailed!AK70</f>
        <v>-8.1434431562275815</v>
      </c>
      <c r="J69">
        <f>lc_detailed!AM70</f>
        <v>-14.711074674431483</v>
      </c>
      <c r="K69">
        <f>lc_detailed!AN70</f>
        <v>6.623714419066479</v>
      </c>
      <c r="L69">
        <f>lc_detailed!AC70</f>
        <v>50.294884602350528</v>
      </c>
      <c r="M69" t="e">
        <f>lc_detailed!#REF!</f>
        <v>#REF!</v>
      </c>
      <c r="O69" t="str">
        <v>CEN_Bio_Ethanol_Wood</v>
      </c>
      <c r="P69">
        <v>-2.7381913556497448</v>
      </c>
      <c r="Q69">
        <v>0</v>
      </c>
      <c r="R69">
        <v>62.517755514882957</v>
      </c>
      <c r="S69">
        <v>0</v>
      </c>
      <c r="T69">
        <v>16.686310181770139</v>
      </c>
      <c r="U69">
        <v>8.8010608597811508</v>
      </c>
      <c r="V69">
        <v>0.2167421250361237</v>
      </c>
      <c r="W69">
        <v>0</v>
      </c>
      <c r="X69">
        <v>-2.1685004797443235E-4</v>
      </c>
      <c r="Y69">
        <v>85.483460475772631</v>
      </c>
      <c r="Z69" t="e">
        <v>#REF!</v>
      </c>
    </row>
    <row r="70" spans="2:26" x14ac:dyDescent="0.2">
      <c r="B70" t="str">
        <f>lc_detailed!B71</f>
        <v>NCEN_DryMill_CCS_Fermentation_Exhaust</v>
      </c>
      <c r="C70">
        <f>lc_detailed!AE71</f>
        <v>0</v>
      </c>
      <c r="D70">
        <f>lc_detailed!AF71</f>
        <v>0.8448152277830977</v>
      </c>
      <c r="E70">
        <f>lc_detailed!AG71</f>
        <v>51.540779469794813</v>
      </c>
      <c r="F70">
        <f>lc_detailed!AH71</f>
        <v>4.3815814152679442</v>
      </c>
      <c r="G70">
        <f>lc_detailed!AI71</f>
        <v>1.8459716853700829</v>
      </c>
      <c r="H70">
        <f>lc_detailed!AJ71</f>
        <v>8.2322589053372308</v>
      </c>
      <c r="I70">
        <f>lc_detailed!AK71</f>
        <v>-8.1434431562275815</v>
      </c>
      <c r="J70">
        <f>lc_detailed!AM71</f>
        <v>-11.386813416117223</v>
      </c>
      <c r="K70">
        <f>lc_detailed!AN71</f>
        <v>6.623714419066479</v>
      </c>
      <c r="L70">
        <f>lc_detailed!AC71</f>
        <v>53.93886455027485</v>
      </c>
      <c r="M70" t="e">
        <f>lc_detailed!#REF!</f>
        <v>#REF!</v>
      </c>
      <c r="O70" t="str">
        <v>TX_Bio_Ethanol_CCS_20_Herb</v>
      </c>
      <c r="P70">
        <v>0</v>
      </c>
      <c r="Q70">
        <v>0</v>
      </c>
      <c r="R70">
        <v>71.032421942209396</v>
      </c>
      <c r="S70">
        <v>0</v>
      </c>
      <c r="T70">
        <v>18.808407732679495</v>
      </c>
      <c r="U70">
        <v>9.945742798435214</v>
      </c>
      <c r="V70">
        <v>0.24290268711097615</v>
      </c>
      <c r="W70">
        <v>-11.66364319805268</v>
      </c>
      <c r="X70">
        <v>5.9497699986129173E-4</v>
      </c>
      <c r="Y70">
        <v>88.366426939382265</v>
      </c>
      <c r="Z70" t="e">
        <v>#REF!</v>
      </c>
    </row>
    <row r="71" spans="2:26" x14ac:dyDescent="0.2">
      <c r="B71" t="str">
        <f>lc_detailed!B72</f>
        <v>CEN_DryMill_CCS_Fermentation_Exhaust</v>
      </c>
      <c r="C71">
        <f>lc_detailed!AE72</f>
        <v>0</v>
      </c>
      <c r="D71">
        <f>lc_detailed!AF72</f>
        <v>0.69741155638819219</v>
      </c>
      <c r="E71">
        <f>lc_detailed!AG72</f>
        <v>51.540779469794813</v>
      </c>
      <c r="F71">
        <f>lc_detailed!AH72</f>
        <v>4.381555299618924</v>
      </c>
      <c r="G71">
        <f>lc_detailed!AI72</f>
        <v>1.8459716853700829</v>
      </c>
      <c r="H71">
        <f>lc_detailed!AJ72</f>
        <v>8.2322589053372308</v>
      </c>
      <c r="I71">
        <f>lc_detailed!AK72</f>
        <v>-8.1434431562275815</v>
      </c>
      <c r="J71">
        <f>lc_detailed!AM72</f>
        <v>-13.03375026154472</v>
      </c>
      <c r="K71">
        <f>lc_detailed!AN72</f>
        <v>6.623714419066479</v>
      </c>
      <c r="L71">
        <f>lc_detailed!AC72</f>
        <v>52.14449791780342</v>
      </c>
      <c r="M71" t="e">
        <f>lc_detailed!#REF!</f>
        <v>#REF!</v>
      </c>
      <c r="O71" t="str">
        <v>TX_Bio_Ethanol_Agri</v>
      </c>
      <c r="P71">
        <v>-2.1841453069427526</v>
      </c>
      <c r="Q71">
        <v>0</v>
      </c>
      <c r="R71">
        <v>62.940523197873986</v>
      </c>
      <c r="S71">
        <v>0</v>
      </c>
      <c r="T71">
        <v>19.18066504229386</v>
      </c>
      <c r="U71">
        <v>10.11668838283558</v>
      </c>
      <c r="V71">
        <v>0.24914184475694828</v>
      </c>
      <c r="W71">
        <v>0</v>
      </c>
      <c r="X71">
        <v>-1.6045580677959698E-4</v>
      </c>
      <c r="Y71">
        <v>90.302712705010833</v>
      </c>
      <c r="Z71" t="e">
        <v>#REF!</v>
      </c>
    </row>
    <row r="72" spans="2:26" x14ac:dyDescent="0.2">
      <c r="B72" t="str">
        <f>lc_detailed!B73</f>
        <v>SE_DryMill_CCS_Fermentation_Exhaust</v>
      </c>
      <c r="C72">
        <f>lc_detailed!AE73</f>
        <v>0</v>
      </c>
      <c r="D72">
        <f>lc_detailed!AF73</f>
        <v>1.0510573049050351</v>
      </c>
      <c r="E72">
        <f>lc_detailed!AG73</f>
        <v>51.540779469794813</v>
      </c>
      <c r="F72">
        <f>lc_detailed!AH73</f>
        <v>4.3815504029347316</v>
      </c>
      <c r="G72">
        <f>lc_detailed!AI73</f>
        <v>1.8459716853700829</v>
      </c>
      <c r="H72">
        <f>lc_detailed!AJ73</f>
        <v>8.2322589053372308</v>
      </c>
      <c r="I72">
        <f>lc_detailed!AK73</f>
        <v>-8.1434431562275815</v>
      </c>
      <c r="J72">
        <f>lc_detailed!AM73</f>
        <v>-10.407067332120389</v>
      </c>
      <c r="K72">
        <f>lc_detailed!AN73</f>
        <v>6.623714419066479</v>
      </c>
      <c r="L72">
        <f>lc_detailed!AC73</f>
        <v>55.124821699060398</v>
      </c>
      <c r="M72" t="e">
        <f>lc_detailed!#REF!</f>
        <v>#REF!</v>
      </c>
      <c r="O72" t="str">
        <v>TX_Bio_Ethanol_CCS_20_Wood</v>
      </c>
      <c r="P72">
        <v>0</v>
      </c>
      <c r="Q72">
        <v>0</v>
      </c>
      <c r="R72">
        <v>77.975442970306659</v>
      </c>
      <c r="S72">
        <v>0</v>
      </c>
      <c r="T72">
        <v>18.062542897676021</v>
      </c>
      <c r="U72">
        <v>9.551335152834632</v>
      </c>
      <c r="V72">
        <v>0.23327015599941681</v>
      </c>
      <c r="W72">
        <v>-11.985856074850195</v>
      </c>
      <c r="X72">
        <v>-1.1330395506143057E-4</v>
      </c>
      <c r="Y72">
        <v>93.836621798011478</v>
      </c>
      <c r="Z72" t="e">
        <v>#REF!</v>
      </c>
    </row>
    <row r="73" spans="2:26" x14ac:dyDescent="0.2">
      <c r="B73" t="str">
        <f>lc_detailed!B74</f>
        <v>MIDAT_DryMill_CCS_Fermentation_Exhaust</v>
      </c>
      <c r="C73">
        <f>lc_detailed!AE74</f>
        <v>0</v>
      </c>
      <c r="D73">
        <f>lc_detailed!AF74</f>
        <v>1.0825827669928705</v>
      </c>
      <c r="E73">
        <f>lc_detailed!AG74</f>
        <v>51.540779469794813</v>
      </c>
      <c r="F73">
        <f>lc_detailed!AH74</f>
        <v>4.3817707537233472</v>
      </c>
      <c r="G73">
        <f>lc_detailed!AI74</f>
        <v>1.8459716853700829</v>
      </c>
      <c r="H73">
        <f>lc_detailed!AJ74</f>
        <v>8.2322589053372308</v>
      </c>
      <c r="I73">
        <f>lc_detailed!AK74</f>
        <v>-8.1434431562275815</v>
      </c>
      <c r="J73">
        <f>lc_detailed!AM74</f>
        <v>-9.3775205527974688</v>
      </c>
      <c r="K73">
        <f>lc_detailed!AN74</f>
        <v>6.623714419066479</v>
      </c>
      <c r="L73">
        <f>lc_detailed!AC74</f>
        <v>56.186114291259777</v>
      </c>
      <c r="M73" t="e">
        <f>lc_detailed!#REF!</f>
        <v>#REF!</v>
      </c>
      <c r="O73" t="str">
        <v>TX_Bio_Ethanol_Herb</v>
      </c>
      <c r="P73">
        <v>-2.1838047625120187</v>
      </c>
      <c r="Q73">
        <v>0</v>
      </c>
      <c r="R73">
        <v>71.032421942209396</v>
      </c>
      <c r="S73">
        <v>0</v>
      </c>
      <c r="T73">
        <v>17.531560750666046</v>
      </c>
      <c r="U73">
        <v>9.2468815126145572</v>
      </c>
      <c r="V73">
        <v>0.22772126916654017</v>
      </c>
      <c r="W73">
        <v>0</v>
      </c>
      <c r="X73">
        <v>5.9499329775949592E-4</v>
      </c>
      <c r="Y73">
        <v>95.85537570544227</v>
      </c>
      <c r="Z73" t="e">
        <v>#REF!</v>
      </c>
    </row>
    <row r="74" spans="2:26" x14ac:dyDescent="0.2">
      <c r="B74" t="str">
        <f>lc_detailed!B75</f>
        <v>NE_DryMill_CCS_Fermentation_Exhaust</v>
      </c>
      <c r="C74">
        <f>lc_detailed!AE75</f>
        <v>0</v>
      </c>
      <c r="D74">
        <f>lc_detailed!AF75</f>
        <v>1.3054571304581477</v>
      </c>
      <c r="E74">
        <f>lc_detailed!AG75</f>
        <v>51.540779469794813</v>
      </c>
      <c r="F74">
        <f>lc_detailed!AH75</f>
        <v>4.3816848985271903</v>
      </c>
      <c r="G74">
        <f>lc_detailed!AI75</f>
        <v>1.8459716853700829</v>
      </c>
      <c r="H74">
        <f>lc_detailed!AJ75</f>
        <v>8.2322589053372308</v>
      </c>
      <c r="I74">
        <f>lc_detailed!AK75</f>
        <v>-8.1434431562275815</v>
      </c>
      <c r="J74">
        <f>lc_detailed!AM75</f>
        <v>-7.9982598336656334</v>
      </c>
      <c r="K74">
        <f>lc_detailed!AN75</f>
        <v>6.623714419066479</v>
      </c>
      <c r="L74">
        <f>lc_detailed!AC75</f>
        <v>57.788163518660731</v>
      </c>
      <c r="M74" t="e">
        <f>lc_detailed!#REF!</f>
        <v>#REF!</v>
      </c>
      <c r="O74" t="str">
        <v>TX_Bio_Ethanol_Wood</v>
      </c>
      <c r="P74">
        <v>-2.1847514062302569</v>
      </c>
      <c r="Q74">
        <v>0</v>
      </c>
      <c r="R74">
        <v>77.975442970306659</v>
      </c>
      <c r="S74">
        <v>0</v>
      </c>
      <c r="T74">
        <v>16.836330465758454</v>
      </c>
      <c r="U74">
        <v>8.8801878588120839</v>
      </c>
      <c r="V74">
        <v>0.21869077124945327</v>
      </c>
      <c r="W74">
        <v>0</v>
      </c>
      <c r="X74">
        <v>-1.1328765668285881E-4</v>
      </c>
      <c r="Y74">
        <v>101.72578737223969</v>
      </c>
      <c r="Z74" t="e">
        <v>#REF!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lc_detailed</vt:lpstr>
      <vt:lpstr>lc_summary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2026-06-29T00:30:21Z</dcterms:modified>
</cp:coreProperties>
</file>