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500" tabRatio="600" firstSheet="0" activeTab="0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6.536371719746117</v>
                </pt>
                <pt idx="1">
                  <v>6.536371719746117</v>
                </pt>
                <pt idx="2">
                  <v>6.536371719746117</v>
                </pt>
                <pt idx="3">
                  <v>6.536371719746117</v>
                </pt>
                <pt idx="4">
                  <v>6.536371719746117</v>
                </pt>
                <pt idx="5">
                  <v>6.536371719746117</v>
                </pt>
                <pt idx="6">
                  <v>6.536371719746117</v>
                </pt>
                <pt idx="7">
                  <v>6.536371719746117</v>
                </pt>
                <pt idx="8">
                  <v>6.536371719746117</v>
                </pt>
                <pt idx="9">
                  <v>6.536371719746117</v>
                </pt>
                <pt idx="10">
                  <v>6.536371719746117</v>
                </pt>
                <pt idx="11">
                  <v>6.536371719746117</v>
                </pt>
                <pt idx="12">
                  <v>6.536371719746117</v>
                </pt>
                <pt idx="13">
                  <v>6.536371719746117</v>
                </pt>
                <pt idx="14">
                  <v>6.536371719746117</v>
                </pt>
                <pt idx="15">
                  <v>6.536371719746117</v>
                </pt>
                <pt idx="16">
                  <v>6.536371719746117</v>
                </pt>
                <pt idx="17">
                  <v>6.536371719746117</v>
                </pt>
                <pt idx="18">
                  <v>6.536371719746117</v>
                </pt>
                <pt idx="19">
                  <v>6.536371719746117</v>
                </pt>
                <pt idx="20">
                  <v>6.536371719746117</v>
                </pt>
                <pt idx="21">
                  <v>6.536371719746117</v>
                </pt>
                <pt idx="22">
                  <v>6.536371719746117</v>
                </pt>
                <pt idx="23">
                  <v>6.536371719746117</v>
                </pt>
                <pt idx="24">
                  <v>6.536371719746117</v>
                </pt>
                <pt idx="25">
                  <v>6.536371719746117</v>
                </pt>
                <pt idx="26">
                  <v>6.536371719746117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7"/>
  <sheetViews>
    <sheetView tabSelected="1" topLeftCell="V1" zoomScale="82" zoomScaleNormal="157" workbookViewId="0">
      <selection activeCell="AG13" sqref="AG1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18.83203125" bestFit="1" customWidth="1" style="1" min="23" max="23"/>
    <col width="17.5" bestFit="1" customWidth="1" style="1" min="24" max="24"/>
    <col width="3.33203125" customWidth="1" min="25" max="25"/>
    <col width="37.83203125" bestFit="1" customWidth="1" style="1" min="26" max="26"/>
    <col width="19.83203125" customWidth="1" style="1" min="27" max="27"/>
    <col width="18.83203125" bestFit="1" customWidth="1" style="1" min="28" max="29"/>
    <col width="27.83203125" bestFit="1" customWidth="1" style="1" min="30" max="30"/>
    <col width="12.6640625" bestFit="1" customWidth="1" style="1" min="31" max="31"/>
    <col width="15.1640625" bestFit="1" customWidth="1" style="1" min="32" max="32"/>
    <col width="18.5" bestFit="1" customWidth="1" style="1" min="33" max="33"/>
    <col width="17.1640625" bestFit="1" customWidth="1" style="1" min="34" max="34"/>
    <col width="13.6640625" bestFit="1" customWidth="1" style="1" min="35" max="35"/>
    <col width="12.1640625" bestFit="1" customWidth="1" style="1" min="36" max="36"/>
    <col width="14.5" bestFit="1" customWidth="1" style="1" min="37" max="37"/>
    <col width="10.5" customWidth="1" style="1" min="38" max="38"/>
    <col width="17.83203125" bestFit="1" customWidth="1" style="1" min="39" max="39"/>
    <col width="19.6640625" bestFit="1" customWidth="1" style="1" min="40" max="40"/>
    <col width="12.1640625" customWidth="1" style="1" min="41" max="41"/>
    <col width="17.83203125" bestFit="1" customWidth="1" style="1" min="42" max="42"/>
    <col width="19.33203125" bestFit="1" customWidth="1" style="1" min="43" max="43"/>
    <col width="3.33203125" customWidth="1" style="1" min="44" max="44"/>
    <col width="27.6640625" bestFit="1" customWidth="1" style="1" min="45" max="45"/>
    <col width="17" bestFit="1" customWidth="1" style="1" min="46" max="46"/>
    <col width="24.1640625" bestFit="1" customWidth="1" style="1" min="47" max="47"/>
    <col width="3.6640625" customWidth="1" style="1" min="48" max="48"/>
    <col width="24.5" bestFit="1" customWidth="1" style="1" min="49" max="49"/>
    <col width="20.5" bestFit="1" customWidth="1" style="1" min="50" max="50"/>
    <col width="3.33203125" customWidth="1" style="1" min="51" max="51"/>
    <col width="24.1640625" bestFit="1" customWidth="1" style="1" min="52" max="52"/>
    <col width="24.1640625" customWidth="1" style="1" min="53" max="53"/>
    <col width="25.6640625" bestFit="1" customWidth="1" style="1" min="54" max="54"/>
    <col width="25.6640625" customWidth="1" style="1" min="55" max="55"/>
    <col width="25.33203125" bestFit="1" customWidth="1" style="1" min="56" max="56"/>
    <col width="10.83203125" customWidth="1" style="1" min="57" max="57"/>
    <col width="19.1640625" bestFit="1" customWidth="1" style="1" min="58" max="58"/>
    <col width="10.83203125" customWidth="1" style="1" min="59" max="75"/>
    <col width="10.83203125" customWidth="1" style="1" min="76" max="16384"/>
  </cols>
  <sheetData>
    <row r="1" ht="15" customHeight="1">
      <c r="Y1" s="1" t="n"/>
      <c r="AE1" s="17" t="n"/>
      <c r="AF1" s="17" t="n"/>
      <c r="AG1" s="17" t="n"/>
      <c r="AH1" s="17" t="n"/>
      <c r="AI1" s="17" t="n"/>
      <c r="AJ1" s="17" t="n"/>
      <c r="AK1" s="17" t="n"/>
      <c r="AL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Z2" s="1" t="inlineStr">
        <is>
          <t>LCOE for ethanol production ($/MWh-ethanol)</t>
        </is>
      </c>
      <c r="AB2" s="1" t="inlineStr">
        <is>
          <t>CI</t>
        </is>
      </c>
      <c r="AC2" s="1" t="inlineStr">
        <is>
          <t>CREDIT</t>
        </is>
      </c>
      <c r="AL2" s="1" t="inlineStr">
        <is>
          <t>NET CARBON INTENSITY + credit for capture</t>
        </is>
      </c>
      <c r="AO2" s="1" t="inlineStr">
        <is>
          <t>CREDIT for capture/storage + PAY for storage</t>
        </is>
      </c>
      <c r="AS2" s="1" t="inlineStr">
        <is>
          <t>Carbon Content</t>
        </is>
      </c>
      <c r="AW2" s="1" t="inlineStr">
        <is>
          <t>Carbon Inputs</t>
        </is>
      </c>
      <c r="AZ2" s="1" t="inlineStr">
        <is>
          <t>Carbon Outputs</t>
        </is>
      </c>
      <c r="BF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elec_demand ($/MWh)</t>
        </is>
      </c>
      <c r="X3" s="14" t="inlineStr">
        <is>
          <t>ng_balance ($/MWh)</t>
        </is>
      </c>
      <c r="Z3" s="4" t="inlineStr">
        <is>
          <t>id_LC</t>
        </is>
      </c>
      <c r="AA3" s="4" t="inlineStr">
        <is>
          <t>commodity_LC</t>
        </is>
      </c>
      <c r="AB3" s="3" t="inlineStr">
        <is>
          <t>LCOE ($/MWh-ethanol)</t>
        </is>
      </c>
      <c r="AC3" s="6" t="inlineStr">
        <is>
          <t>LCOE ($/MWh-ethanol)</t>
        </is>
      </c>
      <c r="AD3" s="7" t="inlineStr">
        <is>
          <t>Diff. Between Methods ($/MWh)</t>
        </is>
      </c>
      <c r="AE3" s="4" t="inlineStr">
        <is>
          <t>elec_production</t>
        </is>
      </c>
      <c r="AF3" s="4" t="inlineStr">
        <is>
          <t>elec_consumption</t>
        </is>
      </c>
      <c r="AG3" s="4" t="inlineStr">
        <is>
          <t>biomass_consumption</t>
        </is>
      </c>
      <c r="AH3" s="4" t="inlineStr">
        <is>
          <t>natgas_consumption</t>
        </is>
      </c>
      <c r="AI3" s="4" t="inlineStr">
        <is>
          <t>investment_cost</t>
        </is>
      </c>
      <c r="AJ3" s="4" t="inlineStr">
        <is>
          <t>fixed_om_cost</t>
        </is>
      </c>
      <c r="AK3" s="4" t="inlineStr">
        <is>
          <t>variable_om_cost</t>
        </is>
      </c>
      <c r="AL3" s="3" t="inlineStr">
        <is>
          <t>CI</t>
        </is>
      </c>
      <c r="AM3" s="3" t="inlineStr">
        <is>
          <t>modified capture cost</t>
        </is>
      </c>
      <c r="AN3" s="3" t="inlineStr">
        <is>
          <t>modified emissions cost</t>
        </is>
      </c>
      <c r="AO3" s="6" t="inlineStr">
        <is>
          <t>CI</t>
        </is>
      </c>
      <c r="AP3" s="6" t="inlineStr">
        <is>
          <t>modified capture cost</t>
        </is>
      </c>
      <c r="AQ3" s="6" t="inlineStr">
        <is>
          <t>modified emissions cost</t>
        </is>
      </c>
      <c r="AS3" s="7" t="inlineStr">
        <is>
          <t>Biomass CO2 content (t-CO2/t-bio)</t>
        </is>
      </c>
      <c r="AT3" s="7" t="inlineStr">
        <is>
          <t>NG (t-CO2/MWh-NG)</t>
        </is>
      </c>
      <c r="AU3" s="7" t="inlineStr">
        <is>
          <t>Ethanol (t-CO2/MWh-ethanol)</t>
        </is>
      </c>
      <c r="AW3" s="7" t="inlineStr">
        <is>
          <t>Biomass (t-CO2/MWh-ethanol)</t>
        </is>
      </c>
      <c r="AX3" s="7" t="inlineStr">
        <is>
          <t>NG (t-CO2/MWh-ethanol)</t>
        </is>
      </c>
      <c r="AZ3" s="7" t="inlineStr">
        <is>
          <t>Ethanol (t-CO2/MWh-ethanol)</t>
        </is>
      </c>
      <c r="BA3" s="7" t="inlineStr">
        <is>
          <t>Process Emissions (t-CO2/MWh-ethanol)</t>
        </is>
      </c>
      <c r="BB3" s="7" t="inlineStr">
        <is>
          <t>Fuel Emissions (t-CO2/MWh-ethanol)</t>
        </is>
      </c>
      <c r="BC3" s="7" t="inlineStr">
        <is>
          <t>Process Captured (t-CO2/MWh-ethanol)</t>
        </is>
      </c>
      <c r="BD3" s="7" t="inlineStr">
        <is>
          <t>Fuel Captured (t-CO2/MWh-ethanol)</t>
        </is>
      </c>
      <c r="BF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109.479795</v>
      </c>
      <c r="R4" s="15" t="n">
        <v>-31.70346</v>
      </c>
      <c r="S4" s="15" t="n">
        <v>170</v>
      </c>
      <c r="T4" s="15" t="n">
        <v>110.461518</v>
      </c>
      <c r="U4" s="15" t="n">
        <v>127.408748</v>
      </c>
      <c r="V4" s="15" t="n">
        <v>98.83247799999999</v>
      </c>
      <c r="W4" s="15" t="n">
        <v>25.324637</v>
      </c>
      <c r="X4" s="15" t="n">
        <v>13.421913</v>
      </c>
      <c r="Z4" s="1">
        <f>B4</f>
        <v/>
      </c>
      <c r="AA4" s="1">
        <f>C4</f>
        <v/>
      </c>
      <c r="AB4" s="11">
        <f>SUM(AE4:AK4)+AM4+AN4</f>
        <v/>
      </c>
      <c r="AC4" s="11">
        <f>SUM(AE4:AK4)+AP4+AQ4</f>
        <v/>
      </c>
      <c r="AD4" s="5">
        <f>AB4-AC4</f>
        <v/>
      </c>
      <c r="AE4" s="1">
        <f>D4/F4*W4*-1</f>
        <v/>
      </c>
      <c r="AF4" s="1">
        <f>E4/F4*W4</f>
        <v/>
      </c>
      <c r="AG4" s="1">
        <f t="array" ref="AG4">_xlfn.IFS(C4="Biomass_Corn", 1/F4*S4, C4="Biomass_Agri", 1/F4*V4, C4="Biomass_Wood", 1/F4*U4, C4="Biomass_Herb", 1/F4*T4)</f>
        <v/>
      </c>
      <c r="AH4" s="1">
        <f>G4/F4*X4</f>
        <v/>
      </c>
      <c r="AI4" s="1">
        <f>M4/F4/(0.9*8760)</f>
        <v/>
      </c>
      <c r="AJ4" s="1">
        <f>N4/F4/(0.9*8760)</f>
        <v/>
      </c>
      <c r="AK4" s="1">
        <f>O4/F4</f>
        <v/>
      </c>
      <c r="AL4" s="1">
        <f>SUM(AZ4:BD4)-AW4</f>
        <v/>
      </c>
      <c r="AM4" s="1">
        <f>(Q4+R4)*-1*(I4+K4)/F4</f>
        <v/>
      </c>
      <c r="AN4" s="1">
        <f>AL4*Q4</f>
        <v/>
      </c>
      <c r="AO4" s="1">
        <f>SUM(AZ4:BB4)-AW4</f>
        <v/>
      </c>
      <c r="AP4" s="1">
        <f>(I4+K4)/F4*-1*R4</f>
        <v/>
      </c>
      <c r="AQ4" s="1">
        <f>AO4*Q4</f>
        <v/>
      </c>
      <c r="AS4" s="9">
        <f>H4</f>
        <v/>
      </c>
      <c r="AT4" s="10" t="n">
        <v>0.1828908353</v>
      </c>
      <c r="AU4" s="9" t="n">
        <v>0.23037491</v>
      </c>
      <c r="AW4" s="10">
        <f>AS4/F4</f>
        <v/>
      </c>
      <c r="AX4" s="10">
        <f>AT4*G4/F4</f>
        <v/>
      </c>
      <c r="AZ4" s="10">
        <f>AU4</f>
        <v/>
      </c>
      <c r="BA4" s="10">
        <f>J4/F4</f>
        <v/>
      </c>
      <c r="BB4" s="10">
        <f>L4/F4</f>
        <v/>
      </c>
      <c r="BC4" s="10">
        <f>I4/F4</f>
        <v/>
      </c>
      <c r="BD4" s="10">
        <f>K4/F4</f>
        <v/>
      </c>
      <c r="BF4" s="1">
        <f>SUM(AW4:AX4)-SUM(AZ4:BD4)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109.479795</v>
      </c>
      <c r="R5" s="15" t="n">
        <v>-54.115443</v>
      </c>
      <c r="S5" s="15" t="n">
        <v>170</v>
      </c>
      <c r="T5" s="15" t="n">
        <v>100.773744</v>
      </c>
      <c r="U5" s="15" t="n">
        <v>108.668072</v>
      </c>
      <c r="V5" s="15" t="n">
        <v>89.424565</v>
      </c>
      <c r="W5" s="15" t="n">
        <v>39.359472</v>
      </c>
      <c r="X5" s="15" t="n">
        <v>13.423122</v>
      </c>
      <c r="Z5" s="1">
        <f>B5</f>
        <v/>
      </c>
      <c r="AA5" s="1">
        <f>C5</f>
        <v/>
      </c>
      <c r="AB5" s="11">
        <f>SUM(AE5:AK5)+AM5+AN5</f>
        <v/>
      </c>
      <c r="AC5" s="11">
        <f>SUM(AE5:AK5)+AP5+AQ5</f>
        <v/>
      </c>
      <c r="AD5" s="5">
        <f>AB5-AC5</f>
        <v/>
      </c>
      <c r="AE5" s="1">
        <f>D5/F5*W5*-1</f>
        <v/>
      </c>
      <c r="AF5" s="1">
        <f>E5/F5*W5</f>
        <v/>
      </c>
      <c r="AG5" s="1">
        <f t="array" ref="AG5">_xlfn.IFS(C5="Biomass_Corn", 1/F5*S5, C5="Biomass_Agri", 1/F5*V5, C5="Biomass_Wood", 1/F5*U5, C5="Biomass_Herb", 1/F5*T5)</f>
        <v/>
      </c>
      <c r="AH5" s="1">
        <f>G5/F5*X5</f>
        <v/>
      </c>
      <c r="AI5" s="1">
        <f>M5/F5/(0.9*8760)</f>
        <v/>
      </c>
      <c r="AJ5" s="1">
        <f>N5/F5/(0.9*8760)</f>
        <v/>
      </c>
      <c r="AK5" s="1">
        <f>O5/F5</f>
        <v/>
      </c>
      <c r="AL5" s="1">
        <f>SUM(AZ5:BD5)-AW5</f>
        <v/>
      </c>
      <c r="AM5" s="1">
        <f>(Q5+R5)*-1*(I5+K5)/F5</f>
        <v/>
      </c>
      <c r="AN5" s="1">
        <f>AL5*Q5</f>
        <v/>
      </c>
      <c r="AO5" s="1">
        <f>SUM(AZ5:BB5)-AW5</f>
        <v/>
      </c>
      <c r="AP5" s="1">
        <f>(I5+K5)/F5*-1*R5</f>
        <v/>
      </c>
      <c r="AQ5" s="1">
        <f>AO5*Q5</f>
        <v/>
      </c>
      <c r="AS5" s="9">
        <f>H5</f>
        <v/>
      </c>
      <c r="AT5" s="10" t="n">
        <v>0.1828908353</v>
      </c>
      <c r="AU5" s="9" t="n">
        <v>0.23037491</v>
      </c>
      <c r="AW5" s="10">
        <f>AS5/F5</f>
        <v/>
      </c>
      <c r="AX5" s="10">
        <f>AT5*G5/F5</f>
        <v/>
      </c>
      <c r="AZ5" s="10">
        <f>AU5</f>
        <v/>
      </c>
      <c r="BA5" s="10">
        <f>J5/F5</f>
        <v/>
      </c>
      <c r="BB5" s="10">
        <f>L5/F5</f>
        <v/>
      </c>
      <c r="BC5" s="10">
        <f>I5/F5</f>
        <v/>
      </c>
      <c r="BD5" s="10">
        <f>K5/F5</f>
        <v/>
      </c>
      <c r="BF5" s="1">
        <f>SUM(AW5:AX5)-SUM(AZ5:BD5)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109.479795</v>
      </c>
      <c r="R6" s="15" t="n">
        <v>-41.717135</v>
      </c>
      <c r="S6" s="15" t="n">
        <v>170</v>
      </c>
      <c r="T6" s="15" t="n">
        <v>104.167382</v>
      </c>
      <c r="U6" s="15" t="n">
        <v>115.526389</v>
      </c>
      <c r="V6" s="15" t="n">
        <v>92.044978</v>
      </c>
      <c r="W6" s="15" t="n">
        <v>30.708173</v>
      </c>
      <c r="X6" s="15" t="n">
        <v>13.422003</v>
      </c>
      <c r="Z6" s="1">
        <f>B6</f>
        <v/>
      </c>
      <c r="AA6" s="1">
        <f>C6</f>
        <v/>
      </c>
      <c r="AB6" s="11">
        <f>SUM(AE6:AK6)+AM6+AN6</f>
        <v/>
      </c>
      <c r="AC6" s="11">
        <f>SUM(AE6:AK6)+AP6+AQ6</f>
        <v/>
      </c>
      <c r="AD6" s="5">
        <f>AB6-AC6</f>
        <v/>
      </c>
      <c r="AE6" s="1">
        <f>D6/F6*W6*-1</f>
        <v/>
      </c>
      <c r="AF6" s="1">
        <f>E6/F6*W6</f>
        <v/>
      </c>
      <c r="AG6" s="1">
        <f t="array" ref="AG6">_xlfn.IFS(C6="Biomass_Corn", 1/F6*S6, C6="Biomass_Agri", 1/F6*V6, C6="Biomass_Wood", 1/F6*U6, C6="Biomass_Herb", 1/F6*T6)</f>
        <v/>
      </c>
      <c r="AH6" s="1">
        <f>G6/F6*X6</f>
        <v/>
      </c>
      <c r="AI6" s="1">
        <f>M6/F6/(0.9*8760)</f>
        <v/>
      </c>
      <c r="AJ6" s="1">
        <f>N6/F6/(0.9*8760)</f>
        <v/>
      </c>
      <c r="AK6" s="1">
        <f>O6/F6</f>
        <v/>
      </c>
      <c r="AL6" s="1">
        <f>SUM(AZ6:BD6)-AW6</f>
        <v/>
      </c>
      <c r="AM6" s="1">
        <f>(Q6+R6)*-1*(I6+K6)/F6</f>
        <v/>
      </c>
      <c r="AN6" s="1">
        <f>AL6*Q6</f>
        <v/>
      </c>
      <c r="AO6" s="1">
        <f>SUM(AZ6:BB6)-AW6</f>
        <v/>
      </c>
      <c r="AP6" s="1">
        <f>(I6+K6)/F6*-1*R6</f>
        <v/>
      </c>
      <c r="AQ6" s="1">
        <f>AO6*Q6</f>
        <v/>
      </c>
      <c r="AS6" s="9">
        <f>H6</f>
        <v/>
      </c>
      <c r="AT6" s="10" t="n">
        <v>0.1828908353</v>
      </c>
      <c r="AU6" s="9" t="n">
        <v>0.23037491</v>
      </c>
      <c r="AW6" s="10">
        <f>AS6/F6</f>
        <v/>
      </c>
      <c r="AX6" s="10">
        <f>AT6*G6/F6</f>
        <v/>
      </c>
      <c r="AZ6" s="10">
        <f>AU6</f>
        <v/>
      </c>
      <c r="BA6" s="10">
        <f>J6/F6</f>
        <v/>
      </c>
      <c r="BB6" s="10">
        <f>L6/F6</f>
        <v/>
      </c>
      <c r="BC6" s="10">
        <f>I6/F6</f>
        <v/>
      </c>
      <c r="BD6" s="10">
        <f>K6/F6</f>
        <v/>
      </c>
      <c r="BF6" s="1">
        <f>SUM(AW6:AX6)-SUM(AZ6:BD6)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109.479795</v>
      </c>
      <c r="R7" s="15" t="n">
        <v>-47.70091</v>
      </c>
      <c r="S7" s="15" t="n">
        <v>170</v>
      </c>
      <c r="T7" s="15" t="n">
        <v>99.63284299999999</v>
      </c>
      <c r="U7" s="15" t="n">
        <v>113.227017</v>
      </c>
      <c r="V7" s="15" t="n">
        <v>88.855315</v>
      </c>
      <c r="W7" s="15" t="n">
        <v>38.218446</v>
      </c>
      <c r="X7" s="15" t="n">
        <v>13.421908</v>
      </c>
      <c r="Z7" s="1">
        <f>B7</f>
        <v/>
      </c>
      <c r="AA7" s="1">
        <f>C7</f>
        <v/>
      </c>
      <c r="AB7" s="11">
        <f>SUM(AE7:AK7)+AM7+AN7</f>
        <v/>
      </c>
      <c r="AC7" s="11">
        <f>SUM(AE7:AK7)+AP7+AQ7</f>
        <v/>
      </c>
      <c r="AD7" s="5">
        <f>AB7-AC7</f>
        <v/>
      </c>
      <c r="AE7" s="1">
        <f>D7/F7*W7*-1</f>
        <v/>
      </c>
      <c r="AF7" s="1">
        <f>E7/F7*W7</f>
        <v/>
      </c>
      <c r="AG7" s="1">
        <f t="array" ref="AG7">_xlfn.IFS(C7="Biomass_Corn", 1/F7*S7, C7="Biomass_Agri", 1/F7*V7, C7="Biomass_Wood", 1/F7*U7, C7="Biomass_Herb", 1/F7*T7)</f>
        <v/>
      </c>
      <c r="AH7" s="1">
        <f>G7/F7*X7</f>
        <v/>
      </c>
      <c r="AI7" s="1">
        <f>M7/F7/(0.9*8760)</f>
        <v/>
      </c>
      <c r="AJ7" s="1">
        <f>N7/F7/(0.9*8760)</f>
        <v/>
      </c>
      <c r="AK7" s="1">
        <f>O7/F7</f>
        <v/>
      </c>
      <c r="AL7" s="1">
        <f>SUM(AZ7:BD7)-AW7</f>
        <v/>
      </c>
      <c r="AM7" s="1">
        <f>(Q7+R7)*-1*(I7+K7)/F7</f>
        <v/>
      </c>
      <c r="AN7" s="1">
        <f>AL7*Q7</f>
        <v/>
      </c>
      <c r="AO7" s="1">
        <f>SUM(AZ7:BB7)-AW7</f>
        <v/>
      </c>
      <c r="AP7" s="1">
        <f>(I7+K7)/F7*-1*R7</f>
        <v/>
      </c>
      <c r="AQ7" s="1">
        <f>AO7*Q7</f>
        <v/>
      </c>
      <c r="AS7" s="9">
        <f>H7</f>
        <v/>
      </c>
      <c r="AT7" s="10" t="n">
        <v>0.1828908353</v>
      </c>
      <c r="AU7" s="9" t="n">
        <v>0.23037491</v>
      </c>
      <c r="AW7" s="10">
        <f>AS7/F7</f>
        <v/>
      </c>
      <c r="AX7" s="10">
        <f>AT7*G7/F7</f>
        <v/>
      </c>
      <c r="AZ7" s="10">
        <f>AU7</f>
        <v/>
      </c>
      <c r="BA7" s="10">
        <f>J7/F7</f>
        <v/>
      </c>
      <c r="BB7" s="10">
        <f>L7/F7</f>
        <v/>
      </c>
      <c r="BC7" s="10">
        <f>I7/F7</f>
        <v/>
      </c>
      <c r="BD7" s="10">
        <f>K7/F7</f>
        <v/>
      </c>
      <c r="BF7" s="1">
        <f>SUM(AW7:AX7)-SUM(AZ7:BD7)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109.479795</v>
      </c>
      <c r="R8" s="15" t="n">
        <v>-21.506692</v>
      </c>
      <c r="S8" s="15" t="n">
        <v>170</v>
      </c>
      <c r="T8" s="15" t="n">
        <v>137.934648</v>
      </c>
      <c r="U8" s="15" t="n">
        <v>157.881351</v>
      </c>
      <c r="V8" s="15" t="n">
        <v>111.364845</v>
      </c>
      <c r="W8" s="15" t="n">
        <v>20.230252</v>
      </c>
      <c r="X8" s="15" t="n">
        <v>13.325948</v>
      </c>
      <c r="Z8" s="1">
        <f>B8</f>
        <v/>
      </c>
      <c r="AA8" s="1">
        <f>C8</f>
        <v/>
      </c>
      <c r="AB8" s="11">
        <f>SUM(AE8:AK8)+AM8+AN8</f>
        <v/>
      </c>
      <c r="AC8" s="11">
        <f>SUM(AE8:AK8)+AP8+AQ8</f>
        <v/>
      </c>
      <c r="AD8" s="5">
        <f>AB8-AC8</f>
        <v/>
      </c>
      <c r="AE8" s="1">
        <f>D8/F8*W8*-1</f>
        <v/>
      </c>
      <c r="AF8" s="1">
        <f>E8/F8*W8</f>
        <v/>
      </c>
      <c r="AG8" s="1">
        <f t="array" ref="AG8">_xlfn.IFS(C8="Biomass_Corn", 1/F8*S8, C8="Biomass_Agri", 1/F8*V8, C8="Biomass_Wood", 1/F8*U8, C8="Biomass_Herb", 1/F8*T8)</f>
        <v/>
      </c>
      <c r="AH8" s="1">
        <f>G8/F8*X8</f>
        <v/>
      </c>
      <c r="AI8" s="1">
        <f>M8/F8/(0.9*8760)</f>
        <v/>
      </c>
      <c r="AJ8" s="1">
        <f>N8/F8/(0.9*8760)</f>
        <v/>
      </c>
      <c r="AK8" s="1">
        <f>O8/F8</f>
        <v/>
      </c>
      <c r="AL8" s="1">
        <f>SUM(AZ8:BD8)-AW8</f>
        <v/>
      </c>
      <c r="AM8" s="1">
        <f>(Q8+R8)*-1*(I8+K8)/F8</f>
        <v/>
      </c>
      <c r="AN8" s="1">
        <f>AL8*Q8</f>
        <v/>
      </c>
      <c r="AO8" s="1">
        <f>SUM(AZ8:BB8)-AW8</f>
        <v/>
      </c>
      <c r="AP8" s="1">
        <f>(I8+K8)/F8*-1*R8</f>
        <v/>
      </c>
      <c r="AQ8" s="1">
        <f>AO8*Q8</f>
        <v/>
      </c>
      <c r="AS8" s="9">
        <f>H8</f>
        <v/>
      </c>
      <c r="AT8" s="10" t="n">
        <v>0.1828908353</v>
      </c>
      <c r="AU8" s="9" t="n">
        <v>0.23037491</v>
      </c>
      <c r="AW8" s="10">
        <f>AS8/F8</f>
        <v/>
      </c>
      <c r="AX8" s="10">
        <f>AT8*G8/F8</f>
        <v/>
      </c>
      <c r="AZ8" s="10">
        <f>AU8</f>
        <v/>
      </c>
      <c r="BA8" s="10">
        <f>J8/F8</f>
        <v/>
      </c>
      <c r="BB8" s="10">
        <f>L8/F8</f>
        <v/>
      </c>
      <c r="BC8" s="10">
        <f>I8/F8</f>
        <v/>
      </c>
      <c r="BD8" s="10">
        <f>K8/F8</f>
        <v/>
      </c>
      <c r="BF8" s="1">
        <f>SUM(AW8:AX8)-SUM(AZ8:BD8)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109.479795</v>
      </c>
      <c r="R9" s="15" t="n">
        <v>-31.70346</v>
      </c>
      <c r="S9" s="15" t="n">
        <v>170</v>
      </c>
      <c r="T9" s="15" t="n">
        <v>110.461518</v>
      </c>
      <c r="U9" s="15" t="n">
        <v>127.408748</v>
      </c>
      <c r="V9" s="15" t="n">
        <v>98.83247799999999</v>
      </c>
      <c r="W9" s="15" t="n">
        <v>25.324637</v>
      </c>
      <c r="X9" s="15" t="n">
        <v>13.421913</v>
      </c>
      <c r="Z9" s="1">
        <f>B9</f>
        <v/>
      </c>
      <c r="AA9" s="1">
        <f>C9</f>
        <v/>
      </c>
      <c r="AB9" s="11">
        <f>SUM(AE9:AK9)+AM9+AN9</f>
        <v/>
      </c>
      <c r="AC9" s="11">
        <f>SUM(AE9:AK9)+AP9+AQ9</f>
        <v/>
      </c>
      <c r="AD9" s="5">
        <f>AB9-AC9</f>
        <v/>
      </c>
      <c r="AE9" s="1">
        <f>D9/F9*W9*-1</f>
        <v/>
      </c>
      <c r="AF9" s="1">
        <f>E9/F9*W9</f>
        <v/>
      </c>
      <c r="AG9" s="1">
        <f t="array" ref="AG9">_xlfn.IFS(C9="Biomass_Corn", 1/F9*S9, C9="Biomass_Agri", 1/F9*V9, C9="Biomass_Wood", 1/F9*U9, C9="Biomass_Herb", 1/F9*T9)</f>
        <v/>
      </c>
      <c r="AH9" s="1">
        <f>G9/F9*X9</f>
        <v/>
      </c>
      <c r="AI9" s="1">
        <f>M9/F9/(0.9*8760)</f>
        <v/>
      </c>
      <c r="AJ9" s="1">
        <f>N9/F9/(0.9*8760)</f>
        <v/>
      </c>
      <c r="AK9" s="1">
        <f>O9/F9</f>
        <v/>
      </c>
      <c r="AL9" s="1">
        <f>SUM(AZ9:BD9)-AW9</f>
        <v/>
      </c>
      <c r="AM9" s="1">
        <f>(Q9+R9)*-1*(I9+K9)/F9</f>
        <v/>
      </c>
      <c r="AN9" s="1">
        <f>AL9*Q9</f>
        <v/>
      </c>
      <c r="AO9" s="1">
        <f>SUM(AZ9:BB9)-AW9</f>
        <v/>
      </c>
      <c r="AP9" s="1">
        <f>(I9+K9)/F9*-1*R9</f>
        <v/>
      </c>
      <c r="AQ9" s="1">
        <f>AO9*Q9</f>
        <v/>
      </c>
      <c r="AS9" s="9">
        <f>H9</f>
        <v/>
      </c>
      <c r="AT9" s="10" t="n">
        <v>0.1828908353</v>
      </c>
      <c r="AU9" s="9" t="n">
        <v>0.23037491</v>
      </c>
      <c r="AW9" s="10">
        <f>AS9/F9</f>
        <v/>
      </c>
      <c r="AX9" s="10">
        <f>AT9*G9/F9</f>
        <v/>
      </c>
      <c r="AZ9" s="10">
        <f>AU9</f>
        <v/>
      </c>
      <c r="BA9" s="10">
        <f>J9/F9</f>
        <v/>
      </c>
      <c r="BB9" s="10">
        <f>L9/F9</f>
        <v/>
      </c>
      <c r="BC9" s="10">
        <f>I9/F9</f>
        <v/>
      </c>
      <c r="BD9" s="10">
        <f>K9/F9</f>
        <v/>
      </c>
      <c r="BF9" s="1">
        <f>SUM(AW9:AX9)-SUM(AZ9:BD9)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109.479795</v>
      </c>
      <c r="R10" s="15" t="n">
        <v>-54.115443</v>
      </c>
      <c r="S10" s="15" t="n">
        <v>170</v>
      </c>
      <c r="T10" s="15" t="n">
        <v>100.773744</v>
      </c>
      <c r="U10" s="15" t="n">
        <v>108.668072</v>
      </c>
      <c r="V10" s="15" t="n">
        <v>89.424565</v>
      </c>
      <c r="W10" s="15" t="n">
        <v>39.359472</v>
      </c>
      <c r="X10" s="15" t="n">
        <v>13.423122</v>
      </c>
      <c r="Z10" s="1">
        <f>B10</f>
        <v/>
      </c>
      <c r="AA10" s="1">
        <f>C10</f>
        <v/>
      </c>
      <c r="AB10" s="11">
        <f>SUM(AE10:AK10)+AM10+AN10</f>
        <v/>
      </c>
      <c r="AC10" s="11">
        <f>SUM(AE10:AK10)+AP10+AQ10</f>
        <v/>
      </c>
      <c r="AD10" s="5">
        <f>AB10-AC10</f>
        <v/>
      </c>
      <c r="AE10" s="1">
        <f>D10/F10*W10*-1</f>
        <v/>
      </c>
      <c r="AF10" s="1">
        <f>E10/F10*W10</f>
        <v/>
      </c>
      <c r="AG10" s="1">
        <f t="array" ref="AG10">_xlfn.IFS(C10="Biomass_Corn", 1/F10*S10, C10="Biomass_Agri", 1/F10*V10, C10="Biomass_Wood", 1/F10*U10, C10="Biomass_Herb", 1/F10*T10)</f>
        <v/>
      </c>
      <c r="AH10" s="1">
        <f>G10/F10*X10</f>
        <v/>
      </c>
      <c r="AI10" s="1">
        <f>M10/F10/(0.9*8760)</f>
        <v/>
      </c>
      <c r="AJ10" s="1">
        <f>N10/F10/(0.9*8760)</f>
        <v/>
      </c>
      <c r="AK10" s="1">
        <f>O10/F10</f>
        <v/>
      </c>
      <c r="AL10" s="1">
        <f>SUM(AZ10:BD10)-AW10</f>
        <v/>
      </c>
      <c r="AM10" s="1">
        <f>(Q10+R10)*-1*(I10+K10)/F10</f>
        <v/>
      </c>
      <c r="AN10" s="1">
        <f>AL10*Q10</f>
        <v/>
      </c>
      <c r="AO10" s="1">
        <f>SUM(AZ10:BB10)-AW10</f>
        <v/>
      </c>
      <c r="AP10" s="1">
        <f>(I10+K10)/F10*-1*R10</f>
        <v/>
      </c>
      <c r="AQ10" s="1">
        <f>AO10*Q10</f>
        <v/>
      </c>
      <c r="AS10" s="9">
        <f>H10</f>
        <v/>
      </c>
      <c r="AT10" s="10" t="n">
        <v>0.1828908353</v>
      </c>
      <c r="AU10" s="9" t="n">
        <v>0.23037491</v>
      </c>
      <c r="AW10" s="10">
        <f>AS10/F10</f>
        <v/>
      </c>
      <c r="AX10" s="10">
        <f>AT10*G10/F10</f>
        <v/>
      </c>
      <c r="AZ10" s="10">
        <f>AU10</f>
        <v/>
      </c>
      <c r="BA10" s="10">
        <f>J10/F10</f>
        <v/>
      </c>
      <c r="BB10" s="10">
        <f>L10/F10</f>
        <v/>
      </c>
      <c r="BC10" s="10">
        <f>I10/F10</f>
        <v/>
      </c>
      <c r="BD10" s="10">
        <f>K10/F10</f>
        <v/>
      </c>
      <c r="BF10" s="1">
        <f>SUM(AW10:AX10)-SUM(AZ10:BD10)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109.479795</v>
      </c>
      <c r="R11" s="15" t="n">
        <v>-41.717135</v>
      </c>
      <c r="S11" s="15" t="n">
        <v>170</v>
      </c>
      <c r="T11" s="15" t="n">
        <v>104.167382</v>
      </c>
      <c r="U11" s="15" t="n">
        <v>115.526389</v>
      </c>
      <c r="V11" s="15" t="n">
        <v>92.044978</v>
      </c>
      <c r="W11" s="15" t="n">
        <v>30.708173</v>
      </c>
      <c r="X11" s="15" t="n">
        <v>13.422003</v>
      </c>
      <c r="Z11" s="1">
        <f>B11</f>
        <v/>
      </c>
      <c r="AA11" s="1">
        <f>C11</f>
        <v/>
      </c>
      <c r="AB11" s="11">
        <f>SUM(AE11:AK11)+AM11+AN11</f>
        <v/>
      </c>
      <c r="AC11" s="11">
        <f>SUM(AE11:AK11)+AP11+AQ11</f>
        <v/>
      </c>
      <c r="AD11" s="5">
        <f>AB11-AC11</f>
        <v/>
      </c>
      <c r="AE11" s="1">
        <f>D11/F11*W11*-1</f>
        <v/>
      </c>
      <c r="AF11" s="1">
        <f>E11/F11*W11</f>
        <v/>
      </c>
      <c r="AG11" s="1">
        <f t="array" ref="AG11">_xlfn.IFS(C11="Biomass_Corn", 1/F11*S11, C11="Biomass_Agri", 1/F11*V11, C11="Biomass_Wood", 1/F11*U11, C11="Biomass_Herb", 1/F11*T11)</f>
        <v/>
      </c>
      <c r="AH11" s="1">
        <f>G11/F11*X11</f>
        <v/>
      </c>
      <c r="AI11" s="1">
        <f>M11/F11/(0.9*8760)</f>
        <v/>
      </c>
      <c r="AJ11" s="1">
        <f>N11/F11/(0.9*8760)</f>
        <v/>
      </c>
      <c r="AK11" s="1">
        <f>O11/F11</f>
        <v/>
      </c>
      <c r="AL11" s="1">
        <f>SUM(AZ11:BD11)-AW11</f>
        <v/>
      </c>
      <c r="AM11" s="1">
        <f>(Q11+R11)*-1*(I11+K11)/F11</f>
        <v/>
      </c>
      <c r="AN11" s="1">
        <f>AL11*Q11</f>
        <v/>
      </c>
      <c r="AO11" s="1">
        <f>SUM(AZ11:BB11)-AW11</f>
        <v/>
      </c>
      <c r="AP11" s="1">
        <f>(I11+K11)/F11*-1*R11</f>
        <v/>
      </c>
      <c r="AQ11" s="1">
        <f>AO11*Q11</f>
        <v/>
      </c>
      <c r="AS11" s="9">
        <f>H11</f>
        <v/>
      </c>
      <c r="AT11" s="10" t="n">
        <v>0.1828908353</v>
      </c>
      <c r="AU11" s="9" t="n">
        <v>0.23037491</v>
      </c>
      <c r="AW11" s="10">
        <f>AS11/F11</f>
        <v/>
      </c>
      <c r="AX11" s="10">
        <f>AT11*G11/F11</f>
        <v/>
      </c>
      <c r="AZ11" s="10">
        <f>AU11</f>
        <v/>
      </c>
      <c r="BA11" s="10">
        <f>J11/F11</f>
        <v/>
      </c>
      <c r="BB11" s="10">
        <f>L11/F11</f>
        <v/>
      </c>
      <c r="BC11" s="10">
        <f>I11/F11</f>
        <v/>
      </c>
      <c r="BD11" s="10">
        <f>K11/F11</f>
        <v/>
      </c>
      <c r="BF11" s="1">
        <f>SUM(AW11:AX11)-SUM(AZ11:BD11)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109.479795</v>
      </c>
      <c r="R12" s="15" t="n">
        <v>-47.70091</v>
      </c>
      <c r="S12" s="15" t="n">
        <v>170</v>
      </c>
      <c r="T12" s="15" t="n">
        <v>99.63284299999999</v>
      </c>
      <c r="U12" s="15" t="n">
        <v>113.227017</v>
      </c>
      <c r="V12" s="15" t="n">
        <v>88.855315</v>
      </c>
      <c r="W12" s="15" t="n">
        <v>38.218446</v>
      </c>
      <c r="X12" s="15" t="n">
        <v>13.421908</v>
      </c>
      <c r="Z12" s="1">
        <f>B12</f>
        <v/>
      </c>
      <c r="AA12" s="1">
        <f>C12</f>
        <v/>
      </c>
      <c r="AB12" s="11">
        <f>SUM(AE12:AK12)+AM12+AN12</f>
        <v/>
      </c>
      <c r="AC12" s="11">
        <f>SUM(AE12:AK12)+AP12+AQ12</f>
        <v/>
      </c>
      <c r="AD12" s="5">
        <f>AB12-AC12</f>
        <v/>
      </c>
      <c r="AE12" s="1">
        <f>D12/F12*W12*-1</f>
        <v/>
      </c>
      <c r="AF12" s="1">
        <f>E12/F12*W12</f>
        <v/>
      </c>
      <c r="AG12" s="1">
        <f t="array" ref="AG12">_xlfn.IFS(C12="Biomass_Corn", 1/F12*S12, C12="Biomass_Agri", 1/F12*V12, C12="Biomass_Wood", 1/F12*U12, C12="Biomass_Herb", 1/F12*T12)</f>
        <v/>
      </c>
      <c r="AH12" s="1">
        <f>G12/F12*X12</f>
        <v/>
      </c>
      <c r="AI12" s="1">
        <f>M12/F12/(0.9*8760)</f>
        <v/>
      </c>
      <c r="AJ12" s="1">
        <f>N12/F12/(0.9*8760)</f>
        <v/>
      </c>
      <c r="AK12" s="1">
        <f>O12/F12</f>
        <v/>
      </c>
      <c r="AL12" s="1">
        <f>SUM(AZ12:BD12)-AW12</f>
        <v/>
      </c>
      <c r="AM12" s="1">
        <f>(Q12+R12)*-1*(I12+K12)/F12</f>
        <v/>
      </c>
      <c r="AN12" s="1">
        <f>AL12*Q12</f>
        <v/>
      </c>
      <c r="AO12" s="1">
        <f>SUM(AZ12:BB12)-AW12</f>
        <v/>
      </c>
      <c r="AP12" s="1">
        <f>(I12+K12)/F12*-1*R12</f>
        <v/>
      </c>
      <c r="AQ12" s="1">
        <f>AO12*Q12</f>
        <v/>
      </c>
      <c r="AS12" s="9">
        <f>H12</f>
        <v/>
      </c>
      <c r="AT12" s="10" t="n">
        <v>0.1828908353</v>
      </c>
      <c r="AU12" s="9" t="n">
        <v>0.23037491</v>
      </c>
      <c r="AW12" s="10">
        <f>AS12/F12</f>
        <v/>
      </c>
      <c r="AX12" s="10">
        <f>AT12*G12/F12</f>
        <v/>
      </c>
      <c r="AZ12" s="10">
        <f>AU12</f>
        <v/>
      </c>
      <c r="BA12" s="10">
        <f>J12/F12</f>
        <v/>
      </c>
      <c r="BB12" s="10">
        <f>L12/F12</f>
        <v/>
      </c>
      <c r="BC12" s="10">
        <f>I12/F12</f>
        <v/>
      </c>
      <c r="BD12" s="10">
        <f>K12/F12</f>
        <v/>
      </c>
      <c r="BF12" s="1">
        <f>SUM(AW12:AX12)-SUM(AZ12:BD12)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109.479795</v>
      </c>
      <c r="R13" s="15" t="n">
        <v>-21.506692</v>
      </c>
      <c r="S13" s="15" t="n">
        <v>170</v>
      </c>
      <c r="T13" s="15" t="n">
        <v>137.934648</v>
      </c>
      <c r="U13" s="15" t="n">
        <v>157.881351</v>
      </c>
      <c r="V13" s="15" t="n">
        <v>111.364845</v>
      </c>
      <c r="W13" s="15" t="n">
        <v>20.230252</v>
      </c>
      <c r="X13" s="15" t="n">
        <v>13.325948</v>
      </c>
      <c r="Z13" s="1">
        <f>B13</f>
        <v/>
      </c>
      <c r="AA13" s="1">
        <f>C13</f>
        <v/>
      </c>
      <c r="AB13" s="11">
        <f>SUM(AE13:AK13)+AM13+AN13</f>
        <v/>
      </c>
      <c r="AC13" s="11">
        <f>SUM(AE13:AK13)+AP13+AQ13</f>
        <v/>
      </c>
      <c r="AD13" s="5">
        <f>AB13-AC13</f>
        <v/>
      </c>
      <c r="AE13" s="1">
        <f>D13/F13*W13*-1</f>
        <v/>
      </c>
      <c r="AF13" s="1">
        <f>E13/F13*W13</f>
        <v/>
      </c>
      <c r="AG13" s="1">
        <f t="array" ref="AG13">_xlfn.IFS(C13="Biomass_Corn", 1/F13*S13, C13="Biomass_Agri", 1/F13*V13, C13="Biomass_Wood", 1/F13*U13, C13="Biomass_Herb", 1/F13*T13)</f>
        <v/>
      </c>
      <c r="AH13" s="1">
        <f>G13/F13*X13</f>
        <v/>
      </c>
      <c r="AI13" s="1">
        <f>M13/F13/(0.9*8760)</f>
        <v/>
      </c>
      <c r="AJ13" s="1">
        <f>N13/F13/(0.9*8760)</f>
        <v/>
      </c>
      <c r="AK13" s="1">
        <f>O13/F13</f>
        <v/>
      </c>
      <c r="AL13" s="1">
        <f>SUM(AZ13:BD13)-AW13</f>
        <v/>
      </c>
      <c r="AM13" s="1">
        <f>(Q13+R13)*-1*(I13+K13)/F13</f>
        <v/>
      </c>
      <c r="AN13" s="1">
        <f>AL13*Q13</f>
        <v/>
      </c>
      <c r="AO13" s="1">
        <f>SUM(AZ13:BB13)-AW13</f>
        <v/>
      </c>
      <c r="AP13" s="1">
        <f>(I13+K13)/F13*-1*R13</f>
        <v/>
      </c>
      <c r="AQ13" s="1">
        <f>AO13*Q13</f>
        <v/>
      </c>
      <c r="AS13" s="9">
        <f>H13</f>
        <v/>
      </c>
      <c r="AT13" s="10" t="n">
        <v>0.1828908353</v>
      </c>
      <c r="AU13" s="9" t="n">
        <v>0.23037491</v>
      </c>
      <c r="AW13" s="10">
        <f>AS13/F13</f>
        <v/>
      </c>
      <c r="AX13" s="10">
        <f>AT13*G13/F13</f>
        <v/>
      </c>
      <c r="AZ13" s="10">
        <f>AU13</f>
        <v/>
      </c>
      <c r="BA13" s="10">
        <f>J13/F13</f>
        <v/>
      </c>
      <c r="BB13" s="10">
        <f>L13/F13</f>
        <v/>
      </c>
      <c r="BC13" s="10">
        <f>I13/F13</f>
        <v/>
      </c>
      <c r="BD13" s="10">
        <f>K13/F13</f>
        <v/>
      </c>
      <c r="BF13" s="1">
        <f>SUM(AW13:AX13)-SUM(AZ13:BD13)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109.479795</v>
      </c>
      <c r="R14" s="15" t="n">
        <v>-31.70346</v>
      </c>
      <c r="S14" s="15" t="n">
        <v>170</v>
      </c>
      <c r="T14" s="15" t="n">
        <v>110.461518</v>
      </c>
      <c r="U14" s="15" t="n">
        <v>127.408748</v>
      </c>
      <c r="V14" s="15" t="n">
        <v>98.83247799999999</v>
      </c>
      <c r="W14" s="15" t="n">
        <v>25.324637</v>
      </c>
      <c r="X14" s="15" t="n">
        <v>13.421913</v>
      </c>
      <c r="Z14" s="1">
        <f>B14</f>
        <v/>
      </c>
      <c r="AA14" s="1">
        <f>C14</f>
        <v/>
      </c>
      <c r="AB14" s="11">
        <f>SUM(AE14:AK14)+AM14+AN14</f>
        <v/>
      </c>
      <c r="AC14" s="11">
        <f>SUM(AE14:AK14)+AP14+AQ14</f>
        <v/>
      </c>
      <c r="AD14" s="5">
        <f>AB14-AC14</f>
        <v/>
      </c>
      <c r="AE14" s="1">
        <f>D14/F14*W14*-1</f>
        <v/>
      </c>
      <c r="AF14" s="1">
        <f>E14/F14*W14</f>
        <v/>
      </c>
      <c r="AG14" s="1">
        <f t="array" ref="AG14">_xlfn.IFS(C14="Biomass_Corn", 1/F14*S14, C14="Biomass_Agri", 1/F14*V14, C14="Biomass_Wood", 1/F14*U14, C14="Biomass_Herb", 1/F14*T14)</f>
        <v/>
      </c>
      <c r="AH14" s="1">
        <f>G14/F14*X14</f>
        <v/>
      </c>
      <c r="AI14" s="1">
        <f>M14/F14/(0.9*8760)</f>
        <v/>
      </c>
      <c r="AJ14" s="1">
        <f>N14/F14/(0.9*8760)</f>
        <v/>
      </c>
      <c r="AK14" s="1">
        <f>O14/F14</f>
        <v/>
      </c>
      <c r="AL14" s="1">
        <f>SUM(AZ14:BD14)-AW14</f>
        <v/>
      </c>
      <c r="AM14" s="1">
        <f>(Q14+R14)*-1*(I14+K14)/F14</f>
        <v/>
      </c>
      <c r="AN14" s="1">
        <f>AL14*Q14</f>
        <v/>
      </c>
      <c r="AO14" s="1">
        <f>SUM(AZ14:BB14)-AW14</f>
        <v/>
      </c>
      <c r="AP14" s="1">
        <f>(I14+K14)/F14*-1*R14</f>
        <v/>
      </c>
      <c r="AQ14" s="1">
        <f>AO14*Q14</f>
        <v/>
      </c>
      <c r="AS14" s="9">
        <f>H14</f>
        <v/>
      </c>
      <c r="AT14" s="10" t="n">
        <v>0.1828908353</v>
      </c>
      <c r="AU14" s="9" t="n">
        <v>0.23037491</v>
      </c>
      <c r="AW14" s="10">
        <f>AS14/F14</f>
        <v/>
      </c>
      <c r="AX14" s="10">
        <f>AT14*G14/F14</f>
        <v/>
      </c>
      <c r="AZ14" s="10">
        <f>AU14</f>
        <v/>
      </c>
      <c r="BA14" s="10">
        <f>J14/F14</f>
        <v/>
      </c>
      <c r="BB14" s="10">
        <f>L14/F14</f>
        <v/>
      </c>
      <c r="BC14" s="10">
        <f>I14/F14</f>
        <v/>
      </c>
      <c r="BD14" s="10">
        <f>K14/F14</f>
        <v/>
      </c>
      <c r="BF14" s="1">
        <f>SUM(AW14:AX14)-SUM(AZ14:BD14)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109.479795</v>
      </c>
      <c r="R15" s="15" t="n">
        <v>-54.115443</v>
      </c>
      <c r="S15" s="15" t="n">
        <v>170</v>
      </c>
      <c r="T15" s="15" t="n">
        <v>100.773744</v>
      </c>
      <c r="U15" s="15" t="n">
        <v>108.668072</v>
      </c>
      <c r="V15" s="15" t="n">
        <v>89.424565</v>
      </c>
      <c r="W15" s="15" t="n">
        <v>39.359472</v>
      </c>
      <c r="X15" s="15" t="n">
        <v>13.423122</v>
      </c>
      <c r="Z15" s="1">
        <f>B15</f>
        <v/>
      </c>
      <c r="AA15" s="1">
        <f>C15</f>
        <v/>
      </c>
      <c r="AB15" s="11">
        <f>SUM(AE15:AK15)+AM15+AN15</f>
        <v/>
      </c>
      <c r="AC15" s="11">
        <f>SUM(AE15:AK15)+AP15+AQ15</f>
        <v/>
      </c>
      <c r="AD15" s="5">
        <f>AB15-AC15</f>
        <v/>
      </c>
      <c r="AE15" s="1">
        <f>D15/F15*W15*-1</f>
        <v/>
      </c>
      <c r="AF15" s="1">
        <f>E15/F15*W15</f>
        <v/>
      </c>
      <c r="AG15" s="1">
        <f t="array" ref="AG15">_xlfn.IFS(C15="Biomass_Corn", 1/F15*S15, C15="Biomass_Agri", 1/F15*V15, C15="Biomass_Wood", 1/F15*U15, C15="Biomass_Herb", 1/F15*T15)</f>
        <v/>
      </c>
      <c r="AH15" s="1">
        <f>G15/F15*X15</f>
        <v/>
      </c>
      <c r="AI15" s="1">
        <f>M15/F15/(0.9*8760)</f>
        <v/>
      </c>
      <c r="AJ15" s="1">
        <f>N15/F15/(0.9*8760)</f>
        <v/>
      </c>
      <c r="AK15" s="1">
        <f>O15/F15</f>
        <v/>
      </c>
      <c r="AL15" s="1">
        <f>SUM(AZ15:BD15)-AW15</f>
        <v/>
      </c>
      <c r="AM15" s="1">
        <f>(Q15+R15)*-1*(I15+K15)/F15</f>
        <v/>
      </c>
      <c r="AN15" s="1">
        <f>AL15*Q15</f>
        <v/>
      </c>
      <c r="AO15" s="1">
        <f>SUM(AZ15:BB15)-AW15</f>
        <v/>
      </c>
      <c r="AP15" s="1">
        <f>(I15+K15)/F15*-1*R15</f>
        <v/>
      </c>
      <c r="AQ15" s="1">
        <f>AO15*Q15</f>
        <v/>
      </c>
      <c r="AS15" s="9">
        <f>H15</f>
        <v/>
      </c>
      <c r="AT15" s="10" t="n">
        <v>0.1828908353</v>
      </c>
      <c r="AU15" s="9" t="n">
        <v>0.23037491</v>
      </c>
      <c r="AW15" s="10">
        <f>AS15/F15</f>
        <v/>
      </c>
      <c r="AX15" s="10">
        <f>AT15*G15/F15</f>
        <v/>
      </c>
      <c r="AZ15" s="10">
        <f>AU15</f>
        <v/>
      </c>
      <c r="BA15" s="10">
        <f>J15/F15</f>
        <v/>
      </c>
      <c r="BB15" s="10">
        <f>L15/F15</f>
        <v/>
      </c>
      <c r="BC15" s="10">
        <f>I15/F15</f>
        <v/>
      </c>
      <c r="BD15" s="10">
        <f>K15/F15</f>
        <v/>
      </c>
      <c r="BF15" s="1">
        <f>SUM(AW15:AX15)-SUM(AZ15:BD15)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109.479795</v>
      </c>
      <c r="R16" s="15" t="n">
        <v>-41.717135</v>
      </c>
      <c r="S16" s="15" t="n">
        <v>170</v>
      </c>
      <c r="T16" s="15" t="n">
        <v>104.167382</v>
      </c>
      <c r="U16" s="15" t="n">
        <v>115.526389</v>
      </c>
      <c r="V16" s="15" t="n">
        <v>92.044978</v>
      </c>
      <c r="W16" s="15" t="n">
        <v>30.708173</v>
      </c>
      <c r="X16" s="15" t="n">
        <v>13.422003</v>
      </c>
      <c r="Z16" s="1">
        <f>B16</f>
        <v/>
      </c>
      <c r="AA16" s="1">
        <f>C16</f>
        <v/>
      </c>
      <c r="AB16" s="11">
        <f>SUM(AE16:AK16)+AM16+AN16</f>
        <v/>
      </c>
      <c r="AC16" s="11">
        <f>SUM(AE16:AK16)+AP16+AQ16</f>
        <v/>
      </c>
      <c r="AD16" s="5">
        <f>AB16-AC16</f>
        <v/>
      </c>
      <c r="AE16" s="1">
        <f>D16/F16*W16*-1</f>
        <v/>
      </c>
      <c r="AF16" s="1">
        <f>E16/F16*W16</f>
        <v/>
      </c>
      <c r="AG16" s="1">
        <f t="array" ref="AG16">_xlfn.IFS(C16="Biomass_Corn", 1/F16*S16, C16="Biomass_Agri", 1/F16*V16, C16="Biomass_Wood", 1/F16*U16, C16="Biomass_Herb", 1/F16*T16)</f>
        <v/>
      </c>
      <c r="AH16" s="1">
        <f>G16/F16*X16</f>
        <v/>
      </c>
      <c r="AI16" s="1">
        <f>M16/F16/(0.9*8760)</f>
        <v/>
      </c>
      <c r="AJ16" s="1">
        <f>N16/F16/(0.9*8760)</f>
        <v/>
      </c>
      <c r="AK16" s="1">
        <f>O16/F16</f>
        <v/>
      </c>
      <c r="AL16" s="1">
        <f>SUM(AZ16:BD16)-AW16</f>
        <v/>
      </c>
      <c r="AM16" s="1">
        <f>(Q16+R16)*-1*(I16+K16)/F16</f>
        <v/>
      </c>
      <c r="AN16" s="1">
        <f>AL16*Q16</f>
        <v/>
      </c>
      <c r="AO16" s="1">
        <f>SUM(AZ16:BB16)-AW16</f>
        <v/>
      </c>
      <c r="AP16" s="1">
        <f>(I16+K16)/F16*-1*R16</f>
        <v/>
      </c>
      <c r="AQ16" s="1">
        <f>AO16*Q16</f>
        <v/>
      </c>
      <c r="AS16" s="9">
        <f>H16</f>
        <v/>
      </c>
      <c r="AT16" s="10" t="n">
        <v>0.1828908353</v>
      </c>
      <c r="AU16" s="9" t="n">
        <v>0.23037491</v>
      </c>
      <c r="AW16" s="10">
        <f>AS16/F16</f>
        <v/>
      </c>
      <c r="AX16" s="10">
        <f>AT16*G16/F16</f>
        <v/>
      </c>
      <c r="AZ16" s="10">
        <f>AU16</f>
        <v/>
      </c>
      <c r="BA16" s="10">
        <f>J16/F16</f>
        <v/>
      </c>
      <c r="BB16" s="10">
        <f>L16/F16</f>
        <v/>
      </c>
      <c r="BC16" s="10">
        <f>I16/F16</f>
        <v/>
      </c>
      <c r="BD16" s="10">
        <f>K16/F16</f>
        <v/>
      </c>
      <c r="BF16" s="1">
        <f>SUM(AW16:AX16)-SUM(AZ16:BD16)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109.479795</v>
      </c>
      <c r="R17" s="15" t="n">
        <v>-47.70091</v>
      </c>
      <c r="S17" s="15" t="n">
        <v>170</v>
      </c>
      <c r="T17" s="15" t="n">
        <v>99.63284299999999</v>
      </c>
      <c r="U17" s="15" t="n">
        <v>113.227017</v>
      </c>
      <c r="V17" s="15" t="n">
        <v>88.855315</v>
      </c>
      <c r="W17" s="15" t="n">
        <v>38.218446</v>
      </c>
      <c r="X17" s="15" t="n">
        <v>13.421908</v>
      </c>
      <c r="Z17" s="1">
        <f>B17</f>
        <v/>
      </c>
      <c r="AA17" s="1">
        <f>C17</f>
        <v/>
      </c>
      <c r="AB17" s="11">
        <f>SUM(AE17:AK17)+AM17+AN17</f>
        <v/>
      </c>
      <c r="AC17" s="11">
        <f>SUM(AE17:AK17)+AP17+AQ17</f>
        <v/>
      </c>
      <c r="AD17" s="5">
        <f>AB17-AC17</f>
        <v/>
      </c>
      <c r="AE17" s="1">
        <f>D17/F17*W17*-1</f>
        <v/>
      </c>
      <c r="AF17" s="1">
        <f>E17/F17*W17</f>
        <v/>
      </c>
      <c r="AG17" s="1">
        <f t="array" ref="AG17">_xlfn.IFS(C17="Biomass_Corn", 1/F17*S17, C17="Biomass_Agri", 1/F17*V17, C17="Biomass_Wood", 1/F17*U17, C17="Biomass_Herb", 1/F17*T17)</f>
        <v/>
      </c>
      <c r="AH17" s="1">
        <f>G17/F17*X17</f>
        <v/>
      </c>
      <c r="AI17" s="1">
        <f>M17/F17/(0.9*8760)</f>
        <v/>
      </c>
      <c r="AJ17" s="1">
        <f>N17/F17/(0.9*8760)</f>
        <v/>
      </c>
      <c r="AK17" s="1">
        <f>O17/F17</f>
        <v/>
      </c>
      <c r="AL17" s="1">
        <f>SUM(AZ17:BD17)-AW17</f>
        <v/>
      </c>
      <c r="AM17" s="1">
        <f>(Q17+R17)*-1*(I17+K17)/F17</f>
        <v/>
      </c>
      <c r="AN17" s="1">
        <f>AL17*Q17</f>
        <v/>
      </c>
      <c r="AO17" s="1">
        <f>SUM(AZ17:BB17)-AW17</f>
        <v/>
      </c>
      <c r="AP17" s="1">
        <f>(I17+K17)/F17*-1*R17</f>
        <v/>
      </c>
      <c r="AQ17" s="1">
        <f>AO17*Q17</f>
        <v/>
      </c>
      <c r="AS17" s="9">
        <f>H17</f>
        <v/>
      </c>
      <c r="AT17" s="10" t="n">
        <v>0.1828908353</v>
      </c>
      <c r="AU17" s="9" t="n">
        <v>0.23037491</v>
      </c>
      <c r="AW17" s="10">
        <f>AS17/F17</f>
        <v/>
      </c>
      <c r="AX17" s="10">
        <f>AT17*G17/F17</f>
        <v/>
      </c>
      <c r="AZ17" s="10">
        <f>AU17</f>
        <v/>
      </c>
      <c r="BA17" s="10">
        <f>J17/F17</f>
        <v/>
      </c>
      <c r="BB17" s="10">
        <f>L17/F17</f>
        <v/>
      </c>
      <c r="BC17" s="10">
        <f>I17/F17</f>
        <v/>
      </c>
      <c r="BD17" s="10">
        <f>K17/F17</f>
        <v/>
      </c>
      <c r="BF17" s="1">
        <f>SUM(AW17:AX17)-SUM(AZ17:BD17)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109.479795</v>
      </c>
      <c r="R18" s="15" t="n">
        <v>-21.506692</v>
      </c>
      <c r="S18" s="15" t="n">
        <v>170</v>
      </c>
      <c r="T18" s="15" t="n">
        <v>137.934648</v>
      </c>
      <c r="U18" s="15" t="n">
        <v>157.881351</v>
      </c>
      <c r="V18" s="15" t="n">
        <v>111.364845</v>
      </c>
      <c r="W18" s="15" t="n">
        <v>20.230252</v>
      </c>
      <c r="X18" s="15" t="n">
        <v>13.325948</v>
      </c>
      <c r="Z18" s="1">
        <f>B18</f>
        <v/>
      </c>
      <c r="AA18" s="1">
        <f>C18</f>
        <v/>
      </c>
      <c r="AB18" s="11">
        <f>SUM(AE18:AK18)+AM18+AN18</f>
        <v/>
      </c>
      <c r="AC18" s="11">
        <f>SUM(AE18:AK18)+AP18+AQ18</f>
        <v/>
      </c>
      <c r="AD18" s="5">
        <f>AB18-AC18</f>
        <v/>
      </c>
      <c r="AE18" s="1">
        <f>D18/F18*W18*-1</f>
        <v/>
      </c>
      <c r="AF18" s="1">
        <f>E18/F18*W18</f>
        <v/>
      </c>
      <c r="AG18" s="1">
        <f t="array" ref="AG18">_xlfn.IFS(C18="Biomass_Corn", 1/F18*S18, C18="Biomass_Agri", 1/F18*V18, C18="Biomass_Wood", 1/F18*U18, C18="Biomass_Herb", 1/F18*T18)</f>
        <v/>
      </c>
      <c r="AH18" s="1">
        <f>G18/F18*X18</f>
        <v/>
      </c>
      <c r="AI18" s="1">
        <f>M18/F18/(0.9*8760)</f>
        <v/>
      </c>
      <c r="AJ18" s="1">
        <f>N18/F18/(0.9*8760)</f>
        <v/>
      </c>
      <c r="AK18" s="1">
        <f>O18/F18</f>
        <v/>
      </c>
      <c r="AL18" s="1">
        <f>SUM(AZ18:BD18)-AW18</f>
        <v/>
      </c>
      <c r="AM18" s="1">
        <f>(Q18+R18)*-1*(I18+K18)/F18</f>
        <v/>
      </c>
      <c r="AN18" s="1">
        <f>AL18*Q18</f>
        <v/>
      </c>
      <c r="AO18" s="1">
        <f>SUM(AZ18:BB18)-AW18</f>
        <v/>
      </c>
      <c r="AP18" s="1">
        <f>(I18+K18)/F18*-1*R18</f>
        <v/>
      </c>
      <c r="AQ18" s="1">
        <f>AO18*Q18</f>
        <v/>
      </c>
      <c r="AS18" s="9">
        <f>H18</f>
        <v/>
      </c>
      <c r="AT18" s="10" t="n">
        <v>0.1828908353</v>
      </c>
      <c r="AU18" s="9" t="n">
        <v>0.23037491</v>
      </c>
      <c r="AW18" s="10">
        <f>AS18/F18</f>
        <v/>
      </c>
      <c r="AX18" s="10">
        <f>AT18*G18/F18</f>
        <v/>
      </c>
      <c r="AZ18" s="10">
        <f>AU18</f>
        <v/>
      </c>
      <c r="BA18" s="10">
        <f>J18/F18</f>
        <v/>
      </c>
      <c r="BB18" s="10">
        <f>L18/F18</f>
        <v/>
      </c>
      <c r="BC18" s="10">
        <f>I18/F18</f>
        <v/>
      </c>
      <c r="BD18" s="10">
        <f>K18/F18</f>
        <v/>
      </c>
      <c r="BF18" s="1">
        <f>SUM(AW18:AX18)-SUM(AZ18:BD18)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109.479795</v>
      </c>
      <c r="R19" s="15" t="n">
        <v>-31.70346</v>
      </c>
      <c r="S19" s="15" t="n">
        <v>170</v>
      </c>
      <c r="T19" s="15" t="n">
        <v>110.461518</v>
      </c>
      <c r="U19" s="15" t="n">
        <v>127.408748</v>
      </c>
      <c r="V19" s="15" t="n">
        <v>98.83247799999999</v>
      </c>
      <c r="W19" s="15" t="n">
        <v>25.324637</v>
      </c>
      <c r="X19" s="15" t="n">
        <v>13.421913</v>
      </c>
      <c r="Z19" s="1">
        <f>B19</f>
        <v/>
      </c>
      <c r="AA19" s="1">
        <f>C19</f>
        <v/>
      </c>
      <c r="AB19" s="11">
        <f>SUM(AE19:AK19)+AM19+AN19</f>
        <v/>
      </c>
      <c r="AC19" s="11">
        <f>SUM(AE19:AK19)+AP19+AQ19</f>
        <v/>
      </c>
      <c r="AD19" s="5">
        <f>AB19-AC19</f>
        <v/>
      </c>
      <c r="AE19" s="1">
        <f>D19/F19*W19*-1</f>
        <v/>
      </c>
      <c r="AF19" s="1">
        <f>E19/F19*W19</f>
        <v/>
      </c>
      <c r="AG19" s="1">
        <f t="array" ref="AG19">_xlfn.IFS(C19="Biomass_Corn", 1/F19*S19, C19="Biomass_Agri", 1/F19*V19, C19="Biomass_Wood", 1/F19*U19, C19="Biomass_Herb", 1/F19*T19)</f>
        <v/>
      </c>
      <c r="AH19" s="1">
        <f>G19/F19*X19</f>
        <v/>
      </c>
      <c r="AI19" s="1">
        <f>M19/F19/(0.9*8760)</f>
        <v/>
      </c>
      <c r="AJ19" s="1">
        <f>N19/F19/(0.9*8760)</f>
        <v/>
      </c>
      <c r="AK19" s="1">
        <f>O19/F19</f>
        <v/>
      </c>
      <c r="AL19" s="1">
        <f>SUM(AZ19:BD19)-AW19</f>
        <v/>
      </c>
      <c r="AM19" s="1">
        <f>(Q19+R19)*-1*(I19+K19)/F19</f>
        <v/>
      </c>
      <c r="AN19" s="1">
        <f>AL19*Q19</f>
        <v/>
      </c>
      <c r="AO19" s="1">
        <f>SUM(AZ19:BB19)-AW19</f>
        <v/>
      </c>
      <c r="AP19" s="1">
        <f>(I19+K19)/F19*-1*R19</f>
        <v/>
      </c>
      <c r="AQ19" s="1">
        <f>AO19*Q19</f>
        <v/>
      </c>
      <c r="AS19" s="9">
        <f>H19</f>
        <v/>
      </c>
      <c r="AT19" s="10" t="n">
        <v>0.1828908353</v>
      </c>
      <c r="AU19" s="9" t="n">
        <v>0.23037491</v>
      </c>
      <c r="AW19" s="10">
        <f>AS19/F19</f>
        <v/>
      </c>
      <c r="AX19" s="10">
        <f>AT19*G19/F19</f>
        <v/>
      </c>
      <c r="AZ19" s="10">
        <f>AU19</f>
        <v/>
      </c>
      <c r="BA19" s="10">
        <f>J19/F19</f>
        <v/>
      </c>
      <c r="BB19" s="10">
        <f>L19/F19</f>
        <v/>
      </c>
      <c r="BC19" s="10">
        <f>I19/F19</f>
        <v/>
      </c>
      <c r="BD19" s="10">
        <f>K19/F19</f>
        <v/>
      </c>
      <c r="BF19" s="1">
        <f>SUM(AW19:AX19)-SUM(AZ19:BD19)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109.479795</v>
      </c>
      <c r="R20" s="15" t="n">
        <v>-54.115443</v>
      </c>
      <c r="S20" s="15" t="n">
        <v>170</v>
      </c>
      <c r="T20" s="15" t="n">
        <v>100.773744</v>
      </c>
      <c r="U20" s="15" t="n">
        <v>108.668072</v>
      </c>
      <c r="V20" s="15" t="n">
        <v>89.424565</v>
      </c>
      <c r="W20" s="15" t="n">
        <v>39.359472</v>
      </c>
      <c r="X20" s="15" t="n">
        <v>13.423122</v>
      </c>
      <c r="Z20" s="1">
        <f>B20</f>
        <v/>
      </c>
      <c r="AA20" s="1">
        <f>C20</f>
        <v/>
      </c>
      <c r="AB20" s="11">
        <f>SUM(AE20:AK20)+AM20+AN20</f>
        <v/>
      </c>
      <c r="AC20" s="11">
        <f>SUM(AE20:AK20)+AP20+AQ20</f>
        <v/>
      </c>
      <c r="AD20" s="5">
        <f>AB20-AC20</f>
        <v/>
      </c>
      <c r="AE20" s="1">
        <f>D20/F20*W20*-1</f>
        <v/>
      </c>
      <c r="AF20" s="1">
        <f>E20/F20*W20</f>
        <v/>
      </c>
      <c r="AG20" s="1">
        <f t="array" ref="AG20">_xlfn.IFS(C20="Biomass_Corn", 1/F20*S20, C20="Biomass_Agri", 1/F20*V20, C20="Biomass_Wood", 1/F20*U20, C20="Biomass_Herb", 1/F20*T20)</f>
        <v/>
      </c>
      <c r="AH20" s="1">
        <f>G20/F20*X20</f>
        <v/>
      </c>
      <c r="AI20" s="1">
        <f>M20/F20/(0.9*8760)</f>
        <v/>
      </c>
      <c r="AJ20" s="1">
        <f>N20/F20/(0.9*8760)</f>
        <v/>
      </c>
      <c r="AK20" s="1">
        <f>O20/F20</f>
        <v/>
      </c>
      <c r="AL20" s="1">
        <f>SUM(AZ20:BD20)-AW20</f>
        <v/>
      </c>
      <c r="AM20" s="1">
        <f>(Q20+R20)*-1*(I20+K20)/F20</f>
        <v/>
      </c>
      <c r="AN20" s="1">
        <f>AL20*Q20</f>
        <v/>
      </c>
      <c r="AO20" s="1">
        <f>SUM(AZ20:BB20)-AW20</f>
        <v/>
      </c>
      <c r="AP20" s="1">
        <f>(I20+K20)/F20*-1*R20</f>
        <v/>
      </c>
      <c r="AQ20" s="1">
        <f>AO20*Q20</f>
        <v/>
      </c>
      <c r="AS20" s="9">
        <f>H20</f>
        <v/>
      </c>
      <c r="AT20" s="10" t="n">
        <v>0.1828908353</v>
      </c>
      <c r="AU20" s="9" t="n">
        <v>0.23037491</v>
      </c>
      <c r="AW20" s="10">
        <f>AS20/F20</f>
        <v/>
      </c>
      <c r="AX20" s="10">
        <f>AT20*G20/F20</f>
        <v/>
      </c>
      <c r="AZ20" s="10">
        <f>AU20</f>
        <v/>
      </c>
      <c r="BA20" s="10">
        <f>J20/F20</f>
        <v/>
      </c>
      <c r="BB20" s="10">
        <f>L20/F20</f>
        <v/>
      </c>
      <c r="BC20" s="10">
        <f>I20/F20</f>
        <v/>
      </c>
      <c r="BD20" s="10">
        <f>K20/F20</f>
        <v/>
      </c>
      <c r="BF20" s="1">
        <f>SUM(AW20:AX20)-SUM(AZ20:BD20)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109.479795</v>
      </c>
      <c r="R21" s="15" t="n">
        <v>-41.717135</v>
      </c>
      <c r="S21" s="15" t="n">
        <v>170</v>
      </c>
      <c r="T21" s="15" t="n">
        <v>104.167382</v>
      </c>
      <c r="U21" s="15" t="n">
        <v>115.526389</v>
      </c>
      <c r="V21" s="15" t="n">
        <v>92.044978</v>
      </c>
      <c r="W21" s="15" t="n">
        <v>30.708173</v>
      </c>
      <c r="X21" s="15" t="n">
        <v>13.422003</v>
      </c>
      <c r="Z21" s="1">
        <f>B21</f>
        <v/>
      </c>
      <c r="AA21" s="1">
        <f>C21</f>
        <v/>
      </c>
      <c r="AB21" s="11">
        <f>SUM(AE21:AK21)+AM21+AN21</f>
        <v/>
      </c>
      <c r="AC21" s="11">
        <f>SUM(AE21:AK21)+AP21+AQ21</f>
        <v/>
      </c>
      <c r="AD21" s="5">
        <f>AB21-AC21</f>
        <v/>
      </c>
      <c r="AE21" s="1">
        <f>D21/F21*W21*-1</f>
        <v/>
      </c>
      <c r="AF21" s="1">
        <f>E21/F21*W21</f>
        <v/>
      </c>
      <c r="AG21" s="1">
        <f t="array" ref="AG21">_xlfn.IFS(C21="Biomass_Corn", 1/F21*S21, C21="Biomass_Agri", 1/F21*V21, C21="Biomass_Wood", 1/F21*U21, C21="Biomass_Herb", 1/F21*T21)</f>
        <v/>
      </c>
      <c r="AH21" s="1">
        <f>G21/F21*X21</f>
        <v/>
      </c>
      <c r="AI21" s="1">
        <f>M21/F21/(0.9*8760)</f>
        <v/>
      </c>
      <c r="AJ21" s="1">
        <f>N21/F21/(0.9*8760)</f>
        <v/>
      </c>
      <c r="AK21" s="1">
        <f>O21/F21</f>
        <v/>
      </c>
      <c r="AL21" s="1">
        <f>SUM(AZ21:BD21)-AW21</f>
        <v/>
      </c>
      <c r="AM21" s="1">
        <f>(Q21+R21)*-1*(I21+K21)/F21</f>
        <v/>
      </c>
      <c r="AN21" s="1">
        <f>AL21*Q21</f>
        <v/>
      </c>
      <c r="AO21" s="1">
        <f>SUM(AZ21:BB21)-AW21</f>
        <v/>
      </c>
      <c r="AP21" s="1">
        <f>(I21+K21)/F21*-1*R21</f>
        <v/>
      </c>
      <c r="AQ21" s="1">
        <f>AO21*Q21</f>
        <v/>
      </c>
      <c r="AS21" s="9">
        <f>H21</f>
        <v/>
      </c>
      <c r="AT21" s="10" t="n">
        <v>0.1828908353</v>
      </c>
      <c r="AU21" s="9" t="n">
        <v>0.23037491</v>
      </c>
      <c r="AW21" s="10">
        <f>AS21/F21</f>
        <v/>
      </c>
      <c r="AX21" s="10">
        <f>AT21*G21/F21</f>
        <v/>
      </c>
      <c r="AZ21" s="10">
        <f>AU21</f>
        <v/>
      </c>
      <c r="BA21" s="10">
        <f>J21/F21</f>
        <v/>
      </c>
      <c r="BB21" s="10">
        <f>L21/F21</f>
        <v/>
      </c>
      <c r="BC21" s="10">
        <f>I21/F21</f>
        <v/>
      </c>
      <c r="BD21" s="10">
        <f>K21/F21</f>
        <v/>
      </c>
      <c r="BF21" s="1">
        <f>SUM(AW21:AX21)-SUM(AZ21:BD21)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109.479795</v>
      </c>
      <c r="R22" s="15" t="n">
        <v>-47.70091</v>
      </c>
      <c r="S22" s="15" t="n">
        <v>170</v>
      </c>
      <c r="T22" s="15" t="n">
        <v>99.63284299999999</v>
      </c>
      <c r="U22" s="15" t="n">
        <v>113.227017</v>
      </c>
      <c r="V22" s="15" t="n">
        <v>88.855315</v>
      </c>
      <c r="W22" s="15" t="n">
        <v>38.218446</v>
      </c>
      <c r="X22" s="15" t="n">
        <v>13.421908</v>
      </c>
      <c r="Z22" s="1">
        <f>B22</f>
        <v/>
      </c>
      <c r="AA22" s="1">
        <f>C22</f>
        <v/>
      </c>
      <c r="AB22" s="11">
        <f>SUM(AE22:AK22)+AM22+AN22</f>
        <v/>
      </c>
      <c r="AC22" s="11">
        <f>SUM(AE22:AK22)+AP22+AQ22</f>
        <v/>
      </c>
      <c r="AD22" s="5">
        <f>AB22-AC22</f>
        <v/>
      </c>
      <c r="AE22" s="1">
        <f>D22/F22*W22*-1</f>
        <v/>
      </c>
      <c r="AF22" s="1">
        <f>E22/F22*W22</f>
        <v/>
      </c>
      <c r="AG22" s="1">
        <f t="array" ref="AG22">_xlfn.IFS(C22="Biomass_Corn", 1/F22*S22, C22="Biomass_Agri", 1/F22*V22, C22="Biomass_Wood", 1/F22*U22, C22="Biomass_Herb", 1/F22*T22)</f>
        <v/>
      </c>
      <c r="AH22" s="1">
        <f>G22/F22*X22</f>
        <v/>
      </c>
      <c r="AI22" s="1">
        <f>M22/F22/(0.9*8760)</f>
        <v/>
      </c>
      <c r="AJ22" s="1">
        <f>N22/F22/(0.9*8760)</f>
        <v/>
      </c>
      <c r="AK22" s="1">
        <f>O22/F22</f>
        <v/>
      </c>
      <c r="AL22" s="1">
        <f>SUM(AZ22:BD22)-AW22</f>
        <v/>
      </c>
      <c r="AM22" s="1">
        <f>(Q22+R22)*-1*(I22+K22)/F22</f>
        <v/>
      </c>
      <c r="AN22" s="1">
        <f>AL22*Q22</f>
        <v/>
      </c>
      <c r="AO22" s="1">
        <f>SUM(AZ22:BB22)-AW22</f>
        <v/>
      </c>
      <c r="AP22" s="1">
        <f>(I22+K22)/F22*-1*R22</f>
        <v/>
      </c>
      <c r="AQ22" s="1">
        <f>AO22*Q22</f>
        <v/>
      </c>
      <c r="AS22" s="9">
        <f>H22</f>
        <v/>
      </c>
      <c r="AT22" s="10" t="n">
        <v>0.1828908353</v>
      </c>
      <c r="AU22" s="9" t="n">
        <v>0.23037491</v>
      </c>
      <c r="AW22" s="10">
        <f>AS22/F22</f>
        <v/>
      </c>
      <c r="AX22" s="10">
        <f>AT22*G22/F22</f>
        <v/>
      </c>
      <c r="AZ22" s="10">
        <f>AU22</f>
        <v/>
      </c>
      <c r="BA22" s="10">
        <f>J22/F22</f>
        <v/>
      </c>
      <c r="BB22" s="10">
        <f>L22/F22</f>
        <v/>
      </c>
      <c r="BC22" s="10">
        <f>I22/F22</f>
        <v/>
      </c>
      <c r="BD22" s="10">
        <f>K22/F22</f>
        <v/>
      </c>
      <c r="BF22" s="1">
        <f>SUM(AW22:AX22)-SUM(AZ22:BD22)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109.479795</v>
      </c>
      <c r="R23" s="15" t="n">
        <v>-21.506692</v>
      </c>
      <c r="S23" s="15" t="n">
        <v>170</v>
      </c>
      <c r="T23" s="15" t="n">
        <v>137.934648</v>
      </c>
      <c r="U23" s="15" t="n">
        <v>157.881351</v>
      </c>
      <c r="V23" s="15" t="n">
        <v>111.364845</v>
      </c>
      <c r="W23" s="15" t="n">
        <v>20.230252</v>
      </c>
      <c r="X23" s="15" t="n">
        <v>13.325948</v>
      </c>
      <c r="Z23" s="1">
        <f>B23</f>
        <v/>
      </c>
      <c r="AA23" s="1">
        <f>C23</f>
        <v/>
      </c>
      <c r="AB23" s="11">
        <f>SUM(AE23:AK23)+AM23+AN23</f>
        <v/>
      </c>
      <c r="AC23" s="11">
        <f>SUM(AE23:AK23)+AP23+AQ23</f>
        <v/>
      </c>
      <c r="AD23" s="5">
        <f>AB23-AC23</f>
        <v/>
      </c>
      <c r="AE23" s="1">
        <f>D23/F23*W23*-1</f>
        <v/>
      </c>
      <c r="AF23" s="1">
        <f>E23/F23*W23</f>
        <v/>
      </c>
      <c r="AG23" s="1">
        <f t="array" ref="AG23">_xlfn.IFS(C23="Biomass_Corn", 1/F23*S23, C23="Biomass_Agri", 1/F23*V23, C23="Biomass_Wood", 1/F23*U23, C23="Biomass_Herb", 1/F23*T23)</f>
        <v/>
      </c>
      <c r="AH23" s="1">
        <f>G23/F23*X23</f>
        <v/>
      </c>
      <c r="AI23" s="1">
        <f>M23/F23/(0.9*8760)</f>
        <v/>
      </c>
      <c r="AJ23" s="1">
        <f>N23/F23/(0.9*8760)</f>
        <v/>
      </c>
      <c r="AK23" s="1">
        <f>O23/F23</f>
        <v/>
      </c>
      <c r="AL23" s="1">
        <f>SUM(AZ23:BD23)-AW23</f>
        <v/>
      </c>
      <c r="AM23" s="1">
        <f>(Q23+R23)*-1*(I23+K23)/F23</f>
        <v/>
      </c>
      <c r="AN23" s="1">
        <f>AL23*Q23</f>
        <v/>
      </c>
      <c r="AO23" s="1">
        <f>SUM(AZ23:BB23)-AW23</f>
        <v/>
      </c>
      <c r="AP23" s="1">
        <f>(I23+K23)/F23*-1*R23</f>
        <v/>
      </c>
      <c r="AQ23" s="1">
        <f>AO23*Q23</f>
        <v/>
      </c>
      <c r="AS23" s="9">
        <f>H23</f>
        <v/>
      </c>
      <c r="AT23" s="10" t="n">
        <v>0.1828908353</v>
      </c>
      <c r="AU23" s="9" t="n">
        <v>0.23037491</v>
      </c>
      <c r="AW23" s="10">
        <f>AS23/F23</f>
        <v/>
      </c>
      <c r="AX23" s="10">
        <f>AT23*G23/F23</f>
        <v/>
      </c>
      <c r="AZ23" s="10">
        <f>AU23</f>
        <v/>
      </c>
      <c r="BA23" s="10">
        <f>J23/F23</f>
        <v/>
      </c>
      <c r="BB23" s="10">
        <f>L23/F23</f>
        <v/>
      </c>
      <c r="BC23" s="10">
        <f>I23/F23</f>
        <v/>
      </c>
      <c r="BD23" s="10">
        <f>K23/F23</f>
        <v/>
      </c>
      <c r="BF23" s="1">
        <f>SUM(AW23:AX23)-SUM(AZ23:BD23)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109.479795</v>
      </c>
      <c r="R24" s="15" t="n">
        <v>-31.70346</v>
      </c>
      <c r="S24" s="15" t="n">
        <v>170</v>
      </c>
      <c r="T24" s="15" t="n">
        <v>110.461518</v>
      </c>
      <c r="U24" s="15" t="n">
        <v>127.408748</v>
      </c>
      <c r="V24" s="15" t="n">
        <v>98.83247799999999</v>
      </c>
      <c r="W24" s="15" t="n">
        <v>25.324637</v>
      </c>
      <c r="X24" s="15" t="n">
        <v>13.421913</v>
      </c>
      <c r="Z24" s="1">
        <f>B24</f>
        <v/>
      </c>
      <c r="AA24" s="1">
        <f>C24</f>
        <v/>
      </c>
      <c r="AB24" s="11">
        <f>SUM(AE24:AK24)+AM24+AN24</f>
        <v/>
      </c>
      <c r="AC24" s="11">
        <f>SUM(AE24:AK24)+AP24+AQ24</f>
        <v/>
      </c>
      <c r="AD24" s="5">
        <f>AB24-AC24</f>
        <v/>
      </c>
      <c r="AE24" s="1">
        <f>D24/F24*W24*-1</f>
        <v/>
      </c>
      <c r="AF24" s="1">
        <f>E24/F24*W24</f>
        <v/>
      </c>
      <c r="AG24" s="1">
        <f t="array" ref="AG24">_xlfn.IFS(C24="Biomass_Corn", 1/F24*S24, C24="Biomass_Agri", 1/F24*V24, C24="Biomass_Wood", 1/F24*U24, C24="Biomass_Herb", 1/F24*T24)</f>
        <v/>
      </c>
      <c r="AH24" s="1">
        <f>G24/F24*X24</f>
        <v/>
      </c>
      <c r="AI24" s="1">
        <f>M24/F24/(0.9*8760)</f>
        <v/>
      </c>
      <c r="AJ24" s="1">
        <f>N24/F24/(0.9*8760)</f>
        <v/>
      </c>
      <c r="AK24" s="1">
        <f>O24/F24</f>
        <v/>
      </c>
      <c r="AL24" s="1">
        <f>SUM(AZ24:BD24)-AW24</f>
        <v/>
      </c>
      <c r="AM24" s="1">
        <f>(Q24+R24)*-1*(I24+K24)/F24</f>
        <v/>
      </c>
      <c r="AN24" s="1">
        <f>AL24*Q24</f>
        <v/>
      </c>
      <c r="AO24" s="1">
        <f>SUM(AZ24:BB24)-AW24</f>
        <v/>
      </c>
      <c r="AP24" s="1">
        <f>(I24+K24)/F24*-1*R24</f>
        <v/>
      </c>
      <c r="AQ24" s="1">
        <f>AO24*Q24</f>
        <v/>
      </c>
      <c r="AS24" s="9">
        <f>H24</f>
        <v/>
      </c>
      <c r="AT24" s="10" t="n">
        <v>0.1828908353</v>
      </c>
      <c r="AU24" s="9" t="n">
        <v>0.23037491</v>
      </c>
      <c r="AW24" s="10">
        <f>AS24/F24</f>
        <v/>
      </c>
      <c r="AX24" s="10">
        <f>AT24*G24/F24</f>
        <v/>
      </c>
      <c r="AZ24" s="10">
        <f>AU24</f>
        <v/>
      </c>
      <c r="BA24" s="10">
        <f>J24/F24</f>
        <v/>
      </c>
      <c r="BB24" s="10">
        <f>L24/F24</f>
        <v/>
      </c>
      <c r="BC24" s="10">
        <f>I24/F24</f>
        <v/>
      </c>
      <c r="BD24" s="10">
        <f>K24/F24</f>
        <v/>
      </c>
      <c r="BF24" s="1">
        <f>SUM(AW24:AX24)-SUM(AZ24:BD24)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109.479795</v>
      </c>
      <c r="R25" s="15" t="n">
        <v>-54.115443</v>
      </c>
      <c r="S25" s="15" t="n">
        <v>170</v>
      </c>
      <c r="T25" s="15" t="n">
        <v>100.773744</v>
      </c>
      <c r="U25" s="15" t="n">
        <v>108.668072</v>
      </c>
      <c r="V25" s="15" t="n">
        <v>89.424565</v>
      </c>
      <c r="W25" s="15" t="n">
        <v>39.359472</v>
      </c>
      <c r="X25" s="15" t="n">
        <v>13.423122</v>
      </c>
      <c r="Z25" s="1">
        <f>B25</f>
        <v/>
      </c>
      <c r="AA25" s="1">
        <f>C25</f>
        <v/>
      </c>
      <c r="AB25" s="11">
        <f>SUM(AE25:AK25)+AM25+AN25</f>
        <v/>
      </c>
      <c r="AC25" s="11">
        <f>SUM(AE25:AK25)+AP25+AQ25</f>
        <v/>
      </c>
      <c r="AD25" s="5">
        <f>AB25-AC25</f>
        <v/>
      </c>
      <c r="AE25" s="1">
        <f>D25/F25*W25*-1</f>
        <v/>
      </c>
      <c r="AF25" s="1">
        <f>E25/F25*W25</f>
        <v/>
      </c>
      <c r="AG25" s="1">
        <f t="array" ref="AG25">_xlfn.IFS(C25="Biomass_Corn", 1/F25*S25, C25="Biomass_Agri", 1/F25*V25, C25="Biomass_Wood", 1/F25*U25, C25="Biomass_Herb", 1/F25*T25)</f>
        <v/>
      </c>
      <c r="AH25" s="1">
        <f>G25/F25*X25</f>
        <v/>
      </c>
      <c r="AI25" s="1">
        <f>M25/F25/(0.9*8760)</f>
        <v/>
      </c>
      <c r="AJ25" s="1">
        <f>N25/F25/(0.9*8760)</f>
        <v/>
      </c>
      <c r="AK25" s="1">
        <f>O25/F25</f>
        <v/>
      </c>
      <c r="AL25" s="1">
        <f>SUM(AZ25:BD25)-AW25</f>
        <v/>
      </c>
      <c r="AM25" s="1">
        <f>(Q25+R25)*-1*(I25+K25)/F25</f>
        <v/>
      </c>
      <c r="AN25" s="1">
        <f>AL25*Q25</f>
        <v/>
      </c>
      <c r="AO25" s="1">
        <f>SUM(AZ25:BB25)-AW25</f>
        <v/>
      </c>
      <c r="AP25" s="1">
        <f>(I25+K25)/F25*-1*R25</f>
        <v/>
      </c>
      <c r="AQ25" s="1">
        <f>AO25*Q25</f>
        <v/>
      </c>
      <c r="AS25" s="9">
        <f>H25</f>
        <v/>
      </c>
      <c r="AT25" s="10" t="n">
        <v>0.1828908353</v>
      </c>
      <c r="AU25" s="9" t="n">
        <v>0.23037491</v>
      </c>
      <c r="AW25" s="10">
        <f>AS25/F25</f>
        <v/>
      </c>
      <c r="AX25" s="10">
        <f>AT25*G25/F25</f>
        <v/>
      </c>
      <c r="AZ25" s="10">
        <f>AU25</f>
        <v/>
      </c>
      <c r="BA25" s="10">
        <f>J25/F25</f>
        <v/>
      </c>
      <c r="BB25" s="10">
        <f>L25/F25</f>
        <v/>
      </c>
      <c r="BC25" s="10">
        <f>I25/F25</f>
        <v/>
      </c>
      <c r="BD25" s="10">
        <f>K25/F25</f>
        <v/>
      </c>
      <c r="BF25" s="1">
        <f>SUM(AW25:AX25)-SUM(AZ25:BD25)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109.479795</v>
      </c>
      <c r="R26" s="15" t="n">
        <v>-41.717135</v>
      </c>
      <c r="S26" s="15" t="n">
        <v>170</v>
      </c>
      <c r="T26" s="15" t="n">
        <v>104.167382</v>
      </c>
      <c r="U26" s="15" t="n">
        <v>115.526389</v>
      </c>
      <c r="V26" s="15" t="n">
        <v>92.044978</v>
      </c>
      <c r="W26" s="15" t="n">
        <v>30.708173</v>
      </c>
      <c r="X26" s="15" t="n">
        <v>13.422003</v>
      </c>
      <c r="Z26" s="1">
        <f>B26</f>
        <v/>
      </c>
      <c r="AA26" s="1">
        <f>C26</f>
        <v/>
      </c>
      <c r="AB26" s="11">
        <f>SUM(AE26:AK26)+AM26+AN26</f>
        <v/>
      </c>
      <c r="AC26" s="11">
        <f>SUM(AE26:AK26)+AP26+AQ26</f>
        <v/>
      </c>
      <c r="AD26" s="5">
        <f>AB26-AC26</f>
        <v/>
      </c>
      <c r="AE26" s="1">
        <f>D26/F26*W26*-1</f>
        <v/>
      </c>
      <c r="AF26" s="1">
        <f>E26/F26*W26</f>
        <v/>
      </c>
      <c r="AG26" s="1">
        <f t="array" ref="AG26">_xlfn.IFS(C26="Biomass_Corn", 1/F26*S26, C26="Biomass_Agri", 1/F26*V26, C26="Biomass_Wood", 1/F26*U26, C26="Biomass_Herb", 1/F26*T26)</f>
        <v/>
      </c>
      <c r="AH26" s="1">
        <f>G26/F26*X26</f>
        <v/>
      </c>
      <c r="AI26" s="1">
        <f>M26/F26/(0.9*8760)</f>
        <v/>
      </c>
      <c r="AJ26" s="1">
        <f>N26/F26/(0.9*8760)</f>
        <v/>
      </c>
      <c r="AK26" s="1">
        <f>O26/F26</f>
        <v/>
      </c>
      <c r="AL26" s="1">
        <f>SUM(AZ26:BD26)-AW26</f>
        <v/>
      </c>
      <c r="AM26" s="1">
        <f>(Q26+R26)*-1*(I26+K26)/F26</f>
        <v/>
      </c>
      <c r="AN26" s="1">
        <f>AL26*Q26</f>
        <v/>
      </c>
      <c r="AO26" s="1">
        <f>SUM(AZ26:BB26)-AW26</f>
        <v/>
      </c>
      <c r="AP26" s="1">
        <f>(I26+K26)/F26*-1*R26</f>
        <v/>
      </c>
      <c r="AQ26" s="1">
        <f>AO26*Q26</f>
        <v/>
      </c>
      <c r="AS26" s="9">
        <f>H26</f>
        <v/>
      </c>
      <c r="AT26" s="10" t="n">
        <v>0.1828908353</v>
      </c>
      <c r="AU26" s="9" t="n">
        <v>0.23037491</v>
      </c>
      <c r="AW26" s="10">
        <f>AS26/F26</f>
        <v/>
      </c>
      <c r="AX26" s="10">
        <f>AT26*G26/F26</f>
        <v/>
      </c>
      <c r="AZ26" s="10">
        <f>AU26</f>
        <v/>
      </c>
      <c r="BA26" s="10">
        <f>J26/F26</f>
        <v/>
      </c>
      <c r="BB26" s="10">
        <f>L26/F26</f>
        <v/>
      </c>
      <c r="BC26" s="10">
        <f>I26/F26</f>
        <v/>
      </c>
      <c r="BD26" s="10">
        <f>K26/F26</f>
        <v/>
      </c>
      <c r="BF26" s="1">
        <f>SUM(AW26:AX26)-SUM(AZ26:BD26)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109.479795</v>
      </c>
      <c r="R27" s="15" t="n">
        <v>-47.70091</v>
      </c>
      <c r="S27" s="15" t="n">
        <v>170</v>
      </c>
      <c r="T27" s="15" t="n">
        <v>99.63284299999999</v>
      </c>
      <c r="U27" s="15" t="n">
        <v>113.227017</v>
      </c>
      <c r="V27" s="15" t="n">
        <v>88.855315</v>
      </c>
      <c r="W27" s="15" t="n">
        <v>38.218446</v>
      </c>
      <c r="X27" s="15" t="n">
        <v>13.421908</v>
      </c>
      <c r="Z27" s="1">
        <f>B27</f>
        <v/>
      </c>
      <c r="AA27" s="1">
        <f>C27</f>
        <v/>
      </c>
      <c r="AB27" s="11">
        <f>SUM(AE27:AK27)+AM27+AN27</f>
        <v/>
      </c>
      <c r="AC27" s="11">
        <f>SUM(AE27:AK27)+AP27+AQ27</f>
        <v/>
      </c>
      <c r="AD27" s="5">
        <f>AB27-AC27</f>
        <v/>
      </c>
      <c r="AE27" s="1">
        <f>D27/F27*W27*-1</f>
        <v/>
      </c>
      <c r="AF27" s="1">
        <f>E27/F27*W27</f>
        <v/>
      </c>
      <c r="AG27" s="1">
        <f t="array" ref="AG27">_xlfn.IFS(C27="Biomass_Corn", 1/F27*S27, C27="Biomass_Agri", 1/F27*V27, C27="Biomass_Wood", 1/F27*U27, C27="Biomass_Herb", 1/F27*T27)</f>
        <v/>
      </c>
      <c r="AH27" s="1">
        <f>G27/F27*X27</f>
        <v/>
      </c>
      <c r="AI27" s="1">
        <f>M27/F27/(0.9*8760)</f>
        <v/>
      </c>
      <c r="AJ27" s="1">
        <f>N27/F27/(0.9*8760)</f>
        <v/>
      </c>
      <c r="AK27" s="1">
        <f>O27/F27</f>
        <v/>
      </c>
      <c r="AL27" s="1">
        <f>SUM(AZ27:BD27)-AW27</f>
        <v/>
      </c>
      <c r="AM27" s="1">
        <f>(Q27+R27)*-1*(I27+K27)/F27</f>
        <v/>
      </c>
      <c r="AN27" s="1">
        <f>AL27*Q27</f>
        <v/>
      </c>
      <c r="AO27" s="1">
        <f>SUM(AZ27:BB27)-AW27</f>
        <v/>
      </c>
      <c r="AP27" s="1">
        <f>(I27+K27)/F27*-1*R27</f>
        <v/>
      </c>
      <c r="AQ27" s="1">
        <f>AO27*Q27</f>
        <v/>
      </c>
      <c r="AS27" s="9">
        <f>H27</f>
        <v/>
      </c>
      <c r="AT27" s="10" t="n">
        <v>0.1828908353</v>
      </c>
      <c r="AU27" s="9" t="n">
        <v>0.23037491</v>
      </c>
      <c r="AW27" s="10">
        <f>AS27/F27</f>
        <v/>
      </c>
      <c r="AX27" s="10">
        <f>AT27*G27/F27</f>
        <v/>
      </c>
      <c r="AZ27" s="10">
        <f>AU27</f>
        <v/>
      </c>
      <c r="BA27" s="10">
        <f>J27/F27</f>
        <v/>
      </c>
      <c r="BB27" s="10">
        <f>L27/F27</f>
        <v/>
      </c>
      <c r="BC27" s="10">
        <f>I27/F27</f>
        <v/>
      </c>
      <c r="BD27" s="10">
        <f>K27/F27</f>
        <v/>
      </c>
      <c r="BF27" s="1">
        <f>SUM(AW27:AX27)-SUM(AZ27:BD27)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109.479795</v>
      </c>
      <c r="R28" s="15" t="n">
        <v>-21.506692</v>
      </c>
      <c r="S28" s="15" t="n">
        <v>170</v>
      </c>
      <c r="T28" s="15" t="n">
        <v>137.934648</v>
      </c>
      <c r="U28" s="15" t="n">
        <v>157.881351</v>
      </c>
      <c r="V28" s="15" t="n">
        <v>111.364845</v>
      </c>
      <c r="W28" s="15" t="n">
        <v>20.230252</v>
      </c>
      <c r="X28" s="15" t="n">
        <v>13.325948</v>
      </c>
      <c r="Z28">
        <f>B28</f>
        <v/>
      </c>
      <c r="AA28">
        <f>C28</f>
        <v/>
      </c>
      <c r="AB28" s="11">
        <f>SUM(AE28:AK28)+AM28+AN28</f>
        <v/>
      </c>
      <c r="AC28" s="11">
        <f>SUM(AE28:AK28)+AP28+AQ28</f>
        <v/>
      </c>
      <c r="AD28" s="5">
        <f>AB28-AC28</f>
        <v/>
      </c>
      <c r="AE28">
        <f>D28/F28*W28*-1</f>
        <v/>
      </c>
      <c r="AF28">
        <f>E28/F28*W28</f>
        <v/>
      </c>
      <c r="AG28" s="1">
        <f t="array" ref="AG28">_xlfn.IFS(C28="Biomass_Corn", 1/F28*S28, C28="Biomass_Agri", 1/F28*V28, C28="Biomass_Wood", 1/F28*U28, C28="Biomass_Herb", 1/F28*T28)</f>
        <v/>
      </c>
      <c r="AH28">
        <f>G28/F28*X28</f>
        <v/>
      </c>
      <c r="AI28">
        <f>M28/F28/(0.9*8760)</f>
        <v/>
      </c>
      <c r="AJ28">
        <f>N28/F28/(0.9*8760)</f>
        <v/>
      </c>
      <c r="AK28">
        <f>O28/F28</f>
        <v/>
      </c>
      <c r="AL28" s="1">
        <f>SUM(AZ28:BD28)-AW28</f>
        <v/>
      </c>
      <c r="AM28" s="1">
        <f>(Q28+R28)*-1*(I28+K28)/F28</f>
        <v/>
      </c>
      <c r="AN28">
        <f>AL28*Q28</f>
        <v/>
      </c>
      <c r="AO28">
        <f>SUM(AZ28:BB28)-AW28</f>
        <v/>
      </c>
      <c r="AP28" s="1">
        <f>(I28+K28)/F28*-1*R28</f>
        <v/>
      </c>
      <c r="AQ28">
        <f>AO28*Q28</f>
        <v/>
      </c>
      <c r="AS28" s="9">
        <f>H28</f>
        <v/>
      </c>
      <c r="AT28" s="10" t="n">
        <v>0.1828908353</v>
      </c>
      <c r="AU28" s="9" t="n">
        <v>0.23037491</v>
      </c>
      <c r="AW28" s="10">
        <f>AS28/F28</f>
        <v/>
      </c>
      <c r="AX28" s="10">
        <f>AT28*G28/F28</f>
        <v/>
      </c>
      <c r="AZ28" s="10">
        <f>AU28</f>
        <v/>
      </c>
      <c r="BA28" s="10">
        <f>J28/F28</f>
        <v/>
      </c>
      <c r="BB28" s="10">
        <f>L28/F28</f>
        <v/>
      </c>
      <c r="BC28" s="10">
        <f>I28/F28</f>
        <v/>
      </c>
      <c r="BD28" s="10">
        <f>K28/F28</f>
        <v/>
      </c>
      <c r="BF28" s="1">
        <f>SUM(AW28:AX28)-SUM(AZ28:BD28)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109.479795</v>
      </c>
      <c r="R29" s="15" t="n">
        <v>-31.70346</v>
      </c>
      <c r="S29" s="15" t="n">
        <v>170</v>
      </c>
      <c r="T29" s="15" t="n">
        <v>110.461518</v>
      </c>
      <c r="U29" s="15" t="n">
        <v>127.408748</v>
      </c>
      <c r="V29" s="15" t="n">
        <v>98.83247799999999</v>
      </c>
      <c r="W29" s="15" t="n">
        <v>25.324637</v>
      </c>
      <c r="X29" s="15" t="n">
        <v>13.421913</v>
      </c>
      <c r="Z29">
        <f>B29</f>
        <v/>
      </c>
      <c r="AA29">
        <f>C29</f>
        <v/>
      </c>
      <c r="AB29" s="11">
        <f>SUM(AE29:AK29)+AM29+AN29</f>
        <v/>
      </c>
      <c r="AC29" s="11">
        <f>SUM(AE29:AK29)+AP29+AQ29</f>
        <v/>
      </c>
      <c r="AD29" s="5">
        <f>AB29-AC29</f>
        <v/>
      </c>
      <c r="AE29">
        <f>D29/F29*W29*-1</f>
        <v/>
      </c>
      <c r="AF29">
        <f>E29/F29*W29</f>
        <v/>
      </c>
      <c r="AG29" s="1">
        <f t="array" ref="AG29">_xlfn.IFS(C29="Biomass_Corn", 1/F29*S29, C29="Biomass_Agri", 1/F29*V29, C29="Biomass_Wood", 1/F29*U29, C29="Biomass_Herb", 1/F29*T29)</f>
        <v/>
      </c>
      <c r="AH29">
        <f>G29/F29*X29</f>
        <v/>
      </c>
      <c r="AI29">
        <f>M29/F29/(0.9*8760)</f>
        <v/>
      </c>
      <c r="AJ29">
        <f>N29/F29/(0.9*8760)</f>
        <v/>
      </c>
      <c r="AK29">
        <f>O29/F29</f>
        <v/>
      </c>
      <c r="AL29" s="1">
        <f>SUM(AZ29:BD29)-AW29</f>
        <v/>
      </c>
      <c r="AM29" s="1">
        <f>(Q29+R29)*-1*(I29+K29)/F29</f>
        <v/>
      </c>
      <c r="AN29">
        <f>AL29*Q29</f>
        <v/>
      </c>
      <c r="AO29">
        <f>SUM(AZ29:BB29)-AW29</f>
        <v/>
      </c>
      <c r="AP29" s="1">
        <f>(I29+K29)/F29*-1*R29</f>
        <v/>
      </c>
      <c r="AQ29">
        <f>AO29*Q29</f>
        <v/>
      </c>
      <c r="AS29" s="9">
        <f>H29</f>
        <v/>
      </c>
      <c r="AT29" s="10" t="n">
        <v>0.1828908353</v>
      </c>
      <c r="AU29" s="9" t="n">
        <v>0.23037491</v>
      </c>
      <c r="AW29" s="10">
        <f>AS29/F29</f>
        <v/>
      </c>
      <c r="AX29" s="10">
        <f>AT29*G29/F29</f>
        <v/>
      </c>
      <c r="AZ29" s="10">
        <f>AU29</f>
        <v/>
      </c>
      <c r="BA29" s="10">
        <f>J29/F29</f>
        <v/>
      </c>
      <c r="BB29" s="10">
        <f>L29/F29</f>
        <v/>
      </c>
      <c r="BC29" s="10">
        <f>I29/F29</f>
        <v/>
      </c>
      <c r="BD29" s="10">
        <f>K29/F29</f>
        <v/>
      </c>
      <c r="BF29" s="1">
        <f>SUM(AW29:AX29)-SUM(AZ29:BD29)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109.479795</v>
      </c>
      <c r="R30" s="15" t="n">
        <v>-54.115443</v>
      </c>
      <c r="S30" s="15" t="n">
        <v>170</v>
      </c>
      <c r="T30" s="15" t="n">
        <v>100.773744</v>
      </c>
      <c r="U30" s="15" t="n">
        <v>108.668072</v>
      </c>
      <c r="V30" s="15" t="n">
        <v>89.424565</v>
      </c>
      <c r="W30" s="15" t="n">
        <v>39.359472</v>
      </c>
      <c r="X30" s="15" t="n">
        <v>13.423122</v>
      </c>
      <c r="Z30">
        <f>B30</f>
        <v/>
      </c>
      <c r="AA30">
        <f>C30</f>
        <v/>
      </c>
      <c r="AB30" s="11">
        <f>SUM(AE30:AK30)+AM30+AN30</f>
        <v/>
      </c>
      <c r="AC30" s="11">
        <f>SUM(AE30:AK30)+AP30+AQ30</f>
        <v/>
      </c>
      <c r="AD30" s="5">
        <f>AB30-AC30</f>
        <v/>
      </c>
      <c r="AE30">
        <f>D30/F30*W30*-1</f>
        <v/>
      </c>
      <c r="AF30">
        <f>E30/F30*W30</f>
        <v/>
      </c>
      <c r="AG30" s="1">
        <f t="array" ref="AG30">_xlfn.IFS(C30="Biomass_Corn", 1/F30*S30, C30="Biomass_Agri", 1/F30*V30, C30="Biomass_Wood", 1/F30*U30, C30="Biomass_Herb", 1/F30*T30)</f>
        <v/>
      </c>
      <c r="AH30">
        <f>G30/F30*X30</f>
        <v/>
      </c>
      <c r="AI30">
        <f>M30/F30/(0.9*8760)</f>
        <v/>
      </c>
      <c r="AJ30">
        <f>N30/F30/(0.9*8760)</f>
        <v/>
      </c>
      <c r="AK30">
        <f>O30/F30</f>
        <v/>
      </c>
      <c r="AL30" s="1">
        <f>SUM(AZ30:BD30)-AW30</f>
        <v/>
      </c>
      <c r="AM30" s="1">
        <f>(Q30+R30)*-1*(I30+K30)/F30</f>
        <v/>
      </c>
      <c r="AN30">
        <f>AL30*Q30</f>
        <v/>
      </c>
      <c r="AO30">
        <f>SUM(AZ30:BB30)-AW30</f>
        <v/>
      </c>
      <c r="AP30" s="1">
        <f>(I30+K30)/F30*-1*R30</f>
        <v/>
      </c>
      <c r="AQ30">
        <f>AO30*Q30</f>
        <v/>
      </c>
      <c r="AS30" s="9">
        <f>H30</f>
        <v/>
      </c>
      <c r="AT30" s="10" t="n">
        <v>0.1828908353</v>
      </c>
      <c r="AU30" s="9" t="n">
        <v>0.23037491</v>
      </c>
      <c r="AW30" s="10">
        <f>AS30/F30</f>
        <v/>
      </c>
      <c r="AX30" s="10">
        <f>AT30*G30/F30</f>
        <v/>
      </c>
      <c r="AZ30" s="10">
        <f>AU30</f>
        <v/>
      </c>
      <c r="BA30" s="10">
        <f>J30/F30</f>
        <v/>
      </c>
      <c r="BB30" s="10">
        <f>L30/F30</f>
        <v/>
      </c>
      <c r="BC30" s="10">
        <f>I30/F30</f>
        <v/>
      </c>
      <c r="BD30" s="10">
        <f>K30/F30</f>
        <v/>
      </c>
      <c r="BF30" s="1">
        <f>SUM(AW30:AX30)-SUM(AZ30:BD30)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109.479795</v>
      </c>
      <c r="R31" s="15" t="n">
        <v>-41.717135</v>
      </c>
      <c r="S31" s="15" t="n">
        <v>170</v>
      </c>
      <c r="T31" s="15" t="n">
        <v>104.167382</v>
      </c>
      <c r="U31" s="15" t="n">
        <v>115.526389</v>
      </c>
      <c r="V31" s="15" t="n">
        <v>92.044978</v>
      </c>
      <c r="W31" s="15" t="n">
        <v>30.708173</v>
      </c>
      <c r="X31" s="15" t="n">
        <v>13.422003</v>
      </c>
      <c r="Z31">
        <f>B31</f>
        <v/>
      </c>
      <c r="AA31">
        <f>C31</f>
        <v/>
      </c>
      <c r="AB31" s="11">
        <f>SUM(AE31:AK31)+AM31+AN31</f>
        <v/>
      </c>
      <c r="AC31" s="11">
        <f>SUM(AE31:AK31)+AP31+AQ31</f>
        <v/>
      </c>
      <c r="AD31" s="5">
        <f>AB31-AC31</f>
        <v/>
      </c>
      <c r="AE31">
        <f>D31/F31*W31*-1</f>
        <v/>
      </c>
      <c r="AF31">
        <f>E31/F31*W31</f>
        <v/>
      </c>
      <c r="AG31" s="1">
        <f t="array" ref="AG31">_xlfn.IFS(C31="Biomass_Corn", 1/F31*S31, C31="Biomass_Agri", 1/F31*V31, C31="Biomass_Wood", 1/F31*U31, C31="Biomass_Herb", 1/F31*T31)</f>
        <v/>
      </c>
      <c r="AH31">
        <f>G31/F31*X31</f>
        <v/>
      </c>
      <c r="AI31">
        <f>M31/F31/(0.9*8760)</f>
        <v/>
      </c>
      <c r="AJ31">
        <f>N31/F31/(0.9*8760)</f>
        <v/>
      </c>
      <c r="AK31">
        <f>O31/F31</f>
        <v/>
      </c>
      <c r="AL31" s="1">
        <f>SUM(AZ31:BD31)-AW31</f>
        <v/>
      </c>
      <c r="AM31" s="1">
        <f>(Q31+R31)*-1*(I31+K31)/F31</f>
        <v/>
      </c>
      <c r="AN31">
        <f>AL31*Q31</f>
        <v/>
      </c>
      <c r="AO31">
        <f>SUM(AZ31:BB31)-AW31</f>
        <v/>
      </c>
      <c r="AP31" s="1">
        <f>(I31+K31)/F31*-1*R31</f>
        <v/>
      </c>
      <c r="AQ31">
        <f>AO31*Q31</f>
        <v/>
      </c>
      <c r="AS31" s="9">
        <f>H31</f>
        <v/>
      </c>
      <c r="AT31" s="10" t="n">
        <v>0.1828908353</v>
      </c>
      <c r="AU31" s="9" t="n">
        <v>0.23037491</v>
      </c>
      <c r="AW31" s="10">
        <f>AS31/F31</f>
        <v/>
      </c>
      <c r="AX31" s="10">
        <f>AT31*G31/F31</f>
        <v/>
      </c>
      <c r="AZ31" s="10">
        <f>AU31</f>
        <v/>
      </c>
      <c r="BA31" s="10">
        <f>J31/F31</f>
        <v/>
      </c>
      <c r="BB31" s="10">
        <f>L31/F31</f>
        <v/>
      </c>
      <c r="BC31" s="10">
        <f>I31/F31</f>
        <v/>
      </c>
      <c r="BD31" s="10">
        <f>K31/F31</f>
        <v/>
      </c>
      <c r="BF31" s="1">
        <f>SUM(AW31:AX31)-SUM(AZ31:BD31)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109.479795</v>
      </c>
      <c r="R32" s="15" t="n">
        <v>-47.70091</v>
      </c>
      <c r="S32" s="15" t="n">
        <v>170</v>
      </c>
      <c r="T32" s="15" t="n">
        <v>99.63284299999999</v>
      </c>
      <c r="U32" s="15" t="n">
        <v>113.227017</v>
      </c>
      <c r="V32" s="15" t="n">
        <v>88.855315</v>
      </c>
      <c r="W32" s="15" t="n">
        <v>38.218446</v>
      </c>
      <c r="X32" s="15" t="n">
        <v>13.421908</v>
      </c>
      <c r="Z32">
        <f>B32</f>
        <v/>
      </c>
      <c r="AA32">
        <f>C32</f>
        <v/>
      </c>
      <c r="AB32" s="11">
        <f>SUM(AE32:AK32)+AM32+AN32</f>
        <v/>
      </c>
      <c r="AC32" s="11">
        <f>SUM(AE32:AK32)+AP32+AQ32</f>
        <v/>
      </c>
      <c r="AD32" s="5">
        <f>AB32-AC32</f>
        <v/>
      </c>
      <c r="AE32">
        <f>D32/F32*W32*-1</f>
        <v/>
      </c>
      <c r="AF32">
        <f>E32/F32*W32</f>
        <v/>
      </c>
      <c r="AG32" s="1">
        <f t="array" ref="AG32">_xlfn.IFS(C32="Biomass_Corn", 1/F32*S32, C32="Biomass_Agri", 1/F32*V32, C32="Biomass_Wood", 1/F32*U32, C32="Biomass_Herb", 1/F32*T32)</f>
        <v/>
      </c>
      <c r="AH32">
        <f>G32/F32*X32</f>
        <v/>
      </c>
      <c r="AI32">
        <f>M32/F32/(0.9*8760)</f>
        <v/>
      </c>
      <c r="AJ32">
        <f>N32/F32/(0.9*8760)</f>
        <v/>
      </c>
      <c r="AK32">
        <f>O32/F32</f>
        <v/>
      </c>
      <c r="AL32" s="1">
        <f>SUM(AZ32:BD32)-AW32</f>
        <v/>
      </c>
      <c r="AM32" s="1">
        <f>(Q32+R32)*-1*(I32+K32)/F32</f>
        <v/>
      </c>
      <c r="AN32">
        <f>AL32*Q32</f>
        <v/>
      </c>
      <c r="AO32">
        <f>SUM(AZ32:BB32)-AW32</f>
        <v/>
      </c>
      <c r="AP32" s="1">
        <f>(I32+K32)/F32*-1*R32</f>
        <v/>
      </c>
      <c r="AQ32">
        <f>AO32*Q32</f>
        <v/>
      </c>
      <c r="AS32" s="9">
        <f>H32</f>
        <v/>
      </c>
      <c r="AT32" s="10" t="n">
        <v>0.1828908353</v>
      </c>
      <c r="AU32" s="9" t="n">
        <v>0.23037491</v>
      </c>
      <c r="AW32" s="10">
        <f>AS32/F32</f>
        <v/>
      </c>
      <c r="AX32" s="10">
        <f>AT32*G32/F32</f>
        <v/>
      </c>
      <c r="AZ32" s="10">
        <f>AU32</f>
        <v/>
      </c>
      <c r="BA32" s="10">
        <f>J32/F32</f>
        <v/>
      </c>
      <c r="BB32" s="10">
        <f>L32/F32</f>
        <v/>
      </c>
      <c r="BC32" s="10">
        <f>I32/F32</f>
        <v/>
      </c>
      <c r="BD32" s="10">
        <f>K32/F32</f>
        <v/>
      </c>
      <c r="BF32" s="1">
        <f>SUM(AW32:AX32)-SUM(AZ32:BD32)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109.479795</v>
      </c>
      <c r="R33" s="15" t="n">
        <v>-21.506692</v>
      </c>
      <c r="S33" s="15" t="n">
        <v>170</v>
      </c>
      <c r="T33" s="15" t="n">
        <v>137.934648</v>
      </c>
      <c r="U33" s="15" t="n">
        <v>157.881351</v>
      </c>
      <c r="V33" s="15" t="n">
        <v>111.364845</v>
      </c>
      <c r="W33" s="15" t="n">
        <v>20.230252</v>
      </c>
      <c r="X33" s="15" t="n">
        <v>13.325948</v>
      </c>
      <c r="Z33">
        <f>B33</f>
        <v/>
      </c>
      <c r="AA33">
        <f>C33</f>
        <v/>
      </c>
      <c r="AB33" s="11">
        <f>SUM(AE33:AK33)+AM33+AN33</f>
        <v/>
      </c>
      <c r="AC33" s="11">
        <f>SUM(AE33:AK33)+AP33+AQ33</f>
        <v/>
      </c>
      <c r="AD33" s="5">
        <f>AB33-AC33</f>
        <v/>
      </c>
      <c r="AE33">
        <f>D33/F33*W33*-1</f>
        <v/>
      </c>
      <c r="AF33">
        <f>E33/F33*W33</f>
        <v/>
      </c>
      <c r="AG33" s="1">
        <f t="array" ref="AG33">_xlfn.IFS(C33="Biomass_Corn", 1/F33*S33, C33="Biomass_Agri", 1/F33*V33, C33="Biomass_Wood", 1/F33*U33, C33="Biomass_Herb", 1/F33*T33)</f>
        <v/>
      </c>
      <c r="AH33">
        <f>G33/F33*X33</f>
        <v/>
      </c>
      <c r="AI33">
        <f>M33/F33/(0.9*8760)</f>
        <v/>
      </c>
      <c r="AJ33">
        <f>N33/F33/(0.9*8760)</f>
        <v/>
      </c>
      <c r="AK33">
        <f>O33/F33</f>
        <v/>
      </c>
      <c r="AL33" s="1">
        <f>SUM(AZ33:BD33)-AW33</f>
        <v/>
      </c>
      <c r="AM33" s="1">
        <f>(Q33+R33)*-1*(I33+K33)/F33</f>
        <v/>
      </c>
      <c r="AN33">
        <f>AL33*Q33</f>
        <v/>
      </c>
      <c r="AO33">
        <f>SUM(AZ33:BB33)-AW33</f>
        <v/>
      </c>
      <c r="AP33" s="1">
        <f>(I33+K33)/F33*-1*R33</f>
        <v/>
      </c>
      <c r="AQ33">
        <f>AO33*Q33</f>
        <v/>
      </c>
      <c r="AS33" s="9">
        <f>H33</f>
        <v/>
      </c>
      <c r="AT33" s="10" t="n">
        <v>0.1828908353</v>
      </c>
      <c r="AU33" s="9" t="n">
        <v>0.23037491</v>
      </c>
      <c r="AW33" s="10">
        <f>AS33/F33</f>
        <v/>
      </c>
      <c r="AX33" s="10">
        <f>AT33*G33/F33</f>
        <v/>
      </c>
      <c r="AZ33" s="10">
        <f>AU33</f>
        <v/>
      </c>
      <c r="BA33" s="10">
        <f>J33/F33</f>
        <v/>
      </c>
      <c r="BB33" s="10">
        <f>L33/F33</f>
        <v/>
      </c>
      <c r="BC33" s="10">
        <f>I33/F33</f>
        <v/>
      </c>
      <c r="BD33" s="10">
        <f>K33/F33</f>
        <v/>
      </c>
      <c r="BF33" s="1">
        <f>SUM(AW33:AX33)-SUM(AZ33:BD33)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109.479795</v>
      </c>
      <c r="R34" s="15" t="n">
        <v>-31.70346</v>
      </c>
      <c r="S34" s="15" t="n">
        <v>170</v>
      </c>
      <c r="T34" s="15" t="n">
        <v>110.461518</v>
      </c>
      <c r="U34" s="15" t="n">
        <v>127.408748</v>
      </c>
      <c r="V34" s="15" t="n">
        <v>98.83247799999999</v>
      </c>
      <c r="W34" s="15" t="n">
        <v>25.324637</v>
      </c>
      <c r="X34" s="15" t="n">
        <v>13.421913</v>
      </c>
      <c r="Z34">
        <f>B34</f>
        <v/>
      </c>
      <c r="AA34">
        <f>C34</f>
        <v/>
      </c>
      <c r="AB34" s="11">
        <f>SUM(AE34:AK34)+AM34+AN34</f>
        <v/>
      </c>
      <c r="AC34" s="11">
        <f>SUM(AE34:AK34)+AP34+AQ34</f>
        <v/>
      </c>
      <c r="AD34" s="5">
        <f>AB34-AC34</f>
        <v/>
      </c>
      <c r="AE34">
        <f>D34/F34*W34*-1</f>
        <v/>
      </c>
      <c r="AF34">
        <f>E34/F34*W34</f>
        <v/>
      </c>
      <c r="AG34" s="1">
        <f t="array" ref="AG34">_xlfn.IFS(C34="Biomass_Corn", 1/F34*S34, C34="Biomass_Agri", 1/F34*V34, C34="Biomass_Wood", 1/F34*U34, C34="Biomass_Herb", 1/F34*T34)</f>
        <v/>
      </c>
      <c r="AH34">
        <f>G34/F34*X34</f>
        <v/>
      </c>
      <c r="AI34">
        <f>M34/F34/(0.9*8760)</f>
        <v/>
      </c>
      <c r="AJ34">
        <f>N34/F34/(0.9*8760)</f>
        <v/>
      </c>
      <c r="AK34">
        <f>O34/F34</f>
        <v/>
      </c>
      <c r="AL34" s="1">
        <f>SUM(AZ34:BD34)-AW34</f>
        <v/>
      </c>
      <c r="AM34" s="1">
        <f>(Q34+R34)*-1*(I34+K34)/F34</f>
        <v/>
      </c>
      <c r="AN34">
        <f>AL34*Q34</f>
        <v/>
      </c>
      <c r="AO34">
        <f>SUM(AZ34:BB34)-AW34</f>
        <v/>
      </c>
      <c r="AP34" s="1">
        <f>(I34+K34)/F34*-1*R34</f>
        <v/>
      </c>
      <c r="AQ34">
        <f>AO34*Q34</f>
        <v/>
      </c>
      <c r="AS34" s="9">
        <f>H34</f>
        <v/>
      </c>
      <c r="AT34" s="10" t="n">
        <v>0.1828908353</v>
      </c>
      <c r="AU34" s="9" t="n">
        <v>0.23037491</v>
      </c>
      <c r="AW34" s="10">
        <f>AS34/F34</f>
        <v/>
      </c>
      <c r="AX34" s="10">
        <f>AT34*G34/F34</f>
        <v/>
      </c>
      <c r="AZ34" s="10">
        <f>AU34</f>
        <v/>
      </c>
      <c r="BA34" s="10">
        <f>J34/F34</f>
        <v/>
      </c>
      <c r="BB34" s="10">
        <f>L34/F34</f>
        <v/>
      </c>
      <c r="BC34" s="10">
        <f>I34/F34</f>
        <v/>
      </c>
      <c r="BD34" s="10">
        <f>K34/F34</f>
        <v/>
      </c>
      <c r="BF34" s="1">
        <f>SUM(AW34:AX34)-SUM(AZ34:BD34)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109.479795</v>
      </c>
      <c r="R35" s="15" t="n">
        <v>-54.115443</v>
      </c>
      <c r="S35" s="15" t="n">
        <v>170</v>
      </c>
      <c r="T35" s="15" t="n">
        <v>100.773744</v>
      </c>
      <c r="U35" s="15" t="n">
        <v>108.668072</v>
      </c>
      <c r="V35" s="15" t="n">
        <v>89.424565</v>
      </c>
      <c r="W35" s="15" t="n">
        <v>39.359472</v>
      </c>
      <c r="X35" s="15" t="n">
        <v>13.423122</v>
      </c>
      <c r="Z35">
        <f>B35</f>
        <v/>
      </c>
      <c r="AA35">
        <f>C35</f>
        <v/>
      </c>
      <c r="AB35" s="11">
        <f>SUM(AE35:AK35)+AM35+AN35</f>
        <v/>
      </c>
      <c r="AC35" s="11">
        <f>SUM(AE35:AK35)+AP35+AQ35</f>
        <v/>
      </c>
      <c r="AD35" s="5">
        <f>AB35-AC35</f>
        <v/>
      </c>
      <c r="AE35">
        <f>D35/F35*W35*-1</f>
        <v/>
      </c>
      <c r="AF35">
        <f>E35/F35*W35</f>
        <v/>
      </c>
      <c r="AG35" s="1">
        <f t="array" ref="AG35">_xlfn.IFS(C35="Biomass_Corn", 1/F35*S35, C35="Biomass_Agri", 1/F35*V35, C35="Biomass_Wood", 1/F35*U35, C35="Biomass_Herb", 1/F35*T35)</f>
        <v/>
      </c>
      <c r="AH35">
        <f>G35/F35*X35</f>
        <v/>
      </c>
      <c r="AI35">
        <f>M35/F35/(0.9*8760)</f>
        <v/>
      </c>
      <c r="AJ35">
        <f>N35/F35/(0.9*8760)</f>
        <v/>
      </c>
      <c r="AK35">
        <f>O35/F35</f>
        <v/>
      </c>
      <c r="AL35" s="1">
        <f>SUM(AZ35:BD35)-AW35</f>
        <v/>
      </c>
      <c r="AM35" s="1">
        <f>(Q35+R35)*-1*(I35+K35)/F35</f>
        <v/>
      </c>
      <c r="AN35">
        <f>AL35*Q35</f>
        <v/>
      </c>
      <c r="AO35">
        <f>SUM(AZ35:BB35)-AW35</f>
        <v/>
      </c>
      <c r="AP35" s="1">
        <f>(I35+K35)/F35*-1*R35</f>
        <v/>
      </c>
      <c r="AQ35">
        <f>AO35*Q35</f>
        <v/>
      </c>
      <c r="AS35" s="9">
        <f>H35</f>
        <v/>
      </c>
      <c r="AT35" s="10" t="n">
        <v>0.1828908353</v>
      </c>
      <c r="AU35" s="9" t="n">
        <v>0.23037491</v>
      </c>
      <c r="AW35" s="10">
        <f>AS35/F35</f>
        <v/>
      </c>
      <c r="AX35" s="10">
        <f>AT35*G35/F35</f>
        <v/>
      </c>
      <c r="AZ35" s="10">
        <f>AU35</f>
        <v/>
      </c>
      <c r="BA35" s="10">
        <f>J35/F35</f>
        <v/>
      </c>
      <c r="BB35" s="10">
        <f>L35/F35</f>
        <v/>
      </c>
      <c r="BC35" s="10">
        <f>I35/F35</f>
        <v/>
      </c>
      <c r="BD35" s="10">
        <f>K35/F35</f>
        <v/>
      </c>
      <c r="BF35" s="1">
        <f>SUM(AW35:AX35)-SUM(AZ35:BD35)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109.479795</v>
      </c>
      <c r="R36" s="15" t="n">
        <v>-41.717135</v>
      </c>
      <c r="S36" s="15" t="n">
        <v>170</v>
      </c>
      <c r="T36" s="15" t="n">
        <v>104.167382</v>
      </c>
      <c r="U36" s="15" t="n">
        <v>115.526389</v>
      </c>
      <c r="V36" s="15" t="n">
        <v>92.044978</v>
      </c>
      <c r="W36" s="15" t="n">
        <v>30.708173</v>
      </c>
      <c r="X36" s="15" t="n">
        <v>13.422003</v>
      </c>
      <c r="Z36">
        <f>B36</f>
        <v/>
      </c>
      <c r="AA36">
        <f>C36</f>
        <v/>
      </c>
      <c r="AB36" s="11">
        <f>SUM(AE36:AK36)+AM36+AN36</f>
        <v/>
      </c>
      <c r="AC36" s="11">
        <f>SUM(AE36:AK36)+AP36+AQ36</f>
        <v/>
      </c>
      <c r="AD36" s="5">
        <f>AB36-AC36</f>
        <v/>
      </c>
      <c r="AE36">
        <f>D36/F36*W36*-1</f>
        <v/>
      </c>
      <c r="AF36">
        <f>E36/F36*W36</f>
        <v/>
      </c>
      <c r="AG36" s="1">
        <f t="array" ref="AG36">_xlfn.IFS(C36="Biomass_Corn", 1/F36*S36, C36="Biomass_Agri", 1/F36*V36, C36="Biomass_Wood", 1/F36*U36, C36="Biomass_Herb", 1/F36*T36)</f>
        <v/>
      </c>
      <c r="AH36">
        <f>G36/F36*X36</f>
        <v/>
      </c>
      <c r="AI36">
        <f>M36/F36/(0.9*8760)</f>
        <v/>
      </c>
      <c r="AJ36">
        <f>N36/F36/(0.9*8760)</f>
        <v/>
      </c>
      <c r="AK36">
        <f>O36/F36</f>
        <v/>
      </c>
      <c r="AL36" s="1">
        <f>SUM(AZ36:BD36)-AW36</f>
        <v/>
      </c>
      <c r="AM36" s="1">
        <f>(Q36+R36)*-1*(I36+K36)/F36</f>
        <v/>
      </c>
      <c r="AN36">
        <f>AL36*Q36</f>
        <v/>
      </c>
      <c r="AO36">
        <f>SUM(AZ36:BB36)-AW36</f>
        <v/>
      </c>
      <c r="AP36" s="1">
        <f>(I36+K36)/F36*-1*R36</f>
        <v/>
      </c>
      <c r="AQ36">
        <f>AO36*Q36</f>
        <v/>
      </c>
      <c r="AS36" s="9">
        <f>H36</f>
        <v/>
      </c>
      <c r="AT36" s="10" t="n">
        <v>0.1828908353</v>
      </c>
      <c r="AU36" s="9" t="n">
        <v>0.23037491</v>
      </c>
      <c r="AW36" s="10">
        <f>AS36/F36</f>
        <v/>
      </c>
      <c r="AX36" s="10">
        <f>AT36*G36/F36</f>
        <v/>
      </c>
      <c r="AZ36" s="10">
        <f>AU36</f>
        <v/>
      </c>
      <c r="BA36" s="10">
        <f>J36/F36</f>
        <v/>
      </c>
      <c r="BB36" s="10">
        <f>L36/F36</f>
        <v/>
      </c>
      <c r="BC36" s="10">
        <f>I36/F36</f>
        <v/>
      </c>
      <c r="BD36" s="10">
        <f>K36/F36</f>
        <v/>
      </c>
      <c r="BF36" s="1">
        <f>SUM(AW36:AX36)-SUM(AZ36:BD36)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109.479795</v>
      </c>
      <c r="R37" s="15" t="n">
        <v>-47.70091</v>
      </c>
      <c r="S37" s="15" t="n">
        <v>170</v>
      </c>
      <c r="T37" s="15" t="n">
        <v>99.63284299999999</v>
      </c>
      <c r="U37" s="15" t="n">
        <v>113.227017</v>
      </c>
      <c r="V37" s="15" t="n">
        <v>88.855315</v>
      </c>
      <c r="W37" s="15" t="n">
        <v>38.218446</v>
      </c>
      <c r="X37" s="15" t="n">
        <v>13.421908</v>
      </c>
      <c r="Z37">
        <f>B37</f>
        <v/>
      </c>
      <c r="AA37">
        <f>C37</f>
        <v/>
      </c>
      <c r="AB37" s="11">
        <f>SUM(AE37:AK37)+AM37+AN37</f>
        <v/>
      </c>
      <c r="AC37" s="11">
        <f>SUM(AE37:AK37)+AP37+AQ37</f>
        <v/>
      </c>
      <c r="AD37" s="5">
        <f>AB37-AC37</f>
        <v/>
      </c>
      <c r="AE37">
        <f>D37/F37*W37*-1</f>
        <v/>
      </c>
      <c r="AF37">
        <f>E37/F37*W37</f>
        <v/>
      </c>
      <c r="AG37" s="1">
        <f t="array" ref="AG37">_xlfn.IFS(C37="Biomass_Corn", 1/F37*S37, C37="Biomass_Agri", 1/F37*V37, C37="Biomass_Wood", 1/F37*U37, C37="Biomass_Herb", 1/F37*T37)</f>
        <v/>
      </c>
      <c r="AH37">
        <f>G37/F37*X37</f>
        <v/>
      </c>
      <c r="AI37">
        <f>M37/F37/(0.9*8760)</f>
        <v/>
      </c>
      <c r="AJ37">
        <f>N37/F37/(0.9*8760)</f>
        <v/>
      </c>
      <c r="AK37">
        <f>O37/F37</f>
        <v/>
      </c>
      <c r="AL37" s="1">
        <f>SUM(AZ37:BD37)-AW37</f>
        <v/>
      </c>
      <c r="AM37" s="1">
        <f>(Q37+R37)*-1*(I37+K37)/F37</f>
        <v/>
      </c>
      <c r="AN37">
        <f>AL37*Q37</f>
        <v/>
      </c>
      <c r="AO37">
        <f>SUM(AZ37:BB37)-AW37</f>
        <v/>
      </c>
      <c r="AP37" s="1">
        <f>(I37+K37)/F37*-1*R37</f>
        <v/>
      </c>
      <c r="AQ37">
        <f>AO37*Q37</f>
        <v/>
      </c>
      <c r="AS37" s="9">
        <f>H37</f>
        <v/>
      </c>
      <c r="AT37" s="10" t="n">
        <v>0.1828908353</v>
      </c>
      <c r="AU37" s="9" t="n">
        <v>0.23037491</v>
      </c>
      <c r="AW37" s="10">
        <f>AS37/F37</f>
        <v/>
      </c>
      <c r="AX37" s="10">
        <f>AT37*G37/F37</f>
        <v/>
      </c>
      <c r="AZ37" s="10">
        <f>AU37</f>
        <v/>
      </c>
      <c r="BA37" s="10">
        <f>J37/F37</f>
        <v/>
      </c>
      <c r="BB37" s="10">
        <f>L37/F37</f>
        <v/>
      </c>
      <c r="BC37" s="10">
        <f>I37/F37</f>
        <v/>
      </c>
      <c r="BD37" s="10">
        <f>K37/F37</f>
        <v/>
      </c>
      <c r="BF37" s="1">
        <f>SUM(AW37:AX37)-SUM(AZ37:BD37)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109.479795</v>
      </c>
      <c r="R38" s="15" t="n">
        <v>-21.506692</v>
      </c>
      <c r="S38" s="15" t="n">
        <v>170</v>
      </c>
      <c r="T38" s="15" t="n">
        <v>137.934648</v>
      </c>
      <c r="U38" s="15" t="n">
        <v>157.881351</v>
      </c>
      <c r="V38" s="15" t="n">
        <v>111.364845</v>
      </c>
      <c r="W38" s="15" t="n">
        <v>20.230252</v>
      </c>
      <c r="X38" s="15" t="n">
        <v>13.325948</v>
      </c>
      <c r="Z38">
        <f>B38</f>
        <v/>
      </c>
      <c r="AA38">
        <f>C38</f>
        <v/>
      </c>
      <c r="AB38" s="11">
        <f>SUM(AE38:AK38)+AM38+AN38</f>
        <v/>
      </c>
      <c r="AC38" s="11">
        <f>SUM(AE38:AK38)+AP38+AQ38</f>
        <v/>
      </c>
      <c r="AD38" s="5">
        <f>AB38-AC38</f>
        <v/>
      </c>
      <c r="AE38">
        <f>D38/F38*W38*-1</f>
        <v/>
      </c>
      <c r="AF38">
        <f>E38/F38*W38</f>
        <v/>
      </c>
      <c r="AG38" s="1">
        <f t="array" ref="AG38">_xlfn.IFS(C38="Biomass_Corn", 1/F38*S38, C38="Biomass_Agri", 1/F38*V38, C38="Biomass_Wood", 1/F38*U38, C38="Biomass_Herb", 1/F38*T38)</f>
        <v/>
      </c>
      <c r="AH38">
        <f>G38/F38*X38</f>
        <v/>
      </c>
      <c r="AI38">
        <f>M38/F38/(0.9*8760)</f>
        <v/>
      </c>
      <c r="AJ38">
        <f>N38/F38/(0.9*8760)</f>
        <v/>
      </c>
      <c r="AK38">
        <f>O38/F38</f>
        <v/>
      </c>
      <c r="AL38" s="1">
        <f>SUM(AZ38:BD38)-AW38</f>
        <v/>
      </c>
      <c r="AM38" s="1">
        <f>(Q38+R38)*-1*(I38+K38)/F38</f>
        <v/>
      </c>
      <c r="AN38">
        <f>AL38*Q38</f>
        <v/>
      </c>
      <c r="AO38">
        <f>SUM(AZ38:BB38)-AW38</f>
        <v/>
      </c>
      <c r="AP38" s="1">
        <f>(I38+K38)/F38*-1*R38</f>
        <v/>
      </c>
      <c r="AQ38">
        <f>AO38*Q38</f>
        <v/>
      </c>
      <c r="AS38" s="9">
        <f>H38</f>
        <v/>
      </c>
      <c r="AT38" s="10" t="n">
        <v>0.1828908353</v>
      </c>
      <c r="AU38" s="9" t="n">
        <v>0.23037491</v>
      </c>
      <c r="AW38" s="10">
        <f>AS38/F38</f>
        <v/>
      </c>
      <c r="AX38" s="10">
        <f>AT38*G38/F38</f>
        <v/>
      </c>
      <c r="AZ38" s="10">
        <f>AU38</f>
        <v/>
      </c>
      <c r="BA38" s="10">
        <f>J38/F38</f>
        <v/>
      </c>
      <c r="BB38" s="10">
        <f>L38/F38</f>
        <v/>
      </c>
      <c r="BC38" s="10">
        <f>I38/F38</f>
        <v/>
      </c>
      <c r="BD38" s="10">
        <f>K38/F38</f>
        <v/>
      </c>
      <c r="BF38" s="1">
        <f>SUM(AW38:AX38)-SUM(AZ38:BD38)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109.479795</v>
      </c>
      <c r="R39" s="15" t="n">
        <v>-31.70346</v>
      </c>
      <c r="S39" s="15" t="n">
        <v>170</v>
      </c>
      <c r="T39" s="15" t="n">
        <v>110.461518</v>
      </c>
      <c r="U39" s="15" t="n">
        <v>127.408748</v>
      </c>
      <c r="V39" s="15" t="n">
        <v>98.83247799999999</v>
      </c>
      <c r="W39" s="15" t="n">
        <v>25.324637</v>
      </c>
      <c r="X39" s="15" t="n">
        <v>13.421913</v>
      </c>
      <c r="Z39">
        <f>B39</f>
        <v/>
      </c>
      <c r="AA39">
        <f>C39</f>
        <v/>
      </c>
      <c r="AB39" s="11">
        <f>SUM(AE39:AK39)+AM39+AN39</f>
        <v/>
      </c>
      <c r="AC39" s="11">
        <f>SUM(AE39:AK39)+AP39+AQ39</f>
        <v/>
      </c>
      <c r="AD39" s="5">
        <f>AB39-AC39</f>
        <v/>
      </c>
      <c r="AE39">
        <f>D39/F39*W39*-1</f>
        <v/>
      </c>
      <c r="AF39">
        <f>E39/F39*W39</f>
        <v/>
      </c>
      <c r="AG39" s="1">
        <f t="array" ref="AG39">_xlfn.IFS(C39="Biomass_Corn", 1/F39*S39, C39="Biomass_Agri", 1/F39*V39, C39="Biomass_Wood", 1/F39*U39, C39="Biomass_Herb", 1/F39*T39)</f>
        <v/>
      </c>
      <c r="AH39">
        <f>G39/F39*X39</f>
        <v/>
      </c>
      <c r="AI39">
        <f>M39/F39/(0.9*8760)</f>
        <v/>
      </c>
      <c r="AJ39">
        <f>N39/F39/(0.9*8760)</f>
        <v/>
      </c>
      <c r="AK39">
        <f>O39/F39</f>
        <v/>
      </c>
      <c r="AL39" s="1">
        <f>SUM(AZ39:BD39)-AW39</f>
        <v/>
      </c>
      <c r="AM39" s="1">
        <f>(Q39+R39)*-1*(I39+K39)/F39</f>
        <v/>
      </c>
      <c r="AN39">
        <f>AL39*Q39</f>
        <v/>
      </c>
      <c r="AO39">
        <f>SUM(AZ39:BB39)-AW39</f>
        <v/>
      </c>
      <c r="AP39" s="1">
        <f>(I39+K39)/F39*-1*R39</f>
        <v/>
      </c>
      <c r="AQ39">
        <f>AO39*Q39</f>
        <v/>
      </c>
      <c r="AS39" s="9">
        <f>H39</f>
        <v/>
      </c>
      <c r="AT39" s="10" t="n">
        <v>0.1828908353</v>
      </c>
      <c r="AU39" s="9" t="n">
        <v>0.23037491</v>
      </c>
      <c r="AW39" s="10">
        <f>AS39/F39</f>
        <v/>
      </c>
      <c r="AX39" s="10">
        <f>AT39*G39/F39</f>
        <v/>
      </c>
      <c r="AZ39" s="10">
        <f>AU39</f>
        <v/>
      </c>
      <c r="BA39" s="10">
        <f>J39/F39</f>
        <v/>
      </c>
      <c r="BB39" s="10">
        <f>L39/F39</f>
        <v/>
      </c>
      <c r="BC39" s="10">
        <f>I39/F39</f>
        <v/>
      </c>
      <c r="BD39" s="10">
        <f>K39/F39</f>
        <v/>
      </c>
      <c r="BF39" s="1">
        <f>SUM(AW39:AX39)-SUM(AZ39:BD39)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109.479795</v>
      </c>
      <c r="R40" s="15" t="n">
        <v>-54.115443</v>
      </c>
      <c r="S40" s="15" t="n">
        <v>170</v>
      </c>
      <c r="T40" s="15" t="n">
        <v>100.773744</v>
      </c>
      <c r="U40" s="15" t="n">
        <v>108.668072</v>
      </c>
      <c r="V40" s="15" t="n">
        <v>89.424565</v>
      </c>
      <c r="W40" s="15" t="n">
        <v>39.359472</v>
      </c>
      <c r="X40" s="15" t="n">
        <v>13.423122</v>
      </c>
      <c r="Z40">
        <f>B40</f>
        <v/>
      </c>
      <c r="AA40">
        <f>C40</f>
        <v/>
      </c>
      <c r="AB40" s="11">
        <f>SUM(AE40:AK40)+AM40+AN40</f>
        <v/>
      </c>
      <c r="AC40" s="11">
        <f>SUM(AE40:AK40)+AP40+AQ40</f>
        <v/>
      </c>
      <c r="AD40" s="5">
        <f>AB40-AC40</f>
        <v/>
      </c>
      <c r="AE40">
        <f>D40/F40*W40*-1</f>
        <v/>
      </c>
      <c r="AF40">
        <f>E40/F40*W40</f>
        <v/>
      </c>
      <c r="AG40" s="1">
        <f t="array" ref="AG40">_xlfn.IFS(C40="Biomass_Corn", 1/F40*S40, C40="Biomass_Agri", 1/F40*V40, C40="Biomass_Wood", 1/F40*U40, C40="Biomass_Herb", 1/F40*T40)</f>
        <v/>
      </c>
      <c r="AH40">
        <f>G40/F40*X40</f>
        <v/>
      </c>
      <c r="AI40">
        <f>M40/F40/(0.9*8760)</f>
        <v/>
      </c>
      <c r="AJ40">
        <f>N40/F40/(0.9*8760)</f>
        <v/>
      </c>
      <c r="AK40">
        <f>O40/F40</f>
        <v/>
      </c>
      <c r="AL40" s="1">
        <f>SUM(AZ40:BD40)-AW40</f>
        <v/>
      </c>
      <c r="AM40" s="1">
        <f>(Q40+R40)*-1*(I40+K40)/F40</f>
        <v/>
      </c>
      <c r="AN40">
        <f>AL40*Q40</f>
        <v/>
      </c>
      <c r="AO40">
        <f>SUM(AZ40:BB40)-AW40</f>
        <v/>
      </c>
      <c r="AP40" s="1">
        <f>(I40+K40)/F40*-1*R40</f>
        <v/>
      </c>
      <c r="AQ40">
        <f>AO40*Q40</f>
        <v/>
      </c>
      <c r="AS40" s="9">
        <f>H40</f>
        <v/>
      </c>
      <c r="AT40" s="10" t="n">
        <v>0.1828908353</v>
      </c>
      <c r="AU40" s="9" t="n">
        <v>0.23037491</v>
      </c>
      <c r="AW40" s="10">
        <f>AS40/F40</f>
        <v/>
      </c>
      <c r="AX40" s="10">
        <f>AT40*G40/F40</f>
        <v/>
      </c>
      <c r="AZ40" s="10">
        <f>AU40</f>
        <v/>
      </c>
      <c r="BA40" s="10">
        <f>J40/F40</f>
        <v/>
      </c>
      <c r="BB40" s="10">
        <f>L40/F40</f>
        <v/>
      </c>
      <c r="BC40" s="10">
        <f>I40/F40</f>
        <v/>
      </c>
      <c r="BD40" s="10">
        <f>K40/F40</f>
        <v/>
      </c>
      <c r="BF40" s="1">
        <f>SUM(AW40:AX40)-SUM(AZ40:BD40)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109.479795</v>
      </c>
      <c r="R41" s="15" t="n">
        <v>-41.717135</v>
      </c>
      <c r="S41" s="15" t="n">
        <v>170</v>
      </c>
      <c r="T41" s="15" t="n">
        <v>104.167382</v>
      </c>
      <c r="U41" s="15" t="n">
        <v>115.526389</v>
      </c>
      <c r="V41" s="15" t="n">
        <v>92.044978</v>
      </c>
      <c r="W41" s="15" t="n">
        <v>30.708173</v>
      </c>
      <c r="X41" s="15" t="n">
        <v>13.422003</v>
      </c>
      <c r="Z41">
        <f>B41</f>
        <v/>
      </c>
      <c r="AA41">
        <f>C41</f>
        <v/>
      </c>
      <c r="AB41" s="11">
        <f>SUM(AE41:AK41)+AM41+AN41</f>
        <v/>
      </c>
      <c r="AC41" s="11">
        <f>SUM(AE41:AK41)+AP41+AQ41</f>
        <v/>
      </c>
      <c r="AD41" s="5">
        <f>AB41-AC41</f>
        <v/>
      </c>
      <c r="AE41">
        <f>D41/F41*W41*-1</f>
        <v/>
      </c>
      <c r="AF41">
        <f>E41/F41*W41</f>
        <v/>
      </c>
      <c r="AG41" s="1">
        <f t="array" ref="AG41">_xlfn.IFS(C41="Biomass_Corn", 1/F41*S41, C41="Biomass_Agri", 1/F41*V41, C41="Biomass_Wood", 1/F41*U41, C41="Biomass_Herb", 1/F41*T41)</f>
        <v/>
      </c>
      <c r="AH41">
        <f>G41/F41*X41</f>
        <v/>
      </c>
      <c r="AI41">
        <f>M41/F41/(0.9*8760)</f>
        <v/>
      </c>
      <c r="AJ41">
        <f>N41/F41/(0.9*8760)</f>
        <v/>
      </c>
      <c r="AK41">
        <f>O41/F41</f>
        <v/>
      </c>
      <c r="AL41" s="1">
        <f>SUM(AZ41:BD41)-AW41</f>
        <v/>
      </c>
      <c r="AM41" s="1">
        <f>(Q41+R41)*-1*(I41+K41)/F41</f>
        <v/>
      </c>
      <c r="AN41">
        <f>AL41*Q41</f>
        <v/>
      </c>
      <c r="AO41">
        <f>SUM(AZ41:BB41)-AW41</f>
        <v/>
      </c>
      <c r="AP41" s="1">
        <f>(I41+K41)/F41*-1*R41</f>
        <v/>
      </c>
      <c r="AQ41">
        <f>AO41*Q41</f>
        <v/>
      </c>
      <c r="AS41" s="9">
        <f>H41</f>
        <v/>
      </c>
      <c r="AT41" s="10" t="n">
        <v>0.1828908353</v>
      </c>
      <c r="AU41" s="9" t="n">
        <v>0.23037491</v>
      </c>
      <c r="AW41" s="10">
        <f>AS41/F41</f>
        <v/>
      </c>
      <c r="AX41" s="10">
        <f>AT41*G41/F41</f>
        <v/>
      </c>
      <c r="AZ41" s="10">
        <f>AU41</f>
        <v/>
      </c>
      <c r="BA41" s="10">
        <f>J41/F41</f>
        <v/>
      </c>
      <c r="BB41" s="10">
        <f>L41/F41</f>
        <v/>
      </c>
      <c r="BC41" s="10">
        <f>I41/F41</f>
        <v/>
      </c>
      <c r="BD41" s="10">
        <f>K41/F41</f>
        <v/>
      </c>
      <c r="BF41" s="1">
        <f>SUM(AW41:AX41)-SUM(AZ41:BD41)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109.479795</v>
      </c>
      <c r="R42" s="15" t="n">
        <v>-47.70091</v>
      </c>
      <c r="S42" s="15" t="n">
        <v>170</v>
      </c>
      <c r="T42" s="15" t="n">
        <v>99.63284299999999</v>
      </c>
      <c r="U42" s="15" t="n">
        <v>113.227017</v>
      </c>
      <c r="V42" s="15" t="n">
        <v>88.855315</v>
      </c>
      <c r="W42" s="15" t="n">
        <v>38.218446</v>
      </c>
      <c r="X42" s="15" t="n">
        <v>13.421908</v>
      </c>
      <c r="Z42">
        <f>B42</f>
        <v/>
      </c>
      <c r="AA42">
        <f>C42</f>
        <v/>
      </c>
      <c r="AB42" s="11">
        <f>SUM(AE42:AK42)+AM42+AN42</f>
        <v/>
      </c>
      <c r="AC42" s="11">
        <f>SUM(AE42:AK42)+AP42+AQ42</f>
        <v/>
      </c>
      <c r="AD42" s="5">
        <f>AB42-AC42</f>
        <v/>
      </c>
      <c r="AE42">
        <f>D42/F42*W42*-1</f>
        <v/>
      </c>
      <c r="AF42">
        <f>E42/F42*W42</f>
        <v/>
      </c>
      <c r="AG42" s="1">
        <f t="array" ref="AG42">_xlfn.IFS(C42="Biomass_Corn", 1/F42*S42, C42="Biomass_Agri", 1/F42*V42, C42="Biomass_Wood", 1/F42*U42, C42="Biomass_Herb", 1/F42*T42)</f>
        <v/>
      </c>
      <c r="AH42">
        <f>G42/F42*X42</f>
        <v/>
      </c>
      <c r="AI42">
        <f>M42/F42/(0.9*8760)</f>
        <v/>
      </c>
      <c r="AJ42">
        <f>N42/F42/(0.9*8760)</f>
        <v/>
      </c>
      <c r="AK42">
        <f>O42/F42</f>
        <v/>
      </c>
      <c r="AL42" s="1">
        <f>SUM(AZ42:BD42)-AW42</f>
        <v/>
      </c>
      <c r="AM42" s="1">
        <f>(Q42+R42)*-1*(I42+K42)/F42</f>
        <v/>
      </c>
      <c r="AN42">
        <f>AL42*Q42</f>
        <v/>
      </c>
      <c r="AO42">
        <f>SUM(AZ42:BB42)-AW42</f>
        <v/>
      </c>
      <c r="AP42" s="1">
        <f>(I42+K42)/F42*-1*R42</f>
        <v/>
      </c>
      <c r="AQ42">
        <f>AO42*Q42</f>
        <v/>
      </c>
      <c r="AS42" s="9">
        <f>H42</f>
        <v/>
      </c>
      <c r="AT42" s="10" t="n">
        <v>0.1828908353</v>
      </c>
      <c r="AU42" s="9" t="n">
        <v>0.23037491</v>
      </c>
      <c r="AW42" s="10">
        <f>AS42/F42</f>
        <v/>
      </c>
      <c r="AX42" s="10">
        <f>AT42*G42/F42</f>
        <v/>
      </c>
      <c r="AZ42" s="10">
        <f>AU42</f>
        <v/>
      </c>
      <c r="BA42" s="10">
        <f>J42/F42</f>
        <v/>
      </c>
      <c r="BB42" s="10">
        <f>L42/F42</f>
        <v/>
      </c>
      <c r="BC42" s="10">
        <f>I42/F42</f>
        <v/>
      </c>
      <c r="BD42" s="10">
        <f>K42/F42</f>
        <v/>
      </c>
      <c r="BF42" s="1">
        <f>SUM(AW42:AX42)-SUM(AZ42:BD42)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109.479795</v>
      </c>
      <c r="R43" s="15" t="n">
        <v>-21.506692</v>
      </c>
      <c r="S43" s="15" t="n">
        <v>170</v>
      </c>
      <c r="T43" s="15" t="n">
        <v>137.934648</v>
      </c>
      <c r="U43" s="15" t="n">
        <v>157.881351</v>
      </c>
      <c r="V43" s="15" t="n">
        <v>111.364845</v>
      </c>
      <c r="W43" s="15" t="n">
        <v>20.230252</v>
      </c>
      <c r="X43" s="15" t="n">
        <v>13.325948</v>
      </c>
      <c r="Z43">
        <f>B43</f>
        <v/>
      </c>
      <c r="AA43">
        <f>C43</f>
        <v/>
      </c>
      <c r="AB43" s="11">
        <f>SUM(AE43:AK43)+AM43+AN43</f>
        <v/>
      </c>
      <c r="AC43" s="11">
        <f>SUM(AE43:AK43)+AP43+AQ43</f>
        <v/>
      </c>
      <c r="AD43" s="5">
        <f>AB43-AC43</f>
        <v/>
      </c>
      <c r="AE43">
        <f>D43/F43*W43*-1</f>
        <v/>
      </c>
      <c r="AF43">
        <f>E43/F43*W43</f>
        <v/>
      </c>
      <c r="AG43" s="1">
        <f t="array" ref="AG43">_xlfn.IFS(C43="Biomass_Corn", 1/F43*S43, C43="Biomass_Agri", 1/F43*V43, C43="Biomass_Wood", 1/F43*U43, C43="Biomass_Herb", 1/F43*T43)</f>
        <v/>
      </c>
      <c r="AH43">
        <f>G43/F43*X43</f>
        <v/>
      </c>
      <c r="AI43">
        <f>M43/F43/(0.9*8760)</f>
        <v/>
      </c>
      <c r="AJ43">
        <f>N43/F43/(0.9*8760)</f>
        <v/>
      </c>
      <c r="AK43">
        <f>O43/F43</f>
        <v/>
      </c>
      <c r="AL43" s="1">
        <f>SUM(AZ43:BD43)-AW43</f>
        <v/>
      </c>
      <c r="AM43" s="1">
        <f>(Q43+R43)*-1*(I43+K43)/F43</f>
        <v/>
      </c>
      <c r="AN43">
        <f>AL43*Q43</f>
        <v/>
      </c>
      <c r="AO43">
        <f>SUM(AZ43:BB43)-AW43</f>
        <v/>
      </c>
      <c r="AP43" s="1">
        <f>(I43+K43)/F43*-1*R43</f>
        <v/>
      </c>
      <c r="AQ43">
        <f>AO43*Q43</f>
        <v/>
      </c>
      <c r="AS43" s="9">
        <f>H43</f>
        <v/>
      </c>
      <c r="AT43" s="10" t="n">
        <v>0.1828908353</v>
      </c>
      <c r="AU43" s="9" t="n">
        <v>0.23037491</v>
      </c>
      <c r="AW43" s="10">
        <f>AS43/F43</f>
        <v/>
      </c>
      <c r="AX43" s="10">
        <f>AT43*G43/F43</f>
        <v/>
      </c>
      <c r="AZ43" s="10">
        <f>AU43</f>
        <v/>
      </c>
      <c r="BA43" s="10">
        <f>J43/F43</f>
        <v/>
      </c>
      <c r="BB43" s="10">
        <f>L43/F43</f>
        <v/>
      </c>
      <c r="BC43" s="10">
        <f>I43/F43</f>
        <v/>
      </c>
      <c r="BD43" s="10">
        <f>K43/F43</f>
        <v/>
      </c>
      <c r="BF43" s="1">
        <f>SUM(AW43:AX43)-SUM(AZ43:BD43)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109.479795</v>
      </c>
      <c r="R44" s="15" t="n">
        <v>-31.70346</v>
      </c>
      <c r="S44" s="15" t="n">
        <v>170</v>
      </c>
      <c r="T44" s="15" t="n">
        <v>110.461518</v>
      </c>
      <c r="U44" s="15" t="n">
        <v>127.408748</v>
      </c>
      <c r="V44" s="15" t="n">
        <v>98.83247799999999</v>
      </c>
      <c r="W44" s="15" t="n">
        <v>25.324637</v>
      </c>
      <c r="X44" s="15" t="n">
        <v>13.421913</v>
      </c>
      <c r="Z44">
        <f>B44</f>
        <v/>
      </c>
      <c r="AA44">
        <f>C44</f>
        <v/>
      </c>
      <c r="AB44" s="11">
        <f>SUM(AE44:AK44)+AM44+AN44</f>
        <v/>
      </c>
      <c r="AC44" s="11">
        <f>SUM(AE44:AK44)+AP44+AQ44</f>
        <v/>
      </c>
      <c r="AD44" s="5">
        <f>AB44-AC44</f>
        <v/>
      </c>
      <c r="AE44">
        <f>D44/F44*W44*-1</f>
        <v/>
      </c>
      <c r="AF44">
        <f>E44/F44*W44</f>
        <v/>
      </c>
      <c r="AG44" s="1">
        <f t="array" ref="AG44">_xlfn.IFS(C44="Biomass_Corn", 1/F44*S44, C44="Biomass_Agri", 1/F44*V44, C44="Biomass_Wood", 1/F44*U44, C44="Biomass_Herb", 1/F44*T44)</f>
        <v/>
      </c>
      <c r="AH44">
        <f>G44/F44*X44</f>
        <v/>
      </c>
      <c r="AI44">
        <f>M44/F44/(0.9*8760)</f>
        <v/>
      </c>
      <c r="AJ44">
        <f>N44/F44/(0.9*8760)</f>
        <v/>
      </c>
      <c r="AK44">
        <f>O44/F44</f>
        <v/>
      </c>
      <c r="AL44" s="1">
        <f>SUM(AZ44:BD44)-AW44</f>
        <v/>
      </c>
      <c r="AM44" s="1">
        <f>(Q44+R44)*-1*(I44+K44)/F44</f>
        <v/>
      </c>
      <c r="AN44">
        <f>AL44*Q44</f>
        <v/>
      </c>
      <c r="AO44">
        <f>SUM(AZ44:BB44)-AW44</f>
        <v/>
      </c>
      <c r="AP44" s="1">
        <f>(I44+K44)/F44*-1*R44</f>
        <v/>
      </c>
      <c r="AQ44">
        <f>AO44*Q44</f>
        <v/>
      </c>
      <c r="AS44" s="9">
        <f>H44</f>
        <v/>
      </c>
      <c r="AT44" s="10" t="n">
        <v>0.1828908353</v>
      </c>
      <c r="AU44" s="9" t="n">
        <v>0.23037491</v>
      </c>
      <c r="AW44" s="10">
        <f>AS44/F44</f>
        <v/>
      </c>
      <c r="AX44" s="10">
        <f>AT44*G44/F44</f>
        <v/>
      </c>
      <c r="AZ44" s="10">
        <f>AU44</f>
        <v/>
      </c>
      <c r="BA44" s="10">
        <f>J44/F44</f>
        <v/>
      </c>
      <c r="BB44" s="10">
        <f>L44/F44</f>
        <v/>
      </c>
      <c r="BC44" s="10">
        <f>I44/F44</f>
        <v/>
      </c>
      <c r="BD44" s="10">
        <f>K44/F44</f>
        <v/>
      </c>
      <c r="BF44" s="1">
        <f>SUM(AW44:AX44)-SUM(AZ44:BD44)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109.479795</v>
      </c>
      <c r="R45" s="15" t="n">
        <v>-54.115443</v>
      </c>
      <c r="S45" s="15" t="n">
        <v>170</v>
      </c>
      <c r="T45" s="15" t="n">
        <v>100.773744</v>
      </c>
      <c r="U45" s="15" t="n">
        <v>108.668072</v>
      </c>
      <c r="V45" s="15" t="n">
        <v>89.424565</v>
      </c>
      <c r="W45" s="15" t="n">
        <v>39.359472</v>
      </c>
      <c r="X45" s="15" t="n">
        <v>13.423122</v>
      </c>
      <c r="Z45">
        <f>B45</f>
        <v/>
      </c>
      <c r="AA45">
        <f>C45</f>
        <v/>
      </c>
      <c r="AB45" s="11">
        <f>SUM(AE45:AK45)+AM45+AN45</f>
        <v/>
      </c>
      <c r="AC45" s="11">
        <f>SUM(AE45:AK45)+AP45+AQ45</f>
        <v/>
      </c>
      <c r="AD45" s="5">
        <f>AB45-AC45</f>
        <v/>
      </c>
      <c r="AE45">
        <f>D45/F45*W45*-1</f>
        <v/>
      </c>
      <c r="AF45">
        <f>E45/F45*W45</f>
        <v/>
      </c>
      <c r="AG45" s="1">
        <f t="array" ref="AG45">_xlfn.IFS(C45="Biomass_Corn", 1/F45*S45, C45="Biomass_Agri", 1/F45*V45, C45="Biomass_Wood", 1/F45*U45, C45="Biomass_Herb", 1/F45*T45)</f>
        <v/>
      </c>
      <c r="AH45">
        <f>G45/F45*X45</f>
        <v/>
      </c>
      <c r="AI45">
        <f>M45/F45/(0.9*8760)</f>
        <v/>
      </c>
      <c r="AJ45">
        <f>N45/F45/(0.9*8760)</f>
        <v/>
      </c>
      <c r="AK45">
        <f>O45/F45</f>
        <v/>
      </c>
      <c r="AL45" s="1">
        <f>SUM(AZ45:BD45)-AW45</f>
        <v/>
      </c>
      <c r="AM45" s="1">
        <f>(Q45+R45)*-1*(I45+K45)/F45</f>
        <v/>
      </c>
      <c r="AN45">
        <f>AL45*Q45</f>
        <v/>
      </c>
      <c r="AO45">
        <f>SUM(AZ45:BB45)-AW45</f>
        <v/>
      </c>
      <c r="AP45" s="1">
        <f>(I45+K45)/F45*-1*R45</f>
        <v/>
      </c>
      <c r="AQ45">
        <f>AO45*Q45</f>
        <v/>
      </c>
      <c r="AS45" s="9">
        <f>H45</f>
        <v/>
      </c>
      <c r="AT45" s="10" t="n">
        <v>0.1828908353</v>
      </c>
      <c r="AU45" s="9" t="n">
        <v>0.23037491</v>
      </c>
      <c r="AW45" s="10">
        <f>AS45/F45</f>
        <v/>
      </c>
      <c r="AX45" s="10">
        <f>AT45*G45/F45</f>
        <v/>
      </c>
      <c r="AZ45" s="10">
        <f>AU45</f>
        <v/>
      </c>
      <c r="BA45" s="10">
        <f>J45/F45</f>
        <v/>
      </c>
      <c r="BB45" s="10">
        <f>L45/F45</f>
        <v/>
      </c>
      <c r="BC45" s="10">
        <f>I45/F45</f>
        <v/>
      </c>
      <c r="BD45" s="10">
        <f>K45/F45</f>
        <v/>
      </c>
      <c r="BF45" s="1">
        <f>SUM(AW45:AX45)-SUM(AZ45:BD45)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109.479795</v>
      </c>
      <c r="R46" s="15" t="n">
        <v>-41.717135</v>
      </c>
      <c r="S46" s="15" t="n">
        <v>170</v>
      </c>
      <c r="T46" s="15" t="n">
        <v>104.167382</v>
      </c>
      <c r="U46" s="15" t="n">
        <v>115.526389</v>
      </c>
      <c r="V46" s="15" t="n">
        <v>92.044978</v>
      </c>
      <c r="W46" s="15" t="n">
        <v>30.708173</v>
      </c>
      <c r="X46" s="15" t="n">
        <v>13.422003</v>
      </c>
      <c r="Z46">
        <f>B46</f>
        <v/>
      </c>
      <c r="AA46">
        <f>C46</f>
        <v/>
      </c>
      <c r="AB46" s="11">
        <f>SUM(AE46:AK46)+AM46+AN46</f>
        <v/>
      </c>
      <c r="AC46" s="11">
        <f>SUM(AE46:AK46)+AP46+AQ46</f>
        <v/>
      </c>
      <c r="AD46" s="5">
        <f>AB46-AC46</f>
        <v/>
      </c>
      <c r="AE46">
        <f>D46/F46*W46*-1</f>
        <v/>
      </c>
      <c r="AF46">
        <f>E46/F46*W46</f>
        <v/>
      </c>
      <c r="AG46" s="1">
        <f t="array" ref="AG46">_xlfn.IFS(C46="Biomass_Corn", 1/F46*S46, C46="Biomass_Agri", 1/F46*V46, C46="Biomass_Wood", 1/F46*U46, C46="Biomass_Herb", 1/F46*T46)</f>
        <v/>
      </c>
      <c r="AH46">
        <f>G46/F46*X46</f>
        <v/>
      </c>
      <c r="AI46">
        <f>M46/F46/(0.9*8760)</f>
        <v/>
      </c>
      <c r="AJ46">
        <f>N46/F46/(0.9*8760)</f>
        <v/>
      </c>
      <c r="AK46">
        <f>O46/F46</f>
        <v/>
      </c>
      <c r="AL46" s="1">
        <f>SUM(AZ46:BD46)-AW46</f>
        <v/>
      </c>
      <c r="AM46" s="1">
        <f>(Q46+R46)*-1*(I46+K46)/F46</f>
        <v/>
      </c>
      <c r="AN46">
        <f>AL46*Q46</f>
        <v/>
      </c>
      <c r="AO46">
        <f>SUM(AZ46:BB46)-AW46</f>
        <v/>
      </c>
      <c r="AP46" s="1">
        <f>(I46+K46)/F46*-1*R46</f>
        <v/>
      </c>
      <c r="AQ46">
        <f>AO46*Q46</f>
        <v/>
      </c>
      <c r="AS46" s="9">
        <f>H46</f>
        <v/>
      </c>
      <c r="AT46" s="10" t="n">
        <v>0.1828908353</v>
      </c>
      <c r="AU46" s="9" t="n">
        <v>0.23037491</v>
      </c>
      <c r="AW46" s="10">
        <f>AS46/F46</f>
        <v/>
      </c>
      <c r="AX46" s="10">
        <f>AT46*G46/F46</f>
        <v/>
      </c>
      <c r="AZ46" s="10">
        <f>AU46</f>
        <v/>
      </c>
      <c r="BA46" s="10">
        <f>J46/F46</f>
        <v/>
      </c>
      <c r="BB46" s="10">
        <f>L46/F46</f>
        <v/>
      </c>
      <c r="BC46" s="10">
        <f>I46/F46</f>
        <v/>
      </c>
      <c r="BD46" s="10">
        <f>K46/F46</f>
        <v/>
      </c>
      <c r="BF46" s="1">
        <f>SUM(AW46:AX46)-SUM(AZ46:BD46)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109.479795</v>
      </c>
      <c r="R47" s="15" t="n">
        <v>-47.70091</v>
      </c>
      <c r="S47" s="15" t="n">
        <v>170</v>
      </c>
      <c r="T47" s="15" t="n">
        <v>99.63284299999999</v>
      </c>
      <c r="U47" s="15" t="n">
        <v>113.227017</v>
      </c>
      <c r="V47" s="15" t="n">
        <v>88.855315</v>
      </c>
      <c r="W47" s="15" t="n">
        <v>38.218446</v>
      </c>
      <c r="X47" s="15" t="n">
        <v>13.421908</v>
      </c>
      <c r="Z47">
        <f>B47</f>
        <v/>
      </c>
      <c r="AA47">
        <f>C47</f>
        <v/>
      </c>
      <c r="AB47" s="11">
        <f>SUM(AE47:AK47)+AM47+AN47</f>
        <v/>
      </c>
      <c r="AC47" s="11">
        <f>SUM(AE47:AK47)+AP47+AQ47</f>
        <v/>
      </c>
      <c r="AD47" s="5">
        <f>AB47-AC47</f>
        <v/>
      </c>
      <c r="AE47">
        <f>D47/F47*W47*-1</f>
        <v/>
      </c>
      <c r="AF47">
        <f>E47/F47*W47</f>
        <v/>
      </c>
      <c r="AG47" s="1">
        <f t="array" ref="AG47">_xlfn.IFS(C47="Biomass_Corn", 1/F47*S47, C47="Biomass_Agri", 1/F47*V47, C47="Biomass_Wood", 1/F47*U47, C47="Biomass_Herb", 1/F47*T47)</f>
        <v/>
      </c>
      <c r="AH47">
        <f>G47/F47*X47</f>
        <v/>
      </c>
      <c r="AI47">
        <f>M47/F47/(0.9*8760)</f>
        <v/>
      </c>
      <c r="AJ47">
        <f>N47/F47/(0.9*8760)</f>
        <v/>
      </c>
      <c r="AK47">
        <f>O47/F47</f>
        <v/>
      </c>
      <c r="AL47" s="1">
        <f>SUM(AZ47:BD47)-AW47</f>
        <v/>
      </c>
      <c r="AM47" s="1">
        <f>(Q47+R47)*-1*(I47+K47)/F47</f>
        <v/>
      </c>
      <c r="AN47">
        <f>AL47*Q47</f>
        <v/>
      </c>
      <c r="AO47">
        <f>SUM(AZ47:BB47)-AW47</f>
        <v/>
      </c>
      <c r="AP47" s="1">
        <f>(I47+K47)/F47*-1*R47</f>
        <v/>
      </c>
      <c r="AQ47">
        <f>AO47*Q47</f>
        <v/>
      </c>
      <c r="AS47" s="9">
        <f>H47</f>
        <v/>
      </c>
      <c r="AT47" s="10" t="n">
        <v>0.1828908353</v>
      </c>
      <c r="AU47" s="9" t="n">
        <v>0.23037491</v>
      </c>
      <c r="AW47" s="10">
        <f>AS47/F47</f>
        <v/>
      </c>
      <c r="AX47" s="10">
        <f>AT47*G47/F47</f>
        <v/>
      </c>
      <c r="AZ47" s="10">
        <f>AU47</f>
        <v/>
      </c>
      <c r="BA47" s="10">
        <f>J47/F47</f>
        <v/>
      </c>
      <c r="BB47" s="10">
        <f>L47/F47</f>
        <v/>
      </c>
      <c r="BC47" s="10">
        <f>I47/F47</f>
        <v/>
      </c>
      <c r="BD47" s="10">
        <f>K47/F47</f>
        <v/>
      </c>
      <c r="BF47" s="1">
        <f>SUM(AW47:AX47)-SUM(AZ47:BD47)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109.479795</v>
      </c>
      <c r="R48" s="15" t="n">
        <v>-21.506692</v>
      </c>
      <c r="S48" s="15" t="n">
        <v>170</v>
      </c>
      <c r="T48" s="15" t="n">
        <v>137.934648</v>
      </c>
      <c r="U48" s="15" t="n">
        <v>157.881351</v>
      </c>
      <c r="V48" s="15" t="n">
        <v>111.364845</v>
      </c>
      <c r="W48" s="15" t="n">
        <v>20.230252</v>
      </c>
      <c r="X48" s="15" t="n">
        <v>13.325948</v>
      </c>
      <c r="Z48">
        <f>B48</f>
        <v/>
      </c>
      <c r="AA48">
        <f>C48</f>
        <v/>
      </c>
      <c r="AB48" s="11">
        <f>SUM(AE48:AK48)+AM48+AN48</f>
        <v/>
      </c>
      <c r="AC48" s="11">
        <f>SUM(AE48:AK48)+AP48+AQ48</f>
        <v/>
      </c>
      <c r="AD48" s="5">
        <f>AB48-AC48</f>
        <v/>
      </c>
      <c r="AE48">
        <f>D48/F48*W48*-1</f>
        <v/>
      </c>
      <c r="AF48">
        <f>E48/F48*W48</f>
        <v/>
      </c>
      <c r="AG48" s="1">
        <f t="array" ref="AG48">_xlfn.IFS(C48="Biomass_Corn", 1/F48*S48, C48="Biomass_Agri", 1/F48*V48, C48="Biomass_Wood", 1/F48*U48, C48="Biomass_Herb", 1/F48*T48)</f>
        <v/>
      </c>
      <c r="AH48">
        <f>G48/F48*X48</f>
        <v/>
      </c>
      <c r="AI48">
        <f>M48/F48/(0.9*8760)</f>
        <v/>
      </c>
      <c r="AJ48">
        <f>N48/F48/(0.9*8760)</f>
        <v/>
      </c>
      <c r="AK48">
        <f>O48/F48</f>
        <v/>
      </c>
      <c r="AL48" s="1">
        <f>SUM(AZ48:BD48)-AW48</f>
        <v/>
      </c>
      <c r="AM48" s="1">
        <f>(Q48+R48)*-1*(I48+K48)/F48</f>
        <v/>
      </c>
      <c r="AN48">
        <f>AL48*Q48</f>
        <v/>
      </c>
      <c r="AO48">
        <f>SUM(AZ48:BB48)-AW48</f>
        <v/>
      </c>
      <c r="AP48" s="1">
        <f>(I48+K48)/F48*-1*R48</f>
        <v/>
      </c>
      <c r="AQ48">
        <f>AO48*Q48</f>
        <v/>
      </c>
      <c r="AS48" s="9">
        <f>H48</f>
        <v/>
      </c>
      <c r="AT48" s="10" t="n">
        <v>0.1828908353</v>
      </c>
      <c r="AU48" s="9" t="n">
        <v>0.23037491</v>
      </c>
      <c r="AW48" s="10">
        <f>AS48/F48</f>
        <v/>
      </c>
      <c r="AX48" s="10">
        <f>AT48*G48/F48</f>
        <v/>
      </c>
      <c r="AZ48" s="10">
        <f>AU48</f>
        <v/>
      </c>
      <c r="BA48" s="10">
        <f>J48/F48</f>
        <v/>
      </c>
      <c r="BB48" s="10">
        <f>L48/F48</f>
        <v/>
      </c>
      <c r="BC48" s="10">
        <f>I48/F48</f>
        <v/>
      </c>
      <c r="BD48" s="10">
        <f>K48/F48</f>
        <v/>
      </c>
      <c r="BF48" s="1">
        <f>SUM(AW48:AX48)-SUM(AZ48:BD48)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109.479795</v>
      </c>
      <c r="R49" s="15" t="n">
        <v>-6.495931</v>
      </c>
      <c r="S49" s="15" t="n">
        <v>170</v>
      </c>
      <c r="T49" s="15" t="n">
        <v>1554.082648</v>
      </c>
      <c r="U49" s="15" t="n">
        <v>159.857018</v>
      </c>
      <c r="V49" s="15" t="n">
        <v>138.164517</v>
      </c>
      <c r="W49" s="15" t="n">
        <v>36.550692</v>
      </c>
      <c r="X49" s="15" t="n">
        <v>13.678414</v>
      </c>
      <c r="Z49">
        <f>B49</f>
        <v/>
      </c>
      <c r="AA49">
        <f>C49</f>
        <v/>
      </c>
      <c r="AB49" s="11">
        <f>SUM(AE49:AK49)+AM49+AN49</f>
        <v/>
      </c>
      <c r="AC49" s="11">
        <f>SUM(AE49:AK49)+AP49+AQ49</f>
        <v/>
      </c>
      <c r="AD49" s="5">
        <f>AB49-AC49</f>
        <v/>
      </c>
      <c r="AE49">
        <f>D49/F49*W49*-1</f>
        <v/>
      </c>
      <c r="AF49">
        <f>E49/F49*W49</f>
        <v/>
      </c>
      <c r="AG49" s="1">
        <f t="array" ref="AG49">_xlfn.IFS(C49="Biomass_Corn", 1/F49*S49, C49="Biomass_Agri", 1/F49*V49, C49="Biomass_Wood", 1/F49*U49, C49="Biomass_Herb", 1/F49*T49)</f>
        <v/>
      </c>
      <c r="AH49">
        <f>G49/F49*X49</f>
        <v/>
      </c>
      <c r="AI49">
        <f>M49/F49/(0.9*8760)</f>
        <v/>
      </c>
      <c r="AJ49">
        <f>N49/F49/(0.9*8760)</f>
        <v/>
      </c>
      <c r="AK49">
        <f>O49/F49</f>
        <v/>
      </c>
      <c r="AL49" s="1">
        <f>SUM(AZ49:BD49)-AW49</f>
        <v/>
      </c>
      <c r="AM49" s="1">
        <f>(Q49+R49)*-1*(I49+K49)/F49</f>
        <v/>
      </c>
      <c r="AN49">
        <f>AL49*Q49</f>
        <v/>
      </c>
      <c r="AO49">
        <f>SUM(AZ49:BB49)-AW49</f>
        <v/>
      </c>
      <c r="AP49" s="1">
        <f>(I49+K49)/F49*-1*R49</f>
        <v/>
      </c>
      <c r="AQ49">
        <f>AO49*Q49</f>
        <v/>
      </c>
      <c r="AS49" s="9">
        <f>H49</f>
        <v/>
      </c>
      <c r="AT49" s="10" t="n">
        <v>0.1828908353</v>
      </c>
      <c r="AU49" s="9" t="n">
        <v>0.23037491</v>
      </c>
      <c r="AW49" s="10">
        <f>AS49/F49</f>
        <v/>
      </c>
      <c r="AX49" s="10">
        <f>AT49*G49/F49</f>
        <v/>
      </c>
      <c r="AZ49" s="10">
        <f>AU49</f>
        <v/>
      </c>
      <c r="BA49" s="10">
        <f>J49/F49</f>
        <v/>
      </c>
      <c r="BB49" s="10">
        <f>L49/F49</f>
        <v/>
      </c>
      <c r="BC49" s="10">
        <f>I49/F49</f>
        <v/>
      </c>
      <c r="BD49" s="10">
        <f>K49/F49</f>
        <v/>
      </c>
      <c r="BF49" s="1">
        <f>SUM(AW49:AX49)-SUM(AZ49:BD49)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109.479795</v>
      </c>
      <c r="R50" s="15" t="n">
        <v>-7.354813</v>
      </c>
      <c r="S50" s="15" t="n">
        <v>170</v>
      </c>
      <c r="T50" s="15" t="n">
        <v>138.356765</v>
      </c>
      <c r="U50" s="15" t="n">
        <v>156.777934</v>
      </c>
      <c r="V50" s="15" t="n">
        <v>119.345797</v>
      </c>
      <c r="W50" s="15" t="n">
        <v>26.773822</v>
      </c>
      <c r="X50" s="15" t="n">
        <v>13.68019</v>
      </c>
      <c r="Z50">
        <f>B50</f>
        <v/>
      </c>
      <c r="AA50">
        <f>C50</f>
        <v/>
      </c>
      <c r="AB50" s="11">
        <f>SUM(AE50:AK50)+AM50+AN50</f>
        <v/>
      </c>
      <c r="AC50" s="11">
        <f>SUM(AE50:AK50)+AP50+AQ50</f>
        <v/>
      </c>
      <c r="AD50" s="5">
        <f>AB50-AC50</f>
        <v/>
      </c>
      <c r="AE50">
        <f>D50/F50*W50*-1</f>
        <v/>
      </c>
      <c r="AF50">
        <f>E50/F50*W50</f>
        <v/>
      </c>
      <c r="AG50" s="1">
        <f t="array" ref="AG50">_xlfn.IFS(C50="Biomass_Corn", 1/F50*S50, C50="Biomass_Agri", 1/F50*V50, C50="Biomass_Wood", 1/F50*U50, C50="Biomass_Herb", 1/F50*T50)</f>
        <v/>
      </c>
      <c r="AH50">
        <f>G50/F50*X50</f>
        <v/>
      </c>
      <c r="AI50">
        <f>M50/F50/(0.9*8760)</f>
        <v/>
      </c>
      <c r="AJ50">
        <f>N50/F50/(0.9*8760)</f>
        <v/>
      </c>
      <c r="AK50">
        <f>O50/F50</f>
        <v/>
      </c>
      <c r="AL50" s="1">
        <f>SUM(AZ50:BD50)-AW50</f>
        <v/>
      </c>
      <c r="AM50" s="1">
        <f>(Q50+R50)*-1*(I50+K50)/F50</f>
        <v/>
      </c>
      <c r="AN50">
        <f>AL50*Q50</f>
        <v/>
      </c>
      <c r="AO50">
        <f>SUM(AZ50:BB50)-AW50</f>
        <v/>
      </c>
      <c r="AP50" s="1">
        <f>(I50+K50)/F50*-1*R50</f>
        <v/>
      </c>
      <c r="AQ50">
        <f>AO50*Q50</f>
        <v/>
      </c>
      <c r="AS50" s="9">
        <f>H50</f>
        <v/>
      </c>
      <c r="AT50" s="10" t="n">
        <v>0.1828908353</v>
      </c>
      <c r="AU50" s="9" t="n">
        <v>0.23037491</v>
      </c>
      <c r="AW50" s="10">
        <f>AS50/F50</f>
        <v/>
      </c>
      <c r="AX50" s="10">
        <f>AT50*G50/F50</f>
        <v/>
      </c>
      <c r="AZ50" s="10">
        <f>AU50</f>
        <v/>
      </c>
      <c r="BA50" s="10">
        <f>J50/F50</f>
        <v/>
      </c>
      <c r="BB50" s="10">
        <f>L50/F50</f>
        <v/>
      </c>
      <c r="BC50" s="10">
        <f>I50/F50</f>
        <v/>
      </c>
      <c r="BD50" s="10">
        <f>K50/F50</f>
        <v/>
      </c>
      <c r="BF50" s="1">
        <f>SUM(AW50:AX50)-SUM(AZ50:BD50)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109.479795</v>
      </c>
      <c r="R51" s="15" t="n">
        <v>-16.598628</v>
      </c>
      <c r="S51" s="15" t="n">
        <v>170</v>
      </c>
      <c r="T51" s="15" t="n">
        <v>123.651932</v>
      </c>
      <c r="U51" s="15" t="n">
        <v>141.0224</v>
      </c>
      <c r="V51" s="15" t="n">
        <v>111.7672</v>
      </c>
      <c r="W51" s="15" t="n">
        <v>27.997804</v>
      </c>
      <c r="X51" s="15" t="n">
        <v>13.680038</v>
      </c>
      <c r="Z51">
        <f>B51</f>
        <v/>
      </c>
      <c r="AA51">
        <f>C51</f>
        <v/>
      </c>
      <c r="AB51" s="11">
        <f>SUM(AE51:AK51)+AM51+AN51</f>
        <v/>
      </c>
      <c r="AC51" s="11">
        <f>SUM(AE51:AK51)+AP51+AQ51</f>
        <v/>
      </c>
      <c r="AD51" s="5">
        <f>AB51-AC51</f>
        <v/>
      </c>
      <c r="AE51">
        <f>D51/F51*W51*-1</f>
        <v/>
      </c>
      <c r="AF51">
        <f>E51/F51*W51</f>
        <v/>
      </c>
      <c r="AG51" s="1">
        <f t="array" ref="AG51">_xlfn.IFS(C51="Biomass_Corn", 1/F51*S51, C51="Biomass_Agri", 1/F51*V51, C51="Biomass_Wood", 1/F51*U51, C51="Biomass_Herb", 1/F51*T51)</f>
        <v/>
      </c>
      <c r="AH51">
        <f>G51/F51*X51</f>
        <v/>
      </c>
      <c r="AI51">
        <f>M51/F51/(0.9*8760)</f>
        <v/>
      </c>
      <c r="AJ51">
        <f>N51/F51/(0.9*8760)</f>
        <v/>
      </c>
      <c r="AK51">
        <f>O51/F51</f>
        <v/>
      </c>
      <c r="AL51" s="1">
        <f>SUM(AZ51:BD51)-AW51</f>
        <v/>
      </c>
      <c r="AM51" s="1">
        <f>(Q51+R51)*-1*(I51+K51)/F51</f>
        <v/>
      </c>
      <c r="AN51">
        <f>AL51*Q51</f>
        <v/>
      </c>
      <c r="AO51">
        <f>SUM(AZ51:BB51)-AW51</f>
        <v/>
      </c>
      <c r="AP51" s="1">
        <f>(I51+K51)/F51*-1*R51</f>
        <v/>
      </c>
      <c r="AQ51">
        <f>AO51*Q51</f>
        <v/>
      </c>
      <c r="AS51" s="9">
        <f>H51</f>
        <v/>
      </c>
      <c r="AT51" s="10" t="n">
        <v>0.1828908353</v>
      </c>
      <c r="AU51" s="9" t="n">
        <v>0.23037491</v>
      </c>
      <c r="AW51" s="10">
        <f>AS51/F51</f>
        <v/>
      </c>
      <c r="AX51" s="10">
        <f>AT51*G51/F51</f>
        <v/>
      </c>
      <c r="AZ51" s="10">
        <f>AU51</f>
        <v/>
      </c>
      <c r="BA51" s="10">
        <f>J51/F51</f>
        <v/>
      </c>
      <c r="BB51" s="10">
        <f>L51/F51</f>
        <v/>
      </c>
      <c r="BC51" s="10">
        <f>I51/F51</f>
        <v/>
      </c>
      <c r="BD51" s="10">
        <f>K51/F51</f>
        <v/>
      </c>
      <c r="BF51" s="1">
        <f>SUM(AW51:AX51)-SUM(AZ51:BD51)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109.479795</v>
      </c>
      <c r="R52" s="15" t="n">
        <v>-21.506692</v>
      </c>
      <c r="S52" s="15" t="n">
        <v>170</v>
      </c>
      <c r="T52" s="15" t="n">
        <v>137.934648</v>
      </c>
      <c r="U52" s="15" t="n">
        <v>157.881351</v>
      </c>
      <c r="V52" s="15" t="n">
        <v>111.364845</v>
      </c>
      <c r="W52" s="15" t="n">
        <v>20.230252</v>
      </c>
      <c r="X52" s="15" t="n">
        <v>13.325948</v>
      </c>
      <c r="Z52">
        <f>B52</f>
        <v/>
      </c>
      <c r="AA52">
        <f>C52</f>
        <v/>
      </c>
      <c r="AB52" s="11">
        <f>SUM(AE52:AK52)+AM52+AN52</f>
        <v/>
      </c>
      <c r="AC52" s="11">
        <f>SUM(AE52:AK52)+AP52+AQ52</f>
        <v/>
      </c>
      <c r="AD52" s="5">
        <f>AB52-AC52</f>
        <v/>
      </c>
      <c r="AE52">
        <f>D52/F52*W52*-1</f>
        <v/>
      </c>
      <c r="AF52">
        <f>E52/F52*W52</f>
        <v/>
      </c>
      <c r="AG52" s="1">
        <f t="array" ref="AG52">_xlfn.IFS(C52="Biomass_Corn", 1/F52*S52, C52="Biomass_Agri", 1/F52*V52, C52="Biomass_Wood", 1/F52*U52, C52="Biomass_Herb", 1/F52*T52)</f>
        <v/>
      </c>
      <c r="AH52">
        <f>G52/F52*X52</f>
        <v/>
      </c>
      <c r="AI52">
        <f>M52/F52/(0.9*8760)</f>
        <v/>
      </c>
      <c r="AJ52">
        <f>N52/F52/(0.9*8760)</f>
        <v/>
      </c>
      <c r="AK52">
        <f>O52/F52</f>
        <v/>
      </c>
      <c r="AL52" s="1">
        <f>SUM(AZ52:BD52)-AW52</f>
        <v/>
      </c>
      <c r="AM52" s="1">
        <f>(Q52+R52)*-1*(I52+K52)/F52</f>
        <v/>
      </c>
      <c r="AN52">
        <f>AL52*Q52</f>
        <v/>
      </c>
      <c r="AO52">
        <f>SUM(AZ52:BB52)-AW52</f>
        <v/>
      </c>
      <c r="AP52" s="1">
        <f>(I52+K52)/F52*-1*R52</f>
        <v/>
      </c>
      <c r="AQ52">
        <f>AO52*Q52</f>
        <v/>
      </c>
      <c r="AS52" s="9">
        <f>H52</f>
        <v/>
      </c>
      <c r="AT52" s="10" t="n">
        <v>0.1828908353</v>
      </c>
      <c r="AU52" s="9" t="n">
        <v>0.23037491</v>
      </c>
      <c r="AW52" s="10">
        <f>AS52/F52</f>
        <v/>
      </c>
      <c r="AX52" s="10">
        <f>AT52*G52/F52</f>
        <v/>
      </c>
      <c r="AZ52" s="10">
        <f>AU52</f>
        <v/>
      </c>
      <c r="BA52" s="10">
        <f>J52/F52</f>
        <v/>
      </c>
      <c r="BB52" s="10">
        <f>L52/F52</f>
        <v/>
      </c>
      <c r="BC52" s="10">
        <f>I52/F52</f>
        <v/>
      </c>
      <c r="BD52" s="10">
        <f>K52/F52</f>
        <v/>
      </c>
      <c r="BF52" s="1">
        <f>SUM(AW52:AX52)-SUM(AZ52:BD52)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109.479795</v>
      </c>
      <c r="R53" s="15" t="n">
        <v>-41.717135</v>
      </c>
      <c r="S53" s="15" t="n">
        <v>170</v>
      </c>
      <c r="T53" s="15" t="n">
        <v>104.167382</v>
      </c>
      <c r="U53" s="15" t="n">
        <v>115.526389</v>
      </c>
      <c r="V53" s="15" t="n">
        <v>92.044978</v>
      </c>
      <c r="W53" s="15" t="n">
        <v>30.708173</v>
      </c>
      <c r="X53" s="15" t="n">
        <v>13.422003</v>
      </c>
      <c r="Z53">
        <f>B53</f>
        <v/>
      </c>
      <c r="AA53">
        <f>C53</f>
        <v/>
      </c>
      <c r="AB53" s="11">
        <f>SUM(AE53:AK53)+AM53+AN53</f>
        <v/>
      </c>
      <c r="AC53" s="11">
        <f>SUM(AE53:AK53)+AP53+AQ53</f>
        <v/>
      </c>
      <c r="AD53" s="5">
        <f>AB53-AC53</f>
        <v/>
      </c>
      <c r="AE53">
        <f>D53/F53*W53*-1</f>
        <v/>
      </c>
      <c r="AF53">
        <f>E53/F53*W53</f>
        <v/>
      </c>
      <c r="AG53" s="1">
        <f t="array" ref="AG53">_xlfn.IFS(C53="Biomass_Corn", 1/F53*S53, C53="Biomass_Agri", 1/F53*V53, C53="Biomass_Wood", 1/F53*U53, C53="Biomass_Herb", 1/F53*T53)</f>
        <v/>
      </c>
      <c r="AH53">
        <f>G53/F53*X53</f>
        <v/>
      </c>
      <c r="AI53">
        <f>M53/F53/(0.9*8760)</f>
        <v/>
      </c>
      <c r="AJ53">
        <f>N53/F53/(0.9*8760)</f>
        <v/>
      </c>
      <c r="AK53">
        <f>O53/F53</f>
        <v/>
      </c>
      <c r="AL53" s="1">
        <f>SUM(AZ53:BD53)-AW53</f>
        <v/>
      </c>
      <c r="AM53" s="1">
        <f>(Q53+R53)*-1*(I53+K53)/F53</f>
        <v/>
      </c>
      <c r="AN53">
        <f>AL53*Q53</f>
        <v/>
      </c>
      <c r="AO53">
        <f>SUM(AZ53:BB53)-AW53</f>
        <v/>
      </c>
      <c r="AP53" s="1">
        <f>(I53+K53)/F53*-1*R53</f>
        <v/>
      </c>
      <c r="AQ53">
        <f>AO53*Q53</f>
        <v/>
      </c>
      <c r="AS53" s="9">
        <f>H53</f>
        <v/>
      </c>
      <c r="AT53" s="10" t="n">
        <v>0.1828908353</v>
      </c>
      <c r="AU53" s="9" t="n">
        <v>0.23037491</v>
      </c>
      <c r="AW53" s="10">
        <f>AS53/F53</f>
        <v/>
      </c>
      <c r="AX53" s="10">
        <f>AT53*G53/F53</f>
        <v/>
      </c>
      <c r="AZ53" s="10">
        <f>AU53</f>
        <v/>
      </c>
      <c r="BA53" s="10">
        <f>J53/F53</f>
        <v/>
      </c>
      <c r="BB53" s="10">
        <f>L53/F53</f>
        <v/>
      </c>
      <c r="BC53" s="10">
        <f>I53/F53</f>
        <v/>
      </c>
      <c r="BD53" s="10">
        <f>K53/F53</f>
        <v/>
      </c>
      <c r="BF53" s="1">
        <f>SUM(AW53:AX53)-SUM(AZ53:BD53)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109.479795</v>
      </c>
      <c r="R54" s="15" t="n">
        <v>-31.70346</v>
      </c>
      <c r="S54" s="15" t="n">
        <v>170</v>
      </c>
      <c r="T54" s="15" t="n">
        <v>110.461518</v>
      </c>
      <c r="U54" s="15" t="n">
        <v>127.408748</v>
      </c>
      <c r="V54" s="15" t="n">
        <v>98.83247799999999</v>
      </c>
      <c r="W54" s="15" t="n">
        <v>25.324637</v>
      </c>
      <c r="X54" s="15" t="n">
        <v>13.421913</v>
      </c>
      <c r="Z54">
        <f>B54</f>
        <v/>
      </c>
      <c r="AA54">
        <f>C54</f>
        <v/>
      </c>
      <c r="AB54" s="11">
        <f>SUM(AE54:AK54)+AM54+AN54</f>
        <v/>
      </c>
      <c r="AC54" s="11">
        <f>SUM(AE54:AK54)+AP54+AQ54</f>
        <v/>
      </c>
      <c r="AD54" s="5">
        <f>AB54-AC54</f>
        <v/>
      </c>
      <c r="AE54">
        <f>D54/F54*W54*-1</f>
        <v/>
      </c>
      <c r="AF54">
        <f>E54/F54*W54</f>
        <v/>
      </c>
      <c r="AG54" s="1">
        <f t="array" ref="AG54">_xlfn.IFS(C54="Biomass_Corn", 1/F54*S54, C54="Biomass_Agri", 1/F54*V54, C54="Biomass_Wood", 1/F54*U54, C54="Biomass_Herb", 1/F54*T54)</f>
        <v/>
      </c>
      <c r="AH54">
        <f>G54/F54*X54</f>
        <v/>
      </c>
      <c r="AI54">
        <f>M54/F54/(0.9*8760)</f>
        <v/>
      </c>
      <c r="AJ54">
        <f>N54/F54/(0.9*8760)</f>
        <v/>
      </c>
      <c r="AK54">
        <f>O54/F54</f>
        <v/>
      </c>
      <c r="AL54" s="1">
        <f>SUM(AZ54:BD54)-AW54</f>
        <v/>
      </c>
      <c r="AM54" s="1">
        <f>(Q54+R54)*-1*(I54+K54)/F54</f>
        <v/>
      </c>
      <c r="AN54">
        <f>AL54*Q54</f>
        <v/>
      </c>
      <c r="AO54">
        <f>SUM(AZ54:BB54)-AW54</f>
        <v/>
      </c>
      <c r="AP54" s="1">
        <f>(I54+K54)/F54*-1*R54</f>
        <v/>
      </c>
      <c r="AQ54">
        <f>AO54*Q54</f>
        <v/>
      </c>
      <c r="AS54" s="9">
        <f>H54</f>
        <v/>
      </c>
      <c r="AT54" s="10" t="n">
        <v>0.1828908353</v>
      </c>
      <c r="AU54" s="9" t="n">
        <v>0.23037491</v>
      </c>
      <c r="AW54" s="10">
        <f>AS54/F54</f>
        <v/>
      </c>
      <c r="AX54" s="10">
        <f>AT54*G54/F54</f>
        <v/>
      </c>
      <c r="AZ54" s="10">
        <f>AU54</f>
        <v/>
      </c>
      <c r="BA54" s="10">
        <f>J54/F54</f>
        <v/>
      </c>
      <c r="BB54" s="10">
        <f>L54/F54</f>
        <v/>
      </c>
      <c r="BC54" s="10">
        <f>I54/F54</f>
        <v/>
      </c>
      <c r="BD54" s="10">
        <f>K54/F54</f>
        <v/>
      </c>
      <c r="BF54" s="1">
        <f>SUM(AW54:AX54)-SUM(AZ54:BD54)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109.479795</v>
      </c>
      <c r="R55" s="15" t="n">
        <v>-47.70091</v>
      </c>
      <c r="S55" s="15" t="n">
        <v>170</v>
      </c>
      <c r="T55" s="15" t="n">
        <v>99.63284299999999</v>
      </c>
      <c r="U55" s="15" t="n">
        <v>113.227017</v>
      </c>
      <c r="V55" s="15" t="n">
        <v>88.855315</v>
      </c>
      <c r="W55" s="15" t="n">
        <v>38.218446</v>
      </c>
      <c r="X55" s="15" t="n">
        <v>13.421908</v>
      </c>
      <c r="Z55">
        <f>B55</f>
        <v/>
      </c>
      <c r="AA55">
        <f>C55</f>
        <v/>
      </c>
      <c r="AB55" s="11">
        <f>SUM(AE55:AK55)+AM55+AN55</f>
        <v/>
      </c>
      <c r="AC55" s="11">
        <f>SUM(AE55:AK55)+AP55+AQ55</f>
        <v/>
      </c>
      <c r="AD55" s="5">
        <f>AB55-AC55</f>
        <v/>
      </c>
      <c r="AE55">
        <f>D55/F55*W55*-1</f>
        <v/>
      </c>
      <c r="AF55">
        <f>E55/F55*W55</f>
        <v/>
      </c>
      <c r="AG55" s="1">
        <f t="array" ref="AG55">_xlfn.IFS(C55="Biomass_Corn", 1/F55*S55, C55="Biomass_Agri", 1/F55*V55, C55="Biomass_Wood", 1/F55*U55, C55="Biomass_Herb", 1/F55*T55)</f>
        <v/>
      </c>
      <c r="AH55">
        <f>G55/F55*X55</f>
        <v/>
      </c>
      <c r="AI55">
        <f>M55/F55/(0.9*8760)</f>
        <v/>
      </c>
      <c r="AJ55">
        <f>N55/F55/(0.9*8760)</f>
        <v/>
      </c>
      <c r="AK55">
        <f>O55/F55</f>
        <v/>
      </c>
      <c r="AL55" s="1">
        <f>SUM(AZ55:BD55)-AW55</f>
        <v/>
      </c>
      <c r="AM55" s="1">
        <f>(Q55+R55)*-1*(I55+K55)/F55</f>
        <v/>
      </c>
      <c r="AN55">
        <f>AL55*Q55</f>
        <v/>
      </c>
      <c r="AO55">
        <f>SUM(AZ55:BB55)-AW55</f>
        <v/>
      </c>
      <c r="AP55" s="1">
        <f>(I55+K55)/F55*-1*R55</f>
        <v/>
      </c>
      <c r="AQ55">
        <f>AO55*Q55</f>
        <v/>
      </c>
      <c r="AS55" s="9">
        <f>H55</f>
        <v/>
      </c>
      <c r="AT55" s="10" t="n">
        <v>0.1828908353</v>
      </c>
      <c r="AU55" s="9" t="n">
        <v>0.23037491</v>
      </c>
      <c r="AW55" s="10">
        <f>AS55/F55</f>
        <v/>
      </c>
      <c r="AX55" s="10">
        <f>AT55*G55/F55</f>
        <v/>
      </c>
      <c r="AZ55" s="10">
        <f>AU55</f>
        <v/>
      </c>
      <c r="BA55" s="10">
        <f>J55/F55</f>
        <v/>
      </c>
      <c r="BB55" s="10">
        <f>L55/F55</f>
        <v/>
      </c>
      <c r="BC55" s="10">
        <f>I55/F55</f>
        <v/>
      </c>
      <c r="BD55" s="10">
        <f>K55/F55</f>
        <v/>
      </c>
      <c r="BF55" s="1">
        <f>SUM(AW55:AX55)-SUM(AZ55:BD55)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109.479795</v>
      </c>
      <c r="R56" s="15" t="n">
        <v>-54.115443</v>
      </c>
      <c r="S56" s="15" t="n">
        <v>170</v>
      </c>
      <c r="T56" s="15" t="n">
        <v>100.773744</v>
      </c>
      <c r="U56" s="15" t="n">
        <v>108.668072</v>
      </c>
      <c r="V56" s="15" t="n">
        <v>89.424565</v>
      </c>
      <c r="W56" s="15" t="n">
        <v>39.359472</v>
      </c>
      <c r="X56" s="15" t="n">
        <v>13.423122</v>
      </c>
      <c r="Z56">
        <f>B56</f>
        <v/>
      </c>
      <c r="AA56">
        <f>C56</f>
        <v/>
      </c>
      <c r="AB56" s="11">
        <f>SUM(AE56:AK56)+AM56+AN56</f>
        <v/>
      </c>
      <c r="AC56" s="11">
        <f>SUM(AE56:AK56)+AP56+AQ56</f>
        <v/>
      </c>
      <c r="AD56" s="5">
        <f>AB56-AC56</f>
        <v/>
      </c>
      <c r="AE56">
        <f>D56/F56*W56*-1</f>
        <v/>
      </c>
      <c r="AF56">
        <f>E56/F56*W56</f>
        <v/>
      </c>
      <c r="AG56" s="1">
        <f t="array" ref="AG56">_xlfn.IFS(C56="Biomass_Corn", 1/F56*S56, C56="Biomass_Agri", 1/F56*V56, C56="Biomass_Wood", 1/F56*U56, C56="Biomass_Herb", 1/F56*T56)</f>
        <v/>
      </c>
      <c r="AH56">
        <f>G56/F56*X56</f>
        <v/>
      </c>
      <c r="AI56">
        <f>M56/F56/(0.9*8760)</f>
        <v/>
      </c>
      <c r="AJ56">
        <f>N56/F56/(0.9*8760)</f>
        <v/>
      </c>
      <c r="AK56">
        <f>O56/F56</f>
        <v/>
      </c>
      <c r="AL56" s="1">
        <f>SUM(AZ56:BD56)-AW56</f>
        <v/>
      </c>
      <c r="AM56" s="1">
        <f>(Q56+R56)*-1*(I56+K56)/F56</f>
        <v/>
      </c>
      <c r="AN56">
        <f>AL56*Q56</f>
        <v/>
      </c>
      <c r="AO56">
        <f>SUM(AZ56:BB56)-AW56</f>
        <v/>
      </c>
      <c r="AP56" s="1">
        <f>(I56+K56)/F56*-1*R56</f>
        <v/>
      </c>
      <c r="AQ56">
        <f>AO56*Q56</f>
        <v/>
      </c>
      <c r="AS56" s="9">
        <f>H56</f>
        <v/>
      </c>
      <c r="AT56" s="10" t="n">
        <v>0.1828908353</v>
      </c>
      <c r="AU56" s="9" t="n">
        <v>0.23037491</v>
      </c>
      <c r="AW56" s="10">
        <f>AS56/F56</f>
        <v/>
      </c>
      <c r="AX56" s="10">
        <f>AT56*G56/F56</f>
        <v/>
      </c>
      <c r="AZ56" s="10">
        <f>AU56</f>
        <v/>
      </c>
      <c r="BA56" s="10">
        <f>J56/F56</f>
        <v/>
      </c>
      <c r="BB56" s="10">
        <f>L56/F56</f>
        <v/>
      </c>
      <c r="BC56" s="10">
        <f>I56/F56</f>
        <v/>
      </c>
      <c r="BD56" s="10">
        <f>K56/F56</f>
        <v/>
      </c>
      <c r="BF56" s="1">
        <f>SUM(AW56:AX56)-SUM(AZ56:BD56)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109.479795</v>
      </c>
      <c r="R57" s="15" t="n">
        <v>-62.623761</v>
      </c>
      <c r="S57" s="15" t="n">
        <v>170</v>
      </c>
      <c r="T57" s="15" t="n">
        <v>101.592362</v>
      </c>
      <c r="U57" s="15" t="n">
        <v>107.351319</v>
      </c>
      <c r="V57" s="15" t="n">
        <v>91.70665</v>
      </c>
      <c r="W57" s="15" t="n">
        <v>47.446025</v>
      </c>
      <c r="X57" s="15" t="n">
        <v>13.422786</v>
      </c>
      <c r="Z57">
        <f>B57</f>
        <v/>
      </c>
      <c r="AA57">
        <f>C57</f>
        <v/>
      </c>
      <c r="AB57" s="11">
        <f>SUM(AE57:AK57)+AM57+AN57</f>
        <v/>
      </c>
      <c r="AC57" s="11">
        <f>SUM(AE57:AK57)+AP57+AQ57</f>
        <v/>
      </c>
      <c r="AD57" s="5">
        <f>AB57-AC57</f>
        <v/>
      </c>
      <c r="AE57">
        <f>D57/F57*W57*-1</f>
        <v/>
      </c>
      <c r="AF57">
        <f>E57/F57*W57</f>
        <v/>
      </c>
      <c r="AG57" s="1">
        <f t="array" ref="AG57">_xlfn.IFS(C57="Biomass_Corn", 1/F57*S57, C57="Biomass_Agri", 1/F57*V57, C57="Biomass_Wood", 1/F57*U57, C57="Biomass_Herb", 1/F57*T57)</f>
        <v/>
      </c>
      <c r="AH57">
        <f>G57/F57*X57</f>
        <v/>
      </c>
      <c r="AI57">
        <f>M57/F57/(0.9*8760)</f>
        <v/>
      </c>
      <c r="AJ57">
        <f>N57/F57/(0.9*8760)</f>
        <v/>
      </c>
      <c r="AK57">
        <f>O57/F57</f>
        <v/>
      </c>
      <c r="AL57" s="1">
        <f>SUM(AZ57:BD57)-AW57</f>
        <v/>
      </c>
      <c r="AM57" s="1">
        <f>(Q57+R57)*-1*(I57+K57)/F57</f>
        <v/>
      </c>
      <c r="AN57">
        <f>AL57*Q57</f>
        <v/>
      </c>
      <c r="AO57">
        <f>SUM(AZ57:BB57)-AW57</f>
        <v/>
      </c>
      <c r="AP57" s="1">
        <f>(I57+K57)/F57*-1*R57</f>
        <v/>
      </c>
      <c r="AQ57">
        <f>AO57*Q57</f>
        <v/>
      </c>
      <c r="AS57" s="9">
        <f>H57</f>
        <v/>
      </c>
      <c r="AT57" s="10" t="n">
        <v>0.1828908353</v>
      </c>
      <c r="AU57" s="9" t="n">
        <v>0.23037491</v>
      </c>
      <c r="AW57" s="10">
        <f>AS57/F57</f>
        <v/>
      </c>
      <c r="AX57" s="10">
        <f>AT57*G57/F57</f>
        <v/>
      </c>
      <c r="AZ57" s="10">
        <f>AU57</f>
        <v/>
      </c>
      <c r="BA57" s="10">
        <f>J57/F57</f>
        <v/>
      </c>
      <c r="BB57" s="10">
        <f>L57/F57</f>
        <v/>
      </c>
      <c r="BC57" s="10">
        <f>I57/F57</f>
        <v/>
      </c>
      <c r="BD57" s="10">
        <f>K57/F57</f>
        <v/>
      </c>
      <c r="BF57" s="1">
        <f>SUM(AW57:AX57)-SUM(AZ57:BD57)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109.479795</v>
      </c>
      <c r="R58" s="16" t="n">
        <v>-6.495931</v>
      </c>
      <c r="S58" s="16" t="n">
        <v>170</v>
      </c>
      <c r="T58" s="15" t="n">
        <v>1554.082648</v>
      </c>
      <c r="U58" s="15" t="n">
        <v>159.857018</v>
      </c>
      <c r="V58" s="15" t="n">
        <v>138.164517</v>
      </c>
      <c r="W58" s="15" t="n">
        <v>36.550692</v>
      </c>
      <c r="X58" s="15" t="n">
        <v>13.678414</v>
      </c>
      <c r="Z58">
        <f>B58</f>
        <v/>
      </c>
      <c r="AA58">
        <f>C58</f>
        <v/>
      </c>
      <c r="AB58" s="11">
        <f>SUM(AE58:AK58)+AM58+AN58</f>
        <v/>
      </c>
      <c r="AC58" s="11">
        <f>SUM(AE58:AK58)+AP58+AQ58</f>
        <v/>
      </c>
      <c r="AD58" s="5">
        <f>AB58-AC58</f>
        <v/>
      </c>
      <c r="AE58">
        <f>D58/F58*W58*-1</f>
        <v/>
      </c>
      <c r="AF58">
        <f>E58/F58*W58</f>
        <v/>
      </c>
      <c r="AG58" s="1">
        <f t="array" ref="AG58">_xlfn.IFS(C58="Biomass_Corn", 1/F58*S58, C58="Biomass_Agri", 1/F58*V58, C58="Biomass_Wood", 1/F58*U58, C58="Biomass_Herb", 1/F58*T58)</f>
        <v/>
      </c>
      <c r="AH58">
        <f>G58/F58*X58</f>
        <v/>
      </c>
      <c r="AI58">
        <f>M58/F58/(0.9*8760)</f>
        <v/>
      </c>
      <c r="AJ58">
        <f>N58/F58/(0.9*8760)</f>
        <v/>
      </c>
      <c r="AK58">
        <f>O58/F58</f>
        <v/>
      </c>
      <c r="AL58" s="1">
        <f>SUM(AZ58:BD58)-AW58</f>
        <v/>
      </c>
      <c r="AM58" s="1">
        <f>(Q58+R58)*-1*(I58+K58)/F58</f>
        <v/>
      </c>
      <c r="AN58">
        <f>AL58*Q58</f>
        <v/>
      </c>
      <c r="AO58">
        <f>SUM(AZ58:BB58)-AW58</f>
        <v/>
      </c>
      <c r="AP58" s="1">
        <f>(I58+K58)/F58*-1*R58</f>
        <v/>
      </c>
      <c r="AQ58">
        <f>AO58*Q58</f>
        <v/>
      </c>
      <c r="AS58" s="9">
        <f>H58</f>
        <v/>
      </c>
      <c r="AT58" s="10" t="n">
        <v>0.1828908353</v>
      </c>
      <c r="AU58" s="9" t="n">
        <v>0.23037491</v>
      </c>
      <c r="AW58" s="10">
        <f>AS58/F58</f>
        <v/>
      </c>
      <c r="AX58" s="10">
        <f>AT58*G58/F58</f>
        <v/>
      </c>
      <c r="AZ58" s="10">
        <f>AU58</f>
        <v/>
      </c>
      <c r="BA58" s="10">
        <f>J58/F58</f>
        <v/>
      </c>
      <c r="BB58" s="10">
        <f>L58/F58</f>
        <v/>
      </c>
      <c r="BC58" s="10">
        <f>I58/F58</f>
        <v/>
      </c>
      <c r="BD58" s="10">
        <f>K58/F58</f>
        <v/>
      </c>
      <c r="BF58" s="1">
        <f>SUM(AW58:AX58)-SUM(AZ58:BD58)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109.479795</v>
      </c>
      <c r="R59" s="16" t="n">
        <v>-7.354813</v>
      </c>
      <c r="S59" s="16" t="n">
        <v>170</v>
      </c>
      <c r="T59" s="15" t="n">
        <v>138.356765</v>
      </c>
      <c r="U59" s="15" t="n">
        <v>156.777934</v>
      </c>
      <c r="V59" s="15" t="n">
        <v>119.345797</v>
      </c>
      <c r="W59" s="15" t="n">
        <v>26.773822</v>
      </c>
      <c r="X59" s="15" t="n">
        <v>13.68019</v>
      </c>
      <c r="Z59">
        <f>B59</f>
        <v/>
      </c>
      <c r="AA59">
        <f>C59</f>
        <v/>
      </c>
      <c r="AB59" s="11">
        <f>SUM(AE59:AK59)+AM59+AN59</f>
        <v/>
      </c>
      <c r="AC59" s="11">
        <f>SUM(AE59:AK59)+AP59+AQ59</f>
        <v/>
      </c>
      <c r="AD59" s="5">
        <f>AB59-AC59</f>
        <v/>
      </c>
      <c r="AE59">
        <f>D59/F59*W59*-1</f>
        <v/>
      </c>
      <c r="AF59">
        <f>E59/F59*W59</f>
        <v/>
      </c>
      <c r="AG59" s="1">
        <f t="array" ref="AG59">_xlfn.IFS(C59="Biomass_Corn", 1/F59*S59, C59="Biomass_Agri", 1/F59*V59, C59="Biomass_Wood", 1/F59*U59, C59="Biomass_Herb", 1/F59*T59)</f>
        <v/>
      </c>
      <c r="AH59">
        <f>G59/F59*X59</f>
        <v/>
      </c>
      <c r="AI59">
        <f>M59/F59/(0.9*8760)</f>
        <v/>
      </c>
      <c r="AJ59">
        <f>N59/F59/(0.9*8760)</f>
        <v/>
      </c>
      <c r="AK59">
        <f>O59/F59</f>
        <v/>
      </c>
      <c r="AL59" s="1">
        <f>SUM(AZ59:BD59)-AW59</f>
        <v/>
      </c>
      <c r="AM59" s="1">
        <f>(Q59+R59)*-1*(I59+K59)/F59</f>
        <v/>
      </c>
      <c r="AN59">
        <f>AL59*Q59</f>
        <v/>
      </c>
      <c r="AO59">
        <f>SUM(AZ59:BB59)-AW59</f>
        <v/>
      </c>
      <c r="AP59" s="1">
        <f>(I59+K59)/F59*-1*R59</f>
        <v/>
      </c>
      <c r="AQ59">
        <f>AO59*Q59</f>
        <v/>
      </c>
      <c r="AS59" s="9">
        <f>H59</f>
        <v/>
      </c>
      <c r="AT59" s="10" t="n">
        <v>0.1828908353</v>
      </c>
      <c r="AU59" s="9" t="n">
        <v>0.23037491</v>
      </c>
      <c r="AW59" s="10">
        <f>AS59/F59</f>
        <v/>
      </c>
      <c r="AX59" s="10">
        <f>AT59*G59/F59</f>
        <v/>
      </c>
      <c r="AZ59" s="10">
        <f>AU59</f>
        <v/>
      </c>
      <c r="BA59" s="10">
        <f>J59/F59</f>
        <v/>
      </c>
      <c r="BB59" s="10">
        <f>L59/F59</f>
        <v/>
      </c>
      <c r="BC59" s="10">
        <f>I59/F59</f>
        <v/>
      </c>
      <c r="BD59" s="10">
        <f>K59/F59</f>
        <v/>
      </c>
      <c r="BF59" s="1">
        <f>SUM(AW59:AX59)-SUM(AZ59:BD59)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109.479795</v>
      </c>
      <c r="R60" s="16" t="n">
        <v>-16.598628</v>
      </c>
      <c r="S60" s="16" t="n">
        <v>170</v>
      </c>
      <c r="T60" s="15" t="n">
        <v>123.651932</v>
      </c>
      <c r="U60" s="15" t="n">
        <v>141.0224</v>
      </c>
      <c r="V60" s="15" t="n">
        <v>111.7672</v>
      </c>
      <c r="W60" s="15" t="n">
        <v>27.997804</v>
      </c>
      <c r="X60" s="15" t="n">
        <v>13.680038</v>
      </c>
      <c r="Z60">
        <f>B60</f>
        <v/>
      </c>
      <c r="AA60">
        <f>C60</f>
        <v/>
      </c>
      <c r="AB60" s="11">
        <f>SUM(AE60:AK60)+AM60+AN60</f>
        <v/>
      </c>
      <c r="AC60" s="11">
        <f>SUM(AE60:AK60)+AP60+AQ60</f>
        <v/>
      </c>
      <c r="AD60" s="5">
        <f>AB60-AC60</f>
        <v/>
      </c>
      <c r="AE60">
        <f>D60/F60*W60*-1</f>
        <v/>
      </c>
      <c r="AF60">
        <f>E60/F60*W60</f>
        <v/>
      </c>
      <c r="AG60" s="1">
        <f t="array" ref="AG60">_xlfn.IFS(C60="Biomass_Corn", 1/F60*S60, C60="Biomass_Agri", 1/F60*V60, C60="Biomass_Wood", 1/F60*U60, C60="Biomass_Herb", 1/F60*T60)</f>
        <v/>
      </c>
      <c r="AH60">
        <f>G60/F60*X60</f>
        <v/>
      </c>
      <c r="AI60">
        <f>M60/F60/(0.9*8760)</f>
        <v/>
      </c>
      <c r="AJ60">
        <f>N60/F60/(0.9*8760)</f>
        <v/>
      </c>
      <c r="AK60">
        <f>O60/F60</f>
        <v/>
      </c>
      <c r="AL60" s="1">
        <f>SUM(AZ60:BD60)-AW60</f>
        <v/>
      </c>
      <c r="AM60" s="1">
        <f>(Q60+R60)*-1*(I60+K60)/F60</f>
        <v/>
      </c>
      <c r="AN60">
        <f>AL60*Q60</f>
        <v/>
      </c>
      <c r="AO60">
        <f>SUM(AZ60:BB60)-AW60</f>
        <v/>
      </c>
      <c r="AP60" s="1">
        <f>(I60+K60)/F60*-1*R60</f>
        <v/>
      </c>
      <c r="AQ60">
        <f>AO60*Q60</f>
        <v/>
      </c>
      <c r="AS60" s="9">
        <f>H60</f>
        <v/>
      </c>
      <c r="AT60" s="10" t="n">
        <v>0.1828908353</v>
      </c>
      <c r="AU60" s="9" t="n">
        <v>0.23037491</v>
      </c>
      <c r="AW60" s="10">
        <f>AS60/F60</f>
        <v/>
      </c>
      <c r="AX60" s="10">
        <f>AT60*G60/F60</f>
        <v/>
      </c>
      <c r="AZ60" s="10">
        <f>AU60</f>
        <v/>
      </c>
      <c r="BA60" s="10">
        <f>J60/F60</f>
        <v/>
      </c>
      <c r="BB60" s="10">
        <f>L60/F60</f>
        <v/>
      </c>
      <c r="BC60" s="10">
        <f>I60/F60</f>
        <v/>
      </c>
      <c r="BD60" s="10">
        <f>K60/F60</f>
        <v/>
      </c>
      <c r="BF60" s="1">
        <f>SUM(AW60:AX60)-SUM(AZ60:BD60)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109.479795</v>
      </c>
      <c r="R61" s="16" t="n">
        <v>-21.506692</v>
      </c>
      <c r="S61" s="16" t="n">
        <v>170</v>
      </c>
      <c r="T61" s="15" t="n">
        <v>137.934648</v>
      </c>
      <c r="U61" s="15" t="n">
        <v>157.881351</v>
      </c>
      <c r="V61" s="15" t="n">
        <v>111.364845</v>
      </c>
      <c r="W61" s="15" t="n">
        <v>20.230252</v>
      </c>
      <c r="X61" s="15" t="n">
        <v>13.325948</v>
      </c>
      <c r="Z61">
        <f>B61</f>
        <v/>
      </c>
      <c r="AA61">
        <f>C61</f>
        <v/>
      </c>
      <c r="AB61" s="11">
        <f>SUM(AE61:AK61)+AM61+AN61</f>
        <v/>
      </c>
      <c r="AC61" s="11">
        <f>SUM(AE61:AK61)+AP61+AQ61</f>
        <v/>
      </c>
      <c r="AD61" s="5">
        <f>AB61-AC61</f>
        <v/>
      </c>
      <c r="AE61">
        <f>D61/F61*W61*-1</f>
        <v/>
      </c>
      <c r="AF61">
        <f>E61/F61*W61</f>
        <v/>
      </c>
      <c r="AG61" s="1">
        <f t="array" ref="AG61">_xlfn.IFS(C61="Biomass_Corn", 1/F61*S61, C61="Biomass_Agri", 1/F61*V61, C61="Biomass_Wood", 1/F61*U61, C61="Biomass_Herb", 1/F61*T61)</f>
        <v/>
      </c>
      <c r="AH61">
        <f>G61/F61*X61</f>
        <v/>
      </c>
      <c r="AI61">
        <f>M61/F61/(0.9*8760)</f>
        <v/>
      </c>
      <c r="AJ61">
        <f>N61/F61/(0.9*8760)</f>
        <v/>
      </c>
      <c r="AK61">
        <f>O61/F61</f>
        <v/>
      </c>
      <c r="AL61" s="1">
        <f>SUM(AZ61:BD61)-AW61</f>
        <v/>
      </c>
      <c r="AM61" s="1">
        <f>(Q61+R61)*-1*(I61+K61)/F61</f>
        <v/>
      </c>
      <c r="AN61">
        <f>AL61*Q61</f>
        <v/>
      </c>
      <c r="AO61">
        <f>SUM(AZ61:BB61)-AW61</f>
        <v/>
      </c>
      <c r="AP61" s="1">
        <f>(I61+K61)/F61*-1*R61</f>
        <v/>
      </c>
      <c r="AQ61">
        <f>AO61*Q61</f>
        <v/>
      </c>
      <c r="AS61" s="9">
        <f>H61</f>
        <v/>
      </c>
      <c r="AT61" s="10" t="n">
        <v>0.1828908353</v>
      </c>
      <c r="AU61" s="9" t="n">
        <v>0.23037491</v>
      </c>
      <c r="AW61" s="10">
        <f>AS61/F61</f>
        <v/>
      </c>
      <c r="AX61" s="10">
        <f>AT61*G61/F61</f>
        <v/>
      </c>
      <c r="AZ61" s="10">
        <f>AU61</f>
        <v/>
      </c>
      <c r="BA61" s="10">
        <f>J61/F61</f>
        <v/>
      </c>
      <c r="BB61" s="10">
        <f>L61/F61</f>
        <v/>
      </c>
      <c r="BC61" s="10">
        <f>I61/F61</f>
        <v/>
      </c>
      <c r="BD61" s="10">
        <f>K61/F61</f>
        <v/>
      </c>
      <c r="BF61" s="1">
        <f>SUM(AW61:AX61)-SUM(AZ61:BD61)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109.479795</v>
      </c>
      <c r="R62" s="16" t="n">
        <v>-41.717135</v>
      </c>
      <c r="S62" s="16" t="n">
        <v>170</v>
      </c>
      <c r="T62" s="15" t="n">
        <v>104.167382</v>
      </c>
      <c r="U62" s="15" t="n">
        <v>115.526389</v>
      </c>
      <c r="V62" s="15" t="n">
        <v>92.044978</v>
      </c>
      <c r="W62" s="15" t="n">
        <v>30.708173</v>
      </c>
      <c r="X62" s="15" t="n">
        <v>13.422003</v>
      </c>
      <c r="Z62">
        <f>B62</f>
        <v/>
      </c>
      <c r="AA62">
        <f>C62</f>
        <v/>
      </c>
      <c r="AB62" s="11">
        <f>SUM(AE62:AK62)+AM62+AN62</f>
        <v/>
      </c>
      <c r="AC62" s="11">
        <f>SUM(AE62:AK62)+AP62+AQ62</f>
        <v/>
      </c>
      <c r="AD62" s="5">
        <f>AB62-AC62</f>
        <v/>
      </c>
      <c r="AE62">
        <f>D62/F62*W62*-1</f>
        <v/>
      </c>
      <c r="AF62">
        <f>E62/F62*W62</f>
        <v/>
      </c>
      <c r="AG62" s="1">
        <f t="array" ref="AG62">_xlfn.IFS(C62="Biomass_Corn", 1/F62*S62, C62="Biomass_Agri", 1/F62*V62, C62="Biomass_Wood", 1/F62*U62, C62="Biomass_Herb", 1/F62*T62)</f>
        <v/>
      </c>
      <c r="AH62">
        <f>G62/F62*X62</f>
        <v/>
      </c>
      <c r="AI62">
        <f>M62/F62/(0.9*8760)</f>
        <v/>
      </c>
      <c r="AJ62">
        <f>N62/F62/(0.9*8760)</f>
        <v/>
      </c>
      <c r="AK62">
        <f>O62/F62</f>
        <v/>
      </c>
      <c r="AL62" s="1">
        <f>SUM(AZ62:BD62)-AW62</f>
        <v/>
      </c>
      <c r="AM62" s="1">
        <f>(Q62+R62)*-1*(I62+K62)/F62</f>
        <v/>
      </c>
      <c r="AN62">
        <f>AL62*Q62</f>
        <v/>
      </c>
      <c r="AO62">
        <f>SUM(AZ62:BB62)-AW62</f>
        <v/>
      </c>
      <c r="AP62" s="1">
        <f>(I62+K62)/F62*-1*R62</f>
        <v/>
      </c>
      <c r="AQ62">
        <f>AO62*Q62</f>
        <v/>
      </c>
      <c r="AS62" s="9">
        <f>H62</f>
        <v/>
      </c>
      <c r="AT62" s="10" t="n">
        <v>0.1828908353</v>
      </c>
      <c r="AU62" s="9" t="n">
        <v>0.23037491</v>
      </c>
      <c r="AW62" s="10">
        <f>AS62/F62</f>
        <v/>
      </c>
      <c r="AX62" s="10">
        <f>AT62*G62/F62</f>
        <v/>
      </c>
      <c r="AZ62" s="10">
        <f>AU62</f>
        <v/>
      </c>
      <c r="BA62" s="10">
        <f>J62/F62</f>
        <v/>
      </c>
      <c r="BB62" s="10">
        <f>L62/F62</f>
        <v/>
      </c>
      <c r="BC62" s="10">
        <f>I62/F62</f>
        <v/>
      </c>
      <c r="BD62" s="10">
        <f>K62/F62</f>
        <v/>
      </c>
      <c r="BF62" s="1">
        <f>SUM(AW62:AX62)-SUM(AZ62:BD62)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109.479795</v>
      </c>
      <c r="R63" s="16" t="n">
        <v>-31.70346</v>
      </c>
      <c r="S63" s="16" t="n">
        <v>170</v>
      </c>
      <c r="T63" s="15" t="n">
        <v>110.461518</v>
      </c>
      <c r="U63" s="15" t="n">
        <v>127.408748</v>
      </c>
      <c r="V63" s="15" t="n">
        <v>98.83247799999999</v>
      </c>
      <c r="W63" s="15" t="n">
        <v>25.324637</v>
      </c>
      <c r="X63" s="15" t="n">
        <v>13.421913</v>
      </c>
      <c r="Z63">
        <f>B63</f>
        <v/>
      </c>
      <c r="AA63">
        <f>C63</f>
        <v/>
      </c>
      <c r="AB63" s="11">
        <f>SUM(AE63:AK63)+AM63+AN63</f>
        <v/>
      </c>
      <c r="AC63" s="11">
        <f>SUM(AE63:AK63)+AP63+AQ63</f>
        <v/>
      </c>
      <c r="AD63" s="5">
        <f>AB63-AC63</f>
        <v/>
      </c>
      <c r="AE63">
        <f>D63/F63*W63*-1</f>
        <v/>
      </c>
      <c r="AF63">
        <f>E63/F63*W63</f>
        <v/>
      </c>
      <c r="AG63" s="1">
        <f t="array" ref="AG63">_xlfn.IFS(C63="Biomass_Corn", 1/F63*S63, C63="Biomass_Agri", 1/F63*V63, C63="Biomass_Wood", 1/F63*U63, C63="Biomass_Herb", 1/F63*T63)</f>
        <v/>
      </c>
      <c r="AH63">
        <f>G63/F63*X63</f>
        <v/>
      </c>
      <c r="AI63">
        <f>M63/F63/(0.9*8760)</f>
        <v/>
      </c>
      <c r="AJ63">
        <f>N63/F63/(0.9*8760)</f>
        <v/>
      </c>
      <c r="AK63">
        <f>O63/F63</f>
        <v/>
      </c>
      <c r="AL63" s="1">
        <f>SUM(AZ63:BD63)-AW63</f>
        <v/>
      </c>
      <c r="AM63" s="1">
        <f>(Q63+R63)*-1*(I63+K63)/F63</f>
        <v/>
      </c>
      <c r="AN63">
        <f>AL63*Q63</f>
        <v/>
      </c>
      <c r="AO63">
        <f>SUM(AZ63:BB63)-AW63</f>
        <v/>
      </c>
      <c r="AP63" s="1">
        <f>(I63+K63)/F63*-1*R63</f>
        <v/>
      </c>
      <c r="AQ63">
        <f>AO63*Q63</f>
        <v/>
      </c>
      <c r="AS63" s="9">
        <f>H63</f>
        <v/>
      </c>
      <c r="AT63" s="10" t="n">
        <v>0.1828908353</v>
      </c>
      <c r="AU63" s="9" t="n">
        <v>0.23037491</v>
      </c>
      <c r="AW63" s="10">
        <f>AS63/F63</f>
        <v/>
      </c>
      <c r="AX63" s="10">
        <f>AT63*G63/F63</f>
        <v/>
      </c>
      <c r="AZ63" s="10">
        <f>AU63</f>
        <v/>
      </c>
      <c r="BA63" s="10">
        <f>J63/F63</f>
        <v/>
      </c>
      <c r="BB63" s="10">
        <f>L63/F63</f>
        <v/>
      </c>
      <c r="BC63" s="10">
        <f>I63/F63</f>
        <v/>
      </c>
      <c r="BD63" s="10">
        <f>K63/F63</f>
        <v/>
      </c>
      <c r="BF63" s="1">
        <f>SUM(AW63:AX63)-SUM(AZ63:BD63)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109.479795</v>
      </c>
      <c r="R64" s="16" t="n">
        <v>-47.70091</v>
      </c>
      <c r="S64" s="16" t="n">
        <v>170</v>
      </c>
      <c r="T64" s="15" t="n">
        <v>99.63284299999999</v>
      </c>
      <c r="U64" s="15" t="n">
        <v>113.227017</v>
      </c>
      <c r="V64" s="15" t="n">
        <v>88.855315</v>
      </c>
      <c r="W64" s="15" t="n">
        <v>38.218446</v>
      </c>
      <c r="X64" s="15" t="n">
        <v>13.421908</v>
      </c>
      <c r="Z64">
        <f>B64</f>
        <v/>
      </c>
      <c r="AA64">
        <f>C64</f>
        <v/>
      </c>
      <c r="AB64" s="11">
        <f>SUM(AE64:AK64)+AM64+AN64</f>
        <v/>
      </c>
      <c r="AC64" s="11">
        <f>SUM(AE64:AK64)+AP64+AQ64</f>
        <v/>
      </c>
      <c r="AD64" s="5">
        <f>AB64-AC64</f>
        <v/>
      </c>
      <c r="AE64">
        <f>D64/F64*W64*-1</f>
        <v/>
      </c>
      <c r="AF64">
        <f>E64/F64*W64</f>
        <v/>
      </c>
      <c r="AG64" s="1">
        <f t="array" ref="AG64">_xlfn.IFS(C64="Biomass_Corn", 1/F64*S64, C64="Biomass_Agri", 1/F64*V64, C64="Biomass_Wood", 1/F64*U64, C64="Biomass_Herb", 1/F64*T64)</f>
        <v/>
      </c>
      <c r="AH64">
        <f>G64/F64*X64</f>
        <v/>
      </c>
      <c r="AI64">
        <f>M64/F64/(0.9*8760)</f>
        <v/>
      </c>
      <c r="AJ64">
        <f>N64/F64/(0.9*8760)</f>
        <v/>
      </c>
      <c r="AK64">
        <f>O64/F64</f>
        <v/>
      </c>
      <c r="AL64" s="1">
        <f>SUM(AZ64:BD64)-AW64</f>
        <v/>
      </c>
      <c r="AM64" s="1">
        <f>(Q64+R64)*-1*(I64+K64)/F64</f>
        <v/>
      </c>
      <c r="AN64">
        <f>AL64*Q64</f>
        <v/>
      </c>
      <c r="AO64">
        <f>SUM(AZ64:BB64)-AW64</f>
        <v/>
      </c>
      <c r="AP64" s="1">
        <f>(I64+K64)/F64*-1*R64</f>
        <v/>
      </c>
      <c r="AQ64">
        <f>AO64*Q64</f>
        <v/>
      </c>
      <c r="AS64" s="9">
        <f>H64</f>
        <v/>
      </c>
      <c r="AT64" s="10" t="n">
        <v>0.1828908353</v>
      </c>
      <c r="AU64" s="9" t="n">
        <v>0.23037491</v>
      </c>
      <c r="AW64" s="10">
        <f>AS64/F64</f>
        <v/>
      </c>
      <c r="AX64" s="10">
        <f>AT64*G64/F64</f>
        <v/>
      </c>
      <c r="AZ64" s="10">
        <f>AU64</f>
        <v/>
      </c>
      <c r="BA64" s="10">
        <f>J64/F64</f>
        <v/>
      </c>
      <c r="BB64" s="10">
        <f>L64/F64</f>
        <v/>
      </c>
      <c r="BC64" s="10">
        <f>I64/F64</f>
        <v/>
      </c>
      <c r="BD64" s="10">
        <f>K64/F64</f>
        <v/>
      </c>
      <c r="BF64" s="1">
        <f>SUM(AW64:AX64)-SUM(AZ64:BD64)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109.479795</v>
      </c>
      <c r="R65" s="16" t="n">
        <v>-54.115443</v>
      </c>
      <c r="S65" s="16" t="n">
        <v>170</v>
      </c>
      <c r="T65" s="15" t="n">
        <v>100.773744</v>
      </c>
      <c r="U65" s="15" t="n">
        <v>108.668072</v>
      </c>
      <c r="V65" s="15" t="n">
        <v>89.424565</v>
      </c>
      <c r="W65" s="15" t="n">
        <v>39.359472</v>
      </c>
      <c r="X65" s="15" t="n">
        <v>13.423122</v>
      </c>
      <c r="Z65">
        <f>B65</f>
        <v/>
      </c>
      <c r="AA65">
        <f>C65</f>
        <v/>
      </c>
      <c r="AB65" s="11">
        <f>SUM(AE65:AK65)+AM65+AN65</f>
        <v/>
      </c>
      <c r="AC65" s="11">
        <f>SUM(AE65:AK65)+AP65+AQ65</f>
        <v/>
      </c>
      <c r="AD65" s="5">
        <f>AB65-AC65</f>
        <v/>
      </c>
      <c r="AE65">
        <f>D65/F65*W65*-1</f>
        <v/>
      </c>
      <c r="AF65">
        <f>E65/F65*W65</f>
        <v/>
      </c>
      <c r="AG65" s="1">
        <f t="array" ref="AG65">_xlfn.IFS(C65="Biomass_Corn", 1/F65*S65, C65="Biomass_Agri", 1/F65*V65, C65="Biomass_Wood", 1/F65*U65, C65="Biomass_Herb", 1/F65*T65)</f>
        <v/>
      </c>
      <c r="AH65">
        <f>G65/F65*X65</f>
        <v/>
      </c>
      <c r="AI65">
        <f>M65/F65/(0.9*8760)</f>
        <v/>
      </c>
      <c r="AJ65">
        <f>N65/F65/(0.9*8760)</f>
        <v/>
      </c>
      <c r="AK65">
        <f>O65/F65</f>
        <v/>
      </c>
      <c r="AL65" s="1">
        <f>SUM(AZ65:BD65)-AW65</f>
        <v/>
      </c>
      <c r="AM65" s="1">
        <f>(Q65+R65)*-1*(I65+K65)/F65</f>
        <v/>
      </c>
      <c r="AN65">
        <f>AL65*Q65</f>
        <v/>
      </c>
      <c r="AO65">
        <f>SUM(AZ65:BB65)-AW65</f>
        <v/>
      </c>
      <c r="AP65" s="1">
        <f>(I65+K65)/F65*-1*R65</f>
        <v/>
      </c>
      <c r="AQ65">
        <f>AO65*Q65</f>
        <v/>
      </c>
      <c r="AS65" s="9">
        <f>H65</f>
        <v/>
      </c>
      <c r="AT65" s="10" t="n">
        <v>0.1828908353</v>
      </c>
      <c r="AU65" s="9" t="n">
        <v>0.23037491</v>
      </c>
      <c r="AW65" s="10">
        <f>AS65/F65</f>
        <v/>
      </c>
      <c r="AX65" s="10">
        <f>AT65*G65/F65</f>
        <v/>
      </c>
      <c r="AZ65" s="10">
        <f>AU65</f>
        <v/>
      </c>
      <c r="BA65" s="10">
        <f>J65/F65</f>
        <v/>
      </c>
      <c r="BB65" s="10">
        <f>L65/F65</f>
        <v/>
      </c>
      <c r="BC65" s="10">
        <f>I65/F65</f>
        <v/>
      </c>
      <c r="BD65" s="10">
        <f>K65/F65</f>
        <v/>
      </c>
      <c r="BF65" s="1">
        <f>SUM(AW65:AX65)-SUM(AZ65:BD65)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109.479795</v>
      </c>
      <c r="R66" s="16" t="n">
        <v>-62.623761</v>
      </c>
      <c r="S66" s="16" t="n">
        <v>170</v>
      </c>
      <c r="T66" s="15" t="n">
        <v>101.592362</v>
      </c>
      <c r="U66" s="15" t="n">
        <v>107.351319</v>
      </c>
      <c r="V66" s="15" t="n">
        <v>91.70665</v>
      </c>
      <c r="W66" s="15" t="n">
        <v>47.446025</v>
      </c>
      <c r="X66" s="15" t="n">
        <v>13.422786</v>
      </c>
      <c r="Z66">
        <f>B66</f>
        <v/>
      </c>
      <c r="AA66">
        <f>C66</f>
        <v/>
      </c>
      <c r="AB66" s="11">
        <f>SUM(AE66:AK66)+AM66+AN66</f>
        <v/>
      </c>
      <c r="AC66" s="11">
        <f>SUM(AE66:AK66)+AP66+AQ66</f>
        <v/>
      </c>
      <c r="AD66" s="5">
        <f>AB66-AC66</f>
        <v/>
      </c>
      <c r="AE66">
        <f>D66/F66*W66*-1</f>
        <v/>
      </c>
      <c r="AF66">
        <f>E66/F66*W66</f>
        <v/>
      </c>
      <c r="AG66" s="1">
        <f t="array" ref="AG66">_xlfn.IFS(C66="Biomass_Corn", 1/F66*S66, C66="Biomass_Agri", 1/F66*V66, C66="Biomass_Wood", 1/F66*U66, C66="Biomass_Herb", 1/F66*T66)</f>
        <v/>
      </c>
      <c r="AH66">
        <f>G66/F66*X66</f>
        <v/>
      </c>
      <c r="AI66">
        <f>M66/F66/(0.9*8760)</f>
        <v/>
      </c>
      <c r="AJ66">
        <f>N66/F66/(0.9*8760)</f>
        <v/>
      </c>
      <c r="AK66">
        <f>O66/F66</f>
        <v/>
      </c>
      <c r="AL66" s="1">
        <f>SUM(AZ66:BD66)-AW66</f>
        <v/>
      </c>
      <c r="AM66" s="1">
        <f>(Q66+R66)*-1*(I66+K66)/F66</f>
        <v/>
      </c>
      <c r="AN66">
        <f>AL66*Q66</f>
        <v/>
      </c>
      <c r="AO66">
        <f>SUM(AZ66:BB66)-AW66</f>
        <v/>
      </c>
      <c r="AP66" s="1">
        <f>(I66+K66)/F66*-1*R66</f>
        <v/>
      </c>
      <c r="AQ66">
        <f>AO66*Q66</f>
        <v/>
      </c>
      <c r="AS66" s="9">
        <f>H66</f>
        <v/>
      </c>
      <c r="AT66" s="10" t="n">
        <v>0.1828908353</v>
      </c>
      <c r="AU66" s="9" t="n">
        <v>0.23037491</v>
      </c>
      <c r="AW66" s="10">
        <f>AS66/F66</f>
        <v/>
      </c>
      <c r="AX66" s="10">
        <f>AT66*G66/F66</f>
        <v/>
      </c>
      <c r="AZ66" s="10">
        <f>AU66</f>
        <v/>
      </c>
      <c r="BA66" s="10">
        <f>J66/F66</f>
        <v/>
      </c>
      <c r="BB66" s="10">
        <f>L66/F66</f>
        <v/>
      </c>
      <c r="BC66" s="10">
        <f>I66/F66</f>
        <v/>
      </c>
      <c r="BD66" s="10">
        <f>K66/F66</f>
        <v/>
      </c>
      <c r="BF66" s="1">
        <f>SUM(AW66:AX66)-SUM(AZ66:BD66)</f>
        <v/>
      </c>
    </row>
    <row r="67">
      <c r="B67" s="24" t="inlineStr">
        <is>
          <t>CA_DryMill_CCS_Fermentation_Exhaust</t>
        </is>
      </c>
      <c r="C67" s="23" t="inlineStr">
        <is>
          <t>Biomass_Corn</t>
        </is>
      </c>
      <c r="D67" s="23" t="n">
        <v>0</v>
      </c>
      <c r="E67" s="23" t="n">
        <v>0.085342825</v>
      </c>
      <c r="F67" s="23" t="n">
        <v>3.104337995</v>
      </c>
      <c r="G67" s="23" t="n">
        <v>1.013397519</v>
      </c>
      <c r="H67" s="23" t="n">
        <v>1.758866658</v>
      </c>
      <c r="I67" s="23" t="n">
        <v>0.357687672</v>
      </c>
      <c r="J67" s="23" t="n">
        <v>0.6860173939999999</v>
      </c>
      <c r="K67" s="23" t="n">
        <v>0.152906423</v>
      </c>
      <c r="L67" s="23" t="n">
        <v>0.032434696</v>
      </c>
      <c r="M67" s="23" t="n">
        <v>45179.42</v>
      </c>
      <c r="N67" s="23" t="n">
        <v>201481.25</v>
      </c>
      <c r="O67" s="23" t="n">
        <v>-25.28</v>
      </c>
      <c r="Q67" s="22" t="n">
        <v>109.479795</v>
      </c>
      <c r="R67" s="22" t="n">
        <v>-6.495931</v>
      </c>
      <c r="S67" s="22" t="n">
        <v>170</v>
      </c>
      <c r="T67" s="22" t="n">
        <v>1554.082648</v>
      </c>
      <c r="U67" s="22" t="n">
        <v>159.857018</v>
      </c>
      <c r="V67" s="22" t="n">
        <v>138.164517</v>
      </c>
      <c r="W67" s="22" t="n">
        <v>36.550692</v>
      </c>
      <c r="X67" s="22" t="n">
        <v>13.678414</v>
      </c>
      <c r="Z67">
        <f>B67</f>
        <v/>
      </c>
      <c r="AA67">
        <f>C67</f>
        <v/>
      </c>
      <c r="AB67" s="21">
        <f>SUM(AE67:AK67)+AM67+AN67</f>
        <v/>
      </c>
      <c r="AC67" s="21">
        <f>SUM(AE67:AK67)+AP67+AQ67</f>
        <v/>
      </c>
      <c r="AD67" s="5">
        <f>AB67-AC67</f>
        <v/>
      </c>
      <c r="AE67">
        <f>D67/F67*W67*-1</f>
        <v/>
      </c>
      <c r="AF67">
        <f>E67/F67*W67</f>
        <v/>
      </c>
      <c r="AG67" s="1">
        <f t="array" ref="AG67">_xlfn.IFS(C67="Biomass_Corn", 1/F67*S67, C67="Biomass_Agri", 1/F67*V67, C67="Biomass_Wood", 1/F67*U67, C67="Biomass_Herb", 1/F67*T67)</f>
        <v/>
      </c>
      <c r="AH67">
        <f>G67/F67*X67</f>
        <v/>
      </c>
      <c r="AI67">
        <f>M67/F67/(0.9*8760)</f>
        <v/>
      </c>
      <c r="AJ67">
        <f>N67/F67/(0.9*8760)</f>
        <v/>
      </c>
      <c r="AK67">
        <f>O67/F67</f>
        <v/>
      </c>
      <c r="AL67" s="1">
        <f>SUM(AZ67:BD67)-AW67</f>
        <v/>
      </c>
      <c r="AM67" s="1">
        <f>(Q67+R67)*-1*(I67+K67)/F67</f>
        <v/>
      </c>
      <c r="AN67">
        <f>AL67*Q67</f>
        <v/>
      </c>
      <c r="AO67">
        <f>SUM(AZ67:BB67)-AW67</f>
        <v/>
      </c>
      <c r="AP67" s="1">
        <f>(I67+K67)/F67*-1*R67</f>
        <v/>
      </c>
      <c r="AQ67">
        <f>AO67*Q67</f>
        <v/>
      </c>
      <c r="AS67" s="20">
        <f>H67</f>
        <v/>
      </c>
      <c r="AT67" s="10" t="n">
        <v>0.1828908353</v>
      </c>
      <c r="AU67" s="20" t="n">
        <v>0.23037491</v>
      </c>
      <c r="AW67" s="18">
        <f>AS67/F67</f>
        <v/>
      </c>
      <c r="AX67" s="18">
        <f>AT67*G67/F67</f>
        <v/>
      </c>
      <c r="AZ67" s="18">
        <f>AU67</f>
        <v/>
      </c>
      <c r="BA67" s="19">
        <f>J67/F67</f>
        <v/>
      </c>
      <c r="BB67" s="18">
        <f>L67/F67</f>
        <v/>
      </c>
      <c r="BC67" s="19">
        <f>I67/F67</f>
        <v/>
      </c>
      <c r="BD67" s="18">
        <f>K67/F67</f>
        <v/>
      </c>
      <c r="BF67" s="1">
        <f>SUM(AW67:AX67)-SUM(AZ67:BD67)</f>
        <v/>
      </c>
    </row>
    <row r="68">
      <c r="B68" s="24" t="inlineStr">
        <is>
          <t>NW_DryMill_CCS_Fermentation_Exhaust</t>
        </is>
      </c>
      <c r="C68" s="23" t="inlineStr">
        <is>
          <t>Biomass_Corn</t>
        </is>
      </c>
      <c r="D68" s="23" t="n">
        <v>0</v>
      </c>
      <c r="E68" s="23" t="n">
        <v>0.085342825</v>
      </c>
      <c r="F68" s="23" t="n">
        <v>3.104337995</v>
      </c>
      <c r="G68" s="23" t="n">
        <v>1.013397519</v>
      </c>
      <c r="H68" s="23" t="n">
        <v>1.758866658</v>
      </c>
      <c r="I68" s="23" t="n">
        <v>0.357687672</v>
      </c>
      <c r="J68" s="23" t="n">
        <v>0.6860173939999999</v>
      </c>
      <c r="K68" s="23" t="n">
        <v>0.152906423</v>
      </c>
      <c r="L68" s="23" t="n">
        <v>0.032434696</v>
      </c>
      <c r="M68" s="23" t="n">
        <v>45179.42</v>
      </c>
      <c r="N68" s="23" t="n">
        <v>201481.25</v>
      </c>
      <c r="O68" s="23" t="n">
        <v>-25.28</v>
      </c>
      <c r="Q68" s="22" t="n">
        <v>109.479795</v>
      </c>
      <c r="R68" s="22" t="n">
        <v>-7.354813</v>
      </c>
      <c r="S68" s="22" t="n">
        <v>170</v>
      </c>
      <c r="T68" s="22" t="n">
        <v>138.356765</v>
      </c>
      <c r="U68" s="22" t="n">
        <v>156.777934</v>
      </c>
      <c r="V68" s="22" t="n">
        <v>119.345797</v>
      </c>
      <c r="W68" s="22" t="n">
        <v>26.773822</v>
      </c>
      <c r="X68" s="22" t="n">
        <v>13.68019</v>
      </c>
      <c r="Z68">
        <f>B68</f>
        <v/>
      </c>
      <c r="AA68">
        <f>C68</f>
        <v/>
      </c>
      <c r="AB68" s="21">
        <f>SUM(AE68:AK68)+AM68+AN68</f>
        <v/>
      </c>
      <c r="AC68" s="21">
        <f>SUM(AE68:AK68)+AP68+AQ68</f>
        <v/>
      </c>
      <c r="AD68" s="5">
        <f>AB68-AC68</f>
        <v/>
      </c>
      <c r="AE68">
        <f>D68/F68*W68*-1</f>
        <v/>
      </c>
      <c r="AF68">
        <f>E68/F68*W68</f>
        <v/>
      </c>
      <c r="AG68" s="1">
        <f t="array" ref="AG68">_xlfn.IFS(C68="Biomass_Corn", 1/F68*S68, C68="Biomass_Agri", 1/F68*V68, C68="Biomass_Wood", 1/F68*U68, C68="Biomass_Herb", 1/F68*T68)</f>
        <v/>
      </c>
      <c r="AH68">
        <f>G68/F68*X68</f>
        <v/>
      </c>
      <c r="AI68">
        <f>M68/F68/(0.9*8760)</f>
        <v/>
      </c>
      <c r="AJ68">
        <f>N68/F68/(0.9*8760)</f>
        <v/>
      </c>
      <c r="AK68">
        <f>O68/F68</f>
        <v/>
      </c>
      <c r="AL68" s="1">
        <f>SUM(AZ68:BD68)-AW68</f>
        <v/>
      </c>
      <c r="AM68" s="1">
        <f>(Q68+R68)*-1*(I68+K68)/F68</f>
        <v/>
      </c>
      <c r="AN68">
        <f>AL68*Q68</f>
        <v/>
      </c>
      <c r="AO68">
        <f>SUM(AZ68:BB68)-AW68</f>
        <v/>
      </c>
      <c r="AP68" s="1">
        <f>(I68+K68)/F68*-1*R68</f>
        <v/>
      </c>
      <c r="AQ68">
        <f>AO68*Q68</f>
        <v/>
      </c>
      <c r="AS68" s="20">
        <f>H68</f>
        <v/>
      </c>
      <c r="AT68" s="10" t="n">
        <v>0.1828908353</v>
      </c>
      <c r="AU68" s="20" t="n">
        <v>0.23037491</v>
      </c>
      <c r="AW68" s="18">
        <f>AS68/F68</f>
        <v/>
      </c>
      <c r="AX68" s="18">
        <f>AT68*G68/F68</f>
        <v/>
      </c>
      <c r="AZ68" s="18">
        <f>AU68</f>
        <v/>
      </c>
      <c r="BA68" s="19">
        <f>J68/F68</f>
        <v/>
      </c>
      <c r="BB68" s="18">
        <f>L68/F68</f>
        <v/>
      </c>
      <c r="BC68" s="19">
        <f>I68/F68</f>
        <v/>
      </c>
      <c r="BD68" s="18">
        <f>K68/F68</f>
        <v/>
      </c>
      <c r="BF68" s="1">
        <f>SUM(AW68:AX68)-SUM(AZ68:BD68)</f>
        <v/>
      </c>
    </row>
    <row r="69">
      <c r="B69" s="24" t="inlineStr">
        <is>
          <t>SW_DryMill_CCS_Fermentation_Exhaust</t>
        </is>
      </c>
      <c r="C69" s="23" t="inlineStr">
        <is>
          <t>Biomass_Corn</t>
        </is>
      </c>
      <c r="D69" s="23" t="n">
        <v>0</v>
      </c>
      <c r="E69" s="23" t="n">
        <v>0.085342825</v>
      </c>
      <c r="F69" s="23" t="n">
        <v>3.104337995</v>
      </c>
      <c r="G69" s="23" t="n">
        <v>1.013397519</v>
      </c>
      <c r="H69" s="23" t="n">
        <v>1.758866658</v>
      </c>
      <c r="I69" s="23" t="n">
        <v>0.357687672</v>
      </c>
      <c r="J69" s="23" t="n">
        <v>0.6860173939999999</v>
      </c>
      <c r="K69" s="23" t="n">
        <v>0.152906423</v>
      </c>
      <c r="L69" s="23" t="n">
        <v>0.032434696</v>
      </c>
      <c r="M69" s="23" t="n">
        <v>45179.42</v>
      </c>
      <c r="N69" s="23" t="n">
        <v>201481.25</v>
      </c>
      <c r="O69" s="23" t="n">
        <v>-25.28</v>
      </c>
      <c r="Q69" s="22" t="n">
        <v>109.479795</v>
      </c>
      <c r="R69" s="22" t="n">
        <v>-16.598628</v>
      </c>
      <c r="S69" s="22" t="n">
        <v>170</v>
      </c>
      <c r="T69" s="22" t="n">
        <v>123.651932</v>
      </c>
      <c r="U69" s="22" t="n">
        <v>141.0224</v>
      </c>
      <c r="V69" s="22" t="n">
        <v>111.7672</v>
      </c>
      <c r="W69" s="22" t="n">
        <v>27.997804</v>
      </c>
      <c r="X69" s="22" t="n">
        <v>13.680038</v>
      </c>
      <c r="Z69">
        <f>B69</f>
        <v/>
      </c>
      <c r="AA69">
        <f>C69</f>
        <v/>
      </c>
      <c r="AB69" s="21">
        <f>SUM(AE69:AK69)+AM69+AN69</f>
        <v/>
      </c>
      <c r="AC69" s="21">
        <f>SUM(AE69:AK69)+AP69+AQ69</f>
        <v/>
      </c>
      <c r="AD69" s="5">
        <f>AB69-AC69</f>
        <v/>
      </c>
      <c r="AE69">
        <f>D69/F69*W69*-1</f>
        <v/>
      </c>
      <c r="AF69">
        <f>E69/F69*W69</f>
        <v/>
      </c>
      <c r="AG69" s="1">
        <f t="array" ref="AG69">_xlfn.IFS(C69="Biomass_Corn", 1/F69*S69, C69="Biomass_Agri", 1/F69*V69, C69="Biomass_Wood", 1/F69*U69, C69="Biomass_Herb", 1/F69*T69)</f>
        <v/>
      </c>
      <c r="AH69">
        <f>G69/F69*X69</f>
        <v/>
      </c>
      <c r="AI69">
        <f>M69/F69/(0.9*8760)</f>
        <v/>
      </c>
      <c r="AJ69">
        <f>N69/F69/(0.9*8760)</f>
        <v/>
      </c>
      <c r="AK69">
        <f>O69/F69</f>
        <v/>
      </c>
      <c r="AL69" s="1">
        <f>SUM(AZ69:BD69)-AW69</f>
        <v/>
      </c>
      <c r="AM69" s="1">
        <f>(Q69+R69)*-1*(I69+K69)/F69</f>
        <v/>
      </c>
      <c r="AN69">
        <f>AL69*Q69</f>
        <v/>
      </c>
      <c r="AO69">
        <f>SUM(AZ69:BB69)-AW69</f>
        <v/>
      </c>
      <c r="AP69" s="1">
        <f>(I69+K69)/F69*-1*R69</f>
        <v/>
      </c>
      <c r="AQ69">
        <f>AO69*Q69</f>
        <v/>
      </c>
      <c r="AS69" s="20">
        <f>H69</f>
        <v/>
      </c>
      <c r="AT69" s="10" t="n">
        <v>0.1828908353</v>
      </c>
      <c r="AU69" s="20" t="n">
        <v>0.23037491</v>
      </c>
      <c r="AW69" s="18">
        <f>AS69/F69</f>
        <v/>
      </c>
      <c r="AX69" s="18">
        <f>AT69*G69/F69</f>
        <v/>
      </c>
      <c r="AZ69" s="18">
        <f>AU69</f>
        <v/>
      </c>
      <c r="BA69" s="19">
        <f>J69/F69</f>
        <v/>
      </c>
      <c r="BB69" s="18">
        <f>L69/F69</f>
        <v/>
      </c>
      <c r="BC69" s="19">
        <f>I69/F69</f>
        <v/>
      </c>
      <c r="BD69" s="18">
        <f>K69/F69</f>
        <v/>
      </c>
      <c r="BF69" s="1">
        <f>SUM(AW69:AX69)-SUM(AZ69:BD69)</f>
        <v/>
      </c>
    </row>
    <row r="70">
      <c r="B70" s="24" t="inlineStr">
        <is>
          <t>TX_DryMill_CCS_Fermentation_Exhaust</t>
        </is>
      </c>
      <c r="C70" s="23" t="inlineStr">
        <is>
          <t>Biomass_Corn</t>
        </is>
      </c>
      <c r="D70" s="23" t="n">
        <v>0</v>
      </c>
      <c r="E70" s="23" t="n">
        <v>0.085342825</v>
      </c>
      <c r="F70" s="23" t="n">
        <v>3.104337995</v>
      </c>
      <c r="G70" s="23" t="n">
        <v>1.013397519</v>
      </c>
      <c r="H70" s="23" t="n">
        <v>1.758866658</v>
      </c>
      <c r="I70" s="23" t="n">
        <v>0.357687672</v>
      </c>
      <c r="J70" s="23" t="n">
        <v>0.6860173939999999</v>
      </c>
      <c r="K70" s="23" t="n">
        <v>0.152906423</v>
      </c>
      <c r="L70" s="23" t="n">
        <v>0.032434696</v>
      </c>
      <c r="M70" s="23" t="n">
        <v>45179.42</v>
      </c>
      <c r="N70" s="23" t="n">
        <v>201481.25</v>
      </c>
      <c r="O70" s="23" t="n">
        <v>-25.28</v>
      </c>
      <c r="Q70" s="22" t="n">
        <v>109.479795</v>
      </c>
      <c r="R70" s="22" t="n">
        <v>-21.506692</v>
      </c>
      <c r="S70" s="22" t="n">
        <v>170</v>
      </c>
      <c r="T70" s="22" t="n">
        <v>137.934648</v>
      </c>
      <c r="U70" s="22" t="n">
        <v>157.881351</v>
      </c>
      <c r="V70" s="22" t="n">
        <v>111.364845</v>
      </c>
      <c r="W70" s="22" t="n">
        <v>20.230252</v>
      </c>
      <c r="X70" s="22" t="n">
        <v>13.325948</v>
      </c>
      <c r="Z70">
        <f>B70</f>
        <v/>
      </c>
      <c r="AA70">
        <f>C70</f>
        <v/>
      </c>
      <c r="AB70" s="21">
        <f>SUM(AE70:AK70)+AM70+AN70</f>
        <v/>
      </c>
      <c r="AC70" s="21">
        <f>SUM(AE70:AK70)+AP70+AQ70</f>
        <v/>
      </c>
      <c r="AD70" s="5">
        <f>AB70-AC70</f>
        <v/>
      </c>
      <c r="AE70">
        <f>D70/F70*W70*-1</f>
        <v/>
      </c>
      <c r="AF70">
        <f>E70/F70*W70</f>
        <v/>
      </c>
      <c r="AG70" s="1">
        <f t="array" ref="AG70">_xlfn.IFS(C70="Biomass_Corn", 1/F70*S70, C70="Biomass_Agri", 1/F70*V70, C70="Biomass_Wood", 1/F70*U70, C70="Biomass_Herb", 1/F70*T70)</f>
        <v/>
      </c>
      <c r="AH70">
        <f>G70/F70*X70</f>
        <v/>
      </c>
      <c r="AI70">
        <f>M70/F70/(0.9*8760)</f>
        <v/>
      </c>
      <c r="AJ70">
        <f>N70/F70/(0.9*8760)</f>
        <v/>
      </c>
      <c r="AK70">
        <f>O70/F70</f>
        <v/>
      </c>
      <c r="AL70" s="1">
        <f>SUM(AZ70:BD70)-AW70</f>
        <v/>
      </c>
      <c r="AM70" s="1">
        <f>(Q70+R70)*-1*(I70+K70)/F70</f>
        <v/>
      </c>
      <c r="AN70">
        <f>AL70*Q70</f>
        <v/>
      </c>
      <c r="AO70">
        <f>SUM(AZ70:BB70)-AW70</f>
        <v/>
      </c>
      <c r="AP70" s="1">
        <f>(I70+K70)/F70*-1*R70</f>
        <v/>
      </c>
      <c r="AQ70">
        <f>AO70*Q70</f>
        <v/>
      </c>
      <c r="AS70" s="20">
        <f>H70</f>
        <v/>
      </c>
      <c r="AT70" s="10" t="n">
        <v>0.1828908353</v>
      </c>
      <c r="AU70" s="20" t="n">
        <v>0.23037491</v>
      </c>
      <c r="AW70" s="18">
        <f>AS70/F70</f>
        <v/>
      </c>
      <c r="AX70" s="18">
        <f>AT70*G70/F70</f>
        <v/>
      </c>
      <c r="AZ70" s="18">
        <f>AU70</f>
        <v/>
      </c>
      <c r="BA70" s="19">
        <f>J70/F70</f>
        <v/>
      </c>
      <c r="BB70" s="18">
        <f>L70/F70</f>
        <v/>
      </c>
      <c r="BC70" s="19">
        <f>I70/F70</f>
        <v/>
      </c>
      <c r="BD70" s="18">
        <f>K70/F70</f>
        <v/>
      </c>
      <c r="BF70" s="1">
        <f>SUM(AW70:AX70)-SUM(AZ70:BD70)</f>
        <v/>
      </c>
    </row>
    <row r="71">
      <c r="B71" s="24" t="inlineStr">
        <is>
          <t>NCEN_DryMill_CCS_Fermentation_Exhaust</t>
        </is>
      </c>
      <c r="C71" s="23" t="inlineStr">
        <is>
          <t>Biomass_Corn</t>
        </is>
      </c>
      <c r="D71" s="23" t="n">
        <v>0</v>
      </c>
      <c r="E71" s="23" t="n">
        <v>0.085342825</v>
      </c>
      <c r="F71" s="23" t="n">
        <v>3.104337995</v>
      </c>
      <c r="G71" s="23" t="n">
        <v>1.013397519</v>
      </c>
      <c r="H71" s="23" t="n">
        <v>1.758866658</v>
      </c>
      <c r="I71" s="23" t="n">
        <v>0.357687672</v>
      </c>
      <c r="J71" s="23" t="n">
        <v>0.6860173939999999</v>
      </c>
      <c r="K71" s="23" t="n">
        <v>0.152906423</v>
      </c>
      <c r="L71" s="23" t="n">
        <v>0.032434696</v>
      </c>
      <c r="M71" s="23" t="n">
        <v>45179.42</v>
      </c>
      <c r="N71" s="23" t="n">
        <v>201481.25</v>
      </c>
      <c r="O71" s="23" t="n">
        <v>-25.28</v>
      </c>
      <c r="Q71" s="22" t="n">
        <v>109.479795</v>
      </c>
      <c r="R71" s="22" t="n">
        <v>-41.717135</v>
      </c>
      <c r="S71" s="22" t="n">
        <v>170</v>
      </c>
      <c r="T71" s="22" t="n">
        <v>104.167382</v>
      </c>
      <c r="U71" s="22" t="n">
        <v>115.526389</v>
      </c>
      <c r="V71" s="22" t="n">
        <v>92.044978</v>
      </c>
      <c r="W71" s="22" t="n">
        <v>30.708173</v>
      </c>
      <c r="X71" s="22" t="n">
        <v>13.422003</v>
      </c>
      <c r="Z71">
        <f>B71</f>
        <v/>
      </c>
      <c r="AA71">
        <f>C71</f>
        <v/>
      </c>
      <c r="AB71" s="21">
        <f>SUM(AE71:AK71)+AM71+AN71</f>
        <v/>
      </c>
      <c r="AC71" s="21">
        <f>SUM(AE71:AK71)+AP71+AQ71</f>
        <v/>
      </c>
      <c r="AD71" s="5">
        <f>AB71-AC71</f>
        <v/>
      </c>
      <c r="AE71">
        <f>D71/F71*W71*-1</f>
        <v/>
      </c>
      <c r="AF71">
        <f>E71/F71*W71</f>
        <v/>
      </c>
      <c r="AG71" s="1">
        <f t="array" ref="AG71">_xlfn.IFS(C71="Biomass_Corn", 1/F71*S71, C71="Biomass_Agri", 1/F71*V71, C71="Biomass_Wood", 1/F71*U71, C71="Biomass_Herb", 1/F71*T71)</f>
        <v/>
      </c>
      <c r="AH71">
        <f>G71/F71*X71</f>
        <v/>
      </c>
      <c r="AI71">
        <f>M71/F71/(0.9*8760)</f>
        <v/>
      </c>
      <c r="AJ71">
        <f>N71/F71/(0.9*8760)</f>
        <v/>
      </c>
      <c r="AK71">
        <f>O71/F71</f>
        <v/>
      </c>
      <c r="AL71" s="1">
        <f>SUM(AZ71:BD71)-AW71</f>
        <v/>
      </c>
      <c r="AM71" s="1">
        <f>(Q71+R71)*-1*(I71+K71)/F71</f>
        <v/>
      </c>
      <c r="AN71">
        <f>AL71*Q71</f>
        <v/>
      </c>
      <c r="AO71">
        <f>SUM(AZ71:BB71)-AW71</f>
        <v/>
      </c>
      <c r="AP71" s="1">
        <f>(I71+K71)/F71*-1*R71</f>
        <v/>
      </c>
      <c r="AQ71">
        <f>AO71*Q71</f>
        <v/>
      </c>
      <c r="AS71" s="20">
        <f>H71</f>
        <v/>
      </c>
      <c r="AT71" s="10" t="n">
        <v>0.1828908353</v>
      </c>
      <c r="AU71" s="20" t="n">
        <v>0.23037491</v>
      </c>
      <c r="AW71" s="18">
        <f>AS71/F71</f>
        <v/>
      </c>
      <c r="AX71" s="18">
        <f>AT71*G71/F71</f>
        <v/>
      </c>
      <c r="AZ71" s="18">
        <f>AU71</f>
        <v/>
      </c>
      <c r="BA71" s="19">
        <f>J71/F71</f>
        <v/>
      </c>
      <c r="BB71" s="18">
        <f>L71/F71</f>
        <v/>
      </c>
      <c r="BC71" s="19">
        <f>I71/F71</f>
        <v/>
      </c>
      <c r="BD71" s="18">
        <f>K71/F71</f>
        <v/>
      </c>
      <c r="BF71" s="1">
        <f>SUM(AW71:AX71)-SUM(AZ71:BD71)</f>
        <v/>
      </c>
    </row>
    <row r="72">
      <c r="B72" s="24" t="inlineStr">
        <is>
          <t>CEN_DryMill_CCS_Fermentation_Exhaust</t>
        </is>
      </c>
      <c r="C72" s="23" t="inlineStr">
        <is>
          <t>Biomass_Corn</t>
        </is>
      </c>
      <c r="D72" s="23" t="n">
        <v>0</v>
      </c>
      <c r="E72" s="23" t="n">
        <v>0.085342825</v>
      </c>
      <c r="F72" s="23" t="n">
        <v>3.104337995</v>
      </c>
      <c r="G72" s="23" t="n">
        <v>1.013397519</v>
      </c>
      <c r="H72" s="23" t="n">
        <v>1.758866658</v>
      </c>
      <c r="I72" s="23" t="n">
        <v>0.357687672</v>
      </c>
      <c r="J72" s="23" t="n">
        <v>0.6860173939999999</v>
      </c>
      <c r="K72" s="23" t="n">
        <v>0.152906423</v>
      </c>
      <c r="L72" s="23" t="n">
        <v>0.032434696</v>
      </c>
      <c r="M72" s="23" t="n">
        <v>45179.42</v>
      </c>
      <c r="N72" s="23" t="n">
        <v>201481.25</v>
      </c>
      <c r="O72" s="23" t="n">
        <v>-25.28</v>
      </c>
      <c r="Q72" s="22" t="n">
        <v>109.479795</v>
      </c>
      <c r="R72" s="22" t="n">
        <v>-31.70346</v>
      </c>
      <c r="S72" s="22" t="n">
        <v>170</v>
      </c>
      <c r="T72" s="22" t="n">
        <v>110.461518</v>
      </c>
      <c r="U72" s="22" t="n">
        <v>127.408748</v>
      </c>
      <c r="V72" s="22" t="n">
        <v>98.83247799999999</v>
      </c>
      <c r="W72" s="22" t="n">
        <v>25.324637</v>
      </c>
      <c r="X72" s="22" t="n">
        <v>13.421913</v>
      </c>
      <c r="Z72">
        <f>B72</f>
        <v/>
      </c>
      <c r="AA72">
        <f>C72</f>
        <v/>
      </c>
      <c r="AB72" s="21">
        <f>SUM(AE72:AK72)+AM72+AN72</f>
        <v/>
      </c>
      <c r="AC72" s="21">
        <f>SUM(AE72:AK72)+AP72+AQ72</f>
        <v/>
      </c>
      <c r="AD72" s="5">
        <f>AB72-AC72</f>
        <v/>
      </c>
      <c r="AE72">
        <f>D72/F72*W72*-1</f>
        <v/>
      </c>
      <c r="AF72">
        <f>E72/F72*W72</f>
        <v/>
      </c>
      <c r="AG72" s="1">
        <f t="array" ref="AG72">_xlfn.IFS(C72="Biomass_Corn", 1/F72*S72, C72="Biomass_Agri", 1/F72*V72, C72="Biomass_Wood", 1/F72*U72, C72="Biomass_Herb", 1/F72*T72)</f>
        <v/>
      </c>
      <c r="AH72">
        <f>G72/F72*X72</f>
        <v/>
      </c>
      <c r="AI72">
        <f>M72/F72/(0.9*8760)</f>
        <v/>
      </c>
      <c r="AJ72">
        <f>N72/F72/(0.9*8760)</f>
        <v/>
      </c>
      <c r="AK72">
        <f>O72/F72</f>
        <v/>
      </c>
      <c r="AL72" s="1">
        <f>SUM(AZ72:BD72)-AW72</f>
        <v/>
      </c>
      <c r="AM72" s="1">
        <f>(Q72+R72)*-1*(I72+K72)/F72</f>
        <v/>
      </c>
      <c r="AN72">
        <f>AL72*Q72</f>
        <v/>
      </c>
      <c r="AO72">
        <f>SUM(AZ72:BB72)-AW72</f>
        <v/>
      </c>
      <c r="AP72" s="1">
        <f>(I72+K72)/F72*-1*R72</f>
        <v/>
      </c>
      <c r="AQ72">
        <f>AO72*Q72</f>
        <v/>
      </c>
      <c r="AS72" s="20">
        <f>H72</f>
        <v/>
      </c>
      <c r="AT72" s="10" t="n">
        <v>0.1828908353</v>
      </c>
      <c r="AU72" s="20" t="n">
        <v>0.23037491</v>
      </c>
      <c r="AW72" s="18">
        <f>AS72/F72</f>
        <v/>
      </c>
      <c r="AX72" s="18">
        <f>AT72*G72/F72</f>
        <v/>
      </c>
      <c r="AZ72" s="18">
        <f>AU72</f>
        <v/>
      </c>
      <c r="BA72" s="19">
        <f>J72/F72</f>
        <v/>
      </c>
      <c r="BB72" s="18">
        <f>L72/F72</f>
        <v/>
      </c>
      <c r="BC72" s="19">
        <f>I72/F72</f>
        <v/>
      </c>
      <c r="BD72" s="18">
        <f>K72/F72</f>
        <v/>
      </c>
      <c r="BF72" s="1">
        <f>SUM(AW72:AX72)-SUM(AZ72:BD72)</f>
        <v/>
      </c>
    </row>
    <row r="73">
      <c r="B73" s="24" t="inlineStr">
        <is>
          <t>SE_DryMill_CCS_Fermentation_Exhaust</t>
        </is>
      </c>
      <c r="C73" s="23" t="inlineStr">
        <is>
          <t>Biomass_Corn</t>
        </is>
      </c>
      <c r="D73" s="23" t="n">
        <v>0</v>
      </c>
      <c r="E73" s="23" t="n">
        <v>0.085342825</v>
      </c>
      <c r="F73" s="23" t="n">
        <v>3.104337995</v>
      </c>
      <c r="G73" s="23" t="n">
        <v>1.013397519</v>
      </c>
      <c r="H73" s="23" t="n">
        <v>1.758866658</v>
      </c>
      <c r="I73" s="23" t="n">
        <v>0.357687672</v>
      </c>
      <c r="J73" s="23" t="n">
        <v>0.6860173939999999</v>
      </c>
      <c r="K73" s="23" t="n">
        <v>0.152906423</v>
      </c>
      <c r="L73" s="23" t="n">
        <v>0.032434696</v>
      </c>
      <c r="M73" s="23" t="n">
        <v>45179.42</v>
      </c>
      <c r="N73" s="23" t="n">
        <v>201481.25</v>
      </c>
      <c r="O73" s="23" t="n">
        <v>-25.28</v>
      </c>
      <c r="Q73" s="22" t="n">
        <v>109.479795</v>
      </c>
      <c r="R73" s="22" t="n">
        <v>-47.70091</v>
      </c>
      <c r="S73" s="22" t="n">
        <v>170</v>
      </c>
      <c r="T73" s="22" t="n">
        <v>99.63284299999999</v>
      </c>
      <c r="U73" s="22" t="n">
        <v>113.227017</v>
      </c>
      <c r="V73" s="22" t="n">
        <v>88.855315</v>
      </c>
      <c r="W73" s="22" t="n">
        <v>38.218446</v>
      </c>
      <c r="X73" s="22" t="n">
        <v>13.421908</v>
      </c>
      <c r="Z73">
        <f>B73</f>
        <v/>
      </c>
      <c r="AA73">
        <f>C73</f>
        <v/>
      </c>
      <c r="AB73" s="21">
        <f>SUM(AE73:AK73)+AM73+AN73</f>
        <v/>
      </c>
      <c r="AC73" s="21">
        <f>SUM(AE73:AK73)+AP73+AQ73</f>
        <v/>
      </c>
      <c r="AD73" s="5">
        <f>AB73-AC73</f>
        <v/>
      </c>
      <c r="AE73">
        <f>D73/F73*W73*-1</f>
        <v/>
      </c>
      <c r="AF73">
        <f>E73/F73*W73</f>
        <v/>
      </c>
      <c r="AG73" s="1">
        <f t="array" ref="AG73">_xlfn.IFS(C73="Biomass_Corn", 1/F73*S73, C73="Biomass_Agri", 1/F73*V73, C73="Biomass_Wood", 1/F73*U73, C73="Biomass_Herb", 1/F73*T73)</f>
        <v/>
      </c>
      <c r="AH73">
        <f>G73/F73*X73</f>
        <v/>
      </c>
      <c r="AI73">
        <f>M73/F73/(0.9*8760)</f>
        <v/>
      </c>
      <c r="AJ73">
        <f>N73/F73/(0.9*8760)</f>
        <v/>
      </c>
      <c r="AK73">
        <f>O73/F73</f>
        <v/>
      </c>
      <c r="AL73" s="1">
        <f>SUM(AZ73:BD73)-AW73</f>
        <v/>
      </c>
      <c r="AM73" s="1">
        <f>(Q73+R73)*-1*(I73+K73)/F73</f>
        <v/>
      </c>
      <c r="AN73">
        <f>AL73*Q73</f>
        <v/>
      </c>
      <c r="AO73">
        <f>SUM(AZ73:BB73)-AW73</f>
        <v/>
      </c>
      <c r="AP73" s="1">
        <f>(I73+K73)/F73*-1*R73</f>
        <v/>
      </c>
      <c r="AQ73">
        <f>AO73*Q73</f>
        <v/>
      </c>
      <c r="AS73" s="20">
        <f>H73</f>
        <v/>
      </c>
      <c r="AT73" s="10" t="n">
        <v>0.1828908353</v>
      </c>
      <c r="AU73" s="20" t="n">
        <v>0.23037491</v>
      </c>
      <c r="AW73" s="18">
        <f>AS73/F73</f>
        <v/>
      </c>
      <c r="AX73" s="18">
        <f>AT73*G73/F73</f>
        <v/>
      </c>
      <c r="AZ73" s="18">
        <f>AU73</f>
        <v/>
      </c>
      <c r="BA73" s="19">
        <f>J73/F73</f>
        <v/>
      </c>
      <c r="BB73" s="18">
        <f>L73/F73</f>
        <v/>
      </c>
      <c r="BC73" s="19">
        <f>I73/F73</f>
        <v/>
      </c>
      <c r="BD73" s="18">
        <f>K73/F73</f>
        <v/>
      </c>
      <c r="BF73" s="1">
        <f>SUM(AW73:AX73)-SUM(AZ73:BD73)</f>
        <v/>
      </c>
    </row>
    <row r="74">
      <c r="B74" s="24" t="inlineStr">
        <is>
          <t>MIDAT_DryMill_CCS_Fermentation_Exhaust</t>
        </is>
      </c>
      <c r="C74" s="23" t="inlineStr">
        <is>
          <t>Biomass_Corn</t>
        </is>
      </c>
      <c r="D74" s="23" t="n">
        <v>0</v>
      </c>
      <c r="E74" s="23" t="n">
        <v>0.085342825</v>
      </c>
      <c r="F74" s="23" t="n">
        <v>3.104337995</v>
      </c>
      <c r="G74" s="23" t="n">
        <v>1.013397519</v>
      </c>
      <c r="H74" s="23" t="n">
        <v>1.758866658</v>
      </c>
      <c r="I74" s="23" t="n">
        <v>0.357687672</v>
      </c>
      <c r="J74" s="23" t="n">
        <v>0.6860173939999999</v>
      </c>
      <c r="K74" s="23" t="n">
        <v>0.152906423</v>
      </c>
      <c r="L74" s="23" t="n">
        <v>0.032434696</v>
      </c>
      <c r="M74" s="23" t="n">
        <v>45179.42</v>
      </c>
      <c r="N74" s="23" t="n">
        <v>201481.25</v>
      </c>
      <c r="O74" s="23" t="n">
        <v>-25.28</v>
      </c>
      <c r="Q74" s="22" t="n">
        <v>109.479795</v>
      </c>
      <c r="R74" s="22" t="n">
        <v>-54.115443</v>
      </c>
      <c r="S74" s="22" t="n">
        <v>170</v>
      </c>
      <c r="T74" s="22" t="n">
        <v>100.773744</v>
      </c>
      <c r="U74" s="22" t="n">
        <v>108.668072</v>
      </c>
      <c r="V74" s="22" t="n">
        <v>89.424565</v>
      </c>
      <c r="W74" s="22" t="n">
        <v>39.359472</v>
      </c>
      <c r="X74" s="22" t="n">
        <v>13.423122</v>
      </c>
      <c r="Z74">
        <f>B74</f>
        <v/>
      </c>
      <c r="AA74">
        <f>C74</f>
        <v/>
      </c>
      <c r="AB74" s="21">
        <f>SUM(AE74:AK74)+AM74+AN74</f>
        <v/>
      </c>
      <c r="AC74" s="21">
        <f>SUM(AE74:AK74)+AP74+AQ74</f>
        <v/>
      </c>
      <c r="AD74" s="5">
        <f>AB74-AC74</f>
        <v/>
      </c>
      <c r="AE74">
        <f>D74/F74*W74*-1</f>
        <v/>
      </c>
      <c r="AF74">
        <f>E74/F74*W74</f>
        <v/>
      </c>
      <c r="AG74" s="1">
        <f t="array" ref="AG74">_xlfn.IFS(C74="Biomass_Corn", 1/F74*S74, C74="Biomass_Agri", 1/F74*V74, C74="Biomass_Wood", 1/F74*U74, C74="Biomass_Herb", 1/F74*T74)</f>
        <v/>
      </c>
      <c r="AH74">
        <f>G74/F74*X74</f>
        <v/>
      </c>
      <c r="AI74">
        <f>M74/F74/(0.9*8760)</f>
        <v/>
      </c>
      <c r="AJ74">
        <f>N74/F74/(0.9*8760)</f>
        <v/>
      </c>
      <c r="AK74">
        <f>O74/F74</f>
        <v/>
      </c>
      <c r="AL74" s="1">
        <f>SUM(AZ74:BD74)-AW74</f>
        <v/>
      </c>
      <c r="AM74" s="1">
        <f>(Q74+R74)*-1*(I74+K74)/F74</f>
        <v/>
      </c>
      <c r="AN74">
        <f>AL74*Q74</f>
        <v/>
      </c>
      <c r="AO74">
        <f>SUM(AZ74:BB74)-AW74</f>
        <v/>
      </c>
      <c r="AP74" s="1">
        <f>(I74+K74)/F74*-1*R74</f>
        <v/>
      </c>
      <c r="AQ74">
        <f>AO74*Q74</f>
        <v/>
      </c>
      <c r="AS74" s="20">
        <f>H74</f>
        <v/>
      </c>
      <c r="AT74" s="10" t="n">
        <v>0.1828908353</v>
      </c>
      <c r="AU74" s="20" t="n">
        <v>0.23037491</v>
      </c>
      <c r="AW74" s="18">
        <f>AS74/F74</f>
        <v/>
      </c>
      <c r="AX74" s="18">
        <f>AT74*G74/F74</f>
        <v/>
      </c>
      <c r="AZ74" s="18">
        <f>AU74</f>
        <v/>
      </c>
      <c r="BA74" s="19">
        <f>J74/F74</f>
        <v/>
      </c>
      <c r="BB74" s="18">
        <f>L74/F74</f>
        <v/>
      </c>
      <c r="BC74" s="19">
        <f>I74/F74</f>
        <v/>
      </c>
      <c r="BD74" s="18">
        <f>K74/F74</f>
        <v/>
      </c>
      <c r="BF74" s="1">
        <f>SUM(AW74:AX74)-SUM(AZ74:BD74)</f>
        <v/>
      </c>
    </row>
    <row r="75">
      <c r="B75" s="24" t="inlineStr">
        <is>
          <t>NE_DryMill_CCS_Fermentation_Exhaust</t>
        </is>
      </c>
      <c r="C75" s="23" t="inlineStr">
        <is>
          <t>Biomass_Corn</t>
        </is>
      </c>
      <c r="D75" s="23" t="n">
        <v>0</v>
      </c>
      <c r="E75" s="23" t="n">
        <v>0.085342825</v>
      </c>
      <c r="F75" s="23" t="n">
        <v>3.104337995</v>
      </c>
      <c r="G75" s="23" t="n">
        <v>1.013397519</v>
      </c>
      <c r="H75" s="23" t="n">
        <v>1.758866658</v>
      </c>
      <c r="I75" s="23" t="n">
        <v>0.357687672</v>
      </c>
      <c r="J75" s="23" t="n">
        <v>0.6860173939999999</v>
      </c>
      <c r="K75" s="23" t="n">
        <v>0.152906423</v>
      </c>
      <c r="L75" s="23" t="n">
        <v>0.032434696</v>
      </c>
      <c r="M75" s="23" t="n">
        <v>45179.42</v>
      </c>
      <c r="N75" s="23" t="n">
        <v>201481.25</v>
      </c>
      <c r="O75" s="23" t="n">
        <v>-25.28</v>
      </c>
      <c r="Q75" s="22" t="n">
        <v>109.479795</v>
      </c>
      <c r="R75" s="22" t="n">
        <v>-62.623761</v>
      </c>
      <c r="S75" s="22" t="n">
        <v>170</v>
      </c>
      <c r="T75" s="22" t="n">
        <v>101.592362</v>
      </c>
      <c r="U75" s="22" t="n">
        <v>107.351319</v>
      </c>
      <c r="V75" s="22" t="n">
        <v>91.70665</v>
      </c>
      <c r="W75" s="22" t="n">
        <v>47.446025</v>
      </c>
      <c r="X75" s="22" t="n">
        <v>13.422786</v>
      </c>
      <c r="Z75">
        <f>B75</f>
        <v/>
      </c>
      <c r="AA75">
        <f>C75</f>
        <v/>
      </c>
      <c r="AB75" s="21">
        <f>SUM(AE75:AK75)+AM75+AN75</f>
        <v/>
      </c>
      <c r="AC75" s="21">
        <f>SUM(AE75:AK75)+AP75+AQ75</f>
        <v/>
      </c>
      <c r="AD75" s="5">
        <f>AB75-AC75</f>
        <v/>
      </c>
      <c r="AE75">
        <f>D75/F75*W75*-1</f>
        <v/>
      </c>
      <c r="AF75">
        <f>E75/F75*W75</f>
        <v/>
      </c>
      <c r="AG75" s="1">
        <f t="array" ref="AG75">_xlfn.IFS(C75="Biomass_Corn", 1/F75*S75, C75="Biomass_Agri", 1/F75*V75, C75="Biomass_Wood", 1/F75*U75, C75="Biomass_Herb", 1/F75*T75)</f>
        <v/>
      </c>
      <c r="AH75">
        <f>G75/F75*X75</f>
        <v/>
      </c>
      <c r="AI75">
        <f>M75/F75/(0.9*8760)</f>
        <v/>
      </c>
      <c r="AJ75">
        <f>N75/F75/(0.9*8760)</f>
        <v/>
      </c>
      <c r="AK75">
        <f>O75/F75</f>
        <v/>
      </c>
      <c r="AL75" s="1">
        <f>SUM(AZ75:BD75)-AW75</f>
        <v/>
      </c>
      <c r="AM75" s="1">
        <f>(Q75+R75)*-1*(I75+K75)/F75</f>
        <v/>
      </c>
      <c r="AN75">
        <f>AL75*Q75</f>
        <v/>
      </c>
      <c r="AO75">
        <f>SUM(AZ75:BB75)-AW75</f>
        <v/>
      </c>
      <c r="AP75" s="1">
        <f>(I75+K75)/F75*-1*R75</f>
        <v/>
      </c>
      <c r="AQ75">
        <f>AO75*Q75</f>
        <v/>
      </c>
      <c r="AS75" s="20">
        <f>H75</f>
        <v/>
      </c>
      <c r="AT75" s="10" t="n">
        <v>0.1828908353</v>
      </c>
      <c r="AU75" s="20" t="n">
        <v>0.23037491</v>
      </c>
      <c r="AW75" s="18">
        <f>AS75/F75</f>
        <v/>
      </c>
      <c r="AX75" s="18">
        <f>AT75*G75/F75</f>
        <v/>
      </c>
      <c r="AZ75" s="18">
        <f>AU75</f>
        <v/>
      </c>
      <c r="BA75" s="19">
        <f>J75/F75</f>
        <v/>
      </c>
      <c r="BB75" s="18">
        <f>L75/F75</f>
        <v/>
      </c>
      <c r="BC75" s="19">
        <f>I75/F75</f>
        <v/>
      </c>
      <c r="BD75" s="18">
        <f>K75/F75</f>
        <v/>
      </c>
      <c r="BF75" s="1">
        <f>SUM(AW75:AX75)-SUM(AZ75:BD75)</f>
        <v/>
      </c>
    </row>
    <row r="76">
      <c r="AB76" s="5" t="n"/>
      <c r="AC76" s="5" t="n"/>
      <c r="AD76" s="5" t="n"/>
      <c r="AS76" s="8" t="n"/>
      <c r="AU76" s="8" t="n"/>
    </row>
    <row r="77">
      <c r="AB77" s="5" t="n"/>
      <c r="AC77" s="5" t="n"/>
      <c r="AD77" s="5" t="n"/>
      <c r="AS77" s="8" t="n"/>
      <c r="AU77" s="8" t="n"/>
    </row>
    <row r="78">
      <c r="AB78" s="5" t="n"/>
      <c r="AC78" s="5" t="n"/>
      <c r="AD78" s="5" t="n"/>
      <c r="AS78" s="8" t="n"/>
      <c r="AU78" s="8" t="n"/>
    </row>
    <row r="79">
      <c r="AB79" s="5" t="n"/>
      <c r="AC79" s="5" t="n"/>
      <c r="AD79" s="5" t="n"/>
      <c r="AS79" s="8" t="n"/>
      <c r="AU79" s="8" t="n"/>
    </row>
    <row r="80">
      <c r="AB80" s="5" t="n"/>
      <c r="AC80" s="5" t="n"/>
      <c r="AD80" s="5" t="n"/>
      <c r="AS80" s="8" t="n"/>
      <c r="AU80" s="8" t="n"/>
    </row>
    <row r="81">
      <c r="AB81" s="5" t="n"/>
      <c r="AC81" s="5" t="n"/>
      <c r="AD81" s="5" t="n"/>
      <c r="AS81" s="8" t="n"/>
      <c r="AU81" s="8" t="n"/>
    </row>
    <row r="82">
      <c r="AB82" s="5" t="n"/>
      <c r="AC82" s="5" t="n"/>
      <c r="AD82" s="5" t="n"/>
      <c r="AS82" s="8" t="n"/>
      <c r="AU82" s="8" t="n"/>
    </row>
    <row r="83">
      <c r="AB83" s="5" t="n"/>
      <c r="AC83" s="5" t="n"/>
      <c r="AD83" s="5" t="n"/>
      <c r="AS83" s="8" t="n"/>
      <c r="AU83" s="8" t="n"/>
    </row>
    <row r="84">
      <c r="AB84" s="5" t="n"/>
      <c r="AC84" s="5" t="n"/>
      <c r="AD84" s="5" t="n"/>
      <c r="AS84" s="8" t="n"/>
      <c r="AU84" s="8" t="n"/>
    </row>
    <row r="85">
      <c r="AB85" s="5" t="n"/>
      <c r="AC85" s="5" t="n"/>
      <c r="AD85" s="5" t="n"/>
      <c r="AS85" s="8" t="n"/>
      <c r="AU85" s="8" t="n"/>
    </row>
    <row r="86">
      <c r="AB86" s="5" t="n"/>
      <c r="AC86" s="5" t="n"/>
      <c r="AD86" s="5" t="n"/>
      <c r="AS86" s="8" t="n"/>
      <c r="AU86" s="8" t="n"/>
    </row>
    <row r="87">
      <c r="AB87" s="5" t="n"/>
      <c r="AC87" s="5" t="n"/>
      <c r="AD87" s="5" t="n"/>
      <c r="AS87" s="8" t="n"/>
      <c r="AU87" s="8" t="n"/>
    </row>
    <row r="88">
      <c r="AB88" s="5" t="n"/>
      <c r="AC88" s="5" t="n"/>
      <c r="AD88" s="5" t="n"/>
      <c r="AS88" s="8" t="n"/>
      <c r="AU88" s="8" t="n"/>
    </row>
    <row r="89">
      <c r="AB89" s="5" t="n"/>
      <c r="AC89" s="5" t="n"/>
      <c r="AD89" s="5" t="n"/>
      <c r="AS89" s="8" t="n"/>
      <c r="AU89" s="8" t="n"/>
    </row>
    <row r="90">
      <c r="AB90" s="5" t="n"/>
      <c r="AC90" s="5" t="n"/>
      <c r="AD90" s="5" t="n"/>
      <c r="AS90" s="8" t="n"/>
      <c r="AU90" s="8" t="n"/>
    </row>
    <row r="91">
      <c r="AB91" s="5" t="n"/>
      <c r="AC91" s="5" t="n"/>
      <c r="AD91" s="5" t="n"/>
      <c r="AS91" s="8" t="n"/>
      <c r="AU91" s="8" t="n"/>
    </row>
    <row r="92">
      <c r="AB92" s="5" t="n"/>
      <c r="AC92" s="5" t="n"/>
      <c r="AD92" s="5" t="n"/>
      <c r="AS92" s="8" t="n"/>
      <c r="AU92" s="8" t="n"/>
    </row>
    <row r="93">
      <c r="AB93" s="5" t="n"/>
      <c r="AC93" s="5" t="n"/>
      <c r="AD93" s="5" t="n"/>
      <c r="AS93" s="8" t="n"/>
      <c r="AU93" s="8" t="n"/>
    </row>
    <row r="94">
      <c r="AB94" s="5" t="n"/>
      <c r="AC94" s="5" t="n"/>
      <c r="AD94" s="5" t="n"/>
      <c r="AS94" s="8" t="n"/>
      <c r="AU94" s="8" t="n"/>
    </row>
    <row r="95">
      <c r="AB95" s="5" t="n"/>
      <c r="AC95" s="5" t="n"/>
      <c r="AD95" s="5" t="n"/>
      <c r="AS95" s="8" t="n"/>
      <c r="AU95" s="8" t="n"/>
    </row>
    <row r="96">
      <c r="AB96" s="5" t="n"/>
      <c r="AC96" s="5" t="n"/>
      <c r="AD96" s="5" t="n"/>
      <c r="AS96" s="8" t="n"/>
      <c r="AU96" s="8" t="n"/>
    </row>
    <row r="97">
      <c r="AB97" s="5" t="n"/>
      <c r="AC97" s="5" t="n"/>
      <c r="AD97" s="5" t="n"/>
      <c r="AS97" s="8" t="n"/>
      <c r="AU97" s="8" t="n"/>
    </row>
    <row r="98">
      <c r="AB98" s="5" t="n"/>
      <c r="AC98" s="5" t="n"/>
      <c r="AD98" s="5" t="n"/>
      <c r="AS98" s="8" t="n"/>
      <c r="AU98" s="8" t="n"/>
    </row>
    <row r="99">
      <c r="AB99" s="5" t="n"/>
      <c r="AC99" s="5" t="n"/>
      <c r="AD99" s="5" t="n"/>
      <c r="AS99" s="8" t="n"/>
      <c r="AU99" s="8" t="n"/>
    </row>
    <row r="100">
      <c r="AB100" s="5" t="n"/>
      <c r="AC100" s="5" t="n"/>
      <c r="AD100" s="5" t="n"/>
      <c r="AS100" s="8" t="n"/>
      <c r="AU100" s="8" t="n"/>
    </row>
    <row r="101">
      <c r="AB101" s="5" t="n"/>
      <c r="AC101" s="5" t="n"/>
      <c r="AD101" s="5" t="n"/>
      <c r="AS101" s="8" t="n"/>
      <c r="AU101" s="8" t="n"/>
    </row>
    <row r="102">
      <c r="AB102" s="5" t="n"/>
      <c r="AC102" s="5" t="n"/>
      <c r="AD102" s="5" t="n"/>
      <c r="AS102" s="8" t="n"/>
      <c r="AU102" s="8" t="n"/>
    </row>
    <row r="103">
      <c r="AB103" s="5" t="n"/>
      <c r="AC103" s="5" t="n"/>
      <c r="AD103" s="5" t="n"/>
      <c r="AS103" s="8" t="n"/>
      <c r="AU103" s="8" t="n"/>
    </row>
    <row r="104">
      <c r="AB104" s="5" t="n"/>
      <c r="AC104" s="5" t="n"/>
      <c r="AD104" s="5" t="n"/>
      <c r="AS104" s="8" t="n"/>
      <c r="AU104" s="8" t="n"/>
    </row>
    <row r="105">
      <c r="AB105" s="5" t="n"/>
      <c r="AC105" s="5" t="n"/>
      <c r="AD105" s="5" t="n"/>
    </row>
    <row r="106">
      <c r="AB106" s="5" t="n"/>
      <c r="AC106" s="5" t="n"/>
      <c r="AD106" s="5" t="n"/>
    </row>
    <row r="107">
      <c r="AB107" s="5" t="n"/>
      <c r="AC107" s="5" t="n"/>
      <c r="AD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lc_detailed!AE4</f>
        <v/>
      </c>
      <c r="D3">
        <f>lc_detailed!AF4</f>
        <v/>
      </c>
      <c r="E3">
        <f>lc_detailed!AG4</f>
        <v/>
      </c>
      <c r="F3">
        <f>lc_detailed!AH4</f>
        <v/>
      </c>
      <c r="G3">
        <f>lc_detailed!AI4</f>
        <v/>
      </c>
      <c r="H3">
        <f>lc_detailed!AJ4</f>
        <v/>
      </c>
      <c r="I3">
        <f>lc_detailed!AK4</f>
        <v/>
      </c>
      <c r="J3">
        <f>lc_detailed!AM4</f>
        <v/>
      </c>
      <c r="K3">
        <f>lc_detailed!AN4</f>
        <v/>
      </c>
      <c r="L3">
        <f>lc_detailed!AC4</f>
        <v/>
      </c>
      <c r="M3">
        <f>lc_detailed!#REF!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6.536371719746117</v>
      </c>
      <c r="Y3" t="n">
        <v>51.63785416798657</v>
      </c>
      <c r="Z3" t="e">
        <v>#REF!</v>
      </c>
    </row>
    <row r="4">
      <c r="B4">
        <f>lc_detailed!B5</f>
        <v/>
      </c>
      <c r="C4">
        <f>lc_detailed!AE5</f>
        <v/>
      </c>
      <c r="D4">
        <f>lc_detailed!AF5</f>
        <v/>
      </c>
      <c r="E4">
        <f>lc_detailed!AG5</f>
        <v/>
      </c>
      <c r="F4">
        <f>lc_detailed!AH5</f>
        <v/>
      </c>
      <c r="G4">
        <f>lc_detailed!AI5</f>
        <v/>
      </c>
      <c r="H4">
        <f>lc_detailed!AJ5</f>
        <v/>
      </c>
      <c r="I4">
        <f>lc_detailed!AK5</f>
        <v/>
      </c>
      <c r="J4">
        <f>lc_detailed!AM5</f>
        <v/>
      </c>
      <c r="K4">
        <f>lc_detailed!AN5</f>
        <v/>
      </c>
      <c r="L4">
        <f>lc_detailed!AC5</f>
        <v/>
      </c>
      <c r="M4">
        <f>lc_detailed!#REF!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6.536371719746117</v>
      </c>
      <c r="Y4" t="n">
        <v>51.76478810191932</v>
      </c>
      <c r="Z4" t="e">
        <v>#REF!</v>
      </c>
    </row>
    <row r="5">
      <c r="B5">
        <f>lc_detailed!B6</f>
        <v/>
      </c>
      <c r="C5">
        <f>lc_detailed!AE6</f>
        <v/>
      </c>
      <c r="D5">
        <f>lc_detailed!AF6</f>
        <v/>
      </c>
      <c r="E5">
        <f>lc_detailed!AG6</f>
        <v/>
      </c>
      <c r="F5">
        <f>lc_detailed!AH6</f>
        <v/>
      </c>
      <c r="G5">
        <f>lc_detailed!AI6</f>
        <v/>
      </c>
      <c r="H5">
        <f>lc_detailed!AJ6</f>
        <v/>
      </c>
      <c r="I5">
        <f>lc_detailed!AK6</f>
        <v/>
      </c>
      <c r="J5">
        <f>lc_detailed!AM6</f>
        <v/>
      </c>
      <c r="K5">
        <f>lc_detailed!AN6</f>
        <v/>
      </c>
      <c r="L5">
        <f>lc_detailed!AC6</f>
        <v/>
      </c>
      <c r="M5">
        <f>lc_detailed!#REF!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6.536371719746117</v>
      </c>
      <c r="Y5" t="n">
        <v>53.19185421799682</v>
      </c>
      <c r="Z5" t="e">
        <v>#REF!</v>
      </c>
    </row>
    <row r="6">
      <c r="B6">
        <f>lc_detailed!B7</f>
        <v/>
      </c>
      <c r="C6">
        <f>lc_detailed!AE7</f>
        <v/>
      </c>
      <c r="D6">
        <f>lc_detailed!AF7</f>
        <v/>
      </c>
      <c r="E6">
        <f>lc_detailed!AG7</f>
        <v/>
      </c>
      <c r="F6">
        <f>lc_detailed!AH7</f>
        <v/>
      </c>
      <c r="G6">
        <f>lc_detailed!AI7</f>
        <v/>
      </c>
      <c r="H6">
        <f>lc_detailed!AJ7</f>
        <v/>
      </c>
      <c r="I6">
        <f>lc_detailed!AK7</f>
        <v/>
      </c>
      <c r="J6">
        <f>lc_detailed!AM7</f>
        <v/>
      </c>
      <c r="K6">
        <f>lc_detailed!AN7</f>
        <v/>
      </c>
      <c r="L6">
        <f>lc_detailed!AC7</f>
        <v/>
      </c>
      <c r="M6">
        <f>lc_detailed!#REF!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6.536371719746117</v>
      </c>
      <c r="Y6" t="n">
        <v>53.66998828076822</v>
      </c>
      <c r="Z6" t="e">
        <v>#REF!</v>
      </c>
    </row>
    <row r="7">
      <c r="B7">
        <f>lc_detailed!B8</f>
        <v/>
      </c>
      <c r="C7">
        <f>lc_detailed!AE8</f>
        <v/>
      </c>
      <c r="D7">
        <f>lc_detailed!AF8</f>
        <v/>
      </c>
      <c r="E7">
        <f>lc_detailed!AG8</f>
        <v/>
      </c>
      <c r="F7">
        <f>lc_detailed!AH8</f>
        <v/>
      </c>
      <c r="G7">
        <f>lc_detailed!AI8</f>
        <v/>
      </c>
      <c r="H7">
        <f>lc_detailed!AJ8</f>
        <v/>
      </c>
      <c r="I7">
        <f>lc_detailed!AK8</f>
        <v/>
      </c>
      <c r="J7">
        <f>lc_detailed!AM8</f>
        <v/>
      </c>
      <c r="K7">
        <f>lc_detailed!AN8</f>
        <v/>
      </c>
      <c r="L7">
        <f>lc_detailed!AC8</f>
        <v/>
      </c>
      <c r="M7">
        <f>lc_detailed!#REF!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6.536371719746117</v>
      </c>
      <c r="Y7" t="n">
        <v>55.51834729274827</v>
      </c>
      <c r="Z7" t="e">
        <v>#REF!</v>
      </c>
    </row>
    <row r="8">
      <c r="B8">
        <f>lc_detailed!B9</f>
        <v/>
      </c>
      <c r="C8">
        <f>lc_detailed!AE9</f>
        <v/>
      </c>
      <c r="D8">
        <f>lc_detailed!AF9</f>
        <v/>
      </c>
      <c r="E8">
        <f>lc_detailed!AG9</f>
        <v/>
      </c>
      <c r="F8">
        <f>lc_detailed!AH9</f>
        <v/>
      </c>
      <c r="G8">
        <f>lc_detailed!AI9</f>
        <v/>
      </c>
      <c r="H8">
        <f>lc_detailed!AJ9</f>
        <v/>
      </c>
      <c r="I8">
        <f>lc_detailed!AK9</f>
        <v/>
      </c>
      <c r="J8">
        <f>lc_detailed!AM9</f>
        <v/>
      </c>
      <c r="K8">
        <f>lc_detailed!AN9</f>
        <v/>
      </c>
      <c r="L8">
        <f>lc_detailed!AC9</f>
        <v/>
      </c>
      <c r="M8">
        <f>lc_detailed!#REF!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6.536371719746117</v>
      </c>
      <c r="Y8" t="n">
        <v>55.51850781651981</v>
      </c>
      <c r="Z8" t="e">
        <v>#REF!</v>
      </c>
    </row>
    <row r="9">
      <c r="B9">
        <f>lc_detailed!B10</f>
        <v/>
      </c>
      <c r="C9">
        <f>lc_detailed!AE10</f>
        <v/>
      </c>
      <c r="D9">
        <f>lc_detailed!AF10</f>
        <v/>
      </c>
      <c r="E9">
        <f>lc_detailed!AG10</f>
        <v/>
      </c>
      <c r="F9">
        <f>lc_detailed!AH10</f>
        <v/>
      </c>
      <c r="G9">
        <f>lc_detailed!AI10</f>
        <v/>
      </c>
      <c r="H9">
        <f>lc_detailed!AJ10</f>
        <v/>
      </c>
      <c r="I9">
        <f>lc_detailed!AK10</f>
        <v/>
      </c>
      <c r="J9">
        <f>lc_detailed!AM10</f>
        <v/>
      </c>
      <c r="K9">
        <f>lc_detailed!AN10</f>
        <v/>
      </c>
      <c r="L9">
        <f>lc_detailed!AC10</f>
        <v/>
      </c>
      <c r="M9">
        <f>lc_detailed!#REF!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6.536371719746117</v>
      </c>
      <c r="Y9" t="n">
        <v>55.68758608350092</v>
      </c>
      <c r="Z9" t="e">
        <v>#REF!</v>
      </c>
    </row>
    <row r="10">
      <c r="B10">
        <f>lc_detailed!B11</f>
        <v/>
      </c>
      <c r="C10">
        <f>lc_detailed!AE11</f>
        <v/>
      </c>
      <c r="D10">
        <f>lc_detailed!AF11</f>
        <v/>
      </c>
      <c r="E10">
        <f>lc_detailed!AG11</f>
        <v/>
      </c>
      <c r="F10">
        <f>lc_detailed!AH11</f>
        <v/>
      </c>
      <c r="G10">
        <f>lc_detailed!AI11</f>
        <v/>
      </c>
      <c r="H10">
        <f>lc_detailed!AJ11</f>
        <v/>
      </c>
      <c r="I10">
        <f>lc_detailed!AK11</f>
        <v/>
      </c>
      <c r="J10">
        <f>lc_detailed!AM11</f>
        <v/>
      </c>
      <c r="K10">
        <f>lc_detailed!AN11</f>
        <v/>
      </c>
      <c r="L10">
        <f>lc_detailed!AC11</f>
        <v/>
      </c>
      <c r="M10">
        <f>lc_detailed!#REF!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6.536371719746117</v>
      </c>
      <c r="Y10" t="n">
        <v>56.61703652003228</v>
      </c>
      <c r="Z10" t="e">
        <v>#REF!</v>
      </c>
    </row>
    <row r="11">
      <c r="B11">
        <f>lc_detailed!B12</f>
        <v/>
      </c>
      <c r="C11">
        <f>lc_detailed!AE12</f>
        <v/>
      </c>
      <c r="D11">
        <f>lc_detailed!AF12</f>
        <v/>
      </c>
      <c r="E11">
        <f>lc_detailed!AG12</f>
        <v/>
      </c>
      <c r="F11">
        <f>lc_detailed!AH12</f>
        <v/>
      </c>
      <c r="G11">
        <f>lc_detailed!AI12</f>
        <v/>
      </c>
      <c r="H11">
        <f>lc_detailed!AJ12</f>
        <v/>
      </c>
      <c r="I11">
        <f>lc_detailed!AK12</f>
        <v/>
      </c>
      <c r="J11">
        <f>lc_detailed!AM12</f>
        <v/>
      </c>
      <c r="K11">
        <f>lc_detailed!AN12</f>
        <v/>
      </c>
      <c r="L11">
        <f>lc_detailed!AC12</f>
        <v/>
      </c>
      <c r="M11">
        <f>lc_detailed!#REF!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6.536371719746117</v>
      </c>
      <c r="Y11" t="n">
        <v>56.85342032516298</v>
      </c>
      <c r="Z11" t="e">
        <v>#REF!</v>
      </c>
    </row>
    <row r="12">
      <c r="B12">
        <f>lc_detailed!B13</f>
        <v/>
      </c>
      <c r="C12">
        <f>lc_detailed!AE13</f>
        <v/>
      </c>
      <c r="D12">
        <f>lc_detailed!AF13</f>
        <v/>
      </c>
      <c r="E12">
        <f>lc_detailed!AG13</f>
        <v/>
      </c>
      <c r="F12">
        <f>lc_detailed!AH13</f>
        <v/>
      </c>
      <c r="G12">
        <f>lc_detailed!AI13</f>
        <v/>
      </c>
      <c r="H12">
        <f>lc_detailed!AJ13</f>
        <v/>
      </c>
      <c r="I12">
        <f>lc_detailed!AK13</f>
        <v/>
      </c>
      <c r="J12">
        <f>lc_detailed!AM13</f>
        <v/>
      </c>
      <c r="K12">
        <f>lc_detailed!AN13</f>
        <v/>
      </c>
      <c r="L12">
        <f>lc_detailed!AC13</f>
        <v/>
      </c>
      <c r="M12">
        <f>lc_detailed!#REF!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6.536371719746117</v>
      </c>
      <c r="Y12" t="n">
        <v>57.31356386703051</v>
      </c>
      <c r="Z12" t="e">
        <v>#REF!</v>
      </c>
    </row>
    <row r="13">
      <c r="B13">
        <f>lc_detailed!B14</f>
        <v/>
      </c>
      <c r="C13">
        <f>lc_detailed!AE14</f>
        <v/>
      </c>
      <c r="D13">
        <f>lc_detailed!AF14</f>
        <v/>
      </c>
      <c r="E13">
        <f>lc_detailed!AG14</f>
        <v/>
      </c>
      <c r="F13">
        <f>lc_detailed!AH14</f>
        <v/>
      </c>
      <c r="G13">
        <f>lc_detailed!AI14</f>
        <v/>
      </c>
      <c r="H13">
        <f>lc_detailed!AJ14</f>
        <v/>
      </c>
      <c r="I13">
        <f>lc_detailed!AK14</f>
        <v/>
      </c>
      <c r="J13">
        <f>lc_detailed!AM14</f>
        <v/>
      </c>
      <c r="K13">
        <f>lc_detailed!AN14</f>
        <v/>
      </c>
      <c r="L13">
        <f>lc_detailed!AC14</f>
        <v/>
      </c>
      <c r="M13">
        <f>lc_detailed!#REF!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6.536371719746117</v>
      </c>
      <c r="Y13" t="n">
        <v>58.19969064592828</v>
      </c>
      <c r="Z13" t="e">
        <v>#REF!</v>
      </c>
    </row>
    <row r="14">
      <c r="B14">
        <f>lc_detailed!B15</f>
        <v/>
      </c>
      <c r="C14">
        <f>lc_detailed!AE15</f>
        <v/>
      </c>
      <c r="D14">
        <f>lc_detailed!AF15</f>
        <v/>
      </c>
      <c r="E14">
        <f>lc_detailed!AG15</f>
        <v/>
      </c>
      <c r="F14">
        <f>lc_detailed!AH15</f>
        <v/>
      </c>
      <c r="G14">
        <f>lc_detailed!AI15</f>
        <v/>
      </c>
      <c r="H14">
        <f>lc_detailed!AJ15</f>
        <v/>
      </c>
      <c r="I14">
        <f>lc_detailed!AK15</f>
        <v/>
      </c>
      <c r="J14">
        <f>lc_detailed!AM15</f>
        <v/>
      </c>
      <c r="K14">
        <f>lc_detailed!AN15</f>
        <v/>
      </c>
      <c r="L14">
        <f>lc_detailed!AC15</f>
        <v/>
      </c>
      <c r="M14">
        <f>lc_detailed!#REF!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6.536371719746117</v>
      </c>
      <c r="Y14" t="n">
        <v>58.50419833671093</v>
      </c>
      <c r="Z14" t="e">
        <v>#REF!</v>
      </c>
    </row>
    <row r="15">
      <c r="B15">
        <f>lc_detailed!B16</f>
        <v/>
      </c>
      <c r="C15">
        <f>lc_detailed!AE16</f>
        <v/>
      </c>
      <c r="D15">
        <f>lc_detailed!AF16</f>
        <v/>
      </c>
      <c r="E15">
        <f>lc_detailed!AG16</f>
        <v/>
      </c>
      <c r="F15">
        <f>lc_detailed!AH16</f>
        <v/>
      </c>
      <c r="G15">
        <f>lc_detailed!AI16</f>
        <v/>
      </c>
      <c r="H15">
        <f>lc_detailed!AJ16</f>
        <v/>
      </c>
      <c r="I15">
        <f>lc_detailed!AK16</f>
        <v/>
      </c>
      <c r="J15">
        <f>lc_detailed!AM16</f>
        <v/>
      </c>
      <c r="K15">
        <f>lc_detailed!AN16</f>
        <v/>
      </c>
      <c r="L15">
        <f>lc_detailed!AC16</f>
        <v/>
      </c>
      <c r="M15">
        <f>lc_detailed!#REF!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6.536371719746117</v>
      </c>
      <c r="Y15" t="n">
        <v>59.50151586017029</v>
      </c>
      <c r="Z15" t="e">
        <v>#REF!</v>
      </c>
    </row>
    <row r="16">
      <c r="B16">
        <f>lc_detailed!B17</f>
        <v/>
      </c>
      <c r="C16">
        <f>lc_detailed!AE17</f>
        <v/>
      </c>
      <c r="D16">
        <f>lc_detailed!AF17</f>
        <v/>
      </c>
      <c r="E16">
        <f>lc_detailed!AG17</f>
        <v/>
      </c>
      <c r="F16">
        <f>lc_detailed!AH17</f>
        <v/>
      </c>
      <c r="G16">
        <f>lc_detailed!AI17</f>
        <v/>
      </c>
      <c r="H16">
        <f>lc_detailed!AJ17</f>
        <v/>
      </c>
      <c r="I16">
        <f>lc_detailed!AK17</f>
        <v/>
      </c>
      <c r="J16">
        <f>lc_detailed!AM17</f>
        <v/>
      </c>
      <c r="K16">
        <f>lc_detailed!AN17</f>
        <v/>
      </c>
      <c r="L16">
        <f>lc_detailed!AC17</f>
        <v/>
      </c>
      <c r="M16">
        <f>lc_detailed!#REF!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6.536371719746117</v>
      </c>
      <c r="Y16" t="n">
        <v>59.59101018652986</v>
      </c>
      <c r="Z16" t="e">
        <v>#REF!</v>
      </c>
    </row>
    <row r="17">
      <c r="B17">
        <f>lc_detailed!B18</f>
        <v/>
      </c>
      <c r="C17">
        <f>lc_detailed!AE18</f>
        <v/>
      </c>
      <c r="D17">
        <f>lc_detailed!AF18</f>
        <v/>
      </c>
      <c r="E17">
        <f>lc_detailed!AG18</f>
        <v/>
      </c>
      <c r="F17">
        <f>lc_detailed!AH18</f>
        <v/>
      </c>
      <c r="G17">
        <f>lc_detailed!AI18</f>
        <v/>
      </c>
      <c r="H17">
        <f>lc_detailed!AJ18</f>
        <v/>
      </c>
      <c r="I17">
        <f>lc_detailed!AK18</f>
        <v/>
      </c>
      <c r="J17">
        <f>lc_detailed!AM18</f>
        <v/>
      </c>
      <c r="K17">
        <f>lc_detailed!AN18</f>
        <v/>
      </c>
      <c r="L17">
        <f>lc_detailed!AC18</f>
        <v/>
      </c>
      <c r="M17">
        <f>lc_detailed!#REF!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6.536371719746117</v>
      </c>
      <c r="Y17" t="n">
        <v>60.39741514548594</v>
      </c>
      <c r="Z17" t="e">
        <v>#REF!</v>
      </c>
    </row>
    <row r="18">
      <c r="B18">
        <f>lc_detailed!B19</f>
        <v/>
      </c>
      <c r="C18">
        <f>lc_detailed!AE19</f>
        <v/>
      </c>
      <c r="D18">
        <f>lc_detailed!AF19</f>
        <v/>
      </c>
      <c r="E18">
        <f>lc_detailed!AG19</f>
        <v/>
      </c>
      <c r="F18">
        <f>lc_detailed!AH19</f>
        <v/>
      </c>
      <c r="G18">
        <f>lc_detailed!AI19</f>
        <v/>
      </c>
      <c r="H18">
        <f>lc_detailed!AJ19</f>
        <v/>
      </c>
      <c r="I18">
        <f>lc_detailed!AK19</f>
        <v/>
      </c>
      <c r="J18">
        <f>lc_detailed!AM19</f>
        <v/>
      </c>
      <c r="K18">
        <f>lc_detailed!AN19</f>
        <v/>
      </c>
      <c r="L18">
        <f>lc_detailed!AC19</f>
        <v/>
      </c>
      <c r="M18">
        <f>lc_detailed!#REF!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6.536371719746117</v>
      </c>
      <c r="Y18" t="n">
        <v>61.16827451273848</v>
      </c>
      <c r="Z18" t="e">
        <v>#REF!</v>
      </c>
    </row>
    <row r="19">
      <c r="B19">
        <f>lc_detailed!B20</f>
        <v/>
      </c>
      <c r="C19">
        <f>lc_detailed!AE20</f>
        <v/>
      </c>
      <c r="D19">
        <f>lc_detailed!AF20</f>
        <v/>
      </c>
      <c r="E19">
        <f>lc_detailed!AG20</f>
        <v/>
      </c>
      <c r="F19">
        <f>lc_detailed!AH20</f>
        <v/>
      </c>
      <c r="G19">
        <f>lc_detailed!AI20</f>
        <v/>
      </c>
      <c r="H19">
        <f>lc_detailed!AJ20</f>
        <v/>
      </c>
      <c r="I19">
        <f>lc_detailed!AK20</f>
        <v/>
      </c>
      <c r="J19">
        <f>lc_detailed!AM20</f>
        <v/>
      </c>
      <c r="K19">
        <f>lc_detailed!AN20</f>
        <v/>
      </c>
      <c r="L19">
        <f>lc_detailed!AC20</f>
        <v/>
      </c>
      <c r="M19">
        <f>lc_detailed!#REF!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6.536371719746117</v>
      </c>
      <c r="Y19" t="n">
        <v>61.21263956878661</v>
      </c>
      <c r="Z19" t="e">
        <v>#REF!</v>
      </c>
    </row>
    <row r="20">
      <c r="B20">
        <f>lc_detailed!B21</f>
        <v/>
      </c>
      <c r="C20">
        <f>lc_detailed!AE21</f>
        <v/>
      </c>
      <c r="D20">
        <f>lc_detailed!AF21</f>
        <v/>
      </c>
      <c r="E20">
        <f>lc_detailed!AG21</f>
        <v/>
      </c>
      <c r="F20">
        <f>lc_detailed!AH21</f>
        <v/>
      </c>
      <c r="G20">
        <f>lc_detailed!AI21</f>
        <v/>
      </c>
      <c r="H20">
        <f>lc_detailed!AJ21</f>
        <v/>
      </c>
      <c r="I20">
        <f>lc_detailed!AK21</f>
        <v/>
      </c>
      <c r="J20">
        <f>lc_detailed!AM21</f>
        <v/>
      </c>
      <c r="K20">
        <f>lc_detailed!AN21</f>
        <v/>
      </c>
      <c r="L20">
        <f>lc_detailed!AC21</f>
        <v/>
      </c>
      <c r="M20">
        <f>lc_detailed!#REF!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6.536371719746117</v>
      </c>
      <c r="Y20" t="n">
        <v>62.37082051128447</v>
      </c>
      <c r="Z20" t="e">
        <v>#REF!</v>
      </c>
    </row>
    <row r="21">
      <c r="B21">
        <f>lc_detailed!B22</f>
        <v/>
      </c>
      <c r="C21">
        <f>lc_detailed!AE22</f>
        <v/>
      </c>
      <c r="D21">
        <f>lc_detailed!AF22</f>
        <v/>
      </c>
      <c r="E21">
        <f>lc_detailed!AG22</f>
        <v/>
      </c>
      <c r="F21">
        <f>lc_detailed!AH22</f>
        <v/>
      </c>
      <c r="G21">
        <f>lc_detailed!AI22</f>
        <v/>
      </c>
      <c r="H21">
        <f>lc_detailed!AJ22</f>
        <v/>
      </c>
      <c r="I21">
        <f>lc_detailed!AK22</f>
        <v/>
      </c>
      <c r="J21">
        <f>lc_detailed!AM22</f>
        <v/>
      </c>
      <c r="K21">
        <f>lc_detailed!AN22</f>
        <v/>
      </c>
      <c r="L21">
        <f>lc_detailed!AC22</f>
        <v/>
      </c>
      <c r="M21">
        <f>lc_detailed!#REF!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6.536371719746117</v>
      </c>
      <c r="Y21" t="n">
        <v>65.2403589971743</v>
      </c>
      <c r="Z21" t="e">
        <v>#REF!</v>
      </c>
    </row>
    <row r="22">
      <c r="B22">
        <f>lc_detailed!B23</f>
        <v/>
      </c>
      <c r="C22">
        <f>lc_detailed!AE23</f>
        <v/>
      </c>
      <c r="D22">
        <f>lc_detailed!AF23</f>
        <v/>
      </c>
      <c r="E22">
        <f>lc_detailed!AG23</f>
        <v/>
      </c>
      <c r="F22">
        <f>lc_detailed!AH23</f>
        <v/>
      </c>
      <c r="G22">
        <f>lc_detailed!AI23</f>
        <v/>
      </c>
      <c r="H22">
        <f>lc_detailed!AJ23</f>
        <v/>
      </c>
      <c r="I22">
        <f>lc_detailed!AK23</f>
        <v/>
      </c>
      <c r="J22">
        <f>lc_detailed!AM23</f>
        <v/>
      </c>
      <c r="K22">
        <f>lc_detailed!AN23</f>
        <v/>
      </c>
      <c r="L22">
        <f>lc_detailed!AC23</f>
        <v/>
      </c>
      <c r="M22">
        <f>lc_detailed!#REF!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6.536371719746117</v>
      </c>
      <c r="Y22" t="n">
        <v>65.41173849944028</v>
      </c>
      <c r="Z22" t="e">
        <v>#REF!</v>
      </c>
    </row>
    <row r="23">
      <c r="B23">
        <f>lc_detailed!B24</f>
        <v/>
      </c>
      <c r="C23">
        <f>lc_detailed!AE24</f>
        <v/>
      </c>
      <c r="D23">
        <f>lc_detailed!AF24</f>
        <v/>
      </c>
      <c r="E23">
        <f>lc_detailed!AG24</f>
        <v/>
      </c>
      <c r="F23">
        <f>lc_detailed!AH24</f>
        <v/>
      </c>
      <c r="G23">
        <f>lc_detailed!AI24</f>
        <v/>
      </c>
      <c r="H23">
        <f>lc_detailed!AJ24</f>
        <v/>
      </c>
      <c r="I23">
        <f>lc_detailed!AK24</f>
        <v/>
      </c>
      <c r="J23">
        <f>lc_detailed!AM24</f>
        <v/>
      </c>
      <c r="K23">
        <f>lc_detailed!AN24</f>
        <v/>
      </c>
      <c r="L23">
        <f>lc_detailed!AC24</f>
        <v/>
      </c>
      <c r="M23">
        <f>lc_detailed!#REF!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6.536371719746117</v>
      </c>
      <c r="Y23" t="n">
        <v>65.5358921236536</v>
      </c>
      <c r="Z23" t="e">
        <v>#REF!</v>
      </c>
    </row>
    <row r="24">
      <c r="B24">
        <f>lc_detailed!B25</f>
        <v/>
      </c>
      <c r="C24">
        <f>lc_detailed!AE25</f>
        <v/>
      </c>
      <c r="D24">
        <f>lc_detailed!AF25</f>
        <v/>
      </c>
      <c r="E24">
        <f>lc_detailed!AG25</f>
        <v/>
      </c>
      <c r="F24">
        <f>lc_detailed!AH25</f>
        <v/>
      </c>
      <c r="G24">
        <f>lc_detailed!AI25</f>
        <v/>
      </c>
      <c r="H24">
        <f>lc_detailed!AJ25</f>
        <v/>
      </c>
      <c r="I24">
        <f>lc_detailed!AK25</f>
        <v/>
      </c>
      <c r="J24">
        <f>lc_detailed!AM25</f>
        <v/>
      </c>
      <c r="K24">
        <f>lc_detailed!AN25</f>
        <v/>
      </c>
      <c r="L24">
        <f>lc_detailed!AC25</f>
        <v/>
      </c>
      <c r="M24">
        <f>lc_detailed!#REF!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6.536371719746117</v>
      </c>
      <c r="Y24" t="n">
        <v>65.55976921556913</v>
      </c>
      <c r="Z24" t="e">
        <v>#REF!</v>
      </c>
    </row>
    <row r="25">
      <c r="B25">
        <f>lc_detailed!B26</f>
        <v/>
      </c>
      <c r="C25">
        <f>lc_detailed!AE26</f>
        <v/>
      </c>
      <c r="D25">
        <f>lc_detailed!AF26</f>
        <v/>
      </c>
      <c r="E25">
        <f>lc_detailed!AG26</f>
        <v/>
      </c>
      <c r="F25">
        <f>lc_detailed!AH26</f>
        <v/>
      </c>
      <c r="G25">
        <f>lc_detailed!AI26</f>
        <v/>
      </c>
      <c r="H25">
        <f>lc_detailed!AJ26</f>
        <v/>
      </c>
      <c r="I25">
        <f>lc_detailed!AK26</f>
        <v/>
      </c>
      <c r="J25">
        <f>lc_detailed!AM26</f>
        <v/>
      </c>
      <c r="K25">
        <f>lc_detailed!AN26</f>
        <v/>
      </c>
      <c r="L25">
        <f>lc_detailed!AC26</f>
        <v/>
      </c>
      <c r="M25">
        <f>lc_detailed!#REF!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6.536371719746117</v>
      </c>
      <c r="Y25" t="n">
        <v>65.56949157235223</v>
      </c>
      <c r="Z25" t="e">
        <v>#REF!</v>
      </c>
    </row>
    <row r="26">
      <c r="B26">
        <f>lc_detailed!B27</f>
        <v/>
      </c>
      <c r="C26">
        <f>lc_detailed!AE27</f>
        <v/>
      </c>
      <c r="D26">
        <f>lc_detailed!AF27</f>
        <v/>
      </c>
      <c r="E26">
        <f>lc_detailed!AG27</f>
        <v/>
      </c>
      <c r="F26">
        <f>lc_detailed!AH27</f>
        <v/>
      </c>
      <c r="G26">
        <f>lc_detailed!AI27</f>
        <v/>
      </c>
      <c r="H26">
        <f>lc_detailed!AJ27</f>
        <v/>
      </c>
      <c r="I26">
        <f>lc_detailed!AK27</f>
        <v/>
      </c>
      <c r="J26">
        <f>lc_detailed!AM27</f>
        <v/>
      </c>
      <c r="K26">
        <f>lc_detailed!AN27</f>
        <v/>
      </c>
      <c r="L26">
        <f>lc_detailed!AC27</f>
        <v/>
      </c>
      <c r="M26">
        <f>lc_detailed!#REF!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6.536371719746117</v>
      </c>
      <c r="Y26" t="n">
        <v>65.76620667264021</v>
      </c>
      <c r="Z26" t="e">
        <v>#REF!</v>
      </c>
    </row>
    <row r="27">
      <c r="B27">
        <f>lc_detailed!B28</f>
        <v/>
      </c>
      <c r="C27">
        <f>lc_detailed!AE28</f>
        <v/>
      </c>
      <c r="D27">
        <f>lc_detailed!AF28</f>
        <v/>
      </c>
      <c r="E27">
        <f>lc_detailed!AG28</f>
        <v/>
      </c>
      <c r="F27">
        <f>lc_detailed!AH28</f>
        <v/>
      </c>
      <c r="G27">
        <f>lc_detailed!AI28</f>
        <v/>
      </c>
      <c r="H27">
        <f>lc_detailed!AJ28</f>
        <v/>
      </c>
      <c r="I27">
        <f>lc_detailed!AK28</f>
        <v/>
      </c>
      <c r="J27">
        <f>lc_detailed!AM28</f>
        <v/>
      </c>
      <c r="K27">
        <f>lc_detailed!AN28</f>
        <v/>
      </c>
      <c r="L27">
        <f>lc_detailed!AC28</f>
        <v/>
      </c>
      <c r="M27">
        <f>lc_detailed!#REF!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6.536371719746117</v>
      </c>
      <c r="Y27" t="n">
        <v>65.79797146338959</v>
      </c>
      <c r="Z27" t="e">
        <v>#REF!</v>
      </c>
    </row>
    <row r="28">
      <c r="B28">
        <f>lc_detailed!B29</f>
        <v/>
      </c>
      <c r="C28">
        <f>lc_detailed!AE29</f>
        <v/>
      </c>
      <c r="D28">
        <f>lc_detailed!AF29</f>
        <v/>
      </c>
      <c r="E28">
        <f>lc_detailed!AG29</f>
        <v/>
      </c>
      <c r="F28">
        <f>lc_detailed!AH29</f>
        <v/>
      </c>
      <c r="G28">
        <f>lc_detailed!AI29</f>
        <v/>
      </c>
      <c r="H28">
        <f>lc_detailed!AJ29</f>
        <v/>
      </c>
      <c r="I28">
        <f>lc_detailed!AK29</f>
        <v/>
      </c>
      <c r="J28">
        <f>lc_detailed!AM29</f>
        <v/>
      </c>
      <c r="K28">
        <f>lc_detailed!AN29</f>
        <v/>
      </c>
      <c r="L28">
        <f>lc_detailed!AC29</f>
        <v/>
      </c>
      <c r="M28">
        <f>lc_detailed!#REF!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6.536371719746117</v>
      </c>
      <c r="Y28" t="n">
        <v>65.80409291648124</v>
      </c>
      <c r="Z28" t="e">
        <v>#REF!</v>
      </c>
    </row>
    <row r="29">
      <c r="B29">
        <f>lc_detailed!B30</f>
        <v/>
      </c>
      <c r="C29">
        <f>lc_detailed!AE30</f>
        <v/>
      </c>
      <c r="D29">
        <f>lc_detailed!AF30</f>
        <v/>
      </c>
      <c r="E29">
        <f>lc_detailed!AG30</f>
        <v/>
      </c>
      <c r="F29">
        <f>lc_detailed!AH30</f>
        <v/>
      </c>
      <c r="G29">
        <f>lc_detailed!AI30</f>
        <v/>
      </c>
      <c r="H29">
        <f>lc_detailed!AJ30</f>
        <v/>
      </c>
      <c r="I29">
        <f>lc_detailed!AK30</f>
        <v/>
      </c>
      <c r="J29">
        <f>lc_detailed!AM30</f>
        <v/>
      </c>
      <c r="K29">
        <f>lc_detailed!AN30</f>
        <v/>
      </c>
      <c r="L29">
        <f>lc_detailed!AC30</f>
        <v/>
      </c>
      <c r="M29">
        <f>lc_detailed!#REF!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6.536371719746117</v>
      </c>
      <c r="Y29" t="n">
        <v>66.02017303328206</v>
      </c>
      <c r="Z29" t="e">
        <v>#REF!</v>
      </c>
    </row>
    <row r="30">
      <c r="B30">
        <f>lc_detailed!B31</f>
        <v/>
      </c>
      <c r="C30">
        <f>lc_detailed!AE31</f>
        <v/>
      </c>
      <c r="D30">
        <f>lc_detailed!AF31</f>
        <v/>
      </c>
      <c r="E30">
        <f>lc_detailed!AG31</f>
        <v/>
      </c>
      <c r="F30">
        <f>lc_detailed!AH31</f>
        <v/>
      </c>
      <c r="G30">
        <f>lc_detailed!AI31</f>
        <v/>
      </c>
      <c r="H30">
        <f>lc_detailed!AJ31</f>
        <v/>
      </c>
      <c r="I30">
        <f>lc_detailed!AK31</f>
        <v/>
      </c>
      <c r="J30">
        <f>lc_detailed!AM31</f>
        <v/>
      </c>
      <c r="K30">
        <f>lc_detailed!AN31</f>
        <v/>
      </c>
      <c r="L30">
        <f>lc_detailed!AC31</f>
        <v/>
      </c>
      <c r="M30">
        <f>lc_detailed!#REF!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e">
        <v>#REF!</v>
      </c>
    </row>
    <row r="31">
      <c r="B31">
        <f>lc_detailed!B32</f>
        <v/>
      </c>
      <c r="C31">
        <f>lc_detailed!AE32</f>
        <v/>
      </c>
      <c r="D31">
        <f>lc_detailed!AF32</f>
        <v/>
      </c>
      <c r="E31">
        <f>lc_detailed!AG32</f>
        <v/>
      </c>
      <c r="F31">
        <f>lc_detailed!AH32</f>
        <v/>
      </c>
      <c r="G31">
        <f>lc_detailed!AI32</f>
        <v/>
      </c>
      <c r="H31">
        <f>lc_detailed!AJ32</f>
        <v/>
      </c>
      <c r="I31">
        <f>lc_detailed!AK32</f>
        <v/>
      </c>
      <c r="J31">
        <f>lc_detailed!AM32</f>
        <v/>
      </c>
      <c r="K31">
        <f>lc_detailed!AN32</f>
        <v/>
      </c>
      <c r="L31">
        <f>lc_detailed!AC32</f>
        <v/>
      </c>
      <c r="M31">
        <f>lc_detailed!#REF!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e">
        <v>#REF!</v>
      </c>
    </row>
    <row r="32">
      <c r="B32">
        <f>lc_detailed!B33</f>
        <v/>
      </c>
      <c r="C32">
        <f>lc_detailed!AE33</f>
        <v/>
      </c>
      <c r="D32">
        <f>lc_detailed!AF33</f>
        <v/>
      </c>
      <c r="E32">
        <f>lc_detailed!AG33</f>
        <v/>
      </c>
      <c r="F32">
        <f>lc_detailed!AH33</f>
        <v/>
      </c>
      <c r="G32">
        <f>lc_detailed!AI33</f>
        <v/>
      </c>
      <c r="H32">
        <f>lc_detailed!AJ33</f>
        <v/>
      </c>
      <c r="I32">
        <f>lc_detailed!AK33</f>
        <v/>
      </c>
      <c r="J32">
        <f>lc_detailed!AM33</f>
        <v/>
      </c>
      <c r="K32">
        <f>lc_detailed!AN33</f>
        <v/>
      </c>
      <c r="L32">
        <f>lc_detailed!AC33</f>
        <v/>
      </c>
      <c r="M32">
        <f>lc_detailed!#REF!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e">
        <v>#REF!</v>
      </c>
    </row>
    <row r="33">
      <c r="B33">
        <f>lc_detailed!B34</f>
        <v/>
      </c>
      <c r="C33">
        <f>lc_detailed!AE34</f>
        <v/>
      </c>
      <c r="D33">
        <f>lc_detailed!AF34</f>
        <v/>
      </c>
      <c r="E33">
        <f>lc_detailed!AG34</f>
        <v/>
      </c>
      <c r="F33">
        <f>lc_detailed!AH34</f>
        <v/>
      </c>
      <c r="G33">
        <f>lc_detailed!AI34</f>
        <v/>
      </c>
      <c r="H33">
        <f>lc_detailed!AJ34</f>
        <v/>
      </c>
      <c r="I33">
        <f>lc_detailed!AK34</f>
        <v/>
      </c>
      <c r="J33">
        <f>lc_detailed!AM34</f>
        <v/>
      </c>
      <c r="K33">
        <f>lc_detailed!AN34</f>
        <v/>
      </c>
      <c r="L33">
        <f>lc_detailed!AC34</f>
        <v/>
      </c>
      <c r="M33">
        <f>lc_detailed!#REF!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e">
        <v>#REF!</v>
      </c>
    </row>
    <row r="34">
      <c r="B34">
        <f>lc_detailed!B35</f>
        <v/>
      </c>
      <c r="C34">
        <f>lc_detailed!AE35</f>
        <v/>
      </c>
      <c r="D34">
        <f>lc_detailed!AF35</f>
        <v/>
      </c>
      <c r="E34">
        <f>lc_detailed!AG35</f>
        <v/>
      </c>
      <c r="F34">
        <f>lc_detailed!AH35</f>
        <v/>
      </c>
      <c r="G34">
        <f>lc_detailed!AI35</f>
        <v/>
      </c>
      <c r="H34">
        <f>lc_detailed!AJ35</f>
        <v/>
      </c>
      <c r="I34">
        <f>lc_detailed!AK35</f>
        <v/>
      </c>
      <c r="J34">
        <f>lc_detailed!AM35</f>
        <v/>
      </c>
      <c r="K34">
        <f>lc_detailed!AN35</f>
        <v/>
      </c>
      <c r="L34">
        <f>lc_detailed!AC35</f>
        <v/>
      </c>
      <c r="M34">
        <f>lc_detailed!#REF!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e">
        <v>#REF!</v>
      </c>
    </row>
    <row r="35">
      <c r="B35">
        <f>lc_detailed!B36</f>
        <v/>
      </c>
      <c r="C35">
        <f>lc_detailed!AE36</f>
        <v/>
      </c>
      <c r="D35">
        <f>lc_detailed!AF36</f>
        <v/>
      </c>
      <c r="E35">
        <f>lc_detailed!AG36</f>
        <v/>
      </c>
      <c r="F35">
        <f>lc_detailed!AH36</f>
        <v/>
      </c>
      <c r="G35">
        <f>lc_detailed!AI36</f>
        <v/>
      </c>
      <c r="H35">
        <f>lc_detailed!AJ36</f>
        <v/>
      </c>
      <c r="I35">
        <f>lc_detailed!AK36</f>
        <v/>
      </c>
      <c r="J35">
        <f>lc_detailed!AM36</f>
        <v/>
      </c>
      <c r="K35">
        <f>lc_detailed!AN36</f>
        <v/>
      </c>
      <c r="L35">
        <f>lc_detailed!AC36</f>
        <v/>
      </c>
      <c r="M35">
        <f>lc_detailed!#REF!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e">
        <v>#REF!</v>
      </c>
    </row>
    <row r="36">
      <c r="B36">
        <f>lc_detailed!B37</f>
        <v/>
      </c>
      <c r="C36">
        <f>lc_detailed!AE37</f>
        <v/>
      </c>
      <c r="D36">
        <f>lc_detailed!AF37</f>
        <v/>
      </c>
      <c r="E36">
        <f>lc_detailed!AG37</f>
        <v/>
      </c>
      <c r="F36">
        <f>lc_detailed!AH37</f>
        <v/>
      </c>
      <c r="G36">
        <f>lc_detailed!AI37</f>
        <v/>
      </c>
      <c r="H36">
        <f>lc_detailed!AJ37</f>
        <v/>
      </c>
      <c r="I36">
        <f>lc_detailed!AK37</f>
        <v/>
      </c>
      <c r="J36">
        <f>lc_detailed!AM37</f>
        <v/>
      </c>
      <c r="K36">
        <f>lc_detailed!AN37</f>
        <v/>
      </c>
      <c r="L36">
        <f>lc_detailed!AC37</f>
        <v/>
      </c>
      <c r="M36">
        <f>lc_detailed!#REF!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e">
        <v>#REF!</v>
      </c>
    </row>
    <row r="37">
      <c r="B37">
        <f>lc_detailed!B38</f>
        <v/>
      </c>
      <c r="C37">
        <f>lc_detailed!AE38</f>
        <v/>
      </c>
      <c r="D37">
        <f>lc_detailed!AF38</f>
        <v/>
      </c>
      <c r="E37">
        <f>lc_detailed!AG38</f>
        <v/>
      </c>
      <c r="F37">
        <f>lc_detailed!AH38</f>
        <v/>
      </c>
      <c r="G37">
        <f>lc_detailed!AI38</f>
        <v/>
      </c>
      <c r="H37">
        <f>lc_detailed!AJ38</f>
        <v/>
      </c>
      <c r="I37">
        <f>lc_detailed!AK38</f>
        <v/>
      </c>
      <c r="J37">
        <f>lc_detailed!AM38</f>
        <v/>
      </c>
      <c r="K37">
        <f>lc_detailed!AN38</f>
        <v/>
      </c>
      <c r="L37">
        <f>lc_detailed!AC38</f>
        <v/>
      </c>
      <c r="M37">
        <f>lc_detailed!#REF!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e">
        <v>#REF!</v>
      </c>
    </row>
    <row r="38">
      <c r="B38">
        <f>lc_detailed!B39</f>
        <v/>
      </c>
      <c r="C38">
        <f>lc_detailed!AE39</f>
        <v/>
      </c>
      <c r="D38">
        <f>lc_detailed!AF39</f>
        <v/>
      </c>
      <c r="E38">
        <f>lc_detailed!AG39</f>
        <v/>
      </c>
      <c r="F38">
        <f>lc_detailed!AH39</f>
        <v/>
      </c>
      <c r="G38">
        <f>lc_detailed!AI39</f>
        <v/>
      </c>
      <c r="H38">
        <f>lc_detailed!AJ39</f>
        <v/>
      </c>
      <c r="I38">
        <f>lc_detailed!AK39</f>
        <v/>
      </c>
      <c r="J38">
        <f>lc_detailed!AM39</f>
        <v/>
      </c>
      <c r="K38">
        <f>lc_detailed!AN39</f>
        <v/>
      </c>
      <c r="L38">
        <f>lc_detailed!AC39</f>
        <v/>
      </c>
      <c r="M38">
        <f>lc_detailed!#REF!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e">
        <v>#REF!</v>
      </c>
    </row>
    <row r="39">
      <c r="B39">
        <f>lc_detailed!B40</f>
        <v/>
      </c>
      <c r="C39">
        <f>lc_detailed!AE40</f>
        <v/>
      </c>
      <c r="D39">
        <f>lc_detailed!AF40</f>
        <v/>
      </c>
      <c r="E39">
        <f>lc_detailed!AG40</f>
        <v/>
      </c>
      <c r="F39">
        <f>lc_detailed!AH40</f>
        <v/>
      </c>
      <c r="G39">
        <f>lc_detailed!AI40</f>
        <v/>
      </c>
      <c r="H39">
        <f>lc_detailed!AJ40</f>
        <v/>
      </c>
      <c r="I39">
        <f>lc_detailed!AK40</f>
        <v/>
      </c>
      <c r="J39">
        <f>lc_detailed!AM40</f>
        <v/>
      </c>
      <c r="K39">
        <f>lc_detailed!AN40</f>
        <v/>
      </c>
      <c r="L39">
        <f>lc_detailed!AC40</f>
        <v/>
      </c>
      <c r="M39">
        <f>lc_detailed!#REF!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e">
        <v>#REF!</v>
      </c>
    </row>
    <row r="40">
      <c r="B40">
        <f>lc_detailed!B41</f>
        <v/>
      </c>
      <c r="C40">
        <f>lc_detailed!AE41</f>
        <v/>
      </c>
      <c r="D40">
        <f>lc_detailed!AF41</f>
        <v/>
      </c>
      <c r="E40">
        <f>lc_detailed!AG41</f>
        <v/>
      </c>
      <c r="F40">
        <f>lc_detailed!AH41</f>
        <v/>
      </c>
      <c r="G40">
        <f>lc_detailed!AI41</f>
        <v/>
      </c>
      <c r="H40">
        <f>lc_detailed!AJ41</f>
        <v/>
      </c>
      <c r="I40">
        <f>lc_detailed!AK41</f>
        <v/>
      </c>
      <c r="J40">
        <f>lc_detailed!AM41</f>
        <v/>
      </c>
      <c r="K40">
        <f>lc_detailed!AN41</f>
        <v/>
      </c>
      <c r="L40">
        <f>lc_detailed!AC41</f>
        <v/>
      </c>
      <c r="M40">
        <f>lc_detailed!#REF!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e">
        <v>#REF!</v>
      </c>
    </row>
    <row r="41">
      <c r="B41">
        <f>lc_detailed!B42</f>
        <v/>
      </c>
      <c r="C41">
        <f>lc_detailed!AE42</f>
        <v/>
      </c>
      <c r="D41">
        <f>lc_detailed!AF42</f>
        <v/>
      </c>
      <c r="E41">
        <f>lc_detailed!AG42</f>
        <v/>
      </c>
      <c r="F41">
        <f>lc_detailed!AH42</f>
        <v/>
      </c>
      <c r="G41">
        <f>lc_detailed!AI42</f>
        <v/>
      </c>
      <c r="H41">
        <f>lc_detailed!AJ42</f>
        <v/>
      </c>
      <c r="I41">
        <f>lc_detailed!AK42</f>
        <v/>
      </c>
      <c r="J41">
        <f>lc_detailed!AM42</f>
        <v/>
      </c>
      <c r="K41">
        <f>lc_detailed!AN42</f>
        <v/>
      </c>
      <c r="L41">
        <f>lc_detailed!AC42</f>
        <v/>
      </c>
      <c r="M41">
        <f>lc_detailed!#REF!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e">
        <v>#REF!</v>
      </c>
    </row>
    <row r="42">
      <c r="B42">
        <f>lc_detailed!B43</f>
        <v/>
      </c>
      <c r="C42">
        <f>lc_detailed!AE43</f>
        <v/>
      </c>
      <c r="D42">
        <f>lc_detailed!AF43</f>
        <v/>
      </c>
      <c r="E42">
        <f>lc_detailed!AG43</f>
        <v/>
      </c>
      <c r="F42">
        <f>lc_detailed!AH43</f>
        <v/>
      </c>
      <c r="G42">
        <f>lc_detailed!AI43</f>
        <v/>
      </c>
      <c r="H42">
        <f>lc_detailed!AJ43</f>
        <v/>
      </c>
      <c r="I42">
        <f>lc_detailed!AK43</f>
        <v/>
      </c>
      <c r="J42">
        <f>lc_detailed!AM43</f>
        <v/>
      </c>
      <c r="K42">
        <f>lc_detailed!AN43</f>
        <v/>
      </c>
      <c r="L42">
        <f>lc_detailed!AC43</f>
        <v/>
      </c>
      <c r="M42">
        <f>lc_detailed!#REF!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e">
        <v>#REF!</v>
      </c>
    </row>
    <row r="43">
      <c r="B43">
        <f>lc_detailed!B44</f>
        <v/>
      </c>
      <c r="C43">
        <f>lc_detailed!AE44</f>
        <v/>
      </c>
      <c r="D43">
        <f>lc_detailed!AF44</f>
        <v/>
      </c>
      <c r="E43">
        <f>lc_detailed!AG44</f>
        <v/>
      </c>
      <c r="F43">
        <f>lc_detailed!AH44</f>
        <v/>
      </c>
      <c r="G43">
        <f>lc_detailed!AI44</f>
        <v/>
      </c>
      <c r="H43">
        <f>lc_detailed!AJ44</f>
        <v/>
      </c>
      <c r="I43">
        <f>lc_detailed!AK44</f>
        <v/>
      </c>
      <c r="J43">
        <f>lc_detailed!AM44</f>
        <v/>
      </c>
      <c r="K43">
        <f>lc_detailed!AN44</f>
        <v/>
      </c>
      <c r="L43">
        <f>lc_detailed!AC44</f>
        <v/>
      </c>
      <c r="M43">
        <f>lc_detailed!#REF!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e">
        <v>#REF!</v>
      </c>
    </row>
    <row r="44">
      <c r="B44">
        <f>lc_detailed!B45</f>
        <v/>
      </c>
      <c r="C44">
        <f>lc_detailed!AE45</f>
        <v/>
      </c>
      <c r="D44">
        <f>lc_detailed!AF45</f>
        <v/>
      </c>
      <c r="E44">
        <f>lc_detailed!AG45</f>
        <v/>
      </c>
      <c r="F44">
        <f>lc_detailed!AH45</f>
        <v/>
      </c>
      <c r="G44">
        <f>lc_detailed!AI45</f>
        <v/>
      </c>
      <c r="H44">
        <f>lc_detailed!AJ45</f>
        <v/>
      </c>
      <c r="I44">
        <f>lc_detailed!AK45</f>
        <v/>
      </c>
      <c r="J44">
        <f>lc_detailed!AM45</f>
        <v/>
      </c>
      <c r="K44">
        <f>lc_detailed!AN45</f>
        <v/>
      </c>
      <c r="L44">
        <f>lc_detailed!AC45</f>
        <v/>
      </c>
      <c r="M44">
        <f>lc_detailed!#REF!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e">
        <v>#REF!</v>
      </c>
    </row>
    <row r="45">
      <c r="B45">
        <f>lc_detailed!B46</f>
        <v/>
      </c>
      <c r="C45">
        <f>lc_detailed!AE46</f>
        <v/>
      </c>
      <c r="D45">
        <f>lc_detailed!AF46</f>
        <v/>
      </c>
      <c r="E45">
        <f>lc_detailed!AG46</f>
        <v/>
      </c>
      <c r="F45">
        <f>lc_detailed!AH46</f>
        <v/>
      </c>
      <c r="G45">
        <f>lc_detailed!AI46</f>
        <v/>
      </c>
      <c r="H45">
        <f>lc_detailed!AJ46</f>
        <v/>
      </c>
      <c r="I45">
        <f>lc_detailed!AK46</f>
        <v/>
      </c>
      <c r="J45">
        <f>lc_detailed!AM46</f>
        <v/>
      </c>
      <c r="K45">
        <f>lc_detailed!AN46</f>
        <v/>
      </c>
      <c r="L45">
        <f>lc_detailed!AC46</f>
        <v/>
      </c>
      <c r="M45">
        <f>lc_detailed!#REF!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e">
        <v>#REF!</v>
      </c>
    </row>
    <row r="46">
      <c r="B46">
        <f>lc_detailed!B47</f>
        <v/>
      </c>
      <c r="C46">
        <f>lc_detailed!AE47</f>
        <v/>
      </c>
      <c r="D46">
        <f>lc_detailed!AF47</f>
        <v/>
      </c>
      <c r="E46">
        <f>lc_detailed!AG47</f>
        <v/>
      </c>
      <c r="F46">
        <f>lc_detailed!AH47</f>
        <v/>
      </c>
      <c r="G46">
        <f>lc_detailed!AI47</f>
        <v/>
      </c>
      <c r="H46">
        <f>lc_detailed!AJ47</f>
        <v/>
      </c>
      <c r="I46">
        <f>lc_detailed!AK47</f>
        <v/>
      </c>
      <c r="J46">
        <f>lc_detailed!AM47</f>
        <v/>
      </c>
      <c r="K46">
        <f>lc_detailed!AN47</f>
        <v/>
      </c>
      <c r="L46">
        <f>lc_detailed!AC47</f>
        <v/>
      </c>
      <c r="M46">
        <f>lc_detailed!#REF!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e">
        <v>#REF!</v>
      </c>
    </row>
    <row r="47">
      <c r="B47">
        <f>lc_detailed!B48</f>
        <v/>
      </c>
      <c r="C47">
        <f>lc_detailed!AE48</f>
        <v/>
      </c>
      <c r="D47">
        <f>lc_detailed!AF48</f>
        <v/>
      </c>
      <c r="E47">
        <f>lc_detailed!AG48</f>
        <v/>
      </c>
      <c r="F47">
        <f>lc_detailed!AH48</f>
        <v/>
      </c>
      <c r="G47">
        <f>lc_detailed!AI48</f>
        <v/>
      </c>
      <c r="H47">
        <f>lc_detailed!AJ48</f>
        <v/>
      </c>
      <c r="I47">
        <f>lc_detailed!AK48</f>
        <v/>
      </c>
      <c r="J47">
        <f>lc_detailed!AM48</f>
        <v/>
      </c>
      <c r="K47">
        <f>lc_detailed!AN48</f>
        <v/>
      </c>
      <c r="L47">
        <f>lc_detailed!AC48</f>
        <v/>
      </c>
      <c r="M47">
        <f>lc_detailed!#REF!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e">
        <v>#REF!</v>
      </c>
    </row>
    <row r="48">
      <c r="B48">
        <f>lc_detailed!B49</f>
        <v/>
      </c>
      <c r="C48">
        <f>lc_detailed!AE49</f>
        <v/>
      </c>
      <c r="D48">
        <f>lc_detailed!AF49</f>
        <v/>
      </c>
      <c r="E48">
        <f>lc_detailed!AG49</f>
        <v/>
      </c>
      <c r="F48">
        <f>lc_detailed!AH49</f>
        <v/>
      </c>
      <c r="G48">
        <f>lc_detailed!AI49</f>
        <v/>
      </c>
      <c r="H48">
        <f>lc_detailed!AJ49</f>
        <v/>
      </c>
      <c r="I48">
        <f>lc_detailed!AK49</f>
        <v/>
      </c>
      <c r="J48">
        <f>lc_detailed!AM49</f>
        <v/>
      </c>
      <c r="K48">
        <f>lc_detailed!AN49</f>
        <v/>
      </c>
      <c r="L48">
        <f>lc_detailed!AC49</f>
        <v/>
      </c>
      <c r="M48">
        <f>lc_detailed!#REF!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e">
        <v>#REF!</v>
      </c>
    </row>
    <row r="49">
      <c r="B49">
        <f>lc_detailed!B50</f>
        <v/>
      </c>
      <c r="C49">
        <f>lc_detailed!AE50</f>
        <v/>
      </c>
      <c r="D49">
        <f>lc_detailed!AF50</f>
        <v/>
      </c>
      <c r="E49">
        <f>lc_detailed!AG50</f>
        <v/>
      </c>
      <c r="F49">
        <f>lc_detailed!AH50</f>
        <v/>
      </c>
      <c r="G49">
        <f>lc_detailed!AI50</f>
        <v/>
      </c>
      <c r="H49">
        <f>lc_detailed!AJ50</f>
        <v/>
      </c>
      <c r="I49">
        <f>lc_detailed!AK50</f>
        <v/>
      </c>
      <c r="J49">
        <f>lc_detailed!AM50</f>
        <v/>
      </c>
      <c r="K49">
        <f>lc_detailed!AN50</f>
        <v/>
      </c>
      <c r="L49">
        <f>lc_detailed!AC50</f>
        <v/>
      </c>
      <c r="M49">
        <f>lc_detailed!#REF!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e">
        <v>#REF!</v>
      </c>
    </row>
    <row r="50">
      <c r="B50">
        <f>lc_detailed!B51</f>
        <v/>
      </c>
      <c r="C50">
        <f>lc_detailed!AE51</f>
        <v/>
      </c>
      <c r="D50">
        <f>lc_detailed!AF51</f>
        <v/>
      </c>
      <c r="E50">
        <f>lc_detailed!AG51</f>
        <v/>
      </c>
      <c r="F50">
        <f>lc_detailed!AH51</f>
        <v/>
      </c>
      <c r="G50">
        <f>lc_detailed!AI51</f>
        <v/>
      </c>
      <c r="H50">
        <f>lc_detailed!AJ51</f>
        <v/>
      </c>
      <c r="I50">
        <f>lc_detailed!AK51</f>
        <v/>
      </c>
      <c r="J50">
        <f>lc_detailed!AM51</f>
        <v/>
      </c>
      <c r="K50">
        <f>lc_detailed!AN51</f>
        <v/>
      </c>
      <c r="L50">
        <f>lc_detailed!AC51</f>
        <v/>
      </c>
      <c r="M50">
        <f>lc_detailed!#REF!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e">
        <v>#REF!</v>
      </c>
    </row>
    <row r="51">
      <c r="B51">
        <f>lc_detailed!B52</f>
        <v/>
      </c>
      <c r="C51">
        <f>lc_detailed!AE52</f>
        <v/>
      </c>
      <c r="D51">
        <f>lc_detailed!AF52</f>
        <v/>
      </c>
      <c r="E51">
        <f>lc_detailed!AG52</f>
        <v/>
      </c>
      <c r="F51">
        <f>lc_detailed!AH52</f>
        <v/>
      </c>
      <c r="G51">
        <f>lc_detailed!AI52</f>
        <v/>
      </c>
      <c r="H51">
        <f>lc_detailed!AJ52</f>
        <v/>
      </c>
      <c r="I51">
        <f>lc_detailed!AK52</f>
        <v/>
      </c>
      <c r="J51">
        <f>lc_detailed!AM52</f>
        <v/>
      </c>
      <c r="K51">
        <f>lc_detailed!AN52</f>
        <v/>
      </c>
      <c r="L51">
        <f>lc_detailed!AC52</f>
        <v/>
      </c>
      <c r="M51">
        <f>lc_detailed!#REF!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e">
        <v>#REF!</v>
      </c>
    </row>
    <row r="52">
      <c r="B52">
        <f>lc_detailed!B53</f>
        <v/>
      </c>
      <c r="C52">
        <f>lc_detailed!AE53</f>
        <v/>
      </c>
      <c r="D52">
        <f>lc_detailed!AF53</f>
        <v/>
      </c>
      <c r="E52">
        <f>lc_detailed!AG53</f>
        <v/>
      </c>
      <c r="F52">
        <f>lc_detailed!AH53</f>
        <v/>
      </c>
      <c r="G52">
        <f>lc_detailed!AI53</f>
        <v/>
      </c>
      <c r="H52">
        <f>lc_detailed!AJ53</f>
        <v/>
      </c>
      <c r="I52">
        <f>lc_detailed!AK53</f>
        <v/>
      </c>
      <c r="J52">
        <f>lc_detailed!AM53</f>
        <v/>
      </c>
      <c r="K52">
        <f>lc_detailed!AN53</f>
        <v/>
      </c>
      <c r="L52">
        <f>lc_detailed!AC53</f>
        <v/>
      </c>
      <c r="M52">
        <f>lc_detailed!#REF!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e">
        <v>#REF!</v>
      </c>
    </row>
    <row r="53">
      <c r="B53">
        <f>lc_detailed!B54</f>
        <v/>
      </c>
      <c r="C53">
        <f>lc_detailed!AE54</f>
        <v/>
      </c>
      <c r="D53">
        <f>lc_detailed!AF54</f>
        <v/>
      </c>
      <c r="E53">
        <f>lc_detailed!AG54</f>
        <v/>
      </c>
      <c r="F53">
        <f>lc_detailed!AH54</f>
        <v/>
      </c>
      <c r="G53">
        <f>lc_detailed!AI54</f>
        <v/>
      </c>
      <c r="H53">
        <f>lc_detailed!AJ54</f>
        <v/>
      </c>
      <c r="I53">
        <f>lc_detailed!AK54</f>
        <v/>
      </c>
      <c r="J53">
        <f>lc_detailed!AM54</f>
        <v/>
      </c>
      <c r="K53">
        <f>lc_detailed!AN54</f>
        <v/>
      </c>
      <c r="L53">
        <f>lc_detailed!AC54</f>
        <v/>
      </c>
      <c r="M53">
        <f>lc_detailed!#REF!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e">
        <v>#REF!</v>
      </c>
    </row>
    <row r="54">
      <c r="B54">
        <f>lc_detailed!B55</f>
        <v/>
      </c>
      <c r="C54">
        <f>lc_detailed!AE55</f>
        <v/>
      </c>
      <c r="D54">
        <f>lc_detailed!AF55</f>
        <v/>
      </c>
      <c r="E54">
        <f>lc_detailed!AG55</f>
        <v/>
      </c>
      <c r="F54">
        <f>lc_detailed!AH55</f>
        <v/>
      </c>
      <c r="G54">
        <f>lc_detailed!AI55</f>
        <v/>
      </c>
      <c r="H54">
        <f>lc_detailed!AJ55</f>
        <v/>
      </c>
      <c r="I54">
        <f>lc_detailed!AK55</f>
        <v/>
      </c>
      <c r="J54">
        <f>lc_detailed!AM55</f>
        <v/>
      </c>
      <c r="K54">
        <f>lc_detailed!AN55</f>
        <v/>
      </c>
      <c r="L54">
        <f>lc_detailed!AC55</f>
        <v/>
      </c>
      <c r="M54">
        <f>lc_detailed!#REF!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e">
        <v>#REF!</v>
      </c>
    </row>
    <row r="55">
      <c r="B55">
        <f>lc_detailed!B56</f>
        <v/>
      </c>
      <c r="C55">
        <f>lc_detailed!AE56</f>
        <v/>
      </c>
      <c r="D55">
        <f>lc_detailed!AF56</f>
        <v/>
      </c>
      <c r="E55">
        <f>lc_detailed!AG56</f>
        <v/>
      </c>
      <c r="F55">
        <f>lc_detailed!AH56</f>
        <v/>
      </c>
      <c r="G55">
        <f>lc_detailed!AI56</f>
        <v/>
      </c>
      <c r="H55">
        <f>lc_detailed!AJ56</f>
        <v/>
      </c>
      <c r="I55">
        <f>lc_detailed!AK56</f>
        <v/>
      </c>
      <c r="J55">
        <f>lc_detailed!AM56</f>
        <v/>
      </c>
      <c r="K55">
        <f>lc_detailed!AN56</f>
        <v/>
      </c>
      <c r="L55">
        <f>lc_detailed!AC56</f>
        <v/>
      </c>
      <c r="M55">
        <f>lc_detailed!#REF!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e">
        <v>#REF!</v>
      </c>
    </row>
    <row r="56">
      <c r="B56">
        <f>lc_detailed!B57</f>
        <v/>
      </c>
      <c r="C56">
        <f>lc_detailed!AE57</f>
        <v/>
      </c>
      <c r="D56">
        <f>lc_detailed!AF57</f>
        <v/>
      </c>
      <c r="E56">
        <f>lc_detailed!AG57</f>
        <v/>
      </c>
      <c r="F56">
        <f>lc_detailed!AH57</f>
        <v/>
      </c>
      <c r="G56">
        <f>lc_detailed!AI57</f>
        <v/>
      </c>
      <c r="H56">
        <f>lc_detailed!AJ57</f>
        <v/>
      </c>
      <c r="I56">
        <f>lc_detailed!AK57</f>
        <v/>
      </c>
      <c r="J56">
        <f>lc_detailed!AM57</f>
        <v/>
      </c>
      <c r="K56">
        <f>lc_detailed!AN57</f>
        <v/>
      </c>
      <c r="L56">
        <f>lc_detailed!AC57</f>
        <v/>
      </c>
      <c r="M56">
        <f>lc_detailed!#REF!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e">
        <v>#REF!</v>
      </c>
    </row>
    <row r="57">
      <c r="B57">
        <f>lc_detailed!B58</f>
        <v/>
      </c>
      <c r="C57">
        <f>lc_detailed!AE58</f>
        <v/>
      </c>
      <c r="D57">
        <f>lc_detailed!AF58</f>
        <v/>
      </c>
      <c r="E57">
        <f>lc_detailed!AG58</f>
        <v/>
      </c>
      <c r="F57">
        <f>lc_detailed!AH58</f>
        <v/>
      </c>
      <c r="G57">
        <f>lc_detailed!AI58</f>
        <v/>
      </c>
      <c r="H57">
        <f>lc_detailed!AJ58</f>
        <v/>
      </c>
      <c r="I57">
        <f>lc_detailed!AK58</f>
        <v/>
      </c>
      <c r="J57">
        <f>lc_detailed!AM58</f>
        <v/>
      </c>
      <c r="K57">
        <f>lc_detailed!AN58</f>
        <v/>
      </c>
      <c r="L57">
        <f>lc_detailed!AC58</f>
        <v/>
      </c>
      <c r="M57">
        <f>lc_detailed!#REF!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e">
        <v>#REF!</v>
      </c>
    </row>
    <row r="58">
      <c r="B58">
        <f>lc_detailed!B59</f>
        <v/>
      </c>
      <c r="C58">
        <f>lc_detailed!AE59</f>
        <v/>
      </c>
      <c r="D58">
        <f>lc_detailed!AF59</f>
        <v/>
      </c>
      <c r="E58">
        <f>lc_detailed!AG59</f>
        <v/>
      </c>
      <c r="F58">
        <f>lc_detailed!AH59</f>
        <v/>
      </c>
      <c r="G58">
        <f>lc_detailed!AI59</f>
        <v/>
      </c>
      <c r="H58">
        <f>lc_detailed!AJ59</f>
        <v/>
      </c>
      <c r="I58">
        <f>lc_detailed!AK59</f>
        <v/>
      </c>
      <c r="J58">
        <f>lc_detailed!AM59</f>
        <v/>
      </c>
      <c r="K58">
        <f>lc_detailed!AN59</f>
        <v/>
      </c>
      <c r="L58">
        <f>lc_detailed!AC59</f>
        <v/>
      </c>
      <c r="M58">
        <f>lc_detailed!#REF!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e">
        <v>#REF!</v>
      </c>
    </row>
    <row r="59">
      <c r="B59">
        <f>lc_detailed!B60</f>
        <v/>
      </c>
      <c r="C59">
        <f>lc_detailed!AE60</f>
        <v/>
      </c>
      <c r="D59">
        <f>lc_detailed!AF60</f>
        <v/>
      </c>
      <c r="E59">
        <f>lc_detailed!AG60</f>
        <v/>
      </c>
      <c r="F59">
        <f>lc_detailed!AH60</f>
        <v/>
      </c>
      <c r="G59">
        <f>lc_detailed!AI60</f>
        <v/>
      </c>
      <c r="H59">
        <f>lc_detailed!AJ60</f>
        <v/>
      </c>
      <c r="I59">
        <f>lc_detailed!AK60</f>
        <v/>
      </c>
      <c r="J59">
        <f>lc_detailed!AM60</f>
        <v/>
      </c>
      <c r="K59">
        <f>lc_detailed!AN60</f>
        <v/>
      </c>
      <c r="L59">
        <f>lc_detailed!AC60</f>
        <v/>
      </c>
      <c r="M59">
        <f>lc_detailed!#REF!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e">
        <v>#REF!</v>
      </c>
    </row>
    <row r="60">
      <c r="B60">
        <f>lc_detailed!B61</f>
        <v/>
      </c>
      <c r="C60">
        <f>lc_detailed!AE61</f>
        <v/>
      </c>
      <c r="D60">
        <f>lc_detailed!AF61</f>
        <v/>
      </c>
      <c r="E60">
        <f>lc_detailed!AG61</f>
        <v/>
      </c>
      <c r="F60">
        <f>lc_detailed!AH61</f>
        <v/>
      </c>
      <c r="G60">
        <f>lc_detailed!AI61</f>
        <v/>
      </c>
      <c r="H60">
        <f>lc_detailed!AJ61</f>
        <v/>
      </c>
      <c r="I60">
        <f>lc_detailed!AK61</f>
        <v/>
      </c>
      <c r="J60">
        <f>lc_detailed!AM61</f>
        <v/>
      </c>
      <c r="K60">
        <f>lc_detailed!AN61</f>
        <v/>
      </c>
      <c r="L60">
        <f>lc_detailed!AC61</f>
        <v/>
      </c>
      <c r="M60">
        <f>lc_detailed!#REF!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e">
        <v>#REF!</v>
      </c>
    </row>
    <row r="61">
      <c r="B61">
        <f>lc_detailed!B62</f>
        <v/>
      </c>
      <c r="C61">
        <f>lc_detailed!AE62</f>
        <v/>
      </c>
      <c r="D61">
        <f>lc_detailed!AF62</f>
        <v/>
      </c>
      <c r="E61">
        <f>lc_detailed!AG62</f>
        <v/>
      </c>
      <c r="F61">
        <f>lc_detailed!AH62</f>
        <v/>
      </c>
      <c r="G61">
        <f>lc_detailed!AI62</f>
        <v/>
      </c>
      <c r="H61">
        <f>lc_detailed!AJ62</f>
        <v/>
      </c>
      <c r="I61">
        <f>lc_detailed!AK62</f>
        <v/>
      </c>
      <c r="J61">
        <f>lc_detailed!AM62</f>
        <v/>
      </c>
      <c r="K61">
        <f>lc_detailed!AN62</f>
        <v/>
      </c>
      <c r="L61">
        <f>lc_detailed!AC62</f>
        <v/>
      </c>
      <c r="M61">
        <f>lc_detailed!#REF!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e">
        <v>#REF!</v>
      </c>
    </row>
    <row r="62">
      <c r="B62">
        <f>lc_detailed!B63</f>
        <v/>
      </c>
      <c r="C62">
        <f>lc_detailed!AE63</f>
        <v/>
      </c>
      <c r="D62">
        <f>lc_detailed!AF63</f>
        <v/>
      </c>
      <c r="E62">
        <f>lc_detailed!AG63</f>
        <v/>
      </c>
      <c r="F62">
        <f>lc_detailed!AH63</f>
        <v/>
      </c>
      <c r="G62">
        <f>lc_detailed!AI63</f>
        <v/>
      </c>
      <c r="H62">
        <f>lc_detailed!AJ63</f>
        <v/>
      </c>
      <c r="I62">
        <f>lc_detailed!AK63</f>
        <v/>
      </c>
      <c r="J62">
        <f>lc_detailed!AM63</f>
        <v/>
      </c>
      <c r="K62">
        <f>lc_detailed!AN63</f>
        <v/>
      </c>
      <c r="L62">
        <f>lc_detailed!AC63</f>
        <v/>
      </c>
      <c r="M62">
        <f>lc_detailed!#REF!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e">
        <v>#REF!</v>
      </c>
    </row>
    <row r="63">
      <c r="B63">
        <f>lc_detailed!B64</f>
        <v/>
      </c>
      <c r="C63">
        <f>lc_detailed!AE64</f>
        <v/>
      </c>
      <c r="D63">
        <f>lc_detailed!AF64</f>
        <v/>
      </c>
      <c r="E63">
        <f>lc_detailed!AG64</f>
        <v/>
      </c>
      <c r="F63">
        <f>lc_detailed!AH64</f>
        <v/>
      </c>
      <c r="G63">
        <f>lc_detailed!AI64</f>
        <v/>
      </c>
      <c r="H63">
        <f>lc_detailed!AJ64</f>
        <v/>
      </c>
      <c r="I63">
        <f>lc_detailed!AK64</f>
        <v/>
      </c>
      <c r="J63">
        <f>lc_detailed!AM64</f>
        <v/>
      </c>
      <c r="K63">
        <f>lc_detailed!AN64</f>
        <v/>
      </c>
      <c r="L63">
        <f>lc_detailed!AC64</f>
        <v/>
      </c>
      <c r="M63">
        <f>lc_detailed!#REF!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e">
        <v>#REF!</v>
      </c>
    </row>
    <row r="64">
      <c r="B64">
        <f>lc_detailed!B65</f>
        <v/>
      </c>
      <c r="C64">
        <f>lc_detailed!AE65</f>
        <v/>
      </c>
      <c r="D64">
        <f>lc_detailed!AF65</f>
        <v/>
      </c>
      <c r="E64">
        <f>lc_detailed!AG65</f>
        <v/>
      </c>
      <c r="F64">
        <f>lc_detailed!AH65</f>
        <v/>
      </c>
      <c r="G64">
        <f>lc_detailed!AI65</f>
        <v/>
      </c>
      <c r="H64">
        <f>lc_detailed!AJ65</f>
        <v/>
      </c>
      <c r="I64">
        <f>lc_detailed!AK65</f>
        <v/>
      </c>
      <c r="J64">
        <f>lc_detailed!AM65</f>
        <v/>
      </c>
      <c r="K64">
        <f>lc_detailed!AN65</f>
        <v/>
      </c>
      <c r="L64">
        <f>lc_detailed!AC65</f>
        <v/>
      </c>
      <c r="M64">
        <f>lc_detailed!#REF!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e">
        <v>#REF!</v>
      </c>
    </row>
    <row r="65">
      <c r="B65">
        <f>lc_detailed!B66</f>
        <v/>
      </c>
      <c r="C65">
        <f>lc_detailed!AE66</f>
        <v/>
      </c>
      <c r="D65">
        <f>lc_detailed!AF66</f>
        <v/>
      </c>
      <c r="E65">
        <f>lc_detailed!AG66</f>
        <v/>
      </c>
      <c r="F65">
        <f>lc_detailed!AH66</f>
        <v/>
      </c>
      <c r="G65">
        <f>lc_detailed!AI66</f>
        <v/>
      </c>
      <c r="H65">
        <f>lc_detailed!AJ66</f>
        <v/>
      </c>
      <c r="I65">
        <f>lc_detailed!AK66</f>
        <v/>
      </c>
      <c r="J65">
        <f>lc_detailed!AM66</f>
        <v/>
      </c>
      <c r="K65">
        <f>lc_detailed!AN66</f>
        <v/>
      </c>
      <c r="L65">
        <f>lc_detailed!AC66</f>
        <v/>
      </c>
      <c r="M65">
        <f>lc_detailed!#REF!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e">
        <v>#REF!</v>
      </c>
    </row>
    <row r="66">
      <c r="B66">
        <f>lc_detailed!B67</f>
        <v/>
      </c>
      <c r="C66">
        <f>lc_detailed!AE67</f>
        <v/>
      </c>
      <c r="D66">
        <f>lc_detailed!AF67</f>
        <v/>
      </c>
      <c r="E66">
        <f>lc_detailed!AG67</f>
        <v/>
      </c>
      <c r="F66">
        <f>lc_detailed!AH67</f>
        <v/>
      </c>
      <c r="G66">
        <f>lc_detailed!AI67</f>
        <v/>
      </c>
      <c r="H66">
        <f>lc_detailed!AJ67</f>
        <v/>
      </c>
      <c r="I66">
        <f>lc_detailed!AK67</f>
        <v/>
      </c>
      <c r="J66">
        <f>lc_detailed!AM67</f>
        <v/>
      </c>
      <c r="K66">
        <f>lc_detailed!AN67</f>
        <v/>
      </c>
      <c r="L66">
        <f>lc_detailed!AC67</f>
        <v/>
      </c>
      <c r="M66">
        <f>lc_detailed!#REF!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e">
        <v>#REF!</v>
      </c>
    </row>
    <row r="67">
      <c r="B67">
        <f>lc_detailed!B68</f>
        <v/>
      </c>
      <c r="C67">
        <f>lc_detailed!AE68</f>
        <v/>
      </c>
      <c r="D67">
        <f>lc_detailed!AF68</f>
        <v/>
      </c>
      <c r="E67">
        <f>lc_detailed!AG68</f>
        <v/>
      </c>
      <c r="F67">
        <f>lc_detailed!AH68</f>
        <v/>
      </c>
      <c r="G67">
        <f>lc_detailed!AI68</f>
        <v/>
      </c>
      <c r="H67">
        <f>lc_detailed!AJ68</f>
        <v/>
      </c>
      <c r="I67">
        <f>lc_detailed!AK68</f>
        <v/>
      </c>
      <c r="J67">
        <f>lc_detailed!AM68</f>
        <v/>
      </c>
      <c r="K67">
        <f>lc_detailed!AN68</f>
        <v/>
      </c>
      <c r="L67">
        <f>lc_detailed!AC68</f>
        <v/>
      </c>
      <c r="M67">
        <f>lc_detailed!#REF!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e">
        <v>#REF!</v>
      </c>
    </row>
    <row r="68">
      <c r="B68">
        <f>lc_detailed!B69</f>
        <v/>
      </c>
      <c r="C68">
        <f>lc_detailed!AE69</f>
        <v/>
      </c>
      <c r="D68">
        <f>lc_detailed!AF69</f>
        <v/>
      </c>
      <c r="E68">
        <f>lc_detailed!AG69</f>
        <v/>
      </c>
      <c r="F68">
        <f>lc_detailed!AH69</f>
        <v/>
      </c>
      <c r="G68">
        <f>lc_detailed!AI69</f>
        <v/>
      </c>
      <c r="H68">
        <f>lc_detailed!AJ69</f>
        <v/>
      </c>
      <c r="I68">
        <f>lc_detailed!AK69</f>
        <v/>
      </c>
      <c r="J68">
        <f>lc_detailed!AM69</f>
        <v/>
      </c>
      <c r="K68">
        <f>lc_detailed!AN69</f>
        <v/>
      </c>
      <c r="L68">
        <f>lc_detailed!AC69</f>
        <v/>
      </c>
      <c r="M68">
        <f>lc_detailed!#REF!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e">
        <v>#REF!</v>
      </c>
    </row>
    <row r="69">
      <c r="B69">
        <f>lc_detailed!B70</f>
        <v/>
      </c>
      <c r="C69">
        <f>lc_detailed!AE70</f>
        <v/>
      </c>
      <c r="D69">
        <f>lc_detailed!AF70</f>
        <v/>
      </c>
      <c r="E69">
        <f>lc_detailed!AG70</f>
        <v/>
      </c>
      <c r="F69">
        <f>lc_detailed!AH70</f>
        <v/>
      </c>
      <c r="G69">
        <f>lc_detailed!AI70</f>
        <v/>
      </c>
      <c r="H69">
        <f>lc_detailed!AJ70</f>
        <v/>
      </c>
      <c r="I69">
        <f>lc_detailed!AK70</f>
        <v/>
      </c>
      <c r="J69">
        <f>lc_detailed!AM70</f>
        <v/>
      </c>
      <c r="K69">
        <f>lc_detailed!AN70</f>
        <v/>
      </c>
      <c r="L69">
        <f>lc_detailed!AC70</f>
        <v/>
      </c>
      <c r="M69">
        <f>lc_detailed!#REF!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e">
        <v>#REF!</v>
      </c>
    </row>
    <row r="70">
      <c r="B70">
        <f>lc_detailed!B71</f>
        <v/>
      </c>
      <c r="C70">
        <f>lc_detailed!AE71</f>
        <v/>
      </c>
      <c r="D70">
        <f>lc_detailed!AF71</f>
        <v/>
      </c>
      <c r="E70">
        <f>lc_detailed!AG71</f>
        <v/>
      </c>
      <c r="F70">
        <f>lc_detailed!AH71</f>
        <v/>
      </c>
      <c r="G70">
        <f>lc_detailed!AI71</f>
        <v/>
      </c>
      <c r="H70">
        <f>lc_detailed!AJ71</f>
        <v/>
      </c>
      <c r="I70">
        <f>lc_detailed!AK71</f>
        <v/>
      </c>
      <c r="J70">
        <f>lc_detailed!AM71</f>
        <v/>
      </c>
      <c r="K70">
        <f>lc_detailed!AN71</f>
        <v/>
      </c>
      <c r="L70">
        <f>lc_detailed!AC71</f>
        <v/>
      </c>
      <c r="M70">
        <f>lc_detailed!#REF!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e">
        <v>#REF!</v>
      </c>
    </row>
    <row r="71">
      <c r="B71">
        <f>lc_detailed!B72</f>
        <v/>
      </c>
      <c r="C71">
        <f>lc_detailed!AE72</f>
        <v/>
      </c>
      <c r="D71">
        <f>lc_detailed!AF72</f>
        <v/>
      </c>
      <c r="E71">
        <f>lc_detailed!AG72</f>
        <v/>
      </c>
      <c r="F71">
        <f>lc_detailed!AH72</f>
        <v/>
      </c>
      <c r="G71">
        <f>lc_detailed!AI72</f>
        <v/>
      </c>
      <c r="H71">
        <f>lc_detailed!AJ72</f>
        <v/>
      </c>
      <c r="I71">
        <f>lc_detailed!AK72</f>
        <v/>
      </c>
      <c r="J71">
        <f>lc_detailed!AM72</f>
        <v/>
      </c>
      <c r="K71">
        <f>lc_detailed!AN72</f>
        <v/>
      </c>
      <c r="L71">
        <f>lc_detailed!AC72</f>
        <v/>
      </c>
      <c r="M71">
        <f>lc_detailed!#REF!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e">
        <v>#REF!</v>
      </c>
    </row>
    <row r="72">
      <c r="B72">
        <f>lc_detailed!B73</f>
        <v/>
      </c>
      <c r="C72">
        <f>lc_detailed!AE73</f>
        <v/>
      </c>
      <c r="D72">
        <f>lc_detailed!AF73</f>
        <v/>
      </c>
      <c r="E72">
        <f>lc_detailed!AG73</f>
        <v/>
      </c>
      <c r="F72">
        <f>lc_detailed!AH73</f>
        <v/>
      </c>
      <c r="G72">
        <f>lc_detailed!AI73</f>
        <v/>
      </c>
      <c r="H72">
        <f>lc_detailed!AJ73</f>
        <v/>
      </c>
      <c r="I72">
        <f>lc_detailed!AK73</f>
        <v/>
      </c>
      <c r="J72">
        <f>lc_detailed!AM73</f>
        <v/>
      </c>
      <c r="K72">
        <f>lc_detailed!AN73</f>
        <v/>
      </c>
      <c r="L72">
        <f>lc_detailed!AC73</f>
        <v/>
      </c>
      <c r="M72">
        <f>lc_detailed!#REF!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e">
        <v>#REF!</v>
      </c>
    </row>
    <row r="73">
      <c r="B73">
        <f>lc_detailed!B74</f>
        <v/>
      </c>
      <c r="C73">
        <f>lc_detailed!AE74</f>
        <v/>
      </c>
      <c r="D73">
        <f>lc_detailed!AF74</f>
        <v/>
      </c>
      <c r="E73">
        <f>lc_detailed!AG74</f>
        <v/>
      </c>
      <c r="F73">
        <f>lc_detailed!AH74</f>
        <v/>
      </c>
      <c r="G73">
        <f>lc_detailed!AI74</f>
        <v/>
      </c>
      <c r="H73">
        <f>lc_detailed!AJ74</f>
        <v/>
      </c>
      <c r="I73">
        <f>lc_detailed!AK74</f>
        <v/>
      </c>
      <c r="J73">
        <f>lc_detailed!AM74</f>
        <v/>
      </c>
      <c r="K73">
        <f>lc_detailed!AN74</f>
        <v/>
      </c>
      <c r="L73">
        <f>lc_detailed!AC74</f>
        <v/>
      </c>
      <c r="M73">
        <f>lc_detailed!#REF!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e">
        <v>#REF!</v>
      </c>
    </row>
    <row r="74">
      <c r="B74">
        <f>lc_detailed!B75</f>
        <v/>
      </c>
      <c r="C74">
        <f>lc_detailed!AE75</f>
        <v/>
      </c>
      <c r="D74">
        <f>lc_detailed!AF75</f>
        <v/>
      </c>
      <c r="E74">
        <f>lc_detailed!AG75</f>
        <v/>
      </c>
      <c r="F74">
        <f>lc_detailed!AH75</f>
        <v/>
      </c>
      <c r="G74">
        <f>lc_detailed!AI75</f>
        <v/>
      </c>
      <c r="H74">
        <f>lc_detailed!AJ75</f>
        <v/>
      </c>
      <c r="I74">
        <f>lc_detailed!AK75</f>
        <v/>
      </c>
      <c r="J74">
        <f>lc_detailed!AM75</f>
        <v/>
      </c>
      <c r="K74">
        <f>lc_detailed!AN75</f>
        <v/>
      </c>
      <c r="L74">
        <f>lc_detailed!AC75</f>
        <v/>
      </c>
      <c r="M74">
        <f>lc_detailed!#REF!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e">
        <v>#REF!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2026-06-29T13:48:57Z</dcterms:modified>
  <cp:lastModifiedBy>Abigail Cheng</cp:lastModifiedBy>
</cp:coreProperties>
</file>