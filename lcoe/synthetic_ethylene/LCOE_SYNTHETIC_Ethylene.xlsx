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lcoe_plots/synthetic_ethylene_lcoe/"/>
    </mc:Choice>
  </mc:AlternateContent>
  <xr:revisionPtr revIDLastSave="0" documentId="13_ncr:1_{1A205A4C-6B30-2347-8A9E-EE10120F2E04}" xr6:coauthVersionLast="47" xr6:coauthVersionMax="47" xr10:uidLastSave="{00000000-0000-0000-0000-000000000000}"/>
  <bookViews>
    <workbookView xWindow="0" yWindow="740" windowWidth="29400" windowHeight="17740" xr2:uid="{00000000-000D-0000-FFFF-FFFF00000000}"/>
  </bookViews>
  <sheets>
    <sheet name="lc_detailed" sheetId="1" r:id="rId1"/>
    <sheet name="lc_summary_noseq" sheetId="2" r:id="rId2"/>
    <sheet name="lc_summary_seq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" i="1" l="1"/>
  <c r="F3" i="3"/>
  <c r="J20" i="3"/>
  <c r="J19" i="3"/>
  <c r="J18" i="3"/>
  <c r="J17" i="3"/>
  <c r="F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0" i="2"/>
  <c r="F20" i="2"/>
  <c r="J19" i="2"/>
  <c r="F19" i="2"/>
  <c r="J18" i="2"/>
  <c r="J17" i="2"/>
  <c r="C17" i="2"/>
  <c r="J16" i="2"/>
  <c r="B16" i="2"/>
  <c r="J15" i="2"/>
  <c r="C15" i="2"/>
  <c r="J14" i="2"/>
  <c r="J13" i="2"/>
  <c r="H13" i="2"/>
  <c r="J12" i="2"/>
  <c r="F12" i="2"/>
  <c r="B12" i="2"/>
  <c r="J11" i="2"/>
  <c r="J10" i="2"/>
  <c r="J9" i="2"/>
  <c r="J8" i="2"/>
  <c r="J7" i="2"/>
  <c r="J6" i="2"/>
  <c r="H6" i="2"/>
  <c r="J5" i="2"/>
  <c r="H5" i="2"/>
  <c r="J4" i="2"/>
  <c r="J3" i="2"/>
  <c r="A3" i="2"/>
  <c r="CA20" i="1"/>
  <c r="BU20" i="1"/>
  <c r="CB20" i="1" s="1"/>
  <c r="BT20" i="1"/>
  <c r="CF20" i="1" s="1"/>
  <c r="BS20" i="1"/>
  <c r="BD20" i="1"/>
  <c r="BC20" i="1"/>
  <c r="BB20" i="1"/>
  <c r="F20" i="3" s="1"/>
  <c r="BA20" i="1"/>
  <c r="AZ20" i="1"/>
  <c r="AY20" i="1"/>
  <c r="AX20" i="1"/>
  <c r="B20" i="3" s="1"/>
  <c r="AQ20" i="1"/>
  <c r="AP20" i="1"/>
  <c r="Q20" i="1"/>
  <c r="O20" i="1"/>
  <c r="BE20" i="1" s="1"/>
  <c r="BU19" i="1"/>
  <c r="CB19" i="1" s="1"/>
  <c r="BT19" i="1"/>
  <c r="CF19" i="1" s="1"/>
  <c r="BS19" i="1"/>
  <c r="CA19" i="1" s="1"/>
  <c r="BD19" i="1"/>
  <c r="H19" i="3" s="1"/>
  <c r="BC19" i="1"/>
  <c r="G19" i="3" s="1"/>
  <c r="BB19" i="1"/>
  <c r="F19" i="3" s="1"/>
  <c r="BA19" i="1"/>
  <c r="AZ19" i="1"/>
  <c r="AY19" i="1"/>
  <c r="AX19" i="1"/>
  <c r="AQ19" i="1"/>
  <c r="AP19" i="1"/>
  <c r="Q19" i="1"/>
  <c r="O19" i="1" s="1"/>
  <c r="BE19" i="1" s="1"/>
  <c r="CB18" i="1"/>
  <c r="BU18" i="1"/>
  <c r="BT18" i="1"/>
  <c r="CF18" i="1" s="1"/>
  <c r="BS18" i="1"/>
  <c r="CA18" i="1" s="1"/>
  <c r="BD18" i="1"/>
  <c r="BC18" i="1"/>
  <c r="BB18" i="1"/>
  <c r="BA18" i="1"/>
  <c r="AZ18" i="1"/>
  <c r="D18" i="3" s="1"/>
  <c r="AY18" i="1"/>
  <c r="AX18" i="1"/>
  <c r="AQ18" i="1"/>
  <c r="AP18" i="1"/>
  <c r="Q18" i="1"/>
  <c r="O18" i="1"/>
  <c r="BE18" i="1" s="1"/>
  <c r="CF17" i="1"/>
  <c r="CB17" i="1"/>
  <c r="CA17" i="1"/>
  <c r="BU17" i="1"/>
  <c r="BT17" i="1"/>
  <c r="BS17" i="1"/>
  <c r="BD17" i="1"/>
  <c r="BC17" i="1"/>
  <c r="BB17" i="1"/>
  <c r="F17" i="2" s="1"/>
  <c r="BA17" i="1"/>
  <c r="AZ17" i="1"/>
  <c r="AY17" i="1"/>
  <c r="C17" i="3" s="1"/>
  <c r="AX17" i="1"/>
  <c r="AQ17" i="1"/>
  <c r="AP17" i="1"/>
  <c r="Q17" i="1"/>
  <c r="O17" i="1" s="1"/>
  <c r="BE17" i="1" s="1"/>
  <c r="CB16" i="1"/>
  <c r="CA16" i="1"/>
  <c r="BU16" i="1"/>
  <c r="BT16" i="1"/>
  <c r="CF16" i="1" s="1"/>
  <c r="BS16" i="1"/>
  <c r="BD16" i="1"/>
  <c r="BC16" i="1"/>
  <c r="BB16" i="1"/>
  <c r="F16" i="3" s="1"/>
  <c r="BA16" i="1"/>
  <c r="AZ16" i="1"/>
  <c r="AY16" i="1"/>
  <c r="AX16" i="1"/>
  <c r="B16" i="3" s="1"/>
  <c r="AQ16" i="1"/>
  <c r="AP16" i="1"/>
  <c r="Q16" i="1"/>
  <c r="O16" i="1" s="1"/>
  <c r="BE16" i="1" s="1"/>
  <c r="CB15" i="1"/>
  <c r="CA15" i="1"/>
  <c r="BU15" i="1"/>
  <c r="BT15" i="1"/>
  <c r="CF15" i="1" s="1"/>
  <c r="BS15" i="1"/>
  <c r="BD15" i="1"/>
  <c r="BC15" i="1"/>
  <c r="BB15" i="1"/>
  <c r="BA15" i="1"/>
  <c r="AZ15" i="1"/>
  <c r="D15" i="3" s="1"/>
  <c r="AY15" i="1"/>
  <c r="C15" i="3" s="1"/>
  <c r="AX15" i="1"/>
  <c r="AQ15" i="1"/>
  <c r="AP15" i="1"/>
  <c r="Q15" i="1"/>
  <c r="O15" i="1"/>
  <c r="BE15" i="1" s="1"/>
  <c r="CF14" i="1"/>
  <c r="CA14" i="1"/>
  <c r="BU14" i="1"/>
  <c r="CB14" i="1" s="1"/>
  <c r="BT14" i="1"/>
  <c r="BS14" i="1"/>
  <c r="BD14" i="1"/>
  <c r="BC14" i="1"/>
  <c r="BB14" i="1"/>
  <c r="BA14" i="1"/>
  <c r="AZ14" i="1"/>
  <c r="AY14" i="1"/>
  <c r="AX14" i="1"/>
  <c r="B14" i="3" s="1"/>
  <c r="AQ14" i="1"/>
  <c r="AP14" i="1"/>
  <c r="A14" i="3" s="1"/>
  <c r="Q14" i="1"/>
  <c r="O14" i="1" s="1"/>
  <c r="BE14" i="1" s="1"/>
  <c r="CF13" i="1"/>
  <c r="BU13" i="1"/>
  <c r="CB13" i="1" s="1"/>
  <c r="BT13" i="1"/>
  <c r="BS13" i="1"/>
  <c r="CA13" i="1" s="1"/>
  <c r="BD13" i="1"/>
  <c r="H13" i="3" s="1"/>
  <c r="BC13" i="1"/>
  <c r="BB13" i="1"/>
  <c r="F13" i="3" s="1"/>
  <c r="BA13" i="1"/>
  <c r="AZ13" i="1"/>
  <c r="AY13" i="1"/>
  <c r="AX13" i="1"/>
  <c r="B13" i="3" s="1"/>
  <c r="AQ13" i="1"/>
  <c r="AP13" i="1"/>
  <c r="Q13" i="1"/>
  <c r="O13" i="1"/>
  <c r="BE13" i="1" s="1"/>
  <c r="CB12" i="1"/>
  <c r="BU12" i="1"/>
  <c r="BT12" i="1"/>
  <c r="CF12" i="1" s="1"/>
  <c r="BS12" i="1"/>
  <c r="CA12" i="1" s="1"/>
  <c r="BD12" i="1"/>
  <c r="BC12" i="1"/>
  <c r="G12" i="3" s="1"/>
  <c r="BB12" i="1"/>
  <c r="F12" i="3" s="1"/>
  <c r="BA12" i="1"/>
  <c r="AZ12" i="1"/>
  <c r="AY12" i="1"/>
  <c r="AX12" i="1"/>
  <c r="B12" i="3" s="1"/>
  <c r="AQ12" i="1"/>
  <c r="AP12" i="1"/>
  <c r="Q12" i="1"/>
  <c r="O12" i="1"/>
  <c r="BE12" i="1" s="1"/>
  <c r="CF11" i="1"/>
  <c r="CA11" i="1"/>
  <c r="BU11" i="1"/>
  <c r="CB11" i="1" s="1"/>
  <c r="BT11" i="1"/>
  <c r="BS11" i="1"/>
  <c r="BE11" i="1"/>
  <c r="BD11" i="1"/>
  <c r="H11" i="3" s="1"/>
  <c r="BC11" i="1"/>
  <c r="BB11" i="1"/>
  <c r="F11" i="3" s="1"/>
  <c r="BA11" i="1"/>
  <c r="AZ11" i="1"/>
  <c r="AY11" i="1"/>
  <c r="AX11" i="1"/>
  <c r="AQ11" i="1"/>
  <c r="AP11" i="1"/>
  <c r="Q11" i="1"/>
  <c r="O11" i="1" s="1"/>
  <c r="CB10" i="1"/>
  <c r="BU10" i="1"/>
  <c r="BT10" i="1"/>
  <c r="CF10" i="1" s="1"/>
  <c r="BS10" i="1"/>
  <c r="CA10" i="1" s="1"/>
  <c r="BE10" i="1"/>
  <c r="BD10" i="1"/>
  <c r="BC10" i="1"/>
  <c r="BB10" i="1"/>
  <c r="BA10" i="1"/>
  <c r="AZ10" i="1"/>
  <c r="AY10" i="1"/>
  <c r="AX10" i="1"/>
  <c r="AQ10" i="1"/>
  <c r="AP10" i="1"/>
  <c r="Q10" i="1"/>
  <c r="O10" i="1"/>
  <c r="CF9" i="1"/>
  <c r="CB9" i="1"/>
  <c r="CA9" i="1"/>
  <c r="BU9" i="1"/>
  <c r="BT9" i="1"/>
  <c r="BS9" i="1"/>
  <c r="BD9" i="1"/>
  <c r="BC9" i="1"/>
  <c r="BB9" i="1"/>
  <c r="BA9" i="1"/>
  <c r="AZ9" i="1"/>
  <c r="AY9" i="1"/>
  <c r="C9" i="3" s="1"/>
  <c r="AX9" i="1"/>
  <c r="AQ9" i="1"/>
  <c r="AP9" i="1"/>
  <c r="A9" i="3" s="1"/>
  <c r="Q9" i="1"/>
  <c r="O9" i="1"/>
  <c r="BE9" i="1" s="1"/>
  <c r="CB8" i="1"/>
  <c r="CA8" i="1"/>
  <c r="BU8" i="1"/>
  <c r="BT8" i="1"/>
  <c r="CF8" i="1" s="1"/>
  <c r="BS8" i="1"/>
  <c r="BD8" i="1"/>
  <c r="BC8" i="1"/>
  <c r="BB8" i="1"/>
  <c r="BA8" i="1"/>
  <c r="E8" i="3" s="1"/>
  <c r="AZ8" i="1"/>
  <c r="AY8" i="1"/>
  <c r="AX8" i="1"/>
  <c r="AQ8" i="1"/>
  <c r="AP8" i="1"/>
  <c r="A8" i="3" s="1"/>
  <c r="Q8" i="1"/>
  <c r="O8" i="1"/>
  <c r="BE8" i="1" s="1"/>
  <c r="CB7" i="1"/>
  <c r="BU7" i="1"/>
  <c r="BT7" i="1"/>
  <c r="CF7" i="1" s="1"/>
  <c r="BS7" i="1"/>
  <c r="CA7" i="1" s="1"/>
  <c r="BD7" i="1"/>
  <c r="BC7" i="1"/>
  <c r="BB7" i="1"/>
  <c r="BA7" i="1"/>
  <c r="AZ7" i="1"/>
  <c r="AY7" i="1"/>
  <c r="AX7" i="1"/>
  <c r="AQ7" i="1"/>
  <c r="AP7" i="1"/>
  <c r="Q7" i="1"/>
  <c r="O7" i="1"/>
  <c r="BE7" i="1" s="1"/>
  <c r="I7" i="3" s="1"/>
  <c r="CF6" i="1"/>
  <c r="BU6" i="1"/>
  <c r="CB6" i="1" s="1"/>
  <c r="BT6" i="1"/>
  <c r="BS6" i="1"/>
  <c r="CA6" i="1" s="1"/>
  <c r="BE6" i="1"/>
  <c r="BD6" i="1"/>
  <c r="H6" i="3" s="1"/>
  <c r="BC6" i="1"/>
  <c r="BB6" i="1"/>
  <c r="BA6" i="1"/>
  <c r="AZ6" i="1"/>
  <c r="AY6" i="1"/>
  <c r="AX6" i="1"/>
  <c r="AQ6" i="1"/>
  <c r="AP6" i="1"/>
  <c r="Q6" i="1"/>
  <c r="O6" i="1" s="1"/>
  <c r="CJ5" i="1"/>
  <c r="BV20" i="1" s="1"/>
  <c r="CD20" i="1" s="1"/>
  <c r="CF5" i="1"/>
  <c r="CA5" i="1"/>
  <c r="BU5" i="1"/>
  <c r="CB5" i="1" s="1"/>
  <c r="BT5" i="1"/>
  <c r="BS5" i="1"/>
  <c r="BE5" i="1"/>
  <c r="BD5" i="1"/>
  <c r="H5" i="3" s="1"/>
  <c r="BC5" i="1"/>
  <c r="BB5" i="1"/>
  <c r="BA5" i="1"/>
  <c r="E5" i="3" s="1"/>
  <c r="AZ5" i="1"/>
  <c r="AY5" i="1"/>
  <c r="AX5" i="1"/>
  <c r="AQ5" i="1"/>
  <c r="AP5" i="1"/>
  <c r="Q5" i="1"/>
  <c r="O5" i="1" s="1"/>
  <c r="CF4" i="1"/>
  <c r="BV4" i="1"/>
  <c r="CD4" i="1" s="1"/>
  <c r="BU4" i="1"/>
  <c r="CB4" i="1" s="1"/>
  <c r="BT4" i="1"/>
  <c r="BS4" i="1"/>
  <c r="CA4" i="1" s="1"/>
  <c r="BD4" i="1"/>
  <c r="BC4" i="1"/>
  <c r="BB4" i="1"/>
  <c r="BA4" i="1"/>
  <c r="E4" i="3" s="1"/>
  <c r="AZ4" i="1"/>
  <c r="AY4" i="1"/>
  <c r="AX4" i="1"/>
  <c r="B4" i="3" s="1"/>
  <c r="AQ4" i="1"/>
  <c r="AP4" i="1"/>
  <c r="Q4" i="1"/>
  <c r="O4" i="1" s="1"/>
  <c r="BE4" i="1" s="1"/>
  <c r="CF3" i="1"/>
  <c r="CB3" i="1"/>
  <c r="CA3" i="1"/>
  <c r="BV3" i="1"/>
  <c r="CD3" i="1" s="1"/>
  <c r="BU3" i="1"/>
  <c r="BT3" i="1"/>
  <c r="BS3" i="1"/>
  <c r="BD3" i="1"/>
  <c r="H3" i="3" s="1"/>
  <c r="BC3" i="1"/>
  <c r="BA3" i="1"/>
  <c r="AZ3" i="1"/>
  <c r="AY3" i="1"/>
  <c r="AX3" i="1"/>
  <c r="AQ3" i="1"/>
  <c r="AP3" i="1"/>
  <c r="A3" i="3" s="1"/>
  <c r="Q3" i="1"/>
  <c r="O3" i="1"/>
  <c r="BE3" i="1" s="1"/>
  <c r="F7" i="3" l="1"/>
  <c r="F7" i="2"/>
  <c r="I5" i="3"/>
  <c r="I5" i="2"/>
  <c r="I19" i="3"/>
  <c r="I19" i="2"/>
  <c r="I3" i="3"/>
  <c r="I3" i="2"/>
  <c r="CE3" i="1"/>
  <c r="CE4" i="1"/>
  <c r="CC4" i="1"/>
  <c r="G6" i="3"/>
  <c r="G6" i="2"/>
  <c r="D12" i="3"/>
  <c r="D12" i="2"/>
  <c r="D13" i="3"/>
  <c r="D13" i="2"/>
  <c r="I13" i="3"/>
  <c r="I13" i="2"/>
  <c r="I4" i="3"/>
  <c r="I4" i="2"/>
  <c r="D9" i="3"/>
  <c r="D9" i="2"/>
  <c r="A12" i="2"/>
  <c r="A12" i="3"/>
  <c r="G14" i="3"/>
  <c r="G14" i="2"/>
  <c r="I16" i="3"/>
  <c r="I16" i="2"/>
  <c r="I17" i="3"/>
  <c r="I17" i="2"/>
  <c r="A10" i="3"/>
  <c r="A10" i="2"/>
  <c r="CC8" i="1"/>
  <c r="I9" i="3"/>
  <c r="I9" i="2"/>
  <c r="G16" i="3"/>
  <c r="G16" i="2"/>
  <c r="A11" i="3"/>
  <c r="A11" i="2"/>
  <c r="B18" i="3"/>
  <c r="B18" i="2"/>
  <c r="B19" i="3"/>
  <c r="B19" i="2"/>
  <c r="CC19" i="1"/>
  <c r="I8" i="3"/>
  <c r="I8" i="2"/>
  <c r="B3" i="3"/>
  <c r="B3" i="2"/>
  <c r="CC7" i="1"/>
  <c r="CE7" i="1"/>
  <c r="D11" i="3"/>
  <c r="D11" i="2"/>
  <c r="I18" i="3"/>
  <c r="I18" i="2"/>
  <c r="C3" i="3"/>
  <c r="C3" i="2"/>
  <c r="F4" i="3"/>
  <c r="F4" i="2"/>
  <c r="BV7" i="1"/>
  <c r="CD7" i="1" s="1"/>
  <c r="H12" i="3"/>
  <c r="H12" i="2"/>
  <c r="G15" i="2"/>
  <c r="G15" i="3"/>
  <c r="H17" i="3"/>
  <c r="H17" i="2"/>
  <c r="A18" i="3"/>
  <c r="A18" i="2"/>
  <c r="A19" i="3"/>
  <c r="A19" i="2"/>
  <c r="E20" i="3"/>
  <c r="E20" i="2"/>
  <c r="F5" i="3"/>
  <c r="F5" i="2"/>
  <c r="D6" i="3"/>
  <c r="D6" i="2"/>
  <c r="I10" i="3"/>
  <c r="I10" i="2"/>
  <c r="BV15" i="1"/>
  <c r="CD15" i="1" s="1"/>
  <c r="CE15" i="1" s="1"/>
  <c r="A20" i="3"/>
  <c r="A20" i="2"/>
  <c r="E6" i="2"/>
  <c r="E6" i="3"/>
  <c r="B11" i="2"/>
  <c r="B11" i="3"/>
  <c r="BV12" i="1"/>
  <c r="CD12" i="1" s="1"/>
  <c r="CC12" i="1" s="1"/>
  <c r="BV13" i="1"/>
  <c r="CD13" i="1" s="1"/>
  <c r="CE13" i="1" s="1"/>
  <c r="E14" i="3"/>
  <c r="E14" i="2"/>
  <c r="B17" i="3"/>
  <c r="B17" i="2"/>
  <c r="H18" i="3"/>
  <c r="H18" i="2"/>
  <c r="CE20" i="1"/>
  <c r="CC20" i="1"/>
  <c r="H3" i="2"/>
  <c r="A9" i="2"/>
  <c r="A6" i="3"/>
  <c r="A6" i="2"/>
  <c r="BV6" i="1"/>
  <c r="CD6" i="1" s="1"/>
  <c r="CE6" i="1" s="1"/>
  <c r="B7" i="3"/>
  <c r="B7" i="2"/>
  <c r="H9" i="3"/>
  <c r="H9" i="2"/>
  <c r="H10" i="3"/>
  <c r="H10" i="2"/>
  <c r="I14" i="3"/>
  <c r="I14" i="2"/>
  <c r="G3" i="3"/>
  <c r="G3" i="2"/>
  <c r="C7" i="3"/>
  <c r="C7" i="2"/>
  <c r="I11" i="3"/>
  <c r="I11" i="2"/>
  <c r="D14" i="3"/>
  <c r="D14" i="2"/>
  <c r="H15" i="3"/>
  <c r="H15" i="2"/>
  <c r="H4" i="3"/>
  <c r="H4" i="2"/>
  <c r="G5" i="3"/>
  <c r="G5" i="2"/>
  <c r="A7" i="3"/>
  <c r="A7" i="2"/>
  <c r="C8" i="3"/>
  <c r="C8" i="2"/>
  <c r="B9" i="3"/>
  <c r="B9" i="2"/>
  <c r="B10" i="3"/>
  <c r="B10" i="2"/>
  <c r="I12" i="3"/>
  <c r="I12" i="2"/>
  <c r="F6" i="3"/>
  <c r="F6" i="2"/>
  <c r="E7" i="3"/>
  <c r="E7" i="2"/>
  <c r="D8" i="3"/>
  <c r="D8" i="2"/>
  <c r="BV9" i="1"/>
  <c r="CD9" i="1" s="1"/>
  <c r="CE9" i="1" s="1"/>
  <c r="C10" i="3"/>
  <c r="C10" i="2"/>
  <c r="BV10" i="1"/>
  <c r="CD10" i="1" s="1"/>
  <c r="CE10" i="1" s="1"/>
  <c r="C11" i="3"/>
  <c r="C11" i="2"/>
  <c r="C12" i="3"/>
  <c r="C12" i="2"/>
  <c r="C13" i="3"/>
  <c r="C13" i="2"/>
  <c r="F14" i="2"/>
  <c r="F14" i="3"/>
  <c r="I15" i="3"/>
  <c r="I15" i="2"/>
  <c r="CC15" i="1"/>
  <c r="E4" i="2"/>
  <c r="G12" i="2"/>
  <c r="E5" i="2"/>
  <c r="I7" i="2"/>
  <c r="F13" i="2"/>
  <c r="F16" i="2"/>
  <c r="CC3" i="1"/>
  <c r="C4" i="3"/>
  <c r="C4" i="2"/>
  <c r="B5" i="3"/>
  <c r="B5" i="2"/>
  <c r="BV18" i="1"/>
  <c r="CD18" i="1" s="1"/>
  <c r="CC18" i="1" s="1"/>
  <c r="BV19" i="1"/>
  <c r="CD19" i="1" s="1"/>
  <c r="CE19" i="1" s="1"/>
  <c r="BV11" i="1"/>
  <c r="CD11" i="1" s="1"/>
  <c r="CE11" i="1" s="1"/>
  <c r="BV16" i="1"/>
  <c r="CD16" i="1" s="1"/>
  <c r="CE16" i="1" s="1"/>
  <c r="BV8" i="1"/>
  <c r="CD8" i="1" s="1"/>
  <c r="CE8" i="1" s="1"/>
  <c r="BV17" i="1"/>
  <c r="CD17" i="1" s="1"/>
  <c r="CE17" i="1" s="1"/>
  <c r="G7" i="3"/>
  <c r="G7" i="2"/>
  <c r="F8" i="3"/>
  <c r="F8" i="2"/>
  <c r="E9" i="3"/>
  <c r="E9" i="2"/>
  <c r="E10" i="3"/>
  <c r="E10" i="2"/>
  <c r="E12" i="3"/>
  <c r="E12" i="2"/>
  <c r="E13" i="3"/>
  <c r="E13" i="2"/>
  <c r="BV14" i="1"/>
  <c r="CD14" i="1" s="1"/>
  <c r="CE14" i="1" s="1"/>
  <c r="H16" i="3"/>
  <c r="H16" i="2"/>
  <c r="A17" i="2"/>
  <c r="A17" i="3"/>
  <c r="C18" i="3"/>
  <c r="C18" i="2"/>
  <c r="C19" i="3"/>
  <c r="C19" i="2"/>
  <c r="D3" i="3"/>
  <c r="D3" i="2"/>
  <c r="D4" i="3"/>
  <c r="D4" i="2"/>
  <c r="A5" i="3"/>
  <c r="A5" i="2"/>
  <c r="BV5" i="1"/>
  <c r="CD5" i="1" s="1"/>
  <c r="CE5" i="1" s="1"/>
  <c r="I6" i="3"/>
  <c r="I6" i="2"/>
  <c r="H7" i="3"/>
  <c r="H7" i="2"/>
  <c r="G8" i="2"/>
  <c r="G8" i="3"/>
  <c r="F10" i="3"/>
  <c r="F10" i="2"/>
  <c r="E15" i="3"/>
  <c r="E15" i="2"/>
  <c r="D19" i="3"/>
  <c r="D19" i="2"/>
  <c r="C20" i="3"/>
  <c r="C20" i="2"/>
  <c r="E3" i="3"/>
  <c r="E3" i="2"/>
  <c r="D5" i="3"/>
  <c r="D5" i="2"/>
  <c r="B6" i="3"/>
  <c r="B6" i="2"/>
  <c r="H8" i="3"/>
  <c r="H8" i="2"/>
  <c r="G9" i="3"/>
  <c r="G9" i="2"/>
  <c r="G11" i="3"/>
  <c r="G11" i="2"/>
  <c r="CC14" i="1"/>
  <c r="F15" i="3"/>
  <c r="F15" i="2"/>
  <c r="G17" i="2"/>
  <c r="G17" i="3"/>
  <c r="I20" i="3"/>
  <c r="I20" i="2"/>
  <c r="D20" i="3"/>
  <c r="D20" i="2"/>
  <c r="F11" i="2"/>
  <c r="D16" i="3"/>
  <c r="D16" i="2"/>
  <c r="E17" i="3"/>
  <c r="E17" i="2"/>
  <c r="F18" i="3"/>
  <c r="F18" i="2"/>
  <c r="H20" i="3"/>
  <c r="H20" i="2"/>
  <c r="F3" i="2"/>
  <c r="B4" i="2"/>
  <c r="B13" i="2"/>
  <c r="A4" i="3"/>
  <c r="A4" i="2"/>
  <c r="C5" i="3"/>
  <c r="C5" i="2"/>
  <c r="C6" i="3"/>
  <c r="C6" i="2"/>
  <c r="D7" i="3"/>
  <c r="D7" i="2"/>
  <c r="F9" i="3"/>
  <c r="F9" i="2"/>
  <c r="G10" i="3"/>
  <c r="G10" i="2"/>
  <c r="A13" i="3"/>
  <c r="A13" i="2"/>
  <c r="C14" i="3"/>
  <c r="C14" i="2"/>
  <c r="E16" i="3"/>
  <c r="E16" i="2"/>
  <c r="G18" i="3"/>
  <c r="G18" i="2"/>
  <c r="G4" i="3"/>
  <c r="G4" i="2"/>
  <c r="B8" i="3"/>
  <c r="B8" i="2"/>
  <c r="D10" i="3"/>
  <c r="D10" i="2"/>
  <c r="E11" i="3"/>
  <c r="E11" i="2"/>
  <c r="G13" i="3"/>
  <c r="G13" i="2"/>
  <c r="H14" i="3"/>
  <c r="H14" i="2"/>
  <c r="A16" i="3"/>
  <c r="A16" i="2"/>
  <c r="E19" i="3"/>
  <c r="E19" i="2"/>
  <c r="A8" i="2"/>
  <c r="H11" i="2"/>
  <c r="A14" i="2"/>
  <c r="D15" i="2"/>
  <c r="G19" i="2"/>
  <c r="A15" i="3"/>
  <c r="A15" i="2"/>
  <c r="B15" i="3"/>
  <c r="B15" i="2"/>
  <c r="C16" i="3"/>
  <c r="C16" i="2"/>
  <c r="D17" i="3"/>
  <c r="D17" i="2"/>
  <c r="E18" i="3"/>
  <c r="E18" i="2"/>
  <c r="G20" i="3"/>
  <c r="G20" i="2"/>
  <c r="E8" i="2"/>
  <c r="C9" i="2"/>
  <c r="B14" i="2"/>
  <c r="D18" i="2"/>
  <c r="H19" i="2"/>
  <c r="B20" i="2"/>
  <c r="BY5" i="1" l="1"/>
  <c r="BY16" i="1"/>
  <c r="BY14" i="1"/>
  <c r="CG14" i="1"/>
  <c r="BF14" i="1" s="1"/>
  <c r="BH14" i="1" s="1"/>
  <c r="BY11" i="1"/>
  <c r="CG15" i="1"/>
  <c r="BF15" i="1" s="1"/>
  <c r="BH15" i="1" s="1"/>
  <c r="BY15" i="1"/>
  <c r="BY19" i="1"/>
  <c r="CG19" i="1"/>
  <c r="BF19" i="1" s="1"/>
  <c r="BH19" i="1" s="1"/>
  <c r="BY9" i="1"/>
  <c r="BY10" i="1"/>
  <c r="BY6" i="1"/>
  <c r="BY17" i="1"/>
  <c r="CG8" i="1"/>
  <c r="BY8" i="1"/>
  <c r="CC13" i="1"/>
  <c r="CC5" i="1"/>
  <c r="CG5" i="1" s="1"/>
  <c r="BF5" i="1" s="1"/>
  <c r="BH5" i="1" s="1"/>
  <c r="CC16" i="1"/>
  <c r="CG16" i="1" s="1"/>
  <c r="BF16" i="1" s="1"/>
  <c r="BH16" i="1" s="1"/>
  <c r="CE18" i="1"/>
  <c r="CC11" i="1"/>
  <c r="CG11" i="1" s="1"/>
  <c r="BF11" i="1" s="1"/>
  <c r="BH11" i="1" s="1"/>
  <c r="CG7" i="1"/>
  <c r="BY7" i="1"/>
  <c r="CC17" i="1"/>
  <c r="CG17" i="1" s="1"/>
  <c r="BF17" i="1" s="1"/>
  <c r="BH17" i="1" s="1"/>
  <c r="CG13" i="1"/>
  <c r="BY13" i="1"/>
  <c r="CG20" i="1"/>
  <c r="BY20" i="1"/>
  <c r="CC10" i="1"/>
  <c r="CG10" i="1" s="1"/>
  <c r="BF10" i="1" s="1"/>
  <c r="BH10" i="1" s="1"/>
  <c r="CC9" i="1"/>
  <c r="CG9" i="1" s="1"/>
  <c r="BF9" i="1" s="1"/>
  <c r="BH9" i="1" s="1"/>
  <c r="CE12" i="1"/>
  <c r="CC6" i="1"/>
  <c r="CG6" i="1" s="1"/>
  <c r="BF6" i="1" s="1"/>
  <c r="BH6" i="1" s="1"/>
  <c r="BY4" i="1"/>
  <c r="CG4" i="1"/>
  <c r="BY3" i="1"/>
  <c r="CG3" i="1"/>
  <c r="BF3" i="1" s="1"/>
  <c r="BH3" i="1" s="1"/>
  <c r="K9" i="3" l="1"/>
  <c r="O9" i="3" s="1"/>
  <c r="AR9" i="1"/>
  <c r="K11" i="3"/>
  <c r="O11" i="3" s="1"/>
  <c r="AR11" i="1"/>
  <c r="K6" i="3"/>
  <c r="O6" i="3" s="1"/>
  <c r="AR6" i="1"/>
  <c r="K16" i="3"/>
  <c r="O16" i="3" s="1"/>
  <c r="AR16" i="1"/>
  <c r="K17" i="3"/>
  <c r="O17" i="3" s="1"/>
  <c r="AR17" i="1"/>
  <c r="K10" i="3"/>
  <c r="O10" i="3" s="1"/>
  <c r="AR10" i="1"/>
  <c r="K5" i="3"/>
  <c r="O5" i="3" s="1"/>
  <c r="AR5" i="1"/>
  <c r="BO13" i="1"/>
  <c r="BQ13" i="1" s="1"/>
  <c r="AV13" i="1" s="1"/>
  <c r="K13" i="1"/>
  <c r="BL13" i="1"/>
  <c r="BI13" i="1"/>
  <c r="BI17" i="1"/>
  <c r="BL17" i="1"/>
  <c r="K17" i="1"/>
  <c r="BO17" i="1"/>
  <c r="BQ17" i="1" s="1"/>
  <c r="AV17" i="1" s="1"/>
  <c r="BO11" i="1"/>
  <c r="BQ11" i="1" s="1"/>
  <c r="AV11" i="1" s="1"/>
  <c r="BL11" i="1"/>
  <c r="K11" i="1"/>
  <c r="BI11" i="1"/>
  <c r="K3" i="3"/>
  <c r="O3" i="3" s="1"/>
  <c r="AR3" i="1"/>
  <c r="CG18" i="1"/>
  <c r="BY18" i="1"/>
  <c r="K4" i="1"/>
  <c r="BL4" i="1"/>
  <c r="BI4" i="1"/>
  <c r="BO4" i="1"/>
  <c r="BQ4" i="1" s="1"/>
  <c r="AV4" i="1" s="1"/>
  <c r="BY12" i="1"/>
  <c r="CG12" i="1"/>
  <c r="BF12" i="1" s="1"/>
  <c r="BH12" i="1" s="1"/>
  <c r="BF13" i="1"/>
  <c r="BH13" i="1" s="1"/>
  <c r="BL9" i="1"/>
  <c r="BO9" i="1"/>
  <c r="BQ9" i="1" s="1"/>
  <c r="AV9" i="1" s="1"/>
  <c r="BI9" i="1"/>
  <c r="K9" i="1"/>
  <c r="BO6" i="1"/>
  <c r="BQ6" i="1" s="1"/>
  <c r="AV6" i="1" s="1"/>
  <c r="K6" i="1"/>
  <c r="BL6" i="1"/>
  <c r="BI6" i="1"/>
  <c r="BO14" i="1"/>
  <c r="BQ14" i="1" s="1"/>
  <c r="AV14" i="1" s="1"/>
  <c r="K14" i="1"/>
  <c r="BI14" i="1"/>
  <c r="BL14" i="1"/>
  <c r="BL3" i="1"/>
  <c r="K3" i="1"/>
  <c r="BO3" i="1"/>
  <c r="BQ3" i="1" s="1"/>
  <c r="AV3" i="1" s="1"/>
  <c r="BI3" i="1"/>
  <c r="BO20" i="1"/>
  <c r="BQ20" i="1" s="1"/>
  <c r="AV20" i="1" s="1"/>
  <c r="K20" i="1"/>
  <c r="BL20" i="1"/>
  <c r="BI20" i="1"/>
  <c r="K8" i="1"/>
  <c r="BO8" i="1"/>
  <c r="BQ8" i="1" s="1"/>
  <c r="AV8" i="1" s="1"/>
  <c r="BL8" i="1"/>
  <c r="BI8" i="1"/>
  <c r="K19" i="3"/>
  <c r="O19" i="3" s="1"/>
  <c r="AR19" i="1"/>
  <c r="BI16" i="1"/>
  <c r="BL16" i="1"/>
  <c r="K16" i="1"/>
  <c r="BO16" i="1"/>
  <c r="BQ16" i="1" s="1"/>
  <c r="AV16" i="1" s="1"/>
  <c r="K14" i="3"/>
  <c r="O14" i="3" s="1"/>
  <c r="AR14" i="1"/>
  <c r="BF8" i="1"/>
  <c r="BH8" i="1" s="1"/>
  <c r="BL19" i="1"/>
  <c r="BO19" i="1"/>
  <c r="BQ19" i="1" s="1"/>
  <c r="AV19" i="1" s="1"/>
  <c r="K19" i="1"/>
  <c r="BI19" i="1"/>
  <c r="BF20" i="1"/>
  <c r="BH20" i="1" s="1"/>
  <c r="BF4" i="1"/>
  <c r="BH4" i="1" s="1"/>
  <c r="BI7" i="1"/>
  <c r="K7" i="1"/>
  <c r="BL7" i="1"/>
  <c r="BO7" i="1"/>
  <c r="BQ7" i="1" s="1"/>
  <c r="AV7" i="1" s="1"/>
  <c r="BI10" i="1"/>
  <c r="K10" i="1"/>
  <c r="BO10" i="1"/>
  <c r="BQ10" i="1" s="1"/>
  <c r="AV10" i="1" s="1"/>
  <c r="BL10" i="1"/>
  <c r="BI15" i="1"/>
  <c r="BO15" i="1"/>
  <c r="BQ15" i="1" s="1"/>
  <c r="AV15" i="1" s="1"/>
  <c r="BL15" i="1"/>
  <c r="K15" i="1"/>
  <c r="BF7" i="1"/>
  <c r="BH7" i="1" s="1"/>
  <c r="K15" i="3"/>
  <c r="O15" i="3" s="1"/>
  <c r="AR15" i="1"/>
  <c r="BO5" i="1"/>
  <c r="BQ5" i="1" s="1"/>
  <c r="AV5" i="1" s="1"/>
  <c r="BI5" i="1"/>
  <c r="BL5" i="1"/>
  <c r="K5" i="1"/>
  <c r="L16" i="3" l="1"/>
  <c r="BK16" i="1"/>
  <c r="AS16" i="1" s="1"/>
  <c r="L20" i="2"/>
  <c r="BN20" i="1"/>
  <c r="L14" i="3"/>
  <c r="BK14" i="1"/>
  <c r="AS14" i="1" s="1"/>
  <c r="AT14" i="1" s="1"/>
  <c r="L9" i="3"/>
  <c r="BK9" i="1"/>
  <c r="AS9" i="1" s="1"/>
  <c r="L4" i="2"/>
  <c r="BN4" i="1"/>
  <c r="L11" i="2"/>
  <c r="BN11" i="1"/>
  <c r="M16" i="3"/>
  <c r="N16" i="3" s="1"/>
  <c r="AT16" i="1"/>
  <c r="L15" i="2"/>
  <c r="BN15" i="1"/>
  <c r="L7" i="2"/>
  <c r="BN7" i="1"/>
  <c r="L19" i="2"/>
  <c r="BN19" i="1"/>
  <c r="M19" i="3"/>
  <c r="N19" i="3" s="1"/>
  <c r="AT19" i="1"/>
  <c r="BI18" i="1"/>
  <c r="K18" i="1"/>
  <c r="BL18" i="1"/>
  <c r="BO18" i="1"/>
  <c r="BQ18" i="1" s="1"/>
  <c r="AV18" i="1" s="1"/>
  <c r="M5" i="3"/>
  <c r="N5" i="3" s="1"/>
  <c r="AT5" i="1"/>
  <c r="L7" i="3"/>
  <c r="BK7" i="1"/>
  <c r="AS7" i="1" s="1"/>
  <c r="L6" i="3"/>
  <c r="BK6" i="1"/>
  <c r="AS6" i="1" s="1"/>
  <c r="AT6" i="1" s="1"/>
  <c r="K4" i="3"/>
  <c r="O4" i="3" s="1"/>
  <c r="AR4" i="1"/>
  <c r="L8" i="2"/>
  <c r="BN8" i="1"/>
  <c r="L6" i="2"/>
  <c r="BN6" i="1"/>
  <c r="M10" i="3"/>
  <c r="N10" i="3" s="1"/>
  <c r="AT10" i="1"/>
  <c r="K20" i="3"/>
  <c r="O20" i="3" s="1"/>
  <c r="AR20" i="1"/>
  <c r="L17" i="3"/>
  <c r="BK17" i="1"/>
  <c r="AS17" i="1" s="1"/>
  <c r="AT17" i="1" s="1"/>
  <c r="L5" i="2"/>
  <c r="BN5" i="1"/>
  <c r="K8" i="3"/>
  <c r="O8" i="3" s="1"/>
  <c r="AR8" i="1"/>
  <c r="L5" i="3"/>
  <c r="BK5" i="1"/>
  <c r="AS5" i="1" s="1"/>
  <c r="M14" i="3"/>
  <c r="N14" i="3" s="1"/>
  <c r="L3" i="3"/>
  <c r="BK3" i="1"/>
  <c r="AS3" i="1" s="1"/>
  <c r="AT3" i="1" s="1"/>
  <c r="BF18" i="1"/>
  <c r="BH18" i="1" s="1"/>
  <c r="BN10" i="1"/>
  <c r="L10" i="2"/>
  <c r="M3" i="3"/>
  <c r="M11" i="3"/>
  <c r="N11" i="3" s="1"/>
  <c r="BL12" i="1"/>
  <c r="BO12" i="1"/>
  <c r="BQ12" i="1" s="1"/>
  <c r="AV12" i="1" s="1"/>
  <c r="BI12" i="1"/>
  <c r="K12" i="1"/>
  <c r="L19" i="3"/>
  <c r="BK19" i="1"/>
  <c r="AS19" i="1" s="1"/>
  <c r="L3" i="2"/>
  <c r="BN3" i="1"/>
  <c r="L11" i="3"/>
  <c r="BK11" i="1"/>
  <c r="AS11" i="1" s="1"/>
  <c r="AT11" i="1" s="1"/>
  <c r="L13" i="3"/>
  <c r="BK13" i="1"/>
  <c r="AS13" i="1" s="1"/>
  <c r="M17" i="3"/>
  <c r="N17" i="3" s="1"/>
  <c r="M9" i="3"/>
  <c r="N9" i="3" s="1"/>
  <c r="AT9" i="1"/>
  <c r="L9" i="2"/>
  <c r="BN9" i="1"/>
  <c r="M6" i="3"/>
  <c r="N6" i="3" s="1"/>
  <c r="L15" i="3"/>
  <c r="BK15" i="1"/>
  <c r="AS15" i="1" s="1"/>
  <c r="L8" i="3"/>
  <c r="BK8" i="1"/>
  <c r="AS8" i="1" s="1"/>
  <c r="K13" i="3"/>
  <c r="O13" i="3" s="1"/>
  <c r="AR13" i="1"/>
  <c r="K12" i="3"/>
  <c r="O12" i="3" s="1"/>
  <c r="AR12" i="1"/>
  <c r="BN17" i="1"/>
  <c r="L17" i="2"/>
  <c r="M15" i="3"/>
  <c r="N15" i="3" s="1"/>
  <c r="AT15" i="1"/>
  <c r="K7" i="3"/>
  <c r="O7" i="3" s="1"/>
  <c r="AR7" i="1"/>
  <c r="L10" i="3"/>
  <c r="BK10" i="1"/>
  <c r="AS10" i="1" s="1"/>
  <c r="L16" i="2"/>
  <c r="BN16" i="1"/>
  <c r="L20" i="3"/>
  <c r="BK20" i="1"/>
  <c r="AS20" i="1" s="1"/>
  <c r="L14" i="2"/>
  <c r="BN14" i="1"/>
  <c r="L4" i="3"/>
  <c r="BK4" i="1"/>
  <c r="AS4" i="1" s="1"/>
  <c r="L13" i="2"/>
  <c r="BN13" i="1"/>
  <c r="AU5" i="1" l="1"/>
  <c r="K5" i="2"/>
  <c r="O5" i="2" s="1"/>
  <c r="L12" i="3"/>
  <c r="BK12" i="1"/>
  <c r="AS12" i="1" s="1"/>
  <c r="K10" i="2"/>
  <c r="O10" i="2" s="1"/>
  <c r="AU10" i="1"/>
  <c r="M8" i="3"/>
  <c r="N8" i="3" s="1"/>
  <c r="AT8" i="1"/>
  <c r="K15" i="2"/>
  <c r="O15" i="2" s="1"/>
  <c r="AU15" i="1"/>
  <c r="L18" i="3"/>
  <c r="BK18" i="1"/>
  <c r="AS18" i="1" s="1"/>
  <c r="M7" i="3"/>
  <c r="N7" i="3" s="1"/>
  <c r="AT7" i="1"/>
  <c r="K14" i="2"/>
  <c r="O14" i="2" s="1"/>
  <c r="AU14" i="1"/>
  <c r="M13" i="3"/>
  <c r="N13" i="3" s="1"/>
  <c r="AT13" i="1"/>
  <c r="K18" i="3"/>
  <c r="O18" i="3" s="1"/>
  <c r="AR18" i="1"/>
  <c r="L12" i="2"/>
  <c r="BN12" i="1"/>
  <c r="K6" i="2"/>
  <c r="O6" i="2" s="1"/>
  <c r="AU6" i="1"/>
  <c r="K3" i="2"/>
  <c r="O3" i="2" s="1"/>
  <c r="AU3" i="1"/>
  <c r="K8" i="2"/>
  <c r="O8" i="2" s="1"/>
  <c r="AU8" i="1"/>
  <c r="K19" i="2"/>
  <c r="O19" i="2" s="1"/>
  <c r="AU19" i="1"/>
  <c r="K11" i="2"/>
  <c r="O11" i="2" s="1"/>
  <c r="AU11" i="1"/>
  <c r="K13" i="2"/>
  <c r="O13" i="2" s="1"/>
  <c r="AU13" i="1"/>
  <c r="K16" i="2"/>
  <c r="O16" i="2" s="1"/>
  <c r="AU16" i="1"/>
  <c r="K9" i="2"/>
  <c r="O9" i="2" s="1"/>
  <c r="AU9" i="1"/>
  <c r="AU20" i="1"/>
  <c r="K20" i="2"/>
  <c r="O20" i="2" s="1"/>
  <c r="K17" i="2"/>
  <c r="O17" i="2" s="1"/>
  <c r="AU17" i="1"/>
  <c r="N3" i="3"/>
  <c r="M20" i="3"/>
  <c r="N20" i="3" s="1"/>
  <c r="AT20" i="1"/>
  <c r="M4" i="3"/>
  <c r="N4" i="3" s="1"/>
  <c r="AT4" i="1"/>
  <c r="K7" i="2"/>
  <c r="O7" i="2" s="1"/>
  <c r="AU7" i="1"/>
  <c r="K4" i="2"/>
  <c r="O4" i="2" s="1"/>
  <c r="AU4" i="1"/>
  <c r="M12" i="3"/>
  <c r="N12" i="3" s="1"/>
  <c r="AT12" i="1"/>
  <c r="L18" i="2"/>
  <c r="BN18" i="1"/>
  <c r="M19" i="2" l="1"/>
  <c r="N19" i="2" s="1"/>
  <c r="AW19" i="1"/>
  <c r="K12" i="2"/>
  <c r="O12" i="2" s="1"/>
  <c r="AU12" i="1"/>
  <c r="M10" i="2"/>
  <c r="N10" i="2" s="1"/>
  <c r="AW10" i="1"/>
  <c r="M8" i="2"/>
  <c r="N8" i="2" s="1"/>
  <c r="AW8" i="1"/>
  <c r="M17" i="2"/>
  <c r="N17" i="2" s="1"/>
  <c r="AW17" i="1"/>
  <c r="K18" i="2"/>
  <c r="O18" i="2" s="1"/>
  <c r="AU18" i="1"/>
  <c r="M11" i="2"/>
  <c r="N11" i="2" s="1"/>
  <c r="AW11" i="1"/>
  <c r="M6" i="2"/>
  <c r="N6" i="2" s="1"/>
  <c r="AW6" i="1"/>
  <c r="AW14" i="1"/>
  <c r="M14" i="2"/>
  <c r="N14" i="2" s="1"/>
  <c r="M9" i="2"/>
  <c r="N9" i="2" s="1"/>
  <c r="AW9" i="1"/>
  <c r="M4" i="2"/>
  <c r="N4" i="2" s="1"/>
  <c r="AW4" i="1"/>
  <c r="M18" i="3"/>
  <c r="N18" i="3" s="1"/>
  <c r="AT18" i="1"/>
  <c r="M20" i="2"/>
  <c r="N20" i="2" s="1"/>
  <c r="AW20" i="1"/>
  <c r="M16" i="2"/>
  <c r="N16" i="2" s="1"/>
  <c r="AW16" i="1"/>
  <c r="AW7" i="1"/>
  <c r="M7" i="2"/>
  <c r="N7" i="2" s="1"/>
  <c r="M13" i="2"/>
  <c r="N13" i="2" s="1"/>
  <c r="AW13" i="1"/>
  <c r="M3" i="2"/>
  <c r="AW3" i="1"/>
  <c r="AW15" i="1"/>
  <c r="M15" i="2"/>
  <c r="N15" i="2" s="1"/>
  <c r="M5" i="2"/>
  <c r="N5" i="2" s="1"/>
  <c r="AW5" i="1"/>
  <c r="M18" i="2" l="1"/>
  <c r="N18" i="2" s="1"/>
  <c r="AW18" i="1"/>
  <c r="M12" i="2"/>
  <c r="N12" i="2" s="1"/>
  <c r="AW12" i="1"/>
  <c r="N3" i="2"/>
  <c r="U3" i="2" a="1"/>
  <c r="U3" i="3" a="1"/>
  <c r="AH65" i="3" l="1"/>
  <c r="Z65" i="3"/>
  <c r="AG64" i="3"/>
  <c r="Y64" i="3"/>
  <c r="AF63" i="3"/>
  <c r="X63" i="3"/>
  <c r="AE62" i="3"/>
  <c r="W62" i="3"/>
  <c r="AD61" i="3"/>
  <c r="V61" i="3"/>
  <c r="AC60" i="3"/>
  <c r="U60" i="3"/>
  <c r="AB59" i="3"/>
  <c r="AI58" i="3"/>
  <c r="AA58" i="3"/>
  <c r="AH57" i="3"/>
  <c r="Z57" i="3"/>
  <c r="AG56" i="3"/>
  <c r="Y56" i="3"/>
  <c r="AF55" i="3"/>
  <c r="X55" i="3"/>
  <c r="AE54" i="3"/>
  <c r="W54" i="3"/>
  <c r="AD53" i="3"/>
  <c r="V53" i="3"/>
  <c r="AC52" i="3"/>
  <c r="U52" i="3"/>
  <c r="AB51" i="3"/>
  <c r="AI50" i="3"/>
  <c r="AA50" i="3"/>
  <c r="AH49" i="3"/>
  <c r="Z49" i="3"/>
  <c r="AG48" i="3"/>
  <c r="AG65" i="3"/>
  <c r="Y65" i="3"/>
  <c r="AF64" i="3"/>
  <c r="X64" i="3"/>
  <c r="AE63" i="3"/>
  <c r="W63" i="3"/>
  <c r="AD62" i="3"/>
  <c r="V62" i="3"/>
  <c r="AC61" i="3"/>
  <c r="U61" i="3"/>
  <c r="AB60" i="3"/>
  <c r="AI59" i="3"/>
  <c r="AA59" i="3"/>
  <c r="AH58" i="3"/>
  <c r="Z58" i="3"/>
  <c r="AG57" i="3"/>
  <c r="Y57" i="3"/>
  <c r="AF56" i="3"/>
  <c r="X56" i="3"/>
  <c r="AE55" i="3"/>
  <c r="W55" i="3"/>
  <c r="AD54" i="3"/>
  <c r="V54" i="3"/>
  <c r="AC53" i="3"/>
  <c r="U53" i="3"/>
  <c r="AB52" i="3"/>
  <c r="AI51" i="3"/>
  <c r="AA51" i="3"/>
  <c r="AH50" i="3"/>
  <c r="Z50" i="3"/>
  <c r="AG49" i="3"/>
  <c r="Y49" i="3"/>
  <c r="AF48" i="3"/>
  <c r="X48" i="3"/>
  <c r="AE47" i="3"/>
  <c r="W47" i="3"/>
  <c r="AD46" i="3"/>
  <c r="V46" i="3"/>
  <c r="AC45" i="3"/>
  <c r="U45" i="3"/>
  <c r="AB44" i="3"/>
  <c r="AI43" i="3"/>
  <c r="AA43" i="3"/>
  <c r="AH42" i="3"/>
  <c r="Z42" i="3"/>
  <c r="AG41" i="3"/>
  <c r="Y41" i="3"/>
  <c r="AF40" i="3"/>
  <c r="X40" i="3"/>
  <c r="AE39" i="3"/>
  <c r="W39" i="3"/>
  <c r="AD38" i="3"/>
  <c r="V38" i="3"/>
  <c r="AC37" i="3"/>
  <c r="U37" i="3"/>
  <c r="AF65" i="3"/>
  <c r="X65" i="3"/>
  <c r="AE64" i="3"/>
  <c r="W64" i="3"/>
  <c r="AD63" i="3"/>
  <c r="V63" i="3"/>
  <c r="AC62" i="3"/>
  <c r="U62" i="3"/>
  <c r="AB61" i="3"/>
  <c r="AI60" i="3"/>
  <c r="AA60" i="3"/>
  <c r="AH59" i="3"/>
  <c r="Z59" i="3"/>
  <c r="AG58" i="3"/>
  <c r="Y58" i="3"/>
  <c r="AF57" i="3"/>
  <c r="X57" i="3"/>
  <c r="AE56" i="3"/>
  <c r="W56" i="3"/>
  <c r="AD55" i="3"/>
  <c r="V55" i="3"/>
  <c r="AC54" i="3"/>
  <c r="U54" i="3"/>
  <c r="AB53" i="3"/>
  <c r="AI52" i="3"/>
  <c r="AA52" i="3"/>
  <c r="AH51" i="3"/>
  <c r="Z51" i="3"/>
  <c r="AG50" i="3"/>
  <c r="Y50" i="3"/>
  <c r="AF49" i="3"/>
  <c r="X49" i="3"/>
  <c r="AE48" i="3"/>
  <c r="AI65" i="3"/>
  <c r="AA65" i="3"/>
  <c r="AH64" i="3"/>
  <c r="Z64" i="3"/>
  <c r="AG63" i="3"/>
  <c r="Y63" i="3"/>
  <c r="AF62" i="3"/>
  <c r="X62" i="3"/>
  <c r="AE61" i="3"/>
  <c r="W61" i="3"/>
  <c r="AD60" i="3"/>
  <c r="V60" i="3"/>
  <c r="AC59" i="3"/>
  <c r="U59" i="3"/>
  <c r="AB58" i="3"/>
  <c r="AI57" i="3"/>
  <c r="AA57" i="3"/>
  <c r="AH56" i="3"/>
  <c r="Z56" i="3"/>
  <c r="AG55" i="3"/>
  <c r="Y55" i="3"/>
  <c r="AF54" i="3"/>
  <c r="X54" i="3"/>
  <c r="AE53" i="3"/>
  <c r="W53" i="3"/>
  <c r="AD52" i="3"/>
  <c r="V52" i="3"/>
  <c r="AC51" i="3"/>
  <c r="AE65" i="3"/>
  <c r="AD64" i="3"/>
  <c r="AC63" i="3"/>
  <c r="AB62" i="3"/>
  <c r="AA61" i="3"/>
  <c r="Z60" i="3"/>
  <c r="Y59" i="3"/>
  <c r="X58" i="3"/>
  <c r="W57" i="3"/>
  <c r="V56" i="3"/>
  <c r="U55" i="3"/>
  <c r="AI53" i="3"/>
  <c r="AH52" i="3"/>
  <c r="AG51" i="3"/>
  <c r="U51" i="3"/>
  <c r="V50" i="3"/>
  <c r="W49" i="3"/>
  <c r="AA48" i="3"/>
  <c r="AG47" i="3"/>
  <c r="X47" i="3"/>
  <c r="AC46" i="3"/>
  <c r="AI45" i="3"/>
  <c r="Z45" i="3"/>
  <c r="AF44" i="3"/>
  <c r="W44" i="3"/>
  <c r="AC43" i="3"/>
  <c r="AI42" i="3"/>
  <c r="Y42" i="3"/>
  <c r="AE41" i="3"/>
  <c r="V41" i="3"/>
  <c r="AB40" i="3"/>
  <c r="AH39" i="3"/>
  <c r="Y39" i="3"/>
  <c r="AE38" i="3"/>
  <c r="U38" i="3"/>
  <c r="AA37" i="3"/>
  <c r="AG36" i="3"/>
  <c r="Y36" i="3"/>
  <c r="AF35" i="3"/>
  <c r="X35" i="3"/>
  <c r="AE34" i="3"/>
  <c r="AD65" i="3"/>
  <c r="AC64" i="3"/>
  <c r="AB63" i="3"/>
  <c r="AA62" i="3"/>
  <c r="Z61" i="3"/>
  <c r="Y60" i="3"/>
  <c r="X59" i="3"/>
  <c r="W58" i="3"/>
  <c r="V57" i="3"/>
  <c r="U56" i="3"/>
  <c r="AI54" i="3"/>
  <c r="AH53" i="3"/>
  <c r="AG52" i="3"/>
  <c r="AF51" i="3"/>
  <c r="AF50" i="3"/>
  <c r="U50" i="3"/>
  <c r="V49" i="3"/>
  <c r="Z48" i="3"/>
  <c r="AF47" i="3"/>
  <c r="V47" i="3"/>
  <c r="AB46" i="3"/>
  <c r="AH45" i="3"/>
  <c r="Y45" i="3"/>
  <c r="AE44" i="3"/>
  <c r="V44" i="3"/>
  <c r="AB43" i="3"/>
  <c r="AG42" i="3"/>
  <c r="X42" i="3"/>
  <c r="AD41" i="3"/>
  <c r="U41" i="3"/>
  <c r="AA40" i="3"/>
  <c r="AG39" i="3"/>
  <c r="X39" i="3"/>
  <c r="AC38" i="3"/>
  <c r="AI37" i="3"/>
  <c r="Z37" i="3"/>
  <c r="AF36" i="3"/>
  <c r="X36" i="3"/>
  <c r="AE35" i="3"/>
  <c r="W35" i="3"/>
  <c r="AC65" i="3"/>
  <c r="AB64" i="3"/>
  <c r="AA63" i="3"/>
  <c r="Z62" i="3"/>
  <c r="Y61" i="3"/>
  <c r="X60" i="3"/>
  <c r="W59" i="3"/>
  <c r="V58" i="3"/>
  <c r="U57" i="3"/>
  <c r="AI55" i="3"/>
  <c r="AH54" i="3"/>
  <c r="AG53" i="3"/>
  <c r="AF52" i="3"/>
  <c r="AE51" i="3"/>
  <c r="AE50" i="3"/>
  <c r="AI49" i="3"/>
  <c r="U49" i="3"/>
  <c r="Y48" i="3"/>
  <c r="AD47" i="3"/>
  <c r="U47" i="3"/>
  <c r="AA46" i="3"/>
  <c r="AG45" i="3"/>
  <c r="X45" i="3"/>
  <c r="AD44" i="3"/>
  <c r="U44" i="3"/>
  <c r="Z43" i="3"/>
  <c r="AF42" i="3"/>
  <c r="W42" i="3"/>
  <c r="AC41" i="3"/>
  <c r="AI40" i="3"/>
  <c r="Z40" i="3"/>
  <c r="AF39" i="3"/>
  <c r="V39" i="3"/>
  <c r="AB38" i="3"/>
  <c r="AH37" i="3"/>
  <c r="Y37" i="3"/>
  <c r="AE36" i="3"/>
  <c r="W36" i="3"/>
  <c r="AD35" i="3"/>
  <c r="V35" i="3"/>
  <c r="AC34" i="3"/>
  <c r="U34" i="3"/>
  <c r="AB33" i="3"/>
  <c r="AI32" i="3"/>
  <c r="AA32" i="3"/>
  <c r="AH31" i="3"/>
  <c r="Z31" i="3"/>
  <c r="AG30" i="3"/>
  <c r="Y30" i="3"/>
  <c r="AF29" i="3"/>
  <c r="X29" i="3"/>
  <c r="AE28" i="3"/>
  <c r="W28" i="3"/>
  <c r="AD27" i="3"/>
  <c r="V27" i="3"/>
  <c r="AC26" i="3"/>
  <c r="U26" i="3"/>
  <c r="AB25" i="3"/>
  <c r="AI24" i="3"/>
  <c r="AA24" i="3"/>
  <c r="AH23" i="3"/>
  <c r="Z23" i="3"/>
  <c r="AG22" i="3"/>
  <c r="Y22" i="3"/>
  <c r="AF21" i="3"/>
  <c r="X21" i="3"/>
  <c r="AE20" i="3"/>
  <c r="W20" i="3"/>
  <c r="AD19" i="3"/>
  <c r="V19" i="3"/>
  <c r="AC18" i="3"/>
  <c r="U18" i="3"/>
  <c r="AB17" i="3"/>
  <c r="V64" i="3"/>
  <c r="AG62" i="3"/>
  <c r="AG60" i="3"/>
  <c r="V59" i="3"/>
  <c r="AC57" i="3"/>
  <c r="AC55" i="3"/>
  <c r="Y54" i="3"/>
  <c r="Y52" i="3"/>
  <c r="AD50" i="3"/>
  <c r="AB49" i="3"/>
  <c r="V48" i="3"/>
  <c r="Y47" i="3"/>
  <c r="X46" i="3"/>
  <c r="W45" i="3"/>
  <c r="Y44" i="3"/>
  <c r="X43" i="3"/>
  <c r="AA42" i="3"/>
  <c r="Z41" i="3"/>
  <c r="Y40" i="3"/>
  <c r="AA39" i="3"/>
  <c r="Z38" i="3"/>
  <c r="AB37" i="3"/>
  <c r="AB36" i="3"/>
  <c r="AC35" i="3"/>
  <c r="AG34" i="3"/>
  <c r="W34" i="3"/>
  <c r="AC33" i="3"/>
  <c r="AH32" i="3"/>
  <c r="Y32" i="3"/>
  <c r="AE31" i="3"/>
  <c r="V31" i="3"/>
  <c r="AB30" i="3"/>
  <c r="AH29" i="3"/>
  <c r="Y29" i="3"/>
  <c r="AD28" i="3"/>
  <c r="U28" i="3"/>
  <c r="AA27" i="3"/>
  <c r="AG26" i="3"/>
  <c r="X26" i="3"/>
  <c r="AD25" i="3"/>
  <c r="U25" i="3"/>
  <c r="Z24" i="3"/>
  <c r="AF23" i="3"/>
  <c r="W23" i="3"/>
  <c r="AC22" i="3"/>
  <c r="AI21" i="3"/>
  <c r="Z21" i="3"/>
  <c r="AF20" i="3"/>
  <c r="V20" i="3"/>
  <c r="AB19" i="3"/>
  <c r="AH18" i="3"/>
  <c r="Y18" i="3"/>
  <c r="AE17" i="3"/>
  <c r="V17" i="3"/>
  <c r="AC16" i="3"/>
  <c r="U16" i="3"/>
  <c r="AB15" i="3"/>
  <c r="AI14" i="3"/>
  <c r="AA14" i="3"/>
  <c r="AH13" i="3"/>
  <c r="Z13" i="3"/>
  <c r="AG12" i="3"/>
  <c r="Y12" i="3"/>
  <c r="AF11" i="3"/>
  <c r="X11" i="3"/>
  <c r="AE10" i="3"/>
  <c r="W10" i="3"/>
  <c r="AD9" i="3"/>
  <c r="V9" i="3"/>
  <c r="AC8" i="3"/>
  <c r="U8" i="3"/>
  <c r="AB7" i="3"/>
  <c r="AI6" i="3"/>
  <c r="AA6" i="3"/>
  <c r="AH5" i="3"/>
  <c r="U64" i="3"/>
  <c r="Y62" i="3"/>
  <c r="AF60" i="3"/>
  <c r="AF58" i="3"/>
  <c r="AB57" i="3"/>
  <c r="AB55" i="3"/>
  <c r="AF53" i="3"/>
  <c r="X52" i="3"/>
  <c r="AC50" i="3"/>
  <c r="AA49" i="3"/>
  <c r="U48" i="3"/>
  <c r="AI46" i="3"/>
  <c r="W46" i="3"/>
  <c r="V45" i="3"/>
  <c r="X44" i="3"/>
  <c r="W43" i="3"/>
  <c r="V42" i="3"/>
  <c r="X41" i="3"/>
  <c r="W40" i="3"/>
  <c r="Z39" i="3"/>
  <c r="Y38" i="3"/>
  <c r="X37" i="3"/>
  <c r="AA36" i="3"/>
  <c r="AB35" i="3"/>
  <c r="AF34" i="3"/>
  <c r="AB65" i="3"/>
  <c r="AI63" i="3"/>
  <c r="AI61" i="3"/>
  <c r="AE60" i="3"/>
  <c r="AE58" i="3"/>
  <c r="AI56" i="3"/>
  <c r="AA55" i="3"/>
  <c r="AA53" i="3"/>
  <c r="W52" i="3"/>
  <c r="AB50" i="3"/>
  <c r="AI48" i="3"/>
  <c r="AI47" i="3"/>
  <c r="AH46" i="3"/>
  <c r="U46" i="3"/>
  <c r="AI44" i="3"/>
  <c r="AH43" i="3"/>
  <c r="V43" i="3"/>
  <c r="U42" i="3"/>
  <c r="W41" i="3"/>
  <c r="V40" i="3"/>
  <c r="U39" i="3"/>
  <c r="X38" i="3"/>
  <c r="W37" i="3"/>
  <c r="Z36" i="3"/>
  <c r="AA35" i="3"/>
  <c r="AD34" i="3"/>
  <c r="AI33" i="3"/>
  <c r="W65" i="3"/>
  <c r="AI62" i="3"/>
  <c r="AG59" i="3"/>
  <c r="AD57" i="3"/>
  <c r="AB54" i="3"/>
  <c r="AD51" i="3"/>
  <c r="AD49" i="3"/>
  <c r="AC47" i="3"/>
  <c r="Y46" i="3"/>
  <c r="AC44" i="3"/>
  <c r="U43" i="3"/>
  <c r="AB41" i="3"/>
  <c r="AI39" i="3"/>
  <c r="AA38" i="3"/>
  <c r="AH36" i="3"/>
  <c r="Z35" i="3"/>
  <c r="Y34" i="3"/>
  <c r="AA33" i="3"/>
  <c r="AF32" i="3"/>
  <c r="V32" i="3"/>
  <c r="AA31" i="3"/>
  <c r="AE30" i="3"/>
  <c r="U30" i="3"/>
  <c r="Z29" i="3"/>
  <c r="AC28" i="3"/>
  <c r="AH27" i="3"/>
  <c r="X27" i="3"/>
  <c r="AB26" i="3"/>
  <c r="AG25" i="3"/>
  <c r="W25" i="3"/>
  <c r="AB24" i="3"/>
  <c r="AE23" i="3"/>
  <c r="U23" i="3"/>
  <c r="Z22" i="3"/>
  <c r="AD21" i="3"/>
  <c r="AI20" i="3"/>
  <c r="Y20" i="3"/>
  <c r="AC19" i="3"/>
  <c r="AG18" i="3"/>
  <c r="W18" i="3"/>
  <c r="AA17" i="3"/>
  <c r="AG16" i="3"/>
  <c r="X16" i="3"/>
  <c r="AD15" i="3"/>
  <c r="U15" i="3"/>
  <c r="Z14" i="3"/>
  <c r="AF13" i="3"/>
  <c r="W13" i="3"/>
  <c r="AC12" i="3"/>
  <c r="AI11" i="3"/>
  <c r="Z11" i="3"/>
  <c r="AF10" i="3"/>
  <c r="V10" i="3"/>
  <c r="AB9" i="3"/>
  <c r="AH8" i="3"/>
  <c r="Y8" i="3"/>
  <c r="AE7" i="3"/>
  <c r="V7" i="3"/>
  <c r="AB6" i="3"/>
  <c r="V65" i="3"/>
  <c r="AH62" i="3"/>
  <c r="AF59" i="3"/>
  <c r="AD56" i="3"/>
  <c r="AA54" i="3"/>
  <c r="Y51" i="3"/>
  <c r="AC49" i="3"/>
  <c r="AB47" i="3"/>
  <c r="AF45" i="3"/>
  <c r="AA44" i="3"/>
  <c r="AE42" i="3"/>
  <c r="AA41" i="3"/>
  <c r="AD39" i="3"/>
  <c r="W38" i="3"/>
  <c r="AD36" i="3"/>
  <c r="Y35" i="3"/>
  <c r="X34" i="3"/>
  <c r="Z33" i="3"/>
  <c r="AE32" i="3"/>
  <c r="U32" i="3"/>
  <c r="Y31" i="3"/>
  <c r="AD30" i="3"/>
  <c r="AI29" i="3"/>
  <c r="W29" i="3"/>
  <c r="AB28" i="3"/>
  <c r="AG27" i="3"/>
  <c r="W27" i="3"/>
  <c r="AA26" i="3"/>
  <c r="AF25" i="3"/>
  <c r="V25" i="3"/>
  <c r="Y24" i="3"/>
  <c r="AD23" i="3"/>
  <c r="AI22" i="3"/>
  <c r="X22" i="3"/>
  <c r="AC21" i="3"/>
  <c r="AH20" i="3"/>
  <c r="X20" i="3"/>
  <c r="AA19" i="3"/>
  <c r="AF18" i="3"/>
  <c r="V18" i="3"/>
  <c r="Z17" i="3"/>
  <c r="AF16" i="3"/>
  <c r="W16" i="3"/>
  <c r="AC15" i="3"/>
  <c r="AH14" i="3"/>
  <c r="Y14" i="3"/>
  <c r="AE13" i="3"/>
  <c r="V13" i="3"/>
  <c r="AB12" i="3"/>
  <c r="AH11" i="3"/>
  <c r="Y11" i="3"/>
  <c r="AD10" i="3"/>
  <c r="U10" i="3"/>
  <c r="AA9" i="3"/>
  <c r="AG8" i="3"/>
  <c r="X8" i="3"/>
  <c r="AD7" i="3"/>
  <c r="U7" i="3"/>
  <c r="U65" i="3"/>
  <c r="AH61" i="3"/>
  <c r="AE59" i="3"/>
  <c r="AC56" i="3"/>
  <c r="Z54" i="3"/>
  <c r="X51" i="3"/>
  <c r="AH48" i="3"/>
  <c r="AA47" i="3"/>
  <c r="AE45" i="3"/>
  <c r="Z44" i="3"/>
  <c r="AD42" i="3"/>
  <c r="AH40" i="3"/>
  <c r="AC39" i="3"/>
  <c r="AG37" i="3"/>
  <c r="AC36" i="3"/>
  <c r="U35" i="3"/>
  <c r="V34" i="3"/>
  <c r="Y33" i="3"/>
  <c r="AD32" i="3"/>
  <c r="AI31" i="3"/>
  <c r="X31" i="3"/>
  <c r="AC30" i="3"/>
  <c r="AG29" i="3"/>
  <c r="V29" i="3"/>
  <c r="AA28" i="3"/>
  <c r="AF27" i="3"/>
  <c r="U27" i="3"/>
  <c r="Z26" i="3"/>
  <c r="AE25" i="3"/>
  <c r="AH24" i="3"/>
  <c r="X24" i="3"/>
  <c r="AC23" i="3"/>
  <c r="AH22" i="3"/>
  <c r="W22" i="3"/>
  <c r="AB21" i="3"/>
  <c r="AG20" i="3"/>
  <c r="U20" i="3"/>
  <c r="Z19" i="3"/>
  <c r="AE18" i="3"/>
  <c r="AI17" i="3"/>
  <c r="Y17" i="3"/>
  <c r="AE16" i="3"/>
  <c r="V16" i="3"/>
  <c r="AA15" i="3"/>
  <c r="AG14" i="3"/>
  <c r="X14" i="3"/>
  <c r="AD13" i="3"/>
  <c r="U13" i="3"/>
  <c r="AA12" i="3"/>
  <c r="AG11" i="3"/>
  <c r="W11" i="3"/>
  <c r="AC10" i="3"/>
  <c r="AI9" i="3"/>
  <c r="Z9" i="3"/>
  <c r="AF8" i="3"/>
  <c r="W8" i="3"/>
  <c r="AC7" i="3"/>
  <c r="AH6" i="3"/>
  <c r="Z63" i="3"/>
  <c r="AH60" i="3"/>
  <c r="U58" i="3"/>
  <c r="Z55" i="3"/>
  <c r="AE52" i="3"/>
  <c r="W50" i="3"/>
  <c r="W48" i="3"/>
  <c r="AE46" i="3"/>
  <c r="AH44" i="3"/>
  <c r="AD43" i="3"/>
  <c r="AH41" i="3"/>
  <c r="AC40" i="3"/>
  <c r="AG38" i="3"/>
  <c r="V37" i="3"/>
  <c r="AH35" i="3"/>
  <c r="AA34" i="3"/>
  <c r="AE33" i="3"/>
  <c r="U33" i="3"/>
  <c r="X32" i="3"/>
  <c r="AC31" i="3"/>
  <c r="AH30" i="3"/>
  <c r="W30" i="3"/>
  <c r="AB29" i="3"/>
  <c r="AG28" i="3"/>
  <c r="V28" i="3"/>
  <c r="Z27" i="3"/>
  <c r="AE26" i="3"/>
  <c r="AI25" i="3"/>
  <c r="Y25" i="3"/>
  <c r="AD24" i="3"/>
  <c r="AI23" i="3"/>
  <c r="X23" i="3"/>
  <c r="AB22" i="3"/>
  <c r="AG21" i="3"/>
  <c r="V21" i="3"/>
  <c r="AA20" i="3"/>
  <c r="AF19" i="3"/>
  <c r="U19" i="3"/>
  <c r="Z18" i="3"/>
  <c r="AD17" i="3"/>
  <c r="AI16" i="3"/>
  <c r="Z16" i="3"/>
  <c r="AF15" i="3"/>
  <c r="W15" i="3"/>
  <c r="AC14" i="3"/>
  <c r="AI13" i="3"/>
  <c r="Y13" i="3"/>
  <c r="AE12" i="3"/>
  <c r="V12" i="3"/>
  <c r="AB11" i="3"/>
  <c r="AH10" i="3"/>
  <c r="Y10" i="3"/>
  <c r="AE9" i="3"/>
  <c r="U9" i="3"/>
  <c r="AA8" i="3"/>
  <c r="AG7" i="3"/>
  <c r="X7" i="3"/>
  <c r="AD6" i="3"/>
  <c r="U6" i="3"/>
  <c r="AA5" i="3"/>
  <c r="AH4" i="3"/>
  <c r="Z4" i="3"/>
  <c r="AG3" i="3"/>
  <c r="Y3" i="3"/>
  <c r="W60" i="3"/>
  <c r="AG54" i="3"/>
  <c r="AE49" i="3"/>
  <c r="Z46" i="3"/>
  <c r="Y43" i="3"/>
  <c r="U40" i="3"/>
  <c r="AI36" i="3"/>
  <c r="Z34" i="3"/>
  <c r="AG32" i="3"/>
  <c r="AB31" i="3"/>
  <c r="V30" i="3"/>
  <c r="AF28" i="3"/>
  <c r="Y27" i="3"/>
  <c r="AH25" i="3"/>
  <c r="AC24" i="3"/>
  <c r="V23" i="3"/>
  <c r="AE21" i="3"/>
  <c r="Z20" i="3"/>
  <c r="AI18" i="3"/>
  <c r="AC17" i="3"/>
  <c r="Y16" i="3"/>
  <c r="V15" i="3"/>
  <c r="AG13" i="3"/>
  <c r="AD12" i="3"/>
  <c r="AA11" i="3"/>
  <c r="X10" i="3"/>
  <c r="AI8" i="3"/>
  <c r="AF7" i="3"/>
  <c r="AC6" i="3"/>
  <c r="AF5" i="3"/>
  <c r="W5" i="3"/>
  <c r="AC4" i="3"/>
  <c r="AI3" i="3"/>
  <c r="Z3" i="3"/>
  <c r="AI64" i="3"/>
  <c r="AD59" i="3"/>
  <c r="Z53" i="3"/>
  <c r="AD48" i="3"/>
  <c r="AD45" i="3"/>
  <c r="AC42" i="3"/>
  <c r="AB39" i="3"/>
  <c r="V36" i="3"/>
  <c r="AH33" i="3"/>
  <c r="AC32" i="3"/>
  <c r="W31" i="3"/>
  <c r="AE29" i="3"/>
  <c r="Z28" i="3"/>
  <c r="AI26" i="3"/>
  <c r="AC25" i="3"/>
  <c r="W24" i="3"/>
  <c r="AF22" i="3"/>
  <c r="AA21" i="3"/>
  <c r="AI19" i="3"/>
  <c r="AD18" i="3"/>
  <c r="X17" i="3"/>
  <c r="AI15" i="3"/>
  <c r="AF14" i="3"/>
  <c r="AC13" i="3"/>
  <c r="Z12" i="3"/>
  <c r="V11" i="3"/>
  <c r="AH9" i="3"/>
  <c r="AE8" i="3"/>
  <c r="AA7" i="3"/>
  <c r="Z6" i="3"/>
  <c r="AE5" i="3"/>
  <c r="V5" i="3"/>
  <c r="AB4" i="3"/>
  <c r="AH3" i="3"/>
  <c r="X3" i="3"/>
  <c r="AA64" i="3"/>
  <c r="AD58" i="3"/>
  <c r="Y53" i="3"/>
  <c r="AC48" i="3"/>
  <c r="AB45" i="3"/>
  <c r="AB42" i="3"/>
  <c r="AI38" i="3"/>
  <c r="U36" i="3"/>
  <c r="AG33" i="3"/>
  <c r="AB32" i="3"/>
  <c r="U31" i="3"/>
  <c r="AD29" i="3"/>
  <c r="Y28" i="3"/>
  <c r="AH26" i="3"/>
  <c r="AA25" i="3"/>
  <c r="V24" i="3"/>
  <c r="AE22" i="3"/>
  <c r="Y21" i="3"/>
  <c r="AH19" i="3"/>
  <c r="AB18" i="3"/>
  <c r="W17" i="3"/>
  <c r="AH15" i="3"/>
  <c r="AE14" i="3"/>
  <c r="AB13" i="3"/>
  <c r="X12" i="3"/>
  <c r="U11" i="3"/>
  <c r="AG9" i="3"/>
  <c r="AD8" i="3"/>
  <c r="Z7" i="3"/>
  <c r="Y6" i="3"/>
  <c r="AD5" i="3"/>
  <c r="U5" i="3"/>
  <c r="AA4" i="3"/>
  <c r="AF3" i="3"/>
  <c r="W3" i="3"/>
  <c r="AG61" i="3"/>
  <c r="AB56" i="3"/>
  <c r="W51" i="3"/>
  <c r="Z47" i="3"/>
  <c r="AG43" i="3"/>
  <c r="AG40" i="3"/>
  <c r="AF37" i="3"/>
  <c r="AI34" i="3"/>
  <c r="X33" i="3"/>
  <c r="AG31" i="3"/>
  <c r="AA30" i="3"/>
  <c r="U29" i="3"/>
  <c r="AE27" i="3"/>
  <c r="Y26" i="3"/>
  <c r="AG24" i="3"/>
  <c r="AB23" i="3"/>
  <c r="V22" i="3"/>
  <c r="AD20" i="3"/>
  <c r="Y19" i="3"/>
  <c r="AH17" i="3"/>
  <c r="AD16" i="3"/>
  <c r="Z15" i="3"/>
  <c r="W14" i="3"/>
  <c r="AI12" i="3"/>
  <c r="AE11" i="3"/>
  <c r="AB10" i="3"/>
  <c r="Y9" i="3"/>
  <c r="V8" i="3"/>
  <c r="AG6" i="3"/>
  <c r="V6" i="3"/>
  <c r="Z5" i="3"/>
  <c r="AF4" i="3"/>
  <c r="W4" i="3"/>
  <c r="AC3" i="3"/>
  <c r="U3" i="3"/>
  <c r="AF61" i="3"/>
  <c r="AA56" i="3"/>
  <c r="V51" i="3"/>
  <c r="AH55" i="3"/>
  <c r="AA45" i="3"/>
  <c r="AH38" i="3"/>
  <c r="AF33" i="3"/>
  <c r="AI30" i="3"/>
  <c r="X28" i="3"/>
  <c r="Z25" i="3"/>
  <c r="AD22" i="3"/>
  <c r="AG19" i="3"/>
  <c r="U17" i="3"/>
  <c r="AD14" i="3"/>
  <c r="W12" i="3"/>
  <c r="AF9" i="3"/>
  <c r="Y7" i="3"/>
  <c r="AC5" i="3"/>
  <c r="Y4" i="3"/>
  <c r="V3" i="3"/>
  <c r="X53" i="3"/>
  <c r="AG44" i="3"/>
  <c r="AF38" i="3"/>
  <c r="AD33" i="3"/>
  <c r="AF30" i="3"/>
  <c r="AI27" i="3"/>
  <c r="X25" i="3"/>
  <c r="AA22" i="3"/>
  <c r="AE19" i="3"/>
  <c r="AH16" i="3"/>
  <c r="AB14" i="3"/>
  <c r="U12" i="3"/>
  <c r="AC9" i="3"/>
  <c r="W7" i="3"/>
  <c r="AB5" i="3"/>
  <c r="X4" i="3"/>
  <c r="Z52" i="3"/>
  <c r="AF43" i="3"/>
  <c r="AE37" i="3"/>
  <c r="W33" i="3"/>
  <c r="Z30" i="3"/>
  <c r="AC27" i="3"/>
  <c r="AF24" i="3"/>
  <c r="U22" i="3"/>
  <c r="X19" i="3"/>
  <c r="AB16" i="3"/>
  <c r="V14" i="3"/>
  <c r="AD11" i="3"/>
  <c r="X9" i="3"/>
  <c r="AF6" i="3"/>
  <c r="Y5" i="3"/>
  <c r="V4" i="3"/>
  <c r="AC58" i="3"/>
  <c r="AG46" i="3"/>
  <c r="AE40" i="3"/>
  <c r="AH34" i="3"/>
  <c r="AF31" i="3"/>
  <c r="AI28" i="3"/>
  <c r="W26" i="3"/>
  <c r="AA23" i="3"/>
  <c r="AC20" i="3"/>
  <c r="AG17" i="3"/>
  <c r="Y15" i="3"/>
  <c r="AH12" i="3"/>
  <c r="AA10" i="3"/>
  <c r="AI7" i="3"/>
  <c r="AI5" i="3"/>
  <c r="AE4" i="3"/>
  <c r="AB3" i="3"/>
  <c r="AE57" i="3"/>
  <c r="AF46" i="3"/>
  <c r="AD40" i="3"/>
  <c r="AB34" i="3"/>
  <c r="AD31" i="3"/>
  <c r="AH28" i="3"/>
  <c r="V26" i="3"/>
  <c r="Y23" i="3"/>
  <c r="AB20" i="3"/>
  <c r="AF17" i="3"/>
  <c r="X15" i="3"/>
  <c r="AF12" i="3"/>
  <c r="Z10" i="3"/>
  <c r="AH7" i="3"/>
  <c r="AG5" i="3"/>
  <c r="AD4" i="3"/>
  <c r="AA3" i="3"/>
  <c r="AB48" i="3"/>
  <c r="V33" i="3"/>
  <c r="AD26" i="3"/>
  <c r="AA18" i="3"/>
  <c r="AC11" i="3"/>
  <c r="W6" i="3"/>
  <c r="AH47" i="3"/>
  <c r="Z32" i="3"/>
  <c r="AE24" i="3"/>
  <c r="X18" i="3"/>
  <c r="AI10" i="3"/>
  <c r="X5" i="3"/>
  <c r="AE43" i="3"/>
  <c r="W32" i="3"/>
  <c r="U24" i="3"/>
  <c r="AA16" i="3"/>
  <c r="AG10" i="3"/>
  <c r="AI4" i="3"/>
  <c r="AI41" i="3"/>
  <c r="X30" i="3"/>
  <c r="AG23" i="3"/>
  <c r="AG15" i="3"/>
  <c r="W9" i="3"/>
  <c r="AG4" i="3"/>
  <c r="AH63" i="3"/>
  <c r="AF41" i="3"/>
  <c r="AC29" i="3"/>
  <c r="AH21" i="3"/>
  <c r="AE15" i="3"/>
  <c r="AB8" i="3"/>
  <c r="U4" i="3"/>
  <c r="U63" i="3"/>
  <c r="X61" i="3"/>
  <c r="AI35" i="3"/>
  <c r="AB27" i="3"/>
  <c r="U21" i="3"/>
  <c r="AA13" i="3"/>
  <c r="AE6" i="3"/>
  <c r="AD3" i="3"/>
  <c r="X50" i="3"/>
  <c r="AG35" i="3"/>
  <c r="AF26" i="3"/>
  <c r="W19" i="3"/>
  <c r="X13" i="3"/>
  <c r="X6" i="3"/>
  <c r="AD37" i="3"/>
  <c r="AA29" i="3"/>
  <c r="U14" i="3"/>
  <c r="Z8" i="3"/>
  <c r="AE3" i="3"/>
  <c r="W21" i="3"/>
  <c r="AD65" i="2"/>
  <c r="V65" i="2"/>
  <c r="AC64" i="2"/>
  <c r="U64" i="2"/>
  <c r="AB63" i="2"/>
  <c r="AI62" i="2"/>
  <c r="AA62" i="2"/>
  <c r="AH61" i="2"/>
  <c r="Z61" i="2"/>
  <c r="AG60" i="2"/>
  <c r="Y60" i="2"/>
  <c r="AF59" i="2"/>
  <c r="X59" i="2"/>
  <c r="AE58" i="2"/>
  <c r="W58" i="2"/>
  <c r="AD57" i="2"/>
  <c r="V57" i="2"/>
  <c r="AC56" i="2"/>
  <c r="U56" i="2"/>
  <c r="AB55" i="2"/>
  <c r="AI54" i="2"/>
  <c r="AA54" i="2"/>
  <c r="AH53" i="2"/>
  <c r="Z53" i="2"/>
  <c r="AG52" i="2"/>
  <c r="Y52" i="2"/>
  <c r="AF51" i="2"/>
  <c r="X51" i="2"/>
  <c r="AE50" i="2"/>
  <c r="W50" i="2"/>
  <c r="AD49" i="2"/>
  <c r="V49" i="2"/>
  <c r="AC48" i="2"/>
  <c r="U48" i="2"/>
  <c r="AB47" i="2"/>
  <c r="AI46" i="2"/>
  <c r="AA46" i="2"/>
  <c r="AH45" i="2"/>
  <c r="Z45" i="2"/>
  <c r="AG44" i="2"/>
  <c r="Y44" i="2"/>
  <c r="AF43" i="2"/>
  <c r="X43" i="2"/>
  <c r="AE42" i="2"/>
  <c r="W42" i="2"/>
  <c r="AD41" i="2"/>
  <c r="V41" i="2"/>
  <c r="AC40" i="2"/>
  <c r="U40" i="2"/>
  <c r="AB39" i="2"/>
  <c r="AI38" i="2"/>
  <c r="AA38" i="2"/>
  <c r="AH37" i="2"/>
  <c r="Z37" i="2"/>
  <c r="AG36" i="2"/>
  <c r="Y36" i="2"/>
  <c r="AF35" i="2"/>
  <c r="X35" i="2"/>
  <c r="AE34" i="2"/>
  <c r="W34" i="2"/>
  <c r="AD33" i="2"/>
  <c r="V33" i="2"/>
  <c r="AC32" i="2"/>
  <c r="U32" i="2"/>
  <c r="AB31" i="2"/>
  <c r="AI30" i="2"/>
  <c r="AA30" i="2"/>
  <c r="AH29" i="2"/>
  <c r="Z29" i="2"/>
  <c r="AG28" i="2"/>
  <c r="Y28" i="2"/>
  <c r="AF27" i="2"/>
  <c r="X27" i="2"/>
  <c r="AE26" i="2"/>
  <c r="W26" i="2"/>
  <c r="AD25" i="2"/>
  <c r="V25" i="2"/>
  <c r="AC24" i="2"/>
  <c r="U24" i="2"/>
  <c r="AB23" i="2"/>
  <c r="AI22" i="2"/>
  <c r="AA22" i="2"/>
  <c r="AH21" i="2"/>
  <c r="Z21" i="2"/>
  <c r="AG20" i="2"/>
  <c r="Y20" i="2"/>
  <c r="AF19" i="2"/>
  <c r="X19" i="2"/>
  <c r="AE18" i="2"/>
  <c r="AI65" i="2"/>
  <c r="AA65" i="2"/>
  <c r="AH64" i="2"/>
  <c r="Z64" i="2"/>
  <c r="AG63" i="2"/>
  <c r="Y63" i="2"/>
  <c r="AF62" i="2"/>
  <c r="X62" i="2"/>
  <c r="AE61" i="2"/>
  <c r="W61" i="2"/>
  <c r="AD60" i="2"/>
  <c r="V60" i="2"/>
  <c r="AC59" i="2"/>
  <c r="U59" i="2"/>
  <c r="AB58" i="2"/>
  <c r="AI57" i="2"/>
  <c r="AA57" i="2"/>
  <c r="AH56" i="2"/>
  <c r="Z56" i="2"/>
  <c r="AH65" i="2"/>
  <c r="X65" i="2"/>
  <c r="AB64" i="2"/>
  <c r="AF63" i="2"/>
  <c r="V63" i="2"/>
  <c r="Z62" i="2"/>
  <c r="AD61" i="2"/>
  <c r="AI60" i="2"/>
  <c r="X60" i="2"/>
  <c r="AB59" i="2"/>
  <c r="AG58" i="2"/>
  <c r="V58" i="2"/>
  <c r="Z57" i="2"/>
  <c r="AE56" i="2"/>
  <c r="AI55" i="2"/>
  <c r="Z55" i="2"/>
  <c r="AF54" i="2"/>
  <c r="W54" i="2"/>
  <c r="AC53" i="2"/>
  <c r="AI52" i="2"/>
  <c r="Z52" i="2"/>
  <c r="AE51" i="2"/>
  <c r="V51" i="2"/>
  <c r="AB50" i="2"/>
  <c r="AH49" i="2"/>
  <c r="Y49" i="2"/>
  <c r="AE48" i="2"/>
  <c r="V48" i="2"/>
  <c r="AA47" i="2"/>
  <c r="AG46" i="2"/>
  <c r="X46" i="2"/>
  <c r="AD45" i="2"/>
  <c r="U45" i="2"/>
  <c r="AA44" i="2"/>
  <c r="AG43" i="2"/>
  <c r="W43" i="2"/>
  <c r="AC42" i="2"/>
  <c r="AI41" i="2"/>
  <c r="Z41" i="2"/>
  <c r="AF40" i="2"/>
  <c r="W40" i="2"/>
  <c r="AC39" i="2"/>
  <c r="AH38" i="2"/>
  <c r="Y38" i="2"/>
  <c r="AE37" i="2"/>
  <c r="V37" i="2"/>
  <c r="AB36" i="2"/>
  <c r="AH35" i="2"/>
  <c r="Y35" i="2"/>
  <c r="AD34" i="2"/>
  <c r="U34" i="2"/>
  <c r="AA33" i="2"/>
  <c r="AG32" i="2"/>
  <c r="X32" i="2"/>
  <c r="AD31" i="2"/>
  <c r="U31" i="2"/>
  <c r="Z30" i="2"/>
  <c r="AF29" i="2"/>
  <c r="W29" i="2"/>
  <c r="AC28" i="2"/>
  <c r="AI27" i="2"/>
  <c r="Z27" i="2"/>
  <c r="AF26" i="2"/>
  <c r="V26" i="2"/>
  <c r="AB25" i="2"/>
  <c r="AH24" i="2"/>
  <c r="Y24" i="2"/>
  <c r="AE23" i="2"/>
  <c r="V23" i="2"/>
  <c r="AB22" i="2"/>
  <c r="AG21" i="2"/>
  <c r="X21" i="2"/>
  <c r="AD20" i="2"/>
  <c r="U20" i="2"/>
  <c r="AA19" i="2"/>
  <c r="AG18" i="2"/>
  <c r="X18" i="2"/>
  <c r="AE17" i="2"/>
  <c r="W17" i="2"/>
  <c r="AD16" i="2"/>
  <c r="V16" i="2"/>
  <c r="AC15" i="2"/>
  <c r="U15" i="2"/>
  <c r="AB14" i="2"/>
  <c r="AI13" i="2"/>
  <c r="AA13" i="2"/>
  <c r="AH12" i="2"/>
  <c r="Z12" i="2"/>
  <c r="AG11" i="2"/>
  <c r="Y11" i="2"/>
  <c r="AF10" i="2"/>
  <c r="X10" i="2"/>
  <c r="AE9" i="2"/>
  <c r="W9" i="2"/>
  <c r="AD8" i="2"/>
  <c r="V8" i="2"/>
  <c r="AC7" i="2"/>
  <c r="U7" i="2"/>
  <c r="AB6" i="2"/>
  <c r="AI5" i="2"/>
  <c r="AA5" i="2"/>
  <c r="AH4" i="2"/>
  <c r="Z4" i="2"/>
  <c r="AG3" i="2"/>
  <c r="Y3" i="2"/>
  <c r="AF65" i="2"/>
  <c r="U65" i="2"/>
  <c r="Y64" i="2"/>
  <c r="AD63" i="2"/>
  <c r="AH62" i="2"/>
  <c r="W62" i="2"/>
  <c r="AB61" i="2"/>
  <c r="AF60" i="2"/>
  <c r="U60" i="2"/>
  <c r="Z59" i="2"/>
  <c r="AD58" i="2"/>
  <c r="AH57" i="2"/>
  <c r="X57" i="2"/>
  <c r="AB56" i="2"/>
  <c r="AG55" i="2"/>
  <c r="X55" i="2"/>
  <c r="AD54" i="2"/>
  <c r="U54" i="2"/>
  <c r="AA53" i="2"/>
  <c r="AF52" i="2"/>
  <c r="W52" i="2"/>
  <c r="AC51" i="2"/>
  <c r="AI50" i="2"/>
  <c r="Z50" i="2"/>
  <c r="AF49" i="2"/>
  <c r="W49" i="2"/>
  <c r="AB48" i="2"/>
  <c r="AH47" i="2"/>
  <c r="Y47" i="2"/>
  <c r="AE46" i="2"/>
  <c r="V46" i="2"/>
  <c r="AB45" i="2"/>
  <c r="AH44" i="2"/>
  <c r="X44" i="2"/>
  <c r="AD43" i="2"/>
  <c r="U43" i="2"/>
  <c r="AA42" i="2"/>
  <c r="AG41" i="2"/>
  <c r="X41" i="2"/>
  <c r="AD40" i="2"/>
  <c r="AI39" i="2"/>
  <c r="Z39" i="2"/>
  <c r="AF38" i="2"/>
  <c r="W38" i="2"/>
  <c r="AC37" i="2"/>
  <c r="AI36" i="2"/>
  <c r="Z36" i="2"/>
  <c r="AE35" i="2"/>
  <c r="Y65" i="2"/>
  <c r="AD64" i="2"/>
  <c r="AH63" i="2"/>
  <c r="W63" i="2"/>
  <c r="AB62" i="2"/>
  <c r="AF61" i="2"/>
  <c r="U61" i="2"/>
  <c r="Z60" i="2"/>
  <c r="AD59" i="2"/>
  <c r="AH58" i="2"/>
  <c r="X58" i="2"/>
  <c r="AB57" i="2"/>
  <c r="AF56" i="2"/>
  <c r="V56" i="2"/>
  <c r="AA55" i="2"/>
  <c r="AG54" i="2"/>
  <c r="X54" i="2"/>
  <c r="AD53" i="2"/>
  <c r="U53" i="2"/>
  <c r="AA52" i="2"/>
  <c r="AG51" i="2"/>
  <c r="W51" i="2"/>
  <c r="AC50" i="2"/>
  <c r="AI49" i="2"/>
  <c r="Z49" i="2"/>
  <c r="AF48" i="2"/>
  <c r="W48" i="2"/>
  <c r="AC47" i="2"/>
  <c r="AH46" i="2"/>
  <c r="Y46" i="2"/>
  <c r="AE45" i="2"/>
  <c r="V45" i="2"/>
  <c r="AB44" i="2"/>
  <c r="AH43" i="2"/>
  <c r="Y43" i="2"/>
  <c r="AD42" i="2"/>
  <c r="U42" i="2"/>
  <c r="AA41" i="2"/>
  <c r="AG40" i="2"/>
  <c r="X40" i="2"/>
  <c r="AD39" i="2"/>
  <c r="U39" i="2"/>
  <c r="Z38" i="2"/>
  <c r="AF37" i="2"/>
  <c r="W37" i="2"/>
  <c r="AC36" i="2"/>
  <c r="AG65" i="2"/>
  <c r="AF64" i="2"/>
  <c r="AC63" i="2"/>
  <c r="AC62" i="2"/>
  <c r="Y61" i="2"/>
  <c r="W60" i="2"/>
  <c r="V59" i="2"/>
  <c r="AG57" i="2"/>
  <c r="AG56" i="2"/>
  <c r="AE55" i="2"/>
  <c r="AE54" i="2"/>
  <c r="AF53" i="2"/>
  <c r="AE52" i="2"/>
  <c r="AH51" i="2"/>
  <c r="AG50" i="2"/>
  <c r="AG49" i="2"/>
  <c r="AH48" i="2"/>
  <c r="AG47" i="2"/>
  <c r="U47" i="2"/>
  <c r="AI45" i="2"/>
  <c r="AI44" i="2"/>
  <c r="U44" i="2"/>
  <c r="AI42" i="2"/>
  <c r="V42" i="2"/>
  <c r="U41" i="2"/>
  <c r="V40" i="2"/>
  <c r="W39" i="2"/>
  <c r="V38" i="2"/>
  <c r="X37" i="2"/>
  <c r="W36" i="2"/>
  <c r="AA35" i="2"/>
  <c r="AF34" i="2"/>
  <c r="AI33" i="2"/>
  <c r="Y33" i="2"/>
  <c r="AD32" i="2"/>
  <c r="AH31" i="2"/>
  <c r="X31" i="2"/>
  <c r="AC30" i="2"/>
  <c r="AG29" i="2"/>
  <c r="V29" i="2"/>
  <c r="AA28" i="2"/>
  <c r="AE27" i="2"/>
  <c r="U27" i="2"/>
  <c r="Z26" i="2"/>
  <c r="AE25" i="2"/>
  <c r="AI24" i="2"/>
  <c r="X24" i="2"/>
  <c r="AC23" i="2"/>
  <c r="AG22" i="2"/>
  <c r="W22" i="2"/>
  <c r="AB21" i="2"/>
  <c r="AF20" i="2"/>
  <c r="V20" i="2"/>
  <c r="Z19" i="2"/>
  <c r="AD18" i="2"/>
  <c r="U18" i="2"/>
  <c r="AA17" i="2"/>
  <c r="AG16" i="2"/>
  <c r="X16" i="2"/>
  <c r="AD15" i="2"/>
  <c r="AI14" i="2"/>
  <c r="Z14" i="2"/>
  <c r="AF13" i="2"/>
  <c r="W13" i="2"/>
  <c r="AC12" i="2"/>
  <c r="AI11" i="2"/>
  <c r="Z11" i="2"/>
  <c r="AE10" i="2"/>
  <c r="V10" i="2"/>
  <c r="AB9" i="2"/>
  <c r="AH8" i="2"/>
  <c r="Y8" i="2"/>
  <c r="AE7" i="2"/>
  <c r="V7" i="2"/>
  <c r="AA6" i="2"/>
  <c r="AG5" i="2"/>
  <c r="X5" i="2"/>
  <c r="AD4" i="2"/>
  <c r="U4" i="2"/>
  <c r="AA3" i="2"/>
  <c r="AE65" i="2"/>
  <c r="AE64" i="2"/>
  <c r="AA63" i="2"/>
  <c r="Y62" i="2"/>
  <c r="X61" i="2"/>
  <c r="AI59" i="2"/>
  <c r="AI58" i="2"/>
  <c r="AF57" i="2"/>
  <c r="AD56" i="2"/>
  <c r="AD55" i="2"/>
  <c r="AC54" i="2"/>
  <c r="AE53" i="2"/>
  <c r="AD52" i="2"/>
  <c r="AD51" i="2"/>
  <c r="AF50" i="2"/>
  <c r="AE49" i="2"/>
  <c r="AG48" i="2"/>
  <c r="AF47" i="2"/>
  <c r="AF46" i="2"/>
  <c r="AG45" i="2"/>
  <c r="AF44" i="2"/>
  <c r="AI43" i="2"/>
  <c r="AH42" i="2"/>
  <c r="AH41" i="2"/>
  <c r="AI40" i="2"/>
  <c r="AH39" i="2"/>
  <c r="V39" i="2"/>
  <c r="U38" i="2"/>
  <c r="U37" i="2"/>
  <c r="V36" i="2"/>
  <c r="Z35" i="2"/>
  <c r="AC34" i="2"/>
  <c r="AH33" i="2"/>
  <c r="X33" i="2"/>
  <c r="AB32" i="2"/>
  <c r="AG31" i="2"/>
  <c r="W31" i="2"/>
  <c r="AB30" i="2"/>
  <c r="AE29" i="2"/>
  <c r="U29" i="2"/>
  <c r="Z28" i="2"/>
  <c r="AD27" i="2"/>
  <c r="AI26" i="2"/>
  <c r="Y26" i="2"/>
  <c r="AC25" i="2"/>
  <c r="AG24" i="2"/>
  <c r="W24" i="2"/>
  <c r="AA23" i="2"/>
  <c r="AF22" i="2"/>
  <c r="V22" i="2"/>
  <c r="AA21" i="2"/>
  <c r="AE20" i="2"/>
  <c r="AI19" i="2"/>
  <c r="Y19" i="2"/>
  <c r="AC18" i="2"/>
  <c r="AI17" i="2"/>
  <c r="Z17" i="2"/>
  <c r="AF16" i="2"/>
  <c r="W16" i="2"/>
  <c r="AB15" i="2"/>
  <c r="AH14" i="2"/>
  <c r="Y14" i="2"/>
  <c r="AE13" i="2"/>
  <c r="V13" i="2"/>
  <c r="AB12" i="2"/>
  <c r="AH11" i="2"/>
  <c r="X11" i="2"/>
  <c r="AD10" i="2"/>
  <c r="U10" i="2"/>
  <c r="AA9" i="2"/>
  <c r="AG8" i="2"/>
  <c r="X8" i="2"/>
  <c r="AD7" i="2"/>
  <c r="AI6" i="2"/>
  <c r="Z6" i="2"/>
  <c r="AF5" i="2"/>
  <c r="W5" i="2"/>
  <c r="AC4" i="2"/>
  <c r="AI3" i="2"/>
  <c r="Z3" i="2"/>
  <c r="AB65" i="2"/>
  <c r="X64" i="2"/>
  <c r="X63" i="2"/>
  <c r="U62" i="2"/>
  <c r="AH60" i="2"/>
  <c r="AG59" i="2"/>
  <c r="AC58" i="2"/>
  <c r="AC57" i="2"/>
  <c r="Y56" i="2"/>
  <c r="Y55" i="2"/>
  <c r="Z54" i="2"/>
  <c r="Y53" i="2"/>
  <c r="AB52" i="2"/>
  <c r="AA51" i="2"/>
  <c r="AA50" i="2"/>
  <c r="AB49" i="2"/>
  <c r="AA48" i="2"/>
  <c r="AD47" i="2"/>
  <c r="AC46" i="2"/>
  <c r="AC45" i="2"/>
  <c r="AD44" i="2"/>
  <c r="AC43" i="2"/>
  <c r="AF42" i="2"/>
  <c r="AE41" i="2"/>
  <c r="AE40" i="2"/>
  <c r="AF39" i="2"/>
  <c r="AE38" i="2"/>
  <c r="AG37" i="2"/>
  <c r="AF36" i="2"/>
  <c r="AI35" i="2"/>
  <c r="V35" i="2"/>
  <c r="AA34" i="2"/>
  <c r="AF33" i="2"/>
  <c r="U33" i="2"/>
  <c r="Z32" i="2"/>
  <c r="AE31" i="2"/>
  <c r="AH30" i="2"/>
  <c r="X30" i="2"/>
  <c r="AC29" i="2"/>
  <c r="AH28" i="2"/>
  <c r="W28" i="2"/>
  <c r="AB27" i="2"/>
  <c r="AG26" i="2"/>
  <c r="U26" i="2"/>
  <c r="Z25" i="2"/>
  <c r="AE24" i="2"/>
  <c r="AI23" i="2"/>
  <c r="Y23" i="2"/>
  <c r="AD22" i="2"/>
  <c r="AI21" i="2"/>
  <c r="W21" i="2"/>
  <c r="AB20" i="2"/>
  <c r="AG19" i="2"/>
  <c r="V19" i="2"/>
  <c r="AA18" i="2"/>
  <c r="AG17" i="2"/>
  <c r="X17" i="2"/>
  <c r="AC16" i="2"/>
  <c r="AI15" i="2"/>
  <c r="Z15" i="2"/>
  <c r="AF14" i="2"/>
  <c r="W14" i="2"/>
  <c r="AC13" i="2"/>
  <c r="AI12" i="2"/>
  <c r="Y12" i="2"/>
  <c r="AE11" i="2"/>
  <c r="V11" i="2"/>
  <c r="AB10" i="2"/>
  <c r="AH9" i="2"/>
  <c r="Y9" i="2"/>
  <c r="Z65" i="2"/>
  <c r="W64" i="2"/>
  <c r="U63" i="2"/>
  <c r="AI61" i="2"/>
  <c r="AE60" i="2"/>
  <c r="AE59" i="2"/>
  <c r="AA58" i="2"/>
  <c r="Y57" i="2"/>
  <c r="X56" i="2"/>
  <c r="W55" i="2"/>
  <c r="Y54" i="2"/>
  <c r="X53" i="2"/>
  <c r="X52" i="2"/>
  <c r="Z51" i="2"/>
  <c r="Y50" i="2"/>
  <c r="AA49" i="2"/>
  <c r="Z48" i="2"/>
  <c r="Z47" i="2"/>
  <c r="AB46" i="2"/>
  <c r="AA45" i="2"/>
  <c r="AC44" i="2"/>
  <c r="AI64" i="2"/>
  <c r="AI63" i="2"/>
  <c r="AE62" i="2"/>
  <c r="AC61" i="2"/>
  <c r="AB60" i="2"/>
  <c r="Y59" i="2"/>
  <c r="Y58" i="2"/>
  <c r="U57" i="2"/>
  <c r="AH55" i="2"/>
  <c r="U55" i="2"/>
  <c r="AI53" i="2"/>
  <c r="V53" i="2"/>
  <c r="U52" i="2"/>
  <c r="U51" i="2"/>
  <c r="V50" i="2"/>
  <c r="U49" i="2"/>
  <c r="X48" i="2"/>
  <c r="W47" i="2"/>
  <c r="W46" i="2"/>
  <c r="X45" i="2"/>
  <c r="W44" i="2"/>
  <c r="Z43" i="2"/>
  <c r="Y42" i="2"/>
  <c r="Y41" i="2"/>
  <c r="Z40" i="2"/>
  <c r="Y39" i="2"/>
  <c r="AB38" i="2"/>
  <c r="AA37" i="2"/>
  <c r="AA36" i="2"/>
  <c r="AC35" i="2"/>
  <c r="AH34" i="2"/>
  <c r="X34" i="2"/>
  <c r="AB33" i="2"/>
  <c r="AF32" i="2"/>
  <c r="V32" i="2"/>
  <c r="Z31" i="2"/>
  <c r="AE30" i="2"/>
  <c r="U30" i="2"/>
  <c r="Y29" i="2"/>
  <c r="AD28" i="2"/>
  <c r="AH27" i="2"/>
  <c r="W27" i="2"/>
  <c r="AB26" i="2"/>
  <c r="AG25" i="2"/>
  <c r="W25" i="2"/>
  <c r="AA24" i="2"/>
  <c r="AF23" i="2"/>
  <c r="U23" i="2"/>
  <c r="Y22" i="2"/>
  <c r="AD21" i="2"/>
  <c r="AI20" i="2"/>
  <c r="X20" i="2"/>
  <c r="AC19" i="2"/>
  <c r="AH18" i="2"/>
  <c r="W18" i="2"/>
  <c r="AC17" i="2"/>
  <c r="AI16" i="2"/>
  <c r="Z16" i="2"/>
  <c r="AF15" i="2"/>
  <c r="W15" i="2"/>
  <c r="AC14" i="2"/>
  <c r="AH13" i="2"/>
  <c r="Y13" i="2"/>
  <c r="AE12" i="2"/>
  <c r="V12" i="2"/>
  <c r="AB11" i="2"/>
  <c r="AH10" i="2"/>
  <c r="Y10" i="2"/>
  <c r="AD9" i="2"/>
  <c r="U9" i="2"/>
  <c r="AA8" i="2"/>
  <c r="AG7" i="2"/>
  <c r="X7" i="2"/>
  <c r="AD6" i="2"/>
  <c r="U6" i="2"/>
  <c r="Z5" i="2"/>
  <c r="AF4" i="2"/>
  <c r="W4" i="2"/>
  <c r="AC3" i="2"/>
  <c r="U3" i="2"/>
  <c r="AG64" i="2"/>
  <c r="AE63" i="2"/>
  <c r="AD62" i="2"/>
  <c r="AA61" i="2"/>
  <c r="AA60" i="2"/>
  <c r="W59" i="2"/>
  <c r="U58" i="2"/>
  <c r="AI56" i="2"/>
  <c r="AF55" i="2"/>
  <c r="AH54" i="2"/>
  <c r="AG53" i="2"/>
  <c r="AH52" i="2"/>
  <c r="AI51" i="2"/>
  <c r="AH50" i="2"/>
  <c r="U50" i="2"/>
  <c r="AI48" i="2"/>
  <c r="AI47" i="2"/>
  <c r="V47" i="2"/>
  <c r="U46" i="2"/>
  <c r="W45" i="2"/>
  <c r="V44" i="2"/>
  <c r="V43" i="2"/>
  <c r="X42" i="2"/>
  <c r="W41" i="2"/>
  <c r="Y40" i="2"/>
  <c r="X39" i="2"/>
  <c r="X38" i="2"/>
  <c r="Y37" i="2"/>
  <c r="X36" i="2"/>
  <c r="AB35" i="2"/>
  <c r="AG34" i="2"/>
  <c r="V34" i="2"/>
  <c r="Z33" i="2"/>
  <c r="AE32" i="2"/>
  <c r="AI31" i="2"/>
  <c r="Y31" i="2"/>
  <c r="AD30" i="2"/>
  <c r="AI29" i="2"/>
  <c r="X29" i="2"/>
  <c r="AB28" i="2"/>
  <c r="AG27" i="2"/>
  <c r="V27" i="2"/>
  <c r="AA26" i="2"/>
  <c r="AF25" i="2"/>
  <c r="U25" i="2"/>
  <c r="Z24" i="2"/>
  <c r="AD23" i="2"/>
  <c r="AH22" i="2"/>
  <c r="X22" i="2"/>
  <c r="AC21" i="2"/>
  <c r="AH20" i="2"/>
  <c r="W20" i="2"/>
  <c r="AB19" i="2"/>
  <c r="AF18" i="2"/>
  <c r="V18" i="2"/>
  <c r="AB17" i="2"/>
  <c r="AH16" i="2"/>
  <c r="Y16" i="2"/>
  <c r="AE15" i="2"/>
  <c r="V15" i="2"/>
  <c r="AA14" i="2"/>
  <c r="AG13" i="2"/>
  <c r="X13" i="2"/>
  <c r="AD12" i="2"/>
  <c r="U12" i="2"/>
  <c r="AA11" i="2"/>
  <c r="AG10" i="2"/>
  <c r="W10" i="2"/>
  <c r="AC9" i="2"/>
  <c r="AI8" i="2"/>
  <c r="Z8" i="2"/>
  <c r="AF7" i="2"/>
  <c r="W7" i="2"/>
  <c r="AC6" i="2"/>
  <c r="AH5" i="2"/>
  <c r="Y5" i="2"/>
  <c r="AE4" i="2"/>
  <c r="V4" i="2"/>
  <c r="AB3" i="2"/>
  <c r="V64" i="2"/>
  <c r="AA59" i="2"/>
  <c r="V55" i="2"/>
  <c r="Y51" i="2"/>
  <c r="X47" i="2"/>
  <c r="AB43" i="2"/>
  <c r="AH40" i="2"/>
  <c r="AC38" i="2"/>
  <c r="AG35" i="2"/>
  <c r="AG33" i="2"/>
  <c r="W32" i="2"/>
  <c r="W30" i="2"/>
  <c r="X28" i="2"/>
  <c r="AC26" i="2"/>
  <c r="AD24" i="2"/>
  <c r="AE22" i="2"/>
  <c r="U21" i="2"/>
  <c r="U19" i="2"/>
  <c r="Y17" i="2"/>
  <c r="AG15" i="2"/>
  <c r="V14" i="2"/>
  <c r="AA12" i="2"/>
  <c r="AI10" i="2"/>
  <c r="X9" i="2"/>
  <c r="AI7" i="2"/>
  <c r="AF6" i="2"/>
  <c r="AC5" i="2"/>
  <c r="Y4" i="2"/>
  <c r="V3" i="2"/>
  <c r="AF8" i="2"/>
  <c r="Z63" i="2"/>
  <c r="AF58" i="2"/>
  <c r="AB54" i="2"/>
  <c r="AD50" i="2"/>
  <c r="AD46" i="2"/>
  <c r="AA43" i="2"/>
  <c r="AB40" i="2"/>
  <c r="AI37" i="2"/>
  <c r="AD35" i="2"/>
  <c r="AE33" i="2"/>
  <c r="AF31" i="2"/>
  <c r="V30" i="2"/>
  <c r="V28" i="2"/>
  <c r="X26" i="2"/>
  <c r="AB24" i="2"/>
  <c r="AC22" i="2"/>
  <c r="AC20" i="2"/>
  <c r="AI18" i="2"/>
  <c r="V17" i="2"/>
  <c r="AA15" i="2"/>
  <c r="U14" i="2"/>
  <c r="X12" i="2"/>
  <c r="AC10" i="2"/>
  <c r="V9" i="2"/>
  <c r="AH7" i="2"/>
  <c r="AE6" i="2"/>
  <c r="AB5" i="2"/>
  <c r="X4" i="2"/>
  <c r="AG62" i="2"/>
  <c r="Z58" i="2"/>
  <c r="V54" i="2"/>
  <c r="X50" i="2"/>
  <c r="Z46" i="2"/>
  <c r="AG42" i="2"/>
  <c r="AA40" i="2"/>
  <c r="AD37" i="2"/>
  <c r="W35" i="2"/>
  <c r="AC33" i="2"/>
  <c r="AC31" i="2"/>
  <c r="AD29" i="2"/>
  <c r="U28" i="2"/>
  <c r="AI25" i="2"/>
  <c r="V24" i="2"/>
  <c r="Z22" i="2"/>
  <c r="AA20" i="2"/>
  <c r="AB18" i="2"/>
  <c r="U17" i="2"/>
  <c r="Y15" i="2"/>
  <c r="AD13" i="2"/>
  <c r="W12" i="2"/>
  <c r="AA10" i="2"/>
  <c r="AB7" i="2"/>
  <c r="Y6" i="2"/>
  <c r="V5" i="2"/>
  <c r="AH3" i="2"/>
  <c r="AG61" i="2"/>
  <c r="W57" i="2"/>
  <c r="W53" i="2"/>
  <c r="X49" i="2"/>
  <c r="Y45" i="2"/>
  <c r="Z42" i="2"/>
  <c r="AE39" i="2"/>
  <c r="AH36" i="2"/>
  <c r="AI34" i="2"/>
  <c r="AI32" i="2"/>
  <c r="V31" i="2"/>
  <c r="AA29" i="2"/>
  <c r="AA27" i="2"/>
  <c r="AA25" i="2"/>
  <c r="AG23" i="2"/>
  <c r="AF21" i="2"/>
  <c r="AH19" i="2"/>
  <c r="Y18" i="2"/>
  <c r="AB16" i="2"/>
  <c r="AG14" i="2"/>
  <c r="Z13" i="2"/>
  <c r="AD11" i="2"/>
  <c r="AI9" i="2"/>
  <c r="AC8" i="2"/>
  <c r="Z7" i="2"/>
  <c r="W6" i="2"/>
  <c r="AI4" i="2"/>
  <c r="AE3" i="2"/>
  <c r="Y21" i="2"/>
  <c r="W19" i="2"/>
  <c r="AG6" i="2"/>
  <c r="AA4" i="2"/>
  <c r="AC65" i="2"/>
  <c r="V61" i="2"/>
  <c r="AA56" i="2"/>
  <c r="AC52" i="2"/>
  <c r="AD48" i="2"/>
  <c r="AE44" i="2"/>
  <c r="AF41" i="2"/>
  <c r="AA39" i="2"/>
  <c r="AE36" i="2"/>
  <c r="AB34" i="2"/>
  <c r="AH32" i="2"/>
  <c r="AG30" i="2"/>
  <c r="AI28" i="2"/>
  <c r="Y27" i="2"/>
  <c r="Y25" i="2"/>
  <c r="Z23" i="2"/>
  <c r="AE21" i="2"/>
  <c r="AE19" i="2"/>
  <c r="AH17" i="2"/>
  <c r="AA16" i="2"/>
  <c r="AE14" i="2"/>
  <c r="U13" i="2"/>
  <c r="AC11" i="2"/>
  <c r="AG9" i="2"/>
  <c r="AB8" i="2"/>
  <c r="Y7" i="2"/>
  <c r="V6" i="2"/>
  <c r="AG4" i="2"/>
  <c r="AD3" i="2"/>
  <c r="W65" i="2"/>
  <c r="AC60" i="2"/>
  <c r="W56" i="2"/>
  <c r="V52" i="2"/>
  <c r="Y48" i="2"/>
  <c r="Z44" i="2"/>
  <c r="AC41" i="2"/>
  <c r="AG38" i="2"/>
  <c r="AD36" i="2"/>
  <c r="Z34" i="2"/>
  <c r="AA32" i="2"/>
  <c r="AF30" i="2"/>
  <c r="AF28" i="2"/>
  <c r="AH26" i="2"/>
  <c r="X25" i="2"/>
  <c r="X23" i="2"/>
  <c r="AD19" i="2"/>
  <c r="AF17" i="2"/>
  <c r="U16" i="2"/>
  <c r="AD14" i="2"/>
  <c r="AG12" i="2"/>
  <c r="W11" i="2"/>
  <c r="AF9" i="2"/>
  <c r="W8" i="2"/>
  <c r="AH6" i="2"/>
  <c r="AE5" i="2"/>
  <c r="AB4" i="2"/>
  <c r="X3" i="2"/>
  <c r="AA64" i="2"/>
  <c r="AH59" i="2"/>
  <c r="AC55" i="2"/>
  <c r="AB51" i="2"/>
  <c r="AE47" i="2"/>
  <c r="AE43" i="2"/>
  <c r="AB41" i="2"/>
  <c r="AD38" i="2"/>
  <c r="U36" i="2"/>
  <c r="Y34" i="2"/>
  <c r="Y32" i="2"/>
  <c r="Y30" i="2"/>
  <c r="AE28" i="2"/>
  <c r="AD26" i="2"/>
  <c r="AF24" i="2"/>
  <c r="W23" i="2"/>
  <c r="V21" i="2"/>
  <c r="AD17" i="2"/>
  <c r="AH15" i="2"/>
  <c r="X14" i="2"/>
  <c r="AF12" i="2"/>
  <c r="U11" i="2"/>
  <c r="Z9" i="2"/>
  <c r="U8" i="2"/>
  <c r="AD5" i="2"/>
  <c r="W3" i="2"/>
  <c r="V62" i="2"/>
  <c r="AE57" i="2"/>
  <c r="AB53" i="2"/>
  <c r="AC49" i="2"/>
  <c r="AF45" i="2"/>
  <c r="AB42" i="2"/>
  <c r="AG39" i="2"/>
  <c r="AB37" i="2"/>
  <c r="U35" i="2"/>
  <c r="W33" i="2"/>
  <c r="AA31" i="2"/>
  <c r="AB29" i="2"/>
  <c r="AC27" i="2"/>
  <c r="AH25" i="2"/>
  <c r="AH23" i="2"/>
  <c r="U22" i="2"/>
  <c r="Z20" i="2"/>
  <c r="Z18" i="2"/>
  <c r="AE16" i="2"/>
  <c r="X15" i="2"/>
  <c r="AB13" i="2"/>
  <c r="AE8" i="2"/>
  <c r="AA7" i="2"/>
  <c r="AF3" i="2"/>
  <c r="X6" i="2"/>
  <c r="U5" i="2"/>
  <c r="AF11" i="2"/>
  <c r="Z10" i="2"/>
</calcChain>
</file>

<file path=xl/sharedStrings.xml><?xml version="1.0" encoding="utf-8"?>
<sst xmlns="http://schemas.openxmlformats.org/spreadsheetml/2006/main" count="210" uniqueCount="118">
  <si>
    <t>Asset Parameters (normalized by commodity feedstock)</t>
  </si>
  <si>
    <t>Duals</t>
  </si>
  <si>
    <t>LCOE for assets with ethane capacity ($/t-ethylene)</t>
  </si>
  <si>
    <t>SEQ - CI</t>
  </si>
  <si>
    <t>SEQ - CREDIT</t>
  </si>
  <si>
    <t>NO SEQ - CI</t>
  </si>
  <si>
    <t>NO SEQ - CREDIT</t>
  </si>
  <si>
    <t>CHEM SEQUESTRATION - CARBON INTENSITY</t>
  </si>
  <si>
    <t>CHEM SEQUESTRATION - CREDIT</t>
  </si>
  <si>
    <t>NO CHEM SEQUESTRATION - CARBON INTENSITY</t>
  </si>
  <si>
    <t>NO CHEM SEQUESTRATION - CREDIT</t>
  </si>
  <si>
    <t>Carbon Content</t>
  </si>
  <si>
    <t>Carbon Inputs</t>
  </si>
  <si>
    <t>Carbon Outputs</t>
  </si>
  <si>
    <t>Assumptions</t>
  </si>
  <si>
    <t>id</t>
  </si>
  <si>
    <t>commodity</t>
  </si>
  <si>
    <t>CCS</t>
  </si>
  <si>
    <t>h2_consumption (MWh/t-CO2Captured)</t>
  </si>
  <si>
    <t>elec_consumption (MWh/t-CO2Captured)</t>
  </si>
  <si>
    <t>ethylene_production (t-ethylene/t-CO2Captured)</t>
  </si>
  <si>
    <t>natgas_production (MWh/t-CO2Captured)</t>
  </si>
  <si>
    <t>gasoline_production (MWh/t-CO2Captured)</t>
  </si>
  <si>
    <t>emission_rate (t-CO2/t-CO2Captured)</t>
  </si>
  <si>
    <t>calculated_emission_rate (t-CO2/t-CO2Captured)</t>
  </si>
  <si>
    <t>investment_cost ($/yr per t-CO2Captured/hr)</t>
  </si>
  <si>
    <t>fixed_om_cost ($/yr per t-CO2Captured/hr)</t>
  </si>
  <si>
    <t>variable_om_cost WITHOUT LPG REVENUE ($/t-CO2Captured)</t>
  </si>
  <si>
    <t>variable_om_cost ($/t-CO2Captured)</t>
  </si>
  <si>
    <t>LPG_production (t-LPG/t-ethylene)</t>
  </si>
  <si>
    <t>LPG_production (t-LPG/t-CO2Captured)</t>
  </si>
  <si>
    <t>co2_sink ($/t)</t>
  </si>
  <si>
    <t>co2_captured ($/t)</t>
  </si>
  <si>
    <t>bioherb_supply ($/t)</t>
  </si>
  <si>
    <t>biowood_supply ($/t)</t>
  </si>
  <si>
    <t>bioagri_supply ($/t)</t>
  </si>
  <si>
    <t>LPG_demand ($/t-LPG)</t>
  </si>
  <si>
    <t>ethane_supply ($/MWh)</t>
  </si>
  <si>
    <t>ethanol_balance ($/MWh)</t>
  </si>
  <si>
    <t>ethanol_demand ($/MWh)</t>
  </si>
  <si>
    <t>elec_demand ($/MWh)</t>
  </si>
  <si>
    <t>h2_balance ($/MWh)</t>
  </si>
  <si>
    <t>h2_demand ($/MWh)</t>
  </si>
  <si>
    <t>gasoline_balance ($/MWh)</t>
  </si>
  <si>
    <t>gasoline_demand ($/MWh)</t>
  </si>
  <si>
    <t>diesel_balance ($/MWh)</t>
  </si>
  <si>
    <t>diesel_demand ($/MWh)</t>
  </si>
  <si>
    <t>jetfuel_balance ($/MWh)</t>
  </si>
  <si>
    <t>jetfuel_demand ($/MWh)</t>
  </si>
  <si>
    <t>ng_balance ($/MWh)</t>
  </si>
  <si>
    <t>ng_demand ($/MWh)</t>
  </si>
  <si>
    <t>ethylene_balance ($/t)</t>
  </si>
  <si>
    <t>ethylene_demand ($/t)</t>
  </si>
  <si>
    <t>id_LC</t>
  </si>
  <si>
    <t>commodity_LC</t>
  </si>
  <si>
    <t>LCOE ($/t-ethylene)</t>
  </si>
  <si>
    <t>Diff. Between Methods</t>
  </si>
  <si>
    <t>h2_consumption</t>
  </si>
  <si>
    <t>elec_consumption</t>
  </si>
  <si>
    <t>co2captured_consumption</t>
  </si>
  <si>
    <t>natgas_production</t>
  </si>
  <si>
    <t>gasoline_production</t>
  </si>
  <si>
    <t>investment_cost</t>
  </si>
  <si>
    <t>fixed_om_cost</t>
  </si>
  <si>
    <t>variable_om_cost</t>
  </si>
  <si>
    <t>CI</t>
  </si>
  <si>
    <t>modified capture cost</t>
  </si>
  <si>
    <t>modified emissions cost</t>
  </si>
  <si>
    <t>Ethylene (t-CO2/t-ethylene)</t>
  </si>
  <si>
    <t>Gasoline (t-CO2/MWh-gasoline)</t>
  </si>
  <si>
    <t>NG (t-CO2/MWh-NG)</t>
  </si>
  <si>
    <t>LPG (t-CO2/t-LPG)</t>
  </si>
  <si>
    <t>CO2Captured (t-CO2/t-CO2Captured)</t>
  </si>
  <si>
    <t>CO2Captured - RECYCLE ADJUSTED  (t-CO2/t-CO2Captured)</t>
  </si>
  <si>
    <t>Ethylene (t-CO2/t-CO2Captured)</t>
  </si>
  <si>
    <t>NG (t-CO2/t-CO2Captured)</t>
  </si>
  <si>
    <t>Emissions (t-CO2/t-CO2Captured)</t>
  </si>
  <si>
    <t>LPG (t-CO2/t-CO2Captured)</t>
  </si>
  <si>
    <t>Captured (t-CO2/t-CO2Captured)</t>
  </si>
  <si>
    <t>Gasoline (t-CO2/t-CO2Captured)</t>
  </si>
  <si>
    <t>RECYCLED Output (t-CO2/t-CO2Captured)</t>
  </si>
  <si>
    <t>Ethylene Carbon Content</t>
  </si>
  <si>
    <t>t-CO2/t-ethylene</t>
  </si>
  <si>
    <t>SE_Synthetic_Ethylene_Non_CCS</t>
  </si>
  <si>
    <t>CO2Captured</t>
  </si>
  <si>
    <t>Gasoline Carbon Content</t>
  </si>
  <si>
    <t>t-CO2/MWh-gasoline</t>
  </si>
  <si>
    <t>SE_Synthetic_Ethylene_CCS_90</t>
  </si>
  <si>
    <t>Natural Gas Carbon Content</t>
  </si>
  <si>
    <t>t-CO2/MWh-natgas</t>
  </si>
  <si>
    <t>MIDAT_Synthetic_Ethylene_Non_CCS</t>
  </si>
  <si>
    <t>LPG Carbon Content</t>
  </si>
  <si>
    <t>t-CO2/t-LPG</t>
  </si>
  <si>
    <t>MIDAT_Synthetic_Ethylene_CCS_90</t>
  </si>
  <si>
    <t>Capacity Factor</t>
  </si>
  <si>
    <t>%</t>
  </si>
  <si>
    <t>NE_Synthetic_Ethylene_Non_CCS</t>
  </si>
  <si>
    <t>NE_Synthetic_Ethylene_CCS_90</t>
  </si>
  <si>
    <t>CA_Synthetic_Ethylene_Non_CCS</t>
  </si>
  <si>
    <t>CA_Synthetic_Ethylene_CCS_90</t>
  </si>
  <si>
    <t>NCEN_Synthetic_Ethylene_Non_CCS</t>
  </si>
  <si>
    <t>NCEN_Synthetic_Ethylene_CCS_90</t>
  </si>
  <si>
    <t>CEN_Synthetic_Ethylene_Non_CCS</t>
  </si>
  <si>
    <t>CEN_Synthetic_Ethylene_CCS_90</t>
  </si>
  <si>
    <t>TX_Synthetic_Ethylene_Non_CCS</t>
  </si>
  <si>
    <t>TX_Synthetic_Ethylene_CCS_90</t>
  </si>
  <si>
    <t>NW_Synthetic_Ethylene_Non_CCS</t>
  </si>
  <si>
    <t>NW_Synthetic_Ethylene_CCS_90</t>
  </si>
  <si>
    <t>SW_Synthetic_Ethylene_Non_CCS</t>
  </si>
  <si>
    <t>SW_Synthetic_Ethylene_CCS_90</t>
  </si>
  <si>
    <t>Levelized cost for Synthetic Ethylene Production - $/GJ-ethylene - no chemicals CO2 sequestration</t>
  </si>
  <si>
    <t>Levelized cost for Synthetic Ethylene Production - $/GJ-ethylene - no chemicals CO2 sequestration - SORTED</t>
  </si>
  <si>
    <t>LCOE ($/GJ-ethylene)</t>
  </si>
  <si>
    <t>CHECK LCOE ($/GJ-ethylene)</t>
  </si>
  <si>
    <t>Ethylene LHV</t>
  </si>
  <si>
    <t>GJ/t-ethylene</t>
  </si>
  <si>
    <t>Levelized cost for Synthetic Ethylene Production - $/GJ-ethylene - chemicals CO2 sequestration</t>
  </si>
  <si>
    <t>Levelized cost for Synthetic Ethylene Production - $/GJ-ethylene - chemicals CO2 sequestration - 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</si>
</sst>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rgb="FFF7E8FF"/>
        <bgColor rgb="FFADD8E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rgb="FFADD8E6"/>
      </patternFill>
    </fill>
    <fill>
      <patternFill patternType="solid">
        <fgColor rgb="FFF8E9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0" fontId="0" fillId="8" borderId="0" xfId="0" applyFill="1"/>
    <xf numFmtId="164" fontId="1" fillId="9" borderId="0" xfId="0" applyNumberFormat="1" applyFont="1" applyFill="1"/>
    <xf numFmtId="0" fontId="0" fillId="10" borderId="0" xfId="0" applyFill="1"/>
    <xf numFmtId="0" fontId="4" fillId="11" borderId="0" xfId="0" applyFont="1" applyFill="1"/>
    <xf numFmtId="0" fontId="2" fillId="12" borderId="0" xfId="0" applyFont="1" applyFill="1"/>
    <xf numFmtId="0" fontId="0" fillId="13" borderId="0" xfId="0" applyFill="1"/>
    <xf numFmtId="0" fontId="1" fillId="14" borderId="0" xfId="0" applyFont="1" applyFill="1"/>
    <xf numFmtId="0" fontId="5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6" fillId="0" borderId="0" xfId="0" applyFont="1"/>
    <xf numFmtId="2" fontId="0" fillId="0" borderId="0" xfId="0" applyNumberFormat="1"/>
    <xf numFmtId="0" fontId="0" fillId="15" borderId="0" xfId="0" applyFill="1"/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K107"/>
  <sheetViews>
    <sheetView tabSelected="1" topLeftCell="AV1" zoomScale="75" zoomScaleNormal="157" workbookViewId="0">
      <selection activeCell="BB32" sqref="BB32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2.6640625" style="1" bestFit="1" customWidth="1"/>
    <col min="4" max="4" width="12.6640625" style="1" customWidth="1"/>
    <col min="5" max="5" width="32.33203125" style="1" customWidth="1"/>
    <col min="6" max="6" width="33.33203125" style="1" bestFit="1" customWidth="1"/>
    <col min="7" max="7" width="39" style="1" bestFit="1" customWidth="1"/>
    <col min="8" max="8" width="33.6640625" style="1" bestFit="1" customWidth="1"/>
    <col min="9" max="9" width="35" style="1" bestFit="1" customWidth="1"/>
    <col min="10" max="10" width="29.83203125" style="1" bestFit="1" customWidth="1"/>
    <col min="11" max="11" width="38.83203125" style="1" bestFit="1" customWidth="1"/>
    <col min="12" max="12" width="35.6640625" style="1" bestFit="1" customWidth="1"/>
    <col min="13" max="13" width="34.1640625" style="1" bestFit="1" customWidth="1"/>
    <col min="14" max="14" width="40.6640625" style="1" bestFit="1" customWidth="1"/>
    <col min="15" max="15" width="29.33203125" style="1" customWidth="1"/>
    <col min="16" max="16" width="28" style="1" bestFit="1" customWidth="1"/>
    <col min="17" max="17" width="31.83203125" style="1" bestFit="1" customWidth="1"/>
    <col min="18" max="18" width="3" style="1" customWidth="1"/>
    <col min="19" max="19" width="12.83203125" style="1" bestFit="1" customWidth="1"/>
    <col min="20" max="20" width="11" style="1" customWidth="1"/>
    <col min="21" max="21" width="12.83203125" style="1" customWidth="1"/>
    <col min="22" max="22" width="13.83203125" style="1" customWidth="1"/>
    <col min="23" max="23" width="12" style="1" customWidth="1"/>
    <col min="24" max="24" width="18.5" style="1" bestFit="1" customWidth="1"/>
    <col min="25" max="25" width="11.83203125" style="1" customWidth="1"/>
    <col min="26" max="26" width="13.5" style="1" customWidth="1"/>
    <col min="27" max="27" width="14.33203125" style="1" customWidth="1"/>
    <col min="28" max="28" width="11" style="1" customWidth="1"/>
    <col min="29" max="29" width="9.33203125" style="1" customWidth="1"/>
    <col min="30" max="30" width="10.83203125" style="1" customWidth="1"/>
    <col min="31" max="31" width="15" style="1" customWidth="1"/>
    <col min="32" max="32" width="14.5" style="1" customWidth="1"/>
    <col min="33" max="34" width="12.5" style="1" customWidth="1"/>
    <col min="35" max="35" width="12.1640625" style="1" customWidth="1"/>
    <col min="36" max="36" width="13.1640625" style="1" customWidth="1"/>
    <col min="37" max="37" width="9.6640625" style="1" customWidth="1"/>
    <col min="38" max="38" width="9.83203125" style="1" customWidth="1"/>
    <col min="39" max="39" width="14.5" style="1" customWidth="1"/>
    <col min="40" max="40" width="15.33203125" style="1" customWidth="1"/>
    <col min="41" max="41" width="3.33203125" customWidth="1"/>
    <col min="42" max="42" width="18.83203125" style="1" customWidth="1"/>
    <col min="43" max="43" width="19.83203125" style="1" customWidth="1"/>
    <col min="44" max="44" width="15.6640625" style="1" bestFit="1" customWidth="1"/>
    <col min="45" max="45" width="15.6640625" style="1" customWidth="1"/>
    <col min="46" max="46" width="18.33203125" style="1" bestFit="1" customWidth="1"/>
    <col min="47" max="48" width="15.6640625" style="1" customWidth="1"/>
    <col min="49" max="49" width="18.33203125" style="1" bestFit="1" customWidth="1"/>
    <col min="50" max="50" width="14.1640625" style="1" bestFit="1" customWidth="1"/>
    <col min="51" max="51" width="15.1640625" style="1" bestFit="1" customWidth="1"/>
    <col min="52" max="52" width="17.33203125" style="1" bestFit="1" customWidth="1"/>
    <col min="53" max="53" width="15.5" style="1" customWidth="1"/>
    <col min="54" max="54" width="17" style="1" bestFit="1" customWidth="1"/>
    <col min="55" max="55" width="13.6640625" style="1" bestFit="1" customWidth="1"/>
    <col min="56" max="56" width="12.1640625" style="1" bestFit="1" customWidth="1"/>
    <col min="57" max="57" width="14.5" style="1" bestFit="1" customWidth="1"/>
    <col min="58" max="58" width="10.5" style="1" customWidth="1"/>
    <col min="59" max="59" width="17.83203125" style="1" bestFit="1" customWidth="1"/>
    <col min="60" max="60" width="19.6640625" style="1" bestFit="1" customWidth="1"/>
    <col min="61" max="61" width="12.1640625" style="1" customWidth="1"/>
    <col min="62" max="62" width="17.83203125" style="1" bestFit="1" customWidth="1"/>
    <col min="63" max="63" width="19.33203125" style="1" bestFit="1" customWidth="1"/>
    <col min="64" max="64" width="18" style="1" customWidth="1"/>
    <col min="65" max="65" width="17.83203125" style="1" bestFit="1" customWidth="1"/>
    <col min="66" max="66" width="19.33203125" style="1" bestFit="1" customWidth="1"/>
    <col min="67" max="67" width="9.6640625" style="1" customWidth="1"/>
    <col min="68" max="68" width="17.83203125" style="1" bestFit="1" customWidth="1"/>
    <col min="69" max="69" width="19.33203125" style="1" bestFit="1" customWidth="1"/>
    <col min="70" max="70" width="3.33203125" style="1" customWidth="1"/>
    <col min="71" max="71" width="22" style="1" bestFit="1" customWidth="1"/>
    <col min="72" max="72" width="25.1640625" style="1" bestFit="1" customWidth="1"/>
    <col min="73" max="73" width="17.33203125" style="1" bestFit="1" customWidth="1"/>
    <col min="74" max="74" width="17.33203125" style="1" customWidth="1"/>
    <col min="75" max="75" width="3.6640625" style="1" customWidth="1"/>
    <col min="76" max="76" width="29.5" style="1" bestFit="1" customWidth="1"/>
    <col min="77" max="77" width="45.83203125" style="1" bestFit="1" customWidth="1"/>
    <col min="78" max="78" width="3.33203125" style="1" customWidth="1"/>
    <col min="79" max="79" width="23" style="1" bestFit="1" customWidth="1"/>
    <col min="80" max="80" width="17.83203125" style="1" bestFit="1" customWidth="1"/>
    <col min="81" max="81" width="23.6640625" style="1" bestFit="1" customWidth="1"/>
    <col min="82" max="82" width="22.1640625" style="1" bestFit="1" customWidth="1"/>
    <col min="83" max="83" width="23.1640625" style="1" bestFit="1" customWidth="1"/>
    <col min="84" max="84" width="26" style="1" bestFit="1" customWidth="1"/>
    <col min="85" max="85" width="29.33203125" style="1" bestFit="1" customWidth="1"/>
    <col min="86" max="86" width="2.6640625" style="1" customWidth="1"/>
    <col min="87" max="87" width="22.5" style="1" bestFit="1" customWidth="1"/>
    <col min="88" max="88" width="10.83203125" style="1" customWidth="1"/>
    <col min="89" max="89" width="17.1640625" style="1" bestFit="1" customWidth="1"/>
    <col min="90" max="106" width="10.83203125" style="1" customWidth="1"/>
    <col min="107" max="16384" width="10.83203125" style="1"/>
  </cols>
  <sheetData>
    <row r="1" spans="2:89" x14ac:dyDescent="0.2">
      <c r="B1" s="1" t="s">
        <v>0</v>
      </c>
      <c r="S1" s="1" t="s">
        <v>1</v>
      </c>
      <c r="AP1" s="1" t="s">
        <v>2</v>
      </c>
      <c r="AR1" s="1" t="s">
        <v>3</v>
      </c>
      <c r="AS1" s="1" t="s">
        <v>4</v>
      </c>
      <c r="AU1" s="1" t="s">
        <v>5</v>
      </c>
      <c r="AV1" s="1" t="s">
        <v>6</v>
      </c>
      <c r="BF1" s="1" t="s">
        <v>7</v>
      </c>
      <c r="BI1" s="1" t="s">
        <v>8</v>
      </c>
      <c r="BL1" s="1" t="s">
        <v>9</v>
      </c>
      <c r="BO1" s="1" t="s">
        <v>10</v>
      </c>
      <c r="BS1" s="1" t="s">
        <v>11</v>
      </c>
      <c r="BX1" s="1" t="s">
        <v>12</v>
      </c>
      <c r="CA1" s="1" t="s">
        <v>13</v>
      </c>
      <c r="CI1" s="18" t="s">
        <v>14</v>
      </c>
    </row>
    <row r="2" spans="2:89" x14ac:dyDescent="0.2"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7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7" t="s">
        <v>29</v>
      </c>
      <c r="Q2" s="7" t="s">
        <v>30</v>
      </c>
      <c r="S2" s="15" t="s">
        <v>31</v>
      </c>
      <c r="T2" s="15" t="s">
        <v>32</v>
      </c>
      <c r="U2" s="15" t="s">
        <v>33</v>
      </c>
      <c r="V2" s="15" t="s">
        <v>34</v>
      </c>
      <c r="W2" s="15" t="s">
        <v>35</v>
      </c>
      <c r="X2" s="7" t="s">
        <v>36</v>
      </c>
      <c r="Y2" s="7" t="s">
        <v>37</v>
      </c>
      <c r="Z2" s="15" t="s">
        <v>38</v>
      </c>
      <c r="AA2" s="15" t="s">
        <v>39</v>
      </c>
      <c r="AB2" s="15" t="s">
        <v>40</v>
      </c>
      <c r="AC2" s="15" t="s">
        <v>41</v>
      </c>
      <c r="AD2" s="15" t="s">
        <v>42</v>
      </c>
      <c r="AE2" s="15" t="s">
        <v>43</v>
      </c>
      <c r="AF2" s="15" t="s">
        <v>44</v>
      </c>
      <c r="AG2" s="15" t="s">
        <v>45</v>
      </c>
      <c r="AH2" s="15" t="s">
        <v>46</v>
      </c>
      <c r="AI2" s="15" t="s">
        <v>47</v>
      </c>
      <c r="AJ2" s="15" t="s">
        <v>48</v>
      </c>
      <c r="AK2" s="15" t="s">
        <v>49</v>
      </c>
      <c r="AL2" s="15" t="s">
        <v>50</v>
      </c>
      <c r="AM2" s="15" t="s">
        <v>51</v>
      </c>
      <c r="AN2" s="15" t="s">
        <v>52</v>
      </c>
      <c r="AP2" s="4" t="s">
        <v>53</v>
      </c>
      <c r="AQ2" s="4" t="s">
        <v>54</v>
      </c>
      <c r="AR2" s="3" t="s">
        <v>55</v>
      </c>
      <c r="AS2" s="6" t="s">
        <v>55</v>
      </c>
      <c r="AT2" s="7" t="s">
        <v>56</v>
      </c>
      <c r="AU2" s="3" t="s">
        <v>55</v>
      </c>
      <c r="AV2" s="6" t="s">
        <v>55</v>
      </c>
      <c r="AW2" s="7" t="s">
        <v>56</v>
      </c>
      <c r="AX2" s="4" t="s">
        <v>57</v>
      </c>
      <c r="AY2" s="4" t="s">
        <v>58</v>
      </c>
      <c r="AZ2" s="4" t="s">
        <v>59</v>
      </c>
      <c r="BA2" s="4" t="s">
        <v>60</v>
      </c>
      <c r="BB2" s="4" t="s">
        <v>61</v>
      </c>
      <c r="BC2" s="4" t="s">
        <v>62</v>
      </c>
      <c r="BD2" s="4" t="s">
        <v>63</v>
      </c>
      <c r="BE2" s="4" t="s">
        <v>64</v>
      </c>
      <c r="BF2" s="3" t="s">
        <v>65</v>
      </c>
      <c r="BG2" s="3" t="s">
        <v>66</v>
      </c>
      <c r="BH2" s="3" t="s">
        <v>67</v>
      </c>
      <c r="BI2" s="6" t="s">
        <v>65</v>
      </c>
      <c r="BJ2" s="6" t="s">
        <v>66</v>
      </c>
      <c r="BK2" s="6" t="s">
        <v>67</v>
      </c>
      <c r="BL2" s="3" t="s">
        <v>65</v>
      </c>
      <c r="BM2" s="3" t="s">
        <v>66</v>
      </c>
      <c r="BN2" s="3" t="s">
        <v>67</v>
      </c>
      <c r="BO2" s="6" t="s">
        <v>65</v>
      </c>
      <c r="BP2" s="6" t="s">
        <v>66</v>
      </c>
      <c r="BQ2" s="6" t="s">
        <v>67</v>
      </c>
      <c r="BS2" s="7" t="s">
        <v>68</v>
      </c>
      <c r="BT2" s="7" t="s">
        <v>69</v>
      </c>
      <c r="BU2" s="7" t="s">
        <v>70</v>
      </c>
      <c r="BV2" s="7" t="s">
        <v>71</v>
      </c>
      <c r="BX2" s="7" t="s">
        <v>72</v>
      </c>
      <c r="BY2" s="7" t="s">
        <v>73</v>
      </c>
      <c r="CA2" s="7" t="s">
        <v>74</v>
      </c>
      <c r="CB2" s="7" t="s">
        <v>75</v>
      </c>
      <c r="CC2" s="7" t="s">
        <v>76</v>
      </c>
      <c r="CD2" s="7" t="s">
        <v>77</v>
      </c>
      <c r="CE2" s="7" t="s">
        <v>78</v>
      </c>
      <c r="CF2" s="7" t="s">
        <v>79</v>
      </c>
      <c r="CG2" s="7" t="s">
        <v>80</v>
      </c>
      <c r="CI2" s="20" t="s">
        <v>81</v>
      </c>
      <c r="CJ2" s="19">
        <v>3.14</v>
      </c>
      <c r="CK2" s="19" t="s">
        <v>82</v>
      </c>
    </row>
    <row r="3" spans="2:89" x14ac:dyDescent="0.2">
      <c r="B3" s="14" t="s">
        <v>83</v>
      </c>
      <c r="C3" s="13" t="s">
        <v>84</v>
      </c>
      <c r="D3" s="13">
        <v>0</v>
      </c>
      <c r="E3" s="13">
        <v>5.4424706709999997</v>
      </c>
      <c r="F3" s="13">
        <v>0.17633674630000001</v>
      </c>
      <c r="G3" s="13">
        <v>0.1137656428</v>
      </c>
      <c r="H3" s="13">
        <v>0.15787734950000001</v>
      </c>
      <c r="I3" s="13">
        <v>0.76475307729999997</v>
      </c>
      <c r="J3" s="13">
        <v>0.41383317400000003</v>
      </c>
      <c r="K3" s="27">
        <f t="shared" ref="K3:K20" si="0">BY3-SUM(CA3+CD3+CB3+CF3)</f>
        <v>0.41383317371333472</v>
      </c>
      <c r="L3" s="13">
        <v>174237.6587</v>
      </c>
      <c r="M3" s="13">
        <v>95841.654150000002</v>
      </c>
      <c r="N3" s="13">
        <v>2.9463016839999998</v>
      </c>
      <c r="O3" s="13">
        <f t="shared" ref="O3:O20" si="1">N3-(Q3*X3)</f>
        <v>-45.313083991760003</v>
      </c>
      <c r="P3" s="26">
        <v>1.01</v>
      </c>
      <c r="Q3" s="26">
        <f t="shared" ref="Q3:Q20" si="2">P3*G3</f>
        <v>0.11490329922799999</v>
      </c>
      <c r="S3" s="16">
        <v>73.71884</v>
      </c>
      <c r="T3" s="16">
        <v>-6.0910019999999996</v>
      </c>
      <c r="U3" s="16">
        <v>59.252833000000003</v>
      </c>
      <c r="V3" s="16">
        <v>23.691089000000002</v>
      </c>
      <c r="W3" s="16">
        <v>31.789762</v>
      </c>
      <c r="X3" s="26">
        <v>420</v>
      </c>
      <c r="Y3" s="11">
        <v>21.986353300000001</v>
      </c>
      <c r="Z3" s="17">
        <v>-8.0072700000000001</v>
      </c>
      <c r="AA3" s="17"/>
      <c r="AB3" s="16">
        <v>21.266241000000001</v>
      </c>
      <c r="AC3" s="16">
        <v>7.267779</v>
      </c>
      <c r="AD3" s="16"/>
      <c r="AE3" s="17">
        <v>-128.077631</v>
      </c>
      <c r="AF3" s="17">
        <v>-128.077631</v>
      </c>
      <c r="AG3" s="17"/>
      <c r="AH3" s="17"/>
      <c r="AI3" s="17"/>
      <c r="AJ3" s="17"/>
      <c r="AK3" s="16">
        <v>7.9635800000000003</v>
      </c>
      <c r="AL3" s="16">
        <v>0</v>
      </c>
      <c r="AM3" s="16">
        <v>822.26752199999999</v>
      </c>
      <c r="AN3" s="16">
        <v>822.26752199999999</v>
      </c>
      <c r="AP3" s="1" t="str">
        <f t="shared" ref="AP3:AP20" si="3">B3</f>
        <v>SE_Synthetic_Ethylene_Non_CCS</v>
      </c>
      <c r="AQ3" s="1" t="str">
        <f t="shared" ref="AQ3:AQ20" si="4">C3</f>
        <v>CO2Captured</v>
      </c>
      <c r="AR3" s="12">
        <f t="shared" ref="AR3:AR20" si="5">SUM(AX3:BE3)+BG3+BH3</f>
        <v>331.38329840666216</v>
      </c>
      <c r="AS3" s="12">
        <f t="shared" ref="AS3:AS20" si="6">SUM(AX3:BE3)+BJ3+BK3</f>
        <v>331.38329840666216</v>
      </c>
      <c r="AT3" s="5">
        <f t="shared" ref="AT3:AT20" si="7">AR3-AS3</f>
        <v>0</v>
      </c>
      <c r="AU3" s="12">
        <f t="shared" ref="AU3:AU20" si="8">SUM(AX3:BE3)+BM3+BN3</f>
        <v>358.88746933797165</v>
      </c>
      <c r="AV3" s="12">
        <f t="shared" ref="AV3:AV20" si="9">SUM(AX3:BE3)+BP3+BQ3</f>
        <v>358.88746933797165</v>
      </c>
      <c r="AW3" s="5">
        <f t="shared" ref="AW3:AW20" si="10">AU3-AV3</f>
        <v>0</v>
      </c>
      <c r="AX3" s="5">
        <f t="shared" ref="AX3:AX20" si="11">E3/G3*AC3</f>
        <v>347.68558483290798</v>
      </c>
      <c r="AY3" s="1">
        <f t="shared" ref="AY3:AY20" si="12">F3/G3*AB3</f>
        <v>32.962673542522793</v>
      </c>
      <c r="AZ3" s="1">
        <f t="shared" ref="AZ3:AZ20" si="13">1/G3*(S3+T3)</f>
        <v>594.44869589397695</v>
      </c>
      <c r="BA3" s="1">
        <f t="shared" ref="BA3:BA20" si="14">H3/G3*AK3*-1</f>
        <v>-11.051393654422442</v>
      </c>
      <c r="BB3" s="1">
        <f t="shared" ref="BB3:BB20" si="15">I3/G3*AE3</f>
        <v>-860.96083166985693</v>
      </c>
      <c r="BC3" s="1">
        <f t="shared" ref="BC3:BC20" si="16">L3/G3/(0.9*8760)</f>
        <v>194.26040330394619</v>
      </c>
      <c r="BD3" s="1">
        <f t="shared" ref="BD3:BD20" si="17">M3/G3/(0.9*8760)</f>
        <v>106.85542108065717</v>
      </c>
      <c r="BE3" s="1">
        <f t="shared" ref="BE3:BE20" si="18">O3</f>
        <v>-45.313083991760003</v>
      </c>
      <c r="BF3" s="1">
        <f t="shared" ref="BF3:BF20" si="19">CG3-BY3-CA3-CD3</f>
        <v>-0.37309554696342861</v>
      </c>
      <c r="BG3" s="1">
        <v>0</v>
      </c>
      <c r="BH3" s="1">
        <f t="shared" ref="BH3:BH20" si="20">BF3*S3</f>
        <v>-27.504170931309481</v>
      </c>
      <c r="BI3" s="1">
        <f t="shared" ref="BI3:BI20" si="21">BY3-CG3-CA3-CD3</f>
        <v>-0.37309554696342861</v>
      </c>
      <c r="BJ3" s="1">
        <v>0</v>
      </c>
      <c r="BK3" s="1">
        <f t="shared" ref="BK3:BK20" si="22">BI3*S3</f>
        <v>-27.504170931309481</v>
      </c>
      <c r="BL3" s="1">
        <f t="shared" ref="BL3:BL20" si="23">BY3-CG3</f>
        <v>0</v>
      </c>
      <c r="BM3" s="1">
        <v>0</v>
      </c>
      <c r="BN3" s="1">
        <f t="shared" ref="BN3:BN20" si="24">BL3*S3</f>
        <v>0</v>
      </c>
      <c r="BO3" s="1">
        <f t="shared" ref="BO3:BO20" si="25">BY3-CG3</f>
        <v>0</v>
      </c>
      <c r="BP3" s="1">
        <v>0</v>
      </c>
      <c r="BQ3" s="1">
        <f t="shared" ref="BQ3:BQ20" si="26">BO3*S3</f>
        <v>0</v>
      </c>
      <c r="BS3" s="9">
        <f t="shared" ref="BS3:BS20" si="27">$CJ$2</f>
        <v>3.14</v>
      </c>
      <c r="BT3" s="10">
        <f t="shared" ref="BT3:BT20" si="28">$CJ$3</f>
        <v>0.24123847100000001</v>
      </c>
      <c r="BU3" s="9">
        <f t="shared" ref="BU3:BU20" si="29">$CJ$4</f>
        <v>0.18104824</v>
      </c>
      <c r="BV3" s="9">
        <f t="shared" ref="BV3:BV20" si="30">$CJ$5</f>
        <v>1.5714285714285715E-2</v>
      </c>
      <c r="BX3" s="10">
        <v>1</v>
      </c>
      <c r="BY3" s="10">
        <f t="shared" ref="BY3:BY20" si="31">BX3-CE3</f>
        <v>1</v>
      </c>
      <c r="CA3" s="10">
        <f t="shared" ref="CA3:CA20" si="32">BS3*G3</f>
        <v>0.35722411839200002</v>
      </c>
      <c r="CB3" s="10">
        <f t="shared" ref="CB3:CB20" si="33">BU3*H3</f>
        <v>2.8583416262839882E-2</v>
      </c>
      <c r="CC3" s="10">
        <f t="shared" ref="CC3:CC20" si="34">(BX3-CA3-CB3-CF3-CD3)*(1-D3)</f>
        <v>0.41383317371333478</v>
      </c>
      <c r="CD3" s="10">
        <f t="shared" ref="CD3:CD20" si="35">BV3*P3</f>
        <v>1.5871428571428571E-2</v>
      </c>
      <c r="CE3" s="10">
        <f t="shared" ref="CE3:CE20" si="36">(BX3-CA3-CB3-CF3-CD3)*(D3)</f>
        <v>0</v>
      </c>
      <c r="CF3" s="10">
        <f t="shared" ref="CF3:CF20" si="37">BT3*I3</f>
        <v>0.1844878630603968</v>
      </c>
      <c r="CG3" s="10">
        <f t="shared" ref="CG3:CG20" si="38">SUM(CA3:CF3)-CE3</f>
        <v>1</v>
      </c>
      <c r="CI3" s="20" t="s">
        <v>85</v>
      </c>
      <c r="CJ3" s="19">
        <v>0.24123847100000001</v>
      </c>
      <c r="CK3" s="19" t="s">
        <v>86</v>
      </c>
    </row>
    <row r="4" spans="2:89" x14ac:dyDescent="0.2">
      <c r="B4" s="14" t="s">
        <v>87</v>
      </c>
      <c r="C4" s="13" t="s">
        <v>84</v>
      </c>
      <c r="D4" s="13">
        <v>0.9</v>
      </c>
      <c r="E4" s="13">
        <v>5.9243674339999997</v>
      </c>
      <c r="F4" s="13">
        <v>0.24466847410000001</v>
      </c>
      <c r="G4" s="13">
        <v>0.1238388794</v>
      </c>
      <c r="H4" s="13">
        <v>0.1718564021</v>
      </c>
      <c r="I4" s="13">
        <v>0.83246718269999997</v>
      </c>
      <c r="J4" s="13">
        <v>3.6333707999999999E-2</v>
      </c>
      <c r="K4" s="27">
        <f t="shared" si="0"/>
        <v>3.6333708066740855E-2</v>
      </c>
      <c r="L4" s="13">
        <v>209498.31779999999</v>
      </c>
      <c r="M4" s="13">
        <v>115165.852</v>
      </c>
      <c r="N4" s="13">
        <v>3.542547876</v>
      </c>
      <c r="O4" s="13">
        <f t="shared" si="1"/>
        <v>-48.989904765479999</v>
      </c>
      <c r="P4" s="26">
        <v>1.01</v>
      </c>
      <c r="Q4" s="26">
        <f t="shared" si="2"/>
        <v>0.125077268194</v>
      </c>
      <c r="S4" s="16">
        <v>73.71884</v>
      </c>
      <c r="T4" s="16">
        <v>-6.0910019999999996</v>
      </c>
      <c r="U4" s="16">
        <v>59.252833000000003</v>
      </c>
      <c r="V4" s="16">
        <v>23.691089000000002</v>
      </c>
      <c r="W4" s="16">
        <v>31.789762</v>
      </c>
      <c r="X4" s="26">
        <v>420</v>
      </c>
      <c r="Y4" s="11">
        <v>21.986353300000001</v>
      </c>
      <c r="Z4" s="17">
        <v>-8.0072700000000001</v>
      </c>
      <c r="AA4" s="17"/>
      <c r="AB4" s="16">
        <v>21.266241000000001</v>
      </c>
      <c r="AC4" s="16">
        <v>7.267779</v>
      </c>
      <c r="AD4" s="16"/>
      <c r="AE4" s="17">
        <v>-128.077631</v>
      </c>
      <c r="AF4" s="17">
        <v>-128.077631</v>
      </c>
      <c r="AG4" s="17"/>
      <c r="AH4" s="17"/>
      <c r="AI4" s="17"/>
      <c r="AJ4" s="17"/>
      <c r="AK4" s="16">
        <v>7.9635800000000003</v>
      </c>
      <c r="AL4" s="16">
        <v>0</v>
      </c>
      <c r="AM4" s="16">
        <v>822.26752199999999</v>
      </c>
      <c r="AN4" s="16">
        <v>822.26752199999999</v>
      </c>
      <c r="AP4" s="1" t="str">
        <f t="shared" si="3"/>
        <v>SE_Synthetic_Ethylene_CCS_90</v>
      </c>
      <c r="AQ4" s="1" t="str">
        <f t="shared" si="4"/>
        <v>CO2Captured</v>
      </c>
      <c r="AR4" s="12">
        <f t="shared" si="5"/>
        <v>317.48856038202962</v>
      </c>
      <c r="AS4" s="12">
        <f t="shared" si="6"/>
        <v>317.48856038202962</v>
      </c>
      <c r="AT4" s="5">
        <f t="shared" si="7"/>
        <v>0</v>
      </c>
      <c r="AU4" s="12">
        <f t="shared" si="8"/>
        <v>347.32445548933936</v>
      </c>
      <c r="AV4" s="12">
        <f t="shared" si="9"/>
        <v>347.32445548933936</v>
      </c>
      <c r="AW4" s="5">
        <f t="shared" si="10"/>
        <v>0</v>
      </c>
      <c r="AX4" s="5">
        <f t="shared" si="11"/>
        <v>347.68558496104322</v>
      </c>
      <c r="AY4" s="1">
        <f t="shared" si="12"/>
        <v>42.015712355621154</v>
      </c>
      <c r="AZ4" s="1">
        <f t="shared" si="13"/>
        <v>546.09536461939263</v>
      </c>
      <c r="BA4" s="1">
        <f t="shared" si="14"/>
        <v>-11.051393659780791</v>
      </c>
      <c r="BB4" s="1">
        <f t="shared" si="15"/>
        <v>-860.96083202655484</v>
      </c>
      <c r="BC4" s="1">
        <f t="shared" si="16"/>
        <v>214.57390798665784</v>
      </c>
      <c r="BD4" s="1">
        <f t="shared" si="17"/>
        <v>117.95601601844012</v>
      </c>
      <c r="BE4" s="1">
        <f t="shared" si="18"/>
        <v>-48.989904765479999</v>
      </c>
      <c r="BF4" s="1">
        <f t="shared" si="19"/>
        <v>-0.40472550988742861</v>
      </c>
      <c r="BG4" s="1">
        <v>0</v>
      </c>
      <c r="BH4" s="1">
        <f t="shared" si="20"/>
        <v>-29.835895107309767</v>
      </c>
      <c r="BI4" s="1">
        <f t="shared" si="21"/>
        <v>-0.40472550988742861</v>
      </c>
      <c r="BJ4" s="1">
        <v>0</v>
      </c>
      <c r="BK4" s="1">
        <f t="shared" si="22"/>
        <v>-29.835895107309767</v>
      </c>
      <c r="BL4" s="1">
        <f t="shared" si="23"/>
        <v>0</v>
      </c>
      <c r="BM4" s="1">
        <v>0</v>
      </c>
      <c r="BN4" s="1">
        <f t="shared" si="24"/>
        <v>0</v>
      </c>
      <c r="BO4" s="1">
        <f t="shared" si="25"/>
        <v>0</v>
      </c>
      <c r="BP4" s="1">
        <v>0</v>
      </c>
      <c r="BQ4" s="1">
        <f t="shared" si="26"/>
        <v>0</v>
      </c>
      <c r="BS4" s="9">
        <f t="shared" si="27"/>
        <v>3.14</v>
      </c>
      <c r="BT4" s="10">
        <f t="shared" si="28"/>
        <v>0.24123847100000001</v>
      </c>
      <c r="BU4" s="9">
        <f t="shared" si="29"/>
        <v>0.18104824</v>
      </c>
      <c r="BV4" s="9">
        <f t="shared" si="30"/>
        <v>1.5714285714285715E-2</v>
      </c>
      <c r="BX4" s="10">
        <v>1</v>
      </c>
      <c r="BY4" s="10">
        <f t="shared" si="31"/>
        <v>0.67299662739933241</v>
      </c>
      <c r="CA4" s="10">
        <f t="shared" si="32"/>
        <v>0.38885408131600002</v>
      </c>
      <c r="CB4" s="10">
        <f t="shared" si="33"/>
        <v>3.1114299132937305E-2</v>
      </c>
      <c r="CC4" s="10">
        <f t="shared" si="34"/>
        <v>3.6333708066740841E-2</v>
      </c>
      <c r="CD4" s="10">
        <f t="shared" si="35"/>
        <v>1.5871428571428571E-2</v>
      </c>
      <c r="CE4" s="10">
        <f t="shared" si="36"/>
        <v>0.32700337260066764</v>
      </c>
      <c r="CF4" s="10">
        <f t="shared" si="37"/>
        <v>0.20082311031222566</v>
      </c>
      <c r="CG4" s="10">
        <f t="shared" si="38"/>
        <v>0.67299662739933241</v>
      </c>
      <c r="CI4" s="20" t="s">
        <v>88</v>
      </c>
      <c r="CJ4" s="19">
        <v>0.18104824</v>
      </c>
      <c r="CK4" s="19" t="s">
        <v>89</v>
      </c>
    </row>
    <row r="5" spans="2:89" x14ac:dyDescent="0.2">
      <c r="B5" s="14" t="s">
        <v>90</v>
      </c>
      <c r="C5" s="13" t="s">
        <v>84</v>
      </c>
      <c r="D5" s="13">
        <v>0</v>
      </c>
      <c r="E5" s="13">
        <v>5.4424706709999997</v>
      </c>
      <c r="F5" s="13">
        <v>0.17633674630000001</v>
      </c>
      <c r="G5" s="13">
        <v>0.1137656428</v>
      </c>
      <c r="H5" s="13">
        <v>0.15787734950000001</v>
      </c>
      <c r="I5" s="13">
        <v>0.76475307729999997</v>
      </c>
      <c r="J5" s="13">
        <v>0.41383317400000003</v>
      </c>
      <c r="K5" s="27">
        <f t="shared" si="0"/>
        <v>0.41383317371333472</v>
      </c>
      <c r="L5" s="13">
        <v>174237.6587</v>
      </c>
      <c r="M5" s="13">
        <v>95841.654150000002</v>
      </c>
      <c r="N5" s="13">
        <v>2.9463016839999998</v>
      </c>
      <c r="O5" s="13">
        <f t="shared" si="1"/>
        <v>-45.313083991760003</v>
      </c>
      <c r="P5" s="26">
        <v>1.01</v>
      </c>
      <c r="Q5" s="26">
        <f t="shared" si="2"/>
        <v>0.11490329922799999</v>
      </c>
      <c r="S5" s="16">
        <v>73.71884</v>
      </c>
      <c r="T5" s="16">
        <v>-16.179127999999999</v>
      </c>
      <c r="U5" s="16">
        <v>58.461202</v>
      </c>
      <c r="V5" s="16">
        <v>19.647223</v>
      </c>
      <c r="W5" s="16">
        <v>40.820307</v>
      </c>
      <c r="X5" s="26">
        <v>420</v>
      </c>
      <c r="Y5" s="11">
        <v>21.986353300000001</v>
      </c>
      <c r="Z5" s="17">
        <v>-2.2030439999999998</v>
      </c>
      <c r="AA5" s="17"/>
      <c r="AB5" s="16">
        <v>21.500722</v>
      </c>
      <c r="AC5" s="16">
        <v>7.5324369999999998</v>
      </c>
      <c r="AD5" s="16"/>
      <c r="AE5" s="17">
        <v>-140.74133399999999</v>
      </c>
      <c r="AF5" s="17">
        <v>-140.74133399999999</v>
      </c>
      <c r="AG5" s="17"/>
      <c r="AH5" s="17"/>
      <c r="AI5" s="17"/>
      <c r="AJ5" s="17"/>
      <c r="AK5" s="16">
        <v>5.4076719999999998</v>
      </c>
      <c r="AL5" s="16">
        <v>0</v>
      </c>
      <c r="AM5" s="16">
        <v>822.26752199999999</v>
      </c>
      <c r="AN5" s="16">
        <v>822.26752199999999</v>
      </c>
      <c r="AP5" s="1" t="str">
        <f t="shared" si="3"/>
        <v>MIDAT_Synthetic_Ethylene_Non_CCS</v>
      </c>
      <c r="AQ5" s="1" t="str">
        <f t="shared" si="4"/>
        <v>CO2Captured</v>
      </c>
      <c r="AR5" s="12">
        <f t="shared" si="5"/>
        <v>174.15242976340338</v>
      </c>
      <c r="AS5" s="12">
        <f t="shared" si="6"/>
        <v>174.15242976340338</v>
      </c>
      <c r="AT5" s="5">
        <f t="shared" si="7"/>
        <v>0</v>
      </c>
      <c r="AU5" s="12">
        <f t="shared" si="8"/>
        <v>201.65660069471286</v>
      </c>
      <c r="AV5" s="12">
        <f t="shared" si="9"/>
        <v>201.65660069471286</v>
      </c>
      <c r="AW5" s="5">
        <f t="shared" si="10"/>
        <v>0</v>
      </c>
      <c r="AX5" s="5">
        <f t="shared" si="11"/>
        <v>360.34664284123591</v>
      </c>
      <c r="AY5" s="1">
        <f t="shared" si="12"/>
        <v>33.326119092440351</v>
      </c>
      <c r="AZ5" s="1">
        <f t="shared" si="13"/>
        <v>505.77406837277596</v>
      </c>
      <c r="BA5" s="1">
        <f t="shared" si="14"/>
        <v>-7.5044530256490054</v>
      </c>
      <c r="BB5" s="1">
        <f t="shared" si="15"/>
        <v>-946.08851697893374</v>
      </c>
      <c r="BC5" s="1">
        <f t="shared" si="16"/>
        <v>194.26040330394619</v>
      </c>
      <c r="BD5" s="1">
        <f t="shared" si="17"/>
        <v>106.85542108065717</v>
      </c>
      <c r="BE5" s="1">
        <f t="shared" si="18"/>
        <v>-45.313083991760003</v>
      </c>
      <c r="BF5" s="1">
        <f t="shared" si="19"/>
        <v>-0.37309554696342861</v>
      </c>
      <c r="BG5" s="1">
        <v>0</v>
      </c>
      <c r="BH5" s="1">
        <f t="shared" si="20"/>
        <v>-27.504170931309481</v>
      </c>
      <c r="BI5" s="1">
        <f t="shared" si="21"/>
        <v>-0.37309554696342861</v>
      </c>
      <c r="BJ5" s="1">
        <v>0</v>
      </c>
      <c r="BK5" s="1">
        <f t="shared" si="22"/>
        <v>-27.504170931309481</v>
      </c>
      <c r="BL5" s="1">
        <f t="shared" si="23"/>
        <v>0</v>
      </c>
      <c r="BM5" s="1">
        <v>0</v>
      </c>
      <c r="BN5" s="1">
        <f t="shared" si="24"/>
        <v>0</v>
      </c>
      <c r="BO5" s="1">
        <f t="shared" si="25"/>
        <v>0</v>
      </c>
      <c r="BP5" s="1">
        <v>0</v>
      </c>
      <c r="BQ5" s="1">
        <f t="shared" si="26"/>
        <v>0</v>
      </c>
      <c r="BS5" s="9">
        <f t="shared" si="27"/>
        <v>3.14</v>
      </c>
      <c r="BT5" s="10">
        <f t="shared" si="28"/>
        <v>0.24123847100000001</v>
      </c>
      <c r="BU5" s="9">
        <f t="shared" si="29"/>
        <v>0.18104824</v>
      </c>
      <c r="BV5" s="9">
        <f t="shared" si="30"/>
        <v>1.5714285714285715E-2</v>
      </c>
      <c r="BX5" s="10">
        <v>1</v>
      </c>
      <c r="BY5" s="10">
        <f t="shared" si="31"/>
        <v>1</v>
      </c>
      <c r="CA5" s="10">
        <f t="shared" si="32"/>
        <v>0.35722411839200002</v>
      </c>
      <c r="CB5" s="10">
        <f t="shared" si="33"/>
        <v>2.8583416262839882E-2</v>
      </c>
      <c r="CC5" s="10">
        <f t="shared" si="34"/>
        <v>0.41383317371333478</v>
      </c>
      <c r="CD5" s="10">
        <f t="shared" si="35"/>
        <v>1.5871428571428571E-2</v>
      </c>
      <c r="CE5" s="10">
        <f t="shared" si="36"/>
        <v>0</v>
      </c>
      <c r="CF5" s="10">
        <f t="shared" si="37"/>
        <v>0.1844878630603968</v>
      </c>
      <c r="CG5" s="10">
        <f t="shared" si="38"/>
        <v>1</v>
      </c>
      <c r="CI5" s="20" t="s">
        <v>91</v>
      </c>
      <c r="CJ5" s="19">
        <f>0.22/14</f>
        <v>1.5714285714285715E-2</v>
      </c>
      <c r="CK5" s="19" t="s">
        <v>92</v>
      </c>
    </row>
    <row r="6" spans="2:89" x14ac:dyDescent="0.2">
      <c r="B6" s="14" t="s">
        <v>93</v>
      </c>
      <c r="C6" s="13" t="s">
        <v>84</v>
      </c>
      <c r="D6" s="13">
        <v>0.9</v>
      </c>
      <c r="E6" s="13">
        <v>5.9243674339999997</v>
      </c>
      <c r="F6" s="13">
        <v>0.24466847410000001</v>
      </c>
      <c r="G6" s="13">
        <v>0.1238388794</v>
      </c>
      <c r="H6" s="13">
        <v>0.1718564021</v>
      </c>
      <c r="I6" s="13">
        <v>0.83246718269999997</v>
      </c>
      <c r="J6" s="13">
        <v>3.6333707999999999E-2</v>
      </c>
      <c r="K6" s="27">
        <f t="shared" si="0"/>
        <v>3.6333708066740855E-2</v>
      </c>
      <c r="L6" s="13">
        <v>209498.31779999999</v>
      </c>
      <c r="M6" s="13">
        <v>115165.852</v>
      </c>
      <c r="N6" s="13">
        <v>3.542547876</v>
      </c>
      <c r="O6" s="13">
        <f t="shared" si="1"/>
        <v>-48.989904765479999</v>
      </c>
      <c r="P6" s="26">
        <v>1.01</v>
      </c>
      <c r="Q6" s="26">
        <f t="shared" si="2"/>
        <v>0.125077268194</v>
      </c>
      <c r="S6" s="16">
        <v>73.71884</v>
      </c>
      <c r="T6" s="16">
        <v>-16.179127999999999</v>
      </c>
      <c r="U6" s="16">
        <v>58.461202</v>
      </c>
      <c r="V6" s="16">
        <v>19.647223</v>
      </c>
      <c r="W6" s="16">
        <v>40.820307</v>
      </c>
      <c r="X6" s="26">
        <v>420</v>
      </c>
      <c r="Y6" s="11">
        <v>21.986353300000001</v>
      </c>
      <c r="Z6" s="17">
        <v>-2.2030439999999998</v>
      </c>
      <c r="AA6" s="17"/>
      <c r="AB6" s="16">
        <v>21.500722</v>
      </c>
      <c r="AC6" s="16">
        <v>7.5324369999999998</v>
      </c>
      <c r="AD6" s="16"/>
      <c r="AE6" s="17">
        <v>-140.74133399999999</v>
      </c>
      <c r="AF6" s="17">
        <v>-140.74133399999999</v>
      </c>
      <c r="AG6" s="17"/>
      <c r="AH6" s="17"/>
      <c r="AI6" s="17"/>
      <c r="AJ6" s="17"/>
      <c r="AK6" s="16">
        <v>5.4076719999999998</v>
      </c>
      <c r="AL6" s="16">
        <v>0</v>
      </c>
      <c r="AM6" s="16">
        <v>822.26752199999999</v>
      </c>
      <c r="AN6" s="16">
        <v>822.26752199999999</v>
      </c>
      <c r="AP6" s="1" t="str">
        <f t="shared" si="3"/>
        <v>MIDAT_Synthetic_Ethylene_CCS_90</v>
      </c>
      <c r="AQ6" s="1" t="str">
        <f t="shared" si="4"/>
        <v>CO2Captured</v>
      </c>
      <c r="AR6" s="12">
        <f t="shared" si="5"/>
        <v>167.57043490230325</v>
      </c>
      <c r="AS6" s="12">
        <f t="shared" si="6"/>
        <v>167.57043490230325</v>
      </c>
      <c r="AT6" s="5">
        <f t="shared" si="7"/>
        <v>0</v>
      </c>
      <c r="AU6" s="12">
        <f t="shared" si="8"/>
        <v>197.40633000961301</v>
      </c>
      <c r="AV6" s="12">
        <f t="shared" si="9"/>
        <v>197.40633000961301</v>
      </c>
      <c r="AW6" s="5">
        <f t="shared" si="10"/>
        <v>0</v>
      </c>
      <c r="AX6" s="5">
        <f t="shared" si="11"/>
        <v>360.34664297403725</v>
      </c>
      <c r="AY6" s="1">
        <f t="shared" si="12"/>
        <v>42.478976467452597</v>
      </c>
      <c r="AZ6" s="1">
        <f t="shared" si="13"/>
        <v>464.63366172869286</v>
      </c>
      <c r="BA6" s="1">
        <f t="shared" si="14"/>
        <v>-7.5044530292875953</v>
      </c>
      <c r="BB6" s="1">
        <f t="shared" si="15"/>
        <v>-946.08851737090015</v>
      </c>
      <c r="BC6" s="1">
        <f t="shared" si="16"/>
        <v>214.57390798665784</v>
      </c>
      <c r="BD6" s="1">
        <f t="shared" si="17"/>
        <v>117.95601601844012</v>
      </c>
      <c r="BE6" s="1">
        <f t="shared" si="18"/>
        <v>-48.989904765479999</v>
      </c>
      <c r="BF6" s="1">
        <f t="shared" si="19"/>
        <v>-0.40472550988742861</v>
      </c>
      <c r="BG6" s="1">
        <v>0</v>
      </c>
      <c r="BH6" s="1">
        <f t="shared" si="20"/>
        <v>-29.835895107309767</v>
      </c>
      <c r="BI6" s="1">
        <f t="shared" si="21"/>
        <v>-0.40472550988742861</v>
      </c>
      <c r="BJ6" s="1">
        <v>0</v>
      </c>
      <c r="BK6" s="1">
        <f t="shared" si="22"/>
        <v>-29.835895107309767</v>
      </c>
      <c r="BL6" s="1">
        <f t="shared" si="23"/>
        <v>0</v>
      </c>
      <c r="BM6" s="1">
        <v>0</v>
      </c>
      <c r="BN6" s="1">
        <f t="shared" si="24"/>
        <v>0</v>
      </c>
      <c r="BO6" s="1">
        <f t="shared" si="25"/>
        <v>0</v>
      </c>
      <c r="BP6" s="1">
        <v>0</v>
      </c>
      <c r="BQ6" s="1">
        <f t="shared" si="26"/>
        <v>0</v>
      </c>
      <c r="BS6" s="9">
        <f t="shared" si="27"/>
        <v>3.14</v>
      </c>
      <c r="BT6" s="10">
        <f t="shared" si="28"/>
        <v>0.24123847100000001</v>
      </c>
      <c r="BU6" s="9">
        <f t="shared" si="29"/>
        <v>0.18104824</v>
      </c>
      <c r="BV6" s="9">
        <f t="shared" si="30"/>
        <v>1.5714285714285715E-2</v>
      </c>
      <c r="BX6" s="10">
        <v>1</v>
      </c>
      <c r="BY6" s="10">
        <f t="shared" si="31"/>
        <v>0.67299662739933241</v>
      </c>
      <c r="CA6" s="10">
        <f t="shared" si="32"/>
        <v>0.38885408131600002</v>
      </c>
      <c r="CB6" s="10">
        <f t="shared" si="33"/>
        <v>3.1114299132937305E-2</v>
      </c>
      <c r="CC6" s="10">
        <f t="shared" si="34"/>
        <v>3.6333708066740841E-2</v>
      </c>
      <c r="CD6" s="10">
        <f t="shared" si="35"/>
        <v>1.5871428571428571E-2</v>
      </c>
      <c r="CE6" s="10">
        <f t="shared" si="36"/>
        <v>0.32700337260066764</v>
      </c>
      <c r="CF6" s="10">
        <f t="shared" si="37"/>
        <v>0.20082311031222566</v>
      </c>
      <c r="CG6" s="10">
        <f t="shared" si="38"/>
        <v>0.67299662739933241</v>
      </c>
      <c r="CI6" s="20" t="s">
        <v>94</v>
      </c>
      <c r="CJ6" s="19">
        <v>0.9</v>
      </c>
      <c r="CK6" s="19" t="s">
        <v>95</v>
      </c>
    </row>
    <row r="7" spans="2:89" x14ac:dyDescent="0.2">
      <c r="B7" s="14" t="s">
        <v>96</v>
      </c>
      <c r="C7" s="13" t="s">
        <v>84</v>
      </c>
      <c r="D7" s="13">
        <v>0</v>
      </c>
      <c r="E7" s="13">
        <v>5.4424706709999997</v>
      </c>
      <c r="F7" s="13">
        <v>0.17633674630000001</v>
      </c>
      <c r="G7" s="13">
        <v>0.1137656428</v>
      </c>
      <c r="H7" s="13">
        <v>0.15787734950000001</v>
      </c>
      <c r="I7" s="13">
        <v>0.76475307729999997</v>
      </c>
      <c r="J7" s="13">
        <v>0.41383317400000003</v>
      </c>
      <c r="K7" s="27">
        <f t="shared" si="0"/>
        <v>0.41383317371333472</v>
      </c>
      <c r="L7" s="13">
        <v>174237.6587</v>
      </c>
      <c r="M7" s="13">
        <v>95841.654150000002</v>
      </c>
      <c r="N7" s="13">
        <v>2.9463016839999998</v>
      </c>
      <c r="O7" s="13">
        <f t="shared" si="1"/>
        <v>-45.313083991760003</v>
      </c>
      <c r="P7" s="26">
        <v>1.01</v>
      </c>
      <c r="Q7" s="26">
        <f t="shared" si="2"/>
        <v>0.11490329922799999</v>
      </c>
      <c r="S7" s="16">
        <v>73.71884</v>
      </c>
      <c r="T7" s="16">
        <v>-23.276809</v>
      </c>
      <c r="U7" s="16">
        <v>60.47681</v>
      </c>
      <c r="V7" s="16">
        <v>28.904357999999998</v>
      </c>
      <c r="W7" s="16">
        <v>39.957475000000002</v>
      </c>
      <c r="X7" s="26">
        <v>420</v>
      </c>
      <c r="Y7" s="11">
        <v>21.986353300000001</v>
      </c>
      <c r="Z7" s="17">
        <v>-2.703157</v>
      </c>
      <c r="AA7" s="17"/>
      <c r="AB7" s="16">
        <v>20.789991000000001</v>
      </c>
      <c r="AC7" s="16">
        <v>9.1959800000000005</v>
      </c>
      <c r="AD7" s="16"/>
      <c r="AE7" s="17">
        <v>-150.75578899999999</v>
      </c>
      <c r="AF7" s="17">
        <v>-150.75578899999999</v>
      </c>
      <c r="AG7" s="17"/>
      <c r="AH7" s="17"/>
      <c r="AI7" s="17"/>
      <c r="AJ7" s="17"/>
      <c r="AK7" s="16">
        <v>8.9604540000000004</v>
      </c>
      <c r="AL7" s="16">
        <v>0</v>
      </c>
      <c r="AM7" s="16">
        <v>822.26752199999999</v>
      </c>
      <c r="AN7" s="16">
        <v>0</v>
      </c>
      <c r="AP7" s="1" t="str">
        <f t="shared" si="3"/>
        <v>NE_Synthetic_Ethylene_Non_CCS</v>
      </c>
      <c r="AQ7" s="1" t="str">
        <f t="shared" si="4"/>
        <v>CO2Captured</v>
      </c>
      <c r="AR7" s="12">
        <f t="shared" si="5"/>
        <v>117.99563293448526</v>
      </c>
      <c r="AS7" s="12">
        <f t="shared" si="6"/>
        <v>117.99563293448526</v>
      </c>
      <c r="AT7" s="5">
        <f t="shared" si="7"/>
        <v>0</v>
      </c>
      <c r="AU7" s="12">
        <f t="shared" si="8"/>
        <v>145.49980386579475</v>
      </c>
      <c r="AV7" s="12">
        <f t="shared" si="9"/>
        <v>145.49980386579475</v>
      </c>
      <c r="AW7" s="5">
        <f t="shared" si="10"/>
        <v>0</v>
      </c>
      <c r="AX7" s="5">
        <f t="shared" si="11"/>
        <v>439.92940407402665</v>
      </c>
      <c r="AY7" s="1">
        <f t="shared" si="12"/>
        <v>32.224486042690245</v>
      </c>
      <c r="AZ7" s="1">
        <f t="shared" si="13"/>
        <v>443.38545239600234</v>
      </c>
      <c r="BA7" s="1">
        <f t="shared" si="14"/>
        <v>-12.43479747504818</v>
      </c>
      <c r="BB7" s="1">
        <f t="shared" si="15"/>
        <v>-1013.4074815647197</v>
      </c>
      <c r="BC7" s="1">
        <f t="shared" si="16"/>
        <v>194.26040330394619</v>
      </c>
      <c r="BD7" s="1">
        <f t="shared" si="17"/>
        <v>106.85542108065717</v>
      </c>
      <c r="BE7" s="1">
        <f t="shared" si="18"/>
        <v>-45.313083991760003</v>
      </c>
      <c r="BF7" s="1">
        <f t="shared" si="19"/>
        <v>-0.37309554696342861</v>
      </c>
      <c r="BG7" s="1">
        <v>0</v>
      </c>
      <c r="BH7" s="1">
        <f t="shared" si="20"/>
        <v>-27.504170931309481</v>
      </c>
      <c r="BI7" s="1">
        <f t="shared" si="21"/>
        <v>-0.37309554696342861</v>
      </c>
      <c r="BJ7" s="1">
        <v>0</v>
      </c>
      <c r="BK7" s="1">
        <f t="shared" si="22"/>
        <v>-27.504170931309481</v>
      </c>
      <c r="BL7" s="1">
        <f t="shared" si="23"/>
        <v>0</v>
      </c>
      <c r="BM7" s="1">
        <v>0</v>
      </c>
      <c r="BN7" s="1">
        <f t="shared" si="24"/>
        <v>0</v>
      </c>
      <c r="BO7" s="1">
        <f t="shared" si="25"/>
        <v>0</v>
      </c>
      <c r="BP7" s="1">
        <v>0</v>
      </c>
      <c r="BQ7" s="1">
        <f t="shared" si="26"/>
        <v>0</v>
      </c>
      <c r="BS7" s="9">
        <f t="shared" si="27"/>
        <v>3.14</v>
      </c>
      <c r="BT7" s="10">
        <f t="shared" si="28"/>
        <v>0.24123847100000001</v>
      </c>
      <c r="BU7" s="9">
        <f t="shared" si="29"/>
        <v>0.18104824</v>
      </c>
      <c r="BV7" s="9">
        <f t="shared" si="30"/>
        <v>1.5714285714285715E-2</v>
      </c>
      <c r="BX7" s="10">
        <v>1</v>
      </c>
      <c r="BY7" s="10">
        <f t="shared" si="31"/>
        <v>1</v>
      </c>
      <c r="CA7" s="10">
        <f t="shared" si="32"/>
        <v>0.35722411839200002</v>
      </c>
      <c r="CB7" s="10">
        <f t="shared" si="33"/>
        <v>2.8583416262839882E-2</v>
      </c>
      <c r="CC7" s="10">
        <f t="shared" si="34"/>
        <v>0.41383317371333478</v>
      </c>
      <c r="CD7" s="10">
        <f t="shared" si="35"/>
        <v>1.5871428571428571E-2</v>
      </c>
      <c r="CE7" s="10">
        <f t="shared" si="36"/>
        <v>0</v>
      </c>
      <c r="CF7" s="10">
        <f t="shared" si="37"/>
        <v>0.1844878630603968</v>
      </c>
      <c r="CG7" s="10">
        <f t="shared" si="38"/>
        <v>1</v>
      </c>
    </row>
    <row r="8" spans="2:89" x14ac:dyDescent="0.2">
      <c r="B8" s="14" t="s">
        <v>97</v>
      </c>
      <c r="C8" s="13" t="s">
        <v>84</v>
      </c>
      <c r="D8" s="13">
        <v>0.9</v>
      </c>
      <c r="E8" s="13">
        <v>5.9243674339999997</v>
      </c>
      <c r="F8" s="13">
        <v>0.24466847410000001</v>
      </c>
      <c r="G8" s="13">
        <v>0.1238388794</v>
      </c>
      <c r="H8" s="13">
        <v>0.1718564021</v>
      </c>
      <c r="I8" s="13">
        <v>0.83246718269999997</v>
      </c>
      <c r="J8" s="13">
        <v>3.6333707999999999E-2</v>
      </c>
      <c r="K8" s="27">
        <f t="shared" si="0"/>
        <v>3.6333708066740855E-2</v>
      </c>
      <c r="L8" s="13">
        <v>209498.31779999999</v>
      </c>
      <c r="M8" s="13">
        <v>115165.852</v>
      </c>
      <c r="N8" s="13">
        <v>3.542547876</v>
      </c>
      <c r="O8" s="13">
        <f t="shared" si="1"/>
        <v>-48.989904765479999</v>
      </c>
      <c r="P8" s="26">
        <v>1.01</v>
      </c>
      <c r="Q8" s="26">
        <f t="shared" si="2"/>
        <v>0.125077268194</v>
      </c>
      <c r="S8" s="16">
        <v>73.71884</v>
      </c>
      <c r="T8" s="16">
        <v>-23.276809</v>
      </c>
      <c r="U8" s="16">
        <v>60.47681</v>
      </c>
      <c r="V8" s="16">
        <v>28.904357999999998</v>
      </c>
      <c r="W8" s="16">
        <v>39.957475000000002</v>
      </c>
      <c r="X8" s="26">
        <v>420</v>
      </c>
      <c r="Y8" s="11">
        <v>21.986353300000001</v>
      </c>
      <c r="Z8" s="17">
        <v>-2.703157</v>
      </c>
      <c r="AA8" s="17"/>
      <c r="AB8" s="16">
        <v>20.789991000000001</v>
      </c>
      <c r="AC8" s="16">
        <v>9.1959800000000005</v>
      </c>
      <c r="AD8" s="16"/>
      <c r="AE8" s="17">
        <v>-150.75578899999999</v>
      </c>
      <c r="AF8" s="17">
        <v>-150.75578899999999</v>
      </c>
      <c r="AG8" s="17"/>
      <c r="AH8" s="17"/>
      <c r="AI8" s="17"/>
      <c r="AJ8" s="17"/>
      <c r="AK8" s="16">
        <v>8.9604540000000004</v>
      </c>
      <c r="AL8" s="16">
        <v>0</v>
      </c>
      <c r="AM8" s="16">
        <v>822.26752199999999</v>
      </c>
      <c r="AN8" s="16">
        <v>0</v>
      </c>
      <c r="AP8" s="1" t="str">
        <f t="shared" si="3"/>
        <v>NE_Synthetic_Ethylene_CCS_90</v>
      </c>
      <c r="AQ8" s="1" t="str">
        <f t="shared" si="4"/>
        <v>CO2Captured</v>
      </c>
      <c r="AR8" s="12">
        <f t="shared" si="5"/>
        <v>116.18586167353027</v>
      </c>
      <c r="AS8" s="12">
        <f t="shared" si="6"/>
        <v>116.18586167353027</v>
      </c>
      <c r="AT8" s="5">
        <f t="shared" si="7"/>
        <v>0</v>
      </c>
      <c r="AU8" s="12">
        <f t="shared" si="8"/>
        <v>146.02175678084004</v>
      </c>
      <c r="AV8" s="12">
        <f t="shared" si="9"/>
        <v>146.02175678084004</v>
      </c>
      <c r="AW8" s="5">
        <f t="shared" si="10"/>
        <v>0</v>
      </c>
      <c r="AX8" s="5">
        <f t="shared" si="11"/>
        <v>439.92940423615721</v>
      </c>
      <c r="AY8" s="1">
        <f t="shared" si="12"/>
        <v>41.074785230354188</v>
      </c>
      <c r="AZ8" s="1">
        <f t="shared" si="13"/>
        <v>407.31982754036449</v>
      </c>
      <c r="BA8" s="1">
        <f t="shared" si="14"/>
        <v>-12.434797481077283</v>
      </c>
      <c r="BB8" s="1">
        <f t="shared" si="15"/>
        <v>-1013.4074819845765</v>
      </c>
      <c r="BC8" s="1">
        <f t="shared" si="16"/>
        <v>214.57390798665784</v>
      </c>
      <c r="BD8" s="1">
        <f t="shared" si="17"/>
        <v>117.95601601844012</v>
      </c>
      <c r="BE8" s="1">
        <f t="shared" si="18"/>
        <v>-48.989904765479999</v>
      </c>
      <c r="BF8" s="1">
        <f t="shared" si="19"/>
        <v>-0.40472550988742861</v>
      </c>
      <c r="BG8" s="1">
        <v>0</v>
      </c>
      <c r="BH8" s="1">
        <f t="shared" si="20"/>
        <v>-29.835895107309767</v>
      </c>
      <c r="BI8" s="1">
        <f t="shared" si="21"/>
        <v>-0.40472550988742861</v>
      </c>
      <c r="BJ8" s="1">
        <v>0</v>
      </c>
      <c r="BK8" s="1">
        <f t="shared" si="22"/>
        <v>-29.835895107309767</v>
      </c>
      <c r="BL8" s="1">
        <f t="shared" si="23"/>
        <v>0</v>
      </c>
      <c r="BM8" s="1">
        <v>0</v>
      </c>
      <c r="BN8" s="1">
        <f t="shared" si="24"/>
        <v>0</v>
      </c>
      <c r="BO8" s="1">
        <f t="shared" si="25"/>
        <v>0</v>
      </c>
      <c r="BP8" s="1">
        <v>0</v>
      </c>
      <c r="BQ8" s="1">
        <f t="shared" si="26"/>
        <v>0</v>
      </c>
      <c r="BS8" s="9">
        <f t="shared" si="27"/>
        <v>3.14</v>
      </c>
      <c r="BT8" s="10">
        <f t="shared" si="28"/>
        <v>0.24123847100000001</v>
      </c>
      <c r="BU8" s="9">
        <f t="shared" si="29"/>
        <v>0.18104824</v>
      </c>
      <c r="BV8" s="9">
        <f t="shared" si="30"/>
        <v>1.5714285714285715E-2</v>
      </c>
      <c r="BX8" s="10">
        <v>1</v>
      </c>
      <c r="BY8" s="10">
        <f t="shared" si="31"/>
        <v>0.67299662739933241</v>
      </c>
      <c r="CA8" s="10">
        <f t="shared" si="32"/>
        <v>0.38885408131600002</v>
      </c>
      <c r="CB8" s="10">
        <f t="shared" si="33"/>
        <v>3.1114299132937305E-2</v>
      </c>
      <c r="CC8" s="10">
        <f t="shared" si="34"/>
        <v>3.6333708066740841E-2</v>
      </c>
      <c r="CD8" s="10">
        <f t="shared" si="35"/>
        <v>1.5871428571428571E-2</v>
      </c>
      <c r="CE8" s="10">
        <f t="shared" si="36"/>
        <v>0.32700337260066764</v>
      </c>
      <c r="CF8" s="10">
        <f t="shared" si="37"/>
        <v>0.20082311031222566</v>
      </c>
      <c r="CG8" s="10">
        <f t="shared" si="38"/>
        <v>0.67299662739933241</v>
      </c>
    </row>
    <row r="9" spans="2:89" x14ac:dyDescent="0.2">
      <c r="B9" s="14" t="s">
        <v>98</v>
      </c>
      <c r="C9" s="13" t="s">
        <v>84</v>
      </c>
      <c r="D9" s="13">
        <v>0</v>
      </c>
      <c r="E9" s="13">
        <v>5.4424706709999997</v>
      </c>
      <c r="F9" s="13">
        <v>0.17633674630000001</v>
      </c>
      <c r="G9" s="13">
        <v>0.1137656428</v>
      </c>
      <c r="H9" s="13">
        <v>0.15787734950000001</v>
      </c>
      <c r="I9" s="13">
        <v>0.76475307729999997</v>
      </c>
      <c r="J9" s="13">
        <v>0.41383317400000003</v>
      </c>
      <c r="K9" s="27">
        <f t="shared" si="0"/>
        <v>0.41383317371333472</v>
      </c>
      <c r="L9" s="13">
        <v>174237.6587</v>
      </c>
      <c r="M9" s="13">
        <v>95841.654150000002</v>
      </c>
      <c r="N9" s="13">
        <v>2.9463016839999998</v>
      </c>
      <c r="O9" s="13">
        <f t="shared" si="1"/>
        <v>-45.313083991760003</v>
      </c>
      <c r="P9" s="26">
        <v>1.01</v>
      </c>
      <c r="Q9" s="26">
        <f t="shared" si="2"/>
        <v>0.11490329922799999</v>
      </c>
      <c r="S9" s="16">
        <v>73.71884</v>
      </c>
      <c r="T9" s="16">
        <v>3.8282379999999998</v>
      </c>
      <c r="U9" s="16">
        <v>70.666427999999996</v>
      </c>
      <c r="V9" s="16">
        <v>35.615270000000002</v>
      </c>
      <c r="W9" s="16">
        <v>32.098216000000001</v>
      </c>
      <c r="X9" s="26">
        <v>420</v>
      </c>
      <c r="Y9" s="11">
        <v>21.986353300000001</v>
      </c>
      <c r="Z9" s="17">
        <v>-9.0114289999999997</v>
      </c>
      <c r="AA9" s="17"/>
      <c r="AB9" s="16">
        <v>20.274927999999999</v>
      </c>
      <c r="AC9" s="16">
        <v>8.4664520000000003</v>
      </c>
      <c r="AD9" s="16"/>
      <c r="AE9" s="17">
        <v>-116.150516</v>
      </c>
      <c r="AF9" s="17">
        <v>-116.150516</v>
      </c>
      <c r="AG9" s="17"/>
      <c r="AH9" s="17"/>
      <c r="AI9" s="17"/>
      <c r="AJ9" s="17"/>
      <c r="AK9" s="16">
        <v>12.963217999999999</v>
      </c>
      <c r="AL9" s="16">
        <v>0</v>
      </c>
      <c r="AM9" s="16">
        <v>822.26752199999999</v>
      </c>
      <c r="AN9" s="16">
        <v>0</v>
      </c>
      <c r="AP9" s="1" t="str">
        <f t="shared" si="3"/>
        <v>CA_Synthetic_Ethylene_Non_CCS</v>
      </c>
      <c r="AQ9" s="1" t="str">
        <f t="shared" si="4"/>
        <v>CO2Captured</v>
      </c>
      <c r="AR9" s="12">
        <f t="shared" si="5"/>
        <v>547.61858206381407</v>
      </c>
      <c r="AS9" s="12">
        <f t="shared" si="6"/>
        <v>547.61858206381407</v>
      </c>
      <c r="AT9" s="5">
        <f t="shared" si="7"/>
        <v>0</v>
      </c>
      <c r="AU9" s="12">
        <f t="shared" si="8"/>
        <v>575.12275299512351</v>
      </c>
      <c r="AV9" s="12">
        <f t="shared" si="9"/>
        <v>575.12275299512351</v>
      </c>
      <c r="AW9" s="5">
        <f t="shared" si="10"/>
        <v>0</v>
      </c>
      <c r="AX9" s="5">
        <f t="shared" si="11"/>
        <v>405.02928268453724</v>
      </c>
      <c r="AY9" s="1">
        <f t="shared" si="12"/>
        <v>31.426138392871337</v>
      </c>
      <c r="AZ9" s="1">
        <f t="shared" si="13"/>
        <v>681.63881547549261</v>
      </c>
      <c r="BA9" s="1">
        <f t="shared" si="14"/>
        <v>-17.989600800907979</v>
      </c>
      <c r="BB9" s="1">
        <f t="shared" si="15"/>
        <v>-780.78462314971318</v>
      </c>
      <c r="BC9" s="1">
        <f t="shared" si="16"/>
        <v>194.26040330394619</v>
      </c>
      <c r="BD9" s="1">
        <f t="shared" si="17"/>
        <v>106.85542108065717</v>
      </c>
      <c r="BE9" s="1">
        <f t="shared" si="18"/>
        <v>-45.313083991760003</v>
      </c>
      <c r="BF9" s="1">
        <f t="shared" si="19"/>
        <v>-0.37309554696342861</v>
      </c>
      <c r="BG9" s="1">
        <v>0</v>
      </c>
      <c r="BH9" s="1">
        <f t="shared" si="20"/>
        <v>-27.504170931309481</v>
      </c>
      <c r="BI9" s="1">
        <f t="shared" si="21"/>
        <v>-0.37309554696342861</v>
      </c>
      <c r="BJ9" s="1">
        <v>0</v>
      </c>
      <c r="BK9" s="1">
        <f t="shared" si="22"/>
        <v>-27.504170931309481</v>
      </c>
      <c r="BL9" s="1">
        <f t="shared" si="23"/>
        <v>0</v>
      </c>
      <c r="BM9" s="1">
        <v>0</v>
      </c>
      <c r="BN9" s="1">
        <f t="shared" si="24"/>
        <v>0</v>
      </c>
      <c r="BO9" s="1">
        <f t="shared" si="25"/>
        <v>0</v>
      </c>
      <c r="BP9" s="1">
        <v>0</v>
      </c>
      <c r="BQ9" s="1">
        <f t="shared" si="26"/>
        <v>0</v>
      </c>
      <c r="BS9" s="9">
        <f t="shared" si="27"/>
        <v>3.14</v>
      </c>
      <c r="BT9" s="10">
        <f t="shared" si="28"/>
        <v>0.24123847100000001</v>
      </c>
      <c r="BU9" s="9">
        <f t="shared" si="29"/>
        <v>0.18104824</v>
      </c>
      <c r="BV9" s="9">
        <f t="shared" si="30"/>
        <v>1.5714285714285715E-2</v>
      </c>
      <c r="BX9" s="10">
        <v>1</v>
      </c>
      <c r="BY9" s="10">
        <f t="shared" si="31"/>
        <v>1</v>
      </c>
      <c r="CA9" s="10">
        <f t="shared" si="32"/>
        <v>0.35722411839200002</v>
      </c>
      <c r="CB9" s="10">
        <f t="shared" si="33"/>
        <v>2.8583416262839882E-2</v>
      </c>
      <c r="CC9" s="10">
        <f t="shared" si="34"/>
        <v>0.41383317371333478</v>
      </c>
      <c r="CD9" s="10">
        <f t="shared" si="35"/>
        <v>1.5871428571428571E-2</v>
      </c>
      <c r="CE9" s="10">
        <f t="shared" si="36"/>
        <v>0</v>
      </c>
      <c r="CF9" s="10">
        <f t="shared" si="37"/>
        <v>0.1844878630603968</v>
      </c>
      <c r="CG9" s="10">
        <f t="shared" si="38"/>
        <v>1</v>
      </c>
    </row>
    <row r="10" spans="2:89" x14ac:dyDescent="0.2">
      <c r="B10" s="14" t="s">
        <v>99</v>
      </c>
      <c r="C10" s="13" t="s">
        <v>84</v>
      </c>
      <c r="D10" s="13">
        <v>0.9</v>
      </c>
      <c r="E10" s="13">
        <v>5.9243674339999997</v>
      </c>
      <c r="F10" s="13">
        <v>0.24466847410000001</v>
      </c>
      <c r="G10" s="13">
        <v>0.1238388794</v>
      </c>
      <c r="H10" s="13">
        <v>0.1718564021</v>
      </c>
      <c r="I10" s="13">
        <v>0.83246718269999997</v>
      </c>
      <c r="J10" s="13">
        <v>3.6333707999999999E-2</v>
      </c>
      <c r="K10" s="27">
        <f t="shared" si="0"/>
        <v>3.6333708066740855E-2</v>
      </c>
      <c r="L10" s="13">
        <v>209498.31779999999</v>
      </c>
      <c r="M10" s="13">
        <v>115165.852</v>
      </c>
      <c r="N10" s="13">
        <v>3.542547876</v>
      </c>
      <c r="O10" s="13">
        <f t="shared" si="1"/>
        <v>-48.989904765479999</v>
      </c>
      <c r="P10" s="26">
        <v>1.01</v>
      </c>
      <c r="Q10" s="26">
        <f t="shared" si="2"/>
        <v>0.125077268194</v>
      </c>
      <c r="S10" s="16">
        <v>73.71884</v>
      </c>
      <c r="T10" s="16">
        <v>3.8282379999999998</v>
      </c>
      <c r="U10" s="16">
        <v>70.666427999999996</v>
      </c>
      <c r="V10" s="16">
        <v>35.615270000000002</v>
      </c>
      <c r="W10" s="16">
        <v>32.098216000000001</v>
      </c>
      <c r="X10" s="26">
        <v>420</v>
      </c>
      <c r="Y10" s="11">
        <v>21.986353300000001</v>
      </c>
      <c r="Z10" s="17">
        <v>-9.0114289999999997</v>
      </c>
      <c r="AA10" s="17"/>
      <c r="AB10" s="16">
        <v>20.274927999999999</v>
      </c>
      <c r="AC10" s="16">
        <v>8.4664520000000003</v>
      </c>
      <c r="AD10" s="16"/>
      <c r="AE10" s="17">
        <v>-116.150516</v>
      </c>
      <c r="AF10" s="17">
        <v>-116.150516</v>
      </c>
      <c r="AG10" s="17"/>
      <c r="AH10" s="17"/>
      <c r="AI10" s="17"/>
      <c r="AJ10" s="17"/>
      <c r="AK10" s="16">
        <v>12.963217999999999</v>
      </c>
      <c r="AL10" s="16">
        <v>0</v>
      </c>
      <c r="AM10" s="16">
        <v>822.26752199999999</v>
      </c>
      <c r="AN10" s="16">
        <v>0</v>
      </c>
      <c r="AP10" s="1" t="str">
        <f t="shared" si="3"/>
        <v>CA_Synthetic_Ethylene_CCS_90</v>
      </c>
      <c r="AQ10" s="1" t="str">
        <f t="shared" si="4"/>
        <v>CO2Captured</v>
      </c>
      <c r="AR10" s="12">
        <f t="shared" si="5"/>
        <v>526.209669573979</v>
      </c>
      <c r="AS10" s="12">
        <f t="shared" si="6"/>
        <v>526.209669573979</v>
      </c>
      <c r="AT10" s="5">
        <f t="shared" si="7"/>
        <v>0</v>
      </c>
      <c r="AU10" s="12">
        <f t="shared" si="8"/>
        <v>556.04556468128874</v>
      </c>
      <c r="AV10" s="12">
        <f t="shared" si="9"/>
        <v>556.04556468128874</v>
      </c>
      <c r="AW10" s="5">
        <f t="shared" si="10"/>
        <v>0</v>
      </c>
      <c r="AX10" s="5">
        <f t="shared" si="11"/>
        <v>405.02928283380578</v>
      </c>
      <c r="AY10" s="1">
        <f t="shared" si="12"/>
        <v>40.057175260965458</v>
      </c>
      <c r="AZ10" s="1">
        <f t="shared" si="13"/>
        <v>626.19331162972389</v>
      </c>
      <c r="BA10" s="1">
        <f t="shared" si="14"/>
        <v>-17.989600809630371</v>
      </c>
      <c r="BB10" s="1">
        <f t="shared" si="15"/>
        <v>-780.78462347319385</v>
      </c>
      <c r="BC10" s="1">
        <f t="shared" si="16"/>
        <v>214.57390798665784</v>
      </c>
      <c r="BD10" s="1">
        <f t="shared" si="17"/>
        <v>117.95601601844012</v>
      </c>
      <c r="BE10" s="1">
        <f t="shared" si="18"/>
        <v>-48.989904765479999</v>
      </c>
      <c r="BF10" s="1">
        <f t="shared" si="19"/>
        <v>-0.40472550988742861</v>
      </c>
      <c r="BG10" s="1">
        <v>0</v>
      </c>
      <c r="BH10" s="1">
        <f t="shared" si="20"/>
        <v>-29.835895107309767</v>
      </c>
      <c r="BI10" s="1">
        <f t="shared" si="21"/>
        <v>-0.40472550988742861</v>
      </c>
      <c r="BJ10" s="1">
        <v>0</v>
      </c>
      <c r="BK10" s="1">
        <f t="shared" si="22"/>
        <v>-29.835895107309767</v>
      </c>
      <c r="BL10" s="1">
        <f t="shared" si="23"/>
        <v>0</v>
      </c>
      <c r="BM10" s="1">
        <v>0</v>
      </c>
      <c r="BN10" s="1">
        <f t="shared" si="24"/>
        <v>0</v>
      </c>
      <c r="BO10" s="1">
        <f t="shared" si="25"/>
        <v>0</v>
      </c>
      <c r="BP10" s="1">
        <v>0</v>
      </c>
      <c r="BQ10" s="1">
        <f t="shared" si="26"/>
        <v>0</v>
      </c>
      <c r="BS10" s="9">
        <f t="shared" si="27"/>
        <v>3.14</v>
      </c>
      <c r="BT10" s="10">
        <f t="shared" si="28"/>
        <v>0.24123847100000001</v>
      </c>
      <c r="BU10" s="9">
        <f t="shared" si="29"/>
        <v>0.18104824</v>
      </c>
      <c r="BV10" s="9">
        <f t="shared" si="30"/>
        <v>1.5714285714285715E-2</v>
      </c>
      <c r="BX10" s="10">
        <v>1</v>
      </c>
      <c r="BY10" s="10">
        <f t="shared" si="31"/>
        <v>0.67299662739933241</v>
      </c>
      <c r="CA10" s="10">
        <f t="shared" si="32"/>
        <v>0.38885408131600002</v>
      </c>
      <c r="CB10" s="10">
        <f t="shared" si="33"/>
        <v>3.1114299132937305E-2</v>
      </c>
      <c r="CC10" s="10">
        <f t="shared" si="34"/>
        <v>3.6333708066740841E-2</v>
      </c>
      <c r="CD10" s="10">
        <f t="shared" si="35"/>
        <v>1.5871428571428571E-2</v>
      </c>
      <c r="CE10" s="10">
        <f t="shared" si="36"/>
        <v>0.32700337260066764</v>
      </c>
      <c r="CF10" s="10">
        <f t="shared" si="37"/>
        <v>0.20082311031222566</v>
      </c>
      <c r="CG10" s="10">
        <f t="shared" si="38"/>
        <v>0.67299662739933241</v>
      </c>
    </row>
    <row r="11" spans="2:89" x14ac:dyDescent="0.2">
      <c r="B11" s="14" t="s">
        <v>100</v>
      </c>
      <c r="C11" s="13" t="s">
        <v>84</v>
      </c>
      <c r="D11" s="13">
        <v>0</v>
      </c>
      <c r="E11" s="13">
        <v>5.4424706709999997</v>
      </c>
      <c r="F11" s="13">
        <v>0.17633674630000001</v>
      </c>
      <c r="G11" s="13">
        <v>0.1137656428</v>
      </c>
      <c r="H11" s="13">
        <v>0.15787734950000001</v>
      </c>
      <c r="I11" s="13">
        <v>0.76475307729999997</v>
      </c>
      <c r="J11" s="13">
        <v>0.41383317400000003</v>
      </c>
      <c r="K11" s="27">
        <f t="shared" si="0"/>
        <v>0.41383317371333472</v>
      </c>
      <c r="L11" s="13">
        <v>174237.6587</v>
      </c>
      <c r="M11" s="13">
        <v>95841.654150000002</v>
      </c>
      <c r="N11" s="13">
        <v>2.9463016839999998</v>
      </c>
      <c r="O11" s="13">
        <f t="shared" si="1"/>
        <v>-45.313083991760003</v>
      </c>
      <c r="P11" s="26">
        <v>1.01</v>
      </c>
      <c r="Q11" s="26">
        <f t="shared" si="2"/>
        <v>0.11490329922799999</v>
      </c>
      <c r="S11" s="16">
        <v>73.71884</v>
      </c>
      <c r="T11" s="16">
        <v>-6.0973139999999999</v>
      </c>
      <c r="U11" s="16">
        <v>61.343403000000002</v>
      </c>
      <c r="V11" s="16">
        <v>33.004970999999998</v>
      </c>
      <c r="W11" s="16">
        <v>42.195610000000002</v>
      </c>
      <c r="X11" s="26">
        <v>420</v>
      </c>
      <c r="Y11" s="11">
        <v>21.986353300000001</v>
      </c>
      <c r="Z11" s="17">
        <v>51.423575999999997</v>
      </c>
      <c r="AA11" s="17"/>
      <c r="AB11" s="16">
        <v>22.906690000000001</v>
      </c>
      <c r="AC11" s="16">
        <v>13.197062000000001</v>
      </c>
      <c r="AD11" s="16"/>
      <c r="AE11" s="17">
        <v>-129.528977</v>
      </c>
      <c r="AF11" s="17">
        <v>-129.528977</v>
      </c>
      <c r="AG11" s="17"/>
      <c r="AH11" s="17"/>
      <c r="AI11" s="17"/>
      <c r="AJ11" s="17"/>
      <c r="AK11" s="16">
        <v>14.953878</v>
      </c>
      <c r="AL11" s="16">
        <v>0</v>
      </c>
      <c r="AM11" s="16">
        <v>822.26752199999999</v>
      </c>
      <c r="AN11" s="16">
        <v>822.26752199999999</v>
      </c>
      <c r="AP11" s="1" t="str">
        <f t="shared" si="3"/>
        <v>NCEN_Synthetic_Ethylene_Non_CCS</v>
      </c>
      <c r="AQ11" s="1" t="str">
        <f t="shared" si="4"/>
        <v>CO2Captured</v>
      </c>
      <c r="AR11" s="12">
        <f t="shared" si="5"/>
        <v>598.06642417112914</v>
      </c>
      <c r="AS11" s="12">
        <f t="shared" si="6"/>
        <v>598.06642417112914</v>
      </c>
      <c r="AT11" s="5">
        <f t="shared" si="7"/>
        <v>0</v>
      </c>
      <c r="AU11" s="12">
        <f t="shared" si="8"/>
        <v>625.57059510243857</v>
      </c>
      <c r="AV11" s="12">
        <f t="shared" si="9"/>
        <v>625.57059510243857</v>
      </c>
      <c r="AW11" s="5">
        <f t="shared" si="10"/>
        <v>0</v>
      </c>
      <c r="AX11" s="5">
        <f t="shared" si="11"/>
        <v>631.33843496701627</v>
      </c>
      <c r="AY11" s="1">
        <f t="shared" si="12"/>
        <v>35.505369491946013</v>
      </c>
      <c r="AZ11" s="1">
        <f t="shared" si="13"/>
        <v>594.39321341398875</v>
      </c>
      <c r="BA11" s="1">
        <f t="shared" si="14"/>
        <v>-20.752123095166663</v>
      </c>
      <c r="BB11" s="1">
        <f t="shared" si="15"/>
        <v>-870.71704006818936</v>
      </c>
      <c r="BC11" s="1">
        <f t="shared" si="16"/>
        <v>194.26040330394619</v>
      </c>
      <c r="BD11" s="1">
        <f t="shared" si="17"/>
        <v>106.85542108065717</v>
      </c>
      <c r="BE11" s="1">
        <f t="shared" si="18"/>
        <v>-45.313083991760003</v>
      </c>
      <c r="BF11" s="1">
        <f t="shared" si="19"/>
        <v>-0.37309554696342861</v>
      </c>
      <c r="BG11" s="1">
        <v>0</v>
      </c>
      <c r="BH11" s="1">
        <f t="shared" si="20"/>
        <v>-27.504170931309481</v>
      </c>
      <c r="BI11" s="1">
        <f t="shared" si="21"/>
        <v>-0.37309554696342861</v>
      </c>
      <c r="BJ11" s="1">
        <v>0</v>
      </c>
      <c r="BK11" s="1">
        <f t="shared" si="22"/>
        <v>-27.504170931309481</v>
      </c>
      <c r="BL11" s="1">
        <f t="shared" si="23"/>
        <v>0</v>
      </c>
      <c r="BM11" s="1">
        <v>0</v>
      </c>
      <c r="BN11" s="1">
        <f t="shared" si="24"/>
        <v>0</v>
      </c>
      <c r="BO11" s="1">
        <f t="shared" si="25"/>
        <v>0</v>
      </c>
      <c r="BP11" s="1">
        <v>0</v>
      </c>
      <c r="BQ11" s="1">
        <f t="shared" si="26"/>
        <v>0</v>
      </c>
      <c r="BS11" s="9">
        <f t="shared" si="27"/>
        <v>3.14</v>
      </c>
      <c r="BT11" s="10">
        <f t="shared" si="28"/>
        <v>0.24123847100000001</v>
      </c>
      <c r="BU11" s="9">
        <f t="shared" si="29"/>
        <v>0.18104824</v>
      </c>
      <c r="BV11" s="9">
        <f t="shared" si="30"/>
        <v>1.5714285714285715E-2</v>
      </c>
      <c r="BX11" s="10">
        <v>1</v>
      </c>
      <c r="BY11" s="10">
        <f t="shared" si="31"/>
        <v>1</v>
      </c>
      <c r="CA11" s="10">
        <f t="shared" si="32"/>
        <v>0.35722411839200002</v>
      </c>
      <c r="CB11" s="10">
        <f t="shared" si="33"/>
        <v>2.8583416262839882E-2</v>
      </c>
      <c r="CC11" s="10">
        <f t="shared" si="34"/>
        <v>0.41383317371333478</v>
      </c>
      <c r="CD11" s="10">
        <f t="shared" si="35"/>
        <v>1.5871428571428571E-2</v>
      </c>
      <c r="CE11" s="10">
        <f t="shared" si="36"/>
        <v>0</v>
      </c>
      <c r="CF11" s="10">
        <f t="shared" si="37"/>
        <v>0.1844878630603968</v>
      </c>
      <c r="CG11" s="10">
        <f t="shared" si="38"/>
        <v>1</v>
      </c>
    </row>
    <row r="12" spans="2:89" x14ac:dyDescent="0.2">
      <c r="B12" s="14" t="s">
        <v>101</v>
      </c>
      <c r="C12" s="13" t="s">
        <v>84</v>
      </c>
      <c r="D12" s="13">
        <v>0.9</v>
      </c>
      <c r="E12" s="13">
        <v>5.9243674339999997</v>
      </c>
      <c r="F12" s="13">
        <v>0.24466847410000001</v>
      </c>
      <c r="G12" s="13">
        <v>0.1238388794</v>
      </c>
      <c r="H12" s="13">
        <v>0.1718564021</v>
      </c>
      <c r="I12" s="13">
        <v>0.83246718269999997</v>
      </c>
      <c r="J12" s="13">
        <v>3.6333707999999999E-2</v>
      </c>
      <c r="K12" s="27">
        <f t="shared" si="0"/>
        <v>3.6333708066740855E-2</v>
      </c>
      <c r="L12" s="13">
        <v>209498.31779999999</v>
      </c>
      <c r="M12" s="13">
        <v>115165.852</v>
      </c>
      <c r="N12" s="13">
        <v>3.542547876</v>
      </c>
      <c r="O12" s="13">
        <f t="shared" si="1"/>
        <v>-48.989904765479999</v>
      </c>
      <c r="P12" s="26">
        <v>1.01</v>
      </c>
      <c r="Q12" s="26">
        <f t="shared" si="2"/>
        <v>0.125077268194</v>
      </c>
      <c r="S12" s="16">
        <v>73.71884</v>
      </c>
      <c r="T12" s="16">
        <v>-6.0973139999999999</v>
      </c>
      <c r="U12" s="16">
        <v>61.343403000000002</v>
      </c>
      <c r="V12" s="16">
        <v>33.004970999999998</v>
      </c>
      <c r="W12" s="16">
        <v>42.195610000000002</v>
      </c>
      <c r="X12" s="26">
        <v>420</v>
      </c>
      <c r="Y12" s="11">
        <v>21.986353300000001</v>
      </c>
      <c r="Z12" s="17">
        <v>51.423575999999997</v>
      </c>
      <c r="AA12" s="17"/>
      <c r="AB12" s="16">
        <v>22.906690000000001</v>
      </c>
      <c r="AC12" s="16">
        <v>13.197062000000001</v>
      </c>
      <c r="AD12" s="16"/>
      <c r="AE12" s="17">
        <v>-129.528977</v>
      </c>
      <c r="AF12" s="17">
        <v>-129.528977</v>
      </c>
      <c r="AG12" s="17"/>
      <c r="AH12" s="17"/>
      <c r="AI12" s="17"/>
      <c r="AJ12" s="17"/>
      <c r="AK12" s="16">
        <v>14.953878</v>
      </c>
      <c r="AL12" s="16">
        <v>0</v>
      </c>
      <c r="AM12" s="16">
        <v>822.26752199999999</v>
      </c>
      <c r="AN12" s="16">
        <v>822.26752199999999</v>
      </c>
      <c r="AP12" s="1" t="str">
        <f t="shared" si="3"/>
        <v>NCEN_Synthetic_Ethylene_CCS_90</v>
      </c>
      <c r="AQ12" s="1" t="str">
        <f t="shared" si="4"/>
        <v>CO2Captured</v>
      </c>
      <c r="AR12" s="12">
        <f t="shared" si="5"/>
        <v>584.8745384096128</v>
      </c>
      <c r="AS12" s="12">
        <f t="shared" si="6"/>
        <v>584.8745384096128</v>
      </c>
      <c r="AT12" s="5">
        <f t="shared" si="7"/>
        <v>0</v>
      </c>
      <c r="AU12" s="12">
        <f t="shared" si="8"/>
        <v>614.71043351692254</v>
      </c>
      <c r="AV12" s="12">
        <f t="shared" si="9"/>
        <v>614.71043351692254</v>
      </c>
      <c r="AW12" s="5">
        <f t="shared" si="10"/>
        <v>0</v>
      </c>
      <c r="AX12" s="5">
        <f t="shared" si="11"/>
        <v>631.33843519968821</v>
      </c>
      <c r="AY12" s="1">
        <f t="shared" si="12"/>
        <v>45.256747445840737</v>
      </c>
      <c r="AZ12" s="1">
        <f t="shared" si="13"/>
        <v>546.04439516593357</v>
      </c>
      <c r="BA12" s="1">
        <f t="shared" si="14"/>
        <v>-20.752123105228485</v>
      </c>
      <c r="BB12" s="1">
        <f t="shared" si="15"/>
        <v>-870.71704042892929</v>
      </c>
      <c r="BC12" s="1">
        <f t="shared" si="16"/>
        <v>214.57390798665784</v>
      </c>
      <c r="BD12" s="1">
        <f t="shared" si="17"/>
        <v>117.95601601844012</v>
      </c>
      <c r="BE12" s="1">
        <f t="shared" si="18"/>
        <v>-48.989904765479999</v>
      </c>
      <c r="BF12" s="1">
        <f t="shared" si="19"/>
        <v>-0.40472550988742861</v>
      </c>
      <c r="BG12" s="1">
        <v>0</v>
      </c>
      <c r="BH12" s="1">
        <f t="shared" si="20"/>
        <v>-29.835895107309767</v>
      </c>
      <c r="BI12" s="1">
        <f t="shared" si="21"/>
        <v>-0.40472550988742861</v>
      </c>
      <c r="BJ12" s="1">
        <v>0</v>
      </c>
      <c r="BK12" s="1">
        <f t="shared" si="22"/>
        <v>-29.835895107309767</v>
      </c>
      <c r="BL12" s="1">
        <f t="shared" si="23"/>
        <v>0</v>
      </c>
      <c r="BM12" s="1">
        <v>0</v>
      </c>
      <c r="BN12" s="1">
        <f t="shared" si="24"/>
        <v>0</v>
      </c>
      <c r="BO12" s="1">
        <f t="shared" si="25"/>
        <v>0</v>
      </c>
      <c r="BP12" s="1">
        <v>0</v>
      </c>
      <c r="BQ12" s="1">
        <f t="shared" si="26"/>
        <v>0</v>
      </c>
      <c r="BS12" s="9">
        <f t="shared" si="27"/>
        <v>3.14</v>
      </c>
      <c r="BT12" s="10">
        <f t="shared" si="28"/>
        <v>0.24123847100000001</v>
      </c>
      <c r="BU12" s="9">
        <f t="shared" si="29"/>
        <v>0.18104824</v>
      </c>
      <c r="BV12" s="9">
        <f t="shared" si="30"/>
        <v>1.5714285714285715E-2</v>
      </c>
      <c r="BX12" s="10">
        <v>1</v>
      </c>
      <c r="BY12" s="10">
        <f t="shared" si="31"/>
        <v>0.67299662739933241</v>
      </c>
      <c r="CA12" s="10">
        <f t="shared" si="32"/>
        <v>0.38885408131600002</v>
      </c>
      <c r="CB12" s="10">
        <f t="shared" si="33"/>
        <v>3.1114299132937305E-2</v>
      </c>
      <c r="CC12" s="10">
        <f t="shared" si="34"/>
        <v>3.6333708066740841E-2</v>
      </c>
      <c r="CD12" s="10">
        <f t="shared" si="35"/>
        <v>1.5871428571428571E-2</v>
      </c>
      <c r="CE12" s="10">
        <f t="shared" si="36"/>
        <v>0.32700337260066764</v>
      </c>
      <c r="CF12" s="10">
        <f t="shared" si="37"/>
        <v>0.20082311031222566</v>
      </c>
      <c r="CG12" s="10">
        <f t="shared" si="38"/>
        <v>0.67299662739933241</v>
      </c>
    </row>
    <row r="13" spans="2:89" x14ac:dyDescent="0.2">
      <c r="B13" s="14" t="s">
        <v>102</v>
      </c>
      <c r="C13" s="13" t="s">
        <v>84</v>
      </c>
      <c r="D13" s="13">
        <v>0</v>
      </c>
      <c r="E13" s="13">
        <v>5.4424706709999997</v>
      </c>
      <c r="F13" s="13">
        <v>0.17633674630000001</v>
      </c>
      <c r="G13" s="13">
        <v>0.1137656428</v>
      </c>
      <c r="H13" s="13">
        <v>0.15787734950000001</v>
      </c>
      <c r="I13" s="13">
        <v>0.76475307729999997</v>
      </c>
      <c r="J13" s="13">
        <v>0.41383317400000003</v>
      </c>
      <c r="K13" s="27">
        <f t="shared" si="0"/>
        <v>0.41383317371333472</v>
      </c>
      <c r="L13" s="13">
        <v>174237.6587</v>
      </c>
      <c r="M13" s="13">
        <v>95841.654150000002</v>
      </c>
      <c r="N13" s="13">
        <v>2.9463016839999998</v>
      </c>
      <c r="O13" s="13">
        <f t="shared" si="1"/>
        <v>-45.313083991760003</v>
      </c>
      <c r="P13" s="26">
        <v>1.01</v>
      </c>
      <c r="Q13" s="26">
        <f t="shared" si="2"/>
        <v>0.11490329922799999</v>
      </c>
      <c r="S13" s="16">
        <v>73.71884</v>
      </c>
      <c r="T13" s="16">
        <v>-6.1992539999999998</v>
      </c>
      <c r="U13" s="16">
        <v>65.59151</v>
      </c>
      <c r="V13" s="16">
        <v>31.821489</v>
      </c>
      <c r="W13" s="16">
        <v>37.986238999999998</v>
      </c>
      <c r="X13" s="26">
        <v>420</v>
      </c>
      <c r="Y13" s="11">
        <v>21.986353300000001</v>
      </c>
      <c r="Z13" s="17">
        <v>51.417555</v>
      </c>
      <c r="AA13" s="17"/>
      <c r="AB13" s="16">
        <v>22.465142</v>
      </c>
      <c r="AC13" s="16">
        <v>13.285634</v>
      </c>
      <c r="AD13" s="16"/>
      <c r="AE13" s="17">
        <v>-129.68144799999999</v>
      </c>
      <c r="AF13" s="17">
        <v>-129.68144799999999</v>
      </c>
      <c r="AG13" s="17"/>
      <c r="AH13" s="17"/>
      <c r="AI13" s="17"/>
      <c r="AJ13" s="17"/>
      <c r="AK13" s="16">
        <v>15.046749</v>
      </c>
      <c r="AL13" s="16">
        <v>0</v>
      </c>
      <c r="AM13" s="16">
        <v>822.26752199999999</v>
      </c>
      <c r="AN13" s="16">
        <v>822.26752199999999</v>
      </c>
      <c r="AP13" s="1" t="str">
        <f t="shared" si="3"/>
        <v>CEN_Synthetic_Ethylene_Non_CCS</v>
      </c>
      <c r="AQ13" s="1" t="str">
        <f t="shared" si="4"/>
        <v>CO2Captured</v>
      </c>
      <c r="AR13" s="12">
        <f t="shared" si="5"/>
        <v>599.56937775741244</v>
      </c>
      <c r="AS13" s="12">
        <f t="shared" si="6"/>
        <v>599.56937775741244</v>
      </c>
      <c r="AT13" s="5">
        <f t="shared" si="7"/>
        <v>0</v>
      </c>
      <c r="AU13" s="12">
        <f t="shared" si="8"/>
        <v>627.07354868872187</v>
      </c>
      <c r="AV13" s="12">
        <f t="shared" si="9"/>
        <v>627.07354868872187</v>
      </c>
      <c r="AW13" s="5">
        <f t="shared" si="10"/>
        <v>0</v>
      </c>
      <c r="AX13" s="5">
        <f t="shared" si="11"/>
        <v>635.57565896898711</v>
      </c>
      <c r="AY13" s="1">
        <f t="shared" si="12"/>
        <v>34.820970092101263</v>
      </c>
      <c r="AZ13" s="1">
        <f t="shared" si="13"/>
        <v>593.49716081417864</v>
      </c>
      <c r="BA13" s="1">
        <f t="shared" si="14"/>
        <v>-20.881004073329734</v>
      </c>
      <c r="BB13" s="1">
        <f t="shared" si="15"/>
        <v>-871.74197750605879</v>
      </c>
      <c r="BC13" s="1">
        <f t="shared" si="16"/>
        <v>194.26040330394619</v>
      </c>
      <c r="BD13" s="1">
        <f t="shared" si="17"/>
        <v>106.85542108065717</v>
      </c>
      <c r="BE13" s="1">
        <f t="shared" si="18"/>
        <v>-45.313083991760003</v>
      </c>
      <c r="BF13" s="1">
        <f t="shared" si="19"/>
        <v>-0.37309554696342861</v>
      </c>
      <c r="BG13" s="1">
        <v>0</v>
      </c>
      <c r="BH13" s="1">
        <f t="shared" si="20"/>
        <v>-27.504170931309481</v>
      </c>
      <c r="BI13" s="1">
        <f t="shared" si="21"/>
        <v>-0.37309554696342861</v>
      </c>
      <c r="BJ13" s="1">
        <v>0</v>
      </c>
      <c r="BK13" s="1">
        <f t="shared" si="22"/>
        <v>-27.504170931309481</v>
      </c>
      <c r="BL13" s="1">
        <f t="shared" si="23"/>
        <v>0</v>
      </c>
      <c r="BM13" s="1">
        <v>0</v>
      </c>
      <c r="BN13" s="1">
        <f t="shared" si="24"/>
        <v>0</v>
      </c>
      <c r="BO13" s="1">
        <f t="shared" si="25"/>
        <v>0</v>
      </c>
      <c r="BP13" s="1">
        <v>0</v>
      </c>
      <c r="BQ13" s="1">
        <f t="shared" si="26"/>
        <v>0</v>
      </c>
      <c r="BS13" s="9">
        <f t="shared" si="27"/>
        <v>3.14</v>
      </c>
      <c r="BT13" s="10">
        <f t="shared" si="28"/>
        <v>0.24123847100000001</v>
      </c>
      <c r="BU13" s="9">
        <f t="shared" si="29"/>
        <v>0.18104824</v>
      </c>
      <c r="BV13" s="9">
        <f t="shared" si="30"/>
        <v>1.5714285714285715E-2</v>
      </c>
      <c r="BX13" s="10">
        <v>1</v>
      </c>
      <c r="BY13" s="10">
        <f t="shared" si="31"/>
        <v>1</v>
      </c>
      <c r="CA13" s="10">
        <f t="shared" si="32"/>
        <v>0.35722411839200002</v>
      </c>
      <c r="CB13" s="10">
        <f t="shared" si="33"/>
        <v>2.8583416262839882E-2</v>
      </c>
      <c r="CC13" s="10">
        <f t="shared" si="34"/>
        <v>0.41383317371333478</v>
      </c>
      <c r="CD13" s="10">
        <f t="shared" si="35"/>
        <v>1.5871428571428571E-2</v>
      </c>
      <c r="CE13" s="10">
        <f t="shared" si="36"/>
        <v>0</v>
      </c>
      <c r="CF13" s="10">
        <f t="shared" si="37"/>
        <v>0.1844878630603968</v>
      </c>
      <c r="CG13" s="10">
        <f t="shared" si="38"/>
        <v>1</v>
      </c>
    </row>
    <row r="14" spans="2:89" x14ac:dyDescent="0.2">
      <c r="B14" s="14" t="s">
        <v>103</v>
      </c>
      <c r="C14" s="13" t="s">
        <v>84</v>
      </c>
      <c r="D14" s="13">
        <v>0.9</v>
      </c>
      <c r="E14" s="13">
        <v>5.9243674339999997</v>
      </c>
      <c r="F14" s="13">
        <v>0.24466847410000001</v>
      </c>
      <c r="G14" s="13">
        <v>0.1238388794</v>
      </c>
      <c r="H14" s="13">
        <v>0.1718564021</v>
      </c>
      <c r="I14" s="13">
        <v>0.83246718269999997</v>
      </c>
      <c r="J14" s="13">
        <v>3.6333707999999999E-2</v>
      </c>
      <c r="K14" s="27">
        <f t="shared" si="0"/>
        <v>3.6333708066740855E-2</v>
      </c>
      <c r="L14" s="13">
        <v>209498.31779999999</v>
      </c>
      <c r="M14" s="13">
        <v>115165.852</v>
      </c>
      <c r="N14" s="13">
        <v>3.542547876</v>
      </c>
      <c r="O14" s="13">
        <f t="shared" si="1"/>
        <v>-48.989904765479999</v>
      </c>
      <c r="P14" s="26">
        <v>1.01</v>
      </c>
      <c r="Q14" s="26">
        <f t="shared" si="2"/>
        <v>0.125077268194</v>
      </c>
      <c r="S14" s="16">
        <v>73.71884</v>
      </c>
      <c r="T14" s="16">
        <v>-6.1992539999999998</v>
      </c>
      <c r="U14" s="16">
        <v>65.59151</v>
      </c>
      <c r="V14" s="16">
        <v>31.821489</v>
      </c>
      <c r="W14" s="16">
        <v>37.986238999999998</v>
      </c>
      <c r="X14" s="26">
        <v>420</v>
      </c>
      <c r="Y14" s="11">
        <v>21.986353300000001</v>
      </c>
      <c r="Z14" s="17">
        <v>51.417555</v>
      </c>
      <c r="AA14" s="17"/>
      <c r="AB14" s="16">
        <v>22.465142</v>
      </c>
      <c r="AC14" s="16">
        <v>13.285634</v>
      </c>
      <c r="AD14" s="16"/>
      <c r="AE14" s="17">
        <v>-129.68144799999999</v>
      </c>
      <c r="AF14" s="17">
        <v>-129.68144799999999</v>
      </c>
      <c r="AG14" s="17"/>
      <c r="AH14" s="17"/>
      <c r="AI14" s="17"/>
      <c r="AJ14" s="17"/>
      <c r="AK14" s="16">
        <v>15.046749</v>
      </c>
      <c r="AL14" s="16">
        <v>0</v>
      </c>
      <c r="AM14" s="16">
        <v>822.26752199999999</v>
      </c>
      <c r="AN14" s="16">
        <v>822.26752199999999</v>
      </c>
      <c r="AP14" s="1" t="str">
        <f t="shared" si="3"/>
        <v>CEN_Synthetic_Ethylene_CCS_90</v>
      </c>
      <c r="AQ14" s="1" t="str">
        <f t="shared" si="4"/>
        <v>CO2Captured</v>
      </c>
      <c r="AR14" s="12">
        <f t="shared" si="5"/>
        <v>586.26241124940475</v>
      </c>
      <c r="AS14" s="12">
        <f t="shared" si="6"/>
        <v>586.26241124940475</v>
      </c>
      <c r="AT14" s="5">
        <f t="shared" si="7"/>
        <v>0</v>
      </c>
      <c r="AU14" s="12">
        <f t="shared" si="8"/>
        <v>616.09830635671449</v>
      </c>
      <c r="AV14" s="12">
        <f t="shared" si="9"/>
        <v>616.09830635671449</v>
      </c>
      <c r="AW14" s="5">
        <f t="shared" si="10"/>
        <v>0</v>
      </c>
      <c r="AX14" s="5">
        <f t="shared" si="11"/>
        <v>635.57565920322077</v>
      </c>
      <c r="AY14" s="1">
        <f t="shared" si="12"/>
        <v>44.384381061993224</v>
      </c>
      <c r="AZ14" s="1">
        <f t="shared" si="13"/>
        <v>545.22122880255972</v>
      </c>
      <c r="BA14" s="1">
        <f t="shared" si="14"/>
        <v>-20.881004083454044</v>
      </c>
      <c r="BB14" s="1">
        <f t="shared" si="15"/>
        <v>-871.74197786722334</v>
      </c>
      <c r="BC14" s="1">
        <f t="shared" si="16"/>
        <v>214.57390798665784</v>
      </c>
      <c r="BD14" s="1">
        <f t="shared" si="17"/>
        <v>117.95601601844012</v>
      </c>
      <c r="BE14" s="1">
        <f t="shared" si="18"/>
        <v>-48.989904765479999</v>
      </c>
      <c r="BF14" s="1">
        <f t="shared" si="19"/>
        <v>-0.40472550988742861</v>
      </c>
      <c r="BG14" s="1">
        <v>0</v>
      </c>
      <c r="BH14" s="1">
        <f t="shared" si="20"/>
        <v>-29.835895107309767</v>
      </c>
      <c r="BI14" s="1">
        <f t="shared" si="21"/>
        <v>-0.40472550988742861</v>
      </c>
      <c r="BJ14" s="1">
        <v>0</v>
      </c>
      <c r="BK14" s="1">
        <f t="shared" si="22"/>
        <v>-29.835895107309767</v>
      </c>
      <c r="BL14" s="1">
        <f t="shared" si="23"/>
        <v>0</v>
      </c>
      <c r="BM14" s="1">
        <v>0</v>
      </c>
      <c r="BN14" s="1">
        <f t="shared" si="24"/>
        <v>0</v>
      </c>
      <c r="BO14" s="1">
        <f t="shared" si="25"/>
        <v>0</v>
      </c>
      <c r="BP14" s="1">
        <v>0</v>
      </c>
      <c r="BQ14" s="1">
        <f t="shared" si="26"/>
        <v>0</v>
      </c>
      <c r="BS14" s="9">
        <f t="shared" si="27"/>
        <v>3.14</v>
      </c>
      <c r="BT14" s="10">
        <f t="shared" si="28"/>
        <v>0.24123847100000001</v>
      </c>
      <c r="BU14" s="9">
        <f t="shared" si="29"/>
        <v>0.18104824</v>
      </c>
      <c r="BV14" s="9">
        <f t="shared" si="30"/>
        <v>1.5714285714285715E-2</v>
      </c>
      <c r="BX14" s="10">
        <v>1</v>
      </c>
      <c r="BY14" s="10">
        <f t="shared" si="31"/>
        <v>0.67299662739933241</v>
      </c>
      <c r="CA14" s="10">
        <f t="shared" si="32"/>
        <v>0.38885408131600002</v>
      </c>
      <c r="CB14" s="10">
        <f t="shared" si="33"/>
        <v>3.1114299132937305E-2</v>
      </c>
      <c r="CC14" s="10">
        <f t="shared" si="34"/>
        <v>3.6333708066740841E-2</v>
      </c>
      <c r="CD14" s="10">
        <f t="shared" si="35"/>
        <v>1.5871428571428571E-2</v>
      </c>
      <c r="CE14" s="10">
        <f t="shared" si="36"/>
        <v>0.32700337260066764</v>
      </c>
      <c r="CF14" s="10">
        <f t="shared" si="37"/>
        <v>0.20082311031222566</v>
      </c>
      <c r="CG14" s="10">
        <f t="shared" si="38"/>
        <v>0.67299662739933241</v>
      </c>
    </row>
    <row r="15" spans="2:89" x14ac:dyDescent="0.2">
      <c r="B15" s="14" t="s">
        <v>104</v>
      </c>
      <c r="C15" s="13" t="s">
        <v>84</v>
      </c>
      <c r="D15" s="13">
        <v>0</v>
      </c>
      <c r="E15" s="13">
        <v>5.4424706709999997</v>
      </c>
      <c r="F15" s="13">
        <v>0.17633674630000001</v>
      </c>
      <c r="G15" s="13">
        <v>0.1137656428</v>
      </c>
      <c r="H15" s="13">
        <v>0.15787734950000001</v>
      </c>
      <c r="I15" s="13">
        <v>0.76475307729999997</v>
      </c>
      <c r="J15" s="13">
        <v>0.41383317400000003</v>
      </c>
      <c r="K15" s="27">
        <f t="shared" si="0"/>
        <v>0.41383317371333472</v>
      </c>
      <c r="L15" s="13">
        <v>174237.6587</v>
      </c>
      <c r="M15" s="13">
        <v>95841.654150000002</v>
      </c>
      <c r="N15" s="13">
        <v>2.9463016839999998</v>
      </c>
      <c r="O15" s="13">
        <f t="shared" si="1"/>
        <v>-45.313083991760003</v>
      </c>
      <c r="P15" s="26">
        <v>1.01</v>
      </c>
      <c r="Q15" s="26">
        <f t="shared" si="2"/>
        <v>0.11490329922799999</v>
      </c>
      <c r="S15" s="16">
        <v>73.71884</v>
      </c>
      <c r="T15" s="16">
        <v>-5.0000840000000002</v>
      </c>
      <c r="U15" s="16">
        <v>62.617055000000001</v>
      </c>
      <c r="V15" s="16">
        <v>37.705083000000002</v>
      </c>
      <c r="W15" s="16">
        <v>30.684851999999999</v>
      </c>
      <c r="X15" s="26">
        <v>420</v>
      </c>
      <c r="Y15" s="11">
        <v>21.986353300000001</v>
      </c>
      <c r="Z15" s="17">
        <v>-8.7269439999999996</v>
      </c>
      <c r="AA15" s="17"/>
      <c r="AB15" s="16">
        <v>21.357776999999999</v>
      </c>
      <c r="AC15" s="16">
        <v>7.5483099999999999</v>
      </c>
      <c r="AD15" s="16"/>
      <c r="AE15" s="17">
        <v>-126.782873</v>
      </c>
      <c r="AF15" s="17">
        <v>-126.782873</v>
      </c>
      <c r="AG15" s="17"/>
      <c r="AH15" s="17"/>
      <c r="AI15" s="17"/>
      <c r="AJ15" s="17"/>
      <c r="AK15" s="16">
        <v>8.6017200000000003</v>
      </c>
      <c r="AL15" s="16">
        <v>0</v>
      </c>
      <c r="AM15" s="16">
        <v>822.26752199999999</v>
      </c>
      <c r="AN15" s="16">
        <v>822.26752199999999</v>
      </c>
      <c r="AP15" s="1" t="str">
        <f t="shared" si="3"/>
        <v>TX_Synthetic_Ethylene_Non_CCS</v>
      </c>
      <c r="AQ15" s="1" t="str">
        <f t="shared" si="4"/>
        <v>CO2Captured</v>
      </c>
      <c r="AR15" s="12">
        <f t="shared" si="5"/>
        <v>362.35278204469142</v>
      </c>
      <c r="AS15" s="12">
        <f t="shared" si="6"/>
        <v>362.35278204469142</v>
      </c>
      <c r="AT15" s="5">
        <f t="shared" si="7"/>
        <v>0</v>
      </c>
      <c r="AU15" s="12">
        <f t="shared" si="8"/>
        <v>389.85695297600091</v>
      </c>
      <c r="AV15" s="12">
        <f t="shared" si="9"/>
        <v>389.85695297600091</v>
      </c>
      <c r="AW15" s="5">
        <f t="shared" si="10"/>
        <v>0</v>
      </c>
      <c r="AX15" s="5">
        <f t="shared" si="11"/>
        <v>361.10599632296021</v>
      </c>
      <c r="AY15" s="1">
        <f t="shared" si="12"/>
        <v>33.104554342490609</v>
      </c>
      <c r="AZ15" s="1">
        <f t="shared" si="13"/>
        <v>604.03786511194403</v>
      </c>
      <c r="BA15" s="1">
        <f t="shared" si="14"/>
        <v>-11.936967271643985</v>
      </c>
      <c r="BB15" s="1">
        <f t="shared" si="15"/>
        <v>-852.25723592259328</v>
      </c>
      <c r="BC15" s="1">
        <f t="shared" si="16"/>
        <v>194.26040330394619</v>
      </c>
      <c r="BD15" s="1">
        <f t="shared" si="17"/>
        <v>106.85542108065717</v>
      </c>
      <c r="BE15" s="1">
        <f t="shared" si="18"/>
        <v>-45.313083991760003</v>
      </c>
      <c r="BF15" s="1">
        <f t="shared" si="19"/>
        <v>-0.37309554696342861</v>
      </c>
      <c r="BG15" s="1">
        <v>0</v>
      </c>
      <c r="BH15" s="1">
        <f t="shared" si="20"/>
        <v>-27.504170931309481</v>
      </c>
      <c r="BI15" s="1">
        <f t="shared" si="21"/>
        <v>-0.37309554696342861</v>
      </c>
      <c r="BJ15" s="1">
        <v>0</v>
      </c>
      <c r="BK15" s="1">
        <f t="shared" si="22"/>
        <v>-27.504170931309481</v>
      </c>
      <c r="BL15" s="1">
        <f t="shared" si="23"/>
        <v>0</v>
      </c>
      <c r="BM15" s="1">
        <v>0</v>
      </c>
      <c r="BN15" s="1">
        <f t="shared" si="24"/>
        <v>0</v>
      </c>
      <c r="BO15" s="1">
        <f t="shared" si="25"/>
        <v>0</v>
      </c>
      <c r="BP15" s="1">
        <v>0</v>
      </c>
      <c r="BQ15" s="1">
        <f t="shared" si="26"/>
        <v>0</v>
      </c>
      <c r="BS15" s="9">
        <f t="shared" si="27"/>
        <v>3.14</v>
      </c>
      <c r="BT15" s="10">
        <f t="shared" si="28"/>
        <v>0.24123847100000001</v>
      </c>
      <c r="BU15" s="9">
        <f t="shared" si="29"/>
        <v>0.18104824</v>
      </c>
      <c r="BV15" s="9">
        <f t="shared" si="30"/>
        <v>1.5714285714285715E-2</v>
      </c>
      <c r="BX15" s="10">
        <v>1</v>
      </c>
      <c r="BY15" s="10">
        <f t="shared" si="31"/>
        <v>1</v>
      </c>
      <c r="CA15" s="10">
        <f t="shared" si="32"/>
        <v>0.35722411839200002</v>
      </c>
      <c r="CB15" s="10">
        <f t="shared" si="33"/>
        <v>2.8583416262839882E-2</v>
      </c>
      <c r="CC15" s="10">
        <f t="shared" si="34"/>
        <v>0.41383317371333478</v>
      </c>
      <c r="CD15" s="10">
        <f t="shared" si="35"/>
        <v>1.5871428571428571E-2</v>
      </c>
      <c r="CE15" s="10">
        <f t="shared" si="36"/>
        <v>0</v>
      </c>
      <c r="CF15" s="10">
        <f t="shared" si="37"/>
        <v>0.1844878630603968</v>
      </c>
      <c r="CG15" s="10">
        <f t="shared" si="38"/>
        <v>1</v>
      </c>
    </row>
    <row r="16" spans="2:89" x14ac:dyDescent="0.2">
      <c r="B16" s="14" t="s">
        <v>105</v>
      </c>
      <c r="C16" s="13" t="s">
        <v>84</v>
      </c>
      <c r="D16" s="13">
        <v>0.9</v>
      </c>
      <c r="E16" s="13">
        <v>5.9243674339999997</v>
      </c>
      <c r="F16" s="13">
        <v>0.24466847410000001</v>
      </c>
      <c r="G16" s="13">
        <v>0.1238388794</v>
      </c>
      <c r="H16" s="13">
        <v>0.1718564021</v>
      </c>
      <c r="I16" s="13">
        <v>0.83246718269999997</v>
      </c>
      <c r="J16" s="13">
        <v>3.6333707999999999E-2</v>
      </c>
      <c r="K16" s="27">
        <f t="shared" si="0"/>
        <v>3.6333708066740855E-2</v>
      </c>
      <c r="L16" s="13">
        <v>209498.31779999999</v>
      </c>
      <c r="M16" s="13">
        <v>115165.852</v>
      </c>
      <c r="N16" s="13">
        <v>3.542547876</v>
      </c>
      <c r="O16" s="13">
        <f t="shared" si="1"/>
        <v>-48.989904765479999</v>
      </c>
      <c r="P16" s="26">
        <v>1.01</v>
      </c>
      <c r="Q16" s="26">
        <f t="shared" si="2"/>
        <v>0.125077268194</v>
      </c>
      <c r="S16" s="16">
        <v>73.71884</v>
      </c>
      <c r="T16" s="16">
        <v>-5.0000840000000002</v>
      </c>
      <c r="U16" s="16">
        <v>62.617055000000001</v>
      </c>
      <c r="V16" s="16">
        <v>37.705083000000002</v>
      </c>
      <c r="W16" s="16">
        <v>30.684851999999999</v>
      </c>
      <c r="X16" s="26">
        <v>420</v>
      </c>
      <c r="Y16" s="11">
        <v>21.986353300000001</v>
      </c>
      <c r="Z16" s="17">
        <v>-8.7269439999999996</v>
      </c>
      <c r="AA16" s="17"/>
      <c r="AB16" s="16">
        <v>21.357776999999999</v>
      </c>
      <c r="AC16" s="16">
        <v>7.5483099999999999</v>
      </c>
      <c r="AD16" s="16"/>
      <c r="AE16" s="17">
        <v>-126.782873</v>
      </c>
      <c r="AF16" s="17">
        <v>-126.782873</v>
      </c>
      <c r="AG16" s="17"/>
      <c r="AH16" s="17"/>
      <c r="AI16" s="17"/>
      <c r="AJ16" s="17"/>
      <c r="AK16" s="16">
        <v>8.6017200000000003</v>
      </c>
      <c r="AL16" s="16">
        <v>0</v>
      </c>
      <c r="AM16" s="16">
        <v>822.26752199999999</v>
      </c>
      <c r="AN16" s="16">
        <v>822.26752199999999</v>
      </c>
      <c r="AP16" s="1" t="str">
        <f t="shared" si="3"/>
        <v>TX_Synthetic_Ethylene_CCS_90</v>
      </c>
      <c r="AQ16" s="1" t="str">
        <f t="shared" si="4"/>
        <v>CO2Captured</v>
      </c>
      <c r="AR16" s="12">
        <f t="shared" si="5"/>
        <v>347.7170137749539</v>
      </c>
      <c r="AS16" s="12">
        <f t="shared" si="6"/>
        <v>347.7170137749539</v>
      </c>
      <c r="AT16" s="5">
        <f t="shared" si="7"/>
        <v>0</v>
      </c>
      <c r="AU16" s="12">
        <f t="shared" si="8"/>
        <v>377.55290888226364</v>
      </c>
      <c r="AV16" s="12">
        <f t="shared" si="9"/>
        <v>377.55290888226364</v>
      </c>
      <c r="AW16" s="5">
        <f t="shared" si="10"/>
        <v>0</v>
      </c>
      <c r="AX16" s="5">
        <f t="shared" si="11"/>
        <v>361.1059964560414</v>
      </c>
      <c r="AY16" s="1">
        <f t="shared" si="12"/>
        <v>42.196560030872469</v>
      </c>
      <c r="AZ16" s="1">
        <f t="shared" si="13"/>
        <v>554.9045367088487</v>
      </c>
      <c r="BA16" s="1">
        <f t="shared" si="14"/>
        <v>-11.936967277431711</v>
      </c>
      <c r="BB16" s="1">
        <f t="shared" si="15"/>
        <v>-852.25723627568527</v>
      </c>
      <c r="BC16" s="1">
        <f t="shared" si="16"/>
        <v>214.57390798665784</v>
      </c>
      <c r="BD16" s="1">
        <f t="shared" si="17"/>
        <v>117.95601601844012</v>
      </c>
      <c r="BE16" s="1">
        <f t="shared" si="18"/>
        <v>-48.989904765479999</v>
      </c>
      <c r="BF16" s="1">
        <f t="shared" si="19"/>
        <v>-0.40472550988742861</v>
      </c>
      <c r="BG16" s="1">
        <v>0</v>
      </c>
      <c r="BH16" s="1">
        <f t="shared" si="20"/>
        <v>-29.835895107309767</v>
      </c>
      <c r="BI16" s="1">
        <f t="shared" si="21"/>
        <v>-0.40472550988742861</v>
      </c>
      <c r="BJ16" s="1">
        <v>0</v>
      </c>
      <c r="BK16" s="1">
        <f t="shared" si="22"/>
        <v>-29.835895107309767</v>
      </c>
      <c r="BL16" s="1">
        <f t="shared" si="23"/>
        <v>0</v>
      </c>
      <c r="BM16" s="1">
        <v>0</v>
      </c>
      <c r="BN16" s="1">
        <f t="shared" si="24"/>
        <v>0</v>
      </c>
      <c r="BO16" s="1">
        <f t="shared" si="25"/>
        <v>0</v>
      </c>
      <c r="BP16" s="1">
        <v>0</v>
      </c>
      <c r="BQ16" s="1">
        <f t="shared" si="26"/>
        <v>0</v>
      </c>
      <c r="BS16" s="9">
        <f t="shared" si="27"/>
        <v>3.14</v>
      </c>
      <c r="BT16" s="10">
        <f t="shared" si="28"/>
        <v>0.24123847100000001</v>
      </c>
      <c r="BU16" s="9">
        <f t="shared" si="29"/>
        <v>0.18104824</v>
      </c>
      <c r="BV16" s="9">
        <f t="shared" si="30"/>
        <v>1.5714285714285715E-2</v>
      </c>
      <c r="BX16" s="10">
        <v>1</v>
      </c>
      <c r="BY16" s="10">
        <f t="shared" si="31"/>
        <v>0.67299662739933241</v>
      </c>
      <c r="CA16" s="10">
        <f t="shared" si="32"/>
        <v>0.38885408131600002</v>
      </c>
      <c r="CB16" s="10">
        <f t="shared" si="33"/>
        <v>3.1114299132937305E-2</v>
      </c>
      <c r="CC16" s="10">
        <f t="shared" si="34"/>
        <v>3.6333708066740841E-2</v>
      </c>
      <c r="CD16" s="10">
        <f t="shared" si="35"/>
        <v>1.5871428571428571E-2</v>
      </c>
      <c r="CE16" s="10">
        <f t="shared" si="36"/>
        <v>0.32700337260066764</v>
      </c>
      <c r="CF16" s="10">
        <f t="shared" si="37"/>
        <v>0.20082311031222566</v>
      </c>
      <c r="CG16" s="10">
        <f t="shared" si="38"/>
        <v>0.67299662739933241</v>
      </c>
    </row>
    <row r="17" spans="2:85" x14ac:dyDescent="0.2">
      <c r="B17" s="14" t="s">
        <v>106</v>
      </c>
      <c r="C17" s="13" t="s">
        <v>84</v>
      </c>
      <c r="D17" s="13">
        <v>0</v>
      </c>
      <c r="E17" s="13">
        <v>5.4424706709999997</v>
      </c>
      <c r="F17" s="13">
        <v>0.17633674630000001</v>
      </c>
      <c r="G17" s="13">
        <v>0.1137656428</v>
      </c>
      <c r="H17" s="13">
        <v>0.15787734950000001</v>
      </c>
      <c r="I17" s="13">
        <v>0.76475307729999997</v>
      </c>
      <c r="J17" s="13">
        <v>0.41383317400000003</v>
      </c>
      <c r="K17" s="27">
        <f t="shared" si="0"/>
        <v>0.41383317371333472</v>
      </c>
      <c r="L17" s="13">
        <v>174237.6587</v>
      </c>
      <c r="M17" s="13">
        <v>95841.654150000002</v>
      </c>
      <c r="N17" s="13">
        <v>2.9463016839999998</v>
      </c>
      <c r="O17" s="13">
        <f t="shared" si="1"/>
        <v>-45.313083991760003</v>
      </c>
      <c r="P17" s="26">
        <v>1.01</v>
      </c>
      <c r="Q17" s="26">
        <f t="shared" si="2"/>
        <v>0.11490329922799999</v>
      </c>
      <c r="S17" s="16">
        <v>73.71884</v>
      </c>
      <c r="T17" s="16">
        <v>6.3412249999999997</v>
      </c>
      <c r="U17" s="16">
        <v>64.329804999999993</v>
      </c>
      <c r="V17" s="16">
        <v>37.865810000000003</v>
      </c>
      <c r="W17" s="16">
        <v>42.137908000000003</v>
      </c>
      <c r="X17" s="26">
        <v>420</v>
      </c>
      <c r="Y17" s="11">
        <v>21.986353300000001</v>
      </c>
      <c r="Z17" s="17">
        <v>-3.8794550000000001</v>
      </c>
      <c r="AA17" s="17"/>
      <c r="AB17" s="16">
        <v>20.232006999999999</v>
      </c>
      <c r="AC17" s="16">
        <v>8.1320359999999994</v>
      </c>
      <c r="AD17" s="16"/>
      <c r="AE17" s="17">
        <v>-112.989964</v>
      </c>
      <c r="AF17" s="17">
        <v>-112.989964</v>
      </c>
      <c r="AG17" s="17"/>
      <c r="AH17" s="17"/>
      <c r="AI17" s="17"/>
      <c r="AJ17" s="17"/>
      <c r="AK17" s="16">
        <v>12.309823</v>
      </c>
      <c r="AL17" s="16">
        <v>0</v>
      </c>
      <c r="AM17" s="16">
        <v>822.26752199999999</v>
      </c>
      <c r="AN17" s="16">
        <v>0</v>
      </c>
      <c r="AP17" s="1" t="str">
        <f t="shared" si="3"/>
        <v>NW_Synthetic_Ethylene_Non_CCS</v>
      </c>
      <c r="AQ17" s="1" t="str">
        <f t="shared" si="4"/>
        <v>CO2Captured</v>
      </c>
      <c r="AR17" s="12">
        <f t="shared" si="5"/>
        <v>575.79551877727795</v>
      </c>
      <c r="AS17" s="12">
        <f t="shared" si="6"/>
        <v>575.79551877727795</v>
      </c>
      <c r="AT17" s="5">
        <f t="shared" si="7"/>
        <v>0</v>
      </c>
      <c r="AU17" s="12">
        <f t="shared" si="8"/>
        <v>603.29968970858738</v>
      </c>
      <c r="AV17" s="12">
        <f t="shared" si="9"/>
        <v>603.29968970858738</v>
      </c>
      <c r="AW17" s="5">
        <f t="shared" si="10"/>
        <v>0</v>
      </c>
      <c r="AX17" s="5">
        <f t="shared" si="11"/>
        <v>389.03104958781239</v>
      </c>
      <c r="AY17" s="1">
        <f t="shared" si="12"/>
        <v>31.359610842886429</v>
      </c>
      <c r="AZ17" s="1">
        <f t="shared" si="13"/>
        <v>703.72797120080975</v>
      </c>
      <c r="BA17" s="1">
        <f t="shared" si="14"/>
        <v>-17.082857180974312</v>
      </c>
      <c r="BB17" s="1">
        <f t="shared" si="15"/>
        <v>-759.53882513479027</v>
      </c>
      <c r="BC17" s="1">
        <f t="shared" si="16"/>
        <v>194.26040330394619</v>
      </c>
      <c r="BD17" s="1">
        <f t="shared" si="17"/>
        <v>106.85542108065717</v>
      </c>
      <c r="BE17" s="1">
        <f t="shared" si="18"/>
        <v>-45.313083991760003</v>
      </c>
      <c r="BF17" s="1">
        <f t="shared" si="19"/>
        <v>-0.37309554696342861</v>
      </c>
      <c r="BG17" s="1">
        <v>0</v>
      </c>
      <c r="BH17" s="1">
        <f t="shared" si="20"/>
        <v>-27.504170931309481</v>
      </c>
      <c r="BI17" s="1">
        <f t="shared" si="21"/>
        <v>-0.37309554696342861</v>
      </c>
      <c r="BJ17" s="1">
        <v>0</v>
      </c>
      <c r="BK17" s="1">
        <f t="shared" si="22"/>
        <v>-27.504170931309481</v>
      </c>
      <c r="BL17" s="1">
        <f t="shared" si="23"/>
        <v>0</v>
      </c>
      <c r="BM17" s="1">
        <v>0</v>
      </c>
      <c r="BN17" s="1">
        <f t="shared" si="24"/>
        <v>0</v>
      </c>
      <c r="BO17" s="1">
        <f t="shared" si="25"/>
        <v>0</v>
      </c>
      <c r="BP17" s="1">
        <v>0</v>
      </c>
      <c r="BQ17" s="1">
        <f t="shared" si="26"/>
        <v>0</v>
      </c>
      <c r="BS17" s="9">
        <f t="shared" si="27"/>
        <v>3.14</v>
      </c>
      <c r="BT17" s="10">
        <f t="shared" si="28"/>
        <v>0.24123847100000001</v>
      </c>
      <c r="BU17" s="9">
        <f t="shared" si="29"/>
        <v>0.18104824</v>
      </c>
      <c r="BV17" s="9">
        <f t="shared" si="30"/>
        <v>1.5714285714285715E-2</v>
      </c>
      <c r="BX17" s="10">
        <v>1</v>
      </c>
      <c r="BY17" s="10">
        <f t="shared" si="31"/>
        <v>1</v>
      </c>
      <c r="CA17" s="10">
        <f t="shared" si="32"/>
        <v>0.35722411839200002</v>
      </c>
      <c r="CB17" s="10">
        <f t="shared" si="33"/>
        <v>2.8583416262839882E-2</v>
      </c>
      <c r="CC17" s="10">
        <f t="shared" si="34"/>
        <v>0.41383317371333478</v>
      </c>
      <c r="CD17" s="10">
        <f t="shared" si="35"/>
        <v>1.5871428571428571E-2</v>
      </c>
      <c r="CE17" s="10">
        <f t="shared" si="36"/>
        <v>0</v>
      </c>
      <c r="CF17" s="10">
        <f t="shared" si="37"/>
        <v>0.1844878630603968</v>
      </c>
      <c r="CG17" s="10">
        <f t="shared" si="38"/>
        <v>1</v>
      </c>
    </row>
    <row r="18" spans="2:85" x14ac:dyDescent="0.2">
      <c r="B18" s="14" t="s">
        <v>107</v>
      </c>
      <c r="C18" s="13" t="s">
        <v>84</v>
      </c>
      <c r="D18" s="13">
        <v>0.9</v>
      </c>
      <c r="E18" s="13">
        <v>5.9243674339999997</v>
      </c>
      <c r="F18" s="13">
        <v>0.24466847410000001</v>
      </c>
      <c r="G18" s="13">
        <v>0.1238388794</v>
      </c>
      <c r="H18" s="13">
        <v>0.1718564021</v>
      </c>
      <c r="I18" s="13">
        <v>0.83246718269999997</v>
      </c>
      <c r="J18" s="13">
        <v>3.6333707999999999E-2</v>
      </c>
      <c r="K18" s="27">
        <f t="shared" si="0"/>
        <v>3.6333708066740855E-2</v>
      </c>
      <c r="L18" s="13">
        <v>209498.31779999999</v>
      </c>
      <c r="M18" s="13">
        <v>115165.852</v>
      </c>
      <c r="N18" s="13">
        <v>3.542547876</v>
      </c>
      <c r="O18" s="13">
        <f t="shared" si="1"/>
        <v>-48.989904765479999</v>
      </c>
      <c r="P18" s="26">
        <v>1.01</v>
      </c>
      <c r="Q18" s="26">
        <f t="shared" si="2"/>
        <v>0.125077268194</v>
      </c>
      <c r="S18" s="16">
        <v>73.71884</v>
      </c>
      <c r="T18" s="16">
        <v>6.3412249999999997</v>
      </c>
      <c r="U18" s="16">
        <v>64.329804999999993</v>
      </c>
      <c r="V18" s="16">
        <v>37.865810000000003</v>
      </c>
      <c r="W18" s="16">
        <v>42.137908000000003</v>
      </c>
      <c r="X18" s="26">
        <v>420</v>
      </c>
      <c r="Y18" s="11">
        <v>21.986353300000001</v>
      </c>
      <c r="Z18" s="17">
        <v>-3.8794550000000001</v>
      </c>
      <c r="AA18" s="17"/>
      <c r="AB18" s="16">
        <v>20.232006999999999</v>
      </c>
      <c r="AC18" s="16">
        <v>8.1320359999999994</v>
      </c>
      <c r="AD18" s="16"/>
      <c r="AE18" s="17">
        <v>-112.989964</v>
      </c>
      <c r="AF18" s="17">
        <v>-112.989964</v>
      </c>
      <c r="AG18" s="17"/>
      <c r="AH18" s="17"/>
      <c r="AI18" s="17"/>
      <c r="AJ18" s="17"/>
      <c r="AK18" s="16">
        <v>12.309823</v>
      </c>
      <c r="AL18" s="16">
        <v>0</v>
      </c>
      <c r="AM18" s="16">
        <v>822.26752199999999</v>
      </c>
      <c r="AN18" s="16">
        <v>0</v>
      </c>
      <c r="AP18" s="1" t="str">
        <f t="shared" si="3"/>
        <v>NW_Synthetic_Ethylene_CCS_90</v>
      </c>
      <c r="AQ18" s="1" t="str">
        <f t="shared" si="4"/>
        <v>CO2Captured</v>
      </c>
      <c r="AR18" s="12">
        <f t="shared" si="5"/>
        <v>552.5715704043057</v>
      </c>
      <c r="AS18" s="12">
        <f t="shared" si="6"/>
        <v>552.5715704043057</v>
      </c>
      <c r="AT18" s="5">
        <f t="shared" si="7"/>
        <v>0</v>
      </c>
      <c r="AU18" s="12">
        <f t="shared" si="8"/>
        <v>582.40746551161544</v>
      </c>
      <c r="AV18" s="12">
        <f t="shared" si="9"/>
        <v>582.40746551161544</v>
      </c>
      <c r="AW18" s="5">
        <f t="shared" si="10"/>
        <v>0</v>
      </c>
      <c r="AX18" s="5">
        <f t="shared" si="11"/>
        <v>389.03104973118496</v>
      </c>
      <c r="AY18" s="1">
        <f t="shared" si="12"/>
        <v>39.972376241241399</v>
      </c>
      <c r="AZ18" s="1">
        <f t="shared" si="13"/>
        <v>646.48570293829698</v>
      </c>
      <c r="BA18" s="1">
        <f t="shared" si="14"/>
        <v>-17.082857189257062</v>
      </c>
      <c r="BB18" s="1">
        <f t="shared" si="15"/>
        <v>-759.53882544946885</v>
      </c>
      <c r="BC18" s="1">
        <f t="shared" si="16"/>
        <v>214.57390798665784</v>
      </c>
      <c r="BD18" s="1">
        <f t="shared" si="17"/>
        <v>117.95601601844012</v>
      </c>
      <c r="BE18" s="1">
        <f t="shared" si="18"/>
        <v>-48.989904765479999</v>
      </c>
      <c r="BF18" s="1">
        <f t="shared" si="19"/>
        <v>-0.40472550988742861</v>
      </c>
      <c r="BG18" s="1">
        <v>0</v>
      </c>
      <c r="BH18" s="1">
        <f t="shared" si="20"/>
        <v>-29.835895107309767</v>
      </c>
      <c r="BI18" s="1">
        <f t="shared" si="21"/>
        <v>-0.40472550988742861</v>
      </c>
      <c r="BJ18" s="1">
        <v>0</v>
      </c>
      <c r="BK18" s="1">
        <f t="shared" si="22"/>
        <v>-29.835895107309767</v>
      </c>
      <c r="BL18" s="1">
        <f t="shared" si="23"/>
        <v>0</v>
      </c>
      <c r="BM18" s="1">
        <v>0</v>
      </c>
      <c r="BN18" s="1">
        <f t="shared" si="24"/>
        <v>0</v>
      </c>
      <c r="BO18" s="1">
        <f t="shared" si="25"/>
        <v>0</v>
      </c>
      <c r="BP18" s="1">
        <v>0</v>
      </c>
      <c r="BQ18" s="1">
        <f t="shared" si="26"/>
        <v>0</v>
      </c>
      <c r="BS18" s="9">
        <f t="shared" si="27"/>
        <v>3.14</v>
      </c>
      <c r="BT18" s="10">
        <f t="shared" si="28"/>
        <v>0.24123847100000001</v>
      </c>
      <c r="BU18" s="9">
        <f t="shared" si="29"/>
        <v>0.18104824</v>
      </c>
      <c r="BV18" s="9">
        <f t="shared" si="30"/>
        <v>1.5714285714285715E-2</v>
      </c>
      <c r="BX18" s="10">
        <v>1</v>
      </c>
      <c r="BY18" s="10">
        <f t="shared" si="31"/>
        <v>0.67299662739933241</v>
      </c>
      <c r="CA18" s="10">
        <f t="shared" si="32"/>
        <v>0.38885408131600002</v>
      </c>
      <c r="CB18" s="10">
        <f t="shared" si="33"/>
        <v>3.1114299132937305E-2</v>
      </c>
      <c r="CC18" s="10">
        <f t="shared" si="34"/>
        <v>3.6333708066740841E-2</v>
      </c>
      <c r="CD18" s="10">
        <f t="shared" si="35"/>
        <v>1.5871428571428571E-2</v>
      </c>
      <c r="CE18" s="10">
        <f t="shared" si="36"/>
        <v>0.32700337260066764</v>
      </c>
      <c r="CF18" s="10">
        <f t="shared" si="37"/>
        <v>0.20082311031222566</v>
      </c>
      <c r="CG18" s="10">
        <f t="shared" si="38"/>
        <v>0.67299662739933241</v>
      </c>
    </row>
    <row r="19" spans="2:85" x14ac:dyDescent="0.2">
      <c r="B19" s="14" t="s">
        <v>108</v>
      </c>
      <c r="C19" s="13" t="s">
        <v>84</v>
      </c>
      <c r="D19" s="13">
        <v>0</v>
      </c>
      <c r="E19" s="13">
        <v>5.4424706709999997</v>
      </c>
      <c r="F19" s="13">
        <v>0.17633674630000001</v>
      </c>
      <c r="G19" s="13">
        <v>0.1137656428</v>
      </c>
      <c r="H19" s="13">
        <v>0.15787734950000001</v>
      </c>
      <c r="I19" s="13">
        <v>0.76475307729999997</v>
      </c>
      <c r="J19" s="13">
        <v>0.41383317400000003</v>
      </c>
      <c r="K19" s="27">
        <f t="shared" si="0"/>
        <v>0.41383317371333472</v>
      </c>
      <c r="L19" s="13">
        <v>174237.6587</v>
      </c>
      <c r="M19" s="13">
        <v>95841.654150000002</v>
      </c>
      <c r="N19" s="13">
        <v>2.9463016839999998</v>
      </c>
      <c r="O19" s="13">
        <f t="shared" si="1"/>
        <v>-45.313083991760003</v>
      </c>
      <c r="P19" s="26">
        <v>1.01</v>
      </c>
      <c r="Q19" s="26">
        <f t="shared" si="2"/>
        <v>0.11490329922799999</v>
      </c>
      <c r="S19" s="16">
        <v>73.71884</v>
      </c>
      <c r="T19" s="16">
        <v>-4.302149</v>
      </c>
      <c r="U19" s="16">
        <v>61.152786999999996</v>
      </c>
      <c r="V19" s="16">
        <v>40.832245999999998</v>
      </c>
      <c r="W19" s="16">
        <v>41.356794999999998</v>
      </c>
      <c r="X19" s="26">
        <v>420</v>
      </c>
      <c r="Y19" s="11">
        <v>21.986353300000001</v>
      </c>
      <c r="Z19" s="17">
        <v>-1.8192109999999999</v>
      </c>
      <c r="AA19" s="17"/>
      <c r="AB19" s="16">
        <v>21.021514</v>
      </c>
      <c r="AC19" s="16">
        <v>9.0440679999999993</v>
      </c>
      <c r="AD19" s="16"/>
      <c r="AE19" s="17">
        <v>-126.225199</v>
      </c>
      <c r="AF19" s="17">
        <v>-126.225199</v>
      </c>
      <c r="AG19" s="17"/>
      <c r="AH19" s="17"/>
      <c r="AI19" s="17"/>
      <c r="AJ19" s="17"/>
      <c r="AK19" s="16">
        <v>10.321106</v>
      </c>
      <c r="AL19" s="16">
        <v>0</v>
      </c>
      <c r="AM19" s="16">
        <v>822.26752199999999</v>
      </c>
      <c r="AN19" s="16">
        <v>0</v>
      </c>
      <c r="AP19" s="1" t="str">
        <f t="shared" si="3"/>
        <v>SW_Synthetic_Ethylene_Non_CCS</v>
      </c>
      <c r="AQ19" s="1" t="str">
        <f t="shared" si="4"/>
        <v>CO2Captured</v>
      </c>
      <c r="AR19" s="12">
        <f t="shared" si="5"/>
        <v>440.88518520160773</v>
      </c>
      <c r="AS19" s="12">
        <f t="shared" si="6"/>
        <v>440.88518520160773</v>
      </c>
      <c r="AT19" s="5">
        <f t="shared" si="7"/>
        <v>0</v>
      </c>
      <c r="AU19" s="12">
        <f t="shared" si="8"/>
        <v>468.38935613291721</v>
      </c>
      <c r="AV19" s="12">
        <f t="shared" si="9"/>
        <v>468.38935613291721</v>
      </c>
      <c r="AW19" s="5">
        <f t="shared" si="10"/>
        <v>0</v>
      </c>
      <c r="AX19" s="5">
        <f t="shared" si="11"/>
        <v>432.66203772137101</v>
      </c>
      <c r="AY19" s="1">
        <f t="shared" si="12"/>
        <v>32.583346692608842</v>
      </c>
      <c r="AZ19" s="1">
        <f t="shared" si="13"/>
        <v>610.17271376064343</v>
      </c>
      <c r="BA19" s="1">
        <f t="shared" si="14"/>
        <v>-14.323031269230848</v>
      </c>
      <c r="BB19" s="1">
        <f t="shared" si="15"/>
        <v>-848.50845116531866</v>
      </c>
      <c r="BC19" s="1">
        <f t="shared" si="16"/>
        <v>194.26040330394619</v>
      </c>
      <c r="BD19" s="1">
        <f t="shared" si="17"/>
        <v>106.85542108065717</v>
      </c>
      <c r="BE19" s="1">
        <f t="shared" si="18"/>
        <v>-45.313083991760003</v>
      </c>
      <c r="BF19" s="1">
        <f t="shared" si="19"/>
        <v>-0.37309554696342861</v>
      </c>
      <c r="BG19" s="1">
        <v>0</v>
      </c>
      <c r="BH19" s="1">
        <f t="shared" si="20"/>
        <v>-27.504170931309481</v>
      </c>
      <c r="BI19" s="1">
        <f t="shared" si="21"/>
        <v>-0.37309554696342861</v>
      </c>
      <c r="BJ19" s="1">
        <v>0</v>
      </c>
      <c r="BK19" s="1">
        <f t="shared" si="22"/>
        <v>-27.504170931309481</v>
      </c>
      <c r="BL19" s="1">
        <f t="shared" si="23"/>
        <v>0</v>
      </c>
      <c r="BM19" s="1">
        <v>0</v>
      </c>
      <c r="BN19" s="1">
        <f t="shared" si="24"/>
        <v>0</v>
      </c>
      <c r="BO19" s="1">
        <f t="shared" si="25"/>
        <v>0</v>
      </c>
      <c r="BP19" s="1">
        <v>0</v>
      </c>
      <c r="BQ19" s="1">
        <f t="shared" si="26"/>
        <v>0</v>
      </c>
      <c r="BS19" s="9">
        <f t="shared" si="27"/>
        <v>3.14</v>
      </c>
      <c r="BT19" s="10">
        <f t="shared" si="28"/>
        <v>0.24123847100000001</v>
      </c>
      <c r="BU19" s="9">
        <f t="shared" si="29"/>
        <v>0.18104824</v>
      </c>
      <c r="BV19" s="9">
        <f t="shared" si="30"/>
        <v>1.5714285714285715E-2</v>
      </c>
      <c r="BX19" s="10">
        <v>1</v>
      </c>
      <c r="BY19" s="10">
        <f t="shared" si="31"/>
        <v>1</v>
      </c>
      <c r="CA19" s="10">
        <f t="shared" si="32"/>
        <v>0.35722411839200002</v>
      </c>
      <c r="CB19" s="10">
        <f t="shared" si="33"/>
        <v>2.8583416262839882E-2</v>
      </c>
      <c r="CC19" s="10">
        <f t="shared" si="34"/>
        <v>0.41383317371333478</v>
      </c>
      <c r="CD19" s="10">
        <f t="shared" si="35"/>
        <v>1.5871428571428571E-2</v>
      </c>
      <c r="CE19" s="10">
        <f t="shared" si="36"/>
        <v>0</v>
      </c>
      <c r="CF19" s="10">
        <f t="shared" si="37"/>
        <v>0.1844878630603968</v>
      </c>
      <c r="CG19" s="10">
        <f t="shared" si="38"/>
        <v>1</v>
      </c>
    </row>
    <row r="20" spans="2:85" x14ac:dyDescent="0.2">
      <c r="B20" s="14" t="s">
        <v>109</v>
      </c>
      <c r="C20" s="13" t="s">
        <v>84</v>
      </c>
      <c r="D20" s="13">
        <v>0.9</v>
      </c>
      <c r="E20" s="13">
        <v>5.9243674339999997</v>
      </c>
      <c r="F20" s="13">
        <v>0.24466847410000001</v>
      </c>
      <c r="G20" s="13">
        <v>0.1238388794</v>
      </c>
      <c r="H20" s="13">
        <v>0.1718564021</v>
      </c>
      <c r="I20" s="13">
        <v>0.83246718269999997</v>
      </c>
      <c r="J20" s="13">
        <v>3.6333707999999999E-2</v>
      </c>
      <c r="K20" s="27">
        <f t="shared" si="0"/>
        <v>3.6333708066740855E-2</v>
      </c>
      <c r="L20" s="13">
        <v>209498.31779999999</v>
      </c>
      <c r="M20" s="13">
        <v>115165.852</v>
      </c>
      <c r="N20" s="13">
        <v>3.542547876</v>
      </c>
      <c r="O20" s="13">
        <f t="shared" si="1"/>
        <v>-48.989904765479999</v>
      </c>
      <c r="P20" s="26">
        <v>1.01</v>
      </c>
      <c r="Q20" s="26">
        <f t="shared" si="2"/>
        <v>0.125077268194</v>
      </c>
      <c r="S20" s="16">
        <v>73.71884</v>
      </c>
      <c r="T20" s="16">
        <v>-4.302149</v>
      </c>
      <c r="U20" s="16">
        <v>61.152786999999996</v>
      </c>
      <c r="V20" s="16">
        <v>40.832245999999998</v>
      </c>
      <c r="W20" s="16">
        <v>41.356794999999998</v>
      </c>
      <c r="X20" s="26">
        <v>420</v>
      </c>
      <c r="Y20" s="11">
        <v>21.986353300000001</v>
      </c>
      <c r="Z20" s="17">
        <v>-1.8192109999999999</v>
      </c>
      <c r="AA20" s="17"/>
      <c r="AB20" s="16">
        <v>21.021514</v>
      </c>
      <c r="AC20" s="16">
        <v>9.0440679999999993</v>
      </c>
      <c r="AD20" s="16"/>
      <c r="AE20" s="17">
        <v>-126.225199</v>
      </c>
      <c r="AF20" s="17">
        <v>-126.225199</v>
      </c>
      <c r="AG20" s="17"/>
      <c r="AH20" s="17"/>
      <c r="AI20" s="17"/>
      <c r="AJ20" s="17"/>
      <c r="AK20" s="16">
        <v>10.321106</v>
      </c>
      <c r="AL20" s="16">
        <v>0</v>
      </c>
      <c r="AM20" s="16">
        <v>822.26752199999999</v>
      </c>
      <c r="AN20" s="16">
        <v>0</v>
      </c>
      <c r="AP20" s="1" t="str">
        <f t="shared" si="3"/>
        <v>SW_Synthetic_Ethylene_CCS_90</v>
      </c>
      <c r="AQ20" s="1" t="str">
        <f t="shared" si="4"/>
        <v>CO2Captured</v>
      </c>
      <c r="AR20" s="12">
        <f t="shared" si="5"/>
        <v>425.60725218664447</v>
      </c>
      <c r="AS20" s="12">
        <f t="shared" si="6"/>
        <v>425.60725218664447</v>
      </c>
      <c r="AT20" s="5">
        <f t="shared" si="7"/>
        <v>0</v>
      </c>
      <c r="AU20" s="12">
        <f t="shared" si="8"/>
        <v>455.44314729395421</v>
      </c>
      <c r="AV20" s="12">
        <f t="shared" si="9"/>
        <v>455.44314729395421</v>
      </c>
      <c r="AW20" s="5">
        <f t="shared" si="10"/>
        <v>0</v>
      </c>
      <c r="AX20" s="5">
        <f t="shared" si="11"/>
        <v>432.66203788082328</v>
      </c>
      <c r="AY20" s="1">
        <f t="shared" si="12"/>
        <v>41.532205221583972</v>
      </c>
      <c r="AZ20" s="1">
        <f t="shared" si="13"/>
        <v>560.54036774496194</v>
      </c>
      <c r="BA20" s="1">
        <f t="shared" si="14"/>
        <v>-14.323031276175474</v>
      </c>
      <c r="BB20" s="1">
        <f t="shared" si="15"/>
        <v>-848.50845151685746</v>
      </c>
      <c r="BC20" s="1">
        <f t="shared" si="16"/>
        <v>214.57390798665784</v>
      </c>
      <c r="BD20" s="1">
        <f t="shared" si="17"/>
        <v>117.95601601844012</v>
      </c>
      <c r="BE20" s="1">
        <f t="shared" si="18"/>
        <v>-48.989904765479999</v>
      </c>
      <c r="BF20" s="1">
        <f t="shared" si="19"/>
        <v>-0.40472550988742861</v>
      </c>
      <c r="BG20" s="1">
        <v>0</v>
      </c>
      <c r="BH20" s="1">
        <f t="shared" si="20"/>
        <v>-29.835895107309767</v>
      </c>
      <c r="BI20" s="1">
        <f t="shared" si="21"/>
        <v>-0.40472550988742861</v>
      </c>
      <c r="BJ20" s="1">
        <v>0</v>
      </c>
      <c r="BK20" s="1">
        <f t="shared" si="22"/>
        <v>-29.835895107309767</v>
      </c>
      <c r="BL20" s="1">
        <f t="shared" si="23"/>
        <v>0</v>
      </c>
      <c r="BM20" s="1">
        <v>0</v>
      </c>
      <c r="BN20" s="1">
        <f t="shared" si="24"/>
        <v>0</v>
      </c>
      <c r="BO20" s="1">
        <f t="shared" si="25"/>
        <v>0</v>
      </c>
      <c r="BP20" s="1">
        <v>0</v>
      </c>
      <c r="BQ20" s="1">
        <f t="shared" si="26"/>
        <v>0</v>
      </c>
      <c r="BS20" s="9">
        <f t="shared" si="27"/>
        <v>3.14</v>
      </c>
      <c r="BT20" s="10">
        <f t="shared" si="28"/>
        <v>0.24123847100000001</v>
      </c>
      <c r="BU20" s="9">
        <f t="shared" si="29"/>
        <v>0.18104824</v>
      </c>
      <c r="BV20" s="9">
        <f t="shared" si="30"/>
        <v>1.5714285714285715E-2</v>
      </c>
      <c r="BX20" s="10">
        <v>1</v>
      </c>
      <c r="BY20" s="10">
        <f t="shared" si="31"/>
        <v>0.67299662739933241</v>
      </c>
      <c r="CA20" s="10">
        <f t="shared" si="32"/>
        <v>0.38885408131600002</v>
      </c>
      <c r="CB20" s="10">
        <f t="shared" si="33"/>
        <v>3.1114299132937305E-2</v>
      </c>
      <c r="CC20" s="10">
        <f t="shared" si="34"/>
        <v>3.6333708066740841E-2</v>
      </c>
      <c r="CD20" s="10">
        <f t="shared" si="35"/>
        <v>1.5871428571428571E-2</v>
      </c>
      <c r="CE20" s="10">
        <f t="shared" si="36"/>
        <v>0.32700337260066764</v>
      </c>
      <c r="CF20" s="10">
        <f t="shared" si="37"/>
        <v>0.20082311031222566</v>
      </c>
      <c r="CG20" s="10">
        <f t="shared" si="38"/>
        <v>0.67299662739933241</v>
      </c>
    </row>
    <row r="21" spans="2:85" x14ac:dyDescent="0.2">
      <c r="B21" s="14"/>
      <c r="C21" s="13"/>
      <c r="D21" s="13"/>
      <c r="E21" s="13"/>
      <c r="F21" s="13"/>
      <c r="G21" s="13"/>
      <c r="H21" s="13"/>
      <c r="I21" s="13"/>
      <c r="J21" s="13"/>
      <c r="K21" s="27"/>
      <c r="L21" s="13"/>
      <c r="M21" s="13"/>
      <c r="N21" s="13"/>
      <c r="O21" s="13"/>
      <c r="P21" s="26">
        <v>1.01</v>
      </c>
      <c r="Q21" s="26"/>
      <c r="S21" s="16"/>
      <c r="T21" s="16"/>
      <c r="U21" s="16"/>
      <c r="V21" s="16"/>
      <c r="W21" s="16"/>
      <c r="X21" s="26">
        <v>420</v>
      </c>
      <c r="Y21" s="11"/>
      <c r="Z21" s="17"/>
      <c r="AA21" s="17"/>
      <c r="AB21" s="16"/>
      <c r="AC21" s="16"/>
      <c r="AD21" s="16"/>
      <c r="AE21" s="17"/>
      <c r="AF21" s="17"/>
      <c r="AG21" s="17"/>
      <c r="AH21" s="17"/>
      <c r="AI21" s="17"/>
      <c r="AJ21" s="17"/>
      <c r="AK21" s="16"/>
      <c r="AL21" s="16"/>
      <c r="AM21" s="16"/>
      <c r="AN21" s="16"/>
      <c r="AR21" s="12"/>
      <c r="AS21" s="12"/>
      <c r="AT21" s="5"/>
      <c r="AU21" s="12"/>
      <c r="AV21" s="12"/>
      <c r="AW21" s="5"/>
      <c r="AX21" s="5"/>
      <c r="BS21" s="9"/>
      <c r="BT21" s="10"/>
      <c r="BU21" s="9"/>
      <c r="BV21" s="9"/>
      <c r="BX21" s="10"/>
      <c r="BY21" s="10"/>
      <c r="CA21" s="10"/>
      <c r="CB21" s="10"/>
      <c r="CC21" s="10"/>
      <c r="CD21" s="10"/>
      <c r="CE21" s="10"/>
      <c r="CF21" s="10"/>
      <c r="CG21" s="10"/>
    </row>
    <row r="22" spans="2:85" x14ac:dyDescent="0.2">
      <c r="B22" s="14"/>
      <c r="C22" s="13"/>
      <c r="D22" s="13"/>
      <c r="E22" s="13"/>
      <c r="F22" s="13"/>
      <c r="G22" s="13"/>
      <c r="H22" s="13"/>
      <c r="I22" s="13"/>
      <c r="J22" s="13"/>
      <c r="K22" s="27"/>
      <c r="L22" s="13"/>
      <c r="M22" s="13"/>
      <c r="N22" s="13"/>
      <c r="O22" s="13"/>
      <c r="P22" s="26">
        <v>1.01</v>
      </c>
      <c r="Q22" s="26"/>
      <c r="S22" s="16"/>
      <c r="T22" s="16"/>
      <c r="U22" s="16"/>
      <c r="V22" s="16"/>
      <c r="W22" s="16"/>
      <c r="X22" s="26">
        <v>420</v>
      </c>
      <c r="Y22" s="11"/>
      <c r="Z22" s="17"/>
      <c r="AA22" s="17"/>
      <c r="AB22" s="16"/>
      <c r="AC22" s="16"/>
      <c r="AD22" s="16"/>
      <c r="AE22" s="17"/>
      <c r="AF22" s="17"/>
      <c r="AG22" s="17"/>
      <c r="AH22" s="17"/>
      <c r="AI22" s="17"/>
      <c r="AJ22" s="17"/>
      <c r="AK22" s="16"/>
      <c r="AL22" s="16"/>
      <c r="AM22" s="16"/>
      <c r="AN22" s="16"/>
      <c r="AR22" s="12"/>
      <c r="AS22" s="12"/>
      <c r="AT22" s="5"/>
      <c r="AU22" s="12"/>
      <c r="AV22" s="12"/>
      <c r="AW22" s="5"/>
      <c r="AX22" s="5"/>
      <c r="BS22" s="9"/>
      <c r="BT22" s="10"/>
      <c r="BU22" s="9"/>
      <c r="BV22" s="9"/>
      <c r="BX22" s="10"/>
      <c r="BY22" s="10"/>
      <c r="CA22" s="10"/>
      <c r="CB22" s="10"/>
      <c r="CC22" s="10"/>
      <c r="CD22" s="10"/>
      <c r="CE22" s="10"/>
      <c r="CF22" s="10"/>
      <c r="CG22" s="10"/>
    </row>
    <row r="23" spans="2:85" x14ac:dyDescent="0.2">
      <c r="B23" s="14"/>
      <c r="C23" s="13"/>
      <c r="D23" s="13"/>
      <c r="E23" s="13"/>
      <c r="F23" s="13"/>
      <c r="G23" s="13"/>
      <c r="H23" s="13"/>
      <c r="I23" s="13"/>
      <c r="J23" s="13"/>
      <c r="K23" s="27"/>
      <c r="L23" s="13"/>
      <c r="M23" s="13"/>
      <c r="N23" s="13"/>
      <c r="O23" s="13"/>
      <c r="P23" s="26">
        <v>1.01</v>
      </c>
      <c r="Q23" s="26"/>
      <c r="S23" s="16"/>
      <c r="T23" s="16"/>
      <c r="U23" s="16"/>
      <c r="V23" s="16"/>
      <c r="W23" s="16"/>
      <c r="X23" s="26">
        <v>420</v>
      </c>
      <c r="Y23" s="11"/>
      <c r="Z23" s="17"/>
      <c r="AA23" s="17"/>
      <c r="AB23" s="16"/>
      <c r="AC23" s="16"/>
      <c r="AD23" s="16"/>
      <c r="AE23" s="17"/>
      <c r="AF23" s="17"/>
      <c r="AG23" s="17"/>
      <c r="AH23" s="17"/>
      <c r="AI23" s="17"/>
      <c r="AJ23" s="17"/>
      <c r="AK23" s="16"/>
      <c r="AL23" s="16"/>
      <c r="AM23" s="16"/>
      <c r="AN23" s="16"/>
      <c r="AR23" s="12"/>
      <c r="AS23" s="12"/>
      <c r="AT23" s="5"/>
      <c r="AU23" s="12"/>
      <c r="AV23" s="12"/>
      <c r="AW23" s="5"/>
      <c r="AX23" s="5"/>
      <c r="BS23" s="9"/>
      <c r="BT23" s="10"/>
      <c r="BU23" s="9"/>
      <c r="BV23" s="9"/>
      <c r="BX23" s="10"/>
      <c r="BY23" s="10"/>
      <c r="CA23" s="10"/>
      <c r="CB23" s="10"/>
      <c r="CC23" s="10"/>
      <c r="CD23" s="10"/>
      <c r="CE23" s="10"/>
      <c r="CF23" s="10"/>
      <c r="CG23" s="10"/>
    </row>
    <row r="24" spans="2:85" x14ac:dyDescent="0.2">
      <c r="B24" s="14"/>
      <c r="C24" s="13"/>
      <c r="D24" s="13"/>
      <c r="E24" s="13"/>
      <c r="F24" s="13"/>
      <c r="G24" s="13"/>
      <c r="H24" s="13"/>
      <c r="I24" s="13"/>
      <c r="J24" s="13"/>
      <c r="K24" s="27"/>
      <c r="L24" s="13"/>
      <c r="M24" s="13"/>
      <c r="N24" s="13"/>
      <c r="O24" s="13"/>
      <c r="P24" s="26">
        <v>1.01</v>
      </c>
      <c r="Q24" s="26"/>
      <c r="S24" s="16"/>
      <c r="T24" s="16"/>
      <c r="U24" s="16"/>
      <c r="V24" s="16"/>
      <c r="W24" s="16"/>
      <c r="X24" s="26">
        <v>420</v>
      </c>
      <c r="Y24" s="11"/>
      <c r="Z24" s="17"/>
      <c r="AA24" s="17"/>
      <c r="AB24" s="16"/>
      <c r="AC24" s="16"/>
      <c r="AD24" s="16"/>
      <c r="AE24" s="17"/>
      <c r="AF24" s="17"/>
      <c r="AG24" s="17"/>
      <c r="AH24" s="17"/>
      <c r="AI24" s="17"/>
      <c r="AJ24" s="17"/>
      <c r="AK24" s="16"/>
      <c r="AL24" s="16"/>
      <c r="AM24" s="16"/>
      <c r="AN24" s="16"/>
      <c r="AR24" s="12"/>
      <c r="AS24" s="12"/>
      <c r="AT24" s="5"/>
      <c r="AU24" s="12"/>
      <c r="AV24" s="12"/>
      <c r="AW24" s="5"/>
      <c r="AX24" s="5"/>
      <c r="BS24" s="9"/>
      <c r="BT24" s="10"/>
      <c r="BU24" s="9"/>
      <c r="BV24" s="9"/>
      <c r="BX24" s="10"/>
      <c r="BY24" s="10"/>
      <c r="CA24" s="10"/>
      <c r="CB24" s="10"/>
      <c r="CC24" s="10"/>
      <c r="CD24" s="10"/>
      <c r="CE24" s="10"/>
      <c r="CF24" s="10"/>
      <c r="CG24" s="10"/>
    </row>
    <row r="25" spans="2:85" x14ac:dyDescent="0.2">
      <c r="B25" s="14"/>
      <c r="C25" s="13"/>
      <c r="D25" s="13"/>
      <c r="E25" s="13"/>
      <c r="F25" s="13"/>
      <c r="G25" s="13"/>
      <c r="H25" s="13"/>
      <c r="I25" s="13"/>
      <c r="J25" s="13"/>
      <c r="K25" s="27"/>
      <c r="L25" s="13"/>
      <c r="M25" s="13"/>
      <c r="N25" s="13"/>
      <c r="O25" s="13"/>
      <c r="P25" s="26">
        <v>1.01</v>
      </c>
      <c r="Q25" s="26"/>
      <c r="S25" s="16"/>
      <c r="T25" s="16"/>
      <c r="U25" s="16"/>
      <c r="V25" s="16"/>
      <c r="W25" s="16"/>
      <c r="X25" s="26">
        <v>420</v>
      </c>
      <c r="Y25" s="11"/>
      <c r="Z25" s="17"/>
      <c r="AA25" s="17"/>
      <c r="AB25" s="16"/>
      <c r="AC25" s="16"/>
      <c r="AD25" s="16"/>
      <c r="AE25" s="17"/>
      <c r="AF25" s="17"/>
      <c r="AG25" s="17"/>
      <c r="AH25" s="17"/>
      <c r="AI25" s="17"/>
      <c r="AJ25" s="17"/>
      <c r="AK25" s="16"/>
      <c r="AL25" s="16"/>
      <c r="AM25" s="16"/>
      <c r="AN25" s="16"/>
      <c r="AR25" s="12"/>
      <c r="AS25" s="12"/>
      <c r="AT25" s="5"/>
      <c r="AU25" s="12"/>
      <c r="AV25" s="12"/>
      <c r="AW25" s="5"/>
      <c r="AX25" s="5"/>
      <c r="BS25" s="9"/>
      <c r="BT25" s="10"/>
      <c r="BU25" s="9"/>
      <c r="BV25" s="9"/>
      <c r="BX25" s="10"/>
      <c r="BY25" s="10"/>
      <c r="CA25" s="10"/>
      <c r="CB25" s="10"/>
      <c r="CC25" s="10"/>
      <c r="CD25" s="10"/>
      <c r="CE25" s="10"/>
      <c r="CF25" s="10"/>
      <c r="CG25" s="10"/>
    </row>
    <row r="26" spans="2:85" x14ac:dyDescent="0.2">
      <c r="B26" s="14"/>
      <c r="C26" s="13"/>
      <c r="D26" s="13"/>
      <c r="E26" s="13"/>
      <c r="F26" s="13"/>
      <c r="G26" s="13"/>
      <c r="H26" s="13"/>
      <c r="I26" s="13"/>
      <c r="J26" s="13"/>
      <c r="K26" s="27"/>
      <c r="L26" s="13"/>
      <c r="M26" s="13"/>
      <c r="N26" s="13"/>
      <c r="O26" s="13"/>
      <c r="P26" s="26">
        <v>1.01</v>
      </c>
      <c r="Q26" s="26"/>
      <c r="S26" s="16"/>
      <c r="T26" s="16"/>
      <c r="U26" s="16"/>
      <c r="V26" s="16"/>
      <c r="W26" s="16"/>
      <c r="X26" s="26">
        <v>420</v>
      </c>
      <c r="Y26" s="11"/>
      <c r="Z26" s="17"/>
      <c r="AA26" s="17"/>
      <c r="AB26" s="16"/>
      <c r="AC26" s="16"/>
      <c r="AD26" s="16"/>
      <c r="AE26" s="17"/>
      <c r="AF26" s="17"/>
      <c r="AG26" s="17"/>
      <c r="AH26" s="17"/>
      <c r="AI26" s="17"/>
      <c r="AJ26" s="17"/>
      <c r="AK26" s="16"/>
      <c r="AL26" s="16"/>
      <c r="AM26" s="16"/>
      <c r="AN26" s="16"/>
      <c r="AR26" s="12"/>
      <c r="AS26" s="12"/>
      <c r="AT26" s="5"/>
      <c r="AU26" s="12"/>
      <c r="AV26" s="12"/>
      <c r="AW26" s="5"/>
      <c r="AX26" s="5"/>
      <c r="BS26" s="9"/>
      <c r="BT26" s="10"/>
      <c r="BU26" s="9"/>
      <c r="BV26" s="9"/>
      <c r="BX26" s="10"/>
      <c r="BY26" s="10"/>
      <c r="CA26" s="10"/>
      <c r="CB26" s="10"/>
      <c r="CC26" s="10"/>
      <c r="CD26" s="10"/>
      <c r="CE26" s="10"/>
      <c r="CF26" s="10"/>
      <c r="CG26" s="10"/>
    </row>
    <row r="27" spans="2:85" x14ac:dyDescent="0.2">
      <c r="B27" s="14"/>
      <c r="C27" s="13"/>
      <c r="D27" s="13"/>
      <c r="E27" s="13"/>
      <c r="F27" s="13"/>
      <c r="G27" s="13"/>
      <c r="H27" s="13"/>
      <c r="I27" s="13"/>
      <c r="J27" s="13"/>
      <c r="K27" s="27"/>
      <c r="L27" s="13"/>
      <c r="M27" s="13"/>
      <c r="N27" s="13"/>
      <c r="O27" s="13"/>
      <c r="P27" s="26">
        <v>1.01</v>
      </c>
      <c r="Q27" s="26"/>
      <c r="S27" s="16"/>
      <c r="T27" s="16"/>
      <c r="U27" s="16"/>
      <c r="V27" s="16"/>
      <c r="W27" s="16"/>
      <c r="X27" s="26">
        <v>420</v>
      </c>
      <c r="Y27" s="11"/>
      <c r="Z27" s="17"/>
      <c r="AA27" s="17"/>
      <c r="AB27" s="16"/>
      <c r="AC27" s="16"/>
      <c r="AD27" s="16"/>
      <c r="AE27" s="17"/>
      <c r="AF27" s="17"/>
      <c r="AG27" s="17"/>
      <c r="AH27" s="17"/>
      <c r="AI27" s="17"/>
      <c r="AJ27" s="17"/>
      <c r="AK27" s="16"/>
      <c r="AL27" s="16"/>
      <c r="AM27" s="16"/>
      <c r="AN27" s="16"/>
      <c r="AR27" s="12"/>
      <c r="AS27" s="12"/>
      <c r="AT27" s="5"/>
      <c r="AU27" s="12"/>
      <c r="AV27" s="12"/>
      <c r="AW27" s="5"/>
      <c r="AX27" s="5"/>
      <c r="BS27" s="9"/>
      <c r="BT27" s="10"/>
      <c r="BU27" s="9"/>
      <c r="BV27" s="9"/>
      <c r="BX27" s="10"/>
      <c r="BY27" s="10"/>
      <c r="CA27" s="10"/>
      <c r="CB27" s="10"/>
      <c r="CC27" s="10"/>
      <c r="CD27" s="10"/>
      <c r="CE27" s="10"/>
      <c r="CF27" s="10"/>
      <c r="CG27" s="10"/>
    </row>
    <row r="28" spans="2:85" x14ac:dyDescent="0.2">
      <c r="B28" s="14"/>
      <c r="C28" s="13"/>
      <c r="D28" s="13"/>
      <c r="E28" s="13"/>
      <c r="F28" s="13"/>
      <c r="G28" s="13"/>
      <c r="H28" s="13"/>
      <c r="I28" s="13"/>
      <c r="J28" s="13"/>
      <c r="K28" s="27"/>
      <c r="L28" s="13"/>
      <c r="M28" s="13"/>
      <c r="N28" s="13"/>
      <c r="O28" s="13"/>
      <c r="P28" s="26">
        <v>1.01</v>
      </c>
      <c r="Q28" s="26"/>
      <c r="S28" s="16"/>
      <c r="T28" s="16"/>
      <c r="U28" s="16"/>
      <c r="V28" s="16"/>
      <c r="W28" s="16"/>
      <c r="X28" s="26">
        <v>420</v>
      </c>
      <c r="Y28" s="11"/>
      <c r="Z28" s="17"/>
      <c r="AA28" s="17"/>
      <c r="AB28" s="16"/>
      <c r="AC28" s="16"/>
      <c r="AD28" s="16"/>
      <c r="AE28" s="17"/>
      <c r="AF28" s="17"/>
      <c r="AG28" s="17"/>
      <c r="AH28" s="17"/>
      <c r="AI28" s="17"/>
      <c r="AJ28" s="17"/>
      <c r="AK28" s="16"/>
      <c r="AL28" s="16"/>
      <c r="AM28" s="16"/>
      <c r="AN28" s="16"/>
      <c r="AR28" s="12"/>
      <c r="AS28" s="12"/>
      <c r="AT28" s="5"/>
      <c r="AU28" s="12"/>
      <c r="AV28" s="12"/>
      <c r="AW28" s="5"/>
      <c r="AX28" s="5"/>
      <c r="BS28" s="9"/>
      <c r="BT28" s="10"/>
      <c r="BU28" s="9"/>
      <c r="BV28" s="9"/>
      <c r="BX28" s="10"/>
      <c r="BY28" s="10"/>
      <c r="CA28" s="10"/>
      <c r="CB28" s="10"/>
      <c r="CC28" s="10"/>
      <c r="CD28" s="10"/>
      <c r="CE28" s="10"/>
      <c r="CF28" s="10"/>
      <c r="CG28" s="10"/>
    </row>
    <row r="29" spans="2:85" x14ac:dyDescent="0.2">
      <c r="B29" s="14"/>
      <c r="C29" s="13"/>
      <c r="D29" s="13"/>
      <c r="E29" s="13"/>
      <c r="F29" s="13"/>
      <c r="G29" s="13"/>
      <c r="H29" s="13"/>
      <c r="I29" s="13"/>
      <c r="J29" s="13"/>
      <c r="K29" s="27"/>
      <c r="L29" s="13"/>
      <c r="M29" s="13"/>
      <c r="N29" s="13"/>
      <c r="O29" s="13"/>
      <c r="P29" s="26">
        <v>1.01</v>
      </c>
      <c r="Q29" s="26"/>
      <c r="S29" s="16"/>
      <c r="T29" s="16"/>
      <c r="U29" s="16"/>
      <c r="V29" s="16"/>
      <c r="W29" s="16"/>
      <c r="X29" s="26">
        <v>420</v>
      </c>
      <c r="Y29" s="11"/>
      <c r="Z29" s="17"/>
      <c r="AA29" s="17"/>
      <c r="AB29" s="16"/>
      <c r="AC29" s="16"/>
      <c r="AD29" s="16"/>
      <c r="AE29" s="17"/>
      <c r="AF29" s="17"/>
      <c r="AG29" s="17"/>
      <c r="AH29" s="17"/>
      <c r="AI29" s="17"/>
      <c r="AJ29" s="17"/>
      <c r="AK29" s="16"/>
      <c r="AL29" s="16"/>
      <c r="AM29" s="16"/>
      <c r="AN29" s="16"/>
      <c r="AR29" s="12"/>
      <c r="AS29" s="12"/>
      <c r="AT29" s="5"/>
      <c r="AU29" s="12"/>
      <c r="AV29" s="12"/>
      <c r="AW29" s="5"/>
      <c r="AX29" s="5"/>
      <c r="BS29" s="9"/>
      <c r="BT29" s="10"/>
      <c r="BU29" s="9"/>
      <c r="BV29" s="9"/>
      <c r="BX29" s="10"/>
      <c r="BY29" s="10"/>
      <c r="CA29" s="10"/>
      <c r="CB29" s="10"/>
      <c r="CC29" s="10"/>
      <c r="CD29" s="10"/>
      <c r="CE29" s="10"/>
      <c r="CF29" s="10"/>
      <c r="CG29" s="10"/>
    </row>
    <row r="30" spans="2:85" x14ac:dyDescent="0.2">
      <c r="B30" s="14"/>
      <c r="C30" s="13"/>
      <c r="D30" s="13"/>
      <c r="E30" s="13"/>
      <c r="F30" s="13"/>
      <c r="G30" s="13"/>
      <c r="H30" s="13"/>
      <c r="I30" s="13"/>
      <c r="J30" s="13"/>
      <c r="K30" s="27"/>
      <c r="L30" s="13"/>
      <c r="M30" s="13"/>
      <c r="N30" s="13"/>
      <c r="O30" s="13"/>
      <c r="P30" s="26">
        <v>1.01</v>
      </c>
      <c r="Q30" s="26"/>
      <c r="S30" s="16"/>
      <c r="T30" s="16"/>
      <c r="U30" s="16"/>
      <c r="V30" s="16"/>
      <c r="W30" s="16"/>
      <c r="X30" s="26">
        <v>420</v>
      </c>
      <c r="Y30" s="11"/>
      <c r="Z30" s="17"/>
      <c r="AA30" s="17"/>
      <c r="AB30" s="16"/>
      <c r="AC30" s="16"/>
      <c r="AD30" s="16"/>
      <c r="AE30" s="17"/>
      <c r="AF30" s="17"/>
      <c r="AG30" s="17"/>
      <c r="AH30" s="17"/>
      <c r="AI30" s="17"/>
      <c r="AJ30" s="17"/>
      <c r="AK30" s="16"/>
      <c r="AL30" s="16"/>
      <c r="AM30" s="16"/>
      <c r="AN30" s="16"/>
      <c r="AR30" s="12"/>
      <c r="AS30" s="12"/>
      <c r="AT30" s="5"/>
      <c r="AU30" s="12"/>
      <c r="AV30" s="12"/>
      <c r="AW30" s="5"/>
      <c r="AX30" s="5"/>
      <c r="BS30" s="9"/>
      <c r="BT30" s="10"/>
      <c r="BU30" s="9"/>
      <c r="BV30" s="9"/>
      <c r="BX30" s="10"/>
      <c r="BY30" s="10"/>
      <c r="CA30" s="10"/>
      <c r="CB30" s="10"/>
      <c r="CC30" s="10"/>
      <c r="CD30" s="10"/>
      <c r="CE30" s="10"/>
      <c r="CF30" s="10"/>
      <c r="CG30" s="10"/>
    </row>
    <row r="31" spans="2:85" x14ac:dyDescent="0.2">
      <c r="B31" s="14"/>
      <c r="C31" s="13"/>
      <c r="D31" s="13"/>
      <c r="E31" s="13"/>
      <c r="F31" s="13"/>
      <c r="G31" s="13"/>
      <c r="H31" s="13"/>
      <c r="I31" s="13"/>
      <c r="J31" s="13"/>
      <c r="K31" s="27"/>
      <c r="L31" s="13"/>
      <c r="M31" s="13"/>
      <c r="N31" s="13"/>
      <c r="O31" s="13"/>
      <c r="P31" s="26">
        <v>1.01</v>
      </c>
      <c r="Q31" s="26"/>
      <c r="S31" s="16"/>
      <c r="T31" s="16"/>
      <c r="U31" s="16"/>
      <c r="V31" s="16"/>
      <c r="W31" s="16"/>
      <c r="X31" s="26">
        <v>420</v>
      </c>
      <c r="Y31" s="11"/>
      <c r="Z31" s="17"/>
      <c r="AA31" s="17"/>
      <c r="AB31" s="16"/>
      <c r="AC31" s="16"/>
      <c r="AD31" s="16"/>
      <c r="AE31" s="17"/>
      <c r="AF31" s="17"/>
      <c r="AG31" s="17"/>
      <c r="AH31" s="17"/>
      <c r="AI31" s="17"/>
      <c r="AJ31" s="17"/>
      <c r="AK31" s="16"/>
      <c r="AL31" s="16"/>
      <c r="AM31" s="16"/>
      <c r="AN31" s="16"/>
      <c r="AR31" s="12"/>
      <c r="AS31" s="12"/>
      <c r="AT31" s="5"/>
      <c r="AU31" s="12"/>
      <c r="AV31" s="12"/>
      <c r="AW31" s="5"/>
      <c r="AX31" s="5"/>
      <c r="BS31" s="9"/>
      <c r="BT31" s="10"/>
      <c r="BU31" s="9"/>
      <c r="BV31" s="9"/>
      <c r="BX31" s="10"/>
      <c r="BY31" s="10"/>
      <c r="CA31" s="10"/>
      <c r="CB31" s="10"/>
      <c r="CC31" s="10"/>
      <c r="CD31" s="10"/>
      <c r="CE31" s="10"/>
      <c r="CF31" s="10"/>
      <c r="CG31" s="10"/>
    </row>
    <row r="32" spans="2:85" x14ac:dyDescent="0.2">
      <c r="B32" s="14"/>
      <c r="C32" s="13"/>
      <c r="D32" s="13"/>
      <c r="E32" s="13"/>
      <c r="F32" s="13"/>
      <c r="G32" s="13"/>
      <c r="H32" s="13"/>
      <c r="I32" s="13"/>
      <c r="J32" s="13"/>
      <c r="K32" s="27"/>
      <c r="L32" s="13"/>
      <c r="M32" s="13"/>
      <c r="N32" s="13"/>
      <c r="O32" s="13"/>
      <c r="P32" s="26">
        <v>1.01</v>
      </c>
      <c r="Q32" s="26"/>
      <c r="S32" s="16"/>
      <c r="T32" s="16"/>
      <c r="U32" s="16"/>
      <c r="V32" s="16"/>
      <c r="W32" s="16"/>
      <c r="X32" s="26">
        <v>420</v>
      </c>
      <c r="Y32" s="11"/>
      <c r="Z32" s="17"/>
      <c r="AA32" s="17"/>
      <c r="AB32" s="16"/>
      <c r="AC32" s="16"/>
      <c r="AD32" s="16"/>
      <c r="AE32" s="17"/>
      <c r="AF32" s="17"/>
      <c r="AG32" s="17"/>
      <c r="AH32" s="17"/>
      <c r="AI32" s="17"/>
      <c r="AJ32" s="17"/>
      <c r="AK32" s="16"/>
      <c r="AL32" s="16"/>
      <c r="AM32" s="16"/>
      <c r="AN32" s="16"/>
      <c r="AR32" s="12"/>
      <c r="AS32" s="12"/>
      <c r="AT32" s="5"/>
      <c r="AU32" s="12"/>
      <c r="AV32" s="12"/>
      <c r="AW32" s="5"/>
      <c r="AX32" s="5"/>
      <c r="BS32" s="9"/>
      <c r="BT32" s="10"/>
      <c r="BU32" s="9"/>
      <c r="BV32" s="9"/>
      <c r="BX32" s="10"/>
      <c r="BY32" s="10"/>
      <c r="CA32" s="10"/>
      <c r="CB32" s="10"/>
      <c r="CC32" s="10"/>
      <c r="CD32" s="10"/>
      <c r="CE32" s="10"/>
      <c r="CF32" s="10"/>
      <c r="CG32" s="10"/>
    </row>
    <row r="33" spans="2:85" x14ac:dyDescent="0.2">
      <c r="B33" s="14"/>
      <c r="C33" s="13"/>
      <c r="D33" s="13"/>
      <c r="E33" s="13"/>
      <c r="F33" s="13"/>
      <c r="G33" s="13"/>
      <c r="H33" s="13"/>
      <c r="I33" s="13"/>
      <c r="J33" s="13"/>
      <c r="K33" s="27"/>
      <c r="L33" s="13"/>
      <c r="M33" s="13"/>
      <c r="N33" s="13"/>
      <c r="O33" s="13"/>
      <c r="P33" s="26">
        <v>1.01</v>
      </c>
      <c r="Q33" s="26"/>
      <c r="S33" s="16"/>
      <c r="T33" s="16"/>
      <c r="U33" s="16"/>
      <c r="V33" s="16"/>
      <c r="W33" s="16"/>
      <c r="X33" s="26">
        <v>420</v>
      </c>
      <c r="Y33" s="11"/>
      <c r="Z33" s="17"/>
      <c r="AA33" s="17"/>
      <c r="AB33" s="16"/>
      <c r="AC33" s="16"/>
      <c r="AD33" s="16"/>
      <c r="AE33" s="17"/>
      <c r="AF33" s="17"/>
      <c r="AG33" s="17"/>
      <c r="AH33" s="17"/>
      <c r="AI33" s="17"/>
      <c r="AJ33" s="17"/>
      <c r="AK33" s="16"/>
      <c r="AL33" s="16"/>
      <c r="AM33" s="16"/>
      <c r="AN33" s="16"/>
      <c r="AR33" s="12"/>
      <c r="AS33" s="12"/>
      <c r="AT33" s="5"/>
      <c r="AU33" s="12"/>
      <c r="AV33" s="12"/>
      <c r="AW33" s="5"/>
      <c r="AX33" s="5"/>
      <c r="BS33" s="9"/>
      <c r="BT33" s="10"/>
      <c r="BU33" s="9"/>
      <c r="BV33" s="9"/>
      <c r="BX33" s="10"/>
      <c r="BY33" s="10"/>
      <c r="CA33" s="10"/>
      <c r="CB33" s="10"/>
      <c r="CC33" s="10"/>
      <c r="CD33" s="10"/>
      <c r="CE33" s="10"/>
      <c r="CF33" s="10"/>
      <c r="CG33" s="10"/>
    </row>
    <row r="34" spans="2:85" x14ac:dyDescent="0.2">
      <c r="B34" s="14"/>
      <c r="C34" s="13"/>
      <c r="D34" s="13"/>
      <c r="E34" s="13"/>
      <c r="F34" s="13"/>
      <c r="G34" s="13"/>
      <c r="H34" s="13"/>
      <c r="I34" s="13"/>
      <c r="J34" s="13"/>
      <c r="K34" s="27"/>
      <c r="L34" s="13"/>
      <c r="M34" s="13"/>
      <c r="N34" s="13"/>
      <c r="O34" s="13"/>
      <c r="P34" s="26">
        <v>1.01</v>
      </c>
      <c r="Q34" s="26"/>
      <c r="S34" s="16"/>
      <c r="T34" s="16"/>
      <c r="U34" s="16"/>
      <c r="V34" s="16"/>
      <c r="W34" s="16"/>
      <c r="X34" s="26">
        <v>420</v>
      </c>
      <c r="Y34" s="11"/>
      <c r="Z34" s="17"/>
      <c r="AA34" s="17"/>
      <c r="AB34" s="16"/>
      <c r="AC34" s="16"/>
      <c r="AD34" s="16"/>
      <c r="AE34" s="17"/>
      <c r="AF34" s="17"/>
      <c r="AG34" s="17"/>
      <c r="AH34" s="17"/>
      <c r="AI34" s="17"/>
      <c r="AJ34" s="17"/>
      <c r="AK34" s="16"/>
      <c r="AL34" s="16"/>
      <c r="AM34" s="16"/>
      <c r="AN34" s="16"/>
      <c r="AR34" s="12"/>
      <c r="AS34" s="12"/>
      <c r="AT34" s="5"/>
      <c r="AU34" s="12"/>
      <c r="AV34" s="12"/>
      <c r="AW34" s="5"/>
      <c r="AX34" s="5"/>
      <c r="BS34" s="9"/>
      <c r="BT34" s="10"/>
      <c r="BU34" s="9"/>
      <c r="BV34" s="9"/>
      <c r="BX34" s="10"/>
      <c r="BY34" s="10"/>
      <c r="CA34" s="10"/>
      <c r="CB34" s="10"/>
      <c r="CC34" s="10"/>
      <c r="CD34" s="10"/>
      <c r="CE34" s="10"/>
      <c r="CF34" s="10"/>
      <c r="CG34" s="10"/>
    </row>
    <row r="35" spans="2:85" x14ac:dyDescent="0.2">
      <c r="B35" s="14"/>
      <c r="C35" s="13"/>
      <c r="D35" s="13"/>
      <c r="E35" s="13"/>
      <c r="F35" s="13"/>
      <c r="G35" s="13"/>
      <c r="H35" s="13"/>
      <c r="I35" s="13"/>
      <c r="J35" s="13"/>
      <c r="K35" s="27"/>
      <c r="L35" s="13"/>
      <c r="M35" s="13"/>
      <c r="N35" s="13"/>
      <c r="O35" s="13"/>
      <c r="P35" s="26">
        <v>1.01</v>
      </c>
      <c r="Q35" s="26"/>
      <c r="S35" s="16"/>
      <c r="T35" s="16"/>
      <c r="U35" s="16"/>
      <c r="V35" s="16"/>
      <c r="W35" s="16"/>
      <c r="X35" s="26">
        <v>420</v>
      </c>
      <c r="Y35" s="11"/>
      <c r="Z35" s="17"/>
      <c r="AA35" s="17"/>
      <c r="AB35" s="16"/>
      <c r="AC35" s="16"/>
      <c r="AD35" s="16"/>
      <c r="AE35" s="17"/>
      <c r="AF35" s="17"/>
      <c r="AG35" s="17"/>
      <c r="AH35" s="17"/>
      <c r="AI35" s="17"/>
      <c r="AJ35" s="17"/>
      <c r="AK35" s="16"/>
      <c r="AL35" s="16"/>
      <c r="AM35" s="16"/>
      <c r="AN35" s="16"/>
      <c r="AR35" s="12"/>
      <c r="AS35" s="12"/>
      <c r="AT35" s="5"/>
      <c r="AU35" s="12"/>
      <c r="AV35" s="12"/>
      <c r="AW35" s="5"/>
      <c r="AX35" s="5"/>
      <c r="BS35" s="9"/>
      <c r="BT35" s="10"/>
      <c r="BU35" s="9"/>
      <c r="BV35" s="9"/>
      <c r="BX35" s="10"/>
      <c r="BY35" s="10"/>
      <c r="CA35" s="10"/>
      <c r="CB35" s="10"/>
      <c r="CC35" s="10"/>
      <c r="CD35" s="10"/>
      <c r="CE35" s="10"/>
      <c r="CF35" s="10"/>
      <c r="CG35" s="10"/>
    </row>
    <row r="36" spans="2:85" x14ac:dyDescent="0.2">
      <c r="B36" s="14"/>
      <c r="C36" s="13"/>
      <c r="D36" s="13"/>
      <c r="E36" s="13"/>
      <c r="F36" s="13"/>
      <c r="G36" s="13"/>
      <c r="H36" s="13"/>
      <c r="I36" s="13"/>
      <c r="J36" s="13"/>
      <c r="K36" s="27"/>
      <c r="L36" s="13"/>
      <c r="M36" s="13"/>
      <c r="N36" s="13"/>
      <c r="O36" s="13"/>
      <c r="P36" s="26">
        <v>1.01</v>
      </c>
      <c r="Q36" s="26"/>
      <c r="S36" s="16"/>
      <c r="T36" s="16"/>
      <c r="U36" s="16"/>
      <c r="V36" s="16"/>
      <c r="W36" s="16"/>
      <c r="X36" s="26">
        <v>420</v>
      </c>
      <c r="Y36" s="11"/>
      <c r="Z36" s="17"/>
      <c r="AA36" s="17"/>
      <c r="AB36" s="16"/>
      <c r="AC36" s="16"/>
      <c r="AD36" s="16"/>
      <c r="AE36" s="17"/>
      <c r="AF36" s="17"/>
      <c r="AG36" s="17"/>
      <c r="AH36" s="17"/>
      <c r="AI36" s="17"/>
      <c r="AJ36" s="17"/>
      <c r="AK36" s="16"/>
      <c r="AL36" s="16"/>
      <c r="AM36" s="16"/>
      <c r="AN36" s="16"/>
      <c r="AR36" s="12"/>
      <c r="AS36" s="12"/>
      <c r="AT36" s="5"/>
      <c r="AU36" s="12"/>
      <c r="AV36" s="12"/>
      <c r="AW36" s="5"/>
      <c r="AX36" s="5"/>
      <c r="BS36" s="9"/>
      <c r="BT36" s="10"/>
      <c r="BU36" s="9"/>
      <c r="BV36" s="9"/>
      <c r="BX36" s="10"/>
      <c r="BY36" s="10"/>
      <c r="CA36" s="10"/>
      <c r="CB36" s="10"/>
      <c r="CC36" s="10"/>
      <c r="CD36" s="10"/>
      <c r="CE36" s="10"/>
      <c r="CF36" s="10"/>
      <c r="CG36" s="10"/>
    </row>
    <row r="37" spans="2:85" x14ac:dyDescent="0.2">
      <c r="B37" s="14"/>
      <c r="C37" s="13"/>
      <c r="D37" s="13"/>
      <c r="E37" s="13"/>
      <c r="F37" s="13"/>
      <c r="G37" s="13"/>
      <c r="H37" s="13"/>
      <c r="I37" s="13"/>
      <c r="J37" s="13"/>
      <c r="K37" s="27"/>
      <c r="L37" s="13"/>
      <c r="M37" s="13"/>
      <c r="N37" s="13"/>
      <c r="O37" s="13"/>
      <c r="P37" s="26">
        <v>1.01</v>
      </c>
      <c r="Q37" s="26"/>
      <c r="S37" s="16"/>
      <c r="T37" s="16"/>
      <c r="U37" s="16"/>
      <c r="V37" s="16"/>
      <c r="W37" s="16"/>
      <c r="X37" s="26">
        <v>420</v>
      </c>
      <c r="Y37" s="11"/>
      <c r="Z37" s="17"/>
      <c r="AA37" s="17"/>
      <c r="AB37" s="16"/>
      <c r="AC37" s="16"/>
      <c r="AD37" s="16"/>
      <c r="AE37" s="17"/>
      <c r="AF37" s="17"/>
      <c r="AG37" s="17"/>
      <c r="AH37" s="17"/>
      <c r="AI37" s="17"/>
      <c r="AJ37" s="17"/>
      <c r="AK37" s="16"/>
      <c r="AL37" s="16"/>
      <c r="AM37" s="16"/>
      <c r="AN37" s="16"/>
      <c r="AR37" s="12"/>
      <c r="AS37" s="12"/>
      <c r="AT37" s="5"/>
      <c r="AU37" s="12"/>
      <c r="AV37" s="12"/>
      <c r="AW37" s="5"/>
      <c r="AX37" s="5"/>
      <c r="BS37" s="9"/>
      <c r="BT37" s="10"/>
      <c r="BU37" s="9"/>
      <c r="BV37" s="9"/>
      <c r="BX37" s="10"/>
      <c r="BY37" s="10"/>
      <c r="CA37" s="10"/>
      <c r="CB37" s="10"/>
      <c r="CC37" s="10"/>
      <c r="CD37" s="10"/>
      <c r="CE37" s="10"/>
      <c r="CF37" s="10"/>
      <c r="CG37" s="10"/>
    </row>
    <row r="38" spans="2:85" x14ac:dyDescent="0.2">
      <c r="B38" s="14"/>
      <c r="C38" s="13"/>
      <c r="D38" s="13"/>
      <c r="E38" s="13"/>
      <c r="F38" s="13"/>
      <c r="G38" s="13"/>
      <c r="H38" s="13"/>
      <c r="I38" s="13"/>
      <c r="J38" s="13"/>
      <c r="K38" s="27"/>
      <c r="L38" s="13"/>
      <c r="M38" s="13"/>
      <c r="N38" s="13"/>
      <c r="O38" s="13"/>
      <c r="P38" s="26">
        <v>1.01</v>
      </c>
      <c r="Q38" s="26"/>
      <c r="S38" s="16"/>
      <c r="T38" s="16"/>
      <c r="U38" s="16"/>
      <c r="V38" s="16"/>
      <c r="W38" s="16"/>
      <c r="X38" s="26">
        <v>420</v>
      </c>
      <c r="Y38" s="11"/>
      <c r="Z38" s="17"/>
      <c r="AA38" s="17"/>
      <c r="AB38" s="16"/>
      <c r="AC38" s="16"/>
      <c r="AD38" s="16"/>
      <c r="AE38" s="17"/>
      <c r="AF38" s="17"/>
      <c r="AG38" s="17"/>
      <c r="AH38" s="17"/>
      <c r="AI38" s="17"/>
      <c r="AJ38" s="17"/>
      <c r="AK38" s="16"/>
      <c r="AL38" s="16"/>
      <c r="AM38" s="16"/>
      <c r="AN38" s="16"/>
      <c r="AR38" s="12"/>
      <c r="AS38" s="12"/>
      <c r="AT38" s="5"/>
      <c r="AU38" s="12"/>
      <c r="AV38" s="12"/>
      <c r="AW38" s="5"/>
      <c r="AX38" s="5"/>
      <c r="BS38" s="9"/>
      <c r="BT38" s="10"/>
      <c r="BU38" s="9"/>
      <c r="BV38" s="9"/>
      <c r="BX38" s="10"/>
      <c r="BY38" s="10"/>
      <c r="CA38" s="10"/>
      <c r="CB38" s="10"/>
      <c r="CC38" s="10"/>
      <c r="CD38" s="10"/>
      <c r="CE38" s="10"/>
      <c r="CF38" s="10"/>
      <c r="CG38" s="10"/>
    </row>
    <row r="39" spans="2:85" x14ac:dyDescent="0.2">
      <c r="B39" s="14"/>
      <c r="C39" s="13"/>
      <c r="D39" s="13"/>
      <c r="E39" s="13"/>
      <c r="F39" s="13"/>
      <c r="G39" s="13"/>
      <c r="H39" s="13"/>
      <c r="I39" s="13"/>
      <c r="J39" s="13"/>
      <c r="K39" s="27"/>
      <c r="L39" s="13"/>
      <c r="M39" s="13"/>
      <c r="N39" s="13"/>
      <c r="O39" s="13"/>
      <c r="P39" s="26">
        <v>1.01</v>
      </c>
      <c r="Q39" s="26"/>
      <c r="S39" s="16"/>
      <c r="T39" s="16"/>
      <c r="U39" s="16"/>
      <c r="V39" s="16"/>
      <c r="W39" s="16"/>
      <c r="X39" s="26">
        <v>420</v>
      </c>
      <c r="Y39" s="11"/>
      <c r="Z39" s="17"/>
      <c r="AA39" s="17"/>
      <c r="AB39" s="16"/>
      <c r="AC39" s="16"/>
      <c r="AD39" s="16"/>
      <c r="AE39" s="17"/>
      <c r="AF39" s="17"/>
      <c r="AG39" s="17"/>
      <c r="AH39" s="17"/>
      <c r="AI39" s="17"/>
      <c r="AJ39" s="17"/>
      <c r="AK39" s="16"/>
      <c r="AL39" s="16"/>
      <c r="AM39" s="16"/>
      <c r="AN39" s="16"/>
      <c r="AR39" s="12"/>
      <c r="AS39" s="12"/>
      <c r="AT39" s="5"/>
      <c r="AU39" s="12"/>
      <c r="AV39" s="12"/>
      <c r="AW39" s="5"/>
      <c r="AX39" s="5"/>
      <c r="BS39" s="9"/>
      <c r="BT39" s="10"/>
      <c r="BU39" s="9"/>
      <c r="BV39" s="9"/>
      <c r="BX39" s="10"/>
      <c r="BY39" s="10"/>
      <c r="CA39" s="10"/>
      <c r="CB39" s="10"/>
      <c r="CC39" s="10"/>
      <c r="CD39" s="10"/>
      <c r="CE39" s="10"/>
      <c r="CF39" s="10"/>
      <c r="CG39" s="10"/>
    </row>
    <row r="40" spans="2:85" x14ac:dyDescent="0.2">
      <c r="B40" s="14"/>
      <c r="C40" s="13"/>
      <c r="D40" s="13"/>
      <c r="E40" s="13"/>
      <c r="F40" s="13"/>
      <c r="G40" s="13"/>
      <c r="H40" s="13"/>
      <c r="I40" s="13"/>
      <c r="J40" s="13"/>
      <c r="K40" s="27"/>
      <c r="L40" s="13"/>
      <c r="M40" s="13"/>
      <c r="N40" s="13"/>
      <c r="O40" s="13"/>
      <c r="P40" s="26">
        <v>1.01</v>
      </c>
      <c r="Q40" s="26"/>
      <c r="S40" s="16"/>
      <c r="T40" s="16"/>
      <c r="U40" s="16"/>
      <c r="V40" s="16"/>
      <c r="W40" s="16"/>
      <c r="X40" s="26">
        <v>420</v>
      </c>
      <c r="Y40" s="11"/>
      <c r="Z40" s="17"/>
      <c r="AA40" s="17"/>
      <c r="AB40" s="16"/>
      <c r="AC40" s="16"/>
      <c r="AD40" s="16"/>
      <c r="AE40" s="17"/>
      <c r="AF40" s="17"/>
      <c r="AG40" s="17"/>
      <c r="AH40" s="17"/>
      <c r="AI40" s="17"/>
      <c r="AJ40" s="17"/>
      <c r="AK40" s="16"/>
      <c r="AL40" s="16"/>
      <c r="AM40" s="16"/>
      <c r="AN40" s="16"/>
      <c r="AR40" s="12"/>
      <c r="AS40" s="12"/>
      <c r="AT40" s="5"/>
      <c r="AU40" s="12"/>
      <c r="AV40" s="12"/>
      <c r="AW40" s="5"/>
      <c r="AX40" s="5"/>
      <c r="BS40" s="9"/>
      <c r="BT40" s="10"/>
      <c r="BU40" s="9"/>
      <c r="BV40" s="9"/>
      <c r="BX40" s="10"/>
      <c r="BY40" s="10"/>
      <c r="CA40" s="10"/>
      <c r="CB40" s="10"/>
      <c r="CC40" s="10"/>
      <c r="CD40" s="10"/>
      <c r="CE40" s="10"/>
      <c r="CF40" s="10"/>
      <c r="CG40" s="10"/>
    </row>
    <row r="41" spans="2:85" x14ac:dyDescent="0.2">
      <c r="B41" s="14"/>
      <c r="C41" s="13"/>
      <c r="D41" s="13"/>
      <c r="E41" s="13"/>
      <c r="F41" s="13"/>
      <c r="G41" s="13"/>
      <c r="H41" s="13"/>
      <c r="I41" s="13"/>
      <c r="J41" s="13"/>
      <c r="K41" s="27"/>
      <c r="L41" s="13"/>
      <c r="M41" s="13"/>
      <c r="N41" s="13"/>
      <c r="O41" s="13"/>
      <c r="P41" s="26">
        <v>1.01</v>
      </c>
      <c r="Q41" s="26"/>
      <c r="S41" s="16"/>
      <c r="T41" s="16"/>
      <c r="U41" s="16"/>
      <c r="V41" s="16"/>
      <c r="W41" s="16"/>
      <c r="X41" s="26">
        <v>420</v>
      </c>
      <c r="Y41" s="11"/>
      <c r="Z41" s="17"/>
      <c r="AA41" s="17"/>
      <c r="AB41" s="16"/>
      <c r="AC41" s="16"/>
      <c r="AD41" s="16"/>
      <c r="AE41" s="17"/>
      <c r="AF41" s="17"/>
      <c r="AG41" s="17"/>
      <c r="AH41" s="17"/>
      <c r="AI41" s="17"/>
      <c r="AJ41" s="17"/>
      <c r="AK41" s="16"/>
      <c r="AL41" s="16"/>
      <c r="AM41" s="16"/>
      <c r="AN41" s="16"/>
      <c r="AR41" s="12"/>
      <c r="AS41" s="12"/>
      <c r="AT41" s="5"/>
      <c r="AU41" s="12"/>
      <c r="AV41" s="12"/>
      <c r="AW41" s="5"/>
      <c r="AX41" s="5"/>
      <c r="BS41" s="9"/>
      <c r="BT41" s="10"/>
      <c r="BU41" s="9"/>
      <c r="BV41" s="9"/>
      <c r="BX41" s="10"/>
      <c r="BY41" s="10"/>
      <c r="CA41" s="10"/>
      <c r="CB41" s="10"/>
      <c r="CC41" s="10"/>
      <c r="CD41" s="10"/>
      <c r="CE41" s="10"/>
      <c r="CF41" s="10"/>
      <c r="CG41" s="10"/>
    </row>
    <row r="42" spans="2:85" x14ac:dyDescent="0.2">
      <c r="B42" s="14"/>
      <c r="C42" s="13"/>
      <c r="D42" s="13"/>
      <c r="E42" s="13"/>
      <c r="F42" s="13"/>
      <c r="G42" s="13"/>
      <c r="H42" s="13"/>
      <c r="I42" s="13"/>
      <c r="J42" s="13"/>
      <c r="K42" s="27"/>
      <c r="L42" s="13"/>
      <c r="M42" s="13"/>
      <c r="N42" s="13"/>
      <c r="O42" s="13"/>
      <c r="P42" s="26">
        <v>1.01</v>
      </c>
      <c r="Q42" s="26"/>
      <c r="S42" s="16"/>
      <c r="T42" s="16"/>
      <c r="U42" s="16"/>
      <c r="V42" s="16"/>
      <c r="W42" s="16"/>
      <c r="X42" s="26">
        <v>420</v>
      </c>
      <c r="Y42" s="11"/>
      <c r="Z42" s="17"/>
      <c r="AA42" s="17"/>
      <c r="AB42" s="16"/>
      <c r="AC42" s="16"/>
      <c r="AD42" s="16"/>
      <c r="AE42" s="17"/>
      <c r="AF42" s="17"/>
      <c r="AG42" s="17"/>
      <c r="AH42" s="17"/>
      <c r="AI42" s="17"/>
      <c r="AJ42" s="17"/>
      <c r="AK42" s="16"/>
      <c r="AL42" s="16"/>
      <c r="AM42" s="16"/>
      <c r="AN42" s="16"/>
      <c r="AR42" s="12"/>
      <c r="AS42" s="12"/>
      <c r="AT42" s="5"/>
      <c r="AU42" s="12"/>
      <c r="AV42" s="12"/>
      <c r="AW42" s="5"/>
      <c r="AX42" s="5"/>
      <c r="BS42" s="9"/>
      <c r="BT42" s="10"/>
      <c r="BU42" s="9"/>
      <c r="BV42" s="9"/>
      <c r="BX42" s="10"/>
      <c r="BY42" s="10"/>
      <c r="CA42" s="10"/>
      <c r="CB42" s="10"/>
      <c r="CC42" s="10"/>
      <c r="CD42" s="10"/>
      <c r="CE42" s="10"/>
      <c r="CF42" s="10"/>
      <c r="CG42" s="10"/>
    </row>
    <row r="43" spans="2:85" x14ac:dyDescent="0.2">
      <c r="B43" s="14"/>
      <c r="C43" s="13"/>
      <c r="D43" s="13"/>
      <c r="E43" s="13"/>
      <c r="F43" s="13"/>
      <c r="G43" s="13"/>
      <c r="H43" s="13"/>
      <c r="I43" s="13"/>
      <c r="J43" s="13"/>
      <c r="K43" s="27"/>
      <c r="L43" s="13"/>
      <c r="M43" s="13"/>
      <c r="N43" s="13"/>
      <c r="O43" s="13"/>
      <c r="P43" s="26">
        <v>1.01</v>
      </c>
      <c r="Q43" s="26"/>
      <c r="S43" s="16"/>
      <c r="T43" s="16"/>
      <c r="U43" s="16"/>
      <c r="V43" s="16"/>
      <c r="W43" s="16"/>
      <c r="X43" s="26">
        <v>420</v>
      </c>
      <c r="Y43" s="11"/>
      <c r="Z43" s="17"/>
      <c r="AA43" s="17"/>
      <c r="AB43" s="16"/>
      <c r="AC43" s="16"/>
      <c r="AD43" s="16"/>
      <c r="AE43" s="17"/>
      <c r="AF43" s="17"/>
      <c r="AG43" s="17"/>
      <c r="AH43" s="17"/>
      <c r="AI43" s="17"/>
      <c r="AJ43" s="17"/>
      <c r="AK43" s="16"/>
      <c r="AL43" s="16"/>
      <c r="AM43" s="16"/>
      <c r="AN43" s="16"/>
      <c r="AR43" s="12"/>
      <c r="AS43" s="12"/>
      <c r="AT43" s="5"/>
      <c r="AU43" s="12"/>
      <c r="AV43" s="12"/>
      <c r="AW43" s="5"/>
      <c r="AX43" s="5"/>
      <c r="BS43" s="9"/>
      <c r="BT43" s="10"/>
      <c r="BU43" s="9"/>
      <c r="BV43" s="9"/>
      <c r="BX43" s="10"/>
      <c r="BY43" s="10"/>
      <c r="CA43" s="10"/>
      <c r="CB43" s="10"/>
      <c r="CC43" s="10"/>
      <c r="CD43" s="10"/>
      <c r="CE43" s="10"/>
      <c r="CF43" s="10"/>
      <c r="CG43" s="10"/>
    </row>
    <row r="44" spans="2:85" x14ac:dyDescent="0.2">
      <c r="B44" s="14"/>
      <c r="C44" s="13"/>
      <c r="D44" s="13"/>
      <c r="E44" s="13"/>
      <c r="F44" s="13"/>
      <c r="G44" s="13"/>
      <c r="H44" s="13"/>
      <c r="I44" s="13"/>
      <c r="J44" s="13"/>
      <c r="K44" s="27"/>
      <c r="L44" s="13"/>
      <c r="M44" s="13"/>
      <c r="N44" s="13"/>
      <c r="O44" s="13"/>
      <c r="P44" s="26">
        <v>1.01</v>
      </c>
      <c r="Q44" s="26"/>
      <c r="S44" s="16"/>
      <c r="T44" s="16"/>
      <c r="U44" s="16"/>
      <c r="V44" s="16"/>
      <c r="W44" s="16"/>
      <c r="X44" s="26">
        <v>420</v>
      </c>
      <c r="Y44" s="11"/>
      <c r="Z44" s="17"/>
      <c r="AA44" s="17"/>
      <c r="AB44" s="16"/>
      <c r="AC44" s="16"/>
      <c r="AD44" s="16"/>
      <c r="AE44" s="17"/>
      <c r="AF44" s="17"/>
      <c r="AG44" s="17"/>
      <c r="AH44" s="17"/>
      <c r="AI44" s="17"/>
      <c r="AJ44" s="17"/>
      <c r="AK44" s="16"/>
      <c r="AL44" s="16"/>
      <c r="AM44" s="16"/>
      <c r="AN44" s="16"/>
      <c r="AR44" s="12"/>
      <c r="AS44" s="12"/>
      <c r="AT44" s="5"/>
      <c r="AU44" s="12"/>
      <c r="AV44" s="12"/>
      <c r="AW44" s="5"/>
      <c r="AX44" s="5"/>
      <c r="BS44" s="9"/>
      <c r="BT44" s="10"/>
      <c r="BU44" s="9"/>
      <c r="BV44" s="9"/>
      <c r="BX44" s="10"/>
      <c r="BY44" s="10"/>
      <c r="CA44" s="10"/>
      <c r="CB44" s="10"/>
      <c r="CC44" s="10"/>
      <c r="CD44" s="10"/>
      <c r="CE44" s="10"/>
      <c r="CF44" s="10"/>
      <c r="CG44" s="10"/>
    </row>
    <row r="45" spans="2:85" x14ac:dyDescent="0.2">
      <c r="B45" s="14"/>
      <c r="C45" s="13"/>
      <c r="D45" s="13"/>
      <c r="E45" s="13"/>
      <c r="F45" s="13"/>
      <c r="G45" s="13"/>
      <c r="H45" s="13"/>
      <c r="I45" s="13"/>
      <c r="J45" s="13"/>
      <c r="K45" s="27"/>
      <c r="L45" s="13"/>
      <c r="M45" s="13"/>
      <c r="N45" s="13"/>
      <c r="O45" s="13"/>
      <c r="P45" s="26">
        <v>1.01</v>
      </c>
      <c r="Q45" s="26"/>
      <c r="S45" s="16"/>
      <c r="T45" s="16"/>
      <c r="U45" s="16"/>
      <c r="V45" s="16"/>
      <c r="W45" s="16"/>
      <c r="X45" s="26">
        <v>420</v>
      </c>
      <c r="Y45" s="11"/>
      <c r="Z45" s="17"/>
      <c r="AA45" s="17"/>
      <c r="AB45" s="16"/>
      <c r="AC45" s="16"/>
      <c r="AD45" s="16"/>
      <c r="AE45" s="17"/>
      <c r="AF45" s="17"/>
      <c r="AG45" s="17"/>
      <c r="AH45" s="17"/>
      <c r="AI45" s="17"/>
      <c r="AJ45" s="17"/>
      <c r="AK45" s="16"/>
      <c r="AL45" s="16"/>
      <c r="AM45" s="16"/>
      <c r="AN45" s="16"/>
      <c r="AR45" s="12"/>
      <c r="AS45" s="12"/>
      <c r="AT45" s="5"/>
      <c r="AU45" s="12"/>
      <c r="AV45" s="12"/>
      <c r="AW45" s="5"/>
      <c r="AX45" s="5"/>
      <c r="BS45" s="9"/>
      <c r="BT45" s="10"/>
      <c r="BU45" s="9"/>
      <c r="BV45" s="9"/>
      <c r="BX45" s="10"/>
      <c r="BY45" s="10"/>
      <c r="CA45" s="10"/>
      <c r="CB45" s="10"/>
      <c r="CC45" s="10"/>
      <c r="CD45" s="10"/>
      <c r="CE45" s="10"/>
      <c r="CF45" s="10"/>
      <c r="CG45" s="10"/>
    </row>
    <row r="46" spans="2:85" x14ac:dyDescent="0.2">
      <c r="B46" s="14"/>
      <c r="C46" s="13"/>
      <c r="D46" s="13"/>
      <c r="E46" s="13"/>
      <c r="F46" s="13"/>
      <c r="G46" s="13"/>
      <c r="H46" s="13"/>
      <c r="I46" s="13"/>
      <c r="J46" s="13"/>
      <c r="K46" s="27"/>
      <c r="L46" s="13"/>
      <c r="M46" s="13"/>
      <c r="N46" s="13"/>
      <c r="O46" s="13"/>
      <c r="P46" s="26">
        <v>1.01</v>
      </c>
      <c r="Q46" s="26"/>
      <c r="S46" s="16"/>
      <c r="T46" s="16"/>
      <c r="U46" s="16"/>
      <c r="V46" s="16"/>
      <c r="W46" s="16"/>
      <c r="X46" s="26">
        <v>420</v>
      </c>
      <c r="Y46" s="11"/>
      <c r="Z46" s="17"/>
      <c r="AA46" s="17"/>
      <c r="AB46" s="16"/>
      <c r="AC46" s="16"/>
      <c r="AD46" s="16"/>
      <c r="AE46" s="17"/>
      <c r="AF46" s="17"/>
      <c r="AG46" s="17"/>
      <c r="AH46" s="17"/>
      <c r="AI46" s="17"/>
      <c r="AJ46" s="17"/>
      <c r="AK46" s="16"/>
      <c r="AL46" s="16"/>
      <c r="AM46" s="16"/>
      <c r="AN46" s="16"/>
      <c r="AR46" s="12"/>
      <c r="AS46" s="12"/>
      <c r="AT46" s="5"/>
      <c r="AU46" s="12"/>
      <c r="AV46" s="12"/>
      <c r="AW46" s="5"/>
      <c r="AX46" s="5"/>
      <c r="BS46" s="9"/>
      <c r="BT46" s="10"/>
      <c r="BU46" s="9"/>
      <c r="BV46" s="9"/>
      <c r="BX46" s="10"/>
      <c r="BY46" s="10"/>
      <c r="CA46" s="10"/>
      <c r="CB46" s="10"/>
      <c r="CC46" s="10"/>
      <c r="CD46" s="10"/>
      <c r="CE46" s="10"/>
      <c r="CF46" s="10"/>
      <c r="CG46" s="10"/>
    </row>
    <row r="47" spans="2:85" x14ac:dyDescent="0.2">
      <c r="B47" s="14"/>
      <c r="C47" s="13"/>
      <c r="D47" s="13"/>
      <c r="E47" s="13"/>
      <c r="F47" s="13"/>
      <c r="G47" s="13"/>
      <c r="H47" s="13"/>
      <c r="I47" s="13"/>
      <c r="J47" s="13"/>
      <c r="K47" s="27"/>
      <c r="L47" s="13"/>
      <c r="M47" s="13"/>
      <c r="N47" s="13"/>
      <c r="O47" s="13"/>
      <c r="P47" s="26">
        <v>1.01</v>
      </c>
      <c r="Q47" s="26"/>
      <c r="S47" s="16"/>
      <c r="T47" s="16"/>
      <c r="U47" s="16"/>
      <c r="V47" s="16"/>
      <c r="W47" s="16"/>
      <c r="X47" s="26">
        <v>420</v>
      </c>
      <c r="Y47" s="11"/>
      <c r="Z47" s="17"/>
      <c r="AA47" s="17"/>
      <c r="AB47" s="16"/>
      <c r="AC47" s="16"/>
      <c r="AD47" s="16"/>
      <c r="AE47" s="17"/>
      <c r="AF47" s="17"/>
      <c r="AG47" s="17"/>
      <c r="AH47" s="17"/>
      <c r="AI47" s="17"/>
      <c r="AJ47" s="17"/>
      <c r="AK47" s="16"/>
      <c r="AL47" s="16"/>
      <c r="AM47" s="16"/>
      <c r="AN47" s="16"/>
      <c r="AR47" s="12"/>
      <c r="AS47" s="12"/>
      <c r="AT47" s="5"/>
      <c r="AU47" s="12"/>
      <c r="AV47" s="12"/>
      <c r="AW47" s="5"/>
      <c r="AX47" s="5"/>
      <c r="BS47" s="9"/>
      <c r="BT47" s="10"/>
      <c r="BU47" s="9"/>
      <c r="BV47" s="9"/>
      <c r="BX47" s="10"/>
      <c r="BY47" s="10"/>
      <c r="CA47" s="10"/>
      <c r="CB47" s="10"/>
      <c r="CC47" s="10"/>
      <c r="CD47" s="10"/>
      <c r="CE47" s="10"/>
      <c r="CF47" s="10"/>
      <c r="CG47" s="10"/>
    </row>
    <row r="48" spans="2:85" x14ac:dyDescent="0.2">
      <c r="B48" s="14"/>
      <c r="C48" s="13"/>
      <c r="D48" s="13"/>
      <c r="E48" s="13"/>
      <c r="F48" s="13"/>
      <c r="G48" s="13"/>
      <c r="H48" s="13"/>
      <c r="I48" s="13"/>
      <c r="J48" s="13"/>
      <c r="K48" s="27"/>
      <c r="L48" s="13"/>
      <c r="M48" s="13"/>
      <c r="N48" s="13"/>
      <c r="O48" s="13"/>
      <c r="P48" s="26">
        <v>1.01</v>
      </c>
      <c r="Q48" s="26"/>
      <c r="S48" s="16"/>
      <c r="T48" s="16"/>
      <c r="U48" s="16"/>
      <c r="V48" s="16"/>
      <c r="W48" s="16"/>
      <c r="X48" s="26">
        <v>420</v>
      </c>
      <c r="Y48" s="11"/>
      <c r="Z48" s="17"/>
      <c r="AA48" s="17"/>
      <c r="AB48" s="16"/>
      <c r="AC48" s="16"/>
      <c r="AD48" s="16"/>
      <c r="AE48" s="17"/>
      <c r="AF48" s="17"/>
      <c r="AG48" s="17"/>
      <c r="AH48" s="17"/>
      <c r="AI48" s="17"/>
      <c r="AJ48" s="17"/>
      <c r="AK48" s="16"/>
      <c r="AL48" s="16"/>
      <c r="AM48" s="16"/>
      <c r="AN48" s="16"/>
      <c r="AR48" s="12"/>
      <c r="AS48" s="12"/>
      <c r="AT48" s="5"/>
      <c r="AU48" s="12"/>
      <c r="AV48" s="12"/>
      <c r="AW48" s="5"/>
      <c r="AX48" s="5"/>
      <c r="BS48" s="9"/>
      <c r="BT48" s="10"/>
      <c r="BU48" s="9"/>
      <c r="BV48" s="9"/>
      <c r="BX48" s="10"/>
      <c r="BY48" s="10"/>
      <c r="CA48" s="10"/>
      <c r="CB48" s="10"/>
      <c r="CC48" s="10"/>
      <c r="CD48" s="10"/>
      <c r="CE48" s="10"/>
      <c r="CF48" s="10"/>
      <c r="CG48" s="10"/>
    </row>
    <row r="49" spans="2:85" x14ac:dyDescent="0.2">
      <c r="B49" s="14"/>
      <c r="C49" s="13"/>
      <c r="D49" s="13"/>
      <c r="E49" s="13"/>
      <c r="F49" s="13"/>
      <c r="G49" s="13"/>
      <c r="H49" s="13"/>
      <c r="I49" s="13"/>
      <c r="J49" s="13"/>
      <c r="K49" s="27"/>
      <c r="L49" s="13"/>
      <c r="M49" s="13"/>
      <c r="N49" s="13"/>
      <c r="O49" s="13"/>
      <c r="P49" s="26">
        <v>1.01</v>
      </c>
      <c r="Q49" s="26"/>
      <c r="S49" s="16"/>
      <c r="T49" s="16"/>
      <c r="U49" s="16"/>
      <c r="V49" s="16"/>
      <c r="W49" s="16"/>
      <c r="X49" s="26">
        <v>420</v>
      </c>
      <c r="Y49" s="11"/>
      <c r="Z49" s="17"/>
      <c r="AA49" s="17"/>
      <c r="AB49" s="16"/>
      <c r="AC49" s="16"/>
      <c r="AD49" s="16"/>
      <c r="AE49" s="17"/>
      <c r="AF49" s="17"/>
      <c r="AG49" s="17"/>
      <c r="AH49" s="17"/>
      <c r="AI49" s="17"/>
      <c r="AJ49" s="17"/>
      <c r="AK49" s="16"/>
      <c r="AL49" s="16"/>
      <c r="AM49" s="16"/>
      <c r="AN49" s="16"/>
      <c r="AR49" s="12"/>
      <c r="AS49" s="12"/>
      <c r="AT49" s="5"/>
      <c r="AU49" s="12"/>
      <c r="AV49" s="12"/>
      <c r="AW49" s="5"/>
      <c r="AX49" s="5"/>
      <c r="BS49" s="9"/>
      <c r="BT49" s="10"/>
      <c r="BU49" s="9"/>
      <c r="BV49" s="9"/>
      <c r="BX49" s="10"/>
      <c r="BY49" s="10"/>
      <c r="CA49" s="10"/>
      <c r="CB49" s="10"/>
      <c r="CC49" s="10"/>
      <c r="CD49" s="10"/>
      <c r="CE49" s="10"/>
      <c r="CF49" s="10"/>
      <c r="CG49" s="10"/>
    </row>
    <row r="50" spans="2:85" x14ac:dyDescent="0.2">
      <c r="B50" s="14"/>
      <c r="C50" s="13"/>
      <c r="D50" s="13"/>
      <c r="E50" s="13"/>
      <c r="F50" s="13"/>
      <c r="G50" s="13"/>
      <c r="H50" s="13"/>
      <c r="I50" s="13"/>
      <c r="J50" s="13"/>
      <c r="K50" s="27"/>
      <c r="L50" s="13"/>
      <c r="M50" s="13"/>
      <c r="N50" s="13"/>
      <c r="O50" s="13"/>
      <c r="P50" s="26">
        <v>1.01</v>
      </c>
      <c r="Q50" s="26"/>
      <c r="S50" s="16"/>
      <c r="T50" s="16"/>
      <c r="U50" s="16"/>
      <c r="V50" s="16"/>
      <c r="W50" s="16"/>
      <c r="X50" s="26">
        <v>420</v>
      </c>
      <c r="Y50" s="11"/>
      <c r="Z50" s="17"/>
      <c r="AA50" s="17"/>
      <c r="AB50" s="16"/>
      <c r="AC50" s="16"/>
      <c r="AD50" s="16"/>
      <c r="AE50" s="17"/>
      <c r="AF50" s="17"/>
      <c r="AG50" s="17"/>
      <c r="AH50" s="17"/>
      <c r="AI50" s="17"/>
      <c r="AJ50" s="17"/>
      <c r="AK50" s="16"/>
      <c r="AL50" s="16"/>
      <c r="AM50" s="16"/>
      <c r="AN50" s="16"/>
      <c r="AR50" s="12"/>
      <c r="AS50" s="12"/>
      <c r="AT50" s="5"/>
      <c r="AU50" s="12"/>
      <c r="AV50" s="12"/>
      <c r="AW50" s="5"/>
      <c r="AX50" s="5"/>
      <c r="BS50" s="9"/>
      <c r="BT50" s="10"/>
      <c r="BU50" s="9"/>
      <c r="BV50" s="9"/>
      <c r="BX50" s="10"/>
      <c r="BY50" s="10"/>
      <c r="CA50" s="10"/>
      <c r="CB50" s="10"/>
      <c r="CC50" s="10"/>
      <c r="CD50" s="10"/>
      <c r="CE50" s="10"/>
      <c r="CF50" s="10"/>
      <c r="CG50" s="10"/>
    </row>
    <row r="51" spans="2:85" x14ac:dyDescent="0.2">
      <c r="B51" s="14"/>
      <c r="C51" s="13"/>
      <c r="D51" s="13"/>
      <c r="E51" s="13"/>
      <c r="F51" s="13"/>
      <c r="G51" s="13"/>
      <c r="H51" s="13"/>
      <c r="I51" s="13"/>
      <c r="J51" s="13"/>
      <c r="K51" s="27"/>
      <c r="L51" s="13"/>
      <c r="M51" s="13"/>
      <c r="N51" s="13"/>
      <c r="O51" s="13"/>
      <c r="P51" s="26">
        <v>1.01</v>
      </c>
      <c r="Q51" s="26"/>
      <c r="S51" s="16"/>
      <c r="T51" s="16"/>
      <c r="U51" s="16"/>
      <c r="V51" s="16"/>
      <c r="W51" s="16"/>
      <c r="X51" s="26">
        <v>420</v>
      </c>
      <c r="Y51" s="11"/>
      <c r="Z51" s="17"/>
      <c r="AA51" s="17"/>
      <c r="AB51" s="16"/>
      <c r="AC51" s="16"/>
      <c r="AD51" s="16"/>
      <c r="AE51" s="17"/>
      <c r="AF51" s="17"/>
      <c r="AG51" s="17"/>
      <c r="AH51" s="17"/>
      <c r="AI51" s="17"/>
      <c r="AJ51" s="17"/>
      <c r="AK51" s="16"/>
      <c r="AL51" s="16"/>
      <c r="AM51" s="16"/>
      <c r="AN51" s="16"/>
      <c r="AR51" s="12"/>
      <c r="AS51" s="12"/>
      <c r="AT51" s="5"/>
      <c r="AU51" s="12"/>
      <c r="AV51" s="12"/>
      <c r="AW51" s="5"/>
      <c r="AX51" s="5"/>
      <c r="BS51" s="9"/>
      <c r="BT51" s="10"/>
      <c r="BU51" s="9"/>
      <c r="BV51" s="9"/>
      <c r="BX51" s="10"/>
      <c r="BY51" s="10"/>
      <c r="CA51" s="10"/>
      <c r="CB51" s="10"/>
      <c r="CC51" s="10"/>
      <c r="CD51" s="10"/>
      <c r="CE51" s="10"/>
      <c r="CF51" s="10"/>
      <c r="CG51" s="10"/>
    </row>
    <row r="52" spans="2:85" x14ac:dyDescent="0.2">
      <c r="B52" s="14"/>
      <c r="C52" s="13"/>
      <c r="D52" s="13"/>
      <c r="E52" s="13"/>
      <c r="F52" s="13"/>
      <c r="G52" s="13"/>
      <c r="H52" s="13"/>
      <c r="I52" s="13"/>
      <c r="J52" s="13"/>
      <c r="K52" s="27"/>
      <c r="L52" s="13"/>
      <c r="M52" s="13"/>
      <c r="N52" s="13"/>
      <c r="O52" s="13"/>
      <c r="P52" s="26">
        <v>1.01</v>
      </c>
      <c r="Q52" s="26"/>
      <c r="S52" s="16"/>
      <c r="T52" s="16"/>
      <c r="U52" s="16"/>
      <c r="V52" s="16"/>
      <c r="W52" s="16"/>
      <c r="X52" s="26">
        <v>420</v>
      </c>
      <c r="Y52" s="11"/>
      <c r="Z52" s="17"/>
      <c r="AA52" s="17"/>
      <c r="AB52" s="16"/>
      <c r="AC52" s="16"/>
      <c r="AD52" s="16"/>
      <c r="AE52" s="17"/>
      <c r="AF52" s="17"/>
      <c r="AG52" s="17"/>
      <c r="AH52" s="17"/>
      <c r="AI52" s="17"/>
      <c r="AJ52" s="17"/>
      <c r="AK52" s="16"/>
      <c r="AL52" s="16"/>
      <c r="AM52" s="16"/>
      <c r="AN52" s="16"/>
      <c r="AR52" s="12"/>
      <c r="AS52" s="12"/>
      <c r="AT52" s="5"/>
      <c r="AU52" s="12"/>
      <c r="AV52" s="12"/>
      <c r="AW52" s="5"/>
      <c r="AX52" s="5"/>
      <c r="BS52" s="9"/>
      <c r="BT52" s="10"/>
      <c r="BU52" s="9"/>
      <c r="BV52" s="9"/>
      <c r="BX52" s="10"/>
      <c r="BY52" s="10"/>
      <c r="CA52" s="10"/>
      <c r="CB52" s="10"/>
      <c r="CC52" s="10"/>
      <c r="CD52" s="10"/>
      <c r="CE52" s="10"/>
      <c r="CF52" s="10"/>
      <c r="CG52" s="10"/>
    </row>
    <row r="53" spans="2:85" x14ac:dyDescent="0.2">
      <c r="B53" s="14"/>
      <c r="C53" s="13"/>
      <c r="D53" s="13"/>
      <c r="E53" s="13"/>
      <c r="F53" s="13"/>
      <c r="G53" s="13"/>
      <c r="H53" s="13"/>
      <c r="I53" s="13"/>
      <c r="J53" s="13"/>
      <c r="K53" s="27"/>
      <c r="L53" s="13"/>
      <c r="M53" s="13"/>
      <c r="N53" s="13"/>
      <c r="O53" s="13"/>
      <c r="P53" s="26">
        <v>1.01</v>
      </c>
      <c r="Q53" s="26"/>
      <c r="S53" s="16"/>
      <c r="T53" s="16"/>
      <c r="U53" s="16"/>
      <c r="V53" s="16"/>
      <c r="W53" s="16"/>
      <c r="X53" s="26">
        <v>420</v>
      </c>
      <c r="Y53" s="11"/>
      <c r="Z53" s="17"/>
      <c r="AA53" s="17"/>
      <c r="AB53" s="16"/>
      <c r="AC53" s="16"/>
      <c r="AD53" s="16"/>
      <c r="AE53" s="17"/>
      <c r="AF53" s="17"/>
      <c r="AG53" s="17"/>
      <c r="AH53" s="17"/>
      <c r="AI53" s="17"/>
      <c r="AJ53" s="17"/>
      <c r="AK53" s="16"/>
      <c r="AL53" s="16"/>
      <c r="AM53" s="16"/>
      <c r="AN53" s="16"/>
      <c r="AR53" s="12"/>
      <c r="AS53" s="12"/>
      <c r="AT53" s="5"/>
      <c r="AU53" s="12"/>
      <c r="AV53" s="12"/>
      <c r="AW53" s="5"/>
      <c r="AX53" s="5"/>
      <c r="BS53" s="9"/>
      <c r="BT53" s="10"/>
      <c r="BU53" s="9"/>
      <c r="BV53" s="9"/>
      <c r="BX53" s="10"/>
      <c r="BY53" s="10"/>
      <c r="CA53" s="10"/>
      <c r="CB53" s="10"/>
      <c r="CC53" s="10"/>
      <c r="CD53" s="10"/>
      <c r="CE53" s="10"/>
      <c r="CF53" s="10"/>
      <c r="CG53" s="10"/>
    </row>
    <row r="54" spans="2:85" x14ac:dyDescent="0.2">
      <c r="B54" s="14"/>
      <c r="C54" s="13"/>
      <c r="D54" s="13"/>
      <c r="E54" s="13"/>
      <c r="F54" s="13"/>
      <c r="G54" s="13"/>
      <c r="H54" s="13"/>
      <c r="I54" s="13"/>
      <c r="J54" s="13"/>
      <c r="K54" s="27"/>
      <c r="L54" s="13"/>
      <c r="M54" s="13"/>
      <c r="N54" s="13"/>
      <c r="O54" s="13"/>
      <c r="P54" s="26">
        <v>1.01</v>
      </c>
      <c r="Q54" s="26"/>
      <c r="S54" s="16"/>
      <c r="T54" s="16"/>
      <c r="U54" s="16"/>
      <c r="V54" s="16"/>
      <c r="W54" s="16"/>
      <c r="X54" s="26">
        <v>420</v>
      </c>
      <c r="Y54" s="11"/>
      <c r="Z54" s="17"/>
      <c r="AA54" s="17"/>
      <c r="AB54" s="16"/>
      <c r="AC54" s="16"/>
      <c r="AD54" s="16"/>
      <c r="AE54" s="17"/>
      <c r="AF54" s="17"/>
      <c r="AG54" s="17"/>
      <c r="AH54" s="17"/>
      <c r="AI54" s="17"/>
      <c r="AJ54" s="17"/>
      <c r="AK54" s="16"/>
      <c r="AL54" s="16"/>
      <c r="AM54" s="16"/>
      <c r="AN54" s="16"/>
      <c r="AR54" s="12"/>
      <c r="AS54" s="12"/>
      <c r="AT54" s="5"/>
      <c r="AU54" s="12"/>
      <c r="AV54" s="12"/>
      <c r="AW54" s="5"/>
      <c r="AX54" s="5"/>
      <c r="BS54" s="9"/>
      <c r="BT54" s="10"/>
      <c r="BU54" s="9"/>
      <c r="BV54" s="9"/>
      <c r="BX54" s="10"/>
      <c r="BY54" s="10"/>
      <c r="CA54" s="10"/>
      <c r="CB54" s="10"/>
      <c r="CC54" s="10"/>
      <c r="CD54" s="10"/>
      <c r="CE54" s="10"/>
      <c r="CF54" s="10"/>
      <c r="CG54" s="10"/>
    </row>
    <row r="55" spans="2:85" x14ac:dyDescent="0.2">
      <c r="B55" s="14"/>
      <c r="C55" s="13"/>
      <c r="D55" s="13"/>
      <c r="E55" s="13"/>
      <c r="F55" s="13"/>
      <c r="G55" s="13"/>
      <c r="H55" s="13"/>
      <c r="I55" s="13"/>
      <c r="J55" s="13"/>
      <c r="K55" s="27"/>
      <c r="L55" s="13"/>
      <c r="M55" s="13"/>
      <c r="N55" s="13"/>
      <c r="O55" s="13"/>
      <c r="P55" s="26">
        <v>1.01</v>
      </c>
      <c r="Q55" s="26"/>
      <c r="S55" s="16"/>
      <c r="T55" s="16"/>
      <c r="U55" s="16"/>
      <c r="V55" s="16"/>
      <c r="W55" s="16"/>
      <c r="X55" s="26">
        <v>420</v>
      </c>
      <c r="Y55" s="11"/>
      <c r="Z55" s="17"/>
      <c r="AA55" s="17"/>
      <c r="AB55" s="16"/>
      <c r="AC55" s="16"/>
      <c r="AD55" s="16"/>
      <c r="AE55" s="17"/>
      <c r="AF55" s="17"/>
      <c r="AG55" s="17"/>
      <c r="AH55" s="17"/>
      <c r="AI55" s="17"/>
      <c r="AJ55" s="17"/>
      <c r="AK55" s="16"/>
      <c r="AL55" s="16"/>
      <c r="AM55" s="16"/>
      <c r="AN55" s="16"/>
      <c r="AR55" s="12"/>
      <c r="AS55" s="12"/>
      <c r="AT55" s="5"/>
      <c r="AU55" s="12"/>
      <c r="AV55" s="12"/>
      <c r="AW55" s="5"/>
      <c r="AX55" s="5"/>
      <c r="BS55" s="9"/>
      <c r="BT55" s="10"/>
      <c r="BU55" s="9"/>
      <c r="BV55" s="9"/>
      <c r="BX55" s="10"/>
      <c r="BY55" s="10"/>
      <c r="CA55" s="10"/>
      <c r="CB55" s="10"/>
      <c r="CC55" s="10"/>
      <c r="CD55" s="10"/>
      <c r="CE55" s="10"/>
      <c r="CF55" s="10"/>
      <c r="CG55" s="10"/>
    </row>
    <row r="56" spans="2:85" x14ac:dyDescent="0.2">
      <c r="B56" s="14"/>
      <c r="C56" s="13"/>
      <c r="D56" s="13"/>
      <c r="E56" s="13"/>
      <c r="F56" s="13"/>
      <c r="G56" s="13"/>
      <c r="H56" s="13"/>
      <c r="I56" s="13"/>
      <c r="J56" s="13"/>
      <c r="K56" s="27"/>
      <c r="L56" s="13"/>
      <c r="M56" s="13"/>
      <c r="N56" s="13"/>
      <c r="O56" s="13"/>
      <c r="P56" s="26">
        <v>1.01</v>
      </c>
      <c r="Q56" s="26"/>
      <c r="S56" s="16"/>
      <c r="T56" s="16"/>
      <c r="U56" s="16"/>
      <c r="V56" s="16"/>
      <c r="W56" s="16"/>
      <c r="X56" s="26">
        <v>420</v>
      </c>
      <c r="Y56" s="11"/>
      <c r="Z56" s="17"/>
      <c r="AA56" s="17"/>
      <c r="AB56" s="16"/>
      <c r="AC56" s="16"/>
      <c r="AD56" s="16"/>
      <c r="AE56" s="17"/>
      <c r="AF56" s="17"/>
      <c r="AG56" s="17"/>
      <c r="AH56" s="17"/>
      <c r="AI56" s="17"/>
      <c r="AJ56" s="17"/>
      <c r="AK56" s="16"/>
      <c r="AL56" s="16"/>
      <c r="AM56" s="16"/>
      <c r="AN56" s="16"/>
      <c r="AR56" s="12"/>
      <c r="AS56" s="12"/>
      <c r="AT56" s="5"/>
      <c r="AU56" s="12"/>
      <c r="AV56" s="12"/>
      <c r="AW56" s="5"/>
      <c r="AX56" s="5"/>
      <c r="BS56" s="9"/>
      <c r="BT56" s="10"/>
      <c r="BU56" s="9"/>
      <c r="BV56" s="9"/>
      <c r="BX56" s="10"/>
      <c r="BY56" s="10"/>
      <c r="CA56" s="10"/>
      <c r="CB56" s="10"/>
      <c r="CC56" s="10"/>
      <c r="CD56" s="10"/>
      <c r="CE56" s="10"/>
      <c r="CF56" s="10"/>
      <c r="CG56" s="10"/>
    </row>
    <row r="57" spans="2:85" x14ac:dyDescent="0.2">
      <c r="B57" s="14"/>
      <c r="C57" s="13"/>
      <c r="D57" s="13"/>
      <c r="E57" s="13"/>
      <c r="F57" s="13"/>
      <c r="G57" s="13"/>
      <c r="H57" s="13"/>
      <c r="I57" s="13"/>
      <c r="J57" s="13"/>
      <c r="K57" s="27"/>
      <c r="L57" s="13"/>
      <c r="M57" s="13"/>
      <c r="N57" s="13"/>
      <c r="O57" s="13"/>
      <c r="P57" s="26">
        <v>1.01</v>
      </c>
      <c r="Q57" s="26"/>
      <c r="S57" s="17"/>
      <c r="T57" s="17"/>
      <c r="U57" s="16"/>
      <c r="V57" s="16"/>
      <c r="W57" s="16"/>
      <c r="X57" s="26">
        <v>420</v>
      </c>
      <c r="Y57" s="11"/>
      <c r="Z57" s="17"/>
      <c r="AA57" s="17"/>
      <c r="AB57" s="16"/>
      <c r="AC57" s="16"/>
      <c r="AD57" s="17"/>
      <c r="AE57" s="17"/>
      <c r="AF57" s="17"/>
      <c r="AG57" s="17"/>
      <c r="AH57" s="17"/>
      <c r="AI57" s="17"/>
      <c r="AJ57" s="17"/>
      <c r="AK57" s="16"/>
      <c r="AL57" s="16"/>
      <c r="AM57" s="16"/>
      <c r="AN57" s="16"/>
      <c r="AR57" s="12"/>
      <c r="AS57" s="12"/>
      <c r="AT57" s="5"/>
      <c r="AU57" s="12"/>
      <c r="AV57" s="12"/>
      <c r="AW57" s="5"/>
      <c r="AX57" s="5"/>
      <c r="BS57" s="9"/>
      <c r="BT57" s="10"/>
      <c r="BU57" s="9"/>
      <c r="BV57" s="9"/>
      <c r="BX57" s="10"/>
      <c r="BY57" s="10"/>
      <c r="CA57" s="10"/>
      <c r="CB57" s="10"/>
      <c r="CC57" s="10"/>
      <c r="CD57" s="10"/>
      <c r="CE57" s="10"/>
      <c r="CF57" s="10"/>
      <c r="CG57" s="10"/>
    </row>
    <row r="58" spans="2:85" x14ac:dyDescent="0.2">
      <c r="B58" s="14"/>
      <c r="C58" s="13"/>
      <c r="D58" s="13"/>
      <c r="E58" s="13"/>
      <c r="F58" s="13"/>
      <c r="G58" s="13"/>
      <c r="H58" s="13"/>
      <c r="I58" s="13"/>
      <c r="J58" s="13"/>
      <c r="K58" s="27"/>
      <c r="L58" s="13"/>
      <c r="M58" s="13"/>
      <c r="N58" s="13"/>
      <c r="O58" s="13"/>
      <c r="P58" s="26">
        <v>1.01</v>
      </c>
      <c r="Q58" s="26"/>
      <c r="S58" s="17"/>
      <c r="T58" s="17"/>
      <c r="U58" s="16"/>
      <c r="V58" s="16"/>
      <c r="W58" s="16"/>
      <c r="X58" s="26">
        <v>420</v>
      </c>
      <c r="Y58" s="11"/>
      <c r="Z58" s="17"/>
      <c r="AA58" s="17"/>
      <c r="AB58" s="16"/>
      <c r="AC58" s="16"/>
      <c r="AD58" s="17"/>
      <c r="AE58" s="17"/>
      <c r="AF58" s="17"/>
      <c r="AG58" s="17"/>
      <c r="AH58" s="17"/>
      <c r="AI58" s="17"/>
      <c r="AJ58" s="17"/>
      <c r="AK58" s="16"/>
      <c r="AL58" s="16"/>
      <c r="AM58" s="16"/>
      <c r="AN58" s="16"/>
      <c r="AR58" s="12"/>
      <c r="AS58" s="12"/>
      <c r="AT58" s="5"/>
      <c r="AU58" s="12"/>
      <c r="AV58" s="12"/>
      <c r="AW58" s="5"/>
      <c r="AX58" s="5"/>
      <c r="BS58" s="9"/>
      <c r="BT58" s="10"/>
      <c r="BU58" s="9"/>
      <c r="BV58" s="9"/>
      <c r="BX58" s="10"/>
      <c r="BY58" s="10"/>
      <c r="CA58" s="10"/>
      <c r="CB58" s="10"/>
      <c r="CC58" s="10"/>
      <c r="CD58" s="10"/>
      <c r="CE58" s="10"/>
      <c r="CF58" s="10"/>
      <c r="CG58" s="10"/>
    </row>
    <row r="59" spans="2:85" x14ac:dyDescent="0.2">
      <c r="B59" s="14"/>
      <c r="C59" s="13"/>
      <c r="D59" s="13"/>
      <c r="E59" s="13"/>
      <c r="F59" s="13"/>
      <c r="G59" s="13"/>
      <c r="H59" s="13"/>
      <c r="I59" s="13"/>
      <c r="J59" s="13"/>
      <c r="K59" s="27"/>
      <c r="L59" s="13"/>
      <c r="M59" s="13"/>
      <c r="N59" s="13"/>
      <c r="O59" s="13"/>
      <c r="P59" s="26">
        <v>1.01</v>
      </c>
      <c r="Q59" s="26"/>
      <c r="S59" s="17"/>
      <c r="T59" s="17"/>
      <c r="U59" s="16"/>
      <c r="V59" s="16"/>
      <c r="W59" s="16"/>
      <c r="X59" s="26">
        <v>420</v>
      </c>
      <c r="Y59" s="11"/>
      <c r="Z59" s="17"/>
      <c r="AA59" s="17"/>
      <c r="AB59" s="16"/>
      <c r="AC59" s="16"/>
      <c r="AD59" s="17"/>
      <c r="AE59" s="17"/>
      <c r="AF59" s="17"/>
      <c r="AG59" s="17"/>
      <c r="AH59" s="17"/>
      <c r="AI59" s="17"/>
      <c r="AJ59" s="17"/>
      <c r="AK59" s="16"/>
      <c r="AL59" s="16"/>
      <c r="AM59" s="16"/>
      <c r="AN59" s="16"/>
      <c r="AR59" s="12"/>
      <c r="AS59" s="12"/>
      <c r="AT59" s="5"/>
      <c r="AU59" s="12"/>
      <c r="AV59" s="12"/>
      <c r="AW59" s="5"/>
      <c r="AX59" s="5"/>
      <c r="BS59" s="9"/>
      <c r="BT59" s="10"/>
      <c r="BU59" s="9"/>
      <c r="BV59" s="9"/>
      <c r="BX59" s="10"/>
      <c r="BY59" s="10"/>
      <c r="CA59" s="10"/>
      <c r="CB59" s="10"/>
      <c r="CC59" s="10"/>
      <c r="CD59" s="10"/>
      <c r="CE59" s="10"/>
      <c r="CF59" s="10"/>
      <c r="CG59" s="10"/>
    </row>
    <row r="60" spans="2:85" x14ac:dyDescent="0.2">
      <c r="B60" s="14"/>
      <c r="C60" s="13"/>
      <c r="D60" s="13"/>
      <c r="E60" s="13"/>
      <c r="F60" s="13"/>
      <c r="G60" s="13"/>
      <c r="H60" s="13"/>
      <c r="I60" s="13"/>
      <c r="J60" s="13"/>
      <c r="K60" s="27"/>
      <c r="L60" s="13"/>
      <c r="M60" s="13"/>
      <c r="N60" s="13"/>
      <c r="O60" s="13"/>
      <c r="P60" s="26">
        <v>1.01</v>
      </c>
      <c r="Q60" s="26"/>
      <c r="S60" s="17"/>
      <c r="T60" s="17"/>
      <c r="U60" s="16"/>
      <c r="V60" s="16"/>
      <c r="W60" s="16"/>
      <c r="X60" s="26">
        <v>420</v>
      </c>
      <c r="Y60" s="11"/>
      <c r="Z60" s="17"/>
      <c r="AA60" s="17"/>
      <c r="AB60" s="16"/>
      <c r="AC60" s="16"/>
      <c r="AD60" s="17"/>
      <c r="AE60" s="17"/>
      <c r="AF60" s="17"/>
      <c r="AG60" s="17"/>
      <c r="AH60" s="17"/>
      <c r="AI60" s="17"/>
      <c r="AJ60" s="17"/>
      <c r="AK60" s="16"/>
      <c r="AL60" s="16"/>
      <c r="AM60" s="16"/>
      <c r="AN60" s="16"/>
      <c r="AR60" s="12"/>
      <c r="AS60" s="12"/>
      <c r="AT60" s="5"/>
      <c r="AU60" s="12"/>
      <c r="AV60" s="12"/>
      <c r="AW60" s="5"/>
      <c r="AX60" s="5"/>
      <c r="BS60" s="9"/>
      <c r="BT60" s="10"/>
      <c r="BU60" s="9"/>
      <c r="BV60" s="9"/>
      <c r="BX60" s="10"/>
      <c r="BY60" s="10"/>
      <c r="CA60" s="10"/>
      <c r="CB60" s="10"/>
      <c r="CC60" s="10"/>
      <c r="CD60" s="10"/>
      <c r="CE60" s="10"/>
      <c r="CF60" s="10"/>
      <c r="CG60" s="10"/>
    </row>
    <row r="61" spans="2:85" x14ac:dyDescent="0.2">
      <c r="B61" s="14"/>
      <c r="C61" s="13"/>
      <c r="D61" s="13"/>
      <c r="E61" s="13"/>
      <c r="F61" s="13"/>
      <c r="G61" s="13"/>
      <c r="H61" s="13"/>
      <c r="I61" s="13"/>
      <c r="J61" s="13"/>
      <c r="K61" s="27"/>
      <c r="L61" s="13"/>
      <c r="M61" s="13"/>
      <c r="N61" s="13"/>
      <c r="O61" s="13"/>
      <c r="P61" s="26">
        <v>1.01</v>
      </c>
      <c r="Q61" s="26"/>
      <c r="S61" s="17"/>
      <c r="T61" s="17"/>
      <c r="U61" s="16"/>
      <c r="V61" s="16"/>
      <c r="W61" s="16"/>
      <c r="X61" s="26">
        <v>420</v>
      </c>
      <c r="Y61" s="11"/>
      <c r="Z61" s="17"/>
      <c r="AA61" s="17"/>
      <c r="AB61" s="16"/>
      <c r="AC61" s="16"/>
      <c r="AD61" s="17"/>
      <c r="AE61" s="17"/>
      <c r="AF61" s="17"/>
      <c r="AG61" s="17"/>
      <c r="AH61" s="17"/>
      <c r="AI61" s="17"/>
      <c r="AJ61" s="17"/>
      <c r="AK61" s="16"/>
      <c r="AL61" s="16"/>
      <c r="AM61" s="16"/>
      <c r="AN61" s="16"/>
      <c r="AR61" s="12"/>
      <c r="AS61" s="12"/>
      <c r="AT61" s="5"/>
      <c r="AU61" s="12"/>
      <c r="AV61" s="12"/>
      <c r="AW61" s="5"/>
      <c r="AX61" s="5"/>
      <c r="BS61" s="9"/>
      <c r="BT61" s="10"/>
      <c r="BU61" s="9"/>
      <c r="BV61" s="9"/>
      <c r="BX61" s="10"/>
      <c r="BY61" s="10"/>
      <c r="CA61" s="10"/>
      <c r="CB61" s="10"/>
      <c r="CC61" s="10"/>
      <c r="CD61" s="10"/>
      <c r="CE61" s="10"/>
      <c r="CF61" s="10"/>
      <c r="CG61" s="10"/>
    </row>
    <row r="62" spans="2:85" x14ac:dyDescent="0.2">
      <c r="B62" s="14"/>
      <c r="C62" s="13"/>
      <c r="D62" s="13"/>
      <c r="E62" s="13"/>
      <c r="F62" s="13"/>
      <c r="G62" s="13"/>
      <c r="H62" s="13"/>
      <c r="I62" s="13"/>
      <c r="J62" s="13"/>
      <c r="K62" s="27"/>
      <c r="L62" s="13"/>
      <c r="M62" s="13"/>
      <c r="N62" s="13"/>
      <c r="O62" s="13"/>
      <c r="P62" s="26">
        <v>1.01</v>
      </c>
      <c r="Q62" s="26"/>
      <c r="S62" s="17"/>
      <c r="T62" s="17"/>
      <c r="U62" s="16"/>
      <c r="V62" s="16"/>
      <c r="W62" s="16"/>
      <c r="X62" s="26">
        <v>420</v>
      </c>
      <c r="Y62" s="11"/>
      <c r="Z62" s="17"/>
      <c r="AA62" s="17"/>
      <c r="AB62" s="16"/>
      <c r="AC62" s="16"/>
      <c r="AD62" s="17"/>
      <c r="AE62" s="17"/>
      <c r="AF62" s="17"/>
      <c r="AG62" s="17"/>
      <c r="AH62" s="17"/>
      <c r="AI62" s="17"/>
      <c r="AJ62" s="17"/>
      <c r="AK62" s="16"/>
      <c r="AL62" s="16"/>
      <c r="AM62" s="16"/>
      <c r="AN62" s="16"/>
      <c r="AR62" s="12"/>
      <c r="AS62" s="12"/>
      <c r="AT62" s="5"/>
      <c r="AU62" s="12"/>
      <c r="AV62" s="12"/>
      <c r="AW62" s="5"/>
      <c r="AX62" s="5"/>
      <c r="BS62" s="9"/>
      <c r="BT62" s="10"/>
      <c r="BU62" s="9"/>
      <c r="BV62" s="9"/>
      <c r="BX62" s="10"/>
      <c r="BY62" s="10"/>
      <c r="CA62" s="10"/>
      <c r="CB62" s="10"/>
      <c r="CC62" s="10"/>
      <c r="CD62" s="10"/>
      <c r="CE62" s="10"/>
      <c r="CF62" s="10"/>
      <c r="CG62" s="10"/>
    </row>
    <row r="63" spans="2:85" x14ac:dyDescent="0.2">
      <c r="B63" s="14"/>
      <c r="C63" s="13"/>
      <c r="D63" s="13"/>
      <c r="E63" s="13"/>
      <c r="F63" s="13"/>
      <c r="G63" s="13"/>
      <c r="H63" s="13"/>
      <c r="I63" s="13"/>
      <c r="J63" s="13"/>
      <c r="K63" s="27"/>
      <c r="L63" s="13"/>
      <c r="M63" s="13"/>
      <c r="N63" s="13"/>
      <c r="O63" s="13"/>
      <c r="P63" s="26">
        <v>1.01</v>
      </c>
      <c r="Q63" s="26"/>
      <c r="S63" s="17"/>
      <c r="T63" s="17"/>
      <c r="U63" s="16"/>
      <c r="V63" s="16"/>
      <c r="W63" s="16"/>
      <c r="X63" s="26">
        <v>420</v>
      </c>
      <c r="Y63" s="11"/>
      <c r="Z63" s="17"/>
      <c r="AA63" s="17"/>
      <c r="AB63" s="16"/>
      <c r="AC63" s="16"/>
      <c r="AD63" s="17"/>
      <c r="AE63" s="17"/>
      <c r="AF63" s="17"/>
      <c r="AG63" s="17"/>
      <c r="AH63" s="17"/>
      <c r="AI63" s="17"/>
      <c r="AJ63" s="17"/>
      <c r="AK63" s="16"/>
      <c r="AL63" s="16"/>
      <c r="AM63" s="16"/>
      <c r="AN63" s="16"/>
      <c r="AR63" s="12"/>
      <c r="AS63" s="12"/>
      <c r="AT63" s="5"/>
      <c r="AU63" s="12"/>
      <c r="AV63" s="12"/>
      <c r="AW63" s="5"/>
      <c r="AX63" s="5"/>
      <c r="BS63" s="9"/>
      <c r="BT63" s="10"/>
      <c r="BU63" s="9"/>
      <c r="BV63" s="9"/>
      <c r="BX63" s="10"/>
      <c r="BY63" s="10"/>
      <c r="CA63" s="10"/>
      <c r="CB63" s="10"/>
      <c r="CC63" s="10"/>
      <c r="CD63" s="10"/>
      <c r="CE63" s="10"/>
      <c r="CF63" s="10"/>
      <c r="CG63" s="10"/>
    </row>
    <row r="64" spans="2:85" x14ac:dyDescent="0.2">
      <c r="B64" s="14"/>
      <c r="C64" s="13"/>
      <c r="D64" s="13"/>
      <c r="E64" s="13"/>
      <c r="F64" s="13"/>
      <c r="G64" s="13"/>
      <c r="H64" s="13"/>
      <c r="I64" s="13"/>
      <c r="J64" s="13"/>
      <c r="K64" s="27"/>
      <c r="L64" s="13"/>
      <c r="M64" s="13"/>
      <c r="N64" s="13"/>
      <c r="O64" s="13"/>
      <c r="P64" s="26">
        <v>1.01</v>
      </c>
      <c r="Q64" s="26"/>
      <c r="S64" s="17"/>
      <c r="T64" s="17"/>
      <c r="U64" s="16"/>
      <c r="V64" s="16"/>
      <c r="W64" s="16"/>
      <c r="X64" s="26">
        <v>420</v>
      </c>
      <c r="Y64" s="11"/>
      <c r="Z64" s="17"/>
      <c r="AA64" s="17"/>
      <c r="AB64" s="16"/>
      <c r="AC64" s="16"/>
      <c r="AD64" s="17"/>
      <c r="AE64" s="17"/>
      <c r="AF64" s="17"/>
      <c r="AG64" s="17"/>
      <c r="AH64" s="17"/>
      <c r="AI64" s="17"/>
      <c r="AJ64" s="17"/>
      <c r="AK64" s="16"/>
      <c r="AL64" s="16"/>
      <c r="AM64" s="16"/>
      <c r="AN64" s="16"/>
      <c r="AR64" s="12"/>
      <c r="AS64" s="12"/>
      <c r="AT64" s="5"/>
      <c r="AU64" s="12"/>
      <c r="AV64" s="12"/>
      <c r="AW64" s="5"/>
      <c r="AX64" s="5"/>
      <c r="BS64" s="9"/>
      <c r="BT64" s="10"/>
      <c r="BU64" s="9"/>
      <c r="BV64" s="9"/>
      <c r="BX64" s="10"/>
      <c r="BY64" s="10"/>
      <c r="CA64" s="10"/>
      <c r="CB64" s="10"/>
      <c r="CC64" s="10"/>
      <c r="CD64" s="10"/>
      <c r="CE64" s="10"/>
      <c r="CF64" s="10"/>
      <c r="CG64" s="10"/>
    </row>
    <row r="65" spans="2:85" x14ac:dyDescent="0.2">
      <c r="B65" s="14"/>
      <c r="C65" s="13"/>
      <c r="D65" s="13"/>
      <c r="E65" s="13"/>
      <c r="F65" s="13"/>
      <c r="G65" s="13"/>
      <c r="H65" s="13"/>
      <c r="I65" s="13"/>
      <c r="J65" s="13"/>
      <c r="K65" s="27"/>
      <c r="L65" s="13"/>
      <c r="M65" s="13"/>
      <c r="N65" s="13"/>
      <c r="O65" s="13"/>
      <c r="P65" s="26">
        <v>1.01</v>
      </c>
      <c r="Q65" s="26"/>
      <c r="S65" s="17"/>
      <c r="T65" s="17"/>
      <c r="U65" s="16"/>
      <c r="V65" s="16"/>
      <c r="W65" s="16"/>
      <c r="X65" s="26">
        <v>420</v>
      </c>
      <c r="Y65" s="11"/>
      <c r="Z65" s="17"/>
      <c r="AA65" s="17"/>
      <c r="AB65" s="16"/>
      <c r="AC65" s="16"/>
      <c r="AD65" s="17"/>
      <c r="AE65" s="17"/>
      <c r="AF65" s="17"/>
      <c r="AG65" s="17"/>
      <c r="AH65" s="17"/>
      <c r="AI65" s="17"/>
      <c r="AJ65" s="17"/>
      <c r="AK65" s="16"/>
      <c r="AL65" s="16"/>
      <c r="AM65" s="16"/>
      <c r="AN65" s="16"/>
      <c r="AR65" s="12"/>
      <c r="AS65" s="12"/>
      <c r="AT65" s="5"/>
      <c r="AU65" s="12"/>
      <c r="AV65" s="12"/>
      <c r="AW65" s="5"/>
      <c r="AX65" s="5"/>
      <c r="BS65" s="9"/>
      <c r="BT65" s="10"/>
      <c r="BU65" s="9"/>
      <c r="BV65" s="9"/>
      <c r="BX65" s="10"/>
      <c r="BY65" s="10"/>
      <c r="CA65" s="10"/>
      <c r="CB65" s="10"/>
      <c r="CC65" s="10"/>
      <c r="CD65" s="10"/>
      <c r="CE65" s="10"/>
      <c r="CF65" s="10"/>
      <c r="CG65" s="10"/>
    </row>
    <row r="66" spans="2:85" x14ac:dyDescent="0.2">
      <c r="AR66" s="5"/>
      <c r="AS66" s="5"/>
      <c r="AT66" s="5"/>
      <c r="AU66" s="5"/>
      <c r="AV66" s="5"/>
      <c r="AW66" s="5"/>
      <c r="AX66" s="5"/>
      <c r="BS66" s="8"/>
      <c r="BU66" s="8"/>
      <c r="BV66" s="8"/>
    </row>
    <row r="67" spans="2:85" x14ac:dyDescent="0.2">
      <c r="AR67" s="5"/>
      <c r="AS67" s="5"/>
      <c r="AT67" s="5"/>
      <c r="AU67" s="5"/>
      <c r="AV67" s="5"/>
      <c r="AW67" s="5"/>
      <c r="AX67" s="5"/>
      <c r="BS67" s="8"/>
      <c r="BU67" s="8"/>
      <c r="BV67" s="8"/>
    </row>
    <row r="68" spans="2:85" x14ac:dyDescent="0.2">
      <c r="AR68" s="5"/>
      <c r="AS68" s="5"/>
      <c r="AT68" s="5"/>
      <c r="AU68" s="5"/>
      <c r="AV68" s="5"/>
      <c r="AW68" s="5"/>
      <c r="AX68" s="5"/>
      <c r="BS68" s="8"/>
      <c r="BU68" s="8"/>
      <c r="BV68" s="8"/>
    </row>
    <row r="69" spans="2:85" x14ac:dyDescent="0.2">
      <c r="AR69" s="5"/>
      <c r="AS69" s="5"/>
      <c r="AT69" s="5"/>
      <c r="AU69" s="5"/>
      <c r="AV69" s="5"/>
      <c r="AW69" s="5"/>
      <c r="AX69" s="5"/>
      <c r="BS69" s="8"/>
      <c r="BU69" s="8"/>
      <c r="BV69" s="8"/>
    </row>
    <row r="70" spans="2:85" x14ac:dyDescent="0.2">
      <c r="AR70" s="5"/>
      <c r="AS70" s="5"/>
      <c r="AT70" s="5"/>
      <c r="AU70" s="5"/>
      <c r="AV70" s="5"/>
      <c r="AW70" s="5"/>
      <c r="AX70" s="5"/>
      <c r="BS70" s="8"/>
      <c r="BU70" s="8"/>
      <c r="BV70" s="8"/>
    </row>
    <row r="71" spans="2:85" x14ac:dyDescent="0.2">
      <c r="AR71" s="5"/>
      <c r="AS71" s="5"/>
      <c r="AT71" s="5"/>
      <c r="AU71" s="5"/>
      <c r="AV71" s="5"/>
      <c r="AW71" s="5"/>
      <c r="AX71" s="5"/>
      <c r="BS71" s="8"/>
      <c r="BU71" s="8"/>
      <c r="BV71" s="8"/>
    </row>
    <row r="72" spans="2:85" x14ac:dyDescent="0.2">
      <c r="AR72" s="5"/>
      <c r="AS72" s="5"/>
      <c r="AT72" s="5"/>
      <c r="AU72" s="5"/>
      <c r="AV72" s="5"/>
      <c r="AW72" s="5"/>
      <c r="AX72" s="5"/>
      <c r="BS72" s="8"/>
      <c r="BU72" s="8"/>
      <c r="BV72" s="8"/>
    </row>
    <row r="73" spans="2:85" x14ac:dyDescent="0.2">
      <c r="AR73" s="5"/>
      <c r="AS73" s="5"/>
      <c r="AT73" s="5"/>
      <c r="AU73" s="5"/>
      <c r="AV73" s="5"/>
      <c r="AW73" s="5"/>
      <c r="AX73" s="5"/>
      <c r="BS73" s="8"/>
      <c r="BU73" s="8"/>
      <c r="BV73" s="8"/>
    </row>
    <row r="74" spans="2:85" x14ac:dyDescent="0.2">
      <c r="AR74" s="5"/>
      <c r="AS74" s="5"/>
      <c r="AT74" s="5"/>
      <c r="AU74" s="5"/>
      <c r="AV74" s="5"/>
      <c r="AW74" s="5"/>
      <c r="AX74" s="5"/>
      <c r="BS74" s="8"/>
      <c r="BU74" s="8"/>
      <c r="BV74" s="8"/>
    </row>
    <row r="75" spans="2:85" x14ac:dyDescent="0.2">
      <c r="AR75" s="5"/>
      <c r="AS75" s="5"/>
      <c r="AT75" s="5"/>
      <c r="AU75" s="5"/>
      <c r="AV75" s="5"/>
      <c r="AW75" s="5"/>
      <c r="AX75" s="5"/>
      <c r="BS75" s="8"/>
      <c r="BU75" s="8"/>
      <c r="BV75" s="8"/>
    </row>
    <row r="76" spans="2:85" x14ac:dyDescent="0.2">
      <c r="AR76" s="5"/>
      <c r="AS76" s="5"/>
      <c r="AT76" s="5"/>
      <c r="AU76" s="5"/>
      <c r="AV76" s="5"/>
      <c r="AW76" s="5"/>
      <c r="AX76" s="5"/>
      <c r="BS76" s="8"/>
      <c r="BU76" s="8"/>
      <c r="BV76" s="8"/>
    </row>
    <row r="77" spans="2:85" x14ac:dyDescent="0.2">
      <c r="AR77" s="5"/>
      <c r="AS77" s="5"/>
      <c r="AT77" s="5"/>
      <c r="AU77" s="5"/>
      <c r="AV77" s="5"/>
      <c r="AW77" s="5"/>
      <c r="AX77" s="5"/>
      <c r="BS77" s="8"/>
      <c r="BU77" s="8"/>
      <c r="BV77" s="8"/>
    </row>
    <row r="78" spans="2:85" x14ac:dyDescent="0.2">
      <c r="AR78" s="5"/>
      <c r="AS78" s="5"/>
      <c r="AT78" s="5"/>
      <c r="AU78" s="5"/>
      <c r="AV78" s="5"/>
      <c r="AW78" s="5"/>
      <c r="AX78" s="5"/>
      <c r="BS78" s="8"/>
      <c r="BU78" s="8"/>
      <c r="BV78" s="8"/>
    </row>
    <row r="79" spans="2:85" x14ac:dyDescent="0.2">
      <c r="AR79" s="5"/>
      <c r="AS79" s="5"/>
      <c r="AT79" s="5"/>
      <c r="AU79" s="5"/>
      <c r="AV79" s="5"/>
      <c r="AW79" s="5"/>
      <c r="AX79" s="5"/>
      <c r="BS79" s="8"/>
      <c r="BU79" s="8"/>
      <c r="BV79" s="8"/>
    </row>
    <row r="80" spans="2:85" x14ac:dyDescent="0.2">
      <c r="AR80" s="5"/>
      <c r="AS80" s="5"/>
      <c r="AT80" s="5"/>
      <c r="AU80" s="5"/>
      <c r="AV80" s="5"/>
      <c r="AW80" s="5"/>
      <c r="AX80" s="5"/>
      <c r="BS80" s="8"/>
      <c r="BU80" s="8"/>
      <c r="BV80" s="8"/>
    </row>
    <row r="81" spans="44:74" x14ac:dyDescent="0.2">
      <c r="AR81" s="5"/>
      <c r="AS81" s="5"/>
      <c r="AT81" s="5"/>
      <c r="AU81" s="5"/>
      <c r="AV81" s="5"/>
      <c r="AW81" s="5"/>
      <c r="AX81" s="5"/>
      <c r="BS81" s="8"/>
      <c r="BU81" s="8"/>
      <c r="BV81" s="8"/>
    </row>
    <row r="82" spans="44:74" x14ac:dyDescent="0.2">
      <c r="AR82" s="5"/>
      <c r="AS82" s="5"/>
      <c r="AT82" s="5"/>
      <c r="AU82" s="5"/>
      <c r="AV82" s="5"/>
      <c r="AW82" s="5"/>
      <c r="AX82" s="5"/>
      <c r="BS82" s="8"/>
      <c r="BU82" s="8"/>
      <c r="BV82" s="8"/>
    </row>
    <row r="83" spans="44:74" x14ac:dyDescent="0.2">
      <c r="AR83" s="5"/>
      <c r="AS83" s="5"/>
      <c r="AT83" s="5"/>
      <c r="AU83" s="5"/>
      <c r="AV83" s="5"/>
      <c r="AW83" s="5"/>
      <c r="AX83" s="5"/>
      <c r="BS83" s="8"/>
      <c r="BU83" s="8"/>
      <c r="BV83" s="8"/>
    </row>
    <row r="84" spans="44:74" x14ac:dyDescent="0.2">
      <c r="AR84" s="5"/>
      <c r="AS84" s="5"/>
      <c r="AT84" s="5"/>
      <c r="AU84" s="5"/>
      <c r="AV84" s="5"/>
      <c r="AW84" s="5"/>
      <c r="AX84" s="5"/>
      <c r="BS84" s="8"/>
      <c r="BU84" s="8"/>
      <c r="BV84" s="8"/>
    </row>
    <row r="85" spans="44:74" x14ac:dyDescent="0.2">
      <c r="AR85" s="5"/>
      <c r="AS85" s="5"/>
      <c r="AT85" s="5"/>
      <c r="AU85" s="5"/>
      <c r="AV85" s="5"/>
      <c r="AW85" s="5"/>
      <c r="AX85" s="5"/>
      <c r="BS85" s="8"/>
      <c r="BU85" s="8"/>
      <c r="BV85" s="8"/>
    </row>
    <row r="86" spans="44:74" x14ac:dyDescent="0.2">
      <c r="AR86" s="5"/>
      <c r="AS86" s="5"/>
      <c r="AT86" s="5"/>
      <c r="AU86" s="5"/>
      <c r="AV86" s="5"/>
      <c r="AW86" s="5"/>
      <c r="AX86" s="5"/>
      <c r="BS86" s="8"/>
      <c r="BU86" s="8"/>
      <c r="BV86" s="8"/>
    </row>
    <row r="87" spans="44:74" x14ac:dyDescent="0.2">
      <c r="AR87" s="5"/>
      <c r="AS87" s="5"/>
      <c r="AT87" s="5"/>
      <c r="AU87" s="5"/>
      <c r="AV87" s="5"/>
      <c r="AW87" s="5"/>
      <c r="AX87" s="5"/>
      <c r="BS87" s="8"/>
      <c r="BU87" s="8"/>
      <c r="BV87" s="8"/>
    </row>
    <row r="88" spans="44:74" x14ac:dyDescent="0.2">
      <c r="AR88" s="5"/>
      <c r="AS88" s="5"/>
      <c r="AT88" s="5"/>
      <c r="AU88" s="5"/>
      <c r="AV88" s="5"/>
      <c r="AW88" s="5"/>
      <c r="AX88" s="5"/>
      <c r="BS88" s="8"/>
      <c r="BU88" s="8"/>
      <c r="BV88" s="8"/>
    </row>
    <row r="89" spans="44:74" x14ac:dyDescent="0.2">
      <c r="AR89" s="5"/>
      <c r="AS89" s="5"/>
      <c r="AT89" s="5"/>
      <c r="AU89" s="5"/>
      <c r="AV89" s="5"/>
      <c r="AW89" s="5"/>
      <c r="AX89" s="5"/>
      <c r="BS89" s="8"/>
      <c r="BU89" s="8"/>
      <c r="BV89" s="8"/>
    </row>
    <row r="90" spans="44:74" x14ac:dyDescent="0.2">
      <c r="AR90" s="5"/>
      <c r="AS90" s="5"/>
      <c r="AT90" s="5"/>
      <c r="AU90" s="5"/>
      <c r="AV90" s="5"/>
      <c r="AW90" s="5"/>
      <c r="AX90" s="5"/>
      <c r="BS90" s="8"/>
      <c r="BU90" s="8"/>
      <c r="BV90" s="8"/>
    </row>
    <row r="91" spans="44:74" x14ac:dyDescent="0.2">
      <c r="AR91" s="5"/>
      <c r="AS91" s="5"/>
      <c r="AT91" s="5"/>
      <c r="AU91" s="5"/>
      <c r="AV91" s="5"/>
      <c r="AW91" s="5"/>
      <c r="AX91" s="5"/>
      <c r="BS91" s="8"/>
      <c r="BU91" s="8"/>
      <c r="BV91" s="8"/>
    </row>
    <row r="92" spans="44:74" x14ac:dyDescent="0.2">
      <c r="AR92" s="5"/>
      <c r="AS92" s="5"/>
      <c r="AT92" s="5"/>
      <c r="AU92" s="5"/>
      <c r="AV92" s="5"/>
      <c r="AW92" s="5"/>
      <c r="AX92" s="5"/>
      <c r="BS92" s="8"/>
      <c r="BU92" s="8"/>
      <c r="BV92" s="8"/>
    </row>
    <row r="93" spans="44:74" x14ac:dyDescent="0.2">
      <c r="AR93" s="5"/>
      <c r="AS93" s="5"/>
      <c r="AT93" s="5"/>
      <c r="AU93" s="5"/>
      <c r="AV93" s="5"/>
      <c r="AW93" s="5"/>
      <c r="AX93" s="5"/>
      <c r="BS93" s="8"/>
      <c r="BU93" s="8"/>
      <c r="BV93" s="8"/>
    </row>
    <row r="94" spans="44:74" x14ac:dyDescent="0.2">
      <c r="AR94" s="5"/>
      <c r="AS94" s="5"/>
      <c r="AT94" s="5"/>
      <c r="AU94" s="5"/>
      <c r="AV94" s="5"/>
      <c r="AW94" s="5"/>
      <c r="AX94" s="5"/>
      <c r="BS94" s="8"/>
      <c r="BU94" s="8"/>
      <c r="BV94" s="8"/>
    </row>
    <row r="95" spans="44:74" x14ac:dyDescent="0.2">
      <c r="AR95" s="5"/>
      <c r="AS95" s="5"/>
      <c r="AT95" s="5"/>
      <c r="AU95" s="5"/>
      <c r="AV95" s="5"/>
      <c r="AW95" s="5"/>
      <c r="AX95" s="5"/>
      <c r="BS95" s="8"/>
      <c r="BU95" s="8"/>
      <c r="BV95" s="8"/>
    </row>
    <row r="96" spans="44:74" x14ac:dyDescent="0.2">
      <c r="AR96" s="5"/>
      <c r="AS96" s="5"/>
      <c r="AT96" s="5"/>
      <c r="AU96" s="5"/>
      <c r="AV96" s="5"/>
      <c r="AW96" s="5"/>
      <c r="AX96" s="5"/>
      <c r="BS96" s="8"/>
      <c r="BU96" s="8"/>
      <c r="BV96" s="8"/>
    </row>
    <row r="97" spans="44:74" x14ac:dyDescent="0.2">
      <c r="AR97" s="5"/>
      <c r="AS97" s="5"/>
      <c r="AT97" s="5"/>
      <c r="AU97" s="5"/>
      <c r="AV97" s="5"/>
      <c r="AW97" s="5"/>
      <c r="AX97" s="5"/>
      <c r="BS97" s="8"/>
      <c r="BU97" s="8"/>
      <c r="BV97" s="8"/>
    </row>
    <row r="98" spans="44:74" x14ac:dyDescent="0.2">
      <c r="AR98" s="5"/>
      <c r="AS98" s="5"/>
      <c r="AT98" s="5"/>
      <c r="AU98" s="5"/>
      <c r="AV98" s="5"/>
      <c r="AW98" s="5"/>
      <c r="AX98" s="5"/>
      <c r="BS98" s="8"/>
      <c r="BU98" s="8"/>
      <c r="BV98" s="8"/>
    </row>
    <row r="99" spans="44:74" x14ac:dyDescent="0.2">
      <c r="AR99" s="5"/>
      <c r="AS99" s="5"/>
      <c r="AT99" s="5"/>
      <c r="AU99" s="5"/>
      <c r="AV99" s="5"/>
      <c r="AW99" s="5"/>
      <c r="AX99" s="5"/>
      <c r="BS99" s="8"/>
      <c r="BU99" s="8"/>
      <c r="BV99" s="8"/>
    </row>
    <row r="100" spans="44:74" x14ac:dyDescent="0.2">
      <c r="AR100" s="5"/>
      <c r="AS100" s="5"/>
      <c r="AT100" s="5"/>
      <c r="AU100" s="5"/>
      <c r="AV100" s="5"/>
      <c r="AW100" s="5"/>
      <c r="AX100" s="5"/>
      <c r="BS100" s="8"/>
      <c r="BU100" s="8"/>
      <c r="BV100" s="8"/>
    </row>
    <row r="101" spans="44:74" x14ac:dyDescent="0.2">
      <c r="AR101" s="5"/>
      <c r="AS101" s="5"/>
      <c r="AT101" s="5"/>
      <c r="AU101" s="5"/>
      <c r="AV101" s="5"/>
      <c r="AW101" s="5"/>
      <c r="AX101" s="5"/>
      <c r="BS101" s="8"/>
      <c r="BU101" s="8"/>
      <c r="BV101" s="8"/>
    </row>
    <row r="102" spans="44:74" x14ac:dyDescent="0.2">
      <c r="AR102" s="5"/>
      <c r="AS102" s="5"/>
      <c r="AT102" s="5"/>
      <c r="AU102" s="5"/>
      <c r="AV102" s="5"/>
      <c r="AW102" s="5"/>
      <c r="AX102" s="5"/>
      <c r="BS102" s="8"/>
      <c r="BU102" s="8"/>
      <c r="BV102" s="8"/>
    </row>
    <row r="103" spans="44:74" x14ac:dyDescent="0.2">
      <c r="AR103" s="5"/>
      <c r="AS103" s="5"/>
      <c r="AT103" s="5"/>
      <c r="AU103" s="5"/>
      <c r="AV103" s="5"/>
      <c r="AW103" s="5"/>
      <c r="AX103" s="5"/>
      <c r="BS103" s="8"/>
      <c r="BU103" s="8"/>
      <c r="BV103" s="8"/>
    </row>
    <row r="104" spans="44:74" x14ac:dyDescent="0.2">
      <c r="AR104" s="5"/>
      <c r="AS104" s="5"/>
      <c r="AT104" s="5"/>
      <c r="AU104" s="5"/>
      <c r="AV104" s="5"/>
      <c r="AW104" s="5"/>
      <c r="AX104" s="5"/>
    </row>
    <row r="105" spans="44:74" x14ac:dyDescent="0.2">
      <c r="AR105" s="5"/>
      <c r="AS105" s="5"/>
      <c r="AT105" s="5"/>
      <c r="AU105" s="5"/>
      <c r="AV105" s="5"/>
      <c r="AW105" s="5"/>
      <c r="AX105" s="5"/>
    </row>
    <row r="106" spans="44:74" x14ac:dyDescent="0.2">
      <c r="AR106" s="5"/>
      <c r="AS106" s="5"/>
      <c r="AT106" s="5"/>
      <c r="AU106" s="5"/>
      <c r="AV106" s="5"/>
      <c r="AW106" s="5"/>
      <c r="AX106" s="5"/>
    </row>
    <row r="107" spans="44:74" x14ac:dyDescent="0.2">
      <c r="AX10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5"/>
  <sheetViews>
    <sheetView topLeftCell="G1" zoomScale="82" workbookViewId="0">
      <selection activeCell="U4" sqref="U4"/>
    </sheetView>
  </sheetViews>
  <sheetFormatPr baseColWidth="10" defaultRowHeight="16" x14ac:dyDescent="0.2"/>
  <cols>
    <col min="1" max="1" width="32.33203125" customWidth="1"/>
    <col min="2" max="2" width="14.5" bestFit="1" customWidth="1"/>
    <col min="3" max="3" width="15.33203125" bestFit="1" customWidth="1"/>
    <col min="4" max="4" width="17.83203125" bestFit="1" customWidth="1"/>
    <col min="5" max="5" width="15.83203125" bestFit="1" customWidth="1"/>
    <col min="6" max="6" width="17.1640625" bestFit="1" customWidth="1"/>
    <col min="7" max="7" width="14" bestFit="1" customWidth="1"/>
    <col min="8" max="8" width="12.5" bestFit="1" customWidth="1"/>
    <col min="9" max="9" width="14.5" bestFit="1" customWidth="1"/>
    <col min="10" max="10" width="10.83203125" bestFit="1" customWidth="1"/>
    <col min="11" max="11" width="12.6640625" bestFit="1" customWidth="1"/>
    <col min="12" max="12" width="5.1640625" bestFit="1" customWidth="1"/>
    <col min="13" max="13" width="9.1640625" bestFit="1" customWidth="1"/>
    <col min="14" max="14" width="10.5" bestFit="1" customWidth="1"/>
    <col min="15" max="15" width="13.1640625" bestFit="1" customWidth="1"/>
    <col min="16" max="16" width="2.6640625" customWidth="1"/>
    <col min="17" max="17" width="11.83203125" bestFit="1" customWidth="1"/>
    <col min="19" max="19" width="12.5" bestFit="1" customWidth="1"/>
    <col min="20" max="20" width="2.83203125" customWidth="1"/>
    <col min="21" max="21" width="33.1640625" customWidth="1"/>
    <col min="22" max="32" width="11" bestFit="1" customWidth="1"/>
    <col min="33" max="33" width="12.1640625" bestFit="1" customWidth="1"/>
    <col min="34" max="35" width="11" bestFit="1" customWidth="1"/>
  </cols>
  <sheetData>
    <row r="1" spans="1:35" x14ac:dyDescent="0.2">
      <c r="A1" s="21" t="s">
        <v>110</v>
      </c>
      <c r="Q1" s="24" t="s">
        <v>14</v>
      </c>
      <c r="U1" s="21" t="s">
        <v>111</v>
      </c>
    </row>
    <row r="2" spans="1:35" ht="32" customHeight="1" x14ac:dyDescent="0.2">
      <c r="A2" s="4" t="s">
        <v>53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22" t="s">
        <v>66</v>
      </c>
      <c r="K2" s="22" t="s">
        <v>67</v>
      </c>
      <c r="L2" s="22" t="s">
        <v>65</v>
      </c>
      <c r="M2" s="23" t="s">
        <v>55</v>
      </c>
      <c r="N2" s="23" t="s">
        <v>112</v>
      </c>
      <c r="O2" s="23" t="s">
        <v>113</v>
      </c>
      <c r="Q2" t="s">
        <v>114</v>
      </c>
      <c r="R2">
        <v>45.6</v>
      </c>
      <c r="S2" t="s">
        <v>115</v>
      </c>
      <c r="U2" s="4" t="s">
        <v>53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22" t="s">
        <v>66</v>
      </c>
      <c r="AE2" s="22" t="s">
        <v>67</v>
      </c>
      <c r="AF2" s="22" t="s">
        <v>65</v>
      </c>
      <c r="AG2" s="23" t="s">
        <v>55</v>
      </c>
      <c r="AH2" s="23" t="s">
        <v>112</v>
      </c>
      <c r="AI2" s="23" t="s">
        <v>113</v>
      </c>
    </row>
    <row r="3" spans="1:35" x14ac:dyDescent="0.2">
      <c r="A3" t="str">
        <f>lc_detailed!AP3</f>
        <v>SE_Synthetic_Ethylene_Non_CCS</v>
      </c>
      <c r="B3" s="25">
        <f>lc_detailed!AX3/$R$2</f>
        <v>7.6246838779146486</v>
      </c>
      <c r="C3" s="25">
        <f>lc_detailed!AY3/$R$2</f>
        <v>0.72286564786234198</v>
      </c>
      <c r="D3" s="25">
        <f>lc_detailed!AZ3/$R$2</f>
        <v>13.03615561171002</v>
      </c>
      <c r="E3" s="25">
        <f>lc_detailed!BA3/$R$2</f>
        <v>-0.24235512400049214</v>
      </c>
      <c r="F3" s="25">
        <f>lc_detailed!BB3/$R$2</f>
        <v>-18.880719992760021</v>
      </c>
      <c r="G3" s="25">
        <f>lc_detailed!BC3/$R$2</f>
        <v>4.2600965636830308</v>
      </c>
      <c r="H3" s="25">
        <f>lc_detailed!BD3/$R$2</f>
        <v>2.3433206377337097</v>
      </c>
      <c r="I3" s="25">
        <f>lc_detailed!BE3/$R$2</f>
        <v>-0.99370798227543866</v>
      </c>
      <c r="J3" s="25">
        <f>lc_detailed!BM3/$R$2</f>
        <v>0</v>
      </c>
      <c r="K3" s="25">
        <f>lc_detailed!BN3/$R$2</f>
        <v>0</v>
      </c>
      <c r="L3" s="25">
        <f>lc_detailed!BL3</f>
        <v>0</v>
      </c>
      <c r="M3" s="25">
        <f>lc_detailed!AU3</f>
        <v>358.88746933797165</v>
      </c>
      <c r="N3" s="25">
        <f t="shared" ref="N3:N20" si="0">M3/$R$2</f>
        <v>7.8703392398677989</v>
      </c>
      <c r="O3" s="25">
        <f t="shared" ref="O3:O20" si="1">SUM(B3:K3)</f>
        <v>7.8703392398677998</v>
      </c>
      <c r="U3" t="str">
        <f t="array" ref="U3:AI65">_xlfn._xlws.SORT(A3:O65, 13, 1)</f>
        <v>NE_Synthetic_Ethylene_Non_CCS</v>
      </c>
      <c r="V3" s="25">
        <v>9.6475746507461988</v>
      </c>
      <c r="W3" s="25">
        <v>0.7066773254975931</v>
      </c>
      <c r="X3" s="25">
        <v>9.7233651841228586</v>
      </c>
      <c r="Y3" s="25">
        <v>-0.27269292708438991</v>
      </c>
      <c r="Z3" s="25">
        <v>-22.223848279928063</v>
      </c>
      <c r="AA3" s="25">
        <v>4.2600965636830308</v>
      </c>
      <c r="AB3" s="25">
        <v>2.3433206377337097</v>
      </c>
      <c r="AC3" s="25">
        <v>-0.99370798227543866</v>
      </c>
      <c r="AD3" s="25">
        <v>0</v>
      </c>
      <c r="AE3" s="25">
        <v>0</v>
      </c>
      <c r="AF3" s="25">
        <v>0</v>
      </c>
      <c r="AG3" s="25">
        <v>145.49980386579475</v>
      </c>
      <c r="AH3" s="25">
        <v>3.1907851724954988</v>
      </c>
      <c r="AI3" s="25">
        <v>3.1907851724954996</v>
      </c>
    </row>
    <row r="4" spans="1:35" x14ac:dyDescent="0.2">
      <c r="A4" t="str">
        <f>lc_detailed!AP4</f>
        <v>SE_Synthetic_Ethylene_CCS_90</v>
      </c>
      <c r="B4" s="25">
        <f>lc_detailed!AX4/$R$2</f>
        <v>7.624683880724632</v>
      </c>
      <c r="C4" s="25">
        <f>lc_detailed!AY4/$R$2</f>
        <v>0.9213972007811656</v>
      </c>
      <c r="D4" s="25">
        <f>lc_detailed!AZ4/$R$2</f>
        <v>11.975775539898962</v>
      </c>
      <c r="E4" s="25">
        <f>lc_detailed!BA4/$R$2</f>
        <v>-0.24235512411799978</v>
      </c>
      <c r="F4" s="25">
        <f>lc_detailed!BB4/$R$2</f>
        <v>-18.880720000582343</v>
      </c>
      <c r="G4" s="25">
        <f>lc_detailed!BC4/$R$2</f>
        <v>4.705568157602146</v>
      </c>
      <c r="H4" s="25">
        <f>lc_detailed!BD4/$R$2</f>
        <v>2.5867547372464941</v>
      </c>
      <c r="I4" s="25">
        <f>lc_detailed!BE4/$R$2</f>
        <v>-1.074340016786842</v>
      </c>
      <c r="J4" s="25">
        <f>lc_detailed!BM4/$R$2</f>
        <v>0</v>
      </c>
      <c r="K4" s="25">
        <f>lc_detailed!BN4/$R$2</f>
        <v>0</v>
      </c>
      <c r="L4" s="25">
        <f>lc_detailed!BL4</f>
        <v>0</v>
      </c>
      <c r="M4" s="25">
        <f>lc_detailed!AU4</f>
        <v>347.32445548933936</v>
      </c>
      <c r="N4" s="25">
        <f t="shared" si="0"/>
        <v>7.6167643747662135</v>
      </c>
      <c r="O4" s="25">
        <f t="shared" si="1"/>
        <v>7.6167643747662144</v>
      </c>
      <c r="U4" t="str">
        <v>NE_Synthetic_Ethylene_CCS_90</v>
      </c>
      <c r="V4" s="25">
        <v>9.6475746543016925</v>
      </c>
      <c r="W4" s="25">
        <v>0.90076283399899526</v>
      </c>
      <c r="X4" s="25">
        <v>8.932452358341326</v>
      </c>
      <c r="Y4" s="25">
        <v>-0.27269292721660704</v>
      </c>
      <c r="Z4" s="25">
        <v>-22.22384828913545</v>
      </c>
      <c r="AA4" s="25">
        <v>4.705568157602146</v>
      </c>
      <c r="AB4" s="25">
        <v>2.5867547372464941</v>
      </c>
      <c r="AC4" s="25">
        <v>-1.074340016786842</v>
      </c>
      <c r="AD4" s="25">
        <v>0</v>
      </c>
      <c r="AE4" s="25">
        <v>0</v>
      </c>
      <c r="AF4" s="25">
        <v>0</v>
      </c>
      <c r="AG4" s="25">
        <v>146.02175678084004</v>
      </c>
      <c r="AH4" s="25">
        <v>3.2022315083517552</v>
      </c>
      <c r="AI4" s="25">
        <v>3.2022315083517525</v>
      </c>
    </row>
    <row r="5" spans="1:35" x14ac:dyDescent="0.2">
      <c r="A5" t="str">
        <f>lc_detailed!AP5</f>
        <v>MIDAT_Synthetic_Ethylene_Non_CCS</v>
      </c>
      <c r="B5" s="25">
        <f>lc_detailed!AX5/$R$2</f>
        <v>7.9023386587990325</v>
      </c>
      <c r="C5" s="25">
        <f>lc_detailed!AY5/$R$2</f>
        <v>0.73083594500965676</v>
      </c>
      <c r="D5" s="25">
        <f>lc_detailed!AZ5/$R$2</f>
        <v>11.091536587122279</v>
      </c>
      <c r="E5" s="25">
        <f>lc_detailed!BA5/$R$2</f>
        <v>-0.16457133828177642</v>
      </c>
      <c r="F5" s="25">
        <f>lc_detailed!BB5/$R$2</f>
        <v>-20.74755519690644</v>
      </c>
      <c r="G5" s="25">
        <f>lc_detailed!BC5/$R$2</f>
        <v>4.2600965636830308</v>
      </c>
      <c r="H5" s="25">
        <f>lc_detailed!BD5/$R$2</f>
        <v>2.3433206377337097</v>
      </c>
      <c r="I5" s="25">
        <f>lc_detailed!BE5/$R$2</f>
        <v>-0.99370798227543866</v>
      </c>
      <c r="J5" s="25">
        <f>lc_detailed!BM5/$R$2</f>
        <v>0</v>
      </c>
      <c r="K5" s="25">
        <f>lc_detailed!BN5/$R$2</f>
        <v>0</v>
      </c>
      <c r="L5" s="25">
        <f>lc_detailed!BL5</f>
        <v>0</v>
      </c>
      <c r="M5" s="25">
        <f>lc_detailed!AU5</f>
        <v>201.65660069471286</v>
      </c>
      <c r="N5" s="25">
        <f t="shared" si="0"/>
        <v>4.4222938748840539</v>
      </c>
      <c r="O5" s="25">
        <f t="shared" si="1"/>
        <v>4.4222938748840521</v>
      </c>
      <c r="U5" t="str">
        <v>MIDAT_Synthetic_Ethylene_CCS_90</v>
      </c>
      <c r="V5" s="25">
        <v>7.9023386617113429</v>
      </c>
      <c r="W5" s="25">
        <v>0.93155650147922364</v>
      </c>
      <c r="X5" s="25">
        <v>10.189334687032737</v>
      </c>
      <c r="Y5" s="25">
        <v>-0.16457133836157006</v>
      </c>
      <c r="Z5" s="25">
        <v>-20.747555205502195</v>
      </c>
      <c r="AA5" s="25">
        <v>4.705568157602146</v>
      </c>
      <c r="AB5" s="25">
        <v>2.5867547372464941</v>
      </c>
      <c r="AC5" s="25">
        <v>-1.074340016786842</v>
      </c>
      <c r="AD5" s="25">
        <v>0</v>
      </c>
      <c r="AE5" s="25">
        <v>0</v>
      </c>
      <c r="AF5" s="25">
        <v>0</v>
      </c>
      <c r="AG5" s="25">
        <v>197.40633000961301</v>
      </c>
      <c r="AH5" s="25">
        <v>4.329086184421338</v>
      </c>
      <c r="AI5" s="25">
        <v>4.3290861844213371</v>
      </c>
    </row>
    <row r="6" spans="1:35" x14ac:dyDescent="0.2">
      <c r="A6" t="str">
        <f>lc_detailed!AP6</f>
        <v>MIDAT_Synthetic_Ethylene_CCS_90</v>
      </c>
      <c r="B6" s="25">
        <f>lc_detailed!AX6/$R$2</f>
        <v>7.9023386617113429</v>
      </c>
      <c r="C6" s="25">
        <f>lc_detailed!AY6/$R$2</f>
        <v>0.93155650147922364</v>
      </c>
      <c r="D6" s="25">
        <f>lc_detailed!AZ6/$R$2</f>
        <v>10.189334687032737</v>
      </c>
      <c r="E6" s="25">
        <f>lc_detailed!BA6/$R$2</f>
        <v>-0.16457133836157006</v>
      </c>
      <c r="F6" s="25">
        <f>lc_detailed!BB6/$R$2</f>
        <v>-20.747555205502195</v>
      </c>
      <c r="G6" s="25">
        <f>lc_detailed!BC6/$R$2</f>
        <v>4.705568157602146</v>
      </c>
      <c r="H6" s="25">
        <f>lc_detailed!BD6/$R$2</f>
        <v>2.5867547372464941</v>
      </c>
      <c r="I6" s="25">
        <f>lc_detailed!BE6/$R$2</f>
        <v>-1.074340016786842</v>
      </c>
      <c r="J6" s="25">
        <f>lc_detailed!BM6/$R$2</f>
        <v>0</v>
      </c>
      <c r="K6" s="25">
        <f>lc_detailed!BN6/$R$2</f>
        <v>0</v>
      </c>
      <c r="L6" s="25">
        <f>lc_detailed!BL6</f>
        <v>0</v>
      </c>
      <c r="M6" s="25">
        <f>lc_detailed!AU6</f>
        <v>197.40633000961301</v>
      </c>
      <c r="N6" s="25">
        <f t="shared" si="0"/>
        <v>4.329086184421338</v>
      </c>
      <c r="O6" s="25">
        <f t="shared" si="1"/>
        <v>4.3290861844213371</v>
      </c>
      <c r="U6" t="str">
        <v>MIDAT_Synthetic_Ethylene_Non_CCS</v>
      </c>
      <c r="V6" s="25">
        <v>7.9023386587990325</v>
      </c>
      <c r="W6" s="25">
        <v>0.73083594500965676</v>
      </c>
      <c r="X6" s="25">
        <v>11.091536587122279</v>
      </c>
      <c r="Y6" s="25">
        <v>-0.16457133828177642</v>
      </c>
      <c r="Z6" s="25">
        <v>-20.74755519690644</v>
      </c>
      <c r="AA6" s="25">
        <v>4.2600965636830308</v>
      </c>
      <c r="AB6" s="25">
        <v>2.3433206377337097</v>
      </c>
      <c r="AC6" s="25">
        <v>-0.99370798227543866</v>
      </c>
      <c r="AD6" s="25">
        <v>0</v>
      </c>
      <c r="AE6" s="25">
        <v>0</v>
      </c>
      <c r="AF6" s="25">
        <v>0</v>
      </c>
      <c r="AG6" s="25">
        <v>201.65660069471286</v>
      </c>
      <c r="AH6" s="25">
        <v>4.4222938748840539</v>
      </c>
      <c r="AI6" s="25">
        <v>4.4222938748840521</v>
      </c>
    </row>
    <row r="7" spans="1:35" x14ac:dyDescent="0.2">
      <c r="A7" t="str">
        <f>lc_detailed!AP7</f>
        <v>NE_Synthetic_Ethylene_Non_CCS</v>
      </c>
      <c r="B7" s="25">
        <f>lc_detailed!AX7/$R$2</f>
        <v>9.6475746507461988</v>
      </c>
      <c r="C7" s="25">
        <f>lc_detailed!AY7/$R$2</f>
        <v>0.7066773254975931</v>
      </c>
      <c r="D7" s="25">
        <f>lc_detailed!AZ7/$R$2</f>
        <v>9.7233651841228586</v>
      </c>
      <c r="E7" s="25">
        <f>lc_detailed!BA7/$R$2</f>
        <v>-0.27269292708438991</v>
      </c>
      <c r="F7" s="25">
        <f>lc_detailed!BB7/$R$2</f>
        <v>-22.223848279928063</v>
      </c>
      <c r="G7" s="25">
        <f>lc_detailed!BC7/$R$2</f>
        <v>4.2600965636830308</v>
      </c>
      <c r="H7" s="25">
        <f>lc_detailed!BD7/$R$2</f>
        <v>2.3433206377337097</v>
      </c>
      <c r="I7" s="25">
        <f>lc_detailed!BE7/$R$2</f>
        <v>-0.99370798227543866</v>
      </c>
      <c r="J7" s="25">
        <f>lc_detailed!BM7/$R$2</f>
        <v>0</v>
      </c>
      <c r="K7" s="25">
        <f>lc_detailed!BN7/$R$2</f>
        <v>0</v>
      </c>
      <c r="L7" s="25">
        <f>lc_detailed!BL7</f>
        <v>0</v>
      </c>
      <c r="M7" s="25">
        <f>lc_detailed!AU7</f>
        <v>145.49980386579475</v>
      </c>
      <c r="N7" s="25">
        <f t="shared" si="0"/>
        <v>3.1907851724954988</v>
      </c>
      <c r="O7" s="25">
        <f t="shared" si="1"/>
        <v>3.1907851724954996</v>
      </c>
      <c r="U7" t="str">
        <v>SE_Synthetic_Ethylene_CCS_90</v>
      </c>
      <c r="V7" s="25">
        <v>7.624683880724632</v>
      </c>
      <c r="W7" s="25">
        <v>0.9213972007811656</v>
      </c>
      <c r="X7" s="25">
        <v>11.975775539898962</v>
      </c>
      <c r="Y7" s="25">
        <v>-0.24235512411799978</v>
      </c>
      <c r="Z7" s="25">
        <v>-18.880720000582343</v>
      </c>
      <c r="AA7" s="25">
        <v>4.705568157602146</v>
      </c>
      <c r="AB7" s="25">
        <v>2.5867547372464941</v>
      </c>
      <c r="AC7" s="25">
        <v>-1.074340016786842</v>
      </c>
      <c r="AD7" s="25">
        <v>0</v>
      </c>
      <c r="AE7" s="25">
        <v>0</v>
      </c>
      <c r="AF7" s="25">
        <v>0</v>
      </c>
      <c r="AG7" s="25">
        <v>347.32445548933936</v>
      </c>
      <c r="AH7" s="25">
        <v>7.6167643747662135</v>
      </c>
      <c r="AI7" s="25">
        <v>7.6167643747662144</v>
      </c>
    </row>
    <row r="8" spans="1:35" x14ac:dyDescent="0.2">
      <c r="A8" t="str">
        <f>lc_detailed!AP8</f>
        <v>NE_Synthetic_Ethylene_CCS_90</v>
      </c>
      <c r="B8" s="25">
        <f>lc_detailed!AX8/$R$2</f>
        <v>9.6475746543016925</v>
      </c>
      <c r="C8" s="25">
        <f>lc_detailed!AY8/$R$2</f>
        <v>0.90076283399899526</v>
      </c>
      <c r="D8" s="25">
        <f>lc_detailed!AZ8/$R$2</f>
        <v>8.932452358341326</v>
      </c>
      <c r="E8" s="25">
        <f>lc_detailed!BA8/$R$2</f>
        <v>-0.27269292721660704</v>
      </c>
      <c r="F8" s="25">
        <f>lc_detailed!BB8/$R$2</f>
        <v>-22.22384828913545</v>
      </c>
      <c r="G8" s="25">
        <f>lc_detailed!BC8/$R$2</f>
        <v>4.705568157602146</v>
      </c>
      <c r="H8" s="25">
        <f>lc_detailed!BD8/$R$2</f>
        <v>2.5867547372464941</v>
      </c>
      <c r="I8" s="25">
        <f>lc_detailed!BE8/$R$2</f>
        <v>-1.074340016786842</v>
      </c>
      <c r="J8" s="25">
        <f>lc_detailed!BM8/$R$2</f>
        <v>0</v>
      </c>
      <c r="K8" s="25">
        <f>lc_detailed!BN8/$R$2</f>
        <v>0</v>
      </c>
      <c r="L8" s="25">
        <f>lc_detailed!BL8</f>
        <v>0</v>
      </c>
      <c r="M8" s="25">
        <f>lc_detailed!AU8</f>
        <v>146.02175678084004</v>
      </c>
      <c r="N8" s="25">
        <f t="shared" si="0"/>
        <v>3.2022315083517552</v>
      </c>
      <c r="O8" s="25">
        <f t="shared" si="1"/>
        <v>3.2022315083517525</v>
      </c>
      <c r="U8" t="str">
        <v>SE_Synthetic_Ethylene_Non_CCS</v>
      </c>
      <c r="V8" s="25">
        <v>7.6246838779146486</v>
      </c>
      <c r="W8" s="25">
        <v>0.72286564786234198</v>
      </c>
      <c r="X8" s="25">
        <v>13.03615561171002</v>
      </c>
      <c r="Y8" s="25">
        <v>-0.24235512400049214</v>
      </c>
      <c r="Z8" s="25">
        <v>-18.880719992760021</v>
      </c>
      <c r="AA8" s="25">
        <v>4.2600965636830308</v>
      </c>
      <c r="AB8" s="25">
        <v>2.3433206377337097</v>
      </c>
      <c r="AC8" s="25">
        <v>-0.99370798227543866</v>
      </c>
      <c r="AD8" s="25">
        <v>0</v>
      </c>
      <c r="AE8" s="25">
        <v>0</v>
      </c>
      <c r="AF8" s="25">
        <v>0</v>
      </c>
      <c r="AG8" s="25">
        <v>358.88746933797165</v>
      </c>
      <c r="AH8" s="25">
        <v>7.8703392398677989</v>
      </c>
      <c r="AI8" s="25">
        <v>7.8703392398677998</v>
      </c>
    </row>
    <row r="9" spans="1:35" x14ac:dyDescent="0.2">
      <c r="A9" t="str">
        <f>lc_detailed!AP9</f>
        <v>CA_Synthetic_Ethylene_Non_CCS</v>
      </c>
      <c r="B9" s="25">
        <f>lc_detailed!AX9/$R$2</f>
        <v>8.882221111503009</v>
      </c>
      <c r="C9" s="25">
        <f>lc_detailed!AY9/$R$2</f>
        <v>0.68916970159805557</v>
      </c>
      <c r="D9" s="25">
        <f>lc_detailed!AZ9/$R$2</f>
        <v>14.948219637620451</v>
      </c>
      <c r="E9" s="25">
        <f>lc_detailed!BA9/$R$2</f>
        <v>-0.39450878949359602</v>
      </c>
      <c r="F9" s="25">
        <f>lc_detailed!BB9/$R$2</f>
        <v>-17.122469805914761</v>
      </c>
      <c r="G9" s="25">
        <f>lc_detailed!BC9/$R$2</f>
        <v>4.2600965636830308</v>
      </c>
      <c r="H9" s="25">
        <f>lc_detailed!BD9/$R$2</f>
        <v>2.3433206377337097</v>
      </c>
      <c r="I9" s="25">
        <f>lc_detailed!BE9/$R$2</f>
        <v>-0.99370798227543866</v>
      </c>
      <c r="J9" s="25">
        <f>lc_detailed!BM9/$R$2</f>
        <v>0</v>
      </c>
      <c r="K9" s="25">
        <f>lc_detailed!BN9/$R$2</f>
        <v>0</v>
      </c>
      <c r="L9" s="25">
        <f>lc_detailed!BL9</f>
        <v>0</v>
      </c>
      <c r="M9" s="25">
        <f>lc_detailed!AU9</f>
        <v>575.12275299512351</v>
      </c>
      <c r="N9" s="25">
        <f t="shared" si="0"/>
        <v>12.612341074454463</v>
      </c>
      <c r="O9" s="25">
        <f t="shared" si="1"/>
        <v>12.612341074454461</v>
      </c>
      <c r="U9" t="str">
        <v>TX_Synthetic_Ethylene_CCS_90</v>
      </c>
      <c r="V9" s="25">
        <v>7.9189911503517845</v>
      </c>
      <c r="W9" s="25">
        <v>0.92536315857176465</v>
      </c>
      <c r="X9" s="25">
        <v>12.168959138351944</v>
      </c>
      <c r="Y9" s="25">
        <v>-0.26177559818929191</v>
      </c>
      <c r="Z9" s="25">
        <v>-18.689851672712397</v>
      </c>
      <c r="AA9" s="25">
        <v>4.705568157602146</v>
      </c>
      <c r="AB9" s="25">
        <v>2.5867547372464941</v>
      </c>
      <c r="AC9" s="25">
        <v>-1.074340016786842</v>
      </c>
      <c r="AD9" s="25">
        <v>0</v>
      </c>
      <c r="AE9" s="25">
        <v>0</v>
      </c>
      <c r="AF9" s="25">
        <v>0</v>
      </c>
      <c r="AG9" s="25">
        <v>377.55290888226364</v>
      </c>
      <c r="AH9" s="25">
        <v>8.2796690544356064</v>
      </c>
      <c r="AI9" s="25">
        <v>8.2796690544356029</v>
      </c>
    </row>
    <row r="10" spans="1:35" x14ac:dyDescent="0.2">
      <c r="A10" t="str">
        <f>lc_detailed!AP10</f>
        <v>CA_Synthetic_Ethylene_CCS_90</v>
      </c>
      <c r="B10" s="25">
        <f>lc_detailed!AX10/$R$2</f>
        <v>8.8822211147764421</v>
      </c>
      <c r="C10" s="25">
        <f>lc_detailed!AY10/$R$2</f>
        <v>0.87844682589836531</v>
      </c>
      <c r="D10" s="25">
        <f>lc_detailed!AZ10/$R$2</f>
        <v>13.73230946556412</v>
      </c>
      <c r="E10" s="25">
        <f>lc_detailed!BA10/$R$2</f>
        <v>-0.39450878968487657</v>
      </c>
      <c r="F10" s="25">
        <f>lc_detailed!BB10/$R$2</f>
        <v>-17.122469813008635</v>
      </c>
      <c r="G10" s="25">
        <f>lc_detailed!BC10/$R$2</f>
        <v>4.705568157602146</v>
      </c>
      <c r="H10" s="25">
        <f>lc_detailed!BD10/$R$2</f>
        <v>2.5867547372464941</v>
      </c>
      <c r="I10" s="25">
        <f>lc_detailed!BE10/$R$2</f>
        <v>-1.074340016786842</v>
      </c>
      <c r="J10" s="25">
        <f>lc_detailed!BM10/$R$2</f>
        <v>0</v>
      </c>
      <c r="K10" s="25">
        <f>lc_detailed!BN10/$R$2</f>
        <v>0</v>
      </c>
      <c r="L10" s="25">
        <f>lc_detailed!BL10</f>
        <v>0</v>
      </c>
      <c r="M10" s="25">
        <f>lc_detailed!AU10</f>
        <v>556.04556468128874</v>
      </c>
      <c r="N10" s="25">
        <f t="shared" si="0"/>
        <v>12.193981681607209</v>
      </c>
      <c r="O10" s="25">
        <f t="shared" si="1"/>
        <v>12.193981681607214</v>
      </c>
      <c r="U10" t="str">
        <v>TX_Synthetic_Ethylene_Non_CCS</v>
      </c>
      <c r="V10" s="25">
        <v>7.9189911474333377</v>
      </c>
      <c r="W10" s="25">
        <v>0.72597706891426772</v>
      </c>
      <c r="X10" s="25">
        <v>13.24644441034965</v>
      </c>
      <c r="Y10" s="25">
        <v>-0.26177559806236805</v>
      </c>
      <c r="Z10" s="25">
        <v>-18.689851664969151</v>
      </c>
      <c r="AA10" s="25">
        <v>4.2600965636830308</v>
      </c>
      <c r="AB10" s="25">
        <v>2.3433206377337097</v>
      </c>
      <c r="AC10" s="25">
        <v>-0.99370798227543866</v>
      </c>
      <c r="AD10" s="25">
        <v>0</v>
      </c>
      <c r="AE10" s="25">
        <v>0</v>
      </c>
      <c r="AF10" s="25">
        <v>0</v>
      </c>
      <c r="AG10" s="25">
        <v>389.85695297600091</v>
      </c>
      <c r="AH10" s="25">
        <v>8.5494945828070374</v>
      </c>
      <c r="AI10" s="25">
        <v>8.5494945828070357</v>
      </c>
    </row>
    <row r="11" spans="1:35" x14ac:dyDescent="0.2">
      <c r="A11" t="str">
        <f>lc_detailed!AP11</f>
        <v>NCEN_Synthetic_Ethylene_Non_CCS</v>
      </c>
      <c r="B11" s="25">
        <f>lc_detailed!AX11/$R$2</f>
        <v>13.845141117697725</v>
      </c>
      <c r="C11" s="25">
        <f>lc_detailed!AY11/$R$2</f>
        <v>0.77862652394618448</v>
      </c>
      <c r="D11" s="25">
        <f>lc_detailed!AZ11/$R$2</f>
        <v>13.034938890657648</v>
      </c>
      <c r="E11" s="25">
        <f>lc_detailed!BA11/$R$2</f>
        <v>-0.45509041875365486</v>
      </c>
      <c r="F11" s="25">
        <f>lc_detailed!BB11/$R$2</f>
        <v>-19.09467193131994</v>
      </c>
      <c r="G11" s="25">
        <f>lc_detailed!BC11/$R$2</f>
        <v>4.2600965636830308</v>
      </c>
      <c r="H11" s="25">
        <f>lc_detailed!BD11/$R$2</f>
        <v>2.3433206377337097</v>
      </c>
      <c r="I11" s="25">
        <f>lc_detailed!BE11/$R$2</f>
        <v>-0.99370798227543866</v>
      </c>
      <c r="J11" s="25">
        <f>lc_detailed!BM11/$R$2</f>
        <v>0</v>
      </c>
      <c r="K11" s="25">
        <f>lc_detailed!BN11/$R$2</f>
        <v>0</v>
      </c>
      <c r="L11" s="25">
        <f>lc_detailed!BL11</f>
        <v>0</v>
      </c>
      <c r="M11" s="25">
        <f>lc_detailed!AU11</f>
        <v>625.57059510243857</v>
      </c>
      <c r="N11" s="25">
        <f t="shared" si="0"/>
        <v>13.718653401369266</v>
      </c>
      <c r="O11" s="25">
        <f t="shared" si="1"/>
        <v>13.718653401369265</v>
      </c>
      <c r="U11" t="str">
        <v>SW_Synthetic_Ethylene_CCS_90</v>
      </c>
      <c r="V11" s="25">
        <v>9.488202585105773</v>
      </c>
      <c r="W11" s="25">
        <v>0.91079397415754326</v>
      </c>
      <c r="X11" s="25">
        <v>12.292551924231621</v>
      </c>
      <c r="Y11" s="25">
        <v>-0.31410156307402354</v>
      </c>
      <c r="Z11" s="25">
        <v>-18.607641480632839</v>
      </c>
      <c r="AA11" s="25">
        <v>4.705568157602146</v>
      </c>
      <c r="AB11" s="25">
        <v>2.5867547372464941</v>
      </c>
      <c r="AC11" s="25">
        <v>-1.074340016786842</v>
      </c>
      <c r="AD11" s="25">
        <v>0</v>
      </c>
      <c r="AE11" s="25">
        <v>0</v>
      </c>
      <c r="AF11" s="25">
        <v>0</v>
      </c>
      <c r="AG11" s="25">
        <v>455.44314729395421</v>
      </c>
      <c r="AH11" s="25">
        <v>9.9877883178498728</v>
      </c>
      <c r="AI11" s="25">
        <v>9.9877883178498745</v>
      </c>
    </row>
    <row r="12" spans="1:35" x14ac:dyDescent="0.2">
      <c r="A12" t="str">
        <f>lc_detailed!AP12</f>
        <v>NCEN_Synthetic_Ethylene_CCS_90</v>
      </c>
      <c r="B12" s="25">
        <f>lc_detailed!AX12/$R$2</f>
        <v>13.845141122800179</v>
      </c>
      <c r="C12" s="25">
        <f>lc_detailed!AY12/$R$2</f>
        <v>0.99247253170703364</v>
      </c>
      <c r="D12" s="25">
        <f>lc_detailed!AZ12/$R$2</f>
        <v>11.974657788726613</v>
      </c>
      <c r="E12" s="25">
        <f>lc_detailed!BA12/$R$2</f>
        <v>-0.45509041897430885</v>
      </c>
      <c r="F12" s="25">
        <f>lc_detailed!BB12/$R$2</f>
        <v>-19.094671939230906</v>
      </c>
      <c r="G12" s="25">
        <f>lc_detailed!BC12/$R$2</f>
        <v>4.705568157602146</v>
      </c>
      <c r="H12" s="25">
        <f>lc_detailed!BD12/$R$2</f>
        <v>2.5867547372464941</v>
      </c>
      <c r="I12" s="25">
        <f>lc_detailed!BE12/$R$2</f>
        <v>-1.074340016786842</v>
      </c>
      <c r="J12" s="25">
        <f>lc_detailed!BM12/$R$2</f>
        <v>0</v>
      </c>
      <c r="K12" s="25">
        <f>lc_detailed!BN12/$R$2</f>
        <v>0</v>
      </c>
      <c r="L12" s="25">
        <f>lc_detailed!BL12</f>
        <v>0</v>
      </c>
      <c r="M12" s="25">
        <f>lc_detailed!AU12</f>
        <v>614.71043351692254</v>
      </c>
      <c r="N12" s="25">
        <f t="shared" si="0"/>
        <v>13.480491963090406</v>
      </c>
      <c r="O12" s="25">
        <f t="shared" si="1"/>
        <v>13.48049196309041</v>
      </c>
      <c r="U12" t="str">
        <v>SW_Synthetic_Ethylene_Non_CCS</v>
      </c>
      <c r="V12" s="25">
        <v>9.4882025816090128</v>
      </c>
      <c r="W12" s="25">
        <v>0.7145470765922991</v>
      </c>
      <c r="X12" s="25">
        <v>13.380980564926391</v>
      </c>
      <c r="Y12" s="25">
        <v>-0.31410156292172908</v>
      </c>
      <c r="Z12" s="25">
        <v>-18.607641472923653</v>
      </c>
      <c r="AA12" s="25">
        <v>4.2600965636830308</v>
      </c>
      <c r="AB12" s="25">
        <v>2.3433206377337097</v>
      </c>
      <c r="AC12" s="25">
        <v>-0.99370798227543866</v>
      </c>
      <c r="AD12" s="25">
        <v>0</v>
      </c>
      <c r="AE12" s="25">
        <v>0</v>
      </c>
      <c r="AF12" s="25">
        <v>0</v>
      </c>
      <c r="AG12" s="25">
        <v>468.38935613291721</v>
      </c>
      <c r="AH12" s="25">
        <v>10.271696406423622</v>
      </c>
      <c r="AI12" s="25">
        <v>10.271696406423624</v>
      </c>
    </row>
    <row r="13" spans="1:35" x14ac:dyDescent="0.2">
      <c r="A13" t="str">
        <f>lc_detailed!AP13</f>
        <v>CEN_Synthetic_Ethylene_Non_CCS</v>
      </c>
      <c r="B13" s="25">
        <f>lc_detailed!AX13/$R$2</f>
        <v>13.938062696688313</v>
      </c>
      <c r="C13" s="25">
        <f>lc_detailed!AY13/$R$2</f>
        <v>0.76361776517765922</v>
      </c>
      <c r="D13" s="25">
        <f>lc_detailed!AZ13/$R$2</f>
        <v>13.015288614346023</v>
      </c>
      <c r="E13" s="25">
        <f>lc_detailed!BA13/$R$2</f>
        <v>-0.45791675599407311</v>
      </c>
      <c r="F13" s="25">
        <f>lc_detailed!BB13/$R$2</f>
        <v>-19.117148629518834</v>
      </c>
      <c r="G13" s="25">
        <f>lc_detailed!BC13/$R$2</f>
        <v>4.2600965636830308</v>
      </c>
      <c r="H13" s="25">
        <f>lc_detailed!BD13/$R$2</f>
        <v>2.3433206377337097</v>
      </c>
      <c r="I13" s="25">
        <f>lc_detailed!BE13/$R$2</f>
        <v>-0.99370798227543866</v>
      </c>
      <c r="J13" s="25">
        <f>lc_detailed!BM13/$R$2</f>
        <v>0</v>
      </c>
      <c r="K13" s="25">
        <f>lc_detailed!BN13/$R$2</f>
        <v>0</v>
      </c>
      <c r="L13" s="25">
        <f>lc_detailed!BL13</f>
        <v>0</v>
      </c>
      <c r="M13" s="25">
        <f>lc_detailed!AU13</f>
        <v>627.07354868872187</v>
      </c>
      <c r="N13" s="25">
        <f t="shared" si="0"/>
        <v>13.751612909840391</v>
      </c>
      <c r="O13" s="25">
        <f t="shared" si="1"/>
        <v>13.751612909840391</v>
      </c>
      <c r="U13" t="str">
        <v>CA_Synthetic_Ethylene_CCS_90</v>
      </c>
      <c r="V13" s="25">
        <v>8.8822211147764421</v>
      </c>
      <c r="W13" s="25">
        <v>0.87844682589836531</v>
      </c>
      <c r="X13" s="25">
        <v>13.73230946556412</v>
      </c>
      <c r="Y13" s="25">
        <v>-0.39450878968487657</v>
      </c>
      <c r="Z13" s="25">
        <v>-17.122469813008635</v>
      </c>
      <c r="AA13" s="25">
        <v>4.705568157602146</v>
      </c>
      <c r="AB13" s="25">
        <v>2.5867547372464941</v>
      </c>
      <c r="AC13" s="25">
        <v>-1.074340016786842</v>
      </c>
      <c r="AD13" s="25">
        <v>0</v>
      </c>
      <c r="AE13" s="25">
        <v>0</v>
      </c>
      <c r="AF13" s="25">
        <v>0</v>
      </c>
      <c r="AG13" s="25">
        <v>556.04556468128874</v>
      </c>
      <c r="AH13" s="25">
        <v>12.193981681607209</v>
      </c>
      <c r="AI13" s="25">
        <v>12.193981681607214</v>
      </c>
    </row>
    <row r="14" spans="1:35" x14ac:dyDescent="0.2">
      <c r="A14" t="str">
        <f>lc_detailed!AP14</f>
        <v>CEN_Synthetic_Ethylene_CCS_90</v>
      </c>
      <c r="B14" s="25">
        <f>lc_detailed!AX14/$R$2</f>
        <v>13.938062701825016</v>
      </c>
      <c r="C14" s="25">
        <f>lc_detailed!AY14/$R$2</f>
        <v>0.97334168995599168</v>
      </c>
      <c r="D14" s="25">
        <f>lc_detailed!AZ14/$R$2</f>
        <v>11.956605894792975</v>
      </c>
      <c r="E14" s="25">
        <f>lc_detailed!BA14/$R$2</f>
        <v>-0.45791675621609745</v>
      </c>
      <c r="F14" s="25">
        <f>lc_detailed!BB14/$R$2</f>
        <v>-19.117148637439108</v>
      </c>
      <c r="G14" s="25">
        <f>lc_detailed!BC14/$R$2</f>
        <v>4.705568157602146</v>
      </c>
      <c r="H14" s="25">
        <f>lc_detailed!BD14/$R$2</f>
        <v>2.5867547372464941</v>
      </c>
      <c r="I14" s="25">
        <f>lc_detailed!BE14/$R$2</f>
        <v>-1.074340016786842</v>
      </c>
      <c r="J14" s="25">
        <f>lc_detailed!BM14/$R$2</f>
        <v>0</v>
      </c>
      <c r="K14" s="25">
        <f>lc_detailed!BN14/$R$2</f>
        <v>0</v>
      </c>
      <c r="L14" s="25">
        <f>lc_detailed!BL14</f>
        <v>0</v>
      </c>
      <c r="M14" s="25">
        <f>lc_detailed!AU14</f>
        <v>616.09830635671449</v>
      </c>
      <c r="N14" s="25">
        <f t="shared" si="0"/>
        <v>13.510927770980581</v>
      </c>
      <c r="O14" s="25">
        <f t="shared" si="1"/>
        <v>13.510927770980578</v>
      </c>
      <c r="U14" t="str">
        <v>CA_Synthetic_Ethylene_Non_CCS</v>
      </c>
      <c r="V14" s="25">
        <v>8.882221111503009</v>
      </c>
      <c r="W14" s="25">
        <v>0.68916970159805557</v>
      </c>
      <c r="X14" s="25">
        <v>14.948219637620451</v>
      </c>
      <c r="Y14" s="25">
        <v>-0.39450878949359602</v>
      </c>
      <c r="Z14" s="25">
        <v>-17.122469805914761</v>
      </c>
      <c r="AA14" s="25">
        <v>4.2600965636830308</v>
      </c>
      <c r="AB14" s="25">
        <v>2.3433206377337097</v>
      </c>
      <c r="AC14" s="25">
        <v>-0.99370798227543866</v>
      </c>
      <c r="AD14" s="25">
        <v>0</v>
      </c>
      <c r="AE14" s="25">
        <v>0</v>
      </c>
      <c r="AF14" s="25">
        <v>0</v>
      </c>
      <c r="AG14" s="25">
        <v>575.12275299512351</v>
      </c>
      <c r="AH14" s="25">
        <v>12.612341074454463</v>
      </c>
      <c r="AI14" s="25">
        <v>12.612341074454461</v>
      </c>
    </row>
    <row r="15" spans="1:35" x14ac:dyDescent="0.2">
      <c r="A15" t="str">
        <f>lc_detailed!AP15</f>
        <v>TX_Synthetic_Ethylene_Non_CCS</v>
      </c>
      <c r="B15" s="25">
        <f>lc_detailed!AX15/$R$2</f>
        <v>7.9189911474333377</v>
      </c>
      <c r="C15" s="25">
        <f>lc_detailed!AY15/$R$2</f>
        <v>0.72597706891426772</v>
      </c>
      <c r="D15" s="25">
        <f>lc_detailed!AZ15/$R$2</f>
        <v>13.24644441034965</v>
      </c>
      <c r="E15" s="25">
        <f>lc_detailed!BA15/$R$2</f>
        <v>-0.26177559806236805</v>
      </c>
      <c r="F15" s="25">
        <f>lc_detailed!BB15/$R$2</f>
        <v>-18.689851664969151</v>
      </c>
      <c r="G15" s="25">
        <f>lc_detailed!BC15/$R$2</f>
        <v>4.2600965636830308</v>
      </c>
      <c r="H15" s="25">
        <f>lc_detailed!BD15/$R$2</f>
        <v>2.3433206377337097</v>
      </c>
      <c r="I15" s="25">
        <f>lc_detailed!BE15/$R$2</f>
        <v>-0.99370798227543866</v>
      </c>
      <c r="J15" s="25">
        <f>lc_detailed!BM15/$R$2</f>
        <v>0</v>
      </c>
      <c r="K15" s="25">
        <f>lc_detailed!BN15/$R$2</f>
        <v>0</v>
      </c>
      <c r="L15" s="25">
        <f>lc_detailed!BL15</f>
        <v>0</v>
      </c>
      <c r="M15" s="25">
        <f>lc_detailed!AU15</f>
        <v>389.85695297600091</v>
      </c>
      <c r="N15" s="25">
        <f t="shared" si="0"/>
        <v>8.5494945828070374</v>
      </c>
      <c r="O15" s="25">
        <f t="shared" si="1"/>
        <v>8.5494945828070357</v>
      </c>
      <c r="U15" t="str">
        <v>NW_Synthetic_Ethylene_CCS_90</v>
      </c>
      <c r="V15" s="25">
        <v>8.5313826695435289</v>
      </c>
      <c r="W15" s="25">
        <v>0.87658719827283771</v>
      </c>
      <c r="X15" s="25">
        <v>14.177318046892477</v>
      </c>
      <c r="Y15" s="25">
        <v>-0.37462406116791802</v>
      </c>
      <c r="Z15" s="25">
        <v>-16.656553189681333</v>
      </c>
      <c r="AA15" s="25">
        <v>4.705568157602146</v>
      </c>
      <c r="AB15" s="25">
        <v>2.5867547372464941</v>
      </c>
      <c r="AC15" s="25">
        <v>-1.074340016786842</v>
      </c>
      <c r="AD15" s="25">
        <v>0</v>
      </c>
      <c r="AE15" s="25">
        <v>0</v>
      </c>
      <c r="AF15" s="25">
        <v>0</v>
      </c>
      <c r="AG15" s="25">
        <v>582.40746551161544</v>
      </c>
      <c r="AH15" s="25">
        <v>12.772093541921391</v>
      </c>
      <c r="AI15" s="25">
        <v>12.772093541921391</v>
      </c>
    </row>
    <row r="16" spans="1:35" x14ac:dyDescent="0.2">
      <c r="A16" t="str">
        <f>lc_detailed!AP16</f>
        <v>TX_Synthetic_Ethylene_CCS_90</v>
      </c>
      <c r="B16" s="25">
        <f>lc_detailed!AX16/$R$2</f>
        <v>7.9189911503517845</v>
      </c>
      <c r="C16" s="25">
        <f>lc_detailed!AY16/$R$2</f>
        <v>0.92536315857176465</v>
      </c>
      <c r="D16" s="25">
        <f>lc_detailed!AZ16/$R$2</f>
        <v>12.168959138351944</v>
      </c>
      <c r="E16" s="25">
        <f>lc_detailed!BA16/$R$2</f>
        <v>-0.26177559818929191</v>
      </c>
      <c r="F16" s="25">
        <f>lc_detailed!BB16/$R$2</f>
        <v>-18.689851672712397</v>
      </c>
      <c r="G16" s="25">
        <f>lc_detailed!BC16/$R$2</f>
        <v>4.705568157602146</v>
      </c>
      <c r="H16" s="25">
        <f>lc_detailed!BD16/$R$2</f>
        <v>2.5867547372464941</v>
      </c>
      <c r="I16" s="25">
        <f>lc_detailed!BE16/$R$2</f>
        <v>-1.074340016786842</v>
      </c>
      <c r="J16" s="25">
        <f>lc_detailed!BM16/$R$2</f>
        <v>0</v>
      </c>
      <c r="K16" s="25">
        <f>lc_detailed!BN16/$R$2</f>
        <v>0</v>
      </c>
      <c r="L16" s="25">
        <f>lc_detailed!BL16</f>
        <v>0</v>
      </c>
      <c r="M16" s="25">
        <f>lc_detailed!AU16</f>
        <v>377.55290888226364</v>
      </c>
      <c r="N16" s="25">
        <f t="shared" si="0"/>
        <v>8.2796690544356064</v>
      </c>
      <c r="O16" s="25">
        <f t="shared" si="1"/>
        <v>8.2796690544356029</v>
      </c>
      <c r="U16" t="str">
        <v>NW_Synthetic_Ethylene_Non_CCS</v>
      </c>
      <c r="V16" s="25">
        <v>8.531382666399395</v>
      </c>
      <c r="W16" s="25">
        <v>0.68771076409838661</v>
      </c>
      <c r="X16" s="25">
        <v>15.432630947386178</v>
      </c>
      <c r="Y16" s="25">
        <v>-0.37462406098627876</v>
      </c>
      <c r="Z16" s="25">
        <v>-16.656553182780488</v>
      </c>
      <c r="AA16" s="25">
        <v>4.2600965636830308</v>
      </c>
      <c r="AB16" s="25">
        <v>2.3433206377337097</v>
      </c>
      <c r="AC16" s="25">
        <v>-0.99370798227543866</v>
      </c>
      <c r="AD16" s="25">
        <v>0</v>
      </c>
      <c r="AE16" s="25">
        <v>0</v>
      </c>
      <c r="AF16" s="25">
        <v>0</v>
      </c>
      <c r="AG16" s="25">
        <v>603.29968970858738</v>
      </c>
      <c r="AH16" s="25">
        <v>13.230256353258495</v>
      </c>
      <c r="AI16" s="25">
        <v>13.230256353258495</v>
      </c>
    </row>
    <row r="17" spans="1:35" x14ac:dyDescent="0.2">
      <c r="A17" t="str">
        <f>lc_detailed!AP17</f>
        <v>NW_Synthetic_Ethylene_Non_CCS</v>
      </c>
      <c r="B17" s="25">
        <f>lc_detailed!AX17/$R$2</f>
        <v>8.531382666399395</v>
      </c>
      <c r="C17" s="25">
        <f>lc_detailed!AY17/$R$2</f>
        <v>0.68771076409838661</v>
      </c>
      <c r="D17" s="25">
        <f>lc_detailed!AZ17/$R$2</f>
        <v>15.432630947386178</v>
      </c>
      <c r="E17" s="25">
        <f>lc_detailed!BA17/$R$2</f>
        <v>-0.37462406098627876</v>
      </c>
      <c r="F17" s="25">
        <f>lc_detailed!BB17/$R$2</f>
        <v>-16.656553182780488</v>
      </c>
      <c r="G17" s="25">
        <f>lc_detailed!BC17/$R$2</f>
        <v>4.2600965636830308</v>
      </c>
      <c r="H17" s="25">
        <f>lc_detailed!BD17/$R$2</f>
        <v>2.3433206377337097</v>
      </c>
      <c r="I17" s="25">
        <f>lc_detailed!BE17/$R$2</f>
        <v>-0.99370798227543866</v>
      </c>
      <c r="J17" s="25">
        <f>lc_detailed!BM17/$R$2</f>
        <v>0</v>
      </c>
      <c r="K17" s="25">
        <f>lc_detailed!BN17/$R$2</f>
        <v>0</v>
      </c>
      <c r="L17" s="25">
        <f>lc_detailed!BL17</f>
        <v>0</v>
      </c>
      <c r="M17" s="25">
        <f>lc_detailed!AU17</f>
        <v>603.29968970858738</v>
      </c>
      <c r="N17" s="25">
        <f t="shared" si="0"/>
        <v>13.230256353258495</v>
      </c>
      <c r="O17" s="25">
        <f t="shared" si="1"/>
        <v>13.230256353258495</v>
      </c>
      <c r="U17" t="str">
        <v>NCEN_Synthetic_Ethylene_CCS_90</v>
      </c>
      <c r="V17" s="25">
        <v>13.845141122800179</v>
      </c>
      <c r="W17" s="25">
        <v>0.99247253170703364</v>
      </c>
      <c r="X17" s="25">
        <v>11.974657788726613</v>
      </c>
      <c r="Y17" s="25">
        <v>-0.45509041897430885</v>
      </c>
      <c r="Z17" s="25">
        <v>-19.094671939230906</v>
      </c>
      <c r="AA17" s="25">
        <v>4.705568157602146</v>
      </c>
      <c r="AB17" s="25">
        <v>2.5867547372464941</v>
      </c>
      <c r="AC17" s="25">
        <v>-1.074340016786842</v>
      </c>
      <c r="AD17" s="25">
        <v>0</v>
      </c>
      <c r="AE17" s="25">
        <v>0</v>
      </c>
      <c r="AF17" s="25">
        <v>0</v>
      </c>
      <c r="AG17" s="25">
        <v>614.71043351692254</v>
      </c>
      <c r="AH17" s="25">
        <v>13.480491963090406</v>
      </c>
      <c r="AI17" s="25">
        <v>13.48049196309041</v>
      </c>
    </row>
    <row r="18" spans="1:35" x14ac:dyDescent="0.2">
      <c r="A18" t="str">
        <f>lc_detailed!AP18</f>
        <v>NW_Synthetic_Ethylene_CCS_90</v>
      </c>
      <c r="B18" s="25">
        <f>lc_detailed!AX18/$R$2</f>
        <v>8.5313826695435289</v>
      </c>
      <c r="C18" s="25">
        <f>lc_detailed!AY18/$R$2</f>
        <v>0.87658719827283771</v>
      </c>
      <c r="D18" s="25">
        <f>lc_detailed!AZ18/$R$2</f>
        <v>14.177318046892477</v>
      </c>
      <c r="E18" s="25">
        <f>lc_detailed!BA18/$R$2</f>
        <v>-0.37462406116791802</v>
      </c>
      <c r="F18" s="25">
        <f>lc_detailed!BB18/$R$2</f>
        <v>-16.656553189681333</v>
      </c>
      <c r="G18" s="25">
        <f>lc_detailed!BC18/$R$2</f>
        <v>4.705568157602146</v>
      </c>
      <c r="H18" s="25">
        <f>lc_detailed!BD18/$R$2</f>
        <v>2.5867547372464941</v>
      </c>
      <c r="I18" s="25">
        <f>lc_detailed!BE18/$R$2</f>
        <v>-1.074340016786842</v>
      </c>
      <c r="J18" s="25">
        <f>lc_detailed!BM18/$R$2</f>
        <v>0</v>
      </c>
      <c r="K18" s="25">
        <f>lc_detailed!BN18/$R$2</f>
        <v>0</v>
      </c>
      <c r="L18" s="25">
        <f>lc_detailed!BL18</f>
        <v>0</v>
      </c>
      <c r="M18" s="25">
        <f>lc_detailed!AU18</f>
        <v>582.40746551161544</v>
      </c>
      <c r="N18" s="25">
        <f t="shared" si="0"/>
        <v>12.772093541921391</v>
      </c>
      <c r="O18" s="25">
        <f t="shared" si="1"/>
        <v>12.772093541921391</v>
      </c>
      <c r="U18" t="str">
        <v>CEN_Synthetic_Ethylene_CCS_90</v>
      </c>
      <c r="V18" s="25">
        <v>13.938062701825016</v>
      </c>
      <c r="W18" s="25">
        <v>0.97334168995599168</v>
      </c>
      <c r="X18" s="25">
        <v>11.956605894792975</v>
      </c>
      <c r="Y18" s="25">
        <v>-0.45791675621609745</v>
      </c>
      <c r="Z18" s="25">
        <v>-19.117148637439108</v>
      </c>
      <c r="AA18" s="25">
        <v>4.705568157602146</v>
      </c>
      <c r="AB18" s="25">
        <v>2.5867547372464941</v>
      </c>
      <c r="AC18" s="25">
        <v>-1.074340016786842</v>
      </c>
      <c r="AD18" s="25">
        <v>0</v>
      </c>
      <c r="AE18" s="25">
        <v>0</v>
      </c>
      <c r="AF18" s="25">
        <v>0</v>
      </c>
      <c r="AG18" s="25">
        <v>616.09830635671449</v>
      </c>
      <c r="AH18" s="25">
        <v>13.510927770980581</v>
      </c>
      <c r="AI18" s="25">
        <v>13.510927770980578</v>
      </c>
    </row>
    <row r="19" spans="1:35" x14ac:dyDescent="0.2">
      <c r="A19" t="str">
        <f>lc_detailed!AP19</f>
        <v>SW_Synthetic_Ethylene_Non_CCS</v>
      </c>
      <c r="B19" s="25">
        <f>lc_detailed!AX19/$R$2</f>
        <v>9.4882025816090128</v>
      </c>
      <c r="C19" s="25">
        <f>lc_detailed!AY19/$R$2</f>
        <v>0.7145470765922991</v>
      </c>
      <c r="D19" s="25">
        <f>lc_detailed!AZ19/$R$2</f>
        <v>13.380980564926391</v>
      </c>
      <c r="E19" s="25">
        <f>lc_detailed!BA19/$R$2</f>
        <v>-0.31410156292172908</v>
      </c>
      <c r="F19" s="25">
        <f>lc_detailed!BB19/$R$2</f>
        <v>-18.607641472923653</v>
      </c>
      <c r="G19" s="25">
        <f>lc_detailed!BC19/$R$2</f>
        <v>4.2600965636830308</v>
      </c>
      <c r="H19" s="25">
        <f>lc_detailed!BD19/$R$2</f>
        <v>2.3433206377337097</v>
      </c>
      <c r="I19" s="25">
        <f>lc_detailed!BE19/$R$2</f>
        <v>-0.99370798227543866</v>
      </c>
      <c r="J19" s="25">
        <f>lc_detailed!BM19/$R$2</f>
        <v>0</v>
      </c>
      <c r="K19" s="25">
        <f>lc_detailed!BN19/$R$2</f>
        <v>0</v>
      </c>
      <c r="L19" s="25">
        <f>lc_detailed!BL19</f>
        <v>0</v>
      </c>
      <c r="M19" s="25">
        <f>lc_detailed!AU19</f>
        <v>468.38935613291721</v>
      </c>
      <c r="N19" s="25">
        <f t="shared" si="0"/>
        <v>10.271696406423622</v>
      </c>
      <c r="O19" s="25">
        <f t="shared" si="1"/>
        <v>10.271696406423624</v>
      </c>
      <c r="U19" t="str">
        <v>NCEN_Synthetic_Ethylene_Non_CCS</v>
      </c>
      <c r="V19" s="25">
        <v>13.845141117697725</v>
      </c>
      <c r="W19" s="25">
        <v>0.77862652394618448</v>
      </c>
      <c r="X19" s="25">
        <v>13.034938890657648</v>
      </c>
      <c r="Y19" s="25">
        <v>-0.45509041875365486</v>
      </c>
      <c r="Z19" s="25">
        <v>-19.09467193131994</v>
      </c>
      <c r="AA19" s="25">
        <v>4.2600965636830308</v>
      </c>
      <c r="AB19" s="25">
        <v>2.3433206377337097</v>
      </c>
      <c r="AC19" s="25">
        <v>-0.99370798227543866</v>
      </c>
      <c r="AD19" s="25">
        <v>0</v>
      </c>
      <c r="AE19" s="25">
        <v>0</v>
      </c>
      <c r="AF19" s="25">
        <v>0</v>
      </c>
      <c r="AG19" s="25">
        <v>625.57059510243857</v>
      </c>
      <c r="AH19" s="25">
        <v>13.718653401369266</v>
      </c>
      <c r="AI19" s="25">
        <v>13.718653401369265</v>
      </c>
    </row>
    <row r="20" spans="1:35" x14ac:dyDescent="0.2">
      <c r="A20" t="str">
        <f>lc_detailed!AP20</f>
        <v>SW_Synthetic_Ethylene_CCS_90</v>
      </c>
      <c r="B20" s="25">
        <f>lc_detailed!AX20/$R$2</f>
        <v>9.488202585105773</v>
      </c>
      <c r="C20" s="25">
        <f>lc_detailed!AY20/$R$2</f>
        <v>0.91079397415754326</v>
      </c>
      <c r="D20" s="25">
        <f>lc_detailed!AZ20/$R$2</f>
        <v>12.292551924231621</v>
      </c>
      <c r="E20" s="25">
        <f>lc_detailed!BA20/$R$2</f>
        <v>-0.31410156307402354</v>
      </c>
      <c r="F20" s="25">
        <f>lc_detailed!BB20/$R$2</f>
        <v>-18.607641480632839</v>
      </c>
      <c r="G20" s="25">
        <f>lc_detailed!BC20/$R$2</f>
        <v>4.705568157602146</v>
      </c>
      <c r="H20" s="25">
        <f>lc_detailed!BD20/$R$2</f>
        <v>2.5867547372464941</v>
      </c>
      <c r="I20" s="25">
        <f>lc_detailed!BE20/$R$2</f>
        <v>-1.074340016786842</v>
      </c>
      <c r="J20" s="25">
        <f>lc_detailed!BM20/$R$2</f>
        <v>0</v>
      </c>
      <c r="K20" s="25">
        <f>lc_detailed!BN20/$R$2</f>
        <v>0</v>
      </c>
      <c r="L20" s="25">
        <f>lc_detailed!BL20</f>
        <v>0</v>
      </c>
      <c r="M20" s="25">
        <f>lc_detailed!AU20</f>
        <v>455.44314729395421</v>
      </c>
      <c r="N20" s="25">
        <f t="shared" si="0"/>
        <v>9.9877883178498728</v>
      </c>
      <c r="O20" s="25">
        <f t="shared" si="1"/>
        <v>9.9877883178498745</v>
      </c>
      <c r="U20" t="str">
        <v>CEN_Synthetic_Ethylene_Non_CCS</v>
      </c>
      <c r="V20" s="25">
        <v>13.938062696688313</v>
      </c>
      <c r="W20" s="25">
        <v>0.76361776517765922</v>
      </c>
      <c r="X20" s="25">
        <v>13.015288614346023</v>
      </c>
      <c r="Y20" s="25">
        <v>-0.45791675599407311</v>
      </c>
      <c r="Z20" s="25">
        <v>-19.117148629518834</v>
      </c>
      <c r="AA20" s="25">
        <v>4.2600965636830308</v>
      </c>
      <c r="AB20" s="25">
        <v>2.3433206377337097</v>
      </c>
      <c r="AC20" s="25">
        <v>-0.99370798227543866</v>
      </c>
      <c r="AD20" s="25">
        <v>0</v>
      </c>
      <c r="AE20" s="25">
        <v>0</v>
      </c>
      <c r="AF20" s="25">
        <v>0</v>
      </c>
      <c r="AG20" s="25">
        <v>627.07354868872187</v>
      </c>
      <c r="AH20" s="25">
        <v>13.751612909840391</v>
      </c>
      <c r="AI20" s="25">
        <v>13.751612909840391</v>
      </c>
    </row>
    <row r="21" spans="1:35" x14ac:dyDescent="0.2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"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"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"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"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"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21:35" x14ac:dyDescent="0.2"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21:35" x14ac:dyDescent="0.2"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21:35" x14ac:dyDescent="0.2"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21:35" x14ac:dyDescent="0.2"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21:35" x14ac:dyDescent="0.2"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21:35" x14ac:dyDescent="0.2"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21:35" x14ac:dyDescent="0.2"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21:35" x14ac:dyDescent="0.2"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21:35" x14ac:dyDescent="0.2"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21:35" x14ac:dyDescent="0.2"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21:35" x14ac:dyDescent="0.2"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21:35" x14ac:dyDescent="0.2"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21:35" x14ac:dyDescent="0.2"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21:35" x14ac:dyDescent="0.2"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21:35" x14ac:dyDescent="0.2"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21:35" x14ac:dyDescent="0.2"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21:35" x14ac:dyDescent="0.2"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21:35" x14ac:dyDescent="0.2"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21:35" x14ac:dyDescent="0.2"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21:35" x14ac:dyDescent="0.2"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21:35" x14ac:dyDescent="0.2"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21:35" x14ac:dyDescent="0.2"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21:35" x14ac:dyDescent="0.2"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21:35" x14ac:dyDescent="0.2"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21:35" x14ac:dyDescent="0.2"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21:35" x14ac:dyDescent="0.2"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21:35" x14ac:dyDescent="0.2"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21:35" x14ac:dyDescent="0.2"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21:35" x14ac:dyDescent="0.2"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21:35" x14ac:dyDescent="0.2"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21:35" x14ac:dyDescent="0.2"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21:35" x14ac:dyDescent="0.2"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21:35" x14ac:dyDescent="0.2"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5"/>
  <sheetViews>
    <sheetView zoomScale="75" workbookViewId="0">
      <selection activeCell="D13" sqref="D13"/>
    </sheetView>
  </sheetViews>
  <sheetFormatPr baseColWidth="10" defaultRowHeight="16" x14ac:dyDescent="0.2"/>
  <cols>
    <col min="1" max="1" width="13.5" customWidth="1"/>
    <col min="2" max="2" width="14.33203125" bestFit="1" customWidth="1"/>
    <col min="3" max="3" width="15.33203125" bestFit="1" customWidth="1"/>
    <col min="4" max="4" width="17.6640625" bestFit="1" customWidth="1"/>
    <col min="5" max="5" width="15.6640625" bestFit="1" customWidth="1"/>
    <col min="6" max="6" width="17.1640625" bestFit="1" customWidth="1"/>
    <col min="7" max="7" width="13.83203125" bestFit="1" customWidth="1"/>
    <col min="8" max="8" width="12.33203125" bestFit="1" customWidth="1"/>
    <col min="9" max="9" width="14.6640625" bestFit="1" customWidth="1"/>
    <col min="10" max="10" width="11" bestFit="1" customWidth="1"/>
    <col min="11" max="11" width="15.83203125" bestFit="1" customWidth="1"/>
    <col min="12" max="12" width="11.5" bestFit="1" customWidth="1"/>
    <col min="13" max="13" width="13" bestFit="1" customWidth="1"/>
    <col min="14" max="14" width="12" bestFit="1" customWidth="1"/>
    <col min="15" max="15" width="15.33203125" bestFit="1" customWidth="1"/>
    <col min="16" max="16" width="2.33203125" customWidth="1"/>
    <col min="17" max="17" width="12.33203125" bestFit="1" customWidth="1"/>
    <col min="18" max="18" width="6" bestFit="1" customWidth="1"/>
    <col min="19" max="19" width="12.33203125" bestFit="1" customWidth="1"/>
    <col min="20" max="20" width="2.1640625" customWidth="1"/>
    <col min="21" max="21" width="34.83203125" customWidth="1"/>
  </cols>
  <sheetData>
    <row r="1" spans="1:35" x14ac:dyDescent="0.2">
      <c r="A1" s="21" t="s">
        <v>116</v>
      </c>
      <c r="Q1" s="24" t="s">
        <v>14</v>
      </c>
      <c r="U1" s="21" t="s">
        <v>117</v>
      </c>
    </row>
    <row r="2" spans="1:35" ht="48" customHeight="1" x14ac:dyDescent="0.2">
      <c r="A2" s="4" t="s">
        <v>53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22" t="s">
        <v>66</v>
      </c>
      <c r="K2" s="22" t="s">
        <v>67</v>
      </c>
      <c r="L2" s="22" t="s">
        <v>65</v>
      </c>
      <c r="M2" s="23" t="s">
        <v>55</v>
      </c>
      <c r="N2" s="23" t="s">
        <v>112</v>
      </c>
      <c r="O2" s="23" t="s">
        <v>113</v>
      </c>
      <c r="Q2" t="s">
        <v>114</v>
      </c>
      <c r="R2">
        <v>45.6</v>
      </c>
      <c r="S2" t="s">
        <v>115</v>
      </c>
      <c r="U2" s="4" t="s">
        <v>53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22" t="s">
        <v>66</v>
      </c>
      <c r="AE2" s="22" t="s">
        <v>67</v>
      </c>
      <c r="AF2" s="22" t="s">
        <v>65</v>
      </c>
      <c r="AG2" s="23" t="s">
        <v>55</v>
      </c>
      <c r="AH2" s="23" t="s">
        <v>112</v>
      </c>
      <c r="AI2" s="23" t="s">
        <v>113</v>
      </c>
    </row>
    <row r="3" spans="1:35" x14ac:dyDescent="0.2">
      <c r="A3" t="str">
        <f>lc_detailed!AP3</f>
        <v>SE_Synthetic_Ethylene_Non_CCS</v>
      </c>
      <c r="B3" s="25">
        <f>lc_detailed!AX3/$R$2</f>
        <v>7.6246838779146486</v>
      </c>
      <c r="C3" s="25">
        <f>lc_detailed!AY3/$R$2</f>
        <v>0.72286564786234198</v>
      </c>
      <c r="D3" s="25">
        <f>lc_detailed!AZ3/$R$2</f>
        <v>13.03615561171002</v>
      </c>
      <c r="E3" s="25">
        <f>lc_detailed!BA3/$R$2</f>
        <v>-0.24235512400049214</v>
      </c>
      <c r="F3" s="25">
        <f>lc_detailed!BB3/$R$2</f>
        <v>-18.880719992760021</v>
      </c>
      <c r="G3" s="25">
        <f>lc_detailed!BC3/$R$2</f>
        <v>4.2600965636830308</v>
      </c>
      <c r="H3" s="25">
        <f>lc_detailed!BD3/$R$2</f>
        <v>2.3433206377337097</v>
      </c>
      <c r="I3" s="25">
        <f>lc_detailed!BE3/$R$2</f>
        <v>-0.99370798227543866</v>
      </c>
      <c r="J3" s="25">
        <f>lc_detailed!BG3/$R$2</f>
        <v>0</v>
      </c>
      <c r="K3" s="25">
        <f>lc_detailed!BH3/$R$2</f>
        <v>-0.60316164323047106</v>
      </c>
      <c r="L3" s="25">
        <f>lc_detailed!BI3</f>
        <v>-0.37309554696342861</v>
      </c>
      <c r="M3" s="25">
        <f>lc_detailed!AR3</f>
        <v>331.38329840666216</v>
      </c>
      <c r="N3" s="25">
        <f t="shared" ref="N3:N20" si="0">M3/$R$2</f>
        <v>7.2671775966373282</v>
      </c>
      <c r="O3" s="25">
        <f t="shared" ref="O3:O20" si="1">SUM(B3:K3)</f>
        <v>7.2671775966373291</v>
      </c>
      <c r="U3" t="str">
        <f t="array" ref="U3:AI65">_xlfn._xlws.SORT(A3:O65, 13, 1)</f>
        <v>NE_Synthetic_Ethylene_CCS_90</v>
      </c>
      <c r="V3">
        <v>9.6475746543016925</v>
      </c>
      <c r="W3">
        <v>0.90076283399899526</v>
      </c>
      <c r="X3">
        <v>8.932452358341326</v>
      </c>
      <c r="Y3">
        <v>-0.27269292721660704</v>
      </c>
      <c r="Z3">
        <v>-22.22384828913545</v>
      </c>
      <c r="AA3">
        <v>4.705568157602146</v>
      </c>
      <c r="AB3">
        <v>2.5867547372464941</v>
      </c>
      <c r="AC3">
        <v>-1.074340016786842</v>
      </c>
      <c r="AD3">
        <v>0</v>
      </c>
      <c r="AE3">
        <v>-0.65429594533574054</v>
      </c>
      <c r="AF3">
        <v>-0.40472550988742861</v>
      </c>
      <c r="AG3">
        <v>116.18586167353027</v>
      </c>
      <c r="AH3">
        <v>2.5479355630160145</v>
      </c>
      <c r="AI3">
        <v>2.5479355630160119</v>
      </c>
    </row>
    <row r="4" spans="1:35" x14ac:dyDescent="0.2">
      <c r="A4" t="str">
        <f>lc_detailed!AP4</f>
        <v>SE_Synthetic_Ethylene_CCS_90</v>
      </c>
      <c r="B4" s="25">
        <f>lc_detailed!AX4/$R$2</f>
        <v>7.624683880724632</v>
      </c>
      <c r="C4" s="25">
        <f>lc_detailed!AY4/$R$2</f>
        <v>0.9213972007811656</v>
      </c>
      <c r="D4" s="25">
        <f>lc_detailed!AZ4/$R$2</f>
        <v>11.975775539898962</v>
      </c>
      <c r="E4" s="25">
        <f>lc_detailed!BA4/$R$2</f>
        <v>-0.24235512411799978</v>
      </c>
      <c r="F4" s="25">
        <f>lc_detailed!BB4/$R$2</f>
        <v>-18.880720000582343</v>
      </c>
      <c r="G4" s="25">
        <f>lc_detailed!BC4/$R$2</f>
        <v>4.705568157602146</v>
      </c>
      <c r="H4" s="25">
        <f>lc_detailed!BD4/$R$2</f>
        <v>2.5867547372464941</v>
      </c>
      <c r="I4" s="25">
        <f>lc_detailed!BE4/$R$2</f>
        <v>-1.074340016786842</v>
      </c>
      <c r="J4" s="25">
        <f>lc_detailed!BG4/$R$2</f>
        <v>0</v>
      </c>
      <c r="K4" s="25">
        <f>lc_detailed!BH4/$R$2</f>
        <v>-0.65429594533574054</v>
      </c>
      <c r="L4" s="25">
        <f>lc_detailed!BI4</f>
        <v>-0.40472550988742861</v>
      </c>
      <c r="M4" s="25">
        <f>lc_detailed!AR4</f>
        <v>317.48856038202962</v>
      </c>
      <c r="N4" s="25">
        <f t="shared" si="0"/>
        <v>6.9624684294304737</v>
      </c>
      <c r="O4" s="25">
        <f t="shared" si="1"/>
        <v>6.9624684294304737</v>
      </c>
      <c r="U4" t="str">
        <v>NE_Synthetic_Ethylene_Non_CCS</v>
      </c>
      <c r="V4">
        <v>9.6475746507461988</v>
      </c>
      <c r="W4">
        <v>0.7066773254975931</v>
      </c>
      <c r="X4">
        <v>9.7233651841228586</v>
      </c>
      <c r="Y4">
        <v>-0.27269292708438991</v>
      </c>
      <c r="Z4">
        <v>-22.223848279928063</v>
      </c>
      <c r="AA4">
        <v>4.2600965636830308</v>
      </c>
      <c r="AB4">
        <v>2.3433206377337097</v>
      </c>
      <c r="AC4">
        <v>-0.99370798227543866</v>
      </c>
      <c r="AD4">
        <v>0</v>
      </c>
      <c r="AE4">
        <v>-0.60316164323047106</v>
      </c>
      <c r="AF4">
        <v>-0.37309554696342861</v>
      </c>
      <c r="AG4">
        <v>117.99563293448526</v>
      </c>
      <c r="AH4">
        <v>2.5876235292650276</v>
      </c>
      <c r="AI4">
        <v>2.5876235292650285</v>
      </c>
    </row>
    <row r="5" spans="1:35" x14ac:dyDescent="0.2">
      <c r="A5" t="str">
        <f>lc_detailed!AP5</f>
        <v>MIDAT_Synthetic_Ethylene_Non_CCS</v>
      </c>
      <c r="B5" s="25">
        <f>lc_detailed!AX5/$R$2</f>
        <v>7.9023386587990325</v>
      </c>
      <c r="C5" s="25">
        <f>lc_detailed!AY5/$R$2</f>
        <v>0.73083594500965676</v>
      </c>
      <c r="D5" s="25">
        <f>lc_detailed!AZ5/$R$2</f>
        <v>11.091536587122279</v>
      </c>
      <c r="E5" s="25">
        <f>lc_detailed!BA5/$R$2</f>
        <v>-0.16457133828177642</v>
      </c>
      <c r="F5" s="25">
        <f>lc_detailed!BB5/$R$2</f>
        <v>-20.74755519690644</v>
      </c>
      <c r="G5" s="25">
        <f>lc_detailed!BC5/$R$2</f>
        <v>4.2600965636830308</v>
      </c>
      <c r="H5" s="25">
        <f>lc_detailed!BD5/$R$2</f>
        <v>2.3433206377337097</v>
      </c>
      <c r="I5" s="25">
        <f>lc_detailed!BE5/$R$2</f>
        <v>-0.99370798227543866</v>
      </c>
      <c r="J5" s="25">
        <f>lc_detailed!BG5/$R$2</f>
        <v>0</v>
      </c>
      <c r="K5" s="25">
        <f>lc_detailed!BH5/$R$2</f>
        <v>-0.60316164323047106</v>
      </c>
      <c r="L5" s="25">
        <f>lc_detailed!BI5</f>
        <v>-0.37309554696342861</v>
      </c>
      <c r="M5" s="25">
        <f>lc_detailed!AR5</f>
        <v>174.15242976340338</v>
      </c>
      <c r="N5" s="25">
        <f t="shared" si="0"/>
        <v>3.8191322316535827</v>
      </c>
      <c r="O5" s="25">
        <f t="shared" si="1"/>
        <v>3.819132231653581</v>
      </c>
      <c r="U5" t="str">
        <v>MIDAT_Synthetic_Ethylene_CCS_90</v>
      </c>
      <c r="V5">
        <v>7.9023386617113429</v>
      </c>
      <c r="W5">
        <v>0.93155650147922364</v>
      </c>
      <c r="X5">
        <v>10.189334687032737</v>
      </c>
      <c r="Y5">
        <v>-0.16457133836157006</v>
      </c>
      <c r="Z5">
        <v>-20.747555205502195</v>
      </c>
      <c r="AA5">
        <v>4.705568157602146</v>
      </c>
      <c r="AB5">
        <v>2.5867547372464941</v>
      </c>
      <c r="AC5">
        <v>-1.074340016786842</v>
      </c>
      <c r="AD5">
        <v>0</v>
      </c>
      <c r="AE5">
        <v>-0.65429594533574054</v>
      </c>
      <c r="AF5">
        <v>-0.40472550988742861</v>
      </c>
      <c r="AG5">
        <v>167.57043490230325</v>
      </c>
      <c r="AH5">
        <v>3.6747902390855973</v>
      </c>
      <c r="AI5">
        <v>3.6747902390855964</v>
      </c>
    </row>
    <row r="6" spans="1:35" x14ac:dyDescent="0.2">
      <c r="A6" t="str">
        <f>lc_detailed!AP6</f>
        <v>MIDAT_Synthetic_Ethylene_CCS_90</v>
      </c>
      <c r="B6" s="25">
        <f>lc_detailed!AX6/$R$2</f>
        <v>7.9023386617113429</v>
      </c>
      <c r="C6" s="25">
        <f>lc_detailed!AY6/$R$2</f>
        <v>0.93155650147922364</v>
      </c>
      <c r="D6" s="25">
        <f>lc_detailed!AZ6/$R$2</f>
        <v>10.189334687032737</v>
      </c>
      <c r="E6" s="25">
        <f>lc_detailed!BA6/$R$2</f>
        <v>-0.16457133836157006</v>
      </c>
      <c r="F6" s="25">
        <f>lc_detailed!BB6/$R$2</f>
        <v>-20.747555205502195</v>
      </c>
      <c r="G6" s="25">
        <f>lc_detailed!BC6/$R$2</f>
        <v>4.705568157602146</v>
      </c>
      <c r="H6" s="25">
        <f>lc_detailed!BD6/$R$2</f>
        <v>2.5867547372464941</v>
      </c>
      <c r="I6" s="25">
        <f>lc_detailed!BE6/$R$2</f>
        <v>-1.074340016786842</v>
      </c>
      <c r="J6" s="25">
        <f>lc_detailed!BG6/$R$2</f>
        <v>0</v>
      </c>
      <c r="K6" s="25">
        <f>lc_detailed!BH6/$R$2</f>
        <v>-0.65429594533574054</v>
      </c>
      <c r="L6" s="25">
        <f>lc_detailed!BI6</f>
        <v>-0.40472550988742861</v>
      </c>
      <c r="M6" s="25">
        <f>lc_detailed!AR6</f>
        <v>167.57043490230325</v>
      </c>
      <c r="N6" s="25">
        <f t="shared" si="0"/>
        <v>3.6747902390855973</v>
      </c>
      <c r="O6" s="25">
        <f t="shared" si="1"/>
        <v>3.6747902390855964</v>
      </c>
      <c r="U6" t="str">
        <v>MIDAT_Synthetic_Ethylene_Non_CCS</v>
      </c>
      <c r="V6">
        <v>7.9023386587990325</v>
      </c>
      <c r="W6">
        <v>0.73083594500965676</v>
      </c>
      <c r="X6">
        <v>11.091536587122279</v>
      </c>
      <c r="Y6">
        <v>-0.16457133828177642</v>
      </c>
      <c r="Z6">
        <v>-20.74755519690644</v>
      </c>
      <c r="AA6">
        <v>4.2600965636830308</v>
      </c>
      <c r="AB6">
        <v>2.3433206377337097</v>
      </c>
      <c r="AC6">
        <v>-0.99370798227543866</v>
      </c>
      <c r="AD6">
        <v>0</v>
      </c>
      <c r="AE6">
        <v>-0.60316164323047106</v>
      </c>
      <c r="AF6">
        <v>-0.37309554696342861</v>
      </c>
      <c r="AG6">
        <v>174.15242976340338</v>
      </c>
      <c r="AH6">
        <v>3.8191322316535827</v>
      </c>
      <c r="AI6">
        <v>3.819132231653581</v>
      </c>
    </row>
    <row r="7" spans="1:35" x14ac:dyDescent="0.2">
      <c r="A7" t="str">
        <f>lc_detailed!AP7</f>
        <v>NE_Synthetic_Ethylene_Non_CCS</v>
      </c>
      <c r="B7" s="25">
        <f>lc_detailed!AX7/$R$2</f>
        <v>9.6475746507461988</v>
      </c>
      <c r="C7" s="25">
        <f>lc_detailed!AY7/$R$2</f>
        <v>0.7066773254975931</v>
      </c>
      <c r="D7" s="25">
        <f>lc_detailed!AZ7/$R$2</f>
        <v>9.7233651841228586</v>
      </c>
      <c r="E7" s="25">
        <f>lc_detailed!BA7/$R$2</f>
        <v>-0.27269292708438991</v>
      </c>
      <c r="F7" s="25">
        <f>lc_detailed!BB7/$R$2</f>
        <v>-22.223848279928063</v>
      </c>
      <c r="G7" s="25">
        <f>lc_detailed!BC7/$R$2</f>
        <v>4.2600965636830308</v>
      </c>
      <c r="H7" s="25">
        <f>lc_detailed!BD7/$R$2</f>
        <v>2.3433206377337097</v>
      </c>
      <c r="I7" s="25">
        <f>lc_detailed!BE7/$R$2</f>
        <v>-0.99370798227543866</v>
      </c>
      <c r="J7" s="25">
        <f>lc_detailed!BG7/$R$2</f>
        <v>0</v>
      </c>
      <c r="K7" s="25">
        <f>lc_detailed!BH7/$R$2</f>
        <v>-0.60316164323047106</v>
      </c>
      <c r="L7" s="25">
        <f>lc_detailed!BI7</f>
        <v>-0.37309554696342861</v>
      </c>
      <c r="M7" s="25">
        <f>lc_detailed!AR7</f>
        <v>117.99563293448526</v>
      </c>
      <c r="N7" s="25">
        <f t="shared" si="0"/>
        <v>2.5876235292650276</v>
      </c>
      <c r="O7" s="25">
        <f t="shared" si="1"/>
        <v>2.5876235292650285</v>
      </c>
      <c r="U7" t="str">
        <v>SE_Synthetic_Ethylene_CCS_90</v>
      </c>
      <c r="V7">
        <v>7.624683880724632</v>
      </c>
      <c r="W7">
        <v>0.9213972007811656</v>
      </c>
      <c r="X7">
        <v>11.975775539898962</v>
      </c>
      <c r="Y7">
        <v>-0.24235512411799978</v>
      </c>
      <c r="Z7">
        <v>-18.880720000582343</v>
      </c>
      <c r="AA7">
        <v>4.705568157602146</v>
      </c>
      <c r="AB7">
        <v>2.5867547372464941</v>
      </c>
      <c r="AC7">
        <v>-1.074340016786842</v>
      </c>
      <c r="AD7">
        <v>0</v>
      </c>
      <c r="AE7">
        <v>-0.65429594533574054</v>
      </c>
      <c r="AF7">
        <v>-0.40472550988742861</v>
      </c>
      <c r="AG7">
        <v>317.48856038202962</v>
      </c>
      <c r="AH7">
        <v>6.9624684294304737</v>
      </c>
      <c r="AI7">
        <v>6.9624684294304737</v>
      </c>
    </row>
    <row r="8" spans="1:35" x14ac:dyDescent="0.2">
      <c r="A8" t="str">
        <f>lc_detailed!AP8</f>
        <v>NE_Synthetic_Ethylene_CCS_90</v>
      </c>
      <c r="B8" s="25">
        <f>lc_detailed!AX8/$R$2</f>
        <v>9.6475746543016925</v>
      </c>
      <c r="C8" s="25">
        <f>lc_detailed!AY8/$R$2</f>
        <v>0.90076283399899526</v>
      </c>
      <c r="D8" s="25">
        <f>lc_detailed!AZ8/$R$2</f>
        <v>8.932452358341326</v>
      </c>
      <c r="E8" s="25">
        <f>lc_detailed!BA8/$R$2</f>
        <v>-0.27269292721660704</v>
      </c>
      <c r="F8" s="25">
        <f>lc_detailed!BB8/$R$2</f>
        <v>-22.22384828913545</v>
      </c>
      <c r="G8" s="25">
        <f>lc_detailed!BC8/$R$2</f>
        <v>4.705568157602146</v>
      </c>
      <c r="H8" s="25">
        <f>lc_detailed!BD8/$R$2</f>
        <v>2.5867547372464941</v>
      </c>
      <c r="I8" s="25">
        <f>lc_detailed!BE8/$R$2</f>
        <v>-1.074340016786842</v>
      </c>
      <c r="J8" s="25">
        <f>lc_detailed!BG8/$R$2</f>
        <v>0</v>
      </c>
      <c r="K8" s="25">
        <f>lc_detailed!BH8/$R$2</f>
        <v>-0.65429594533574054</v>
      </c>
      <c r="L8" s="25">
        <f>lc_detailed!BI8</f>
        <v>-0.40472550988742861</v>
      </c>
      <c r="M8" s="25">
        <f>lc_detailed!AR8</f>
        <v>116.18586167353027</v>
      </c>
      <c r="N8" s="25">
        <f t="shared" si="0"/>
        <v>2.5479355630160145</v>
      </c>
      <c r="O8" s="25">
        <f t="shared" si="1"/>
        <v>2.5479355630160119</v>
      </c>
      <c r="U8" t="str">
        <v>SE_Synthetic_Ethylene_Non_CCS</v>
      </c>
      <c r="V8">
        <v>7.6246838779146486</v>
      </c>
      <c r="W8">
        <v>0.72286564786234198</v>
      </c>
      <c r="X8">
        <v>13.03615561171002</v>
      </c>
      <c r="Y8">
        <v>-0.24235512400049214</v>
      </c>
      <c r="Z8">
        <v>-18.880719992760021</v>
      </c>
      <c r="AA8">
        <v>4.2600965636830308</v>
      </c>
      <c r="AB8">
        <v>2.3433206377337097</v>
      </c>
      <c r="AC8">
        <v>-0.99370798227543866</v>
      </c>
      <c r="AD8">
        <v>0</v>
      </c>
      <c r="AE8">
        <v>-0.60316164323047106</v>
      </c>
      <c r="AF8">
        <v>-0.37309554696342861</v>
      </c>
      <c r="AG8">
        <v>331.38329840666216</v>
      </c>
      <c r="AH8">
        <v>7.2671775966373282</v>
      </c>
      <c r="AI8">
        <v>7.2671775966373291</v>
      </c>
    </row>
    <row r="9" spans="1:35" x14ac:dyDescent="0.2">
      <c r="A9" t="str">
        <f>lc_detailed!AP9</f>
        <v>CA_Synthetic_Ethylene_Non_CCS</v>
      </c>
      <c r="B9" s="25">
        <f>lc_detailed!AX9/$R$2</f>
        <v>8.882221111503009</v>
      </c>
      <c r="C9" s="25">
        <f>lc_detailed!AY9/$R$2</f>
        <v>0.68916970159805557</v>
      </c>
      <c r="D9" s="25">
        <f>lc_detailed!AZ9/$R$2</f>
        <v>14.948219637620451</v>
      </c>
      <c r="E9" s="25">
        <f>lc_detailed!BA9/$R$2</f>
        <v>-0.39450878949359602</v>
      </c>
      <c r="F9" s="25">
        <f>lc_detailed!BB9/$R$2</f>
        <v>-17.122469805914761</v>
      </c>
      <c r="G9" s="25">
        <f>lc_detailed!BC9/$R$2</f>
        <v>4.2600965636830308</v>
      </c>
      <c r="H9" s="25">
        <f>lc_detailed!BD9/$R$2</f>
        <v>2.3433206377337097</v>
      </c>
      <c r="I9" s="25">
        <f>lc_detailed!BE9/$R$2</f>
        <v>-0.99370798227543866</v>
      </c>
      <c r="J9" s="25">
        <f>lc_detailed!BG9/$R$2</f>
        <v>0</v>
      </c>
      <c r="K9" s="25">
        <f>lc_detailed!BH9/$R$2</f>
        <v>-0.60316164323047106</v>
      </c>
      <c r="L9" s="25">
        <f>lc_detailed!BI9</f>
        <v>-0.37309554696342861</v>
      </c>
      <c r="M9" s="25">
        <f>lc_detailed!AR9</f>
        <v>547.61858206381407</v>
      </c>
      <c r="N9" s="25">
        <f t="shared" si="0"/>
        <v>12.009179431223993</v>
      </c>
      <c r="O9" s="25">
        <f t="shared" si="1"/>
        <v>12.009179431223989</v>
      </c>
      <c r="U9" t="str">
        <v>TX_Synthetic_Ethylene_CCS_90</v>
      </c>
      <c r="V9">
        <v>7.9189911503517845</v>
      </c>
      <c r="W9">
        <v>0.92536315857176465</v>
      </c>
      <c r="X9">
        <v>12.168959138351944</v>
      </c>
      <c r="Y9">
        <v>-0.26177559818929191</v>
      </c>
      <c r="Z9">
        <v>-18.689851672712397</v>
      </c>
      <c r="AA9">
        <v>4.705568157602146</v>
      </c>
      <c r="AB9">
        <v>2.5867547372464941</v>
      </c>
      <c r="AC9">
        <v>-1.074340016786842</v>
      </c>
      <c r="AD9">
        <v>0</v>
      </c>
      <c r="AE9">
        <v>-0.65429594533574054</v>
      </c>
      <c r="AF9">
        <v>-0.40472550988742861</v>
      </c>
      <c r="AG9">
        <v>347.7170137749539</v>
      </c>
      <c r="AH9">
        <v>7.6253731090998658</v>
      </c>
      <c r="AI9">
        <v>7.6253731090998622</v>
      </c>
    </row>
    <row r="10" spans="1:35" x14ac:dyDescent="0.2">
      <c r="A10" t="str">
        <f>lc_detailed!AP10</f>
        <v>CA_Synthetic_Ethylene_CCS_90</v>
      </c>
      <c r="B10" s="25">
        <f>lc_detailed!AX10/$R$2</f>
        <v>8.8822211147764421</v>
      </c>
      <c r="C10" s="25">
        <f>lc_detailed!AY10/$R$2</f>
        <v>0.87844682589836531</v>
      </c>
      <c r="D10" s="25">
        <f>lc_detailed!AZ10/$R$2</f>
        <v>13.73230946556412</v>
      </c>
      <c r="E10" s="25">
        <f>lc_detailed!BA10/$R$2</f>
        <v>-0.39450878968487657</v>
      </c>
      <c r="F10" s="25">
        <f>lc_detailed!BB10/$R$2</f>
        <v>-17.122469813008635</v>
      </c>
      <c r="G10" s="25">
        <f>lc_detailed!BC10/$R$2</f>
        <v>4.705568157602146</v>
      </c>
      <c r="H10" s="25">
        <f>lc_detailed!BD10/$R$2</f>
        <v>2.5867547372464941</v>
      </c>
      <c r="I10" s="25">
        <f>lc_detailed!BE10/$R$2</f>
        <v>-1.074340016786842</v>
      </c>
      <c r="J10" s="25">
        <f>lc_detailed!BG10/$R$2</f>
        <v>0</v>
      </c>
      <c r="K10" s="25">
        <f>lc_detailed!BH10/$R$2</f>
        <v>-0.65429594533574054</v>
      </c>
      <c r="L10" s="25">
        <f>lc_detailed!BI10</f>
        <v>-0.40472550988742861</v>
      </c>
      <c r="M10" s="25">
        <f>lc_detailed!AR10</f>
        <v>526.209669573979</v>
      </c>
      <c r="N10" s="25">
        <f t="shared" si="0"/>
        <v>11.539685736271469</v>
      </c>
      <c r="O10" s="25">
        <f t="shared" si="1"/>
        <v>11.539685736271474</v>
      </c>
      <c r="U10" t="str">
        <v>TX_Synthetic_Ethylene_Non_CCS</v>
      </c>
      <c r="V10">
        <v>7.9189911474333377</v>
      </c>
      <c r="W10">
        <v>0.72597706891426772</v>
      </c>
      <c r="X10">
        <v>13.24644441034965</v>
      </c>
      <c r="Y10">
        <v>-0.26177559806236805</v>
      </c>
      <c r="Z10">
        <v>-18.689851664969151</v>
      </c>
      <c r="AA10">
        <v>4.2600965636830308</v>
      </c>
      <c r="AB10">
        <v>2.3433206377337097</v>
      </c>
      <c r="AC10">
        <v>-0.99370798227543866</v>
      </c>
      <c r="AD10">
        <v>0</v>
      </c>
      <c r="AE10">
        <v>-0.60316164323047106</v>
      </c>
      <c r="AF10">
        <v>-0.37309554696342861</v>
      </c>
      <c r="AG10">
        <v>362.35278204469142</v>
      </c>
      <c r="AH10">
        <v>7.9463329395765658</v>
      </c>
      <c r="AI10">
        <v>7.9463329395765649</v>
      </c>
    </row>
    <row r="11" spans="1:35" x14ac:dyDescent="0.2">
      <c r="A11" t="str">
        <f>lc_detailed!AP11</f>
        <v>NCEN_Synthetic_Ethylene_Non_CCS</v>
      </c>
      <c r="B11" s="25">
        <f>lc_detailed!AX11/$R$2</f>
        <v>13.845141117697725</v>
      </c>
      <c r="C11" s="25">
        <f>lc_detailed!AY11/$R$2</f>
        <v>0.77862652394618448</v>
      </c>
      <c r="D11" s="25">
        <f>lc_detailed!AZ11/$R$2</f>
        <v>13.034938890657648</v>
      </c>
      <c r="E11" s="25">
        <f>lc_detailed!BA11/$R$2</f>
        <v>-0.45509041875365486</v>
      </c>
      <c r="F11" s="25">
        <f>lc_detailed!BB11/$R$2</f>
        <v>-19.09467193131994</v>
      </c>
      <c r="G11" s="25">
        <f>lc_detailed!BC11/$R$2</f>
        <v>4.2600965636830308</v>
      </c>
      <c r="H11" s="25">
        <f>lc_detailed!BD11/$R$2</f>
        <v>2.3433206377337097</v>
      </c>
      <c r="I11" s="25">
        <f>lc_detailed!BE11/$R$2</f>
        <v>-0.99370798227543866</v>
      </c>
      <c r="J11" s="25">
        <f>lc_detailed!BG11/$R$2</f>
        <v>0</v>
      </c>
      <c r="K11" s="25">
        <f>lc_detailed!BH11/$R$2</f>
        <v>-0.60316164323047106</v>
      </c>
      <c r="L11" s="25">
        <f>lc_detailed!BI11</f>
        <v>-0.37309554696342861</v>
      </c>
      <c r="M11" s="25">
        <f>lc_detailed!AR11</f>
        <v>598.06642417112914</v>
      </c>
      <c r="N11" s="25">
        <f t="shared" si="0"/>
        <v>13.115491758138797</v>
      </c>
      <c r="O11" s="25">
        <f t="shared" si="1"/>
        <v>13.115491758138793</v>
      </c>
      <c r="U11" t="str">
        <v>SW_Synthetic_Ethylene_CCS_90</v>
      </c>
      <c r="V11">
        <v>9.488202585105773</v>
      </c>
      <c r="W11">
        <v>0.91079397415754326</v>
      </c>
      <c r="X11">
        <v>12.292551924231621</v>
      </c>
      <c r="Y11">
        <v>-0.31410156307402354</v>
      </c>
      <c r="Z11">
        <v>-18.607641480632839</v>
      </c>
      <c r="AA11">
        <v>4.705568157602146</v>
      </c>
      <c r="AB11">
        <v>2.5867547372464941</v>
      </c>
      <c r="AC11">
        <v>-1.074340016786842</v>
      </c>
      <c r="AD11">
        <v>0</v>
      </c>
      <c r="AE11">
        <v>-0.65429594533574054</v>
      </c>
      <c r="AF11">
        <v>-0.40472550988742861</v>
      </c>
      <c r="AG11">
        <v>425.60725218664447</v>
      </c>
      <c r="AH11">
        <v>9.333492372514133</v>
      </c>
      <c r="AI11">
        <v>9.3334923725141348</v>
      </c>
    </row>
    <row r="12" spans="1:35" x14ac:dyDescent="0.2">
      <c r="A12" t="str">
        <f>lc_detailed!AP12</f>
        <v>NCEN_Synthetic_Ethylene_CCS_90</v>
      </c>
      <c r="B12" s="25">
        <f>lc_detailed!AX12/$R$2</f>
        <v>13.845141122800179</v>
      </c>
      <c r="C12" s="25">
        <f>lc_detailed!AY12/$R$2</f>
        <v>0.99247253170703364</v>
      </c>
      <c r="D12" s="25">
        <f>lc_detailed!AZ12/$R$2</f>
        <v>11.974657788726613</v>
      </c>
      <c r="E12" s="25">
        <f>lc_detailed!BA12/$R$2</f>
        <v>-0.45509041897430885</v>
      </c>
      <c r="F12" s="25">
        <f>lc_detailed!BB12/$R$2</f>
        <v>-19.094671939230906</v>
      </c>
      <c r="G12" s="25">
        <f>lc_detailed!BC12/$R$2</f>
        <v>4.705568157602146</v>
      </c>
      <c r="H12" s="25">
        <f>lc_detailed!BD12/$R$2</f>
        <v>2.5867547372464941</v>
      </c>
      <c r="I12" s="25">
        <f>lc_detailed!BE12/$R$2</f>
        <v>-1.074340016786842</v>
      </c>
      <c r="J12" s="25">
        <f>lc_detailed!BG12/$R$2</f>
        <v>0</v>
      </c>
      <c r="K12" s="25">
        <f>lc_detailed!BH12/$R$2</f>
        <v>-0.65429594533574054</v>
      </c>
      <c r="L12" s="25">
        <f>lc_detailed!BI12</f>
        <v>-0.40472550988742861</v>
      </c>
      <c r="M12" s="25">
        <f>lc_detailed!AR12</f>
        <v>584.8745384096128</v>
      </c>
      <c r="N12" s="25">
        <f t="shared" si="0"/>
        <v>12.826196017754667</v>
      </c>
      <c r="O12" s="25">
        <f t="shared" si="1"/>
        <v>12.82619601775467</v>
      </c>
      <c r="U12" t="str">
        <v>SW_Synthetic_Ethylene_Non_CCS</v>
      </c>
      <c r="V12">
        <v>9.4882025816090128</v>
      </c>
      <c r="W12">
        <v>0.7145470765922991</v>
      </c>
      <c r="X12">
        <v>13.380980564926391</v>
      </c>
      <c r="Y12">
        <v>-0.31410156292172908</v>
      </c>
      <c r="Z12">
        <v>-18.607641472923653</v>
      </c>
      <c r="AA12">
        <v>4.2600965636830308</v>
      </c>
      <c r="AB12">
        <v>2.3433206377337097</v>
      </c>
      <c r="AC12">
        <v>-0.99370798227543866</v>
      </c>
      <c r="AD12">
        <v>0</v>
      </c>
      <c r="AE12">
        <v>-0.60316164323047106</v>
      </c>
      <c r="AF12">
        <v>-0.37309554696342861</v>
      </c>
      <c r="AG12">
        <v>440.88518520160773</v>
      </c>
      <c r="AH12">
        <v>9.6685347631931524</v>
      </c>
      <c r="AI12">
        <v>9.6685347631931524</v>
      </c>
    </row>
    <row r="13" spans="1:35" x14ac:dyDescent="0.2">
      <c r="A13" t="str">
        <f>lc_detailed!AP13</f>
        <v>CEN_Synthetic_Ethylene_Non_CCS</v>
      </c>
      <c r="B13" s="25">
        <f>lc_detailed!AX13/$R$2</f>
        <v>13.938062696688313</v>
      </c>
      <c r="C13" s="25">
        <f>lc_detailed!AY13/$R$2</f>
        <v>0.76361776517765922</v>
      </c>
      <c r="D13" s="25">
        <f>lc_detailed!AZ13/$R$2</f>
        <v>13.015288614346023</v>
      </c>
      <c r="E13" s="25">
        <f>lc_detailed!BA13/$R$2</f>
        <v>-0.45791675599407311</v>
      </c>
      <c r="F13" s="25">
        <f>lc_detailed!BB13/$R$2</f>
        <v>-19.117148629518834</v>
      </c>
      <c r="G13" s="25">
        <f>lc_detailed!BC13/$R$2</f>
        <v>4.2600965636830308</v>
      </c>
      <c r="H13" s="25">
        <f>lc_detailed!BD13/$R$2</f>
        <v>2.3433206377337097</v>
      </c>
      <c r="I13" s="25">
        <f>lc_detailed!BE13/$R$2</f>
        <v>-0.99370798227543866</v>
      </c>
      <c r="J13" s="25">
        <f>lc_detailed!BG13/$R$2</f>
        <v>0</v>
      </c>
      <c r="K13" s="25">
        <f>lc_detailed!BH13/$R$2</f>
        <v>-0.60316164323047106</v>
      </c>
      <c r="L13" s="25">
        <f>lc_detailed!BI13</f>
        <v>-0.37309554696342861</v>
      </c>
      <c r="M13" s="25">
        <f>lc_detailed!AR13</f>
        <v>599.56937775741244</v>
      </c>
      <c r="N13" s="25">
        <f t="shared" si="0"/>
        <v>13.148451266609921</v>
      </c>
      <c r="O13" s="25">
        <f t="shared" si="1"/>
        <v>13.14845126660992</v>
      </c>
      <c r="U13" t="str">
        <v>CA_Synthetic_Ethylene_CCS_90</v>
      </c>
      <c r="V13">
        <v>8.8822211147764421</v>
      </c>
      <c r="W13">
        <v>0.87844682589836531</v>
      </c>
      <c r="X13">
        <v>13.73230946556412</v>
      </c>
      <c r="Y13">
        <v>-0.39450878968487657</v>
      </c>
      <c r="Z13">
        <v>-17.122469813008635</v>
      </c>
      <c r="AA13">
        <v>4.705568157602146</v>
      </c>
      <c r="AB13">
        <v>2.5867547372464941</v>
      </c>
      <c r="AC13">
        <v>-1.074340016786842</v>
      </c>
      <c r="AD13">
        <v>0</v>
      </c>
      <c r="AE13">
        <v>-0.65429594533574054</v>
      </c>
      <c r="AF13">
        <v>-0.40472550988742861</v>
      </c>
      <c r="AG13">
        <v>526.209669573979</v>
      </c>
      <c r="AH13">
        <v>11.539685736271469</v>
      </c>
      <c r="AI13">
        <v>11.539685736271474</v>
      </c>
    </row>
    <row r="14" spans="1:35" x14ac:dyDescent="0.2">
      <c r="A14" t="str">
        <f>lc_detailed!AP14</f>
        <v>CEN_Synthetic_Ethylene_CCS_90</v>
      </c>
      <c r="B14" s="25">
        <f>lc_detailed!AX14/$R$2</f>
        <v>13.938062701825016</v>
      </c>
      <c r="C14" s="25">
        <f>lc_detailed!AY14/$R$2</f>
        <v>0.97334168995599168</v>
      </c>
      <c r="D14" s="25">
        <f>lc_detailed!AZ14/$R$2</f>
        <v>11.956605894792975</v>
      </c>
      <c r="E14" s="25">
        <f>lc_detailed!BA14/$R$2</f>
        <v>-0.45791675621609745</v>
      </c>
      <c r="F14" s="25">
        <f>lc_detailed!BB14/$R$2</f>
        <v>-19.117148637439108</v>
      </c>
      <c r="G14" s="25">
        <f>lc_detailed!BC14/$R$2</f>
        <v>4.705568157602146</v>
      </c>
      <c r="H14" s="25">
        <f>lc_detailed!BD14/$R$2</f>
        <v>2.5867547372464941</v>
      </c>
      <c r="I14" s="25">
        <f>lc_detailed!BE14/$R$2</f>
        <v>-1.074340016786842</v>
      </c>
      <c r="J14" s="25">
        <f>lc_detailed!BG14/$R$2</f>
        <v>0</v>
      </c>
      <c r="K14" s="25">
        <f>lc_detailed!BH14/$R$2</f>
        <v>-0.65429594533574054</v>
      </c>
      <c r="L14" s="25">
        <f>lc_detailed!BI14</f>
        <v>-0.40472550988742861</v>
      </c>
      <c r="M14" s="25">
        <f>lc_detailed!AR14</f>
        <v>586.26241124940475</v>
      </c>
      <c r="N14" s="25">
        <f t="shared" si="0"/>
        <v>12.85663182564484</v>
      </c>
      <c r="O14" s="25">
        <f t="shared" si="1"/>
        <v>12.856631825644838</v>
      </c>
      <c r="U14" t="str">
        <v>CA_Synthetic_Ethylene_Non_CCS</v>
      </c>
      <c r="V14">
        <v>8.882221111503009</v>
      </c>
      <c r="W14">
        <v>0.68916970159805557</v>
      </c>
      <c r="X14">
        <v>14.948219637620451</v>
      </c>
      <c r="Y14">
        <v>-0.39450878949359602</v>
      </c>
      <c r="Z14">
        <v>-17.122469805914761</v>
      </c>
      <c r="AA14">
        <v>4.2600965636830308</v>
      </c>
      <c r="AB14">
        <v>2.3433206377337097</v>
      </c>
      <c r="AC14">
        <v>-0.99370798227543866</v>
      </c>
      <c r="AD14">
        <v>0</v>
      </c>
      <c r="AE14">
        <v>-0.60316164323047106</v>
      </c>
      <c r="AF14">
        <v>-0.37309554696342861</v>
      </c>
      <c r="AG14">
        <v>547.61858206381407</v>
      </c>
      <c r="AH14">
        <v>12.009179431223993</v>
      </c>
      <c r="AI14">
        <v>12.009179431223989</v>
      </c>
    </row>
    <row r="15" spans="1:35" x14ac:dyDescent="0.2">
      <c r="A15" t="str">
        <f>lc_detailed!AP15</f>
        <v>TX_Synthetic_Ethylene_Non_CCS</v>
      </c>
      <c r="B15" s="25">
        <f>lc_detailed!AX15/$R$2</f>
        <v>7.9189911474333377</v>
      </c>
      <c r="C15" s="25">
        <f>lc_detailed!AY15/$R$2</f>
        <v>0.72597706891426772</v>
      </c>
      <c r="D15" s="25">
        <f>lc_detailed!AZ15/$R$2</f>
        <v>13.24644441034965</v>
      </c>
      <c r="E15" s="25">
        <f>lc_detailed!BA15/$R$2</f>
        <v>-0.26177559806236805</v>
      </c>
      <c r="F15" s="25">
        <f>lc_detailed!BB15/$R$2</f>
        <v>-18.689851664969151</v>
      </c>
      <c r="G15" s="25">
        <f>lc_detailed!BC15/$R$2</f>
        <v>4.2600965636830308</v>
      </c>
      <c r="H15" s="25">
        <f>lc_detailed!BD15/$R$2</f>
        <v>2.3433206377337097</v>
      </c>
      <c r="I15" s="25">
        <f>lc_detailed!BE15/$R$2</f>
        <v>-0.99370798227543866</v>
      </c>
      <c r="J15" s="25">
        <f>lc_detailed!BG15/$R$2</f>
        <v>0</v>
      </c>
      <c r="K15" s="25">
        <f>lc_detailed!BH15/$R$2</f>
        <v>-0.60316164323047106</v>
      </c>
      <c r="L15" s="25">
        <f>lc_detailed!BI15</f>
        <v>-0.37309554696342861</v>
      </c>
      <c r="M15" s="25">
        <f>lc_detailed!AR15</f>
        <v>362.35278204469142</v>
      </c>
      <c r="N15" s="25">
        <f t="shared" si="0"/>
        <v>7.9463329395765658</v>
      </c>
      <c r="O15" s="25">
        <f t="shared" si="1"/>
        <v>7.9463329395765649</v>
      </c>
      <c r="U15" t="str">
        <v>NW_Synthetic_Ethylene_CCS_90</v>
      </c>
      <c r="V15">
        <v>8.5313826695435289</v>
      </c>
      <c r="W15">
        <v>0.87658719827283771</v>
      </c>
      <c r="X15">
        <v>14.177318046892477</v>
      </c>
      <c r="Y15">
        <v>-0.37462406116791802</v>
      </c>
      <c r="Z15">
        <v>-16.656553189681333</v>
      </c>
      <c r="AA15">
        <v>4.705568157602146</v>
      </c>
      <c r="AB15">
        <v>2.5867547372464941</v>
      </c>
      <c r="AC15">
        <v>-1.074340016786842</v>
      </c>
      <c r="AD15">
        <v>0</v>
      </c>
      <c r="AE15">
        <v>-0.65429594533574054</v>
      </c>
      <c r="AF15">
        <v>-0.40472550988742861</v>
      </c>
      <c r="AG15">
        <v>552.5715704043057</v>
      </c>
      <c r="AH15">
        <v>12.117797596585651</v>
      </c>
      <c r="AI15">
        <v>12.117797596585651</v>
      </c>
    </row>
    <row r="16" spans="1:35" x14ac:dyDescent="0.2">
      <c r="A16" t="str">
        <f>lc_detailed!AP16</f>
        <v>TX_Synthetic_Ethylene_CCS_90</v>
      </c>
      <c r="B16" s="25">
        <f>lc_detailed!AX16/$R$2</f>
        <v>7.9189911503517845</v>
      </c>
      <c r="C16" s="25">
        <f>lc_detailed!AY16/$R$2</f>
        <v>0.92536315857176465</v>
      </c>
      <c r="D16" s="25">
        <f>lc_detailed!AZ16/$R$2</f>
        <v>12.168959138351944</v>
      </c>
      <c r="E16" s="25">
        <f>lc_detailed!BA16/$R$2</f>
        <v>-0.26177559818929191</v>
      </c>
      <c r="F16" s="25">
        <f>lc_detailed!BB16/$R$2</f>
        <v>-18.689851672712397</v>
      </c>
      <c r="G16" s="25">
        <f>lc_detailed!BC16/$R$2</f>
        <v>4.705568157602146</v>
      </c>
      <c r="H16" s="25">
        <f>lc_detailed!BD16/$R$2</f>
        <v>2.5867547372464941</v>
      </c>
      <c r="I16" s="25">
        <f>lc_detailed!BE16/$R$2</f>
        <v>-1.074340016786842</v>
      </c>
      <c r="J16" s="25">
        <f>lc_detailed!BG16/$R$2</f>
        <v>0</v>
      </c>
      <c r="K16" s="25">
        <f>lc_detailed!BH16/$R$2</f>
        <v>-0.65429594533574054</v>
      </c>
      <c r="L16" s="25">
        <f>lc_detailed!BI16</f>
        <v>-0.40472550988742861</v>
      </c>
      <c r="M16" s="25">
        <f>lc_detailed!AR16</f>
        <v>347.7170137749539</v>
      </c>
      <c r="N16" s="25">
        <f t="shared" si="0"/>
        <v>7.6253731090998658</v>
      </c>
      <c r="O16" s="25">
        <f t="shared" si="1"/>
        <v>7.6253731090998622</v>
      </c>
      <c r="U16" t="str">
        <v>NW_Synthetic_Ethylene_Non_CCS</v>
      </c>
      <c r="V16">
        <v>8.531382666399395</v>
      </c>
      <c r="W16">
        <v>0.68771076409838661</v>
      </c>
      <c r="X16">
        <v>15.432630947386178</v>
      </c>
      <c r="Y16">
        <v>-0.37462406098627876</v>
      </c>
      <c r="Z16">
        <v>-16.656553182780488</v>
      </c>
      <c r="AA16">
        <v>4.2600965636830308</v>
      </c>
      <c r="AB16">
        <v>2.3433206377337097</v>
      </c>
      <c r="AC16">
        <v>-0.99370798227543866</v>
      </c>
      <c r="AD16">
        <v>0</v>
      </c>
      <c r="AE16">
        <v>-0.60316164323047106</v>
      </c>
      <c r="AF16">
        <v>-0.37309554696342861</v>
      </c>
      <c r="AG16">
        <v>575.79551877727795</v>
      </c>
      <c r="AH16">
        <v>12.627094710028025</v>
      </c>
      <c r="AI16">
        <v>12.627094710028024</v>
      </c>
    </row>
    <row r="17" spans="1:35" x14ac:dyDescent="0.2">
      <c r="A17" t="str">
        <f>lc_detailed!AP17</f>
        <v>NW_Synthetic_Ethylene_Non_CCS</v>
      </c>
      <c r="B17" s="25">
        <f>lc_detailed!AX17/$R$2</f>
        <v>8.531382666399395</v>
      </c>
      <c r="C17" s="25">
        <f>lc_detailed!AY17/$R$2</f>
        <v>0.68771076409838661</v>
      </c>
      <c r="D17" s="25">
        <f>lc_detailed!AZ17/$R$2</f>
        <v>15.432630947386178</v>
      </c>
      <c r="E17" s="25">
        <f>lc_detailed!BA17/$R$2</f>
        <v>-0.37462406098627876</v>
      </c>
      <c r="F17" s="25">
        <f>lc_detailed!BB17/$R$2</f>
        <v>-16.656553182780488</v>
      </c>
      <c r="G17" s="25">
        <f>lc_detailed!BC17/$R$2</f>
        <v>4.2600965636830308</v>
      </c>
      <c r="H17" s="25">
        <f>lc_detailed!BD17/$R$2</f>
        <v>2.3433206377337097</v>
      </c>
      <c r="I17" s="25">
        <f>lc_detailed!BE17/$R$2</f>
        <v>-0.99370798227543866</v>
      </c>
      <c r="J17" s="25">
        <f>lc_detailed!BG17/$R$2</f>
        <v>0</v>
      </c>
      <c r="K17" s="25">
        <f>lc_detailed!BH17/$R$2</f>
        <v>-0.60316164323047106</v>
      </c>
      <c r="L17" s="25">
        <f>lc_detailed!BI17</f>
        <v>-0.37309554696342861</v>
      </c>
      <c r="M17" s="25">
        <f>lc_detailed!AR17</f>
        <v>575.79551877727795</v>
      </c>
      <c r="N17" s="25">
        <f t="shared" si="0"/>
        <v>12.627094710028025</v>
      </c>
      <c r="O17" s="25">
        <f t="shared" si="1"/>
        <v>12.627094710028024</v>
      </c>
      <c r="U17" t="str">
        <v>NCEN_Synthetic_Ethylene_CCS_90</v>
      </c>
      <c r="V17">
        <v>13.845141122800179</v>
      </c>
      <c r="W17">
        <v>0.99247253170703364</v>
      </c>
      <c r="X17">
        <v>11.974657788726613</v>
      </c>
      <c r="Y17">
        <v>-0.45509041897430885</v>
      </c>
      <c r="Z17">
        <v>-19.094671939230906</v>
      </c>
      <c r="AA17">
        <v>4.705568157602146</v>
      </c>
      <c r="AB17">
        <v>2.5867547372464941</v>
      </c>
      <c r="AC17">
        <v>-1.074340016786842</v>
      </c>
      <c r="AD17">
        <v>0</v>
      </c>
      <c r="AE17">
        <v>-0.65429594533574054</v>
      </c>
      <c r="AF17">
        <v>-0.40472550988742861</v>
      </c>
      <c r="AG17">
        <v>584.8745384096128</v>
      </c>
      <c r="AH17">
        <v>12.826196017754667</v>
      </c>
      <c r="AI17">
        <v>12.82619601775467</v>
      </c>
    </row>
    <row r="18" spans="1:35" x14ac:dyDescent="0.2">
      <c r="A18" t="str">
        <f>lc_detailed!AP18</f>
        <v>NW_Synthetic_Ethylene_CCS_90</v>
      </c>
      <c r="B18" s="25">
        <f>lc_detailed!AX18/$R$2</f>
        <v>8.5313826695435289</v>
      </c>
      <c r="C18" s="25">
        <f>lc_detailed!AY18/$R$2</f>
        <v>0.87658719827283771</v>
      </c>
      <c r="D18" s="25">
        <f>lc_detailed!AZ18/$R$2</f>
        <v>14.177318046892477</v>
      </c>
      <c r="E18" s="25">
        <f>lc_detailed!BA18/$R$2</f>
        <v>-0.37462406116791802</v>
      </c>
      <c r="F18" s="25">
        <f>lc_detailed!BB18/$R$2</f>
        <v>-16.656553189681333</v>
      </c>
      <c r="G18" s="25">
        <f>lc_detailed!BC18/$R$2</f>
        <v>4.705568157602146</v>
      </c>
      <c r="H18" s="25">
        <f>lc_detailed!BD18/$R$2</f>
        <v>2.5867547372464941</v>
      </c>
      <c r="I18" s="25">
        <f>lc_detailed!BE18/$R$2</f>
        <v>-1.074340016786842</v>
      </c>
      <c r="J18" s="25">
        <f>lc_detailed!BG18/$R$2</f>
        <v>0</v>
      </c>
      <c r="K18" s="25">
        <f>lc_detailed!BH18/$R$2</f>
        <v>-0.65429594533574054</v>
      </c>
      <c r="L18" s="25">
        <f>lc_detailed!BI18</f>
        <v>-0.40472550988742861</v>
      </c>
      <c r="M18" s="25">
        <f>lc_detailed!AR18</f>
        <v>552.5715704043057</v>
      </c>
      <c r="N18" s="25">
        <f t="shared" si="0"/>
        <v>12.117797596585651</v>
      </c>
      <c r="O18" s="25">
        <f t="shared" si="1"/>
        <v>12.117797596585651</v>
      </c>
      <c r="U18" t="str">
        <v>CEN_Synthetic_Ethylene_CCS_90</v>
      </c>
      <c r="V18">
        <v>13.938062701825016</v>
      </c>
      <c r="W18">
        <v>0.97334168995599168</v>
      </c>
      <c r="X18">
        <v>11.956605894792975</v>
      </c>
      <c r="Y18">
        <v>-0.45791675621609745</v>
      </c>
      <c r="Z18">
        <v>-19.117148637439108</v>
      </c>
      <c r="AA18">
        <v>4.705568157602146</v>
      </c>
      <c r="AB18">
        <v>2.5867547372464941</v>
      </c>
      <c r="AC18">
        <v>-1.074340016786842</v>
      </c>
      <c r="AD18">
        <v>0</v>
      </c>
      <c r="AE18">
        <v>-0.65429594533574054</v>
      </c>
      <c r="AF18">
        <v>-0.40472550988742861</v>
      </c>
      <c r="AG18">
        <v>586.26241124940475</v>
      </c>
      <c r="AH18">
        <v>12.85663182564484</v>
      </c>
      <c r="AI18">
        <v>12.856631825644838</v>
      </c>
    </row>
    <row r="19" spans="1:35" x14ac:dyDescent="0.2">
      <c r="A19" t="str">
        <f>lc_detailed!AP19</f>
        <v>SW_Synthetic_Ethylene_Non_CCS</v>
      </c>
      <c r="B19" s="25">
        <f>lc_detailed!AX19/$R$2</f>
        <v>9.4882025816090128</v>
      </c>
      <c r="C19" s="25">
        <f>lc_detailed!AY19/$R$2</f>
        <v>0.7145470765922991</v>
      </c>
      <c r="D19" s="25">
        <f>lc_detailed!AZ19/$R$2</f>
        <v>13.380980564926391</v>
      </c>
      <c r="E19" s="25">
        <f>lc_detailed!BA19/$R$2</f>
        <v>-0.31410156292172908</v>
      </c>
      <c r="F19" s="25">
        <f>lc_detailed!BB19/$R$2</f>
        <v>-18.607641472923653</v>
      </c>
      <c r="G19" s="25">
        <f>lc_detailed!BC19/$R$2</f>
        <v>4.2600965636830308</v>
      </c>
      <c r="H19" s="25">
        <f>lc_detailed!BD19/$R$2</f>
        <v>2.3433206377337097</v>
      </c>
      <c r="I19" s="25">
        <f>lc_detailed!BE19/$R$2</f>
        <v>-0.99370798227543866</v>
      </c>
      <c r="J19" s="25">
        <f>lc_detailed!BG19/$R$2</f>
        <v>0</v>
      </c>
      <c r="K19" s="25">
        <f>lc_detailed!BH19/$R$2</f>
        <v>-0.60316164323047106</v>
      </c>
      <c r="L19" s="25">
        <f>lc_detailed!BI19</f>
        <v>-0.37309554696342861</v>
      </c>
      <c r="M19" s="25">
        <f>lc_detailed!AR19</f>
        <v>440.88518520160773</v>
      </c>
      <c r="N19" s="25">
        <f t="shared" si="0"/>
        <v>9.6685347631931524</v>
      </c>
      <c r="O19" s="25">
        <f t="shared" si="1"/>
        <v>9.6685347631931524</v>
      </c>
      <c r="U19" t="str">
        <v>NCEN_Synthetic_Ethylene_Non_CCS</v>
      </c>
      <c r="V19">
        <v>13.845141117697725</v>
      </c>
      <c r="W19">
        <v>0.77862652394618448</v>
      </c>
      <c r="X19">
        <v>13.034938890657648</v>
      </c>
      <c r="Y19">
        <v>-0.45509041875365486</v>
      </c>
      <c r="Z19">
        <v>-19.09467193131994</v>
      </c>
      <c r="AA19">
        <v>4.2600965636830308</v>
      </c>
      <c r="AB19">
        <v>2.3433206377337097</v>
      </c>
      <c r="AC19">
        <v>-0.99370798227543866</v>
      </c>
      <c r="AD19">
        <v>0</v>
      </c>
      <c r="AE19">
        <v>-0.60316164323047106</v>
      </c>
      <c r="AF19">
        <v>-0.37309554696342861</v>
      </c>
      <c r="AG19">
        <v>598.06642417112914</v>
      </c>
      <c r="AH19">
        <v>13.115491758138797</v>
      </c>
      <c r="AI19">
        <v>13.115491758138793</v>
      </c>
    </row>
    <row r="20" spans="1:35" x14ac:dyDescent="0.2">
      <c r="A20" t="str">
        <f>lc_detailed!AP20</f>
        <v>SW_Synthetic_Ethylene_CCS_90</v>
      </c>
      <c r="B20" s="25">
        <f>lc_detailed!AX20/$R$2</f>
        <v>9.488202585105773</v>
      </c>
      <c r="C20" s="25">
        <f>lc_detailed!AY20/$R$2</f>
        <v>0.91079397415754326</v>
      </c>
      <c r="D20" s="25">
        <f>lc_detailed!AZ20/$R$2</f>
        <v>12.292551924231621</v>
      </c>
      <c r="E20" s="25">
        <f>lc_detailed!BA20/$R$2</f>
        <v>-0.31410156307402354</v>
      </c>
      <c r="F20" s="25">
        <f>lc_detailed!BB20/$R$2</f>
        <v>-18.607641480632839</v>
      </c>
      <c r="G20" s="25">
        <f>lc_detailed!BC20/$R$2</f>
        <v>4.705568157602146</v>
      </c>
      <c r="H20" s="25">
        <f>lc_detailed!BD20/$R$2</f>
        <v>2.5867547372464941</v>
      </c>
      <c r="I20" s="25">
        <f>lc_detailed!BE20/$R$2</f>
        <v>-1.074340016786842</v>
      </c>
      <c r="J20" s="25">
        <f>lc_detailed!BG20/$R$2</f>
        <v>0</v>
      </c>
      <c r="K20" s="25">
        <f>lc_detailed!BH20/$R$2</f>
        <v>-0.65429594533574054</v>
      </c>
      <c r="L20" s="25">
        <f>lc_detailed!BI20</f>
        <v>-0.40472550988742861</v>
      </c>
      <c r="M20" s="25">
        <f>lc_detailed!AR20</f>
        <v>425.60725218664447</v>
      </c>
      <c r="N20" s="25">
        <f t="shared" si="0"/>
        <v>9.333492372514133</v>
      </c>
      <c r="O20" s="25">
        <f t="shared" si="1"/>
        <v>9.3334923725141348</v>
      </c>
      <c r="U20" t="str">
        <v>CEN_Synthetic_Ethylene_Non_CCS</v>
      </c>
      <c r="V20">
        <v>13.938062696688313</v>
      </c>
      <c r="W20">
        <v>0.76361776517765922</v>
      </c>
      <c r="X20">
        <v>13.015288614346023</v>
      </c>
      <c r="Y20">
        <v>-0.45791675599407311</v>
      </c>
      <c r="Z20">
        <v>-19.117148629518834</v>
      </c>
      <c r="AA20">
        <v>4.2600965636830308</v>
      </c>
      <c r="AB20">
        <v>2.3433206377337097</v>
      </c>
      <c r="AC20">
        <v>-0.99370798227543866</v>
      </c>
      <c r="AD20">
        <v>0</v>
      </c>
      <c r="AE20">
        <v>-0.60316164323047106</v>
      </c>
      <c r="AF20">
        <v>-0.37309554696342861</v>
      </c>
      <c r="AG20">
        <v>599.56937775741244</v>
      </c>
      <c r="AH20">
        <v>13.148451266609921</v>
      </c>
      <c r="AI20">
        <v>13.14845126660992</v>
      </c>
    </row>
    <row r="21" spans="1:35" x14ac:dyDescent="0.2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"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"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"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21:35" x14ac:dyDescent="0.2"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21:35" x14ac:dyDescent="0.2"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21:35" x14ac:dyDescent="0.2"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21:35" x14ac:dyDescent="0.2"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21:35" x14ac:dyDescent="0.2"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21:35" x14ac:dyDescent="0.2"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21:35" x14ac:dyDescent="0.2"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21:35" x14ac:dyDescent="0.2"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21:35" x14ac:dyDescent="0.2"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21:35" x14ac:dyDescent="0.2"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21:35" x14ac:dyDescent="0.2"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21:35" x14ac:dyDescent="0.2"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21:35" x14ac:dyDescent="0.2"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21:35" x14ac:dyDescent="0.2"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21:35" x14ac:dyDescent="0.2"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21:35" x14ac:dyDescent="0.2"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21:35" x14ac:dyDescent="0.2"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21:35" x14ac:dyDescent="0.2"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21:35" x14ac:dyDescent="0.2"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21:35" x14ac:dyDescent="0.2"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21:35" x14ac:dyDescent="0.2"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21:35" x14ac:dyDescent="0.2"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21:35" x14ac:dyDescent="0.2"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21:35" x14ac:dyDescent="0.2"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21:35" x14ac:dyDescent="0.2"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21:35" x14ac:dyDescent="0.2"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21:35" x14ac:dyDescent="0.2"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21:35" x14ac:dyDescent="0.2"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21:35" x14ac:dyDescent="0.2"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21:35" x14ac:dyDescent="0.2"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21:35" x14ac:dyDescent="0.2"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21:35" x14ac:dyDescent="0.2"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21:35" x14ac:dyDescent="0.2"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lc_detailed</vt:lpstr>
      <vt:lpstr>lc_summary_noseq</vt:lpstr>
      <vt:lpstr>lc_summary_seq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2026-04-13T20:15:20Z</dcterms:modified>
</cp:coreProperties>
</file>