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lcoe_plots/sc_esc_ethylene_lcoe/"/>
    </mc:Choice>
  </mc:AlternateContent>
  <xr:revisionPtr revIDLastSave="0" documentId="13_ncr:1_{8B0806E1-C2FF-B547-AF57-7433E60BBE91}" xr6:coauthVersionLast="47" xr6:coauthVersionMax="47" xr10:uidLastSave="{00000000-0000-0000-0000-000000000000}"/>
  <bookViews>
    <workbookView xWindow="0" yWindow="740" windowWidth="20920" windowHeight="17740" activeTab="1" xr2:uid="{00000000-000D-0000-FFFF-FFFF00000000}"/>
  </bookViews>
  <sheets>
    <sheet name="lc_detailed" sheetId="1" r:id="rId1"/>
    <sheet name="lc_summary_seq" sheetId="2" r:id="rId2"/>
    <sheet name="lc_summary_noseq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2" l="1"/>
  <c r="J58" i="2"/>
  <c r="J57" i="2"/>
  <c r="J55" i="2"/>
  <c r="J42" i="2"/>
  <c r="G29" i="2"/>
  <c r="H21" i="2"/>
  <c r="G21" i="2"/>
  <c r="G13" i="2"/>
  <c r="F13" i="2"/>
  <c r="G4" i="2"/>
  <c r="I3" i="2"/>
  <c r="CH65" i="1"/>
  <c r="CE65" i="1"/>
  <c r="CD65" i="1"/>
  <c r="CB65" i="1"/>
  <c r="CA65" i="1"/>
  <c r="BZ65" i="1"/>
  <c r="BG65" i="1"/>
  <c r="BF65" i="1"/>
  <c r="BE65" i="1"/>
  <c r="BD65" i="1"/>
  <c r="BC65" i="1"/>
  <c r="BB65" i="1"/>
  <c r="BA65" i="1"/>
  <c r="AZ65" i="1"/>
  <c r="AY65" i="1"/>
  <c r="AR65" i="1"/>
  <c r="AQ65" i="1"/>
  <c r="CH64" i="1"/>
  <c r="CE64" i="1"/>
  <c r="CD64" i="1"/>
  <c r="CB64" i="1"/>
  <c r="CA64" i="1"/>
  <c r="BZ64" i="1"/>
  <c r="BG64" i="1"/>
  <c r="BF64" i="1"/>
  <c r="BE64" i="1"/>
  <c r="BD64" i="1"/>
  <c r="BC64" i="1"/>
  <c r="BB64" i="1"/>
  <c r="BA64" i="1"/>
  <c r="D64" i="3" s="1"/>
  <c r="AZ64" i="1"/>
  <c r="C64" i="3" s="1"/>
  <c r="AY64" i="1"/>
  <c r="AR64" i="1"/>
  <c r="AQ64" i="1"/>
  <c r="CH63" i="1"/>
  <c r="CE63" i="1"/>
  <c r="CD63" i="1"/>
  <c r="CB63" i="1"/>
  <c r="CA63" i="1"/>
  <c r="BZ63" i="1"/>
  <c r="BG63" i="1"/>
  <c r="BF63" i="1"/>
  <c r="BE63" i="1"/>
  <c r="BD63" i="1"/>
  <c r="BC63" i="1"/>
  <c r="BB63" i="1"/>
  <c r="BA63" i="1"/>
  <c r="AZ63" i="1"/>
  <c r="AY63" i="1"/>
  <c r="AR63" i="1"/>
  <c r="AQ63" i="1"/>
  <c r="CI62" i="1"/>
  <c r="CH62" i="1"/>
  <c r="CE62" i="1"/>
  <c r="CD62" i="1"/>
  <c r="CA62" i="1"/>
  <c r="BZ62" i="1"/>
  <c r="CB62" i="1" s="1"/>
  <c r="BG62" i="1"/>
  <c r="BF62" i="1"/>
  <c r="BE62" i="1"/>
  <c r="BD62" i="1"/>
  <c r="BC62" i="1"/>
  <c r="BB62" i="1"/>
  <c r="BA62" i="1"/>
  <c r="AZ62" i="1"/>
  <c r="AY62" i="1"/>
  <c r="AR62" i="1"/>
  <c r="AQ62" i="1"/>
  <c r="CH61" i="1"/>
  <c r="CE61" i="1"/>
  <c r="BN61" i="1" s="1"/>
  <c r="CD61" i="1"/>
  <c r="CA61" i="1"/>
  <c r="BZ61" i="1"/>
  <c r="CB61" i="1" s="1"/>
  <c r="BG61" i="1"/>
  <c r="BF61" i="1"/>
  <c r="BE61" i="1"/>
  <c r="BD61" i="1"/>
  <c r="BC61" i="1"/>
  <c r="BB61" i="1"/>
  <c r="BA61" i="1"/>
  <c r="AZ61" i="1"/>
  <c r="AY61" i="1"/>
  <c r="AR61" i="1"/>
  <c r="AQ61" i="1"/>
  <c r="CI60" i="1"/>
  <c r="CH60" i="1"/>
  <c r="CE60" i="1"/>
  <c r="CD60" i="1"/>
  <c r="CA60" i="1"/>
  <c r="BZ60" i="1"/>
  <c r="CB60" i="1" s="1"/>
  <c r="BN60" i="1"/>
  <c r="BG60" i="1"/>
  <c r="BF60" i="1"/>
  <c r="BE60" i="1"/>
  <c r="BD60" i="1"/>
  <c r="BC60" i="1"/>
  <c r="BB60" i="1"/>
  <c r="BA60" i="1"/>
  <c r="AZ60" i="1"/>
  <c r="AY60" i="1"/>
  <c r="AR60" i="1"/>
  <c r="AQ60" i="1"/>
  <c r="CI59" i="1"/>
  <c r="CH59" i="1"/>
  <c r="CE59" i="1"/>
  <c r="CD59" i="1"/>
  <c r="CA59" i="1"/>
  <c r="BZ59" i="1"/>
  <c r="BG59" i="1"/>
  <c r="J59" i="3" s="1"/>
  <c r="BF59" i="1"/>
  <c r="BE59" i="1"/>
  <c r="BD59" i="1"/>
  <c r="BC59" i="1"/>
  <c r="BB59" i="1"/>
  <c r="BA59" i="1"/>
  <c r="AZ59" i="1"/>
  <c r="AY59" i="1"/>
  <c r="AR59" i="1"/>
  <c r="AQ59" i="1"/>
  <c r="CH58" i="1"/>
  <c r="CE58" i="1"/>
  <c r="CD58" i="1"/>
  <c r="CA58" i="1"/>
  <c r="BZ58" i="1"/>
  <c r="CB58" i="1" s="1"/>
  <c r="BP58" i="1"/>
  <c r="L58" i="3" s="1"/>
  <c r="BN58" i="1"/>
  <c r="M58" i="3" s="1"/>
  <c r="BG58" i="1"/>
  <c r="J58" i="3" s="1"/>
  <c r="BF58" i="1"/>
  <c r="BE58" i="1"/>
  <c r="BD58" i="1"/>
  <c r="BC58" i="1"/>
  <c r="BB58" i="1"/>
  <c r="BA58" i="1"/>
  <c r="AZ58" i="1"/>
  <c r="AY58" i="1"/>
  <c r="AR58" i="1"/>
  <c r="AQ58" i="1"/>
  <c r="CI57" i="1"/>
  <c r="CH57" i="1"/>
  <c r="CE57" i="1"/>
  <c r="CD57" i="1"/>
  <c r="CA57" i="1"/>
  <c r="CB57" i="1" s="1"/>
  <c r="BZ57" i="1"/>
  <c r="BN57" i="1"/>
  <c r="BG57" i="1"/>
  <c r="J57" i="3" s="1"/>
  <c r="BF57" i="1"/>
  <c r="BE57" i="1"/>
  <c r="BD57" i="1"/>
  <c r="BC57" i="1"/>
  <c r="BB57" i="1"/>
  <c r="BA57" i="1"/>
  <c r="AZ57" i="1"/>
  <c r="AY57" i="1"/>
  <c r="AR57" i="1"/>
  <c r="AQ57" i="1"/>
  <c r="CK56" i="1"/>
  <c r="CH56" i="1"/>
  <c r="CG56" i="1"/>
  <c r="CF56" i="1"/>
  <c r="CE56" i="1"/>
  <c r="CD56" i="1"/>
  <c r="CI56" i="1" s="1"/>
  <c r="CB56" i="1"/>
  <c r="CA56" i="1"/>
  <c r="BZ56" i="1"/>
  <c r="BQ56" i="1"/>
  <c r="BS56" i="1" s="1"/>
  <c r="BN56" i="1"/>
  <c r="BI56" i="1"/>
  <c r="BH56" i="1"/>
  <c r="BG56" i="1"/>
  <c r="BF56" i="1"/>
  <c r="BE56" i="1"/>
  <c r="BD56" i="1"/>
  <c r="BC56" i="1"/>
  <c r="BB56" i="1"/>
  <c r="BA56" i="1"/>
  <c r="AZ56" i="1"/>
  <c r="AY56" i="1"/>
  <c r="AR56" i="1"/>
  <c r="AQ56" i="1"/>
  <c r="M56" i="1"/>
  <c r="CH55" i="1"/>
  <c r="CE55" i="1"/>
  <c r="CD55" i="1"/>
  <c r="CA55" i="1"/>
  <c r="BZ55" i="1"/>
  <c r="CB55" i="1" s="1"/>
  <c r="BG55" i="1"/>
  <c r="J55" i="3" s="1"/>
  <c r="BF55" i="1"/>
  <c r="BE55" i="1"/>
  <c r="BD55" i="1"/>
  <c r="BC55" i="1"/>
  <c r="BB55" i="1"/>
  <c r="BA55" i="1"/>
  <c r="AZ55" i="1"/>
  <c r="AY55" i="1"/>
  <c r="AR55" i="1"/>
  <c r="AQ55" i="1"/>
  <c r="CH54" i="1"/>
  <c r="CE54" i="1"/>
  <c r="CD54" i="1"/>
  <c r="CA54" i="1"/>
  <c r="BZ54" i="1"/>
  <c r="CB54" i="1" s="1"/>
  <c r="BG54" i="1"/>
  <c r="BF54" i="1"/>
  <c r="BE54" i="1"/>
  <c r="BD54" i="1"/>
  <c r="BC54" i="1"/>
  <c r="BB54" i="1"/>
  <c r="BA54" i="1"/>
  <c r="AZ54" i="1"/>
  <c r="AY54" i="1"/>
  <c r="AR54" i="1"/>
  <c r="AQ54" i="1"/>
  <c r="CK53" i="1"/>
  <c r="CI53" i="1"/>
  <c r="CH53" i="1"/>
  <c r="CE53" i="1"/>
  <c r="BN53" i="1" s="1"/>
  <c r="CD53" i="1"/>
  <c r="CA53" i="1"/>
  <c r="BZ53" i="1"/>
  <c r="CB53" i="1" s="1"/>
  <c r="BG53" i="1"/>
  <c r="BF53" i="1"/>
  <c r="BE53" i="1"/>
  <c r="BD53" i="1"/>
  <c r="BC53" i="1"/>
  <c r="BB53" i="1"/>
  <c r="BA53" i="1"/>
  <c r="AZ53" i="1"/>
  <c r="AY53" i="1"/>
  <c r="AR53" i="1"/>
  <c r="AQ53" i="1"/>
  <c r="CH52" i="1"/>
  <c r="CE52" i="1"/>
  <c r="CD52" i="1"/>
  <c r="CA52" i="1"/>
  <c r="CB52" i="1" s="1"/>
  <c r="CG52" i="1" s="1"/>
  <c r="M52" i="1" s="1"/>
  <c r="BZ52" i="1"/>
  <c r="BR52" i="1"/>
  <c r="BG52" i="1"/>
  <c r="BF52" i="1"/>
  <c r="BE52" i="1"/>
  <c r="BD52" i="1"/>
  <c r="BC52" i="1"/>
  <c r="BB52" i="1"/>
  <c r="BA52" i="1"/>
  <c r="AZ52" i="1"/>
  <c r="AY52" i="1"/>
  <c r="AR52" i="1"/>
  <c r="AQ52" i="1"/>
  <c r="CH51" i="1"/>
  <c r="CE51" i="1"/>
  <c r="CD51" i="1"/>
  <c r="CA51" i="1"/>
  <c r="CB51" i="1" s="1"/>
  <c r="CG51" i="1" s="1"/>
  <c r="M51" i="1" s="1"/>
  <c r="BZ51" i="1"/>
  <c r="BR51" i="1"/>
  <c r="BG51" i="1"/>
  <c r="BF51" i="1"/>
  <c r="BE51" i="1"/>
  <c r="BD51" i="1"/>
  <c r="BC51" i="1"/>
  <c r="BB51" i="1"/>
  <c r="BA51" i="1"/>
  <c r="AZ51" i="1"/>
  <c r="AY51" i="1"/>
  <c r="AR51" i="1"/>
  <c r="AQ51" i="1"/>
  <c r="CH50" i="1"/>
  <c r="CE50" i="1"/>
  <c r="CD50" i="1"/>
  <c r="CA50" i="1"/>
  <c r="BZ50" i="1"/>
  <c r="CB50" i="1" s="1"/>
  <c r="BG50" i="1"/>
  <c r="J50" i="3" s="1"/>
  <c r="BF50" i="1"/>
  <c r="BE50" i="1"/>
  <c r="BD50" i="1"/>
  <c r="BC50" i="1"/>
  <c r="BB50" i="1"/>
  <c r="BA50" i="1"/>
  <c r="AZ50" i="1"/>
  <c r="AY50" i="1"/>
  <c r="AR50" i="1"/>
  <c r="AQ50" i="1"/>
  <c r="CH49" i="1"/>
  <c r="CE49" i="1"/>
  <c r="CD49" i="1"/>
  <c r="CA49" i="1"/>
  <c r="BZ49" i="1"/>
  <c r="CB49" i="1" s="1"/>
  <c r="BG49" i="1"/>
  <c r="J49" i="3" s="1"/>
  <c r="BF49" i="1"/>
  <c r="BE49" i="1"/>
  <c r="BD49" i="1"/>
  <c r="BC49" i="1"/>
  <c r="BB49" i="1"/>
  <c r="BA49" i="1"/>
  <c r="AZ49" i="1"/>
  <c r="AY49" i="1"/>
  <c r="AR49" i="1"/>
  <c r="AQ49" i="1"/>
  <c r="CH48" i="1"/>
  <c r="CE48" i="1"/>
  <c r="CD48" i="1"/>
  <c r="CA48" i="1"/>
  <c r="BZ48" i="1"/>
  <c r="BG48" i="1"/>
  <c r="BF48" i="1"/>
  <c r="BE48" i="1"/>
  <c r="BD48" i="1"/>
  <c r="BC48" i="1"/>
  <c r="BB48" i="1"/>
  <c r="BA48" i="1"/>
  <c r="AZ48" i="1"/>
  <c r="AY48" i="1"/>
  <c r="AR48" i="1"/>
  <c r="AQ48" i="1"/>
  <c r="CH47" i="1"/>
  <c r="CE47" i="1"/>
  <c r="CD47" i="1"/>
  <c r="CA47" i="1"/>
  <c r="BZ47" i="1"/>
  <c r="CB47" i="1" s="1"/>
  <c r="BG47" i="1"/>
  <c r="J47" i="3" s="1"/>
  <c r="BF47" i="1"/>
  <c r="BE47" i="1"/>
  <c r="BD47" i="1"/>
  <c r="BC47" i="1"/>
  <c r="BB47" i="1"/>
  <c r="BA47" i="1"/>
  <c r="AZ47" i="1"/>
  <c r="AY47" i="1"/>
  <c r="AR47" i="1"/>
  <c r="AQ47" i="1"/>
  <c r="CH46" i="1"/>
  <c r="CE46" i="1"/>
  <c r="CD46" i="1"/>
  <c r="CB46" i="1"/>
  <c r="CA46" i="1"/>
  <c r="BZ46" i="1"/>
  <c r="BG46" i="1"/>
  <c r="BF46" i="1"/>
  <c r="BE46" i="1"/>
  <c r="BD46" i="1"/>
  <c r="BC46" i="1"/>
  <c r="BB46" i="1"/>
  <c r="BA46" i="1"/>
  <c r="AZ46" i="1"/>
  <c r="AY46" i="1"/>
  <c r="AR46" i="1"/>
  <c r="AQ46" i="1"/>
  <c r="CH45" i="1"/>
  <c r="CG45" i="1"/>
  <c r="M45" i="1" s="1"/>
  <c r="CE45" i="1"/>
  <c r="CD45" i="1"/>
  <c r="CB45" i="1"/>
  <c r="CF45" i="1" s="1"/>
  <c r="N45" i="1" s="1"/>
  <c r="CA45" i="1"/>
  <c r="BZ45" i="1"/>
  <c r="BR45" i="1"/>
  <c r="BO45" i="1"/>
  <c r="BG45" i="1"/>
  <c r="BF45" i="1"/>
  <c r="BE45" i="1"/>
  <c r="BD45" i="1"/>
  <c r="BC45" i="1"/>
  <c r="BB45" i="1"/>
  <c r="BA45" i="1"/>
  <c r="AZ45" i="1"/>
  <c r="AY45" i="1"/>
  <c r="AR45" i="1"/>
  <c r="AQ45" i="1"/>
  <c r="CH44" i="1"/>
  <c r="CE44" i="1"/>
  <c r="CD44" i="1"/>
  <c r="CA44" i="1"/>
  <c r="BZ44" i="1"/>
  <c r="CB44" i="1" s="1"/>
  <c r="BG44" i="1"/>
  <c r="BF44" i="1"/>
  <c r="BE44" i="1"/>
  <c r="BD44" i="1"/>
  <c r="BC44" i="1"/>
  <c r="BB44" i="1"/>
  <c r="BA44" i="1"/>
  <c r="AZ44" i="1"/>
  <c r="AY44" i="1"/>
  <c r="AR44" i="1"/>
  <c r="AQ44" i="1"/>
  <c r="CH43" i="1"/>
  <c r="CG43" i="1"/>
  <c r="M43" i="1" s="1"/>
  <c r="CF43" i="1"/>
  <c r="BQ43" i="1" s="1"/>
  <c r="BS43" i="1" s="1"/>
  <c r="CE43" i="1"/>
  <c r="BH43" i="1" s="1"/>
  <c r="CD43" i="1"/>
  <c r="CA43" i="1"/>
  <c r="BZ43" i="1"/>
  <c r="CB43" i="1" s="1"/>
  <c r="BL43" i="1"/>
  <c r="BG43" i="1"/>
  <c r="BF43" i="1"/>
  <c r="BE43" i="1"/>
  <c r="BD43" i="1"/>
  <c r="BC43" i="1"/>
  <c r="BB43" i="1"/>
  <c r="BA43" i="1"/>
  <c r="AZ43" i="1"/>
  <c r="AY43" i="1"/>
  <c r="AR43" i="1"/>
  <c r="AQ43" i="1"/>
  <c r="CH42" i="1"/>
  <c r="CE42" i="1"/>
  <c r="CD42" i="1"/>
  <c r="CA42" i="1"/>
  <c r="BZ42" i="1"/>
  <c r="BG42" i="1"/>
  <c r="J42" i="3" s="1"/>
  <c r="BF42" i="1"/>
  <c r="BE42" i="1"/>
  <c r="BD42" i="1"/>
  <c r="BC42" i="1"/>
  <c r="BB42" i="1"/>
  <c r="BA42" i="1"/>
  <c r="AZ42" i="1"/>
  <c r="AY42" i="1"/>
  <c r="AR42" i="1"/>
  <c r="AQ42" i="1"/>
  <c r="CH41" i="1"/>
  <c r="CG41" i="1"/>
  <c r="M41" i="1" s="1"/>
  <c r="CE41" i="1"/>
  <c r="CD41" i="1"/>
  <c r="BQ41" i="1" s="1"/>
  <c r="BS41" i="1" s="1"/>
  <c r="CB41" i="1"/>
  <c r="CF41" i="1" s="1"/>
  <c r="CA41" i="1"/>
  <c r="BZ41" i="1"/>
  <c r="BL41" i="1"/>
  <c r="AT41" i="1" s="1"/>
  <c r="BK41" i="1"/>
  <c r="BM41" i="1" s="1"/>
  <c r="BG41" i="1"/>
  <c r="BF41" i="1"/>
  <c r="BE41" i="1"/>
  <c r="BD41" i="1"/>
  <c r="BC41" i="1"/>
  <c r="BB41" i="1"/>
  <c r="BA41" i="1"/>
  <c r="AZ41" i="1"/>
  <c r="AY41" i="1"/>
  <c r="AR41" i="1"/>
  <c r="AQ41" i="1"/>
  <c r="CH40" i="1"/>
  <c r="CE40" i="1"/>
  <c r="CD40" i="1"/>
  <c r="CB40" i="1"/>
  <c r="CA40" i="1"/>
  <c r="BZ40" i="1"/>
  <c r="BG40" i="1"/>
  <c r="BF40" i="1"/>
  <c r="BE40" i="1"/>
  <c r="BD40" i="1"/>
  <c r="BC40" i="1"/>
  <c r="BB40" i="1"/>
  <c r="BA40" i="1"/>
  <c r="AZ40" i="1"/>
  <c r="AY40" i="1"/>
  <c r="AR40" i="1"/>
  <c r="AQ40" i="1"/>
  <c r="CH39" i="1"/>
  <c r="CE39" i="1"/>
  <c r="CD39" i="1"/>
  <c r="CB39" i="1"/>
  <c r="CA39" i="1"/>
  <c r="BZ39" i="1"/>
  <c r="BG39" i="1"/>
  <c r="BF39" i="1"/>
  <c r="BE39" i="1"/>
  <c r="BD39" i="1"/>
  <c r="BC39" i="1"/>
  <c r="BB39" i="1"/>
  <c r="BA39" i="1"/>
  <c r="AZ39" i="1"/>
  <c r="AY39" i="1"/>
  <c r="AR39" i="1"/>
  <c r="AQ39" i="1"/>
  <c r="CH38" i="1"/>
  <c r="CE38" i="1"/>
  <c r="CD38" i="1"/>
  <c r="CB38" i="1"/>
  <c r="CA38" i="1"/>
  <c r="BZ38" i="1"/>
  <c r="BG38" i="1"/>
  <c r="BF38" i="1"/>
  <c r="BE38" i="1"/>
  <c r="BD38" i="1"/>
  <c r="BC38" i="1"/>
  <c r="BB38" i="1"/>
  <c r="BA38" i="1"/>
  <c r="AZ38" i="1"/>
  <c r="AY38" i="1"/>
  <c r="AR38" i="1"/>
  <c r="AQ38" i="1"/>
  <c r="CH37" i="1"/>
  <c r="CE37" i="1"/>
  <c r="CD37" i="1"/>
  <c r="CB37" i="1"/>
  <c r="CA37" i="1"/>
  <c r="BZ37" i="1"/>
  <c r="BG37" i="1"/>
  <c r="BF37" i="1"/>
  <c r="BE37" i="1"/>
  <c r="BD37" i="1"/>
  <c r="BC37" i="1"/>
  <c r="BB37" i="1"/>
  <c r="BA37" i="1"/>
  <c r="AZ37" i="1"/>
  <c r="AY37" i="1"/>
  <c r="AR37" i="1"/>
  <c r="AQ37" i="1"/>
  <c r="CH36" i="1"/>
  <c r="CE36" i="1"/>
  <c r="CD36" i="1"/>
  <c r="CA36" i="1"/>
  <c r="BZ36" i="1"/>
  <c r="CB36" i="1" s="1"/>
  <c r="CF36" i="1" s="1"/>
  <c r="BG36" i="1"/>
  <c r="BF36" i="1"/>
  <c r="BE36" i="1"/>
  <c r="BD36" i="1"/>
  <c r="BC36" i="1"/>
  <c r="BB36" i="1"/>
  <c r="BA36" i="1"/>
  <c r="AZ36" i="1"/>
  <c r="AY36" i="1"/>
  <c r="AR36" i="1"/>
  <c r="AQ36" i="1"/>
  <c r="CI35" i="1"/>
  <c r="CK35" i="1" s="1"/>
  <c r="CH35" i="1"/>
  <c r="CG35" i="1"/>
  <c r="M35" i="1" s="1"/>
  <c r="CF35" i="1"/>
  <c r="N35" i="1" s="1"/>
  <c r="CE35" i="1"/>
  <c r="BK35" i="1" s="1"/>
  <c r="BM35" i="1" s="1"/>
  <c r="CD35" i="1"/>
  <c r="CA35" i="1"/>
  <c r="BZ35" i="1"/>
  <c r="CB35" i="1" s="1"/>
  <c r="BS35" i="1"/>
  <c r="BQ35" i="1"/>
  <c r="BH35" i="1"/>
  <c r="BG35" i="1"/>
  <c r="BF35" i="1"/>
  <c r="BE35" i="1"/>
  <c r="BD35" i="1"/>
  <c r="BC35" i="1"/>
  <c r="BB35" i="1"/>
  <c r="BA35" i="1"/>
  <c r="AZ35" i="1"/>
  <c r="AY35" i="1"/>
  <c r="AR35" i="1"/>
  <c r="AQ35" i="1"/>
  <c r="CH34" i="1"/>
  <c r="CG34" i="1" s="1"/>
  <c r="M34" i="1" s="1"/>
  <c r="CE34" i="1"/>
  <c r="CD34" i="1"/>
  <c r="CA34" i="1"/>
  <c r="BZ34" i="1"/>
  <c r="CB34" i="1" s="1"/>
  <c r="BG34" i="1"/>
  <c r="J34" i="3" s="1"/>
  <c r="BF34" i="1"/>
  <c r="BE34" i="1"/>
  <c r="BD34" i="1"/>
  <c r="BC34" i="1"/>
  <c r="BB34" i="1"/>
  <c r="BA34" i="1"/>
  <c r="AZ34" i="1"/>
  <c r="AY34" i="1"/>
  <c r="AR34" i="1"/>
  <c r="AQ34" i="1"/>
  <c r="CH33" i="1"/>
  <c r="CE33" i="1"/>
  <c r="CD33" i="1"/>
  <c r="CA33" i="1"/>
  <c r="BZ33" i="1"/>
  <c r="CB33" i="1" s="1"/>
  <c r="BG33" i="1"/>
  <c r="BF33" i="1"/>
  <c r="BE33" i="1"/>
  <c r="BD33" i="1"/>
  <c r="BC33" i="1"/>
  <c r="BB33" i="1"/>
  <c r="BA33" i="1"/>
  <c r="AZ33" i="1"/>
  <c r="AY33" i="1"/>
  <c r="AR33" i="1"/>
  <c r="AQ33" i="1"/>
  <c r="CH32" i="1"/>
  <c r="CE32" i="1"/>
  <c r="CD32" i="1"/>
  <c r="CB32" i="1"/>
  <c r="CA32" i="1"/>
  <c r="BZ32" i="1"/>
  <c r="BG32" i="1"/>
  <c r="BF32" i="1"/>
  <c r="BE32" i="1"/>
  <c r="BD32" i="1"/>
  <c r="BC32" i="1"/>
  <c r="BB32" i="1"/>
  <c r="BA32" i="1"/>
  <c r="AZ32" i="1"/>
  <c r="AY32" i="1"/>
  <c r="AR32" i="1"/>
  <c r="AQ32" i="1"/>
  <c r="CH31" i="1"/>
  <c r="CE31" i="1"/>
  <c r="CD31" i="1"/>
  <c r="CA31" i="1"/>
  <c r="CB31" i="1" s="1"/>
  <c r="BZ31" i="1"/>
  <c r="BG31" i="1"/>
  <c r="BF31" i="1"/>
  <c r="BE31" i="1"/>
  <c r="BD31" i="1"/>
  <c r="BC31" i="1"/>
  <c r="BB31" i="1"/>
  <c r="BA31" i="1"/>
  <c r="AZ31" i="1"/>
  <c r="AY31" i="1"/>
  <c r="AR31" i="1"/>
  <c r="AQ31" i="1"/>
  <c r="CH30" i="1"/>
  <c r="CE30" i="1"/>
  <c r="CD30" i="1"/>
  <c r="CA30" i="1"/>
  <c r="CB30" i="1" s="1"/>
  <c r="CG30" i="1" s="1"/>
  <c r="M30" i="1" s="1"/>
  <c r="BO30" i="1" s="1"/>
  <c r="BZ30" i="1"/>
  <c r="BG30" i="1"/>
  <c r="BF30" i="1"/>
  <c r="BE30" i="1"/>
  <c r="BD30" i="1"/>
  <c r="BC30" i="1"/>
  <c r="BB30" i="1"/>
  <c r="BA30" i="1"/>
  <c r="AZ30" i="1"/>
  <c r="AY30" i="1"/>
  <c r="AR30" i="1"/>
  <c r="AQ30" i="1"/>
  <c r="CH29" i="1"/>
  <c r="CF29" i="1"/>
  <c r="N29" i="1" s="1"/>
  <c r="CE29" i="1"/>
  <c r="CD29" i="1"/>
  <c r="CB29" i="1"/>
  <c r="CA29" i="1"/>
  <c r="BZ29" i="1"/>
  <c r="BG29" i="1"/>
  <c r="BF29" i="1"/>
  <c r="BE29" i="1"/>
  <c r="BD29" i="1"/>
  <c r="G29" i="3" s="1"/>
  <c r="BC29" i="1"/>
  <c r="BB29" i="1"/>
  <c r="BA29" i="1"/>
  <c r="AZ29" i="1"/>
  <c r="AY29" i="1"/>
  <c r="AR29" i="1"/>
  <c r="AQ29" i="1"/>
  <c r="CH28" i="1"/>
  <c r="CE28" i="1"/>
  <c r="CD28" i="1"/>
  <c r="CG28" i="1" s="1"/>
  <c r="M28" i="1" s="1"/>
  <c r="CA28" i="1"/>
  <c r="BZ28" i="1"/>
  <c r="CB28" i="1" s="1"/>
  <c r="BG28" i="1"/>
  <c r="BF28" i="1"/>
  <c r="BE28" i="1"/>
  <c r="BD28" i="1"/>
  <c r="BC28" i="1"/>
  <c r="BB28" i="1"/>
  <c r="BA28" i="1"/>
  <c r="AZ28" i="1"/>
  <c r="AY28" i="1"/>
  <c r="AR28" i="1"/>
  <c r="AQ28" i="1"/>
  <c r="CH27" i="1"/>
  <c r="CE27" i="1"/>
  <c r="CD27" i="1"/>
  <c r="CA27" i="1"/>
  <c r="BZ27" i="1"/>
  <c r="CB27" i="1" s="1"/>
  <c r="BG27" i="1"/>
  <c r="BF27" i="1"/>
  <c r="BE27" i="1"/>
  <c r="BD27" i="1"/>
  <c r="BC27" i="1"/>
  <c r="BB27" i="1"/>
  <c r="BA27" i="1"/>
  <c r="AZ27" i="1"/>
  <c r="AY27" i="1"/>
  <c r="AR27" i="1"/>
  <c r="AQ27" i="1"/>
  <c r="CH26" i="1"/>
  <c r="CE26" i="1"/>
  <c r="CD26" i="1"/>
  <c r="CA26" i="1"/>
  <c r="BZ26" i="1"/>
  <c r="BG26" i="1"/>
  <c r="J26" i="3" s="1"/>
  <c r="BF26" i="1"/>
  <c r="BE26" i="1"/>
  <c r="BD26" i="1"/>
  <c r="BC26" i="1"/>
  <c r="BB26" i="1"/>
  <c r="BA26" i="1"/>
  <c r="AZ26" i="1"/>
  <c r="AY26" i="1"/>
  <c r="B26" i="3" s="1"/>
  <c r="AR26" i="1"/>
  <c r="AQ26" i="1"/>
  <c r="CH25" i="1"/>
  <c r="CE25" i="1"/>
  <c r="CD25" i="1"/>
  <c r="CA25" i="1"/>
  <c r="BZ25" i="1"/>
  <c r="CB25" i="1" s="1"/>
  <c r="BG25" i="1"/>
  <c r="BF25" i="1"/>
  <c r="BE25" i="1"/>
  <c r="BD25" i="1"/>
  <c r="BC25" i="1"/>
  <c r="BB25" i="1"/>
  <c r="BA25" i="1"/>
  <c r="AZ25" i="1"/>
  <c r="AY25" i="1"/>
  <c r="AR25" i="1"/>
  <c r="AQ25" i="1"/>
  <c r="CH24" i="1"/>
  <c r="CE24" i="1"/>
  <c r="CD24" i="1"/>
  <c r="CA24" i="1"/>
  <c r="BZ24" i="1"/>
  <c r="CB24" i="1" s="1"/>
  <c r="BG24" i="1"/>
  <c r="BF24" i="1"/>
  <c r="BE24" i="1"/>
  <c r="BD24" i="1"/>
  <c r="BC24" i="1"/>
  <c r="BB24" i="1"/>
  <c r="BA24" i="1"/>
  <c r="AZ24" i="1"/>
  <c r="AY24" i="1"/>
  <c r="AR24" i="1"/>
  <c r="AQ24" i="1"/>
  <c r="CH23" i="1"/>
  <c r="CE23" i="1"/>
  <c r="CD23" i="1"/>
  <c r="CA23" i="1"/>
  <c r="BZ23" i="1"/>
  <c r="CB23" i="1" s="1"/>
  <c r="BG23" i="1"/>
  <c r="BF23" i="1"/>
  <c r="BE23" i="1"/>
  <c r="BD23" i="1"/>
  <c r="BC23" i="1"/>
  <c r="BB23" i="1"/>
  <c r="BA23" i="1"/>
  <c r="AZ23" i="1"/>
  <c r="AY23" i="1"/>
  <c r="AR23" i="1"/>
  <c r="AQ23" i="1"/>
  <c r="CH22" i="1"/>
  <c r="CE22" i="1"/>
  <c r="CD22" i="1"/>
  <c r="CB22" i="1"/>
  <c r="CG22" i="1" s="1"/>
  <c r="M22" i="1" s="1"/>
  <c r="BO22" i="1" s="1"/>
  <c r="CA22" i="1"/>
  <c r="BZ22" i="1"/>
  <c r="BG22" i="1"/>
  <c r="BF22" i="1"/>
  <c r="BE22" i="1"/>
  <c r="BD22" i="1"/>
  <c r="BC22" i="1"/>
  <c r="BB22" i="1"/>
  <c r="BA22" i="1"/>
  <c r="AZ22" i="1"/>
  <c r="AY22" i="1"/>
  <c r="AR22" i="1"/>
  <c r="AQ22" i="1"/>
  <c r="CH21" i="1"/>
  <c r="CG21" i="1"/>
  <c r="M21" i="1" s="1"/>
  <c r="BR21" i="1" s="1"/>
  <c r="CF21" i="1"/>
  <c r="BH21" i="1" s="1"/>
  <c r="CE21" i="1"/>
  <c r="CD21" i="1"/>
  <c r="CA21" i="1"/>
  <c r="BZ21" i="1"/>
  <c r="CB21" i="1" s="1"/>
  <c r="BI21" i="1"/>
  <c r="BG21" i="1"/>
  <c r="BF21" i="1"/>
  <c r="BE21" i="1"/>
  <c r="H21" i="3" s="1"/>
  <c r="BD21" i="1"/>
  <c r="G21" i="3" s="1"/>
  <c r="BC21" i="1"/>
  <c r="BB21" i="1"/>
  <c r="BA21" i="1"/>
  <c r="AZ21" i="1"/>
  <c r="AY21" i="1"/>
  <c r="AR21" i="1"/>
  <c r="AQ21" i="1"/>
  <c r="CH20" i="1"/>
  <c r="CE20" i="1"/>
  <c r="CD20" i="1"/>
  <c r="CA20" i="1"/>
  <c r="BZ20" i="1"/>
  <c r="BG20" i="1"/>
  <c r="BF20" i="1"/>
  <c r="BE20" i="1"/>
  <c r="BD20" i="1"/>
  <c r="BC20" i="1"/>
  <c r="BB20" i="1"/>
  <c r="E20" i="3" s="1"/>
  <c r="BA20" i="1"/>
  <c r="AZ20" i="1"/>
  <c r="AY20" i="1"/>
  <c r="AR20" i="1"/>
  <c r="AQ20" i="1"/>
  <c r="CH19" i="1"/>
  <c r="CG19" i="1"/>
  <c r="M19" i="1" s="1"/>
  <c r="CF19" i="1"/>
  <c r="N19" i="1" s="1"/>
  <c r="CE19" i="1"/>
  <c r="BN19" i="1" s="1"/>
  <c r="CD19" i="1"/>
  <c r="CA19" i="1"/>
  <c r="BZ19" i="1"/>
  <c r="CB19" i="1" s="1"/>
  <c r="BQ19" i="1"/>
  <c r="BS19" i="1" s="1"/>
  <c r="BK19" i="1"/>
  <c r="BM19" i="1" s="1"/>
  <c r="BI19" i="1"/>
  <c r="K19" i="2" s="1"/>
  <c r="BH19" i="1"/>
  <c r="M19" i="2" s="1"/>
  <c r="BG19" i="1"/>
  <c r="BF19" i="1"/>
  <c r="BE19" i="1"/>
  <c r="BD19" i="1"/>
  <c r="BC19" i="1"/>
  <c r="BB19" i="1"/>
  <c r="BA19" i="1"/>
  <c r="AZ19" i="1"/>
  <c r="AY19" i="1"/>
  <c r="AR19" i="1"/>
  <c r="AQ19" i="1"/>
  <c r="CH18" i="1"/>
  <c r="CE18" i="1"/>
  <c r="CD18" i="1"/>
  <c r="CA18" i="1"/>
  <c r="BZ18" i="1"/>
  <c r="CB18" i="1" s="1"/>
  <c r="CG18" i="1" s="1"/>
  <c r="M18" i="1" s="1"/>
  <c r="BG18" i="1"/>
  <c r="BF18" i="1"/>
  <c r="BE18" i="1"/>
  <c r="BD18" i="1"/>
  <c r="BC18" i="1"/>
  <c r="BB18" i="1"/>
  <c r="BA18" i="1"/>
  <c r="AZ18" i="1"/>
  <c r="AY18" i="1"/>
  <c r="AR18" i="1"/>
  <c r="AQ18" i="1"/>
  <c r="CH17" i="1"/>
  <c r="CE17" i="1"/>
  <c r="CD17" i="1"/>
  <c r="CB17" i="1"/>
  <c r="CA17" i="1"/>
  <c r="BZ17" i="1"/>
  <c r="BG17" i="1"/>
  <c r="BF17" i="1"/>
  <c r="BE17" i="1"/>
  <c r="BD17" i="1"/>
  <c r="BC17" i="1"/>
  <c r="BB17" i="1"/>
  <c r="BA17" i="1"/>
  <c r="AZ17" i="1"/>
  <c r="AY17" i="1"/>
  <c r="AR17" i="1"/>
  <c r="AQ17" i="1"/>
  <c r="CH16" i="1"/>
  <c r="CE16" i="1"/>
  <c r="CD16" i="1"/>
  <c r="CA16" i="1"/>
  <c r="BZ16" i="1"/>
  <c r="CB16" i="1" s="1"/>
  <c r="BG16" i="1"/>
  <c r="BF16" i="1"/>
  <c r="BE16" i="1"/>
  <c r="BD16" i="1"/>
  <c r="BC16" i="1"/>
  <c r="BB16" i="1"/>
  <c r="BA16" i="1"/>
  <c r="AZ16" i="1"/>
  <c r="AY16" i="1"/>
  <c r="AR16" i="1"/>
  <c r="AQ16" i="1"/>
  <c r="CH15" i="1"/>
  <c r="CE15" i="1"/>
  <c r="CD15" i="1"/>
  <c r="CA15" i="1"/>
  <c r="BZ15" i="1"/>
  <c r="CB15" i="1" s="1"/>
  <c r="CF15" i="1" s="1"/>
  <c r="BQ15" i="1"/>
  <c r="BS15" i="1" s="1"/>
  <c r="BG15" i="1"/>
  <c r="BF15" i="1"/>
  <c r="BE15" i="1"/>
  <c r="BD15" i="1"/>
  <c r="BC15" i="1"/>
  <c r="BB15" i="1"/>
  <c r="BA15" i="1"/>
  <c r="AZ15" i="1"/>
  <c r="AY15" i="1"/>
  <c r="AR15" i="1"/>
  <c r="AQ15" i="1"/>
  <c r="CH14" i="1"/>
  <c r="CE14" i="1"/>
  <c r="CD14" i="1"/>
  <c r="CB14" i="1"/>
  <c r="CA14" i="1"/>
  <c r="BZ14" i="1"/>
  <c r="BG14" i="1"/>
  <c r="BF14" i="1"/>
  <c r="BE14" i="1"/>
  <c r="BD14" i="1"/>
  <c r="BC14" i="1"/>
  <c r="BB14" i="1"/>
  <c r="BA14" i="1"/>
  <c r="AZ14" i="1"/>
  <c r="AY14" i="1"/>
  <c r="AR14" i="1"/>
  <c r="AQ14" i="1"/>
  <c r="CH13" i="1"/>
  <c r="CE13" i="1"/>
  <c r="CD13" i="1"/>
  <c r="CB13" i="1"/>
  <c r="CA13" i="1"/>
  <c r="BZ13" i="1"/>
  <c r="BG13" i="1"/>
  <c r="BF13" i="1"/>
  <c r="BE13" i="1"/>
  <c r="BD13" i="1"/>
  <c r="G13" i="3" s="1"/>
  <c r="BC13" i="1"/>
  <c r="F13" i="3" s="1"/>
  <c r="BB13" i="1"/>
  <c r="BA13" i="1"/>
  <c r="AZ13" i="1"/>
  <c r="AY13" i="1"/>
  <c r="AR13" i="1"/>
  <c r="AQ13" i="1"/>
  <c r="CH12" i="1"/>
  <c r="CE12" i="1"/>
  <c r="CD12" i="1"/>
  <c r="CB12" i="1"/>
  <c r="CA12" i="1"/>
  <c r="BZ12" i="1"/>
  <c r="BG12" i="1"/>
  <c r="BF12" i="1"/>
  <c r="BE12" i="1"/>
  <c r="BD12" i="1"/>
  <c r="BC12" i="1"/>
  <c r="BB12" i="1"/>
  <c r="BA12" i="1"/>
  <c r="AZ12" i="1"/>
  <c r="AY12" i="1"/>
  <c r="AR12" i="1"/>
  <c r="AQ12" i="1"/>
  <c r="CH11" i="1"/>
  <c r="CE11" i="1"/>
  <c r="CD11" i="1"/>
  <c r="CA11" i="1"/>
  <c r="BZ11" i="1"/>
  <c r="CB11" i="1" s="1"/>
  <c r="BG11" i="1"/>
  <c r="BF11" i="1"/>
  <c r="BE11" i="1"/>
  <c r="BD11" i="1"/>
  <c r="BC11" i="1"/>
  <c r="BB11" i="1"/>
  <c r="BA11" i="1"/>
  <c r="AZ11" i="1"/>
  <c r="AY11" i="1"/>
  <c r="AR11" i="1"/>
  <c r="AQ11" i="1"/>
  <c r="CH10" i="1"/>
  <c r="CG10" i="1"/>
  <c r="M10" i="1" s="1"/>
  <c r="BO10" i="1" s="1"/>
  <c r="K10" i="3" s="1"/>
  <c r="CF10" i="1"/>
  <c r="CE10" i="1"/>
  <c r="BN10" i="1" s="1"/>
  <c r="CD10" i="1"/>
  <c r="CA10" i="1"/>
  <c r="BZ10" i="1"/>
  <c r="CB10" i="1" s="1"/>
  <c r="BQ10" i="1"/>
  <c r="BS10" i="1" s="1"/>
  <c r="BK10" i="1"/>
  <c r="BM10" i="1" s="1"/>
  <c r="BI10" i="1"/>
  <c r="K10" i="2" s="1"/>
  <c r="BG10" i="1"/>
  <c r="BF10" i="1"/>
  <c r="BE10" i="1"/>
  <c r="BD10" i="1"/>
  <c r="BC10" i="1"/>
  <c r="BB10" i="1"/>
  <c r="BA10" i="1"/>
  <c r="AZ10" i="1"/>
  <c r="AY10" i="1"/>
  <c r="AR10" i="1"/>
  <c r="AQ10" i="1"/>
  <c r="CH9" i="1"/>
  <c r="CE9" i="1"/>
  <c r="CD9" i="1"/>
  <c r="CA9" i="1"/>
  <c r="BZ9" i="1"/>
  <c r="CB9" i="1" s="1"/>
  <c r="CF9" i="1" s="1"/>
  <c r="BG9" i="1"/>
  <c r="BF9" i="1"/>
  <c r="BE9" i="1"/>
  <c r="BD9" i="1"/>
  <c r="BC9" i="1"/>
  <c r="BB9" i="1"/>
  <c r="BA9" i="1"/>
  <c r="AZ9" i="1"/>
  <c r="AY9" i="1"/>
  <c r="AR9" i="1"/>
  <c r="AQ9" i="1"/>
  <c r="CH8" i="1"/>
  <c r="CE8" i="1"/>
  <c r="CD8" i="1"/>
  <c r="CA8" i="1"/>
  <c r="BZ8" i="1"/>
  <c r="CB8" i="1" s="1"/>
  <c r="BG8" i="1"/>
  <c r="BF8" i="1"/>
  <c r="BE8" i="1"/>
  <c r="BD8" i="1"/>
  <c r="BC8" i="1"/>
  <c r="BB8" i="1"/>
  <c r="BA8" i="1"/>
  <c r="AZ8" i="1"/>
  <c r="AY8" i="1"/>
  <c r="AR8" i="1"/>
  <c r="AQ8" i="1"/>
  <c r="CH7" i="1"/>
  <c r="CE7" i="1"/>
  <c r="CD7" i="1"/>
  <c r="CA7" i="1"/>
  <c r="BZ7" i="1"/>
  <c r="CB7" i="1" s="1"/>
  <c r="BG7" i="1"/>
  <c r="BF7" i="1"/>
  <c r="BE7" i="1"/>
  <c r="BD7" i="1"/>
  <c r="BC7" i="1"/>
  <c r="BB7" i="1"/>
  <c r="BA7" i="1"/>
  <c r="AZ7" i="1"/>
  <c r="AY7" i="1"/>
  <c r="AR7" i="1"/>
  <c r="AQ7" i="1"/>
  <c r="CH6" i="1"/>
  <c r="CE6" i="1"/>
  <c r="CD6" i="1"/>
  <c r="CB6" i="1"/>
  <c r="CA6" i="1"/>
  <c r="BZ6" i="1"/>
  <c r="BG6" i="1"/>
  <c r="BF6" i="1"/>
  <c r="BE6" i="1"/>
  <c r="BD6" i="1"/>
  <c r="BC6" i="1"/>
  <c r="BB6" i="1"/>
  <c r="BA6" i="1"/>
  <c r="AZ6" i="1"/>
  <c r="AY6" i="1"/>
  <c r="AR6" i="1"/>
  <c r="AQ6" i="1"/>
  <c r="CH5" i="1"/>
  <c r="CE5" i="1"/>
  <c r="CD5" i="1"/>
  <c r="CB5" i="1"/>
  <c r="CG5" i="1" s="1"/>
  <c r="M5" i="1" s="1"/>
  <c r="BI5" i="1" s="1"/>
  <c r="CA5" i="1"/>
  <c r="BZ5" i="1"/>
  <c r="BG5" i="1"/>
  <c r="BF5" i="1"/>
  <c r="BE5" i="1"/>
  <c r="BD5" i="1"/>
  <c r="BC5" i="1"/>
  <c r="BB5" i="1"/>
  <c r="BA5" i="1"/>
  <c r="AZ5" i="1"/>
  <c r="AY5" i="1"/>
  <c r="AR5" i="1"/>
  <c r="AQ5" i="1"/>
  <c r="CH4" i="1"/>
  <c r="CG4" i="1"/>
  <c r="M4" i="1" s="1"/>
  <c r="BL4" i="1" s="1"/>
  <c r="CF4" i="1"/>
  <c r="N4" i="1" s="1"/>
  <c r="CE4" i="1"/>
  <c r="CD4" i="1"/>
  <c r="CB4" i="1"/>
  <c r="CA4" i="1"/>
  <c r="BZ4" i="1"/>
  <c r="BG4" i="1"/>
  <c r="BF4" i="1"/>
  <c r="BE4" i="1"/>
  <c r="BD4" i="1"/>
  <c r="G4" i="3" s="1"/>
  <c r="BC4" i="1"/>
  <c r="BB4" i="1"/>
  <c r="BA4" i="1"/>
  <c r="AZ4" i="1"/>
  <c r="AY4" i="1"/>
  <c r="AR4" i="1"/>
  <c r="AQ4" i="1"/>
  <c r="CH3" i="1"/>
  <c r="CE3" i="1"/>
  <c r="CD3" i="1"/>
  <c r="CA3" i="1"/>
  <c r="BZ3" i="1"/>
  <c r="CB3" i="1" s="1"/>
  <c r="CG3" i="1" s="1"/>
  <c r="M3" i="1" s="1"/>
  <c r="BG3" i="1"/>
  <c r="BF3" i="1"/>
  <c r="I3" i="3" s="1"/>
  <c r="BE3" i="1"/>
  <c r="H3" i="3" s="1"/>
  <c r="BD3" i="1"/>
  <c r="BC3" i="1"/>
  <c r="BB3" i="1"/>
  <c r="BA3" i="1"/>
  <c r="AZ3" i="1"/>
  <c r="AY3" i="1"/>
  <c r="AR3" i="1"/>
  <c r="AQ3" i="1"/>
  <c r="CF33" i="1" l="1"/>
  <c r="CG33" i="1"/>
  <c r="M33" i="1" s="1"/>
  <c r="K5" i="2"/>
  <c r="CG7" i="1"/>
  <c r="M7" i="1" s="1"/>
  <c r="CF7" i="1"/>
  <c r="CG8" i="1"/>
  <c r="M8" i="1" s="1"/>
  <c r="CF8" i="1"/>
  <c r="CG16" i="1"/>
  <c r="M16" i="1" s="1"/>
  <c r="CF16" i="1"/>
  <c r="BL28" i="1"/>
  <c r="BI28" i="1"/>
  <c r="BR28" i="1"/>
  <c r="BO28" i="1"/>
  <c r="CG31" i="1"/>
  <c r="M31" i="1" s="1"/>
  <c r="CF31" i="1"/>
  <c r="BO3" i="1"/>
  <c r="BL3" i="1"/>
  <c r="BR3" i="1"/>
  <c r="BI3" i="1"/>
  <c r="K30" i="3"/>
  <c r="CI7" i="1"/>
  <c r="CK7" i="1" s="1"/>
  <c r="BO18" i="1"/>
  <c r="BL18" i="1"/>
  <c r="BR18" i="1"/>
  <c r="BI18" i="1"/>
  <c r="BO34" i="1"/>
  <c r="BL34" i="1"/>
  <c r="BR34" i="1"/>
  <c r="BI34" i="1"/>
  <c r="M21" i="2"/>
  <c r="BJ21" i="1"/>
  <c r="L21" i="2" s="1"/>
  <c r="K22" i="3"/>
  <c r="B7" i="2"/>
  <c r="B7" i="3"/>
  <c r="J12" i="2"/>
  <c r="J12" i="3"/>
  <c r="B14" i="3"/>
  <c r="B14" i="2"/>
  <c r="H17" i="3"/>
  <c r="H17" i="2"/>
  <c r="A32" i="3"/>
  <c r="A32" i="2"/>
  <c r="A38" i="3"/>
  <c r="A38" i="2"/>
  <c r="BQ9" i="1"/>
  <c r="BS9" i="1" s="1"/>
  <c r="N9" i="1"/>
  <c r="CF11" i="1"/>
  <c r="F20" i="3"/>
  <c r="F20" i="2"/>
  <c r="B46" i="3"/>
  <c r="B46" i="2"/>
  <c r="CG11" i="1"/>
  <c r="M11" i="1" s="1"/>
  <c r="BJ19" i="1"/>
  <c r="L19" i="2" s="1"/>
  <c r="H30" i="3"/>
  <c r="H30" i="2"/>
  <c r="N36" i="1"/>
  <c r="BK36" i="1"/>
  <c r="BM36" i="1" s="1"/>
  <c r="J38" i="3"/>
  <c r="J38" i="2"/>
  <c r="BI41" i="1"/>
  <c r="BO41" i="1"/>
  <c r="BR41" i="1"/>
  <c r="AW41" i="1" s="1"/>
  <c r="D42" i="2"/>
  <c r="D42" i="3"/>
  <c r="BO43" i="1"/>
  <c r="BI43" i="1"/>
  <c r="B45" i="3"/>
  <c r="B45" i="2"/>
  <c r="CG47" i="1"/>
  <c r="M47" i="1" s="1"/>
  <c r="CF47" i="1"/>
  <c r="E49" i="3"/>
  <c r="E49" i="2"/>
  <c r="CG58" i="1"/>
  <c r="M58" i="1" s="1"/>
  <c r="CF58" i="1"/>
  <c r="N58" i="1" s="1"/>
  <c r="F3" i="3"/>
  <c r="F3" i="2"/>
  <c r="B4" i="3"/>
  <c r="B4" i="2"/>
  <c r="J4" i="3"/>
  <c r="J4" i="2"/>
  <c r="I6" i="2"/>
  <c r="I6" i="3"/>
  <c r="A7" i="2"/>
  <c r="A7" i="3"/>
  <c r="BN7" i="1"/>
  <c r="H8" i="3"/>
  <c r="H8" i="2"/>
  <c r="F10" i="3"/>
  <c r="F10" i="2"/>
  <c r="BL10" i="1"/>
  <c r="AT10" i="1" s="1"/>
  <c r="BH10" i="1"/>
  <c r="N10" i="1"/>
  <c r="E12" i="3"/>
  <c r="E12" i="2"/>
  <c r="BN12" i="1"/>
  <c r="C17" i="3"/>
  <c r="C17" i="2"/>
  <c r="B18" i="3"/>
  <c r="B18" i="2"/>
  <c r="J18" i="3"/>
  <c r="J18" i="2"/>
  <c r="F19" i="3"/>
  <c r="F19" i="2"/>
  <c r="H20" i="3"/>
  <c r="H20" i="2"/>
  <c r="CB20" i="1"/>
  <c r="A21" i="3"/>
  <c r="A21" i="2"/>
  <c r="CI21" i="1"/>
  <c r="CK21" i="1" s="1"/>
  <c r="I24" i="3"/>
  <c r="I24" i="2"/>
  <c r="G25" i="3"/>
  <c r="G25" i="2"/>
  <c r="CF25" i="1"/>
  <c r="E26" i="2"/>
  <c r="E26" i="3"/>
  <c r="BK29" i="1"/>
  <c r="BM29" i="1" s="1"/>
  <c r="I30" i="3"/>
  <c r="I30" i="2"/>
  <c r="I31" i="3"/>
  <c r="I31" i="2"/>
  <c r="B32" i="3"/>
  <c r="B32" i="2"/>
  <c r="J32" i="2"/>
  <c r="J32" i="3"/>
  <c r="B37" i="3"/>
  <c r="B37" i="2"/>
  <c r="J37" i="3"/>
  <c r="J37" i="2"/>
  <c r="C38" i="3"/>
  <c r="C38" i="2"/>
  <c r="A40" i="3"/>
  <c r="A40" i="2"/>
  <c r="F40" i="3"/>
  <c r="F40" i="2"/>
  <c r="E41" i="3"/>
  <c r="E41" i="2"/>
  <c r="E42" i="3"/>
  <c r="E42" i="2"/>
  <c r="D46" i="3"/>
  <c r="D46" i="2"/>
  <c r="G47" i="3"/>
  <c r="G47" i="2"/>
  <c r="F49" i="3"/>
  <c r="F49" i="2"/>
  <c r="CF49" i="1"/>
  <c r="BO51" i="1"/>
  <c r="BL51" i="1"/>
  <c r="BI51" i="1"/>
  <c r="F54" i="3"/>
  <c r="F54" i="2"/>
  <c r="CG55" i="1"/>
  <c r="M55" i="1" s="1"/>
  <c r="CF55" i="1"/>
  <c r="E62" i="3"/>
  <c r="E62" i="2"/>
  <c r="J7" i="3"/>
  <c r="J7" i="2"/>
  <c r="H22" i="3"/>
  <c r="H22" i="2"/>
  <c r="F24" i="3"/>
  <c r="F24" i="2"/>
  <c r="BN28" i="1"/>
  <c r="CG32" i="1"/>
  <c r="M32" i="1" s="1"/>
  <c r="CF32" i="1"/>
  <c r="CI32" i="1" s="1"/>
  <c r="CK32" i="1" s="1"/>
  <c r="C5" i="3"/>
  <c r="C5" i="2"/>
  <c r="D10" i="3"/>
  <c r="D10" i="2"/>
  <c r="I17" i="3"/>
  <c r="I17" i="2"/>
  <c r="I22" i="2"/>
  <c r="I22" i="3"/>
  <c r="I29" i="3"/>
  <c r="I29" i="2"/>
  <c r="C39" i="2"/>
  <c r="C39" i="3"/>
  <c r="J46" i="3"/>
  <c r="J46" i="2"/>
  <c r="G57" i="3"/>
  <c r="G57" i="2"/>
  <c r="CF62" i="1"/>
  <c r="CG62" i="1"/>
  <c r="M62" i="1" s="1"/>
  <c r="CG65" i="1"/>
  <c r="M65" i="1" s="1"/>
  <c r="CF65" i="1"/>
  <c r="E3" i="3"/>
  <c r="E3" i="2"/>
  <c r="E10" i="3"/>
  <c r="E10" i="2"/>
  <c r="D12" i="3"/>
  <c r="D12" i="2"/>
  <c r="D14" i="3"/>
  <c r="D14" i="2"/>
  <c r="BN14" i="1"/>
  <c r="F25" i="3"/>
  <c r="F25" i="2"/>
  <c r="CF27" i="1"/>
  <c r="N27" i="1" s="1"/>
  <c r="CF28" i="1"/>
  <c r="N28" i="1" s="1"/>
  <c r="H31" i="3"/>
  <c r="H31" i="2"/>
  <c r="B38" i="3"/>
  <c r="B38" i="2"/>
  <c r="C4" i="3"/>
  <c r="C4" i="2"/>
  <c r="A5" i="2"/>
  <c r="A5" i="3"/>
  <c r="B6" i="3"/>
  <c r="B6" i="2"/>
  <c r="J6" i="3"/>
  <c r="J6" i="2"/>
  <c r="I8" i="3"/>
  <c r="I8" i="2"/>
  <c r="BK12" i="1"/>
  <c r="BM12" i="1" s="1"/>
  <c r="CF14" i="1"/>
  <c r="CI14" i="1" s="1"/>
  <c r="CK14" i="1" s="1"/>
  <c r="BO19" i="1"/>
  <c r="BL19" i="1"/>
  <c r="AT19" i="1" s="1"/>
  <c r="H25" i="3"/>
  <c r="H25" i="2"/>
  <c r="J30" i="3"/>
  <c r="J30" i="2"/>
  <c r="J31" i="2"/>
  <c r="J31" i="3"/>
  <c r="C35" i="3"/>
  <c r="C35" i="2"/>
  <c r="J36" i="3"/>
  <c r="J36" i="2"/>
  <c r="F42" i="3"/>
  <c r="F42" i="2"/>
  <c r="D4" i="3"/>
  <c r="D4" i="2"/>
  <c r="C6" i="3"/>
  <c r="C6" i="2"/>
  <c r="BQ6" i="1"/>
  <c r="BS6" i="1" s="1"/>
  <c r="G7" i="3"/>
  <c r="G7" i="2"/>
  <c r="E9" i="3"/>
  <c r="E9" i="2"/>
  <c r="CG9" i="1"/>
  <c r="M9" i="1" s="1"/>
  <c r="BR10" i="1"/>
  <c r="AW10" i="1" s="1"/>
  <c r="C11" i="3"/>
  <c r="C11" i="2"/>
  <c r="BH11" i="1"/>
  <c r="CF12" i="1"/>
  <c r="B13" i="3"/>
  <c r="B13" i="2"/>
  <c r="J13" i="3"/>
  <c r="J13" i="2"/>
  <c r="A14" i="3"/>
  <c r="A14" i="2"/>
  <c r="BQ14" i="1"/>
  <c r="BS14" i="1" s="1"/>
  <c r="CG14" i="1"/>
  <c r="M14" i="1" s="1"/>
  <c r="D15" i="3"/>
  <c r="D15" i="2"/>
  <c r="G16" i="3"/>
  <c r="G16" i="2"/>
  <c r="CG17" i="1"/>
  <c r="M17" i="1" s="1"/>
  <c r="D18" i="3"/>
  <c r="D18" i="2"/>
  <c r="BR19" i="1"/>
  <c r="AW19" i="1" s="1"/>
  <c r="I21" i="3"/>
  <c r="I21" i="2"/>
  <c r="I25" i="3"/>
  <c r="I25" i="2"/>
  <c r="G26" i="3"/>
  <c r="G26" i="2"/>
  <c r="F27" i="3"/>
  <c r="F27" i="2"/>
  <c r="F28" i="3"/>
  <c r="F28" i="2"/>
  <c r="BQ29" i="1"/>
  <c r="BS29" i="1" s="1"/>
  <c r="CG29" i="1"/>
  <c r="M29" i="1" s="1"/>
  <c r="C31" i="3"/>
  <c r="C31" i="2"/>
  <c r="C36" i="3"/>
  <c r="C36" i="2"/>
  <c r="D37" i="3"/>
  <c r="D37" i="2"/>
  <c r="G41" i="3"/>
  <c r="G41" i="2"/>
  <c r="G43" i="3"/>
  <c r="G43" i="2"/>
  <c r="BH47" i="1"/>
  <c r="BL52" i="1"/>
  <c r="BO52" i="1"/>
  <c r="BI52" i="1"/>
  <c r="BN55" i="1"/>
  <c r="CI55" i="1"/>
  <c r="CK55" i="1" s="1"/>
  <c r="D56" i="2"/>
  <c r="D56" i="3"/>
  <c r="K56" i="2"/>
  <c r="M57" i="3"/>
  <c r="BP57" i="1"/>
  <c r="L57" i="3" s="1"/>
  <c r="G62" i="3"/>
  <c r="G62" i="2"/>
  <c r="E20" i="2"/>
  <c r="C3" i="3"/>
  <c r="C3" i="2"/>
  <c r="B5" i="3"/>
  <c r="B5" i="2"/>
  <c r="A6" i="2"/>
  <c r="A6" i="3"/>
  <c r="B12" i="3"/>
  <c r="B12" i="2"/>
  <c r="J14" i="2"/>
  <c r="J14" i="3"/>
  <c r="K21" i="2"/>
  <c r="AS21" i="1"/>
  <c r="H23" i="2"/>
  <c r="H23" i="3"/>
  <c r="I33" i="3"/>
  <c r="I33" i="2"/>
  <c r="H34" i="3"/>
  <c r="H34" i="2"/>
  <c r="D44" i="3"/>
  <c r="D44" i="2"/>
  <c r="BQ46" i="1"/>
  <c r="BS46" i="1" s="1"/>
  <c r="BL5" i="1"/>
  <c r="BR5" i="1"/>
  <c r="CF13" i="1"/>
  <c r="BH13" i="1" s="1"/>
  <c r="BH16" i="1"/>
  <c r="BL22" i="1"/>
  <c r="BR22" i="1"/>
  <c r="BI22" i="1"/>
  <c r="BL30" i="1"/>
  <c r="AT30" i="1" s="1"/>
  <c r="BR30" i="1"/>
  <c r="BI30" i="1"/>
  <c r="N43" i="1"/>
  <c r="CI43" i="1"/>
  <c r="CK43" i="1" s="1"/>
  <c r="I45" i="3"/>
  <c r="I45" i="2"/>
  <c r="D5" i="3"/>
  <c r="D5" i="2"/>
  <c r="H6" i="3"/>
  <c r="H6" i="2"/>
  <c r="G8" i="3"/>
  <c r="G8" i="2"/>
  <c r="M10" i="3"/>
  <c r="BP10" i="1"/>
  <c r="L10" i="3" s="1"/>
  <c r="N15" i="1"/>
  <c r="BN15" i="1"/>
  <c r="B17" i="3"/>
  <c r="B17" i="2"/>
  <c r="E19" i="3"/>
  <c r="E19" i="2"/>
  <c r="G20" i="3"/>
  <c r="G20" i="2"/>
  <c r="BQ21" i="1"/>
  <c r="BS21" i="1" s="1"/>
  <c r="AW21" i="1" s="1"/>
  <c r="CI22" i="1"/>
  <c r="CK22" i="1" s="1"/>
  <c r="BQ22" i="1"/>
  <c r="BS22" i="1" s="1"/>
  <c r="B29" i="3"/>
  <c r="B29" i="2"/>
  <c r="CF3" i="1"/>
  <c r="BN3" i="1" s="1"/>
  <c r="CF5" i="1"/>
  <c r="BK5" i="1" s="1"/>
  <c r="BM5" i="1" s="1"/>
  <c r="CG6" i="1"/>
  <c r="M6" i="1" s="1"/>
  <c r="CF6" i="1"/>
  <c r="BK9" i="1"/>
  <c r="BM9" i="1" s="1"/>
  <c r="G10" i="3"/>
  <c r="G10" i="2"/>
  <c r="A12" i="2"/>
  <c r="A12" i="3"/>
  <c r="AS19" i="1"/>
  <c r="B31" i="3"/>
  <c r="B31" i="2"/>
  <c r="M35" i="2"/>
  <c r="BJ35" i="1"/>
  <c r="L35" i="2" s="1"/>
  <c r="B36" i="3"/>
  <c r="B36" i="2"/>
  <c r="D38" i="3"/>
  <c r="D38" i="2"/>
  <c r="F41" i="3"/>
  <c r="F41" i="2"/>
  <c r="BR43" i="1"/>
  <c r="AW43" i="1" s="1"/>
  <c r="B48" i="3"/>
  <c r="B48" i="2"/>
  <c r="G49" i="3"/>
  <c r="G49" i="2"/>
  <c r="C56" i="2"/>
  <c r="C56" i="3"/>
  <c r="M56" i="2"/>
  <c r="BJ56" i="1"/>
  <c r="L56" i="2" s="1"/>
  <c r="G58" i="3"/>
  <c r="G58" i="2"/>
  <c r="BK6" i="1"/>
  <c r="BM6" i="1" s="1"/>
  <c r="F9" i="3"/>
  <c r="F9" i="2"/>
  <c r="CI10" i="1"/>
  <c r="CK10" i="1" s="1"/>
  <c r="CG12" i="1"/>
  <c r="M12" i="1" s="1"/>
  <c r="E15" i="3"/>
  <c r="E15" i="2"/>
  <c r="CG15" i="1"/>
  <c r="H16" i="3"/>
  <c r="H16" i="2"/>
  <c r="A17" i="3"/>
  <c r="A17" i="2"/>
  <c r="E18" i="2"/>
  <c r="E18" i="3"/>
  <c r="CF18" i="1"/>
  <c r="CI19" i="1"/>
  <c r="CK19" i="1" s="1"/>
  <c r="B21" i="3"/>
  <c r="B21" i="2"/>
  <c r="J21" i="3"/>
  <c r="J21" i="2"/>
  <c r="F22" i="3"/>
  <c r="F22" i="2"/>
  <c r="A23" i="3"/>
  <c r="A23" i="2"/>
  <c r="H26" i="3"/>
  <c r="H26" i="2"/>
  <c r="G27" i="3"/>
  <c r="G27" i="2"/>
  <c r="CG27" i="1"/>
  <c r="M27" i="1" s="1"/>
  <c r="BO35" i="1"/>
  <c r="BL35" i="1"/>
  <c r="AT35" i="1" s="1"/>
  <c r="BI35" i="1"/>
  <c r="D36" i="3"/>
  <c r="D36" i="2"/>
  <c r="CG36" i="1"/>
  <c r="M36" i="1" s="1"/>
  <c r="E37" i="3"/>
  <c r="E37" i="2"/>
  <c r="A39" i="3"/>
  <c r="A39" i="2"/>
  <c r="B44" i="3"/>
  <c r="B44" i="2"/>
  <c r="J44" i="3"/>
  <c r="J44" i="2"/>
  <c r="CG50" i="1"/>
  <c r="M50" i="1" s="1"/>
  <c r="CF50" i="1"/>
  <c r="E53" i="3"/>
  <c r="E53" i="2"/>
  <c r="CG53" i="1"/>
  <c r="M53" i="1" s="1"/>
  <c r="CF53" i="1"/>
  <c r="N53" i="1" s="1"/>
  <c r="F55" i="3"/>
  <c r="F55" i="2"/>
  <c r="J5" i="3"/>
  <c r="J5" i="2"/>
  <c r="BQ7" i="1"/>
  <c r="BS7" i="1" s="1"/>
  <c r="H9" i="3"/>
  <c r="H9" i="2"/>
  <c r="F11" i="3"/>
  <c r="F11" i="2"/>
  <c r="BK13" i="1"/>
  <c r="BM13" i="1" s="1"/>
  <c r="CI16" i="1"/>
  <c r="CK16" i="1" s="1"/>
  <c r="BQ16" i="1"/>
  <c r="BS16" i="1" s="1"/>
  <c r="C19" i="3"/>
  <c r="C19" i="2"/>
  <c r="D21" i="3"/>
  <c r="D21" i="2"/>
  <c r="CG24" i="1"/>
  <c r="M24" i="1" s="1"/>
  <c r="CF24" i="1"/>
  <c r="CG38" i="1"/>
  <c r="M38" i="1" s="1"/>
  <c r="CF38" i="1"/>
  <c r="CI38" i="1" s="1"/>
  <c r="CK38" i="1" s="1"/>
  <c r="BQ39" i="1"/>
  <c r="BS39" i="1" s="1"/>
  <c r="M43" i="2"/>
  <c r="BJ43" i="1"/>
  <c r="L43" i="2" s="1"/>
  <c r="D3" i="3"/>
  <c r="D3" i="2"/>
  <c r="BQ4" i="1"/>
  <c r="BS4" i="1" s="1"/>
  <c r="F8" i="3"/>
  <c r="F8" i="2"/>
  <c r="C12" i="3"/>
  <c r="C12" i="2"/>
  <c r="A13" i="3"/>
  <c r="A13" i="2"/>
  <c r="C14" i="3"/>
  <c r="C14" i="2"/>
  <c r="D19" i="3"/>
  <c r="D19" i="2"/>
  <c r="BO21" i="1"/>
  <c r="BL21" i="1"/>
  <c r="G24" i="3"/>
  <c r="G24" i="2"/>
  <c r="BH28" i="1"/>
  <c r="A37" i="2"/>
  <c r="A37" i="3"/>
  <c r="CG44" i="1"/>
  <c r="M44" i="1" s="1"/>
  <c r="CF44" i="1"/>
  <c r="BR4" i="1"/>
  <c r="CI5" i="1"/>
  <c r="CK5" i="1" s="1"/>
  <c r="J17" i="3"/>
  <c r="J17" i="2"/>
  <c r="M19" i="3"/>
  <c r="BP19" i="1"/>
  <c r="L19" i="3" s="1"/>
  <c r="N21" i="1"/>
  <c r="H24" i="3"/>
  <c r="H24" i="2"/>
  <c r="BK28" i="1"/>
  <c r="BM28" i="1" s="1"/>
  <c r="J29" i="3"/>
  <c r="J29" i="2"/>
  <c r="I32" i="2"/>
  <c r="I32" i="3"/>
  <c r="CG37" i="1"/>
  <c r="M37" i="1" s="1"/>
  <c r="CF37" i="1"/>
  <c r="BH4" i="1"/>
  <c r="BO5" i="1"/>
  <c r="I13" i="3"/>
  <c r="I13" i="2"/>
  <c r="C15" i="3"/>
  <c r="C15" i="2"/>
  <c r="F16" i="3"/>
  <c r="F16" i="2"/>
  <c r="CF22" i="1"/>
  <c r="N22" i="1" s="1"/>
  <c r="CI23" i="1"/>
  <c r="CK23" i="1" s="1"/>
  <c r="F26" i="3"/>
  <c r="F26" i="2"/>
  <c r="E27" i="3"/>
  <c r="E27" i="2"/>
  <c r="B30" i="3"/>
  <c r="B30" i="2"/>
  <c r="CF30" i="1"/>
  <c r="C37" i="3"/>
  <c r="C37" i="2"/>
  <c r="G40" i="3"/>
  <c r="G40" i="2"/>
  <c r="BN41" i="1"/>
  <c r="J48" i="3"/>
  <c r="J48" i="2"/>
  <c r="BI4" i="1"/>
  <c r="E4" i="3"/>
  <c r="E4" i="2"/>
  <c r="BN4" i="1"/>
  <c r="CI4" i="1"/>
  <c r="CK4" i="1" s="1"/>
  <c r="BQ5" i="1"/>
  <c r="BS5" i="1" s="1"/>
  <c r="H7" i="2"/>
  <c r="H7" i="3"/>
  <c r="BQ8" i="1"/>
  <c r="BS8" i="1" s="1"/>
  <c r="AV10" i="1"/>
  <c r="D11" i="3"/>
  <c r="D11" i="2"/>
  <c r="BQ12" i="1"/>
  <c r="BS12" i="1" s="1"/>
  <c r="C13" i="3"/>
  <c r="C13" i="2"/>
  <c r="CG13" i="1"/>
  <c r="M13" i="1" s="1"/>
  <c r="A4" i="2"/>
  <c r="A4" i="3"/>
  <c r="BO4" i="1"/>
  <c r="BK4" i="1"/>
  <c r="BM4" i="1" s="1"/>
  <c r="AT4" i="1" s="1"/>
  <c r="I5" i="2"/>
  <c r="I5" i="3"/>
  <c r="BN6" i="1"/>
  <c r="I7" i="2"/>
  <c r="I7" i="3"/>
  <c r="G9" i="3"/>
  <c r="G9" i="2"/>
  <c r="CI9" i="1"/>
  <c r="CK9" i="1" s="1"/>
  <c r="E11" i="3"/>
  <c r="E11" i="2"/>
  <c r="BN11" i="1"/>
  <c r="D13" i="3"/>
  <c r="D13" i="2"/>
  <c r="CI13" i="1"/>
  <c r="CK13" i="1" s="1"/>
  <c r="I14" i="2"/>
  <c r="I14" i="3"/>
  <c r="A15" i="3"/>
  <c r="A15" i="2"/>
  <c r="A18" i="3"/>
  <c r="A18" i="2"/>
  <c r="C21" i="2"/>
  <c r="C21" i="3"/>
  <c r="BN21" i="1"/>
  <c r="G23" i="3"/>
  <c r="G23" i="2"/>
  <c r="CG23" i="1"/>
  <c r="M23" i="1" s="1"/>
  <c r="CF23" i="1"/>
  <c r="N23" i="1" s="1"/>
  <c r="CG25" i="1"/>
  <c r="M25" i="1" s="1"/>
  <c r="CF34" i="1"/>
  <c r="BR35" i="1"/>
  <c r="AW35" i="1" s="1"/>
  <c r="BQ36" i="1"/>
  <c r="BS36" i="1" s="1"/>
  <c r="CG39" i="1"/>
  <c r="M39" i="1" s="1"/>
  <c r="CF39" i="1"/>
  <c r="BH41" i="1"/>
  <c r="N41" i="1"/>
  <c r="CI41" i="1"/>
  <c r="CK41" i="1" s="1"/>
  <c r="C44" i="3"/>
  <c r="C44" i="2"/>
  <c r="CG46" i="1"/>
  <c r="M46" i="1" s="1"/>
  <c r="CF46" i="1"/>
  <c r="CG49" i="1"/>
  <c r="M49" i="1" s="1"/>
  <c r="A52" i="3"/>
  <c r="A52" i="2"/>
  <c r="G55" i="3"/>
  <c r="G55" i="2"/>
  <c r="E57" i="3"/>
  <c r="E57" i="2"/>
  <c r="CF57" i="1"/>
  <c r="CG57" i="1"/>
  <c r="M57" i="1" s="1"/>
  <c r="CG60" i="1"/>
  <c r="M60" i="1" s="1"/>
  <c r="CF60" i="1"/>
  <c r="J45" i="2"/>
  <c r="J45" i="3"/>
  <c r="A46" i="3"/>
  <c r="A46" i="2"/>
  <c r="H47" i="2"/>
  <c r="H47" i="3"/>
  <c r="D50" i="3"/>
  <c r="D50" i="2"/>
  <c r="G54" i="3"/>
  <c r="G54" i="2"/>
  <c r="BH55" i="1"/>
  <c r="BK58" i="1"/>
  <c r="BM58" i="1" s="1"/>
  <c r="E59" i="3"/>
  <c r="E59" i="2"/>
  <c r="G3" i="3"/>
  <c r="G3" i="2"/>
  <c r="CI3" i="1"/>
  <c r="CK3" i="1" s="1"/>
  <c r="F4" i="3"/>
  <c r="F4" i="2"/>
  <c r="E5" i="3"/>
  <c r="E5" i="2"/>
  <c r="D6" i="3"/>
  <c r="D6" i="2"/>
  <c r="C7" i="3"/>
  <c r="C7" i="2"/>
  <c r="A8" i="2"/>
  <c r="A8" i="3"/>
  <c r="B8" i="3"/>
  <c r="B8" i="2"/>
  <c r="J8" i="3"/>
  <c r="J8" i="2"/>
  <c r="I9" i="3"/>
  <c r="I9" i="2"/>
  <c r="H10" i="3"/>
  <c r="H10" i="2"/>
  <c r="G11" i="3"/>
  <c r="G11" i="2"/>
  <c r="CI11" i="1"/>
  <c r="CK11" i="1" s="1"/>
  <c r="F12" i="3"/>
  <c r="F12" i="2"/>
  <c r="E13" i="3"/>
  <c r="E13" i="2"/>
  <c r="E14" i="2"/>
  <c r="E14" i="3"/>
  <c r="G15" i="3"/>
  <c r="G15" i="2"/>
  <c r="I16" i="3"/>
  <c r="I16" i="2"/>
  <c r="F18" i="2"/>
  <c r="F18" i="3"/>
  <c r="G19" i="3"/>
  <c r="G19" i="2"/>
  <c r="E21" i="3"/>
  <c r="E21" i="2"/>
  <c r="B22" i="3"/>
  <c r="B22" i="2"/>
  <c r="J22" i="3"/>
  <c r="J22" i="2"/>
  <c r="I23" i="2"/>
  <c r="I23" i="3"/>
  <c r="B24" i="2"/>
  <c r="B24" i="3"/>
  <c r="J24" i="3"/>
  <c r="J24" i="2"/>
  <c r="B28" i="3"/>
  <c r="B28" i="2"/>
  <c r="J28" i="3"/>
  <c r="J28" i="2"/>
  <c r="C29" i="2"/>
  <c r="C29" i="3"/>
  <c r="C30" i="3"/>
  <c r="C30" i="2"/>
  <c r="BQ31" i="1"/>
  <c r="BS31" i="1" s="1"/>
  <c r="E33" i="3"/>
  <c r="E33" i="2"/>
  <c r="BQ33" i="1"/>
  <c r="BS33" i="1" s="1"/>
  <c r="D34" i="3"/>
  <c r="D34" i="2"/>
  <c r="D35" i="3"/>
  <c r="D35" i="2"/>
  <c r="A36" i="3"/>
  <c r="A36" i="2"/>
  <c r="E36" i="3"/>
  <c r="E36" i="2"/>
  <c r="G39" i="3"/>
  <c r="G39" i="2"/>
  <c r="H40" i="3"/>
  <c r="H40" i="2"/>
  <c r="H41" i="3"/>
  <c r="H41" i="2"/>
  <c r="A44" i="3"/>
  <c r="A44" i="2"/>
  <c r="F44" i="3"/>
  <c r="F44" i="2"/>
  <c r="C45" i="3"/>
  <c r="C45" i="2"/>
  <c r="BH45" i="1"/>
  <c r="I47" i="3"/>
  <c r="I47" i="2"/>
  <c r="A48" i="3"/>
  <c r="A48" i="2"/>
  <c r="I49" i="3"/>
  <c r="I49" i="2"/>
  <c r="E50" i="3"/>
  <c r="E50" i="2"/>
  <c r="C51" i="3"/>
  <c r="C51" i="2"/>
  <c r="B52" i="3"/>
  <c r="P52" i="3" s="1"/>
  <c r="B52" i="2"/>
  <c r="P52" i="2" s="1"/>
  <c r="J52" i="3"/>
  <c r="J52" i="2"/>
  <c r="H54" i="3"/>
  <c r="H54" i="2"/>
  <c r="BN54" i="1"/>
  <c r="CI54" i="1"/>
  <c r="CK54" i="1" s="1"/>
  <c r="BQ54" i="1"/>
  <c r="BS54" i="1" s="1"/>
  <c r="CG54" i="1"/>
  <c r="M54" i="1" s="1"/>
  <c r="N56" i="1"/>
  <c r="BK56" i="1"/>
  <c r="BM56" i="1" s="1"/>
  <c r="F63" i="3"/>
  <c r="F63" i="2"/>
  <c r="F5" i="3"/>
  <c r="F5" i="2"/>
  <c r="E6" i="3"/>
  <c r="E6" i="2"/>
  <c r="D7" i="3"/>
  <c r="D7" i="2"/>
  <c r="A9" i="3"/>
  <c r="A9" i="2"/>
  <c r="J9" i="3"/>
  <c r="J9" i="2"/>
  <c r="I10" i="2"/>
  <c r="I10" i="3"/>
  <c r="G12" i="3"/>
  <c r="G12" i="2"/>
  <c r="F14" i="2"/>
  <c r="F14" i="3"/>
  <c r="H15" i="3"/>
  <c r="H15" i="2"/>
  <c r="B16" i="2"/>
  <c r="B16" i="3"/>
  <c r="J16" i="2"/>
  <c r="J16" i="3"/>
  <c r="E17" i="3"/>
  <c r="E17" i="2"/>
  <c r="G18" i="3"/>
  <c r="G18" i="2"/>
  <c r="H19" i="2"/>
  <c r="H19" i="3"/>
  <c r="B20" i="3"/>
  <c r="B20" i="2"/>
  <c r="J20" i="2"/>
  <c r="J20" i="3"/>
  <c r="C22" i="3"/>
  <c r="C22" i="2"/>
  <c r="B23" i="3"/>
  <c r="B23" i="2"/>
  <c r="J23" i="3"/>
  <c r="J23" i="2"/>
  <c r="C28" i="3"/>
  <c r="C28" i="2"/>
  <c r="D29" i="3"/>
  <c r="D29" i="2"/>
  <c r="D30" i="3"/>
  <c r="D30" i="2"/>
  <c r="A31" i="2"/>
  <c r="A31" i="3"/>
  <c r="BK31" i="1"/>
  <c r="BM31" i="1" s="1"/>
  <c r="F32" i="3"/>
  <c r="F32" i="2"/>
  <c r="F33" i="3"/>
  <c r="F33" i="2"/>
  <c r="E34" i="3"/>
  <c r="E34" i="2"/>
  <c r="E35" i="3"/>
  <c r="E35" i="2"/>
  <c r="F36" i="3"/>
  <c r="F36" i="2"/>
  <c r="BN36" i="1"/>
  <c r="CI36" i="1"/>
  <c r="CK36" i="1" s="1"/>
  <c r="H39" i="3"/>
  <c r="H39" i="2"/>
  <c r="I40" i="3"/>
  <c r="I40" i="2"/>
  <c r="I41" i="3"/>
  <c r="I41" i="2"/>
  <c r="H42" i="2"/>
  <c r="H42" i="3"/>
  <c r="C43" i="3"/>
  <c r="C43" i="2"/>
  <c r="CI45" i="1"/>
  <c r="CK45" i="1" s="1"/>
  <c r="BQ45" i="1"/>
  <c r="BS45" i="1" s="1"/>
  <c r="AW45" i="1" s="1"/>
  <c r="F48" i="3"/>
  <c r="F48" i="2"/>
  <c r="F50" i="3"/>
  <c r="F50" i="2"/>
  <c r="D51" i="2"/>
  <c r="D51" i="3"/>
  <c r="C52" i="3"/>
  <c r="C52" i="2"/>
  <c r="BN52" i="1"/>
  <c r="M53" i="3"/>
  <c r="BP53" i="1"/>
  <c r="L53" i="3" s="1"/>
  <c r="BK54" i="1"/>
  <c r="BM54" i="1" s="1"/>
  <c r="BH54" i="1"/>
  <c r="BL56" i="1"/>
  <c r="BO56" i="1"/>
  <c r="BR56" i="1"/>
  <c r="AW56" i="1" s="1"/>
  <c r="CG61" i="1"/>
  <c r="M61" i="1" s="1"/>
  <c r="CF61" i="1"/>
  <c r="CK62" i="1"/>
  <c r="A65" i="3"/>
  <c r="A65" i="2"/>
  <c r="H65" i="3"/>
  <c r="H65" i="2"/>
  <c r="C8" i="3"/>
  <c r="C8" i="2"/>
  <c r="B9" i="3"/>
  <c r="B9" i="2"/>
  <c r="H11" i="3"/>
  <c r="H11" i="2"/>
  <c r="H4" i="3"/>
  <c r="H4" i="2"/>
  <c r="G5" i="3"/>
  <c r="G5" i="2"/>
  <c r="F6" i="3"/>
  <c r="F6" i="2"/>
  <c r="E7" i="3"/>
  <c r="E7" i="2"/>
  <c r="D8" i="3"/>
  <c r="D8" i="2"/>
  <c r="C9" i="3"/>
  <c r="C9" i="2"/>
  <c r="A10" i="2"/>
  <c r="A10" i="3"/>
  <c r="B10" i="3"/>
  <c r="B10" i="2"/>
  <c r="J10" i="2"/>
  <c r="J10" i="3"/>
  <c r="I11" i="2"/>
  <c r="I11" i="3"/>
  <c r="H12" i="3"/>
  <c r="H12" i="2"/>
  <c r="I15" i="2"/>
  <c r="I15" i="3"/>
  <c r="BK15" i="1"/>
  <c r="BM15" i="1" s="1"/>
  <c r="A16" i="3"/>
  <c r="A16" i="2"/>
  <c r="C16" i="2"/>
  <c r="C16" i="3"/>
  <c r="F17" i="3"/>
  <c r="F17" i="2"/>
  <c r="H18" i="3"/>
  <c r="H18" i="2"/>
  <c r="I19" i="2"/>
  <c r="I19" i="3"/>
  <c r="A20" i="2"/>
  <c r="A20" i="3"/>
  <c r="C20" i="3"/>
  <c r="C20" i="2"/>
  <c r="A22" i="2"/>
  <c r="A22" i="3"/>
  <c r="D22" i="3"/>
  <c r="D22" i="2"/>
  <c r="C23" i="3"/>
  <c r="C23" i="2"/>
  <c r="A24" i="3"/>
  <c r="A24" i="2"/>
  <c r="BQ24" i="1"/>
  <c r="BS24" i="1" s="1"/>
  <c r="CB26" i="1"/>
  <c r="C27" i="3"/>
  <c r="C27" i="2"/>
  <c r="D28" i="3"/>
  <c r="D28" i="2"/>
  <c r="A29" i="2"/>
  <c r="A29" i="3"/>
  <c r="E29" i="3"/>
  <c r="E29" i="2"/>
  <c r="A30" i="3"/>
  <c r="A30" i="2"/>
  <c r="CI30" i="1"/>
  <c r="CK30" i="1" s="1"/>
  <c r="BN31" i="1"/>
  <c r="G32" i="3"/>
  <c r="G32" i="2"/>
  <c r="G33" i="3"/>
  <c r="G33" i="2"/>
  <c r="F34" i="3"/>
  <c r="F34" i="2"/>
  <c r="F35" i="3"/>
  <c r="F35" i="2"/>
  <c r="H38" i="3"/>
  <c r="H38" i="2"/>
  <c r="I39" i="2"/>
  <c r="I39" i="3"/>
  <c r="B40" i="3"/>
  <c r="B40" i="2"/>
  <c r="J40" i="3"/>
  <c r="J40" i="2"/>
  <c r="D43" i="3"/>
  <c r="D43" i="2"/>
  <c r="E45" i="3"/>
  <c r="E45" i="2"/>
  <c r="BN45" i="1"/>
  <c r="BK45" i="1"/>
  <c r="BM45" i="1" s="1"/>
  <c r="H46" i="3"/>
  <c r="H46" i="2"/>
  <c r="C47" i="3"/>
  <c r="C47" i="2"/>
  <c r="BQ47" i="1"/>
  <c r="BS47" i="1" s="1"/>
  <c r="G48" i="3"/>
  <c r="G48" i="2"/>
  <c r="E51" i="3"/>
  <c r="E51" i="2"/>
  <c r="CF51" i="1"/>
  <c r="BN51" i="1" s="1"/>
  <c r="D52" i="3"/>
  <c r="D52" i="2"/>
  <c r="CF52" i="1"/>
  <c r="CF54" i="1"/>
  <c r="N54" i="1" s="1"/>
  <c r="A56" i="3"/>
  <c r="A56" i="2"/>
  <c r="A63" i="3"/>
  <c r="A63" i="2"/>
  <c r="A3" i="3"/>
  <c r="A3" i="2"/>
  <c r="B3" i="3"/>
  <c r="B3" i="2"/>
  <c r="J3" i="3"/>
  <c r="J3" i="2"/>
  <c r="I4" i="3"/>
  <c r="I4" i="2"/>
  <c r="H5" i="3"/>
  <c r="H5" i="2"/>
  <c r="G6" i="3"/>
  <c r="G6" i="2"/>
  <c r="F7" i="3"/>
  <c r="F7" i="2"/>
  <c r="E8" i="3"/>
  <c r="E8" i="2"/>
  <c r="D9" i="2"/>
  <c r="D9" i="3"/>
  <c r="C10" i="3"/>
  <c r="C10" i="2"/>
  <c r="A11" i="2"/>
  <c r="A11" i="3"/>
  <c r="B11" i="3"/>
  <c r="B11" i="2"/>
  <c r="J11" i="3"/>
  <c r="J11" i="2"/>
  <c r="I12" i="3"/>
  <c r="I12" i="2"/>
  <c r="H13" i="3"/>
  <c r="H13" i="2"/>
  <c r="H14" i="3"/>
  <c r="H14" i="2"/>
  <c r="B15" i="3"/>
  <c r="B15" i="2"/>
  <c r="J15" i="2"/>
  <c r="J15" i="3"/>
  <c r="D16" i="3"/>
  <c r="D16" i="2"/>
  <c r="G17" i="3"/>
  <c r="G17" i="2"/>
  <c r="CF17" i="1"/>
  <c r="BQ17" i="1" s="1"/>
  <c r="BS17" i="1" s="1"/>
  <c r="I18" i="2"/>
  <c r="I18" i="3"/>
  <c r="D20" i="3"/>
  <c r="D20" i="2"/>
  <c r="BK21" i="1"/>
  <c r="BM21" i="1" s="1"/>
  <c r="BQ23" i="1"/>
  <c r="BS23" i="1" s="1"/>
  <c r="E25" i="3"/>
  <c r="E25" i="2"/>
  <c r="BQ25" i="1"/>
  <c r="BS25" i="1" s="1"/>
  <c r="D26" i="3"/>
  <c r="D26" i="2"/>
  <c r="D27" i="3"/>
  <c r="D27" i="2"/>
  <c r="A28" i="3"/>
  <c r="A28" i="2"/>
  <c r="E28" i="3"/>
  <c r="E28" i="2"/>
  <c r="CI29" i="1"/>
  <c r="CK29" i="1" s="1"/>
  <c r="BK30" i="1"/>
  <c r="BM30" i="1" s="1"/>
  <c r="G31" i="3"/>
  <c r="G31" i="2"/>
  <c r="H32" i="3"/>
  <c r="H32" i="2"/>
  <c r="H33" i="3"/>
  <c r="H33" i="2"/>
  <c r="G34" i="3"/>
  <c r="G34" i="2"/>
  <c r="G35" i="3"/>
  <c r="G35" i="2"/>
  <c r="BN35" i="1"/>
  <c r="I37" i="3"/>
  <c r="I37" i="2"/>
  <c r="I38" i="3"/>
  <c r="I38" i="2"/>
  <c r="B39" i="3"/>
  <c r="B39" i="2"/>
  <c r="J39" i="3"/>
  <c r="J39" i="2"/>
  <c r="CG40" i="1"/>
  <c r="M40" i="1" s="1"/>
  <c r="CF40" i="1"/>
  <c r="BQ40" i="1" s="1"/>
  <c r="BS40" i="1" s="1"/>
  <c r="CB42" i="1"/>
  <c r="E43" i="3"/>
  <c r="E43" i="2"/>
  <c r="BN43" i="1"/>
  <c r="BK43" i="1"/>
  <c r="BM43" i="1" s="1"/>
  <c r="AT43" i="1" s="1"/>
  <c r="A45" i="3"/>
  <c r="A45" i="2"/>
  <c r="K45" i="3"/>
  <c r="BL45" i="1"/>
  <c r="AT45" i="1" s="1"/>
  <c r="BI45" i="1"/>
  <c r="I46" i="3"/>
  <c r="I46" i="2"/>
  <c r="BK47" i="1"/>
  <c r="BM47" i="1" s="1"/>
  <c r="H48" i="3"/>
  <c r="H48" i="2"/>
  <c r="CB48" i="1"/>
  <c r="BQ49" i="1"/>
  <c r="BS49" i="1" s="1"/>
  <c r="D53" i="3"/>
  <c r="D53" i="2"/>
  <c r="E55" i="3"/>
  <c r="E55" i="2"/>
  <c r="CK57" i="1"/>
  <c r="F61" i="3"/>
  <c r="F61" i="2"/>
  <c r="E64" i="3"/>
  <c r="E64" i="2"/>
  <c r="H3" i="2"/>
  <c r="G42" i="3"/>
  <c r="G42" i="2"/>
  <c r="F43" i="3"/>
  <c r="F43" i="2"/>
  <c r="E44" i="3"/>
  <c r="E44" i="2"/>
  <c r="D45" i="3"/>
  <c r="D45" i="2"/>
  <c r="C46" i="3"/>
  <c r="C46" i="2"/>
  <c r="A47" i="3"/>
  <c r="A47" i="2"/>
  <c r="B47" i="2"/>
  <c r="B47" i="3"/>
  <c r="I48" i="3"/>
  <c r="I48" i="2"/>
  <c r="H49" i="3"/>
  <c r="H49" i="2"/>
  <c r="G50" i="3"/>
  <c r="G50" i="2"/>
  <c r="F51" i="3"/>
  <c r="F51" i="2"/>
  <c r="E52" i="3"/>
  <c r="E52" i="2"/>
  <c r="G53" i="3"/>
  <c r="G53" i="2"/>
  <c r="I54" i="2"/>
  <c r="I54" i="3"/>
  <c r="E56" i="3"/>
  <c r="E56" i="2"/>
  <c r="H57" i="3"/>
  <c r="H57" i="2"/>
  <c r="H58" i="3"/>
  <c r="H58" i="2"/>
  <c r="F59" i="3"/>
  <c r="F59" i="2"/>
  <c r="CK59" i="1"/>
  <c r="CI65" i="1"/>
  <c r="CK65" i="1" s="1"/>
  <c r="BQ65" i="1"/>
  <c r="BS65" i="1" s="1"/>
  <c r="H50" i="3"/>
  <c r="H50" i="2"/>
  <c r="G51" i="3"/>
  <c r="G51" i="2"/>
  <c r="F52" i="3"/>
  <c r="F52" i="2"/>
  <c r="H53" i="3"/>
  <c r="H53" i="2"/>
  <c r="B54" i="3"/>
  <c r="P54" i="3" s="1"/>
  <c r="B54" i="2"/>
  <c r="P54" i="2" s="1"/>
  <c r="J54" i="3"/>
  <c r="J54" i="2"/>
  <c r="I55" i="3"/>
  <c r="I55" i="2"/>
  <c r="F56" i="3"/>
  <c r="F56" i="2"/>
  <c r="I57" i="3"/>
  <c r="I57" i="2"/>
  <c r="I58" i="3"/>
  <c r="I58" i="2"/>
  <c r="G59" i="3"/>
  <c r="G59" i="2"/>
  <c r="M61" i="3"/>
  <c r="BP61" i="1"/>
  <c r="L61" i="3" s="1"/>
  <c r="CG63" i="1"/>
  <c r="M63" i="1" s="1"/>
  <c r="I64" i="3"/>
  <c r="I64" i="2"/>
  <c r="B65" i="3"/>
  <c r="P65" i="3" s="1"/>
  <c r="B65" i="2"/>
  <c r="P65" i="2" s="1"/>
  <c r="J65" i="3"/>
  <c r="J65" i="2"/>
  <c r="BK65" i="1"/>
  <c r="BM65" i="1" s="1"/>
  <c r="J34" i="2"/>
  <c r="J47" i="2"/>
  <c r="F21" i="3"/>
  <c r="F21" i="2"/>
  <c r="E22" i="2"/>
  <c r="E22" i="3"/>
  <c r="D23" i="3"/>
  <c r="D23" i="2"/>
  <c r="C24" i="2"/>
  <c r="C24" i="3"/>
  <c r="A25" i="2"/>
  <c r="A25" i="3"/>
  <c r="B25" i="3"/>
  <c r="B25" i="2"/>
  <c r="J25" i="2"/>
  <c r="J25" i="3"/>
  <c r="I26" i="2"/>
  <c r="I26" i="3"/>
  <c r="H27" i="3"/>
  <c r="H27" i="2"/>
  <c r="G28" i="3"/>
  <c r="G28" i="2"/>
  <c r="F29" i="3"/>
  <c r="F29" i="2"/>
  <c r="E30" i="3"/>
  <c r="E30" i="2"/>
  <c r="D31" i="3"/>
  <c r="D31" i="2"/>
  <c r="C32" i="3"/>
  <c r="C32" i="2"/>
  <c r="A33" i="2"/>
  <c r="A33" i="3"/>
  <c r="B33" i="3"/>
  <c r="B33" i="2"/>
  <c r="J33" i="3"/>
  <c r="J33" i="2"/>
  <c r="I34" i="3"/>
  <c r="I34" i="2"/>
  <c r="H35" i="3"/>
  <c r="H35" i="2"/>
  <c r="G36" i="3"/>
  <c r="G36" i="2"/>
  <c r="F37" i="3"/>
  <c r="F37" i="2"/>
  <c r="E38" i="3"/>
  <c r="E38" i="2"/>
  <c r="D39" i="3"/>
  <c r="D39" i="2"/>
  <c r="C40" i="3"/>
  <c r="C40" i="2"/>
  <c r="A41" i="3"/>
  <c r="A41" i="2"/>
  <c r="B41" i="3"/>
  <c r="B41" i="2"/>
  <c r="J41" i="3"/>
  <c r="J41" i="2"/>
  <c r="I42" i="3"/>
  <c r="I42" i="2"/>
  <c r="H43" i="3"/>
  <c r="H43" i="2"/>
  <c r="G44" i="3"/>
  <c r="G44" i="2"/>
  <c r="F45" i="3"/>
  <c r="F45" i="2"/>
  <c r="E46" i="3"/>
  <c r="E46" i="2"/>
  <c r="D47" i="2"/>
  <c r="D47" i="3"/>
  <c r="C48" i="2"/>
  <c r="C48" i="3"/>
  <c r="A49" i="2"/>
  <c r="A49" i="3"/>
  <c r="B49" i="3"/>
  <c r="B49" i="2"/>
  <c r="I50" i="2"/>
  <c r="I50" i="3"/>
  <c r="H51" i="3"/>
  <c r="H51" i="2"/>
  <c r="G52" i="3"/>
  <c r="G52" i="2"/>
  <c r="I53" i="2"/>
  <c r="I53" i="3"/>
  <c r="BK53" i="1"/>
  <c r="BM53" i="1" s="1"/>
  <c r="A54" i="2"/>
  <c r="A54" i="3"/>
  <c r="C54" i="3"/>
  <c r="C54" i="2"/>
  <c r="B55" i="3"/>
  <c r="P55" i="3" s="1"/>
  <c r="B55" i="2"/>
  <c r="P55" i="2" s="1"/>
  <c r="B57" i="3"/>
  <c r="P57" i="3" s="1"/>
  <c r="B57" i="2"/>
  <c r="P57" i="2" s="1"/>
  <c r="B58" i="3"/>
  <c r="P58" i="3" s="1"/>
  <c r="B58" i="2"/>
  <c r="P58" i="2" s="1"/>
  <c r="H59" i="3"/>
  <c r="H59" i="2"/>
  <c r="E60" i="3"/>
  <c r="E60" i="2"/>
  <c r="BK62" i="1"/>
  <c r="BM62" i="1" s="1"/>
  <c r="BH62" i="1"/>
  <c r="C63" i="3"/>
  <c r="C63" i="2"/>
  <c r="BN63" i="1"/>
  <c r="CI63" i="1"/>
  <c r="CK63" i="1" s="1"/>
  <c r="CF63" i="1"/>
  <c r="B64" i="3"/>
  <c r="P64" i="3" s="1"/>
  <c r="B64" i="2"/>
  <c r="P64" i="2" s="1"/>
  <c r="J64" i="3"/>
  <c r="J64" i="2"/>
  <c r="J49" i="2"/>
  <c r="E23" i="3"/>
  <c r="E23" i="2"/>
  <c r="D24" i="3"/>
  <c r="D24" i="2"/>
  <c r="C25" i="3"/>
  <c r="C25" i="2"/>
  <c r="A26" i="3"/>
  <c r="A26" i="2"/>
  <c r="I27" i="3"/>
  <c r="I27" i="2"/>
  <c r="H28" i="3"/>
  <c r="H28" i="2"/>
  <c r="F30" i="3"/>
  <c r="F30" i="2"/>
  <c r="E31" i="3"/>
  <c r="E31" i="2"/>
  <c r="D32" i="3"/>
  <c r="D32" i="2"/>
  <c r="C33" i="3"/>
  <c r="C33" i="2"/>
  <c r="A34" i="3"/>
  <c r="A34" i="2"/>
  <c r="B34" i="3"/>
  <c r="B34" i="2"/>
  <c r="I35" i="3"/>
  <c r="I35" i="2"/>
  <c r="H36" i="3"/>
  <c r="H36" i="2"/>
  <c r="G37" i="3"/>
  <c r="G37" i="2"/>
  <c r="F38" i="3"/>
  <c r="F38" i="2"/>
  <c r="E39" i="3"/>
  <c r="E39" i="2"/>
  <c r="D40" i="3"/>
  <c r="D40" i="2"/>
  <c r="C41" i="3"/>
  <c r="C41" i="2"/>
  <c r="A42" i="3"/>
  <c r="A42" i="2"/>
  <c r="B42" i="3"/>
  <c r="B42" i="2"/>
  <c r="I43" i="3"/>
  <c r="I43" i="2"/>
  <c r="H44" i="3"/>
  <c r="H44" i="2"/>
  <c r="G45" i="3"/>
  <c r="G45" i="2"/>
  <c r="F46" i="3"/>
  <c r="F46" i="2"/>
  <c r="E47" i="3"/>
  <c r="E47" i="2"/>
  <c r="D48" i="3"/>
  <c r="D48" i="2"/>
  <c r="C49" i="3"/>
  <c r="C49" i="2"/>
  <c r="A50" i="2"/>
  <c r="A50" i="3"/>
  <c r="B50" i="3"/>
  <c r="B50" i="2"/>
  <c r="I51" i="2"/>
  <c r="I51" i="3"/>
  <c r="H52" i="3"/>
  <c r="H52" i="2"/>
  <c r="B53" i="2"/>
  <c r="P53" i="2" s="1"/>
  <c r="B53" i="3"/>
  <c r="P53" i="3" s="1"/>
  <c r="J53" i="3"/>
  <c r="J53" i="2"/>
  <c r="D54" i="3"/>
  <c r="D54" i="2"/>
  <c r="C55" i="3"/>
  <c r="C55" i="2"/>
  <c r="H56" i="3"/>
  <c r="H56" i="2"/>
  <c r="M56" i="3"/>
  <c r="BP56" i="1"/>
  <c r="L56" i="3" s="1"/>
  <c r="A57" i="2"/>
  <c r="A57" i="3"/>
  <c r="C57" i="3"/>
  <c r="C57" i="2"/>
  <c r="F60" i="3"/>
  <c r="F60" i="2"/>
  <c r="M60" i="3"/>
  <c r="BP60" i="1"/>
  <c r="L60" i="3" s="1"/>
  <c r="D61" i="3"/>
  <c r="D61" i="2"/>
  <c r="D63" i="3"/>
  <c r="D63" i="2"/>
  <c r="BN64" i="1"/>
  <c r="D65" i="3"/>
  <c r="D65" i="2"/>
  <c r="B26" i="2"/>
  <c r="G14" i="3"/>
  <c r="G14" i="2"/>
  <c r="F15" i="3"/>
  <c r="F15" i="2"/>
  <c r="E16" i="3"/>
  <c r="E16" i="2"/>
  <c r="D17" i="3"/>
  <c r="D17" i="2"/>
  <c r="C18" i="3"/>
  <c r="C18" i="2"/>
  <c r="A19" i="3"/>
  <c r="A19" i="2"/>
  <c r="B19" i="3"/>
  <c r="B19" i="2"/>
  <c r="J19" i="3"/>
  <c r="J19" i="2"/>
  <c r="I20" i="3"/>
  <c r="I20" i="2"/>
  <c r="G22" i="3"/>
  <c r="G22" i="2"/>
  <c r="F23" i="3"/>
  <c r="F23" i="2"/>
  <c r="E24" i="3"/>
  <c r="E24" i="2"/>
  <c r="D25" i="3"/>
  <c r="D25" i="2"/>
  <c r="C26" i="3"/>
  <c r="C26" i="2"/>
  <c r="A27" i="3"/>
  <c r="A27" i="2"/>
  <c r="B27" i="3"/>
  <c r="B27" i="2"/>
  <c r="J27" i="3"/>
  <c r="J27" i="2"/>
  <c r="I28" i="3"/>
  <c r="I28" i="2"/>
  <c r="H29" i="3"/>
  <c r="H29" i="2"/>
  <c r="G30" i="3"/>
  <c r="G30" i="2"/>
  <c r="F31" i="3"/>
  <c r="F31" i="2"/>
  <c r="E32" i="3"/>
  <c r="E32" i="2"/>
  <c r="D33" i="3"/>
  <c r="D33" i="2"/>
  <c r="C34" i="3"/>
  <c r="C34" i="2"/>
  <c r="A35" i="3"/>
  <c r="A35" i="2"/>
  <c r="B35" i="3"/>
  <c r="B35" i="2"/>
  <c r="J35" i="3"/>
  <c r="J35" i="2"/>
  <c r="I36" i="3"/>
  <c r="I36" i="2"/>
  <c r="H37" i="3"/>
  <c r="H37" i="2"/>
  <c r="G38" i="3"/>
  <c r="G38" i="2"/>
  <c r="F39" i="3"/>
  <c r="F39" i="2"/>
  <c r="E40" i="3"/>
  <c r="E40" i="2"/>
  <c r="D41" i="3"/>
  <c r="D41" i="2"/>
  <c r="C42" i="3"/>
  <c r="C42" i="2"/>
  <c r="A43" i="3"/>
  <c r="A43" i="2"/>
  <c r="B43" i="2"/>
  <c r="B43" i="3"/>
  <c r="J43" i="3"/>
  <c r="J43" i="2"/>
  <c r="I44" i="3"/>
  <c r="I44" i="2"/>
  <c r="H45" i="3"/>
  <c r="H45" i="2"/>
  <c r="G46" i="3"/>
  <c r="G46" i="2"/>
  <c r="F47" i="3"/>
  <c r="F47" i="2"/>
  <c r="E48" i="3"/>
  <c r="E48" i="2"/>
  <c r="D49" i="3"/>
  <c r="D49" i="2"/>
  <c r="C50" i="3"/>
  <c r="C50" i="2"/>
  <c r="A51" i="3"/>
  <c r="A51" i="2"/>
  <c r="B51" i="3"/>
  <c r="B51" i="2"/>
  <c r="J51" i="3"/>
  <c r="J51" i="2"/>
  <c r="I52" i="3"/>
  <c r="I52" i="2"/>
  <c r="CI52" i="1"/>
  <c r="CK52" i="1" s="1"/>
  <c r="A53" i="3"/>
  <c r="A53" i="2"/>
  <c r="C53" i="2"/>
  <c r="C53" i="3"/>
  <c r="BH53" i="1"/>
  <c r="BQ53" i="1"/>
  <c r="BS53" i="1" s="1"/>
  <c r="A55" i="2"/>
  <c r="A55" i="3"/>
  <c r="D55" i="3"/>
  <c r="D55" i="2"/>
  <c r="I56" i="3"/>
  <c r="I56" i="2"/>
  <c r="CI58" i="1"/>
  <c r="CK58" i="1" s="1"/>
  <c r="BQ58" i="1"/>
  <c r="BS58" i="1" s="1"/>
  <c r="BH58" i="1"/>
  <c r="G60" i="3"/>
  <c r="G60" i="2"/>
  <c r="CK60" i="1"/>
  <c r="E61" i="3"/>
  <c r="E61" i="2"/>
  <c r="BN65" i="1"/>
  <c r="J26" i="2"/>
  <c r="J50" i="2"/>
  <c r="BK57" i="1"/>
  <c r="BM57" i="1" s="1"/>
  <c r="A58" i="2"/>
  <c r="A58" i="3"/>
  <c r="C58" i="3"/>
  <c r="C58" i="2"/>
  <c r="I60" i="3"/>
  <c r="I60" i="2"/>
  <c r="H61" i="3"/>
  <c r="H61" i="2"/>
  <c r="C62" i="3"/>
  <c r="C62" i="2"/>
  <c r="CF64" i="1"/>
  <c r="N64" i="1" s="1"/>
  <c r="J59" i="2"/>
  <c r="D58" i="3"/>
  <c r="D58" i="2"/>
  <c r="B59" i="3"/>
  <c r="P59" i="3" s="1"/>
  <c r="B59" i="2"/>
  <c r="P59" i="2" s="1"/>
  <c r="CB59" i="1"/>
  <c r="D62" i="3"/>
  <c r="D62" i="2"/>
  <c r="BN62" i="1"/>
  <c r="CI64" i="1"/>
  <c r="CK64" i="1" s="1"/>
  <c r="F53" i="3"/>
  <c r="F53" i="2"/>
  <c r="E54" i="3"/>
  <c r="E54" i="2"/>
  <c r="B56" i="3"/>
  <c r="P56" i="3" s="1"/>
  <c r="B56" i="2"/>
  <c r="P56" i="2" s="1"/>
  <c r="J56" i="3"/>
  <c r="J56" i="2"/>
  <c r="D57" i="3"/>
  <c r="D57" i="2"/>
  <c r="F58" i="3"/>
  <c r="F58" i="2"/>
  <c r="A59" i="3"/>
  <c r="A59" i="2"/>
  <c r="BN59" i="1"/>
  <c r="D60" i="3"/>
  <c r="D60" i="2"/>
  <c r="B63" i="3"/>
  <c r="P63" i="3" s="1"/>
  <c r="B63" i="2"/>
  <c r="P63" i="2" s="1"/>
  <c r="J63" i="3"/>
  <c r="J63" i="2"/>
  <c r="A64" i="3"/>
  <c r="A64" i="2"/>
  <c r="CG64" i="1"/>
  <c r="M64" i="1" s="1"/>
  <c r="I65" i="3"/>
  <c r="I65" i="2"/>
  <c r="I59" i="2"/>
  <c r="I59" i="3"/>
  <c r="H60" i="3"/>
  <c r="H60" i="2"/>
  <c r="G61" i="3"/>
  <c r="G61" i="2"/>
  <c r="CI61" i="1"/>
  <c r="CK61" i="1" s="1"/>
  <c r="F62" i="3"/>
  <c r="F62" i="2"/>
  <c r="E63" i="3"/>
  <c r="E63" i="2"/>
  <c r="C65" i="3"/>
  <c r="C65" i="2"/>
  <c r="C59" i="3"/>
  <c r="C59" i="2"/>
  <c r="A60" i="3"/>
  <c r="A60" i="2"/>
  <c r="B60" i="2"/>
  <c r="P60" i="2" s="1"/>
  <c r="B60" i="3"/>
  <c r="P60" i="3" s="1"/>
  <c r="J60" i="3"/>
  <c r="J60" i="2"/>
  <c r="I61" i="3"/>
  <c r="I61" i="2"/>
  <c r="H62" i="3"/>
  <c r="H62" i="2"/>
  <c r="G63" i="3"/>
  <c r="G63" i="2"/>
  <c r="F64" i="3"/>
  <c r="F64" i="2"/>
  <c r="E65" i="3"/>
  <c r="E65" i="2"/>
  <c r="D64" i="2"/>
  <c r="H55" i="3"/>
  <c r="H55" i="2"/>
  <c r="G56" i="3"/>
  <c r="G56" i="2"/>
  <c r="F57" i="3"/>
  <c r="F57" i="2"/>
  <c r="E58" i="3"/>
  <c r="E58" i="2"/>
  <c r="D59" i="2"/>
  <c r="D59" i="3"/>
  <c r="C60" i="3"/>
  <c r="C60" i="2"/>
  <c r="A61" i="3"/>
  <c r="A61" i="2"/>
  <c r="B61" i="2"/>
  <c r="P61" i="2" s="1"/>
  <c r="B61" i="3"/>
  <c r="P61" i="3" s="1"/>
  <c r="J61" i="3"/>
  <c r="J61" i="2"/>
  <c r="I62" i="2"/>
  <c r="I62" i="3"/>
  <c r="H63" i="3"/>
  <c r="H63" i="2"/>
  <c r="G64" i="3"/>
  <c r="G64" i="2"/>
  <c r="F65" i="3"/>
  <c r="F65" i="2"/>
  <c r="C61" i="2"/>
  <c r="C61" i="3"/>
  <c r="A62" i="3"/>
  <c r="A62" i="2"/>
  <c r="B62" i="3"/>
  <c r="P62" i="3" s="1"/>
  <c r="B62" i="2"/>
  <c r="P62" i="2" s="1"/>
  <c r="J62" i="3"/>
  <c r="J62" i="2"/>
  <c r="I63" i="3"/>
  <c r="I63" i="2"/>
  <c r="H64" i="3"/>
  <c r="H64" i="2"/>
  <c r="G65" i="3"/>
  <c r="G65" i="2"/>
  <c r="M51" i="3" l="1"/>
  <c r="BP51" i="1"/>
  <c r="L51" i="3" s="1"/>
  <c r="M3" i="3"/>
  <c r="BP3" i="1"/>
  <c r="L3" i="3" s="1"/>
  <c r="M13" i="2"/>
  <c r="BJ13" i="1"/>
  <c r="L13" i="2" s="1"/>
  <c r="P19" i="2"/>
  <c r="N63" i="1"/>
  <c r="BH63" i="1"/>
  <c r="BL63" i="1"/>
  <c r="BR63" i="1"/>
  <c r="AW63" i="1" s="1"/>
  <c r="BI63" i="1"/>
  <c r="BO63" i="1"/>
  <c r="M52" i="3"/>
  <c r="BP52" i="1"/>
  <c r="L52" i="3" s="1"/>
  <c r="BO60" i="1"/>
  <c r="BR60" i="1"/>
  <c r="BL60" i="1"/>
  <c r="BI60" i="1"/>
  <c r="M41" i="2"/>
  <c r="BJ41" i="1"/>
  <c r="L41" i="2" s="1"/>
  <c r="BI25" i="1"/>
  <c r="BO25" i="1"/>
  <c r="BL25" i="1"/>
  <c r="BR25" i="1"/>
  <c r="AW25" i="1" s="1"/>
  <c r="BL13" i="1"/>
  <c r="AT13" i="1" s="1"/>
  <c r="BR13" i="1"/>
  <c r="BI13" i="1"/>
  <c r="BO13" i="1"/>
  <c r="BQ37" i="1"/>
  <c r="BS37" i="1" s="1"/>
  <c r="BN37" i="1"/>
  <c r="N37" i="1"/>
  <c r="BH37" i="1"/>
  <c r="N44" i="1"/>
  <c r="BK44" i="1"/>
  <c r="BM44" i="1" s="1"/>
  <c r="BH44" i="1"/>
  <c r="AT21" i="1"/>
  <c r="AU21" i="1" s="1"/>
  <c r="BH24" i="1"/>
  <c r="BK24" i="1"/>
  <c r="BM24" i="1" s="1"/>
  <c r="N24" i="1"/>
  <c r="CI24" i="1"/>
  <c r="CK24" i="1" s="1"/>
  <c r="BN24" i="1"/>
  <c r="BL36" i="1"/>
  <c r="AT36" i="1" s="1"/>
  <c r="BO36" i="1"/>
  <c r="BI36" i="1"/>
  <c r="BR36" i="1"/>
  <c r="AW36" i="1" s="1"/>
  <c r="AW22" i="1"/>
  <c r="N21" i="2"/>
  <c r="O21" i="2" s="1"/>
  <c r="K52" i="2"/>
  <c r="BL29" i="1"/>
  <c r="AT29" i="1" s="1"/>
  <c r="BI29" i="1"/>
  <c r="BR29" i="1"/>
  <c r="AW29" i="1" s="1"/>
  <c r="BO29" i="1"/>
  <c r="M11" i="2"/>
  <c r="BJ11" i="1"/>
  <c r="L11" i="2" s="1"/>
  <c r="N62" i="1"/>
  <c r="BQ62" i="1"/>
  <c r="BS62" i="1" s="1"/>
  <c r="M28" i="3"/>
  <c r="BP28" i="1"/>
  <c r="L28" i="3" s="1"/>
  <c r="K51" i="3"/>
  <c r="AV51" i="1"/>
  <c r="BQ44" i="1"/>
  <c r="BS44" i="1" s="1"/>
  <c r="CI12" i="1"/>
  <c r="CK12" i="1" s="1"/>
  <c r="N11" i="1"/>
  <c r="BK11" i="1"/>
  <c r="BM11" i="1" s="1"/>
  <c r="BR16" i="1"/>
  <c r="AW16" i="1" s="1"/>
  <c r="BI16" i="1"/>
  <c r="BO16" i="1"/>
  <c r="BL16" i="1"/>
  <c r="M65" i="3"/>
  <c r="BP65" i="1"/>
  <c r="L65" i="3" s="1"/>
  <c r="BQ63" i="1"/>
  <c r="BS63" i="1" s="1"/>
  <c r="M43" i="3"/>
  <c r="BP43" i="1"/>
  <c r="L43" i="3" s="1"/>
  <c r="M45" i="3"/>
  <c r="BP45" i="1"/>
  <c r="K56" i="3"/>
  <c r="AV56" i="1"/>
  <c r="M36" i="3"/>
  <c r="BP36" i="1"/>
  <c r="L36" i="3" s="1"/>
  <c r="CI51" i="1"/>
  <c r="CK51" i="1" s="1"/>
  <c r="BK38" i="1"/>
  <c r="BM38" i="1" s="1"/>
  <c r="BR57" i="1"/>
  <c r="BI57" i="1"/>
  <c r="BO57" i="1"/>
  <c r="BL57" i="1"/>
  <c r="AT57" i="1" s="1"/>
  <c r="BI49" i="1"/>
  <c r="BO49" i="1"/>
  <c r="BL49" i="1"/>
  <c r="BR49" i="1"/>
  <c r="AW49" i="1" s="1"/>
  <c r="M11" i="3"/>
  <c r="BP11" i="1"/>
  <c r="L11" i="3" s="1"/>
  <c r="M6" i="3"/>
  <c r="BP6" i="1"/>
  <c r="L6" i="3" s="1"/>
  <c r="BL37" i="1"/>
  <c r="BO37" i="1"/>
  <c r="BR37" i="1"/>
  <c r="AW37" i="1" s="1"/>
  <c r="BI37" i="1"/>
  <c r="BL44" i="1"/>
  <c r="AT44" i="1" s="1"/>
  <c r="BR44" i="1"/>
  <c r="BO44" i="1"/>
  <c r="BI44" i="1"/>
  <c r="K21" i="3"/>
  <c r="BR24" i="1"/>
  <c r="AW24" i="1" s="1"/>
  <c r="BI24" i="1"/>
  <c r="BL24" i="1"/>
  <c r="BO24" i="1"/>
  <c r="P21" i="2"/>
  <c r="BN23" i="1"/>
  <c r="M15" i="3"/>
  <c r="BP15" i="1"/>
  <c r="L15" i="3" s="1"/>
  <c r="BN38" i="1"/>
  <c r="AS56" i="1"/>
  <c r="K52" i="3"/>
  <c r="AV52" i="1"/>
  <c r="BH23" i="1"/>
  <c r="BQ27" i="1"/>
  <c r="BS27" i="1" s="1"/>
  <c r="N55" i="1"/>
  <c r="BK55" i="1"/>
  <c r="BM55" i="1" s="1"/>
  <c r="BH49" i="1"/>
  <c r="BK49" i="1"/>
  <c r="BM49" i="1" s="1"/>
  <c r="N49" i="1"/>
  <c r="CI49" i="1"/>
  <c r="CK49" i="1" s="1"/>
  <c r="BN49" i="1"/>
  <c r="CI44" i="1"/>
  <c r="CK44" i="1" s="1"/>
  <c r="CG20" i="1"/>
  <c r="M20" i="1" s="1"/>
  <c r="CF20" i="1"/>
  <c r="M12" i="3"/>
  <c r="BP12" i="1"/>
  <c r="L12" i="3" s="1"/>
  <c r="K43" i="2"/>
  <c r="AS43" i="1"/>
  <c r="K34" i="3"/>
  <c r="CI31" i="1"/>
  <c r="CK31" i="1" s="1"/>
  <c r="N31" i="1"/>
  <c r="BH31" i="1"/>
  <c r="BN5" i="1"/>
  <c r="P51" i="3"/>
  <c r="CF59" i="1"/>
  <c r="CG59" i="1"/>
  <c r="M59" i="1" s="1"/>
  <c r="BH64" i="1"/>
  <c r="K45" i="2"/>
  <c r="CF26" i="1"/>
  <c r="CG26" i="1"/>
  <c r="M26" i="1" s="1"/>
  <c r="AT56" i="1"/>
  <c r="M54" i="3"/>
  <c r="BP54" i="1"/>
  <c r="L54" i="3" s="1"/>
  <c r="CI37" i="1"/>
  <c r="CK37" i="1" s="1"/>
  <c r="BH57" i="1"/>
  <c r="N57" i="1"/>
  <c r="BQ57" i="1"/>
  <c r="BS57" i="1" s="1"/>
  <c r="BH46" i="1"/>
  <c r="N46" i="1"/>
  <c r="N39" i="1"/>
  <c r="BH39" i="1"/>
  <c r="BR23" i="1"/>
  <c r="AW23" i="1" s="1"/>
  <c r="BI23" i="1"/>
  <c r="BL23" i="1"/>
  <c r="BO23" i="1"/>
  <c r="M41" i="3"/>
  <c r="BP41" i="1"/>
  <c r="L41" i="3" s="1"/>
  <c r="BK39" i="1"/>
  <c r="BM39" i="1" s="1"/>
  <c r="P21" i="3"/>
  <c r="N19" i="2"/>
  <c r="O19" i="2" s="1"/>
  <c r="AU19" i="1"/>
  <c r="N6" i="1"/>
  <c r="BH6" i="1"/>
  <c r="BQ38" i="1"/>
  <c r="BS38" i="1" s="1"/>
  <c r="M16" i="2"/>
  <c r="BJ16" i="1"/>
  <c r="L16" i="2" s="1"/>
  <c r="BQ28" i="1"/>
  <c r="BS28" i="1" s="1"/>
  <c r="AW28" i="1" s="1"/>
  <c r="BI17" i="1"/>
  <c r="BL17" i="1"/>
  <c r="BR17" i="1"/>
  <c r="AW17" i="1" s="1"/>
  <c r="BO17" i="1"/>
  <c r="CI6" i="1"/>
  <c r="CK6" i="1" s="1"/>
  <c r="BK23" i="1"/>
  <c r="BM23" i="1" s="1"/>
  <c r="BH27" i="1"/>
  <c r="BI55" i="1"/>
  <c r="BR55" i="1"/>
  <c r="BO55" i="1"/>
  <c r="BL55" i="1"/>
  <c r="AT55" i="1" s="1"/>
  <c r="BN44" i="1"/>
  <c r="BH29" i="1"/>
  <c r="CI17" i="1"/>
  <c r="CK17" i="1" s="1"/>
  <c r="BN9" i="1"/>
  <c r="BR58" i="1"/>
  <c r="AW58" i="1" s="1"/>
  <c r="BL58" i="1"/>
  <c r="AT58" i="1" s="1"/>
  <c r="BI58" i="1"/>
  <c r="BO58" i="1"/>
  <c r="K43" i="3"/>
  <c r="P43" i="3" s="1"/>
  <c r="AV43" i="1"/>
  <c r="BH9" i="1"/>
  <c r="BN16" i="1"/>
  <c r="BR31" i="1"/>
  <c r="AW31" i="1" s="1"/>
  <c r="BI31" i="1"/>
  <c r="BO31" i="1"/>
  <c r="BL31" i="1"/>
  <c r="AT31" i="1" s="1"/>
  <c r="BN46" i="1"/>
  <c r="BK64" i="1"/>
  <c r="BM64" i="1" s="1"/>
  <c r="M63" i="3"/>
  <c r="BP63" i="1"/>
  <c r="L63" i="3" s="1"/>
  <c r="BK63" i="1"/>
  <c r="BM63" i="1" s="1"/>
  <c r="N52" i="1"/>
  <c r="BH52" i="1"/>
  <c r="BQ52" i="1"/>
  <c r="BS52" i="1" s="1"/>
  <c r="AW52" i="1" s="1"/>
  <c r="M54" i="2"/>
  <c r="BJ54" i="1"/>
  <c r="L54" i="2" s="1"/>
  <c r="BK51" i="1"/>
  <c r="BM51" i="1" s="1"/>
  <c r="BL46" i="1"/>
  <c r="BR46" i="1"/>
  <c r="AW46" i="1" s="1"/>
  <c r="BO46" i="1"/>
  <c r="BI46" i="1"/>
  <c r="BR39" i="1"/>
  <c r="AW39" i="1" s="1"/>
  <c r="BI39" i="1"/>
  <c r="BO39" i="1"/>
  <c r="BL39" i="1"/>
  <c r="AT39" i="1" s="1"/>
  <c r="BO53" i="1"/>
  <c r="BI53" i="1"/>
  <c r="BL53" i="1"/>
  <c r="AT53" i="1" s="1"/>
  <c r="BR53" i="1"/>
  <c r="AW53" i="1" s="1"/>
  <c r="K35" i="2"/>
  <c r="P35" i="2" s="1"/>
  <c r="AS35" i="1"/>
  <c r="BK17" i="1"/>
  <c r="BM17" i="1" s="1"/>
  <c r="BL6" i="1"/>
  <c r="AT6" i="1" s="1"/>
  <c r="BR6" i="1"/>
  <c r="AW6" i="1" s="1"/>
  <c r="BI6" i="1"/>
  <c r="BO6" i="1"/>
  <c r="BN13" i="1"/>
  <c r="N13" i="1"/>
  <c r="M47" i="2"/>
  <c r="BJ47" i="1"/>
  <c r="L47" i="2" s="1"/>
  <c r="BH36" i="1"/>
  <c r="M14" i="3"/>
  <c r="BP14" i="1"/>
  <c r="L14" i="3" s="1"/>
  <c r="CI27" i="1"/>
  <c r="CK27" i="1" s="1"/>
  <c r="BN29" i="1"/>
  <c r="BN32" i="1"/>
  <c r="BN39" i="1"/>
  <c r="BN22" i="1"/>
  <c r="K28" i="3"/>
  <c r="AV28" i="1"/>
  <c r="BQ11" i="1"/>
  <c r="BS11" i="1" s="1"/>
  <c r="BI33" i="1"/>
  <c r="BO33" i="1"/>
  <c r="BR33" i="1"/>
  <c r="AW33" i="1" s="1"/>
  <c r="BL33" i="1"/>
  <c r="AT33" i="1" s="1"/>
  <c r="CG48" i="1"/>
  <c r="M48" i="1" s="1"/>
  <c r="CF48" i="1"/>
  <c r="CG42" i="1"/>
  <c r="M42" i="1" s="1"/>
  <c r="CF42" i="1"/>
  <c r="P10" i="3"/>
  <c r="M45" i="2"/>
  <c r="BJ45" i="1"/>
  <c r="L45" i="2" s="1"/>
  <c r="M55" i="2"/>
  <c r="BJ55" i="1"/>
  <c r="L55" i="2" s="1"/>
  <c r="M4" i="3"/>
  <c r="BP4" i="1"/>
  <c r="L4" i="3" s="1"/>
  <c r="CI39" i="1"/>
  <c r="CK39" i="1" s="1"/>
  <c r="M15" i="1"/>
  <c r="CI15" i="1"/>
  <c r="CK15" i="1" s="1"/>
  <c r="BH15" i="1"/>
  <c r="BH5" i="1"/>
  <c r="N5" i="1"/>
  <c r="BK46" i="1"/>
  <c r="BM46" i="1" s="1"/>
  <c r="K30" i="2"/>
  <c r="AW5" i="1"/>
  <c r="BI9" i="1"/>
  <c r="BO9" i="1"/>
  <c r="BR9" i="1"/>
  <c r="AW9" i="1" s="1"/>
  <c r="BL9" i="1"/>
  <c r="AT9" i="1" s="1"/>
  <c r="K19" i="3"/>
  <c r="AV19" i="1"/>
  <c r="BN27" i="1"/>
  <c r="BH22" i="1"/>
  <c r="K18" i="2"/>
  <c r="K3" i="2"/>
  <c r="BH8" i="1"/>
  <c r="BK8" i="1"/>
  <c r="BM8" i="1" s="1"/>
  <c r="N8" i="1"/>
  <c r="CI8" i="1"/>
  <c r="CK8" i="1" s="1"/>
  <c r="BN8" i="1"/>
  <c r="BH33" i="1"/>
  <c r="BN33" i="1"/>
  <c r="N33" i="1"/>
  <c r="CI33" i="1"/>
  <c r="CK33" i="1" s="1"/>
  <c r="BK33" i="1"/>
  <c r="BM33" i="1" s="1"/>
  <c r="M58" i="2"/>
  <c r="BJ58" i="1"/>
  <c r="L58" i="2" s="1"/>
  <c r="M59" i="3"/>
  <c r="BP59" i="1"/>
  <c r="L59" i="3" s="1"/>
  <c r="BQ64" i="1"/>
  <c r="BS64" i="1" s="1"/>
  <c r="P43" i="2"/>
  <c r="BH40" i="1"/>
  <c r="BK40" i="1"/>
  <c r="BM40" i="1" s="1"/>
  <c r="N40" i="1"/>
  <c r="CI40" i="1"/>
  <c r="CK40" i="1" s="1"/>
  <c r="BN40" i="1"/>
  <c r="BN17" i="1"/>
  <c r="N17" i="1"/>
  <c r="P28" i="2"/>
  <c r="M21" i="3"/>
  <c r="BP21" i="1"/>
  <c r="L21" i="3" s="1"/>
  <c r="K4" i="3"/>
  <c r="P4" i="3" s="1"/>
  <c r="AV4" i="1"/>
  <c r="M28" i="2"/>
  <c r="BJ28" i="1"/>
  <c r="L28" i="2" s="1"/>
  <c r="K35" i="3"/>
  <c r="P35" i="3" s="1"/>
  <c r="AV35" i="1"/>
  <c r="BH18" i="1"/>
  <c r="N18" i="1"/>
  <c r="BN18" i="1"/>
  <c r="BQ18" i="1"/>
  <c r="BS18" i="1" s="1"/>
  <c r="AW18" i="1" s="1"/>
  <c r="BK18" i="1"/>
  <c r="BM18" i="1" s="1"/>
  <c r="CI18" i="1"/>
  <c r="CK18" i="1" s="1"/>
  <c r="N3" i="1"/>
  <c r="BH3" i="1"/>
  <c r="BK3" i="1"/>
  <c r="BM3" i="1" s="1"/>
  <c r="AT5" i="1"/>
  <c r="BQ55" i="1"/>
  <c r="BS55" i="1" s="1"/>
  <c r="N14" i="1"/>
  <c r="BH14" i="1"/>
  <c r="BH65" i="1"/>
  <c r="N65" i="1"/>
  <c r="BH32" i="1"/>
  <c r="N32" i="1"/>
  <c r="BK32" i="1"/>
  <c r="BM32" i="1" s="1"/>
  <c r="BK22" i="1"/>
  <c r="BM22" i="1" s="1"/>
  <c r="AT22" i="1" s="1"/>
  <c r="M10" i="2"/>
  <c r="BJ10" i="1"/>
  <c r="M7" i="3"/>
  <c r="BP7" i="1"/>
  <c r="L7" i="3" s="1"/>
  <c r="N47" i="1"/>
  <c r="CI47" i="1"/>
  <c r="CK47" i="1" s="1"/>
  <c r="BN47" i="1"/>
  <c r="BQ32" i="1"/>
  <c r="BS32" i="1" s="1"/>
  <c r="BH17" i="1"/>
  <c r="K28" i="2"/>
  <c r="BR8" i="1"/>
  <c r="AW8" i="1" s="1"/>
  <c r="BI8" i="1"/>
  <c r="BO8" i="1"/>
  <c r="BL8" i="1"/>
  <c r="AT8" i="1" s="1"/>
  <c r="BK27" i="1"/>
  <c r="BM27" i="1" s="1"/>
  <c r="BL64" i="1"/>
  <c r="BI64" i="1"/>
  <c r="BO64" i="1"/>
  <c r="BR64" i="1"/>
  <c r="AW64" i="1" s="1"/>
  <c r="BH61" i="1"/>
  <c r="N61" i="1"/>
  <c r="BK61" i="1"/>
  <c r="BM61" i="1" s="1"/>
  <c r="BQ61" i="1"/>
  <c r="BS61" i="1" s="1"/>
  <c r="P28" i="3"/>
  <c r="BH34" i="1"/>
  <c r="BN34" i="1"/>
  <c r="N34" i="1"/>
  <c r="BK34" i="1"/>
  <c r="BM34" i="1" s="1"/>
  <c r="AT34" i="1" s="1"/>
  <c r="BQ34" i="1"/>
  <c r="BS34" i="1" s="1"/>
  <c r="CI34" i="1"/>
  <c r="CK34" i="1" s="1"/>
  <c r="N10" i="3"/>
  <c r="O10" i="3" s="1"/>
  <c r="AX10" i="1"/>
  <c r="K5" i="3"/>
  <c r="N38" i="1"/>
  <c r="BH38" i="1"/>
  <c r="BH50" i="1"/>
  <c r="BN50" i="1"/>
  <c r="N50" i="1"/>
  <c r="CI50" i="1"/>
  <c r="CK50" i="1" s="1"/>
  <c r="BQ50" i="1"/>
  <c r="BS50" i="1" s="1"/>
  <c r="BK50" i="1"/>
  <c r="BM50" i="1" s="1"/>
  <c r="BO27" i="1"/>
  <c r="BI27" i="1"/>
  <c r="BR27" i="1"/>
  <c r="AW27" i="1" s="1"/>
  <c r="BL27" i="1"/>
  <c r="AT27" i="1" s="1"/>
  <c r="BL65" i="1"/>
  <c r="AT65" i="1" s="1"/>
  <c r="BR65" i="1"/>
  <c r="AW65" i="1" s="1"/>
  <c r="BO65" i="1"/>
  <c r="BI65" i="1"/>
  <c r="BR32" i="1"/>
  <c r="BI32" i="1"/>
  <c r="BO32" i="1"/>
  <c r="BL32" i="1"/>
  <c r="K51" i="2"/>
  <c r="BK14" i="1"/>
  <c r="BM14" i="1" s="1"/>
  <c r="BR47" i="1"/>
  <c r="AW47" i="1" s="1"/>
  <c r="BI47" i="1"/>
  <c r="BO47" i="1"/>
  <c r="BL47" i="1"/>
  <c r="AT47" i="1" s="1"/>
  <c r="K41" i="3"/>
  <c r="P41" i="3" s="1"/>
  <c r="AV41" i="1"/>
  <c r="K34" i="2"/>
  <c r="AT18" i="1"/>
  <c r="AT3" i="1"/>
  <c r="AT28" i="1"/>
  <c r="BK7" i="1"/>
  <c r="BM7" i="1" s="1"/>
  <c r="BH7" i="1"/>
  <c r="N7" i="1"/>
  <c r="M53" i="2"/>
  <c r="BJ53" i="1"/>
  <c r="L53" i="2" s="1"/>
  <c r="M62" i="2"/>
  <c r="BJ62" i="1"/>
  <c r="L62" i="2" s="1"/>
  <c r="BR40" i="1"/>
  <c r="AW40" i="1" s="1"/>
  <c r="BI40" i="1"/>
  <c r="BL40" i="1"/>
  <c r="AT40" i="1" s="1"/>
  <c r="BO40" i="1"/>
  <c r="N51" i="1"/>
  <c r="BH51" i="1"/>
  <c r="BQ51" i="1"/>
  <c r="BS51" i="1" s="1"/>
  <c r="AW51" i="1" s="1"/>
  <c r="M31" i="3"/>
  <c r="BP31" i="1"/>
  <c r="L31" i="3" s="1"/>
  <c r="M62" i="3"/>
  <c r="BP62" i="1"/>
  <c r="L62" i="3" s="1"/>
  <c r="P19" i="3"/>
  <c r="M64" i="3"/>
  <c r="BP64" i="1"/>
  <c r="L64" i="3" s="1"/>
  <c r="M35" i="3"/>
  <c r="BP35" i="1"/>
  <c r="L35" i="3" s="1"/>
  <c r="BO61" i="1"/>
  <c r="BL61" i="1"/>
  <c r="AT61" i="1" s="1"/>
  <c r="BI61" i="1"/>
  <c r="BR61" i="1"/>
  <c r="AW61" i="1" s="1"/>
  <c r="BK52" i="1"/>
  <c r="BM52" i="1" s="1"/>
  <c r="AT52" i="1" s="1"/>
  <c r="BK37" i="1"/>
  <c r="BM37" i="1" s="1"/>
  <c r="BI54" i="1"/>
  <c r="BR54" i="1"/>
  <c r="AW54" i="1" s="1"/>
  <c r="BL54" i="1"/>
  <c r="AT54" i="1" s="1"/>
  <c r="BO54" i="1"/>
  <c r="BH60" i="1"/>
  <c r="N60" i="1"/>
  <c r="BQ60" i="1"/>
  <c r="BS60" i="1" s="1"/>
  <c r="BK60" i="1"/>
  <c r="BM60" i="1" s="1"/>
  <c r="K4" i="2"/>
  <c r="P4" i="2" s="1"/>
  <c r="AS4" i="1"/>
  <c r="BN30" i="1"/>
  <c r="N30" i="1"/>
  <c r="BQ30" i="1"/>
  <c r="BS30" i="1" s="1"/>
  <c r="AW30" i="1" s="1"/>
  <c r="M4" i="2"/>
  <c r="BJ4" i="1"/>
  <c r="L4" i="2" s="1"/>
  <c r="AW4" i="1"/>
  <c r="BL38" i="1"/>
  <c r="AT38" i="1" s="1"/>
  <c r="BR38" i="1"/>
  <c r="AW38" i="1" s="1"/>
  <c r="BO38" i="1"/>
  <c r="BI38" i="1"/>
  <c r="BO50" i="1"/>
  <c r="BL50" i="1"/>
  <c r="BR50" i="1"/>
  <c r="BI50" i="1"/>
  <c r="BL12" i="1"/>
  <c r="AT12" i="1" s="1"/>
  <c r="BR12" i="1"/>
  <c r="AW12" i="1" s="1"/>
  <c r="BI12" i="1"/>
  <c r="BO12" i="1"/>
  <c r="K22" i="2"/>
  <c r="CI46" i="1"/>
  <c r="CK46" i="1" s="1"/>
  <c r="M55" i="3"/>
  <c r="BP55" i="1"/>
  <c r="L55" i="3" s="1"/>
  <c r="BL14" i="1"/>
  <c r="BI14" i="1"/>
  <c r="BR14" i="1"/>
  <c r="AW14" i="1" s="1"/>
  <c r="BO14" i="1"/>
  <c r="N12" i="1"/>
  <c r="BH12" i="1"/>
  <c r="BO62" i="1"/>
  <c r="BL62" i="1"/>
  <c r="AT62" i="1" s="1"/>
  <c r="BI62" i="1"/>
  <c r="BR62" i="1"/>
  <c r="AW62" i="1" s="1"/>
  <c r="CI28" i="1"/>
  <c r="CK28" i="1" s="1"/>
  <c r="AT51" i="1"/>
  <c r="BH30" i="1"/>
  <c r="BH25" i="1"/>
  <c r="BK25" i="1"/>
  <c r="BM25" i="1" s="1"/>
  <c r="N25" i="1"/>
  <c r="BN25" i="1"/>
  <c r="CI25" i="1"/>
  <c r="CK25" i="1" s="1"/>
  <c r="BQ13" i="1"/>
  <c r="BS13" i="1" s="1"/>
  <c r="P45" i="2"/>
  <c r="K41" i="2"/>
  <c r="P41" i="2" s="1"/>
  <c r="AS41" i="1"/>
  <c r="BO11" i="1"/>
  <c r="BL11" i="1"/>
  <c r="AT11" i="1" s="1"/>
  <c r="BI11" i="1"/>
  <c r="BR11" i="1"/>
  <c r="AW11" i="1" s="1"/>
  <c r="AW34" i="1"/>
  <c r="K18" i="3"/>
  <c r="K3" i="3"/>
  <c r="P3" i="3" s="1"/>
  <c r="AV3" i="1"/>
  <c r="N16" i="1"/>
  <c r="BK16" i="1"/>
  <c r="BM16" i="1" s="1"/>
  <c r="BR7" i="1"/>
  <c r="AW7" i="1" s="1"/>
  <c r="BI7" i="1"/>
  <c r="BO7" i="1"/>
  <c r="BL7" i="1"/>
  <c r="AT7" i="1" s="1"/>
  <c r="BQ3" i="1"/>
  <c r="BS3" i="1" s="1"/>
  <c r="AW3" i="1" s="1"/>
  <c r="N35" i="3" l="1"/>
  <c r="O35" i="3" s="1"/>
  <c r="AX35" i="1"/>
  <c r="M25" i="2"/>
  <c r="BJ25" i="1"/>
  <c r="L25" i="2" s="1"/>
  <c r="N3" i="3"/>
  <c r="O3" i="3" s="1"/>
  <c r="AX3" i="1"/>
  <c r="K62" i="2"/>
  <c r="AS62" i="1"/>
  <c r="AT14" i="1"/>
  <c r="K50" i="3"/>
  <c r="M60" i="2"/>
  <c r="BJ60" i="1"/>
  <c r="L60" i="2" s="1"/>
  <c r="K40" i="3"/>
  <c r="K65" i="2"/>
  <c r="K27" i="2"/>
  <c r="M38" i="2"/>
  <c r="BJ38" i="1"/>
  <c r="L38" i="2" s="1"/>
  <c r="M17" i="2"/>
  <c r="BJ17" i="1"/>
  <c r="L17" i="2" s="1"/>
  <c r="L10" i="2"/>
  <c r="P10" i="2" s="1"/>
  <c r="AS10" i="1"/>
  <c r="M14" i="2"/>
  <c r="BJ14" i="1"/>
  <c r="L14" i="2" s="1"/>
  <c r="M3" i="2"/>
  <c r="BJ3" i="1"/>
  <c r="M18" i="2"/>
  <c r="BJ18" i="1"/>
  <c r="M33" i="2"/>
  <c r="BJ33" i="1"/>
  <c r="L33" i="2" s="1"/>
  <c r="BO15" i="1"/>
  <c r="BL15" i="1"/>
  <c r="AT15" i="1" s="1"/>
  <c r="BR15" i="1"/>
  <c r="AW15" i="1" s="1"/>
  <c r="BI15" i="1"/>
  <c r="M22" i="3"/>
  <c r="BP22" i="1"/>
  <c r="K6" i="2"/>
  <c r="K46" i="2"/>
  <c r="K58" i="2"/>
  <c r="AS58" i="1"/>
  <c r="K55" i="3"/>
  <c r="AV55" i="1"/>
  <c r="M6" i="2"/>
  <c r="BJ6" i="1"/>
  <c r="L6" i="2" s="1"/>
  <c r="M46" i="2"/>
  <c r="BJ46" i="1"/>
  <c r="L46" i="2" s="1"/>
  <c r="N20" i="1"/>
  <c r="BK20" i="1"/>
  <c r="BM20" i="1" s="1"/>
  <c r="CI20" i="1"/>
  <c r="CK20" i="1" s="1"/>
  <c r="BN20" i="1"/>
  <c r="BQ20" i="1"/>
  <c r="BS20" i="1" s="1"/>
  <c r="BH20" i="1"/>
  <c r="AT24" i="1"/>
  <c r="K57" i="2"/>
  <c r="M37" i="2"/>
  <c r="BJ37" i="1"/>
  <c r="L37" i="2" s="1"/>
  <c r="AT60" i="1"/>
  <c r="M39" i="3"/>
  <c r="BP39" i="1"/>
  <c r="L39" i="3" s="1"/>
  <c r="K46" i="3"/>
  <c r="M16" i="3"/>
  <c r="BP16" i="1"/>
  <c r="L16" i="3" s="1"/>
  <c r="AW55" i="1"/>
  <c r="AT17" i="1"/>
  <c r="K23" i="3"/>
  <c r="AV23" i="1"/>
  <c r="M64" i="2"/>
  <c r="BJ64" i="1"/>
  <c r="L64" i="2" s="1"/>
  <c r="BR20" i="1"/>
  <c r="BI20" i="1"/>
  <c r="BO20" i="1"/>
  <c r="BL20" i="1"/>
  <c r="K24" i="2"/>
  <c r="AS24" i="1"/>
  <c r="K37" i="2"/>
  <c r="AW57" i="1"/>
  <c r="K29" i="2"/>
  <c r="P29" i="2" s="1"/>
  <c r="AS29" i="1"/>
  <c r="AW60" i="1"/>
  <c r="K63" i="3"/>
  <c r="AV63" i="1"/>
  <c r="K62" i="3"/>
  <c r="AV62" i="1"/>
  <c r="K12" i="2"/>
  <c r="AS12" i="1"/>
  <c r="K38" i="3"/>
  <c r="P38" i="3" s="1"/>
  <c r="M30" i="3"/>
  <c r="BP30" i="1"/>
  <c r="K54" i="3"/>
  <c r="AV54" i="1"/>
  <c r="K40" i="2"/>
  <c r="M7" i="2"/>
  <c r="BJ7" i="1"/>
  <c r="L7" i="2" s="1"/>
  <c r="N41" i="3"/>
  <c r="O41" i="3" s="1"/>
  <c r="AX41" i="1"/>
  <c r="M34" i="3"/>
  <c r="BP34" i="1"/>
  <c r="K8" i="2"/>
  <c r="AS8" i="1"/>
  <c r="M47" i="3"/>
  <c r="BP47" i="1"/>
  <c r="L47" i="3" s="1"/>
  <c r="M36" i="2"/>
  <c r="BJ36" i="1"/>
  <c r="L36" i="2" s="1"/>
  <c r="K53" i="2"/>
  <c r="AS53" i="1"/>
  <c r="M52" i="2"/>
  <c r="BJ52" i="1"/>
  <c r="K55" i="2"/>
  <c r="AS55" i="1"/>
  <c r="K17" i="2"/>
  <c r="P17" i="2" s="1"/>
  <c r="AS17" i="1"/>
  <c r="AT23" i="1"/>
  <c r="BO26" i="1"/>
  <c r="BI26" i="1"/>
  <c r="BR26" i="1"/>
  <c r="BL26" i="1"/>
  <c r="BI59" i="1"/>
  <c r="BR59" i="1"/>
  <c r="BO59" i="1"/>
  <c r="BL59" i="1"/>
  <c r="M38" i="3"/>
  <c r="BP38" i="1"/>
  <c r="L38" i="3" s="1"/>
  <c r="L45" i="3"/>
  <c r="P45" i="3" s="1"/>
  <c r="AV45" i="1"/>
  <c r="M37" i="3"/>
  <c r="BP37" i="1"/>
  <c r="L37" i="3" s="1"/>
  <c r="AT25" i="1"/>
  <c r="K60" i="3"/>
  <c r="AV60" i="1"/>
  <c r="K63" i="2"/>
  <c r="K23" i="2"/>
  <c r="P23" i="2" s="1"/>
  <c r="M57" i="2"/>
  <c r="BJ57" i="1"/>
  <c r="L57" i="2" s="1"/>
  <c r="BH26" i="1"/>
  <c r="N26" i="1"/>
  <c r="CI26" i="1"/>
  <c r="CK26" i="1" s="1"/>
  <c r="BQ26" i="1"/>
  <c r="BS26" i="1" s="1"/>
  <c r="BK26" i="1"/>
  <c r="BM26" i="1" s="1"/>
  <c r="BN26" i="1"/>
  <c r="BH59" i="1"/>
  <c r="N59" i="1"/>
  <c r="BK59" i="1"/>
  <c r="BM59" i="1" s="1"/>
  <c r="BQ59" i="1"/>
  <c r="BS59" i="1" s="1"/>
  <c r="N43" i="2"/>
  <c r="O43" i="2" s="1"/>
  <c r="AU43" i="1"/>
  <c r="M49" i="3"/>
  <c r="BP49" i="1"/>
  <c r="L49" i="3" s="1"/>
  <c r="M23" i="2"/>
  <c r="BJ23" i="1"/>
  <c r="L23" i="2" s="1"/>
  <c r="AV21" i="1"/>
  <c r="K37" i="3"/>
  <c r="P37" i="3" s="1"/>
  <c r="AT49" i="1"/>
  <c r="AT16" i="1"/>
  <c r="M24" i="2"/>
  <c r="BJ24" i="1"/>
  <c r="L24" i="2" s="1"/>
  <c r="K25" i="3"/>
  <c r="K38" i="2"/>
  <c r="P38" i="2" s="1"/>
  <c r="AS38" i="1"/>
  <c r="K27" i="3"/>
  <c r="AV27" i="1"/>
  <c r="M61" i="2"/>
  <c r="BJ61" i="1"/>
  <c r="L61" i="2" s="1"/>
  <c r="N41" i="2"/>
  <c r="O41" i="2" s="1"/>
  <c r="AU41" i="1"/>
  <c r="K7" i="3"/>
  <c r="P7" i="3" s="1"/>
  <c r="AV7" i="1"/>
  <c r="M30" i="2"/>
  <c r="BJ30" i="1"/>
  <c r="N4" i="2"/>
  <c r="O4" i="2" s="1"/>
  <c r="AU4" i="1"/>
  <c r="K61" i="2"/>
  <c r="M22" i="2"/>
  <c r="BJ22" i="1"/>
  <c r="M5" i="2"/>
  <c r="BJ5" i="1"/>
  <c r="BH42" i="1"/>
  <c r="BN42" i="1"/>
  <c r="N42" i="1"/>
  <c r="CI42" i="1"/>
  <c r="CK42" i="1" s="1"/>
  <c r="BQ42" i="1"/>
  <c r="BS42" i="1" s="1"/>
  <c r="BK42" i="1"/>
  <c r="BM42" i="1" s="1"/>
  <c r="K33" i="3"/>
  <c r="M32" i="3"/>
  <c r="BP32" i="1"/>
  <c r="L32" i="3" s="1"/>
  <c r="K53" i="3"/>
  <c r="AV53" i="1"/>
  <c r="AT46" i="1"/>
  <c r="M9" i="2"/>
  <c r="BJ9" i="1"/>
  <c r="L9" i="2" s="1"/>
  <c r="M9" i="3"/>
  <c r="BP9" i="1"/>
  <c r="L9" i="3" s="1"/>
  <c r="M27" i="2"/>
  <c r="BJ27" i="1"/>
  <c r="L27" i="2" s="1"/>
  <c r="K7" i="2"/>
  <c r="P7" i="2" s="1"/>
  <c r="AS7" i="1"/>
  <c r="AT32" i="1"/>
  <c r="M46" i="3"/>
  <c r="BP46" i="1"/>
  <c r="L46" i="3" s="1"/>
  <c r="M5" i="3"/>
  <c r="BP5" i="1"/>
  <c r="AT37" i="1"/>
  <c r="K49" i="3"/>
  <c r="AV49" i="1"/>
  <c r="K16" i="3"/>
  <c r="P16" i="3" s="1"/>
  <c r="AV16" i="1"/>
  <c r="K36" i="2"/>
  <c r="P36" i="2" s="1"/>
  <c r="K25" i="2"/>
  <c r="P25" i="2" s="1"/>
  <c r="AS25" i="1"/>
  <c r="AT63" i="1"/>
  <c r="K64" i="3"/>
  <c r="AV64" i="1"/>
  <c r="AS28" i="1"/>
  <c r="K9" i="2"/>
  <c r="M15" i="2"/>
  <c r="BJ15" i="1"/>
  <c r="L15" i="2" s="1"/>
  <c r="BO42" i="1"/>
  <c r="BL42" i="1"/>
  <c r="AT42" i="1" s="1"/>
  <c r="BR42" i="1"/>
  <c r="BI42" i="1"/>
  <c r="K33" i="2"/>
  <c r="P33" i="2" s="1"/>
  <c r="AS33" i="1"/>
  <c r="M29" i="3"/>
  <c r="BP29" i="1"/>
  <c r="L29" i="3" s="1"/>
  <c r="K14" i="3"/>
  <c r="P14" i="3" s="1"/>
  <c r="AV14" i="1"/>
  <c r="K50" i="2"/>
  <c r="K54" i="2"/>
  <c r="AS54" i="1"/>
  <c r="K61" i="3"/>
  <c r="AV61" i="1"/>
  <c r="M51" i="2"/>
  <c r="BJ51" i="1"/>
  <c r="K47" i="3"/>
  <c r="P47" i="3" s="1"/>
  <c r="AV47" i="1"/>
  <c r="K32" i="3"/>
  <c r="P32" i="3" s="1"/>
  <c r="K64" i="2"/>
  <c r="AS64" i="1"/>
  <c r="M32" i="2"/>
  <c r="BJ32" i="1"/>
  <c r="L32" i="2" s="1"/>
  <c r="N4" i="3"/>
  <c r="O4" i="3" s="1"/>
  <c r="AX4" i="1"/>
  <c r="M8" i="2"/>
  <c r="BJ8" i="1"/>
  <c r="L8" i="2" s="1"/>
  <c r="M27" i="3"/>
  <c r="BP27" i="1"/>
  <c r="L27" i="3" s="1"/>
  <c r="BH48" i="1"/>
  <c r="N48" i="1"/>
  <c r="BK48" i="1"/>
  <c r="BM48" i="1" s="1"/>
  <c r="CI48" i="1"/>
  <c r="CK48" i="1" s="1"/>
  <c r="BQ48" i="1"/>
  <c r="BS48" i="1" s="1"/>
  <c r="BN48" i="1"/>
  <c r="N35" i="2"/>
  <c r="O35" i="2" s="1"/>
  <c r="AU35" i="1"/>
  <c r="K39" i="3"/>
  <c r="AV39" i="1"/>
  <c r="N43" i="3"/>
  <c r="O43" i="3" s="1"/>
  <c r="AX43" i="1"/>
  <c r="M29" i="2"/>
  <c r="BJ29" i="1"/>
  <c r="L29" i="2" s="1"/>
  <c r="M39" i="2"/>
  <c r="BJ39" i="1"/>
  <c r="L39" i="2" s="1"/>
  <c r="M31" i="2"/>
  <c r="BJ31" i="1"/>
  <c r="L31" i="2" s="1"/>
  <c r="N52" i="3"/>
  <c r="O52" i="3" s="1"/>
  <c r="AX52" i="1"/>
  <c r="M23" i="3"/>
  <c r="BP23" i="1"/>
  <c r="L23" i="3" s="1"/>
  <c r="K44" i="2"/>
  <c r="K49" i="2"/>
  <c r="P49" i="2" s="1"/>
  <c r="K16" i="2"/>
  <c r="P16" i="2" s="1"/>
  <c r="AS16" i="1"/>
  <c r="K36" i="3"/>
  <c r="P36" i="3" s="1"/>
  <c r="AV36" i="1"/>
  <c r="M44" i="2"/>
  <c r="BJ44" i="1"/>
  <c r="L44" i="2" s="1"/>
  <c r="K13" i="3"/>
  <c r="P13" i="3" s="1"/>
  <c r="AV13" i="1"/>
  <c r="K11" i="3"/>
  <c r="P11" i="3" s="1"/>
  <c r="AV11" i="1"/>
  <c r="K12" i="3"/>
  <c r="P12" i="3" s="1"/>
  <c r="AV12" i="1"/>
  <c r="K65" i="3"/>
  <c r="AV65" i="1"/>
  <c r="K8" i="3"/>
  <c r="M8" i="3"/>
  <c r="BP8" i="1"/>
  <c r="L8" i="3" s="1"/>
  <c r="M12" i="2"/>
  <c r="BJ12" i="1"/>
  <c r="L12" i="2" s="1"/>
  <c r="M17" i="3"/>
  <c r="BP17" i="1"/>
  <c r="L17" i="3" s="1"/>
  <c r="BR48" i="1"/>
  <c r="BI48" i="1"/>
  <c r="BO48" i="1"/>
  <c r="BL48" i="1"/>
  <c r="AT48" i="1" s="1"/>
  <c r="N28" i="3"/>
  <c r="O28" i="3" s="1"/>
  <c r="AX28" i="1"/>
  <c r="K44" i="3"/>
  <c r="P44" i="3" s="1"/>
  <c r="AV44" i="1"/>
  <c r="K13" i="2"/>
  <c r="P13" i="2" s="1"/>
  <c r="AS13" i="1"/>
  <c r="M63" i="2"/>
  <c r="BJ63" i="1"/>
  <c r="L63" i="2" s="1"/>
  <c r="M34" i="2"/>
  <c r="BJ34" i="1"/>
  <c r="M40" i="2"/>
  <c r="BJ40" i="1"/>
  <c r="L40" i="2" s="1"/>
  <c r="K9" i="3"/>
  <c r="P9" i="3" s="1"/>
  <c r="AV9" i="1"/>
  <c r="AW50" i="1"/>
  <c r="K47" i="2"/>
  <c r="P47" i="2" s="1"/>
  <c r="AS47" i="1"/>
  <c r="K32" i="2"/>
  <c r="AS32" i="1"/>
  <c r="M50" i="3"/>
  <c r="BP50" i="1"/>
  <c r="L50" i="3" s="1"/>
  <c r="AT64" i="1"/>
  <c r="M18" i="3"/>
  <c r="BP18" i="1"/>
  <c r="M13" i="3"/>
  <c r="BP13" i="1"/>
  <c r="L13" i="3" s="1"/>
  <c r="K39" i="2"/>
  <c r="AS39" i="1"/>
  <c r="K31" i="3"/>
  <c r="P31" i="3" s="1"/>
  <c r="AV31" i="1"/>
  <c r="M44" i="3"/>
  <c r="BP44" i="1"/>
  <c r="L44" i="3" s="1"/>
  <c r="AS45" i="1"/>
  <c r="K11" i="2"/>
  <c r="P11" i="2" s="1"/>
  <c r="AS11" i="1"/>
  <c r="M25" i="3"/>
  <c r="BP25" i="1"/>
  <c r="L25" i="3" s="1"/>
  <c r="K14" i="2"/>
  <c r="P14" i="2" s="1"/>
  <c r="AS14" i="1"/>
  <c r="AT50" i="1"/>
  <c r="AW32" i="1"/>
  <c r="M50" i="2"/>
  <c r="BJ50" i="1"/>
  <c r="L50" i="2" s="1"/>
  <c r="M65" i="2"/>
  <c r="BJ65" i="1"/>
  <c r="L65" i="2" s="1"/>
  <c r="M40" i="3"/>
  <c r="BP40" i="1"/>
  <c r="L40" i="3" s="1"/>
  <c r="M33" i="3"/>
  <c r="BP33" i="1"/>
  <c r="L33" i="3" s="1"/>
  <c r="N19" i="3"/>
  <c r="O19" i="3" s="1"/>
  <c r="AX19" i="1"/>
  <c r="K6" i="3"/>
  <c r="P6" i="3" s="1"/>
  <c r="AV6" i="1"/>
  <c r="K31" i="2"/>
  <c r="P31" i="2" s="1"/>
  <c r="AS31" i="1"/>
  <c r="K58" i="3"/>
  <c r="AV58" i="1"/>
  <c r="K17" i="3"/>
  <c r="M49" i="2"/>
  <c r="BJ49" i="1"/>
  <c r="L49" i="2" s="1"/>
  <c r="N56" i="2"/>
  <c r="O56" i="2" s="1"/>
  <c r="AU56" i="1"/>
  <c r="K24" i="3"/>
  <c r="AW44" i="1"/>
  <c r="K57" i="3"/>
  <c r="AV57" i="1"/>
  <c r="N56" i="3"/>
  <c r="O56" i="3" s="1"/>
  <c r="AX56" i="1"/>
  <c r="N51" i="3"/>
  <c r="O51" i="3" s="1"/>
  <c r="AX51" i="1"/>
  <c r="K29" i="3"/>
  <c r="P29" i="3" s="1"/>
  <c r="M24" i="3"/>
  <c r="BP24" i="1"/>
  <c r="L24" i="3" s="1"/>
  <c r="AW13" i="1"/>
  <c r="K60" i="2"/>
  <c r="AS60" i="1"/>
  <c r="P44" i="2" l="1"/>
  <c r="M59" i="2"/>
  <c r="BJ59" i="1"/>
  <c r="L59" i="2" s="1"/>
  <c r="AW59" i="1"/>
  <c r="P24" i="2"/>
  <c r="P23" i="3"/>
  <c r="P6" i="2"/>
  <c r="N62" i="2"/>
  <c r="O62" i="2" s="1"/>
  <c r="AU62" i="1"/>
  <c r="N57" i="3"/>
  <c r="O57" i="3" s="1"/>
  <c r="AX57" i="1"/>
  <c r="L5" i="3"/>
  <c r="P5" i="3" s="1"/>
  <c r="AV5" i="1"/>
  <c r="M42" i="3"/>
  <c r="BP42" i="1"/>
  <c r="L42" i="3" s="1"/>
  <c r="AV29" i="1"/>
  <c r="P17" i="3"/>
  <c r="P32" i="2"/>
  <c r="L34" i="2"/>
  <c r="P34" i="2" s="1"/>
  <c r="AS34" i="1"/>
  <c r="N12" i="3"/>
  <c r="O12" i="3" s="1"/>
  <c r="AX12" i="1"/>
  <c r="N36" i="3"/>
  <c r="O36" i="3" s="1"/>
  <c r="AX36" i="1"/>
  <c r="M48" i="3"/>
  <c r="BP48" i="1"/>
  <c r="L48" i="3" s="1"/>
  <c r="AV32" i="1"/>
  <c r="N54" i="2"/>
  <c r="O54" i="2" s="1"/>
  <c r="AU54" i="1"/>
  <c r="N33" i="2"/>
  <c r="O33" i="2" s="1"/>
  <c r="AU33" i="1"/>
  <c r="AS9" i="1"/>
  <c r="AS36" i="1"/>
  <c r="M42" i="2"/>
  <c r="BJ42" i="1"/>
  <c r="L42" i="2" s="1"/>
  <c r="M26" i="3"/>
  <c r="BP26" i="1"/>
  <c r="L26" i="3" s="1"/>
  <c r="AS23" i="1"/>
  <c r="K59" i="2"/>
  <c r="N55" i="2"/>
  <c r="O55" i="2" s="1"/>
  <c r="AU55" i="1"/>
  <c r="AV38" i="1"/>
  <c r="AT20" i="1"/>
  <c r="M20" i="3"/>
  <c r="BP20" i="1"/>
  <c r="L20" i="3" s="1"/>
  <c r="N55" i="3"/>
  <c r="O55" i="3" s="1"/>
  <c r="AX55" i="1"/>
  <c r="L22" i="3"/>
  <c r="P22" i="3" s="1"/>
  <c r="AV22" i="1"/>
  <c r="L18" i="2"/>
  <c r="P18" i="2" s="1"/>
  <c r="AS18" i="1"/>
  <c r="AV40" i="1"/>
  <c r="AV24" i="1"/>
  <c r="N47" i="2"/>
  <c r="O47" i="2" s="1"/>
  <c r="AU47" i="1"/>
  <c r="AV33" i="1"/>
  <c r="L5" i="2"/>
  <c r="P5" i="2" s="1"/>
  <c r="AS5" i="1"/>
  <c r="L30" i="2"/>
  <c r="P30" i="2" s="1"/>
  <c r="AS30" i="1"/>
  <c r="N27" i="3"/>
  <c r="O27" i="3" s="1"/>
  <c r="AX27" i="1"/>
  <c r="N45" i="3"/>
  <c r="O45" i="3" s="1"/>
  <c r="AX45" i="1"/>
  <c r="AT26" i="1"/>
  <c r="N29" i="2"/>
  <c r="O29" i="2" s="1"/>
  <c r="AU29" i="1"/>
  <c r="K20" i="3"/>
  <c r="P20" i="3" s="1"/>
  <c r="AV20" i="1"/>
  <c r="P40" i="3"/>
  <c r="N39" i="2"/>
  <c r="O39" i="2" s="1"/>
  <c r="AU39" i="1"/>
  <c r="N44" i="3"/>
  <c r="O44" i="3" s="1"/>
  <c r="AX44" i="1"/>
  <c r="N65" i="3"/>
  <c r="O65" i="3" s="1"/>
  <c r="AX65" i="1"/>
  <c r="AV17" i="1"/>
  <c r="N11" i="2"/>
  <c r="O11" i="2" s="1"/>
  <c r="AU11" i="1"/>
  <c r="N32" i="2"/>
  <c r="O32" i="2" s="1"/>
  <c r="AU32" i="1"/>
  <c r="P33" i="3"/>
  <c r="P27" i="3"/>
  <c r="AS63" i="1"/>
  <c r="AW26" i="1"/>
  <c r="L52" i="2"/>
  <c r="AS52" i="1"/>
  <c r="N8" i="2"/>
  <c r="O8" i="2" s="1"/>
  <c r="AU8" i="1"/>
  <c r="AS40" i="1"/>
  <c r="N12" i="2"/>
  <c r="O12" i="2" s="1"/>
  <c r="AU12" i="1"/>
  <c r="K20" i="2"/>
  <c r="N58" i="2"/>
  <c r="O58" i="2" s="1"/>
  <c r="AU58" i="1"/>
  <c r="K15" i="2"/>
  <c r="P15" i="2" s="1"/>
  <c r="AS15" i="1"/>
  <c r="L3" i="2"/>
  <c r="P3" i="2" s="1"/>
  <c r="AS3" i="1"/>
  <c r="N45" i="2"/>
  <c r="O45" i="2" s="1"/>
  <c r="AU45" i="1"/>
  <c r="P9" i="2"/>
  <c r="P24" i="3"/>
  <c r="L18" i="3"/>
  <c r="P18" i="3" s="1"/>
  <c r="AV18" i="1"/>
  <c r="N16" i="2"/>
  <c r="O16" i="2" s="1"/>
  <c r="AU16" i="1"/>
  <c r="N47" i="3"/>
  <c r="O47" i="3" s="1"/>
  <c r="AX47" i="1"/>
  <c r="AS50" i="1"/>
  <c r="K42" i="2"/>
  <c r="P42" i="2" s="1"/>
  <c r="N28" i="2"/>
  <c r="O28" i="2" s="1"/>
  <c r="AU28" i="1"/>
  <c r="N16" i="3"/>
  <c r="O16" i="3" s="1"/>
  <c r="AX16" i="1"/>
  <c r="N31" i="2"/>
  <c r="O31" i="2" s="1"/>
  <c r="AU31" i="1"/>
  <c r="N14" i="2"/>
  <c r="O14" i="2" s="1"/>
  <c r="AU14" i="1"/>
  <c r="K48" i="3"/>
  <c r="P48" i="3" s="1"/>
  <c r="AV48" i="1"/>
  <c r="P50" i="2"/>
  <c r="AW42" i="1"/>
  <c r="N64" i="3"/>
  <c r="O64" i="3" s="1"/>
  <c r="AX64" i="1"/>
  <c r="L22" i="2"/>
  <c r="P22" i="2" s="1"/>
  <c r="AS22" i="1"/>
  <c r="N7" i="3"/>
  <c r="O7" i="3" s="1"/>
  <c r="AX7" i="1"/>
  <c r="N38" i="2"/>
  <c r="O38" i="2" s="1"/>
  <c r="AU38" i="1"/>
  <c r="AV37" i="1"/>
  <c r="K26" i="2"/>
  <c r="P8" i="2"/>
  <c r="P40" i="2"/>
  <c r="P12" i="2"/>
  <c r="AW20" i="1"/>
  <c r="AS57" i="1"/>
  <c r="N11" i="3"/>
  <c r="O11" i="3" s="1"/>
  <c r="AX11" i="1"/>
  <c r="N60" i="2"/>
  <c r="O60" i="2" s="1"/>
  <c r="AU60" i="1"/>
  <c r="L51" i="2"/>
  <c r="P51" i="2" s="1"/>
  <c r="AS51" i="1"/>
  <c r="N14" i="3"/>
  <c r="O14" i="3" s="1"/>
  <c r="AX14" i="1"/>
  <c r="N49" i="3"/>
  <c r="O49" i="3" s="1"/>
  <c r="AX49" i="1"/>
  <c r="AU7" i="1"/>
  <c r="N7" i="2"/>
  <c r="O7" i="2" s="1"/>
  <c r="N60" i="3"/>
  <c r="O60" i="3" s="1"/>
  <c r="AX60" i="1"/>
  <c r="K26" i="3"/>
  <c r="P26" i="3" s="1"/>
  <c r="N53" i="2"/>
  <c r="O53" i="2" s="1"/>
  <c r="AU53" i="1"/>
  <c r="L34" i="3"/>
  <c r="P34" i="3" s="1"/>
  <c r="AV34" i="1"/>
  <c r="N54" i="3"/>
  <c r="O54" i="3" s="1"/>
  <c r="AX54" i="1"/>
  <c r="N62" i="3"/>
  <c r="O62" i="3" s="1"/>
  <c r="AX62" i="1"/>
  <c r="AS37" i="1"/>
  <c r="AV46" i="1"/>
  <c r="AS46" i="1"/>
  <c r="AS27" i="1"/>
  <c r="AV50" i="1"/>
  <c r="P39" i="2"/>
  <c r="N58" i="3"/>
  <c r="O58" i="3" s="1"/>
  <c r="AX58" i="1"/>
  <c r="N31" i="3"/>
  <c r="O31" i="3" s="1"/>
  <c r="AX31" i="1"/>
  <c r="N9" i="3"/>
  <c r="O9" i="3" s="1"/>
  <c r="AX9" i="1"/>
  <c r="N13" i="2"/>
  <c r="O13" i="2" s="1"/>
  <c r="AU13" i="1"/>
  <c r="K48" i="2"/>
  <c r="AV8" i="1"/>
  <c r="N13" i="3"/>
  <c r="O13" i="3" s="1"/>
  <c r="AX13" i="1"/>
  <c r="N39" i="3"/>
  <c r="O39" i="3" s="1"/>
  <c r="AX39" i="1"/>
  <c r="N6" i="3"/>
  <c r="O6" i="3" s="1"/>
  <c r="AX6" i="1"/>
  <c r="AW48" i="1"/>
  <c r="P8" i="3"/>
  <c r="AS49" i="1"/>
  <c r="P39" i="3"/>
  <c r="M48" i="2"/>
  <c r="BJ48" i="1"/>
  <c r="L48" i="2" s="1"/>
  <c r="K42" i="3"/>
  <c r="P42" i="3" s="1"/>
  <c r="AV42" i="1"/>
  <c r="P49" i="3"/>
  <c r="N53" i="3"/>
  <c r="O53" i="3" s="1"/>
  <c r="AX53" i="1"/>
  <c r="AS61" i="1"/>
  <c r="AV25" i="1"/>
  <c r="N21" i="3"/>
  <c r="O21" i="3" s="1"/>
  <c r="AX21" i="1"/>
  <c r="M26" i="2"/>
  <c r="BJ26" i="1"/>
  <c r="L26" i="2" s="1"/>
  <c r="AT59" i="1"/>
  <c r="P37" i="2"/>
  <c r="P46" i="3"/>
  <c r="P46" i="2"/>
  <c r="K15" i="3"/>
  <c r="P15" i="3" s="1"/>
  <c r="AV15" i="1"/>
  <c r="P27" i="2"/>
  <c r="P50" i="3"/>
  <c r="AS44" i="1"/>
  <c r="N64" i="2"/>
  <c r="O64" i="2" s="1"/>
  <c r="AU64" i="1"/>
  <c r="N61" i="3"/>
  <c r="O61" i="3" s="1"/>
  <c r="AX61" i="1"/>
  <c r="N25" i="2"/>
  <c r="O25" i="2" s="1"/>
  <c r="AU25" i="1"/>
  <c r="P25" i="3"/>
  <c r="K59" i="3"/>
  <c r="AV59" i="1"/>
  <c r="N17" i="2"/>
  <c r="O17" i="2" s="1"/>
  <c r="AU17" i="1"/>
  <c r="L30" i="3"/>
  <c r="P30" i="3" s="1"/>
  <c r="AV30" i="1"/>
  <c r="N63" i="3"/>
  <c r="O63" i="3" s="1"/>
  <c r="AX63" i="1"/>
  <c r="N24" i="2"/>
  <c r="O24" i="2" s="1"/>
  <c r="AU24" i="1"/>
  <c r="N23" i="3"/>
  <c r="O23" i="3" s="1"/>
  <c r="AX23" i="1"/>
  <c r="M20" i="2"/>
  <c r="BJ20" i="1"/>
  <c r="L20" i="2" s="1"/>
  <c r="AS6" i="1"/>
  <c r="N10" i="2"/>
  <c r="O10" i="2" s="1"/>
  <c r="AU10" i="1"/>
  <c r="AS65" i="1"/>
  <c r="N65" i="2" l="1"/>
  <c r="O65" i="2" s="1"/>
  <c r="AU65" i="1"/>
  <c r="N59" i="3"/>
  <c r="O59" i="3" s="1"/>
  <c r="AX59" i="1"/>
  <c r="N49" i="2"/>
  <c r="O49" i="2" s="1"/>
  <c r="AU49" i="1"/>
  <c r="N46" i="3"/>
  <c r="O46" i="3" s="1"/>
  <c r="AX46" i="1"/>
  <c r="P26" i="2"/>
  <c r="N50" i="2"/>
  <c r="O50" i="2" s="1"/>
  <c r="AU50" i="1"/>
  <c r="N52" i="2"/>
  <c r="O52" i="2" s="1"/>
  <c r="AU52" i="1"/>
  <c r="N9" i="2"/>
  <c r="O9" i="2" s="1"/>
  <c r="AU9" i="1"/>
  <c r="N29" i="3"/>
  <c r="O29" i="3" s="1"/>
  <c r="AX29" i="1"/>
  <c r="N25" i="3"/>
  <c r="O25" i="3" s="1"/>
  <c r="AX25" i="1"/>
  <c r="N27" i="2"/>
  <c r="O27" i="2" s="1"/>
  <c r="AU27" i="1"/>
  <c r="N44" i="2"/>
  <c r="O44" i="2" s="1"/>
  <c r="AU44" i="1"/>
  <c r="N8" i="3"/>
  <c r="O8" i="3" s="1"/>
  <c r="AX8" i="1"/>
  <c r="N37" i="2"/>
  <c r="O37" i="2" s="1"/>
  <c r="AU37" i="1"/>
  <c r="N37" i="3"/>
  <c r="O37" i="3" s="1"/>
  <c r="AX37" i="1"/>
  <c r="AS20" i="1"/>
  <c r="AS59" i="1"/>
  <c r="N34" i="3"/>
  <c r="O34" i="3" s="1"/>
  <c r="AX34" i="1"/>
  <c r="N22" i="2"/>
  <c r="O22" i="2" s="1"/>
  <c r="AU22" i="1"/>
  <c r="AS48" i="1"/>
  <c r="AV26" i="1"/>
  <c r="N57" i="2"/>
  <c r="O57" i="2" s="1"/>
  <c r="AU57" i="1"/>
  <c r="P20" i="2"/>
  <c r="N17" i="3"/>
  <c r="O17" i="3" s="1"/>
  <c r="AX17" i="1"/>
  <c r="N20" i="3"/>
  <c r="O20" i="3" s="1"/>
  <c r="AX20" i="1"/>
  <c r="N24" i="3"/>
  <c r="O24" i="3" s="1"/>
  <c r="AX24" i="1"/>
  <c r="N23" i="2"/>
  <c r="O23" i="2" s="1"/>
  <c r="AU23" i="1"/>
  <c r="N6" i="2"/>
  <c r="O6" i="2" s="1"/>
  <c r="AU6" i="1"/>
  <c r="N42" i="3"/>
  <c r="O42" i="3" s="1"/>
  <c r="AX42" i="1"/>
  <c r="P48" i="2"/>
  <c r="N3" i="2"/>
  <c r="AU3" i="1"/>
  <c r="N63" i="2"/>
  <c r="O63" i="2" s="1"/>
  <c r="AU63" i="1"/>
  <c r="N30" i="2"/>
  <c r="O30" i="2" s="1"/>
  <c r="AU30" i="1"/>
  <c r="N40" i="3"/>
  <c r="O40" i="3" s="1"/>
  <c r="AX40" i="1"/>
  <c r="N5" i="3"/>
  <c r="O5" i="3" s="1"/>
  <c r="AX5" i="1"/>
  <c r="N51" i="2"/>
  <c r="O51" i="2" s="1"/>
  <c r="AU51" i="1"/>
  <c r="N48" i="3"/>
  <c r="O48" i="3" s="1"/>
  <c r="AX48" i="1"/>
  <c r="N18" i="2"/>
  <c r="O18" i="2" s="1"/>
  <c r="AU18" i="1"/>
  <c r="N34" i="2"/>
  <c r="O34" i="2" s="1"/>
  <c r="AU34" i="1"/>
  <c r="N50" i="3"/>
  <c r="O50" i="3" s="1"/>
  <c r="AX50" i="1"/>
  <c r="N18" i="3"/>
  <c r="O18" i="3" s="1"/>
  <c r="AX18" i="1"/>
  <c r="N15" i="2"/>
  <c r="O15" i="2" s="1"/>
  <c r="AU15" i="1"/>
  <c r="N40" i="2"/>
  <c r="O40" i="2" s="1"/>
  <c r="AU40" i="1"/>
  <c r="N5" i="2"/>
  <c r="O5" i="2" s="1"/>
  <c r="AU5" i="1"/>
  <c r="N38" i="3"/>
  <c r="O38" i="3" s="1"/>
  <c r="AX38" i="1"/>
  <c r="N32" i="3"/>
  <c r="O32" i="3" s="1"/>
  <c r="AX32" i="1"/>
  <c r="N30" i="3"/>
  <c r="O30" i="3" s="1"/>
  <c r="AX30" i="1"/>
  <c r="N22" i="3"/>
  <c r="O22" i="3" s="1"/>
  <c r="AX22" i="1"/>
  <c r="N15" i="3"/>
  <c r="O15" i="3" s="1"/>
  <c r="AX15" i="1"/>
  <c r="N61" i="2"/>
  <c r="O61" i="2" s="1"/>
  <c r="AU61" i="1"/>
  <c r="N46" i="2"/>
  <c r="O46" i="2" s="1"/>
  <c r="AU46" i="1"/>
  <c r="AS26" i="1"/>
  <c r="AS42" i="1"/>
  <c r="N33" i="3"/>
  <c r="O33" i="3" s="1"/>
  <c r="AX33" i="1"/>
  <c r="N36" i="2"/>
  <c r="O36" i="2" s="1"/>
  <c r="AU36" i="1"/>
  <c r="N26" i="2" l="1"/>
  <c r="O26" i="2" s="1"/>
  <c r="AU26" i="1"/>
  <c r="N26" i="3"/>
  <c r="O26" i="3" s="1"/>
  <c r="AX26" i="1"/>
  <c r="N48" i="2"/>
  <c r="O48" i="2" s="1"/>
  <c r="AU48" i="1"/>
  <c r="N59" i="2"/>
  <c r="O59" i="2" s="1"/>
  <c r="AU59" i="1"/>
  <c r="O3" i="2"/>
  <c r="V3" i="2" a="1"/>
  <c r="N20" i="2"/>
  <c r="O20" i="2" s="1"/>
  <c r="AU20" i="1"/>
  <c r="N42" i="2"/>
  <c r="O42" i="2" s="1"/>
  <c r="AU42" i="1"/>
  <c r="AD65" i="2" l="1"/>
  <c r="V65" i="2"/>
  <c r="AD64" i="2"/>
  <c r="V64" i="2"/>
  <c r="AD63" i="2"/>
  <c r="V63" i="2"/>
  <c r="AD62" i="2"/>
  <c r="V62" i="2"/>
  <c r="AG65" i="2"/>
  <c r="X65" i="2"/>
  <c r="AE64" i="2"/>
  <c r="AK63" i="2"/>
  <c r="AB63" i="2"/>
  <c r="AI62" i="2"/>
  <c r="Z62" i="2"/>
  <c r="AG61" i="2"/>
  <c r="Y61" i="2"/>
  <c r="AG60" i="2"/>
  <c r="Y60" i="2"/>
  <c r="AG59" i="2"/>
  <c r="Y59" i="2"/>
  <c r="AG58" i="2"/>
  <c r="Y58" i="2"/>
  <c r="AG57" i="2"/>
  <c r="Y57" i="2"/>
  <c r="AG56" i="2"/>
  <c r="Y56" i="2"/>
  <c r="AG55" i="2"/>
  <c r="Y55" i="2"/>
  <c r="AG54" i="2"/>
  <c r="Y54" i="2"/>
  <c r="AG53" i="2"/>
  <c r="Y53" i="2"/>
  <c r="AG52" i="2"/>
  <c r="Y52" i="2"/>
  <c r="AG51" i="2"/>
  <c r="Y51" i="2"/>
  <c r="AG50" i="2"/>
  <c r="Y50" i="2"/>
  <c r="AG49" i="2"/>
  <c r="Y49" i="2"/>
  <c r="AG48" i="2"/>
  <c r="Y48" i="2"/>
  <c r="AG47" i="2"/>
  <c r="Y47" i="2"/>
  <c r="AG46" i="2"/>
  <c r="Y46" i="2"/>
  <c r="AG45" i="2"/>
  <c r="Y45" i="2"/>
  <c r="AG44" i="2"/>
  <c r="Y44" i="2"/>
  <c r="AG43" i="2"/>
  <c r="Y43" i="2"/>
  <c r="AG42" i="2"/>
  <c r="Y42" i="2"/>
  <c r="AG41" i="2"/>
  <c r="Y41" i="2"/>
  <c r="AG40" i="2"/>
  <c r="Y40" i="2"/>
  <c r="AG39" i="2"/>
  <c r="Y39" i="2"/>
  <c r="AG38" i="2"/>
  <c r="Y38" i="2"/>
  <c r="AG37" i="2"/>
  <c r="Y37" i="2"/>
  <c r="AG36" i="2"/>
  <c r="Y36" i="2"/>
  <c r="AG35" i="2"/>
  <c r="Y35" i="2"/>
  <c r="AG34" i="2"/>
  <c r="Y34" i="2"/>
  <c r="AG33" i="2"/>
  <c r="Y33" i="2"/>
  <c r="AG32" i="2"/>
  <c r="Y32" i="2"/>
  <c r="AG31" i="2"/>
  <c r="Y31" i="2"/>
  <c r="AG30" i="2"/>
  <c r="Y30" i="2"/>
  <c r="AG29" i="2"/>
  <c r="Y29" i="2"/>
  <c r="AG28" i="2"/>
  <c r="Y28" i="2"/>
  <c r="AG27" i="2"/>
  <c r="Y27" i="2"/>
  <c r="AG26" i="2"/>
  <c r="Y26" i="2"/>
  <c r="AG25" i="2"/>
  <c r="Y25" i="2"/>
  <c r="AG24" i="2"/>
  <c r="Y24" i="2"/>
  <c r="AG23" i="2"/>
  <c r="Y23" i="2"/>
  <c r="AG22" i="2"/>
  <c r="Y22" i="2"/>
  <c r="AG21" i="2"/>
  <c r="Y21" i="2"/>
  <c r="AG20" i="2"/>
  <c r="Y20" i="2"/>
  <c r="AG19" i="2"/>
  <c r="Y19" i="2"/>
  <c r="AG18" i="2"/>
  <c r="Y18" i="2"/>
  <c r="AG17" i="2"/>
  <c r="Y17" i="2"/>
  <c r="AG16" i="2"/>
  <c r="Y16" i="2"/>
  <c r="AG15" i="2"/>
  <c r="Y15" i="2"/>
  <c r="AG14" i="2"/>
  <c r="Y14" i="2"/>
  <c r="AG13" i="2"/>
  <c r="Y13" i="2"/>
  <c r="AG12" i="2"/>
  <c r="Y12" i="2"/>
  <c r="AG11" i="2"/>
  <c r="Y11" i="2"/>
  <c r="AG10" i="2"/>
  <c r="Y10" i="2"/>
  <c r="AG9" i="2"/>
  <c r="Y9" i="2"/>
  <c r="AG8" i="2"/>
  <c r="Y8" i="2"/>
  <c r="AG7" i="2"/>
  <c r="Y7" i="2"/>
  <c r="AG6" i="2"/>
  <c r="Y6" i="2"/>
  <c r="AG5" i="2"/>
  <c r="Y5" i="2"/>
  <c r="AG4" i="2"/>
  <c r="Y4" i="2"/>
  <c r="AG3" i="2"/>
  <c r="Y3" i="2"/>
  <c r="AF65" i="2"/>
  <c r="W65" i="2"/>
  <c r="AC64" i="2"/>
  <c r="AJ63" i="2"/>
  <c r="AA63" i="2"/>
  <c r="AH62" i="2"/>
  <c r="Y62" i="2"/>
  <c r="AF61" i="2"/>
  <c r="X61" i="2"/>
  <c r="AF60" i="2"/>
  <c r="X60" i="2"/>
  <c r="AF59" i="2"/>
  <c r="X59" i="2"/>
  <c r="AF58" i="2"/>
  <c r="X58" i="2"/>
  <c r="AF57" i="2"/>
  <c r="X57" i="2"/>
  <c r="AF56" i="2"/>
  <c r="X56" i="2"/>
  <c r="AF55" i="2"/>
  <c r="X55" i="2"/>
  <c r="AF54" i="2"/>
  <c r="X54" i="2"/>
  <c r="AF53" i="2"/>
  <c r="X53" i="2"/>
  <c r="AF52" i="2"/>
  <c r="X52" i="2"/>
  <c r="AF51" i="2"/>
  <c r="X51" i="2"/>
  <c r="AF50" i="2"/>
  <c r="X50" i="2"/>
  <c r="AF49" i="2"/>
  <c r="X49" i="2"/>
  <c r="AF48" i="2"/>
  <c r="X48" i="2"/>
  <c r="AF47" i="2"/>
  <c r="X47" i="2"/>
  <c r="AF46" i="2"/>
  <c r="X46" i="2"/>
  <c r="AF45" i="2"/>
  <c r="X45" i="2"/>
  <c r="AF44" i="2"/>
  <c r="X44" i="2"/>
  <c r="AF43" i="2"/>
  <c r="X43" i="2"/>
  <c r="AF42" i="2"/>
  <c r="X42" i="2"/>
  <c r="AF41" i="2"/>
  <c r="X41" i="2"/>
  <c r="AF40" i="2"/>
  <c r="X40" i="2"/>
  <c r="AF39" i="2"/>
  <c r="X39" i="2"/>
  <c r="AF38" i="2"/>
  <c r="X38" i="2"/>
  <c r="AF37" i="2"/>
  <c r="X37" i="2"/>
  <c r="AF36" i="2"/>
  <c r="X36" i="2"/>
  <c r="AF35" i="2"/>
  <c r="X35" i="2"/>
  <c r="AJ65" i="2"/>
  <c r="AA65" i="2"/>
  <c r="AH64" i="2"/>
  <c r="Y64" i="2"/>
  <c r="AF63" i="2"/>
  <c r="W63" i="2"/>
  <c r="AC62" i="2"/>
  <c r="AJ61" i="2"/>
  <c r="AB61" i="2"/>
  <c r="AJ60" i="2"/>
  <c r="AB60" i="2"/>
  <c r="AJ59" i="2"/>
  <c r="AB59" i="2"/>
  <c r="AJ58" i="2"/>
  <c r="AB58" i="2"/>
  <c r="AJ57" i="2"/>
  <c r="AB57" i="2"/>
  <c r="AJ56" i="2"/>
  <c r="AB56" i="2"/>
  <c r="AJ55" i="2"/>
  <c r="AB55" i="2"/>
  <c r="AJ54" i="2"/>
  <c r="AB54" i="2"/>
  <c r="AJ53" i="2"/>
  <c r="AB53" i="2"/>
  <c r="AJ52" i="2"/>
  <c r="AB65" i="2"/>
  <c r="AB64" i="2"/>
  <c r="AE63" i="2"/>
  <c r="AF62" i="2"/>
  <c r="AH61" i="2"/>
  <c r="AK60" i="2"/>
  <c r="W60" i="2"/>
  <c r="AA59" i="2"/>
  <c r="AD58" i="2"/>
  <c r="AH57" i="2"/>
  <c r="AK56" i="2"/>
  <c r="W56" i="2"/>
  <c r="AA55" i="2"/>
  <c r="AD54" i="2"/>
  <c r="AH53" i="2"/>
  <c r="AK52" i="2"/>
  <c r="Z52" i="2"/>
  <c r="AD51" i="2"/>
  <c r="AJ50" i="2"/>
  <c r="Z50" i="2"/>
  <c r="AD49" i="2"/>
  <c r="AJ48" i="2"/>
  <c r="Z48" i="2"/>
  <c r="AD47" i="2"/>
  <c r="AJ46" i="2"/>
  <c r="Z46" i="2"/>
  <c r="AD45" i="2"/>
  <c r="AJ44" i="2"/>
  <c r="Z44" i="2"/>
  <c r="AD43" i="2"/>
  <c r="AJ42" i="2"/>
  <c r="Z42" i="2"/>
  <c r="AD41" i="2"/>
  <c r="AJ40" i="2"/>
  <c r="Z40" i="2"/>
  <c r="AD39" i="2"/>
  <c r="AJ38" i="2"/>
  <c r="Z38" i="2"/>
  <c r="AD37" i="2"/>
  <c r="AJ36" i="2"/>
  <c r="Z36" i="2"/>
  <c r="AD35" i="2"/>
  <c r="AJ34" i="2"/>
  <c r="AA34" i="2"/>
  <c r="AH33" i="2"/>
  <c r="X33" i="2"/>
  <c r="AE32" i="2"/>
  <c r="V32" i="2"/>
  <c r="AC31" i="2"/>
  <c r="AJ30" i="2"/>
  <c r="AA30" i="2"/>
  <c r="AH29" i="2"/>
  <c r="X29" i="2"/>
  <c r="AE28" i="2"/>
  <c r="V28" i="2"/>
  <c r="AC27" i="2"/>
  <c r="AJ26" i="2"/>
  <c r="AA26" i="2"/>
  <c r="AH25" i="2"/>
  <c r="X25" i="2"/>
  <c r="AE24" i="2"/>
  <c r="V24" i="2"/>
  <c r="AC23" i="2"/>
  <c r="AJ22" i="2"/>
  <c r="AA22" i="2"/>
  <c r="AH21" i="2"/>
  <c r="X21" i="2"/>
  <c r="AE20" i="2"/>
  <c r="V20" i="2"/>
  <c r="AC19" i="2"/>
  <c r="AJ18" i="2"/>
  <c r="AA18" i="2"/>
  <c r="AH17" i="2"/>
  <c r="X17" i="2"/>
  <c r="AE16" i="2"/>
  <c r="V16" i="2"/>
  <c r="AC15" i="2"/>
  <c r="AJ14" i="2"/>
  <c r="AA14" i="2"/>
  <c r="AH13" i="2"/>
  <c r="X13" i="2"/>
  <c r="AE12" i="2"/>
  <c r="V12" i="2"/>
  <c r="AC11" i="2"/>
  <c r="AJ10" i="2"/>
  <c r="AA10" i="2"/>
  <c r="AH9" i="2"/>
  <c r="X9" i="2"/>
  <c r="AE8" i="2"/>
  <c r="V8" i="2"/>
  <c r="AC7" i="2"/>
  <c r="AJ6" i="2"/>
  <c r="AA6" i="2"/>
  <c r="AH5" i="2"/>
  <c r="X5" i="2"/>
  <c r="AE4" i="2"/>
  <c r="V4" i="2"/>
  <c r="AC3" i="2"/>
  <c r="Z65" i="2"/>
  <c r="AA64" i="2"/>
  <c r="AC63" i="2"/>
  <c r="AE62" i="2"/>
  <c r="AE61" i="2"/>
  <c r="AI60" i="2"/>
  <c r="V60" i="2"/>
  <c r="Z59" i="2"/>
  <c r="AC58" i="2"/>
  <c r="AE57" i="2"/>
  <c r="AI56" i="2"/>
  <c r="V56" i="2"/>
  <c r="Z55" i="2"/>
  <c r="AC54" i="2"/>
  <c r="AE53" i="2"/>
  <c r="AI52" i="2"/>
  <c r="W52" i="2"/>
  <c r="AC51" i="2"/>
  <c r="AI50" i="2"/>
  <c r="W50" i="2"/>
  <c r="AC49" i="2"/>
  <c r="AI48" i="2"/>
  <c r="W48" i="2"/>
  <c r="AC47" i="2"/>
  <c r="AI46" i="2"/>
  <c r="W46" i="2"/>
  <c r="AC45" i="2"/>
  <c r="AI44" i="2"/>
  <c r="W44" i="2"/>
  <c r="AC43" i="2"/>
  <c r="AI42" i="2"/>
  <c r="W42" i="2"/>
  <c r="AC41" i="2"/>
  <c r="AI40" i="2"/>
  <c r="W40" i="2"/>
  <c r="AC39" i="2"/>
  <c r="AI38" i="2"/>
  <c r="W38" i="2"/>
  <c r="AC37" i="2"/>
  <c r="AI36" i="2"/>
  <c r="W36" i="2"/>
  <c r="AC35" i="2"/>
  <c r="AI34" i="2"/>
  <c r="Z34" i="2"/>
  <c r="AF33" i="2"/>
  <c r="W33" i="2"/>
  <c r="AD32" i="2"/>
  <c r="AK31" i="2"/>
  <c r="AB31" i="2"/>
  <c r="AI30" i="2"/>
  <c r="Z30" i="2"/>
  <c r="AF29" i="2"/>
  <c r="W29" i="2"/>
  <c r="AD28" i="2"/>
  <c r="AK27" i="2"/>
  <c r="AB27" i="2"/>
  <c r="AI26" i="2"/>
  <c r="Z26" i="2"/>
  <c r="AF25" i="2"/>
  <c r="W25" i="2"/>
  <c r="AD24" i="2"/>
  <c r="AK23" i="2"/>
  <c r="AB23" i="2"/>
  <c r="AI22" i="2"/>
  <c r="Z22" i="2"/>
  <c r="AF21" i="2"/>
  <c r="W21" i="2"/>
  <c r="AD20" i="2"/>
  <c r="AK19" i="2"/>
  <c r="AB19" i="2"/>
  <c r="AI18" i="2"/>
  <c r="Z18" i="2"/>
  <c r="AF17" i="2"/>
  <c r="W17" i="2"/>
  <c r="AD16" i="2"/>
  <c r="AK15" i="2"/>
  <c r="AB15" i="2"/>
  <c r="AI14" i="2"/>
  <c r="Z14" i="2"/>
  <c r="AF13" i="2"/>
  <c r="W13" i="2"/>
  <c r="AD12" i="2"/>
  <c r="AK11" i="2"/>
  <c r="AB11" i="2"/>
  <c r="AI10" i="2"/>
  <c r="Z10" i="2"/>
  <c r="AF9" i="2"/>
  <c r="W9" i="2"/>
  <c r="AD8" i="2"/>
  <c r="AK7" i="2"/>
  <c r="AB7" i="2"/>
  <c r="AI6" i="2"/>
  <c r="Z6" i="2"/>
  <c r="AF5" i="2"/>
  <c r="W5" i="2"/>
  <c r="AD4" i="2"/>
  <c r="AK3" i="2"/>
  <c r="AB3" i="2"/>
  <c r="Y65" i="2"/>
  <c r="Z64" i="2"/>
  <c r="Z63" i="2"/>
  <c r="AB62" i="2"/>
  <c r="AD61" i="2"/>
  <c r="AH60" i="2"/>
  <c r="AK59" i="2"/>
  <c r="W59" i="2"/>
  <c r="AA58" i="2"/>
  <c r="AD57" i="2"/>
  <c r="AH56" i="2"/>
  <c r="AK55" i="2"/>
  <c r="W55" i="2"/>
  <c r="AA54" i="2"/>
  <c r="AD53" i="2"/>
  <c r="AH52" i="2"/>
  <c r="V52" i="2"/>
  <c r="AB51" i="2"/>
  <c r="AH50" i="2"/>
  <c r="V50" i="2"/>
  <c r="AB49" i="2"/>
  <c r="AH48" i="2"/>
  <c r="V48" i="2"/>
  <c r="AB47" i="2"/>
  <c r="AH46" i="2"/>
  <c r="V46" i="2"/>
  <c r="AB45" i="2"/>
  <c r="AH44" i="2"/>
  <c r="V44" i="2"/>
  <c r="AB43" i="2"/>
  <c r="AH42" i="2"/>
  <c r="V42" i="2"/>
  <c r="AB41" i="2"/>
  <c r="AH40" i="2"/>
  <c r="V40" i="2"/>
  <c r="AB39" i="2"/>
  <c r="AH38" i="2"/>
  <c r="V38" i="2"/>
  <c r="AB37" i="2"/>
  <c r="AH36" i="2"/>
  <c r="V36" i="2"/>
  <c r="AB35" i="2"/>
  <c r="AH34" i="2"/>
  <c r="X34" i="2"/>
  <c r="AE33" i="2"/>
  <c r="V33" i="2"/>
  <c r="AC32" i="2"/>
  <c r="AJ31" i="2"/>
  <c r="AA31" i="2"/>
  <c r="AH30" i="2"/>
  <c r="X30" i="2"/>
  <c r="AE29" i="2"/>
  <c r="V29" i="2"/>
  <c r="AC28" i="2"/>
  <c r="AJ27" i="2"/>
  <c r="AA27" i="2"/>
  <c r="AH26" i="2"/>
  <c r="X26" i="2"/>
  <c r="AE25" i="2"/>
  <c r="V25" i="2"/>
  <c r="AC24" i="2"/>
  <c r="AJ23" i="2"/>
  <c r="AA23" i="2"/>
  <c r="AH22" i="2"/>
  <c r="X22" i="2"/>
  <c r="AE21" i="2"/>
  <c r="V21" i="2"/>
  <c r="AC20" i="2"/>
  <c r="AJ19" i="2"/>
  <c r="AA19" i="2"/>
  <c r="AH18" i="2"/>
  <c r="X18" i="2"/>
  <c r="AE17" i="2"/>
  <c r="V17" i="2"/>
  <c r="AC16" i="2"/>
  <c r="AJ15" i="2"/>
  <c r="AA15" i="2"/>
  <c r="AH14" i="2"/>
  <c r="X14" i="2"/>
  <c r="AE13" i="2"/>
  <c r="V13" i="2"/>
  <c r="AC12" i="2"/>
  <c r="AJ11" i="2"/>
  <c r="AA11" i="2"/>
  <c r="AH10" i="2"/>
  <c r="X10" i="2"/>
  <c r="AE9" i="2"/>
  <c r="V9" i="2"/>
  <c r="AC8" i="2"/>
  <c r="AJ7" i="2"/>
  <c r="AA7" i="2"/>
  <c r="AH6" i="2"/>
  <c r="X6" i="2"/>
  <c r="AE5" i="2"/>
  <c r="V5" i="2"/>
  <c r="AC4" i="2"/>
  <c r="AJ3" i="2"/>
  <c r="AA3" i="2"/>
  <c r="AI65" i="2"/>
  <c r="AJ64" i="2"/>
  <c r="W64" i="2"/>
  <c r="X63" i="2"/>
  <c r="X62" i="2"/>
  <c r="AA61" i="2"/>
  <c r="AD60" i="2"/>
  <c r="AH59" i="2"/>
  <c r="AK58" i="2"/>
  <c r="W58" i="2"/>
  <c r="AA57" i="2"/>
  <c r="AD56" i="2"/>
  <c r="AH55" i="2"/>
  <c r="AK54" i="2"/>
  <c r="W54" i="2"/>
  <c r="AA53" i="2"/>
  <c r="AD52" i="2"/>
  <c r="AJ51" i="2"/>
  <c r="Z51" i="2"/>
  <c r="AD50" i="2"/>
  <c r="AJ49" i="2"/>
  <c r="Z49" i="2"/>
  <c r="AD48" i="2"/>
  <c r="AJ47" i="2"/>
  <c r="Z47" i="2"/>
  <c r="AD46" i="2"/>
  <c r="AJ45" i="2"/>
  <c r="Z45" i="2"/>
  <c r="AD44" i="2"/>
  <c r="AJ43" i="2"/>
  <c r="Z43" i="2"/>
  <c r="AD42" i="2"/>
  <c r="AJ41" i="2"/>
  <c r="Z41" i="2"/>
  <c r="AD40" i="2"/>
  <c r="AJ39" i="2"/>
  <c r="Z39" i="2"/>
  <c r="AD38" i="2"/>
  <c r="AJ37" i="2"/>
  <c r="Z37" i="2"/>
  <c r="AD36" i="2"/>
  <c r="AJ35" i="2"/>
  <c r="Z35" i="2"/>
  <c r="AE34" i="2"/>
  <c r="V34" i="2"/>
  <c r="AC33" i="2"/>
  <c r="AJ32" i="2"/>
  <c r="AA32" i="2"/>
  <c r="AH31" i="2"/>
  <c r="X31" i="2"/>
  <c r="AE30" i="2"/>
  <c r="V30" i="2"/>
  <c r="AC29" i="2"/>
  <c r="AJ28" i="2"/>
  <c r="AA28" i="2"/>
  <c r="AH27" i="2"/>
  <c r="X27" i="2"/>
  <c r="AE26" i="2"/>
  <c r="V26" i="2"/>
  <c r="AC25" i="2"/>
  <c r="AJ24" i="2"/>
  <c r="AA24" i="2"/>
  <c r="AH23" i="2"/>
  <c r="X23" i="2"/>
  <c r="AE22" i="2"/>
  <c r="V22" i="2"/>
  <c r="AC21" i="2"/>
  <c r="AJ20" i="2"/>
  <c r="AA20" i="2"/>
  <c r="AH19" i="2"/>
  <c r="X19" i="2"/>
  <c r="AE18" i="2"/>
  <c r="V18" i="2"/>
  <c r="AC17" i="2"/>
  <c r="AJ16" i="2"/>
  <c r="AA16" i="2"/>
  <c r="AH15" i="2"/>
  <c r="X15" i="2"/>
  <c r="AE14" i="2"/>
  <c r="V14" i="2"/>
  <c r="AC13" i="2"/>
  <c r="AJ12" i="2"/>
  <c r="AA12" i="2"/>
  <c r="AH11" i="2"/>
  <c r="X11" i="2"/>
  <c r="AE10" i="2"/>
  <c r="V10" i="2"/>
  <c r="AC9" i="2"/>
  <c r="AJ8" i="2"/>
  <c r="AA8" i="2"/>
  <c r="AH7" i="2"/>
  <c r="X7" i="2"/>
  <c r="AE6" i="2"/>
  <c r="V6" i="2"/>
  <c r="AC5" i="2"/>
  <c r="AJ4" i="2"/>
  <c r="AA4" i="2"/>
  <c r="AH3" i="2"/>
  <c r="X3" i="2"/>
  <c r="AH65" i="2"/>
  <c r="AI63" i="2"/>
  <c r="W62" i="2"/>
  <c r="AC60" i="2"/>
  <c r="AI58" i="2"/>
  <c r="Z57" i="2"/>
  <c r="AE55" i="2"/>
  <c r="V54" i="2"/>
  <c r="AC52" i="2"/>
  <c r="W51" i="2"/>
  <c r="AI49" i="2"/>
  <c r="AC48" i="2"/>
  <c r="W47" i="2"/>
  <c r="AI45" i="2"/>
  <c r="AC44" i="2"/>
  <c r="W43" i="2"/>
  <c r="AI41" i="2"/>
  <c r="AC40" i="2"/>
  <c r="W39" i="2"/>
  <c r="AI37" i="2"/>
  <c r="AC36" i="2"/>
  <c r="W35" i="2"/>
  <c r="AK33" i="2"/>
  <c r="AI32" i="2"/>
  <c r="AF31" i="2"/>
  <c r="AD30" i="2"/>
  <c r="AB29" i="2"/>
  <c r="Z28" i="2"/>
  <c r="W27" i="2"/>
  <c r="AK25" i="2"/>
  <c r="AI24" i="2"/>
  <c r="AF23" i="2"/>
  <c r="AD22" i="2"/>
  <c r="AB21" i="2"/>
  <c r="Z20" i="2"/>
  <c r="W19" i="2"/>
  <c r="AK17" i="2"/>
  <c r="AI16" i="2"/>
  <c r="AF15" i="2"/>
  <c r="AD14" i="2"/>
  <c r="AB13" i="2"/>
  <c r="Z12" i="2"/>
  <c r="W11" i="2"/>
  <c r="AK9" i="2"/>
  <c r="AI8" i="2"/>
  <c r="AF7" i="2"/>
  <c r="AD6" i="2"/>
  <c r="AB5" i="2"/>
  <c r="Z4" i="2"/>
  <c r="W3" i="2"/>
  <c r="AE65" i="2"/>
  <c r="AH63" i="2"/>
  <c r="AK61" i="2"/>
  <c r="AA60" i="2"/>
  <c r="AH58" i="2"/>
  <c r="W57" i="2"/>
  <c r="AD55" i="2"/>
  <c r="AK53" i="2"/>
  <c r="AB52" i="2"/>
  <c r="V51" i="2"/>
  <c r="AH49" i="2"/>
  <c r="AB48" i="2"/>
  <c r="V47" i="2"/>
  <c r="AH45" i="2"/>
  <c r="AB44" i="2"/>
  <c r="V43" i="2"/>
  <c r="AH41" i="2"/>
  <c r="AB40" i="2"/>
  <c r="V39" i="2"/>
  <c r="AH37" i="2"/>
  <c r="AB36" i="2"/>
  <c r="V35" i="2"/>
  <c r="AJ33" i="2"/>
  <c r="AH32" i="2"/>
  <c r="AE31" i="2"/>
  <c r="AC30" i="2"/>
  <c r="AA29" i="2"/>
  <c r="X28" i="2"/>
  <c r="V27" i="2"/>
  <c r="AJ25" i="2"/>
  <c r="AH24" i="2"/>
  <c r="AE23" i="2"/>
  <c r="AC22" i="2"/>
  <c r="AA21" i="2"/>
  <c r="X20" i="2"/>
  <c r="V19" i="2"/>
  <c r="AJ17" i="2"/>
  <c r="AH16" i="2"/>
  <c r="AE15" i="2"/>
  <c r="AC14" i="2"/>
  <c r="AA13" i="2"/>
  <c r="X12" i="2"/>
  <c r="V11" i="2"/>
  <c r="AJ9" i="2"/>
  <c r="AH8" i="2"/>
  <c r="AE7" i="2"/>
  <c r="AC6" i="2"/>
  <c r="AA5" i="2"/>
  <c r="X4" i="2"/>
  <c r="AC65" i="2"/>
  <c r="AG63" i="2"/>
  <c r="AI61" i="2"/>
  <c r="Z60" i="2"/>
  <c r="AE58" i="2"/>
  <c r="V57" i="2"/>
  <c r="AC55" i="2"/>
  <c r="AI53" i="2"/>
  <c r="AA52" i="2"/>
  <c r="AK50" i="2"/>
  <c r="AE49" i="2"/>
  <c r="AA48" i="2"/>
  <c r="AK46" i="2"/>
  <c r="AE45" i="2"/>
  <c r="AA44" i="2"/>
  <c r="AK42" i="2"/>
  <c r="AE41" i="2"/>
  <c r="AA40" i="2"/>
  <c r="AK38" i="2"/>
  <c r="AE37" i="2"/>
  <c r="AA36" i="2"/>
  <c r="AK34" i="2"/>
  <c r="AI33" i="2"/>
  <c r="AF32" i="2"/>
  <c r="AD31" i="2"/>
  <c r="AB30" i="2"/>
  <c r="Z29" i="2"/>
  <c r="W28" i="2"/>
  <c r="AK26" i="2"/>
  <c r="AI25" i="2"/>
  <c r="AF24" i="2"/>
  <c r="AD23" i="2"/>
  <c r="AB22" i="2"/>
  <c r="Z21" i="2"/>
  <c r="W20" i="2"/>
  <c r="AK18" i="2"/>
  <c r="AI17" i="2"/>
  <c r="AF16" i="2"/>
  <c r="AD15" i="2"/>
  <c r="AB14" i="2"/>
  <c r="Z13" i="2"/>
  <c r="W12" i="2"/>
  <c r="AK10" i="2"/>
  <c r="AI9" i="2"/>
  <c r="AF8" i="2"/>
  <c r="AD7" i="2"/>
  <c r="AB6" i="2"/>
  <c r="Z5" i="2"/>
  <c r="W4" i="2"/>
  <c r="V3" i="2"/>
  <c r="AK64" i="2"/>
  <c r="Y63" i="2"/>
  <c r="AC61" i="2"/>
  <c r="AI59" i="2"/>
  <c r="Z58" i="2"/>
  <c r="AE56" i="2"/>
  <c r="V55" i="2"/>
  <c r="AC53" i="2"/>
  <c r="AK51" i="2"/>
  <c r="AE50" i="2"/>
  <c r="AA49" i="2"/>
  <c r="AK47" i="2"/>
  <c r="AE46" i="2"/>
  <c r="AA45" i="2"/>
  <c r="AK43" i="2"/>
  <c r="AE42" i="2"/>
  <c r="AA41" i="2"/>
  <c r="AK39" i="2"/>
  <c r="AE38" i="2"/>
  <c r="AA37" i="2"/>
  <c r="AK35" i="2"/>
  <c r="AF34" i="2"/>
  <c r="AD33" i="2"/>
  <c r="AB32" i="2"/>
  <c r="Z31" i="2"/>
  <c r="W30" i="2"/>
  <c r="AK28" i="2"/>
  <c r="AI27" i="2"/>
  <c r="AF26" i="2"/>
  <c r="AD25" i="2"/>
  <c r="AB24" i="2"/>
  <c r="Z23" i="2"/>
  <c r="W22" i="2"/>
  <c r="AK20" i="2"/>
  <c r="AI19" i="2"/>
  <c r="AF18" i="2"/>
  <c r="AD17" i="2"/>
  <c r="AB16" i="2"/>
  <c r="Z15" i="2"/>
  <c r="W14" i="2"/>
  <c r="AK12" i="2"/>
  <c r="AI11" i="2"/>
  <c r="AF10" i="2"/>
  <c r="AD9" i="2"/>
  <c r="AB8" i="2"/>
  <c r="Z7" i="2"/>
  <c r="W6" i="2"/>
  <c r="AK4" i="2"/>
  <c r="AI3" i="2"/>
  <c r="AI64" i="2"/>
  <c r="Z61" i="2"/>
  <c r="V58" i="2"/>
  <c r="AI54" i="2"/>
  <c r="AI51" i="2"/>
  <c r="W49" i="2"/>
  <c r="AC46" i="2"/>
  <c r="AI43" i="2"/>
  <c r="W41" i="2"/>
  <c r="AC38" i="2"/>
  <c r="AI35" i="2"/>
  <c r="AB33" i="2"/>
  <c r="W31" i="2"/>
  <c r="AI28" i="2"/>
  <c r="AD26" i="2"/>
  <c r="Z24" i="2"/>
  <c r="AK21" i="2"/>
  <c r="AF19" i="2"/>
  <c r="AB17" i="2"/>
  <c r="W15" i="2"/>
  <c r="AI12" i="2"/>
  <c r="AD10" i="2"/>
  <c r="Z8" i="2"/>
  <c r="AK5" i="2"/>
  <c r="AF3" i="2"/>
  <c r="AG64" i="2"/>
  <c r="W61" i="2"/>
  <c r="AK57" i="2"/>
  <c r="AH54" i="2"/>
  <c r="AH51" i="2"/>
  <c r="V49" i="2"/>
  <c r="AB46" i="2"/>
  <c r="AH43" i="2"/>
  <c r="V41" i="2"/>
  <c r="AB38" i="2"/>
  <c r="AH35" i="2"/>
  <c r="AA33" i="2"/>
  <c r="V31" i="2"/>
  <c r="AH28" i="2"/>
  <c r="AC26" i="2"/>
  <c r="X24" i="2"/>
  <c r="AJ21" i="2"/>
  <c r="AE19" i="2"/>
  <c r="AA17" i="2"/>
  <c r="V15" i="2"/>
  <c r="AH12" i="2"/>
  <c r="AC10" i="2"/>
  <c r="X8" i="2"/>
  <c r="AJ5" i="2"/>
  <c r="AE3" i="2"/>
  <c r="AF64" i="2"/>
  <c r="V61" i="2"/>
  <c r="AI57" i="2"/>
  <c r="AE54" i="2"/>
  <c r="AE51" i="2"/>
  <c r="AK48" i="2"/>
  <c r="AA46" i="2"/>
  <c r="AE43" i="2"/>
  <c r="AK40" i="2"/>
  <c r="AA38" i="2"/>
  <c r="AE35" i="2"/>
  <c r="Z33" i="2"/>
  <c r="AK30" i="2"/>
  <c r="AF28" i="2"/>
  <c r="AB26" i="2"/>
  <c r="W24" i="2"/>
  <c r="AI21" i="2"/>
  <c r="AD19" i="2"/>
  <c r="Z17" i="2"/>
  <c r="AK14" i="2"/>
  <c r="AF12" i="2"/>
  <c r="AB10" i="2"/>
  <c r="W8" i="2"/>
  <c r="AI5" i="2"/>
  <c r="AD3" i="2"/>
  <c r="X64" i="2"/>
  <c r="AE60" i="2"/>
  <c r="AC57" i="2"/>
  <c r="Z54" i="2"/>
  <c r="AA51" i="2"/>
  <c r="AE48" i="2"/>
  <c r="AK45" i="2"/>
  <c r="AA43" i="2"/>
  <c r="AE40" i="2"/>
  <c r="AK37" i="2"/>
  <c r="AA35" i="2"/>
  <c r="AK32" i="2"/>
  <c r="AF30" i="2"/>
  <c r="AB28" i="2"/>
  <c r="W26" i="2"/>
  <c r="AI23" i="2"/>
  <c r="AD21" i="2"/>
  <c r="Z19" i="2"/>
  <c r="AK16" i="2"/>
  <c r="AF14" i="2"/>
  <c r="AB12" i="2"/>
  <c r="W10" i="2"/>
  <c r="AI7" i="2"/>
  <c r="AD5" i="2"/>
  <c r="Z3" i="2"/>
  <c r="AK62" i="2"/>
  <c r="AE59" i="2"/>
  <c r="AC56" i="2"/>
  <c r="Z53" i="2"/>
  <c r="AC50" i="2"/>
  <c r="AI47" i="2"/>
  <c r="W45" i="2"/>
  <c r="AC42" i="2"/>
  <c r="AI39" i="2"/>
  <c r="W37" i="2"/>
  <c r="AD34" i="2"/>
  <c r="Z32" i="2"/>
  <c r="AK29" i="2"/>
  <c r="AF27" i="2"/>
  <c r="AB25" i="2"/>
  <c r="W23" i="2"/>
  <c r="AI20" i="2"/>
  <c r="AD18" i="2"/>
  <c r="Z16" i="2"/>
  <c r="AK13" i="2"/>
  <c r="AF11" i="2"/>
  <c r="AB9" i="2"/>
  <c r="W7" i="2"/>
  <c r="AI4" i="2"/>
  <c r="AG62" i="2"/>
  <c r="W53" i="2"/>
  <c r="AA47" i="2"/>
  <c r="AE39" i="2"/>
  <c r="X32" i="2"/>
  <c r="Z27" i="2"/>
  <c r="AF20" i="2"/>
  <c r="AJ13" i="2"/>
  <c r="AK8" i="2"/>
  <c r="V59" i="2"/>
  <c r="AA62" i="2"/>
  <c r="V53" i="2"/>
  <c r="V45" i="2"/>
  <c r="AA39" i="2"/>
  <c r="W32" i="2"/>
  <c r="AA25" i="2"/>
  <c r="AB20" i="2"/>
  <c r="AI13" i="2"/>
  <c r="V7" i="2"/>
  <c r="AD59" i="2"/>
  <c r="AE52" i="2"/>
  <c r="AK44" i="2"/>
  <c r="V37" i="2"/>
  <c r="AI31" i="2"/>
  <c r="Z25" i="2"/>
  <c r="AC18" i="2"/>
  <c r="AD13" i="2"/>
  <c r="AK6" i="2"/>
  <c r="AC59" i="2"/>
  <c r="AB50" i="2"/>
  <c r="AE44" i="2"/>
  <c r="AK36" i="2"/>
  <c r="AJ29" i="2"/>
  <c r="AK24" i="2"/>
  <c r="AB18" i="2"/>
  <c r="AE11" i="2"/>
  <c r="AF6" i="2"/>
  <c r="AA50" i="2"/>
  <c r="AB42" i="2"/>
  <c r="AE36" i="2"/>
  <c r="AI29" i="2"/>
  <c r="V23" i="2"/>
  <c r="W18" i="2"/>
  <c r="AD11" i="2"/>
  <c r="AH4" i="2"/>
  <c r="AA56" i="2"/>
  <c r="AH39" i="2"/>
  <c r="AF22" i="2"/>
  <c r="AF4" i="2"/>
  <c r="W34" i="2"/>
  <c r="AK65" i="2"/>
  <c r="Z9" i="2"/>
  <c r="Z56" i="2"/>
  <c r="AC34" i="2"/>
  <c r="AH20" i="2"/>
  <c r="AB4" i="2"/>
  <c r="AK49" i="2"/>
  <c r="AK41" i="2"/>
  <c r="AI55" i="2"/>
  <c r="AB34" i="2"/>
  <c r="X16" i="2"/>
  <c r="W16" i="2"/>
  <c r="AA42" i="2"/>
  <c r="AA9" i="2"/>
  <c r="AJ62" i="2"/>
  <c r="AH47" i="2"/>
  <c r="AD29" i="2"/>
  <c r="AI15" i="2"/>
  <c r="AE47" i="2"/>
  <c r="AE27" i="2"/>
  <c r="Z11" i="2"/>
  <c r="AD27" i="2"/>
  <c r="AK22" i="2"/>
</calcChain>
</file>

<file path=xl/sharedStrings.xml><?xml version="1.0" encoding="utf-8"?>
<sst xmlns="http://schemas.openxmlformats.org/spreadsheetml/2006/main" count="253" uniqueCount="142">
  <si>
    <t>Asset Parameters (normalized by commodity feedstock)</t>
  </si>
  <si>
    <t>doesn't include LPG</t>
  </si>
  <si>
    <t>Duals</t>
  </si>
  <si>
    <t>LCOE for assets with ethane capacity ($/t-ethylene)</t>
  </si>
  <si>
    <t>SEQ - CI</t>
  </si>
  <si>
    <t>SEQ - CREDIT</t>
  </si>
  <si>
    <t>NO SEQ - CI</t>
  </si>
  <si>
    <t>NO SEQ - CREDIT</t>
  </si>
  <si>
    <t>CHEM SEQUESTRATION - CARBON INTENSITY</t>
  </si>
  <si>
    <t>CHEM SEQUESTRATION - CREDIT</t>
  </si>
  <si>
    <t>NO CHEM SEQUESTRATION - CARBON INTENSITY</t>
  </si>
  <si>
    <t>NO CHEM SEQUESTRATION - CREDIT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</si>
  <si>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</si>
  <si>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</si>
  <si>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</si>
  <si>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</si>
  <si>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</si>
  <si>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</si>
  <si>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</si>
  <si>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</si>
  <si>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</si>
  <si>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</si>
  <si>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</si>
  <si>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</si>
  <si>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</si>
  <si>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ASSET_capture_rate (t-CO2/MWh-ethane)</t>
  </si>
  <si>
    <t>ASSET_emission_rate (t-CO2/MWh-ethane)</t>
  </si>
  <si>
    <t>capture_rate (t-CO2/MWh-ethane)</t>
  </si>
  <si>
    <t>emission_rate (t-CO2/MWh-ethane)</t>
  </si>
  <si>
    <t>investment_cost ($/yr per MW ethane)</t>
  </si>
  <si>
    <t>fixed_om_cost ($/yr per MW ethane)</t>
  </si>
  <si>
    <t>variable_om_cost ($/MWh-ethane)</t>
  </si>
  <si>
    <t>LPG_production (t-LPG/t-ethylene)</t>
  </si>
  <si>
    <t>co2_sink ($/t)</t>
  </si>
  <si>
    <t>co2_captured ($/t)</t>
  </si>
  <si>
    <t>bioherb_supply ($/t)</t>
  </si>
  <si>
    <t>biowood_supply ($/t)</t>
  </si>
  <si>
    <t>bioagri_supply ($/t)</t>
  </si>
  <si>
    <t>LPG_demand ($/t-LPG)</t>
  </si>
  <si>
    <t>ethane_supply ($/MWh)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</si>
  <si>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</si>
  <si>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</si>
  <si>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</si>
  <si>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</si>
  <si>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</si>
  <si>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</si>
  <si>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</si>
  <si>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</si>
  <si>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</si>
  <si>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</si>
  <si>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</si>
  <si>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</si>
  <si>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</si>
  <si>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</si>
  <si>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</si>
  <si>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</si>
  <si>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</si>
  <si>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</si>
  <si>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</si>
  <si>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</si>
  <si>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</si>
  <si>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</si>
  <si>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</si>
  <si>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</si>
  <si>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</si>
  <si>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</si>
  <si>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</si>
  <si>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</si>
  <si>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</si>
  <si>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</si>
  <si>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</si>
  <si>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Ethylene (t-CO2/t-ethylene)</t>
  </si>
  <si>
    <t>Ethane (t-CO2/MWh-ethane)</t>
  </si>
  <si>
    <t>NG (t-CO2/MWh-NG)</t>
  </si>
  <si>
    <t>LPG (t-CO2/t-LPG)</t>
  </si>
  <si>
    <t>Ethane (t-CO2/t-ethylene)</t>
  </si>
  <si>
    <t>NG (t-CO2/t-ethylene)</t>
  </si>
  <si>
    <t>Total input (t-CO2/t-ethylene)</t>
  </si>
  <si>
    <t>Methane (t-CO2/t-ethylene)</t>
  </si>
  <si>
    <t>Emissions (t-CO2/t-ethylene)</t>
  </si>
  <si>
    <t>Captured (t-CO2/t-ethylene)</t>
  </si>
  <si>
    <t>LPG (t-CO2/t-ethylene)</t>
  </si>
  <si>
    <t>Total Output (t-CO2/t-ethylene)</t>
  </si>
  <si>
    <t>Diff. Between Input and Output CO2 (t-CO2/t-ethylene)</t>
  </si>
  <si>
    <t>SW_TSC</t>
  </si>
  <si>
    <t>Ethane</t>
  </si>
  <si>
    <t>TX_TSC</t>
  </si>
  <si>
    <t>NCEN_TSC</t>
  </si>
  <si>
    <t>CEN_TSC</t>
  </si>
  <si>
    <t>SE_TSC</t>
  </si>
  <si>
    <t>MIDAT_TSC</t>
  </si>
  <si>
    <t>NE_TSC</t>
  </si>
  <si>
    <t>SW_TSC+CC90</t>
  </si>
  <si>
    <t>SW_TSC:H2</t>
  </si>
  <si>
    <t>SW_TSC+CC90:H2</t>
  </si>
  <si>
    <t>SW_TSC+H2in</t>
  </si>
  <si>
    <t>SW_TSC+H2in:CH4</t>
  </si>
  <si>
    <t>TX_TSC+CC90</t>
  </si>
  <si>
    <t>TX_TSC:H2</t>
  </si>
  <si>
    <t>TX_TSC+CC90:H2</t>
  </si>
  <si>
    <t>TX_TSC+H2in</t>
  </si>
  <si>
    <t>TX_TSC+H2in:CH4</t>
  </si>
  <si>
    <t>NCEN_TSC+CC90</t>
  </si>
  <si>
    <t>NCEN_TSC:H2</t>
  </si>
  <si>
    <t>NCEN_TSC+CC90:H2</t>
  </si>
  <si>
    <t>NCEN_TSC+H2in</t>
  </si>
  <si>
    <t>NCEN_TSC+H2in:CH4</t>
  </si>
  <si>
    <t>CEN_TSC+CC90</t>
  </si>
  <si>
    <t>CEN_TSC:H2</t>
  </si>
  <si>
    <t>CEN_TSC+CC90:H2</t>
  </si>
  <si>
    <t>CEN_TSC+H2in</t>
  </si>
  <si>
    <t>CEN_TSC+H2in:CH4</t>
  </si>
  <si>
    <t>SE_TSC+CC90</t>
  </si>
  <si>
    <t>SE_TSC:H2</t>
  </si>
  <si>
    <t>SE_TSC+CC90:H2</t>
  </si>
  <si>
    <t>SE_TSC+H2in</t>
  </si>
  <si>
    <t>SE_TSC+H2in:CH4</t>
  </si>
  <si>
    <t>MIDAT_TSC+CC90</t>
  </si>
  <si>
    <t>MIDAT_TSC:H2</t>
  </si>
  <si>
    <t>MIDAT_TSC+CC90:H2</t>
  </si>
  <si>
    <t>MIDAT_TSC+H2in</t>
  </si>
  <si>
    <t>MIDAT_TSC+H2in:CH4</t>
  </si>
  <si>
    <t>NE_TSC+CC90</t>
  </si>
  <si>
    <t>NE_TSC:H2</t>
  </si>
  <si>
    <t>NE_TSC+CC90:H2</t>
  </si>
  <si>
    <t>NE_TSC+H2in</t>
  </si>
  <si>
    <t>NE_TSC+H2in:CH4</t>
  </si>
  <si>
    <t>SW_ESC</t>
  </si>
  <si>
    <t>TX_ESC</t>
  </si>
  <si>
    <t>NCEN_ESC</t>
  </si>
  <si>
    <t>CEN_ESC</t>
  </si>
  <si>
    <t>SE_ESC</t>
  </si>
  <si>
    <t>MIDAT_ESC</t>
  </si>
  <si>
    <t>NE_ESC</t>
  </si>
  <si>
    <t>LCOE for steam/electric cracker ($/GJ-ethylene) - CHEMICALS SEQUESTRATION</t>
  </si>
  <si>
    <t>Assumptions</t>
  </si>
  <si>
    <t>LCOE for steam/electric cracker ($/GJ-ethylene) - CHEMICALS SEQUESTRATION - SORTED</t>
  </si>
  <si>
    <t>LCOE ($/GJ-ethylene)</t>
  </si>
  <si>
    <t>CHECK LCOE ($/GJ-ethylene)</t>
  </si>
  <si>
    <t>Ethylene LHV</t>
  </si>
  <si>
    <t>GJ/t-ethylene</t>
  </si>
  <si>
    <t>LCOE for steam/electric cracker ($/GJ-ethylene) - NO CHEMICALS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</si>
</sst>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0" fontId="0" fillId="8" borderId="0" xfId="0" applyFill="1"/>
    <xf numFmtId="164" fontId="1" fillId="9" borderId="0" xfId="0" applyNumberFormat="1" applyFont="1" applyFill="1"/>
    <xf numFmtId="0" fontId="0" fillId="10" borderId="0" xfId="0" applyFill="1"/>
    <xf numFmtId="0" fontId="4" fillId="11" borderId="0" xfId="0" applyFont="1" applyFill="1"/>
    <xf numFmtId="0" fontId="2" fillId="12" borderId="0" xfId="0" applyFont="1" applyFill="1"/>
    <xf numFmtId="0" fontId="0" fillId="13" borderId="0" xfId="0" applyFill="1"/>
    <xf numFmtId="0" fontId="1" fillId="14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K107"/>
  <sheetViews>
    <sheetView topLeftCell="BQ1" zoomScale="67" zoomScaleNormal="157" workbookViewId="0">
      <selection activeCell="BR11" sqref="BR11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3" width="27.83203125" style="1" bestFit="1" customWidth="1"/>
    <col min="14" max="14" width="28.83203125" style="1" bestFit="1" customWidth="1"/>
    <col min="15" max="15" width="17" style="1" customWidth="1"/>
    <col min="16" max="16" width="12.1640625" style="1" customWidth="1"/>
    <col min="17" max="17" width="15.83203125" style="1" customWidth="1"/>
    <col min="18" max="18" width="28.5" style="1" bestFit="1" customWidth="1"/>
    <col min="19" max="19" width="3" style="1" customWidth="1"/>
    <col min="20" max="20" width="12.83203125" style="1" bestFit="1" customWidth="1"/>
    <col min="21" max="21" width="11" style="1" customWidth="1"/>
    <col min="22" max="22" width="12.83203125" style="1" customWidth="1"/>
    <col min="23" max="23" width="13.83203125" style="1" customWidth="1"/>
    <col min="24" max="25" width="12" style="1" customWidth="1"/>
    <col min="26" max="26" width="11.83203125" style="1" customWidth="1"/>
    <col min="27" max="27" width="13.5" style="1" customWidth="1"/>
    <col min="28" max="28" width="14.33203125" style="1" customWidth="1"/>
    <col min="29" max="29" width="11" style="1" customWidth="1"/>
    <col min="30" max="30" width="9.33203125" style="1" customWidth="1"/>
    <col min="31" max="31" width="10.33203125" style="1" customWidth="1"/>
    <col min="32" max="32" width="14.83203125" style="1" customWidth="1"/>
    <col min="33" max="33" width="14.5" style="1" customWidth="1"/>
    <col min="34" max="35" width="12.5" style="1" customWidth="1"/>
    <col min="36" max="36" width="12.1640625" style="1" customWidth="1"/>
    <col min="37" max="37" width="13.1640625" style="1" customWidth="1"/>
    <col min="38" max="38" width="9.33203125" style="1" customWidth="1"/>
    <col min="39" max="39" width="9.83203125" style="1" customWidth="1"/>
    <col min="40" max="40" width="14.5" style="1" customWidth="1"/>
    <col min="41" max="41" width="15.33203125" style="1" customWidth="1"/>
    <col min="42" max="42" width="3.33203125" customWidth="1"/>
    <col min="43" max="43" width="18.83203125" style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9" width="15.6640625" style="1" customWidth="1"/>
    <col min="50" max="50" width="18.33203125" style="1" bestFit="1" customWidth="1"/>
    <col min="51" max="51" width="14.1640625" style="1" bestFit="1" customWidth="1"/>
    <col min="52" max="52" width="12.6640625" style="1" bestFit="1" customWidth="1"/>
    <col min="53" max="53" width="15.1640625" style="1" bestFit="1" customWidth="1"/>
    <col min="54" max="54" width="17.33203125" style="1" bestFit="1" customWidth="1"/>
    <col min="55" max="55" width="17.1640625" style="1" bestFit="1" customWidth="1"/>
    <col min="56" max="56" width="15.5" style="1" customWidth="1"/>
    <col min="57" max="57" width="13.6640625" style="1" bestFit="1" customWidth="1"/>
    <col min="58" max="58" width="12.1640625" style="1" bestFit="1" customWidth="1"/>
    <col min="59" max="59" width="14.5" style="1" bestFit="1" customWidth="1"/>
    <col min="60" max="60" width="10.5" style="1" customWidth="1"/>
    <col min="61" max="61" width="17.83203125" style="1" bestFit="1" customWidth="1"/>
    <col min="62" max="62" width="19.6640625" style="1" bestFit="1" customWidth="1"/>
    <col min="63" max="63" width="12.1640625" style="1" customWidth="1"/>
    <col min="64" max="64" width="17.83203125" style="1" bestFit="1" customWidth="1"/>
    <col min="65" max="65" width="19.33203125" style="1" bestFit="1" customWidth="1"/>
    <col min="66" max="66" width="18" style="1" customWidth="1"/>
    <col min="67" max="67" width="17.83203125" style="1" bestFit="1" customWidth="1"/>
    <col min="68" max="68" width="19.33203125" style="1" bestFit="1" customWidth="1"/>
    <col min="69" max="69" width="9.6640625" style="1" customWidth="1"/>
    <col min="70" max="70" width="17.83203125" style="1" bestFit="1" customWidth="1"/>
    <col min="71" max="71" width="19.33203125" style="1" bestFit="1" customWidth="1"/>
    <col min="72" max="72" width="3.33203125" style="1" customWidth="1"/>
    <col min="73" max="73" width="12.83203125" style="1" customWidth="1"/>
    <col min="74" max="74" width="23.33203125" style="1" bestFit="1" customWidth="1"/>
    <col min="75" max="75" width="19.1640625" style="1" bestFit="1" customWidth="1"/>
    <col min="76" max="76" width="15.33203125" style="1" bestFit="1" customWidth="1"/>
    <col min="77" max="77" width="3.6640625" style="1" customWidth="1"/>
    <col min="78" max="78" width="21.6640625" style="1" bestFit="1" customWidth="1"/>
    <col min="79" max="79" width="18.33203125" style="1" bestFit="1" customWidth="1"/>
    <col min="80" max="80" width="24.33203125" style="1" bestFit="1" customWidth="1"/>
    <col min="81" max="81" width="3.33203125" style="1" customWidth="1"/>
    <col min="82" max="82" width="23" style="1" bestFit="1" customWidth="1"/>
    <col min="83" max="83" width="22.1640625" style="1" bestFit="1" customWidth="1"/>
    <col min="84" max="84" width="23.6640625" style="1" bestFit="1" customWidth="1"/>
    <col min="85" max="85" width="23.1640625" style="1" bestFit="1" customWidth="1"/>
    <col min="86" max="86" width="18.5" style="1" bestFit="1" customWidth="1"/>
    <col min="87" max="87" width="26" style="1" bestFit="1" customWidth="1"/>
    <col min="88" max="88" width="3" style="1" customWidth="1"/>
    <col min="89" max="89" width="43.5" style="1" bestFit="1" customWidth="1"/>
    <col min="90" max="109" width="10.83203125" style="1" customWidth="1"/>
    <col min="110" max="16384" width="10.83203125" style="1"/>
  </cols>
  <sheetData>
    <row r="1" spans="2:89" x14ac:dyDescent="0.2">
      <c r="B1" s="1" t="s">
        <v>0</v>
      </c>
      <c r="N1" s="1" t="s">
        <v>1</v>
      </c>
      <c r="T1" s="1" t="s">
        <v>2</v>
      </c>
      <c r="AQ1" s="1" t="s">
        <v>3</v>
      </c>
      <c r="AS1" s="1" t="s">
        <v>4</v>
      </c>
      <c r="AT1" s="1" t="s">
        <v>5</v>
      </c>
      <c r="AV1" s="1" t="s">
        <v>6</v>
      </c>
      <c r="AW1" s="1" t="s">
        <v>7</v>
      </c>
      <c r="BH1" s="1" t="s">
        <v>8</v>
      </c>
      <c r="BK1" s="1" t="s">
        <v>9</v>
      </c>
      <c r="BN1" s="1" t="s">
        <v>10</v>
      </c>
      <c r="BQ1" s="1" t="s">
        <v>11</v>
      </c>
      <c r="BU1" s="1" t="s">
        <v>12</v>
      </c>
      <c r="BZ1" s="1" t="s">
        <v>13</v>
      </c>
      <c r="CD1" s="1" t="s">
        <v>14</v>
      </c>
      <c r="CK1" s="1" t="s">
        <v>15</v>
      </c>
    </row>
    <row r="2" spans="2:89" x14ac:dyDescent="0.2"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7" t="s">
        <v>27</v>
      </c>
      <c r="N2" s="7" t="s">
        <v>28</v>
      </c>
      <c r="O2" s="2" t="s">
        <v>29</v>
      </c>
      <c r="P2" s="2" t="s">
        <v>30</v>
      </c>
      <c r="Q2" s="2" t="s">
        <v>31</v>
      </c>
      <c r="R2" s="7" t="s">
        <v>32</v>
      </c>
      <c r="T2" s="15" t="s">
        <v>33</v>
      </c>
      <c r="U2" s="15" t="s">
        <v>34</v>
      </c>
      <c r="V2" s="15" t="s">
        <v>35</v>
      </c>
      <c r="W2" s="15" t="s">
        <v>36</v>
      </c>
      <c r="X2" s="15" t="s">
        <v>37</v>
      </c>
      <c r="Y2" s="7" t="s">
        <v>38</v>
      </c>
      <c r="Z2" s="7" t="s">
        <v>39</v>
      </c>
      <c r="AA2" s="15" t="s">
        <v>40</v>
      </c>
      <c r="AB2" s="15" t="s">
        <v>41</v>
      </c>
      <c r="AC2" s="15" t="s">
        <v>42</v>
      </c>
      <c r="AD2" s="15" t="s">
        <v>43</v>
      </c>
      <c r="AE2" s="15" t="s">
        <v>44</v>
      </c>
      <c r="AF2" s="15" t="s">
        <v>45</v>
      </c>
      <c r="AG2" s="15" t="s">
        <v>46</v>
      </c>
      <c r="AH2" s="15" t="s">
        <v>47</v>
      </c>
      <c r="AI2" s="15" t="s">
        <v>48</v>
      </c>
      <c r="AJ2" s="15" t="s">
        <v>49</v>
      </c>
      <c r="AK2" s="15" t="s">
        <v>50</v>
      </c>
      <c r="AL2" s="15" t="s">
        <v>51</v>
      </c>
      <c r="AM2" s="15" t="s">
        <v>52</v>
      </c>
      <c r="AN2" s="15" t="s">
        <v>53</v>
      </c>
      <c r="AO2" s="15" t="s">
        <v>54</v>
      </c>
      <c r="AQ2" s="4" t="s">
        <v>55</v>
      </c>
      <c r="AR2" s="4" t="s">
        <v>56</v>
      </c>
      <c r="AS2" s="3" t="s">
        <v>57</v>
      </c>
      <c r="AT2" s="6" t="s">
        <v>57</v>
      </c>
      <c r="AU2" s="7" t="s">
        <v>58</v>
      </c>
      <c r="AV2" s="3" t="s">
        <v>57</v>
      </c>
      <c r="AW2" s="6" t="s">
        <v>57</v>
      </c>
      <c r="AX2" s="7" t="s">
        <v>58</v>
      </c>
      <c r="AY2" s="4" t="s">
        <v>59</v>
      </c>
      <c r="AZ2" s="4" t="s">
        <v>60</v>
      </c>
      <c r="BA2" s="4" t="s">
        <v>61</v>
      </c>
      <c r="BB2" s="4" t="s">
        <v>62</v>
      </c>
      <c r="BC2" s="4" t="s">
        <v>63</v>
      </c>
      <c r="BD2" s="4" t="s">
        <v>64</v>
      </c>
      <c r="BE2" s="4" t="s">
        <v>65</v>
      </c>
      <c r="BF2" s="4" t="s">
        <v>66</v>
      </c>
      <c r="BG2" s="4" t="s">
        <v>67</v>
      </c>
      <c r="BH2" s="3" t="s">
        <v>68</v>
      </c>
      <c r="BI2" s="3" t="s">
        <v>69</v>
      </c>
      <c r="BJ2" s="3" t="s">
        <v>70</v>
      </c>
      <c r="BK2" s="6" t="s">
        <v>68</v>
      </c>
      <c r="BL2" s="6" t="s">
        <v>69</v>
      </c>
      <c r="BM2" s="6" t="s">
        <v>70</v>
      </c>
      <c r="BN2" s="3" t="s">
        <v>68</v>
      </c>
      <c r="BO2" s="3" t="s">
        <v>69</v>
      </c>
      <c r="BP2" s="3" t="s">
        <v>70</v>
      </c>
      <c r="BQ2" s="6" t="s">
        <v>68</v>
      </c>
      <c r="BR2" s="6" t="s">
        <v>69</v>
      </c>
      <c r="BS2" s="6" t="s">
        <v>70</v>
      </c>
      <c r="BU2" s="7" t="s">
        <v>71</v>
      </c>
      <c r="BV2" s="7" t="s">
        <v>72</v>
      </c>
      <c r="BW2" s="7" t="s">
        <v>73</v>
      </c>
      <c r="BX2" s="7" t="s">
        <v>74</v>
      </c>
      <c r="BZ2" s="7" t="s">
        <v>75</v>
      </c>
      <c r="CA2" s="7" t="s">
        <v>76</v>
      </c>
      <c r="CB2" s="7" t="s">
        <v>77</v>
      </c>
      <c r="CD2" s="7" t="s">
        <v>71</v>
      </c>
      <c r="CE2" s="7" t="s">
        <v>78</v>
      </c>
      <c r="CF2" s="7" t="s">
        <v>79</v>
      </c>
      <c r="CG2" s="7" t="s">
        <v>80</v>
      </c>
      <c r="CH2" s="7" t="s">
        <v>81</v>
      </c>
      <c r="CI2" s="7" t="s">
        <v>82</v>
      </c>
      <c r="CK2" s="7" t="s">
        <v>83</v>
      </c>
    </row>
    <row r="3" spans="2:89" x14ac:dyDescent="0.2">
      <c r="B3" s="14" t="s">
        <v>84</v>
      </c>
      <c r="C3" s="13" t="s">
        <v>85</v>
      </c>
      <c r="D3" s="13">
        <v>0</v>
      </c>
      <c r="E3" s="13">
        <v>0</v>
      </c>
      <c r="F3" s="13">
        <v>0</v>
      </c>
      <c r="G3" s="13">
        <v>0</v>
      </c>
      <c r="H3" s="13">
        <v>5.3101897240000001E-2</v>
      </c>
      <c r="I3" s="13">
        <v>2.270169876E-2</v>
      </c>
      <c r="J3" s="13">
        <v>0</v>
      </c>
      <c r="K3" s="13">
        <v>0</v>
      </c>
      <c r="L3" s="13">
        <v>5.9012541000000002E-2</v>
      </c>
      <c r="M3" s="11">
        <f t="shared" ref="M3:M34" si="0">CG3*H3</f>
        <v>0</v>
      </c>
      <c r="N3" s="11">
        <f t="shared" ref="N3:N34" si="1">CF3*H3</f>
        <v>5.9012540679146006E-2</v>
      </c>
      <c r="O3" s="13">
        <v>99124.320160000003</v>
      </c>
      <c r="P3" s="13">
        <v>54251.997770000002</v>
      </c>
      <c r="Q3" s="13">
        <v>1.6761597559999999</v>
      </c>
      <c r="R3" s="11">
        <v>0.2020556</v>
      </c>
      <c r="T3" s="16">
        <v>73.71884</v>
      </c>
      <c r="U3" s="16">
        <v>-4.302149</v>
      </c>
      <c r="V3" s="16">
        <v>61.152786999999996</v>
      </c>
      <c r="W3" s="16">
        <v>40.832245999999998</v>
      </c>
      <c r="X3" s="16">
        <v>41.356794999999998</v>
      </c>
      <c r="Y3" s="22">
        <v>420</v>
      </c>
      <c r="Z3" s="11">
        <v>21.986353300000001</v>
      </c>
      <c r="AA3" s="17">
        <v>-1.8192109999999999</v>
      </c>
      <c r="AB3" s="17"/>
      <c r="AC3" s="16">
        <v>21.021514</v>
      </c>
      <c r="AD3" s="16">
        <v>9.0440679999999993</v>
      </c>
      <c r="AE3" s="16"/>
      <c r="AF3" s="17">
        <v>-126.225199</v>
      </c>
      <c r="AG3" s="17">
        <v>-126.225199</v>
      </c>
      <c r="AH3" s="17"/>
      <c r="AI3" s="17"/>
      <c r="AJ3" s="17"/>
      <c r="AK3" s="17"/>
      <c r="AL3" s="16">
        <v>10.321106</v>
      </c>
      <c r="AM3" s="16">
        <v>0</v>
      </c>
      <c r="AN3" s="16">
        <v>822.26752199999999</v>
      </c>
      <c r="AO3" s="16">
        <v>0</v>
      </c>
      <c r="AQ3" s="1" t="str">
        <f t="shared" ref="AQ3:AQ34" si="2">B3</f>
        <v>SW_TSC</v>
      </c>
      <c r="AR3" s="1" t="str">
        <f t="shared" ref="AR3:AR34" si="3">C3</f>
        <v>Ethane</v>
      </c>
      <c r="AS3" s="12">
        <f t="shared" ref="AS3:AS34" si="4">SUM(AY3:BG3)+BI3+BJ3</f>
        <v>898.29709984173167</v>
      </c>
      <c r="AT3" s="12">
        <f t="shared" ref="AT3:AT34" si="5">SUM(AY3:BG3)+BL3+BM3</f>
        <v>898.29709984173167</v>
      </c>
      <c r="AU3" s="5">
        <f t="shared" ref="AU3:AU34" si="6">AS3-AT3</f>
        <v>0</v>
      </c>
      <c r="AV3" s="12">
        <f t="shared" ref="AV3:AV34" si="7">SUM(AY3:BG3)+BO3+BP3</f>
        <v>1130.0083265158769</v>
      </c>
      <c r="AW3" s="12">
        <f t="shared" ref="AW3:AW34" si="8">SUM(AY3:BG3)+BR3+BS3</f>
        <v>1130.0083265158769</v>
      </c>
      <c r="AX3" s="5">
        <f t="shared" ref="AX3:AX34" si="9">AV3-AW3</f>
        <v>0</v>
      </c>
      <c r="AY3" s="5">
        <f t="shared" ref="AY3:AY34" si="10">E3/H3*AD3</f>
        <v>0</v>
      </c>
      <c r="AZ3" s="1">
        <f t="shared" ref="AZ3:AZ34" si="11">F3/H3*AD3*-1</f>
        <v>0</v>
      </c>
      <c r="BA3" s="1">
        <f t="shared" ref="BA3:BA34" si="12">G3/H3*AC3</f>
        <v>0</v>
      </c>
      <c r="BB3" s="1">
        <f t="shared" ref="BB3:BB34" si="13">1/H3*Z3</f>
        <v>414.04082420313915</v>
      </c>
      <c r="BC3" s="1">
        <f t="shared" ref="BC3:BC34" si="14">I3/H3*AL3</f>
        <v>4.4123967590659401</v>
      </c>
      <c r="BD3" s="1">
        <f t="shared" ref="BD3:BD34" si="15">J3/H3*AL3*-1</f>
        <v>0</v>
      </c>
      <c r="BE3" s="1">
        <f t="shared" ref="BE3:BE34" si="16">O3/H3/(0.9*8760)</f>
        <v>236.76830668400294</v>
      </c>
      <c r="BF3" s="1">
        <f t="shared" ref="BF3:BF34" si="17">P3/H3/(0.9*8760)</f>
        <v>129.58629754527846</v>
      </c>
      <c r="BG3" s="1">
        <f t="shared" ref="BG3:BG34" si="18">Q3/H3</f>
        <v>31.564969297130897</v>
      </c>
      <c r="BH3" s="1">
        <f t="shared" ref="BH3:BH34" si="19">CE3+CF3+CG3</f>
        <v>1.1113075755548278</v>
      </c>
      <c r="BI3" s="1">
        <f t="shared" ref="BI3:BI34" si="20">(T3+U3)*-1*M3/H3</f>
        <v>0</v>
      </c>
      <c r="BJ3" s="1">
        <f t="shared" ref="BJ3:BJ34" si="21">BH3*T3</f>
        <v>81.924305353114264</v>
      </c>
      <c r="BK3" s="1">
        <f t="shared" ref="BK3:BK34" si="22">CE3+CF3</f>
        <v>1.1113075755548278</v>
      </c>
      <c r="BL3" s="1">
        <f t="shared" ref="BL3:BL34" si="23">U3*M3*-1/H3</f>
        <v>0</v>
      </c>
      <c r="BM3" s="1">
        <f t="shared" ref="BM3:BM34" si="24">BK3*T3</f>
        <v>81.924305353114264</v>
      </c>
      <c r="BN3" s="1">
        <f t="shared" ref="BN3:BN34" si="25">SUM(CD3:CH3)</f>
        <v>4.2544827350411287</v>
      </c>
      <c r="BO3" s="1">
        <f t="shared" ref="BO3:BO34" si="26">(T3+U3)*-1*M3/H3</f>
        <v>0</v>
      </c>
      <c r="BP3" s="1">
        <f t="shared" ref="BP3:BP34" si="27">BN3*T3</f>
        <v>313.63553202725939</v>
      </c>
      <c r="BQ3" s="1">
        <f t="shared" ref="BQ3:BQ34" si="28">CD3+CE3+CF3+CH3</f>
        <v>4.2544827350411287</v>
      </c>
      <c r="BR3" s="1">
        <f t="shared" ref="BR3:BR34" si="29">M3/H3*U3*-1</f>
        <v>0</v>
      </c>
      <c r="BS3" s="1">
        <f t="shared" ref="BS3:BS34" si="30">T3*BQ3</f>
        <v>313.63553202725939</v>
      </c>
      <c r="BU3" s="9">
        <v>3.14</v>
      </c>
      <c r="BV3" s="10">
        <v>0.22181100240000001</v>
      </c>
      <c r="BW3" s="9">
        <v>0.18104824</v>
      </c>
      <c r="BX3" s="9">
        <v>1.5714286000000001E-2</v>
      </c>
      <c r="BZ3" s="10">
        <f t="shared" ref="BZ3:BZ34" si="31">1/H3*BV3</f>
        <v>4.1770824382695828</v>
      </c>
      <c r="CA3" s="10">
        <f t="shared" ref="CA3:CA34" si="32">I3/H3*BW3</f>
        <v>7.7400296771546806E-2</v>
      </c>
      <c r="CB3" s="10">
        <f t="shared" ref="CB3:CB34" si="33">BZ3+CA3</f>
        <v>4.2544827350411296</v>
      </c>
      <c r="CD3" s="10">
        <f t="shared" ref="CD3:CD34" si="34">BU3</f>
        <v>3.14</v>
      </c>
      <c r="CE3" s="10">
        <f t="shared" ref="CE3:CE34" si="35">J3/H3*BW3</f>
        <v>0</v>
      </c>
      <c r="CF3" s="10">
        <f t="shared" ref="CF3:CF34" si="36">(CB3-CD3-CE3-CH3)*(1-D3)</f>
        <v>1.1113075755548278</v>
      </c>
      <c r="CG3" s="10">
        <f t="shared" ref="CG3:CG34" si="37">(CB3-CD3-CE3-CH3)*D3</f>
        <v>0</v>
      </c>
      <c r="CH3" s="10">
        <f t="shared" ref="CH3:CH34" si="38">BX3*R3</f>
        <v>3.1751594863016004E-3</v>
      </c>
      <c r="CI3" s="10">
        <f t="shared" ref="CI3:CI34" si="39">SUM(CD3:CH3)</f>
        <v>4.2544827350411287</v>
      </c>
      <c r="CK3" s="1">
        <f t="shared" ref="CK3:CK34" si="40">CI3-CB3</f>
        <v>0</v>
      </c>
    </row>
    <row r="4" spans="2:89" x14ac:dyDescent="0.2">
      <c r="B4" s="14" t="s">
        <v>86</v>
      </c>
      <c r="C4" s="13" t="s">
        <v>85</v>
      </c>
      <c r="D4" s="13">
        <v>0</v>
      </c>
      <c r="E4" s="13">
        <v>0</v>
      </c>
      <c r="F4" s="13">
        <v>0</v>
      </c>
      <c r="G4" s="13">
        <v>0</v>
      </c>
      <c r="H4" s="13">
        <v>5.3101897240000001E-2</v>
      </c>
      <c r="I4" s="13">
        <v>2.270169876E-2</v>
      </c>
      <c r="J4" s="13">
        <v>0</v>
      </c>
      <c r="K4" s="13">
        <v>0</v>
      </c>
      <c r="L4" s="13">
        <v>5.9012541000000002E-2</v>
      </c>
      <c r="M4" s="11">
        <f t="shared" si="0"/>
        <v>0</v>
      </c>
      <c r="N4" s="11">
        <f t="shared" si="1"/>
        <v>5.9012540679146006E-2</v>
      </c>
      <c r="O4" s="13">
        <v>99124.320160000003</v>
      </c>
      <c r="P4" s="13">
        <v>54251.997770000002</v>
      </c>
      <c r="Q4" s="13">
        <v>1.6761597559999999</v>
      </c>
      <c r="R4" s="11">
        <v>0.2020556</v>
      </c>
      <c r="T4" s="16">
        <v>73.71884</v>
      </c>
      <c r="U4" s="16">
        <v>-5.0000840000000002</v>
      </c>
      <c r="V4" s="16">
        <v>62.617055000000001</v>
      </c>
      <c r="W4" s="16">
        <v>37.705083000000002</v>
      </c>
      <c r="X4" s="16">
        <v>30.684851999999999</v>
      </c>
      <c r="Y4" s="22">
        <v>420</v>
      </c>
      <c r="Z4" s="11">
        <v>21.986353300000001</v>
      </c>
      <c r="AA4" s="17">
        <v>-8.7269439999999996</v>
      </c>
      <c r="AB4" s="17"/>
      <c r="AC4" s="16">
        <v>21.357776999999999</v>
      </c>
      <c r="AD4" s="16">
        <v>7.5483099999999999</v>
      </c>
      <c r="AE4" s="16"/>
      <c r="AF4" s="17">
        <v>-126.782873</v>
      </c>
      <c r="AG4" s="17">
        <v>-126.782873</v>
      </c>
      <c r="AH4" s="17"/>
      <c r="AI4" s="17"/>
      <c r="AJ4" s="17"/>
      <c r="AK4" s="17"/>
      <c r="AL4" s="16">
        <v>8.6017200000000003</v>
      </c>
      <c r="AM4" s="16">
        <v>0</v>
      </c>
      <c r="AN4" s="16">
        <v>822.26752199999999</v>
      </c>
      <c r="AO4" s="16">
        <v>822.26752199999999</v>
      </c>
      <c r="AQ4" s="1" t="str">
        <f t="shared" si="2"/>
        <v>TX_TSC</v>
      </c>
      <c r="AR4" s="1" t="str">
        <f t="shared" si="3"/>
        <v>Ethane</v>
      </c>
      <c r="AS4" s="12">
        <f t="shared" si="4"/>
        <v>897.56204167897442</v>
      </c>
      <c r="AT4" s="12">
        <f t="shared" si="5"/>
        <v>897.56204167897442</v>
      </c>
      <c r="AU4" s="5">
        <f t="shared" si="6"/>
        <v>0</v>
      </c>
      <c r="AV4" s="12">
        <f t="shared" si="7"/>
        <v>1129.2732683531194</v>
      </c>
      <c r="AW4" s="12">
        <f t="shared" si="8"/>
        <v>1129.2732683531194</v>
      </c>
      <c r="AX4" s="5">
        <f t="shared" si="9"/>
        <v>0</v>
      </c>
      <c r="AY4" s="5">
        <f t="shared" si="10"/>
        <v>0</v>
      </c>
      <c r="AZ4" s="1">
        <f t="shared" si="11"/>
        <v>0</v>
      </c>
      <c r="BA4" s="1">
        <f t="shared" si="12"/>
        <v>0</v>
      </c>
      <c r="BB4" s="1">
        <f t="shared" si="13"/>
        <v>414.04082420313915</v>
      </c>
      <c r="BC4" s="1">
        <f t="shared" si="14"/>
        <v>3.6773385963086391</v>
      </c>
      <c r="BD4" s="1">
        <f t="shared" si="15"/>
        <v>0</v>
      </c>
      <c r="BE4" s="1">
        <f t="shared" si="16"/>
        <v>236.76830668400294</v>
      </c>
      <c r="BF4" s="1">
        <f t="shared" si="17"/>
        <v>129.58629754527846</v>
      </c>
      <c r="BG4" s="1">
        <f t="shared" si="18"/>
        <v>31.564969297130897</v>
      </c>
      <c r="BH4" s="1">
        <f t="shared" si="19"/>
        <v>1.1113075755548278</v>
      </c>
      <c r="BI4" s="1">
        <f t="shared" si="20"/>
        <v>0</v>
      </c>
      <c r="BJ4" s="1">
        <f t="shared" si="21"/>
        <v>81.924305353114264</v>
      </c>
      <c r="BK4" s="1">
        <f t="shared" si="22"/>
        <v>1.1113075755548278</v>
      </c>
      <c r="BL4" s="1">
        <f t="shared" si="23"/>
        <v>0</v>
      </c>
      <c r="BM4" s="1">
        <f t="shared" si="24"/>
        <v>81.924305353114264</v>
      </c>
      <c r="BN4" s="1">
        <f t="shared" si="25"/>
        <v>4.2544827350411287</v>
      </c>
      <c r="BO4" s="1">
        <f t="shared" si="26"/>
        <v>0</v>
      </c>
      <c r="BP4" s="1">
        <f t="shared" si="27"/>
        <v>313.63553202725939</v>
      </c>
      <c r="BQ4" s="1">
        <f t="shared" si="28"/>
        <v>4.2544827350411287</v>
      </c>
      <c r="BR4" s="1">
        <f t="shared" si="29"/>
        <v>0</v>
      </c>
      <c r="BS4" s="1">
        <f t="shared" si="30"/>
        <v>313.63553202725939</v>
      </c>
      <c r="BU4" s="9">
        <v>3.14</v>
      </c>
      <c r="BV4" s="10">
        <v>0.22181100240000001</v>
      </c>
      <c r="BW4" s="9">
        <v>0.18104824</v>
      </c>
      <c r="BX4" s="9">
        <v>1.5714286000000001E-2</v>
      </c>
      <c r="BZ4" s="10">
        <f t="shared" si="31"/>
        <v>4.1770824382695828</v>
      </c>
      <c r="CA4" s="10">
        <f t="shared" si="32"/>
        <v>7.7400296771546806E-2</v>
      </c>
      <c r="CB4" s="10">
        <f t="shared" si="33"/>
        <v>4.2544827350411296</v>
      </c>
      <c r="CD4" s="10">
        <f t="shared" si="34"/>
        <v>3.14</v>
      </c>
      <c r="CE4" s="10">
        <f t="shared" si="35"/>
        <v>0</v>
      </c>
      <c r="CF4" s="10">
        <f t="shared" si="36"/>
        <v>1.1113075755548278</v>
      </c>
      <c r="CG4" s="10">
        <f t="shared" si="37"/>
        <v>0</v>
      </c>
      <c r="CH4" s="10">
        <f t="shared" si="38"/>
        <v>3.1751594863016004E-3</v>
      </c>
      <c r="CI4" s="10">
        <f t="shared" si="39"/>
        <v>4.2544827350411287</v>
      </c>
      <c r="CK4" s="1">
        <f t="shared" si="40"/>
        <v>0</v>
      </c>
    </row>
    <row r="5" spans="2:89" x14ac:dyDescent="0.2">
      <c r="B5" s="14" t="s">
        <v>87</v>
      </c>
      <c r="C5" s="13" t="s">
        <v>85</v>
      </c>
      <c r="D5" s="13">
        <v>0</v>
      </c>
      <c r="E5" s="13">
        <v>0</v>
      </c>
      <c r="F5" s="13">
        <v>0</v>
      </c>
      <c r="G5" s="13">
        <v>0</v>
      </c>
      <c r="H5" s="13">
        <v>5.3101897240000001E-2</v>
      </c>
      <c r="I5" s="13">
        <v>2.270169876E-2</v>
      </c>
      <c r="J5" s="13">
        <v>0</v>
      </c>
      <c r="K5" s="13">
        <v>0</v>
      </c>
      <c r="L5" s="13">
        <v>5.9012541000000002E-2</v>
      </c>
      <c r="M5" s="11">
        <f t="shared" si="0"/>
        <v>0</v>
      </c>
      <c r="N5" s="11">
        <f t="shared" si="1"/>
        <v>5.9012540679146006E-2</v>
      </c>
      <c r="O5" s="13">
        <v>99124.320160000003</v>
      </c>
      <c r="P5" s="13">
        <v>54251.997770000002</v>
      </c>
      <c r="Q5" s="13">
        <v>1.6761597559999999</v>
      </c>
      <c r="R5" s="11">
        <v>0.2020556</v>
      </c>
      <c r="T5" s="16">
        <v>73.71884</v>
      </c>
      <c r="U5" s="16">
        <v>-6.0973139999999999</v>
      </c>
      <c r="V5" s="16">
        <v>61.343403000000002</v>
      </c>
      <c r="W5" s="16">
        <v>33.004970999999998</v>
      </c>
      <c r="X5" s="16">
        <v>42.195610000000002</v>
      </c>
      <c r="Y5" s="22">
        <v>420</v>
      </c>
      <c r="Z5" s="11">
        <v>21.986353300000001</v>
      </c>
      <c r="AA5" s="17">
        <v>51.423575999999997</v>
      </c>
      <c r="AB5" s="17"/>
      <c r="AC5" s="16">
        <v>22.906690000000001</v>
      </c>
      <c r="AD5" s="16">
        <v>13.197062000000001</v>
      </c>
      <c r="AE5" s="16"/>
      <c r="AF5" s="17">
        <v>-129.528977</v>
      </c>
      <c r="AG5" s="17">
        <v>-129.528977</v>
      </c>
      <c r="AH5" s="17"/>
      <c r="AI5" s="17"/>
      <c r="AJ5" s="17"/>
      <c r="AK5" s="17"/>
      <c r="AL5" s="16">
        <v>14.953878</v>
      </c>
      <c r="AM5" s="16">
        <v>0</v>
      </c>
      <c r="AN5" s="16">
        <v>822.26752199999999</v>
      </c>
      <c r="AO5" s="16">
        <v>822.26752199999999</v>
      </c>
      <c r="AQ5" s="1" t="str">
        <f t="shared" si="2"/>
        <v>NCEN_TSC</v>
      </c>
      <c r="AR5" s="1" t="str">
        <f t="shared" si="3"/>
        <v>Ethane</v>
      </c>
      <c r="AS5" s="12">
        <f t="shared" si="4"/>
        <v>900.27766550574972</v>
      </c>
      <c r="AT5" s="12">
        <f t="shared" si="5"/>
        <v>900.27766550574972</v>
      </c>
      <c r="AU5" s="5">
        <f t="shared" si="6"/>
        <v>0</v>
      </c>
      <c r="AV5" s="12">
        <f t="shared" si="7"/>
        <v>1131.9888921798947</v>
      </c>
      <c r="AW5" s="12">
        <f t="shared" si="8"/>
        <v>1131.9888921798947</v>
      </c>
      <c r="AX5" s="5">
        <f t="shared" si="9"/>
        <v>0</v>
      </c>
      <c r="AY5" s="5">
        <f t="shared" si="10"/>
        <v>0</v>
      </c>
      <c r="AZ5" s="1">
        <f t="shared" si="11"/>
        <v>0</v>
      </c>
      <c r="BA5" s="1">
        <f t="shared" si="12"/>
        <v>0</v>
      </c>
      <c r="BB5" s="1">
        <f t="shared" si="13"/>
        <v>414.04082420313915</v>
      </c>
      <c r="BC5" s="1">
        <f t="shared" si="14"/>
        <v>6.3929624230840618</v>
      </c>
      <c r="BD5" s="1">
        <f t="shared" si="15"/>
        <v>0</v>
      </c>
      <c r="BE5" s="1">
        <f t="shared" si="16"/>
        <v>236.76830668400294</v>
      </c>
      <c r="BF5" s="1">
        <f t="shared" si="17"/>
        <v>129.58629754527846</v>
      </c>
      <c r="BG5" s="1">
        <f t="shared" si="18"/>
        <v>31.564969297130897</v>
      </c>
      <c r="BH5" s="1">
        <f t="shared" si="19"/>
        <v>1.1113075755548278</v>
      </c>
      <c r="BI5" s="1">
        <f t="shared" si="20"/>
        <v>0</v>
      </c>
      <c r="BJ5" s="1">
        <f t="shared" si="21"/>
        <v>81.924305353114264</v>
      </c>
      <c r="BK5" s="1">
        <f t="shared" si="22"/>
        <v>1.1113075755548278</v>
      </c>
      <c r="BL5" s="1">
        <f t="shared" si="23"/>
        <v>0</v>
      </c>
      <c r="BM5" s="1">
        <f t="shared" si="24"/>
        <v>81.924305353114264</v>
      </c>
      <c r="BN5" s="1">
        <f t="shared" si="25"/>
        <v>4.2544827350411287</v>
      </c>
      <c r="BO5" s="1">
        <f t="shared" si="26"/>
        <v>0</v>
      </c>
      <c r="BP5" s="1">
        <f t="shared" si="27"/>
        <v>313.63553202725939</v>
      </c>
      <c r="BQ5" s="1">
        <f t="shared" si="28"/>
        <v>4.2544827350411287</v>
      </c>
      <c r="BR5" s="1">
        <f t="shared" si="29"/>
        <v>0</v>
      </c>
      <c r="BS5" s="1">
        <f t="shared" si="30"/>
        <v>313.63553202725939</v>
      </c>
      <c r="BU5" s="9">
        <v>3.14</v>
      </c>
      <c r="BV5" s="10">
        <v>0.22181100240000001</v>
      </c>
      <c r="BW5" s="9">
        <v>0.18104824</v>
      </c>
      <c r="BX5" s="9">
        <v>1.5714286000000001E-2</v>
      </c>
      <c r="BZ5" s="10">
        <f t="shared" si="31"/>
        <v>4.1770824382695828</v>
      </c>
      <c r="CA5" s="10">
        <f t="shared" si="32"/>
        <v>7.7400296771546806E-2</v>
      </c>
      <c r="CB5" s="10">
        <f t="shared" si="33"/>
        <v>4.2544827350411296</v>
      </c>
      <c r="CD5" s="10">
        <f t="shared" si="34"/>
        <v>3.14</v>
      </c>
      <c r="CE5" s="10">
        <f t="shared" si="35"/>
        <v>0</v>
      </c>
      <c r="CF5" s="10">
        <f t="shared" si="36"/>
        <v>1.1113075755548278</v>
      </c>
      <c r="CG5" s="10">
        <f t="shared" si="37"/>
        <v>0</v>
      </c>
      <c r="CH5" s="10">
        <f t="shared" si="38"/>
        <v>3.1751594863016004E-3</v>
      </c>
      <c r="CI5" s="10">
        <f t="shared" si="39"/>
        <v>4.2544827350411287</v>
      </c>
      <c r="CK5" s="1">
        <f t="shared" si="40"/>
        <v>0</v>
      </c>
    </row>
    <row r="6" spans="2:89" x14ac:dyDescent="0.2">
      <c r="B6" s="14" t="s">
        <v>88</v>
      </c>
      <c r="C6" s="13" t="s">
        <v>85</v>
      </c>
      <c r="D6" s="13">
        <v>0</v>
      </c>
      <c r="E6" s="13">
        <v>0</v>
      </c>
      <c r="F6" s="13">
        <v>0</v>
      </c>
      <c r="G6" s="13">
        <v>0</v>
      </c>
      <c r="H6" s="13">
        <v>5.3101897240000001E-2</v>
      </c>
      <c r="I6" s="13">
        <v>2.270169876E-2</v>
      </c>
      <c r="J6" s="13">
        <v>0</v>
      </c>
      <c r="K6" s="13">
        <v>0</v>
      </c>
      <c r="L6" s="13">
        <v>5.9012541000000002E-2</v>
      </c>
      <c r="M6" s="11">
        <f t="shared" si="0"/>
        <v>0</v>
      </c>
      <c r="N6" s="11">
        <f t="shared" si="1"/>
        <v>5.9012540679146006E-2</v>
      </c>
      <c r="O6" s="13">
        <v>99124.320160000003</v>
      </c>
      <c r="P6" s="13">
        <v>54251.997770000002</v>
      </c>
      <c r="Q6" s="13">
        <v>1.6761597559999999</v>
      </c>
      <c r="R6" s="11">
        <v>0.2020556</v>
      </c>
      <c r="T6" s="16">
        <v>73.71884</v>
      </c>
      <c r="U6" s="16">
        <v>-6.1992539999999998</v>
      </c>
      <c r="V6" s="16">
        <v>65.59151</v>
      </c>
      <c r="W6" s="16">
        <v>31.821489</v>
      </c>
      <c r="X6" s="16">
        <v>37.986238999999998</v>
      </c>
      <c r="Y6" s="22">
        <v>420</v>
      </c>
      <c r="Z6" s="11">
        <v>21.986353300000001</v>
      </c>
      <c r="AA6" s="17">
        <v>51.417555</v>
      </c>
      <c r="AB6" s="17"/>
      <c r="AC6" s="16">
        <v>22.465142</v>
      </c>
      <c r="AD6" s="16">
        <v>13.285634</v>
      </c>
      <c r="AE6" s="16"/>
      <c r="AF6" s="17">
        <v>-129.68144799999999</v>
      </c>
      <c r="AG6" s="17">
        <v>-129.68144799999999</v>
      </c>
      <c r="AH6" s="17"/>
      <c r="AI6" s="17"/>
      <c r="AJ6" s="17"/>
      <c r="AK6" s="17"/>
      <c r="AL6" s="16">
        <v>15.046749</v>
      </c>
      <c r="AM6" s="16">
        <v>0</v>
      </c>
      <c r="AN6" s="16">
        <v>822.26752199999999</v>
      </c>
      <c r="AO6" s="16">
        <v>822.26752199999999</v>
      </c>
      <c r="AQ6" s="1" t="str">
        <f t="shared" si="2"/>
        <v>CEN_TSC</v>
      </c>
      <c r="AR6" s="1" t="str">
        <f t="shared" si="3"/>
        <v>Ethane</v>
      </c>
      <c r="AS6" s="12">
        <f t="shared" si="4"/>
        <v>900.31736897351891</v>
      </c>
      <c r="AT6" s="12">
        <f t="shared" si="5"/>
        <v>900.31736897351891</v>
      </c>
      <c r="AU6" s="5">
        <f t="shared" si="6"/>
        <v>0</v>
      </c>
      <c r="AV6" s="12">
        <f t="shared" si="7"/>
        <v>1132.0285956476641</v>
      </c>
      <c r="AW6" s="12">
        <f t="shared" si="8"/>
        <v>1132.0285956476641</v>
      </c>
      <c r="AX6" s="5">
        <f t="shared" si="9"/>
        <v>0</v>
      </c>
      <c r="AY6" s="5">
        <f t="shared" si="10"/>
        <v>0</v>
      </c>
      <c r="AZ6" s="1">
        <f t="shared" si="11"/>
        <v>0</v>
      </c>
      <c r="BA6" s="1">
        <f t="shared" si="12"/>
        <v>0</v>
      </c>
      <c r="BB6" s="1">
        <f t="shared" si="13"/>
        <v>414.04082420313915</v>
      </c>
      <c r="BC6" s="1">
        <f t="shared" si="14"/>
        <v>6.4326658908530412</v>
      </c>
      <c r="BD6" s="1">
        <f t="shared" si="15"/>
        <v>0</v>
      </c>
      <c r="BE6" s="1">
        <f t="shared" si="16"/>
        <v>236.76830668400294</v>
      </c>
      <c r="BF6" s="1">
        <f t="shared" si="17"/>
        <v>129.58629754527846</v>
      </c>
      <c r="BG6" s="1">
        <f t="shared" si="18"/>
        <v>31.564969297130897</v>
      </c>
      <c r="BH6" s="1">
        <f t="shared" si="19"/>
        <v>1.1113075755548278</v>
      </c>
      <c r="BI6" s="1">
        <f t="shared" si="20"/>
        <v>0</v>
      </c>
      <c r="BJ6" s="1">
        <f t="shared" si="21"/>
        <v>81.924305353114264</v>
      </c>
      <c r="BK6" s="1">
        <f t="shared" si="22"/>
        <v>1.1113075755548278</v>
      </c>
      <c r="BL6" s="1">
        <f t="shared" si="23"/>
        <v>0</v>
      </c>
      <c r="BM6" s="1">
        <f t="shared" si="24"/>
        <v>81.924305353114264</v>
      </c>
      <c r="BN6" s="1">
        <f t="shared" si="25"/>
        <v>4.2544827350411287</v>
      </c>
      <c r="BO6" s="1">
        <f t="shared" si="26"/>
        <v>0</v>
      </c>
      <c r="BP6" s="1">
        <f t="shared" si="27"/>
        <v>313.63553202725939</v>
      </c>
      <c r="BQ6" s="1">
        <f t="shared" si="28"/>
        <v>4.2544827350411287</v>
      </c>
      <c r="BR6" s="1">
        <f t="shared" si="29"/>
        <v>0</v>
      </c>
      <c r="BS6" s="1">
        <f t="shared" si="30"/>
        <v>313.63553202725939</v>
      </c>
      <c r="BU6" s="9">
        <v>3.14</v>
      </c>
      <c r="BV6" s="10">
        <v>0.22181100240000001</v>
      </c>
      <c r="BW6" s="9">
        <v>0.18104824</v>
      </c>
      <c r="BX6" s="9">
        <v>1.5714286000000001E-2</v>
      </c>
      <c r="BZ6" s="10">
        <f t="shared" si="31"/>
        <v>4.1770824382695828</v>
      </c>
      <c r="CA6" s="10">
        <f t="shared" si="32"/>
        <v>7.7400296771546806E-2</v>
      </c>
      <c r="CB6" s="10">
        <f t="shared" si="33"/>
        <v>4.2544827350411296</v>
      </c>
      <c r="CD6" s="10">
        <f t="shared" si="34"/>
        <v>3.14</v>
      </c>
      <c r="CE6" s="10">
        <f t="shared" si="35"/>
        <v>0</v>
      </c>
      <c r="CF6" s="10">
        <f t="shared" si="36"/>
        <v>1.1113075755548278</v>
      </c>
      <c r="CG6" s="10">
        <f t="shared" si="37"/>
        <v>0</v>
      </c>
      <c r="CH6" s="10">
        <f t="shared" si="38"/>
        <v>3.1751594863016004E-3</v>
      </c>
      <c r="CI6" s="10">
        <f t="shared" si="39"/>
        <v>4.2544827350411287</v>
      </c>
      <c r="CK6" s="1">
        <f t="shared" si="40"/>
        <v>0</v>
      </c>
    </row>
    <row r="7" spans="2:89" x14ac:dyDescent="0.2">
      <c r="B7" s="14" t="s">
        <v>89</v>
      </c>
      <c r="C7" s="13" t="s">
        <v>85</v>
      </c>
      <c r="D7" s="13">
        <v>0</v>
      </c>
      <c r="E7" s="13">
        <v>0</v>
      </c>
      <c r="F7" s="13">
        <v>0</v>
      </c>
      <c r="G7" s="13">
        <v>0</v>
      </c>
      <c r="H7" s="13">
        <v>5.3101897240000001E-2</v>
      </c>
      <c r="I7" s="13">
        <v>2.270169876E-2</v>
      </c>
      <c r="J7" s="13">
        <v>0</v>
      </c>
      <c r="K7" s="13">
        <v>0</v>
      </c>
      <c r="L7" s="13">
        <v>5.9012541000000002E-2</v>
      </c>
      <c r="M7" s="11">
        <f t="shared" si="0"/>
        <v>0</v>
      </c>
      <c r="N7" s="11">
        <f t="shared" si="1"/>
        <v>5.9012540679146006E-2</v>
      </c>
      <c r="O7" s="13">
        <v>99124.320160000003</v>
      </c>
      <c r="P7" s="13">
        <v>54251.997770000002</v>
      </c>
      <c r="Q7" s="13">
        <v>1.6761597559999999</v>
      </c>
      <c r="R7" s="11">
        <v>0.2020556</v>
      </c>
      <c r="T7" s="16">
        <v>73.71884</v>
      </c>
      <c r="U7" s="16">
        <v>-6.0910019999999996</v>
      </c>
      <c r="V7" s="16">
        <v>59.252833000000003</v>
      </c>
      <c r="W7" s="16">
        <v>23.691089000000002</v>
      </c>
      <c r="X7" s="16">
        <v>31.789762</v>
      </c>
      <c r="Y7" s="22">
        <v>420</v>
      </c>
      <c r="Z7" s="11">
        <v>21.986353300000001</v>
      </c>
      <c r="AA7" s="17">
        <v>-8.0072700000000001</v>
      </c>
      <c r="AB7" s="17"/>
      <c r="AC7" s="16">
        <v>21.266241000000001</v>
      </c>
      <c r="AD7" s="16">
        <v>7.267779</v>
      </c>
      <c r="AE7" s="16"/>
      <c r="AF7" s="17">
        <v>-128.077631</v>
      </c>
      <c r="AG7" s="17">
        <v>-128.077631</v>
      </c>
      <c r="AH7" s="17"/>
      <c r="AI7" s="17"/>
      <c r="AJ7" s="17"/>
      <c r="AK7" s="17"/>
      <c r="AL7" s="16">
        <v>7.9635800000000003</v>
      </c>
      <c r="AM7" s="16">
        <v>0</v>
      </c>
      <c r="AN7" s="16">
        <v>822.26752199999999</v>
      </c>
      <c r="AO7" s="16">
        <v>822.26752199999999</v>
      </c>
      <c r="AQ7" s="1" t="str">
        <f t="shared" si="2"/>
        <v>SE_TSC</v>
      </c>
      <c r="AR7" s="1" t="str">
        <f t="shared" si="3"/>
        <v>Ethane</v>
      </c>
      <c r="AS7" s="12">
        <f t="shared" si="4"/>
        <v>897.28922916568069</v>
      </c>
      <c r="AT7" s="12">
        <f t="shared" si="5"/>
        <v>897.28922916568069</v>
      </c>
      <c r="AU7" s="5">
        <f t="shared" si="6"/>
        <v>0</v>
      </c>
      <c r="AV7" s="12">
        <f t="shared" si="7"/>
        <v>1129.0004558398259</v>
      </c>
      <c r="AW7" s="12">
        <f t="shared" si="8"/>
        <v>1129.0004558398259</v>
      </c>
      <c r="AX7" s="5">
        <f t="shared" si="9"/>
        <v>0</v>
      </c>
      <c r="AY7" s="5">
        <f t="shared" si="10"/>
        <v>0</v>
      </c>
      <c r="AZ7" s="1">
        <f t="shared" si="11"/>
        <v>0</v>
      </c>
      <c r="BA7" s="1">
        <f t="shared" si="12"/>
        <v>0</v>
      </c>
      <c r="BB7" s="1">
        <f t="shared" si="13"/>
        <v>414.04082420313915</v>
      </c>
      <c r="BC7" s="1">
        <f t="shared" si="14"/>
        <v>3.4045260830149728</v>
      </c>
      <c r="BD7" s="1">
        <f t="shared" si="15"/>
        <v>0</v>
      </c>
      <c r="BE7" s="1">
        <f t="shared" si="16"/>
        <v>236.76830668400294</v>
      </c>
      <c r="BF7" s="1">
        <f t="shared" si="17"/>
        <v>129.58629754527846</v>
      </c>
      <c r="BG7" s="1">
        <f t="shared" si="18"/>
        <v>31.564969297130897</v>
      </c>
      <c r="BH7" s="1">
        <f t="shared" si="19"/>
        <v>1.1113075755548278</v>
      </c>
      <c r="BI7" s="1">
        <f t="shared" si="20"/>
        <v>0</v>
      </c>
      <c r="BJ7" s="1">
        <f t="shared" si="21"/>
        <v>81.924305353114264</v>
      </c>
      <c r="BK7" s="1">
        <f t="shared" si="22"/>
        <v>1.1113075755548278</v>
      </c>
      <c r="BL7" s="1">
        <f t="shared" si="23"/>
        <v>0</v>
      </c>
      <c r="BM7" s="1">
        <f t="shared" si="24"/>
        <v>81.924305353114264</v>
      </c>
      <c r="BN7" s="1">
        <f t="shared" si="25"/>
        <v>4.2544827350411287</v>
      </c>
      <c r="BO7" s="1">
        <f t="shared" si="26"/>
        <v>0</v>
      </c>
      <c r="BP7" s="1">
        <f t="shared" si="27"/>
        <v>313.63553202725939</v>
      </c>
      <c r="BQ7" s="1">
        <f t="shared" si="28"/>
        <v>4.2544827350411287</v>
      </c>
      <c r="BR7" s="1">
        <f t="shared" si="29"/>
        <v>0</v>
      </c>
      <c r="BS7" s="1">
        <f t="shared" si="30"/>
        <v>313.63553202725939</v>
      </c>
      <c r="BU7" s="9">
        <v>3.14</v>
      </c>
      <c r="BV7" s="10">
        <v>0.22181100240000001</v>
      </c>
      <c r="BW7" s="9">
        <v>0.18104824</v>
      </c>
      <c r="BX7" s="9">
        <v>1.5714286000000001E-2</v>
      </c>
      <c r="BZ7" s="10">
        <f t="shared" si="31"/>
        <v>4.1770824382695828</v>
      </c>
      <c r="CA7" s="10">
        <f t="shared" si="32"/>
        <v>7.7400296771546806E-2</v>
      </c>
      <c r="CB7" s="10">
        <f t="shared" si="33"/>
        <v>4.2544827350411296</v>
      </c>
      <c r="CD7" s="10">
        <f t="shared" si="34"/>
        <v>3.14</v>
      </c>
      <c r="CE7" s="10">
        <f t="shared" si="35"/>
        <v>0</v>
      </c>
      <c r="CF7" s="10">
        <f t="shared" si="36"/>
        <v>1.1113075755548278</v>
      </c>
      <c r="CG7" s="10">
        <f t="shared" si="37"/>
        <v>0</v>
      </c>
      <c r="CH7" s="10">
        <f t="shared" si="38"/>
        <v>3.1751594863016004E-3</v>
      </c>
      <c r="CI7" s="10">
        <f t="shared" si="39"/>
        <v>4.2544827350411287</v>
      </c>
      <c r="CK7" s="1">
        <f t="shared" si="40"/>
        <v>0</v>
      </c>
    </row>
    <row r="8" spans="2:89" x14ac:dyDescent="0.2">
      <c r="B8" s="14" t="s">
        <v>90</v>
      </c>
      <c r="C8" s="13" t="s">
        <v>85</v>
      </c>
      <c r="D8" s="13">
        <v>0</v>
      </c>
      <c r="E8" s="13">
        <v>0</v>
      </c>
      <c r="F8" s="13">
        <v>0</v>
      </c>
      <c r="G8" s="13">
        <v>0</v>
      </c>
      <c r="H8" s="13">
        <v>5.3101897240000001E-2</v>
      </c>
      <c r="I8" s="13">
        <v>2.270169876E-2</v>
      </c>
      <c r="J8" s="13">
        <v>0</v>
      </c>
      <c r="K8" s="13">
        <v>0</v>
      </c>
      <c r="L8" s="13">
        <v>5.9012541000000002E-2</v>
      </c>
      <c r="M8" s="11">
        <f t="shared" si="0"/>
        <v>0</v>
      </c>
      <c r="N8" s="11">
        <f t="shared" si="1"/>
        <v>5.9012540679146006E-2</v>
      </c>
      <c r="O8" s="13">
        <v>99124.320160000003</v>
      </c>
      <c r="P8" s="13">
        <v>54251.997770000002</v>
      </c>
      <c r="Q8" s="13">
        <v>1.6761597559999999</v>
      </c>
      <c r="R8" s="11">
        <v>0.2020556</v>
      </c>
      <c r="T8" s="16">
        <v>73.71884</v>
      </c>
      <c r="U8" s="16">
        <v>-16.179127999999999</v>
      </c>
      <c r="V8" s="16">
        <v>58.461202</v>
      </c>
      <c r="W8" s="16">
        <v>19.647223</v>
      </c>
      <c r="X8" s="16">
        <v>40.820307</v>
      </c>
      <c r="Y8" s="22">
        <v>420</v>
      </c>
      <c r="Z8" s="11">
        <v>21.986353300000001</v>
      </c>
      <c r="AA8" s="17">
        <v>-2.2030439999999998</v>
      </c>
      <c r="AB8" s="17"/>
      <c r="AC8" s="16">
        <v>21.500722</v>
      </c>
      <c r="AD8" s="16">
        <v>7.5324369999999998</v>
      </c>
      <c r="AE8" s="16"/>
      <c r="AF8" s="17">
        <v>-140.74133399999999</v>
      </c>
      <c r="AG8" s="17">
        <v>-140.74133399999999</v>
      </c>
      <c r="AH8" s="17"/>
      <c r="AI8" s="17"/>
      <c r="AJ8" s="17"/>
      <c r="AK8" s="17"/>
      <c r="AL8" s="16">
        <v>5.4076719999999998</v>
      </c>
      <c r="AM8" s="16">
        <v>0</v>
      </c>
      <c r="AN8" s="16">
        <v>822.26752199999999</v>
      </c>
      <c r="AO8" s="16">
        <v>822.26752199999999</v>
      </c>
      <c r="AQ8" s="1" t="str">
        <f t="shared" si="2"/>
        <v>MIDAT_TSC</v>
      </c>
      <c r="AR8" s="1" t="str">
        <f t="shared" si="3"/>
        <v>Ethane</v>
      </c>
      <c r="AS8" s="12">
        <f t="shared" si="4"/>
        <v>896.19654780230064</v>
      </c>
      <c r="AT8" s="12">
        <f t="shared" si="5"/>
        <v>896.19654780230064</v>
      </c>
      <c r="AU8" s="5">
        <f t="shared" si="6"/>
        <v>0</v>
      </c>
      <c r="AV8" s="12">
        <f t="shared" si="7"/>
        <v>1127.9077744764459</v>
      </c>
      <c r="AW8" s="12">
        <f t="shared" si="8"/>
        <v>1127.9077744764459</v>
      </c>
      <c r="AX8" s="5">
        <f t="shared" si="9"/>
        <v>0</v>
      </c>
      <c r="AY8" s="5">
        <f t="shared" si="10"/>
        <v>0</v>
      </c>
      <c r="AZ8" s="1">
        <f t="shared" si="11"/>
        <v>0</v>
      </c>
      <c r="BA8" s="1">
        <f t="shared" si="12"/>
        <v>0</v>
      </c>
      <c r="BB8" s="1">
        <f t="shared" si="13"/>
        <v>414.04082420313915</v>
      </c>
      <c r="BC8" s="1">
        <f t="shared" si="14"/>
        <v>2.3118447196348555</v>
      </c>
      <c r="BD8" s="1">
        <f t="shared" si="15"/>
        <v>0</v>
      </c>
      <c r="BE8" s="1">
        <f t="shared" si="16"/>
        <v>236.76830668400294</v>
      </c>
      <c r="BF8" s="1">
        <f t="shared" si="17"/>
        <v>129.58629754527846</v>
      </c>
      <c r="BG8" s="1">
        <f t="shared" si="18"/>
        <v>31.564969297130897</v>
      </c>
      <c r="BH8" s="1">
        <f t="shared" si="19"/>
        <v>1.1113075755548278</v>
      </c>
      <c r="BI8" s="1">
        <f t="shared" si="20"/>
        <v>0</v>
      </c>
      <c r="BJ8" s="1">
        <f t="shared" si="21"/>
        <v>81.924305353114264</v>
      </c>
      <c r="BK8" s="1">
        <f t="shared" si="22"/>
        <v>1.1113075755548278</v>
      </c>
      <c r="BL8" s="1">
        <f t="shared" si="23"/>
        <v>0</v>
      </c>
      <c r="BM8" s="1">
        <f t="shared" si="24"/>
        <v>81.924305353114264</v>
      </c>
      <c r="BN8" s="1">
        <f t="shared" si="25"/>
        <v>4.2544827350411287</v>
      </c>
      <c r="BO8" s="1">
        <f t="shared" si="26"/>
        <v>0</v>
      </c>
      <c r="BP8" s="1">
        <f t="shared" si="27"/>
        <v>313.63553202725939</v>
      </c>
      <c r="BQ8" s="1">
        <f t="shared" si="28"/>
        <v>4.2544827350411287</v>
      </c>
      <c r="BR8" s="1">
        <f t="shared" si="29"/>
        <v>0</v>
      </c>
      <c r="BS8" s="1">
        <f t="shared" si="30"/>
        <v>313.63553202725939</v>
      </c>
      <c r="BU8" s="9">
        <v>3.14</v>
      </c>
      <c r="BV8" s="10">
        <v>0.22181100240000001</v>
      </c>
      <c r="BW8" s="9">
        <v>0.18104824</v>
      </c>
      <c r="BX8" s="9">
        <v>1.5714286000000001E-2</v>
      </c>
      <c r="BZ8" s="10">
        <f t="shared" si="31"/>
        <v>4.1770824382695828</v>
      </c>
      <c r="CA8" s="10">
        <f t="shared" si="32"/>
        <v>7.7400296771546806E-2</v>
      </c>
      <c r="CB8" s="10">
        <f t="shared" si="33"/>
        <v>4.2544827350411296</v>
      </c>
      <c r="CD8" s="10">
        <f t="shared" si="34"/>
        <v>3.14</v>
      </c>
      <c r="CE8" s="10">
        <f t="shared" si="35"/>
        <v>0</v>
      </c>
      <c r="CF8" s="10">
        <f t="shared" si="36"/>
        <v>1.1113075755548278</v>
      </c>
      <c r="CG8" s="10">
        <f t="shared" si="37"/>
        <v>0</v>
      </c>
      <c r="CH8" s="10">
        <f t="shared" si="38"/>
        <v>3.1751594863016004E-3</v>
      </c>
      <c r="CI8" s="10">
        <f t="shared" si="39"/>
        <v>4.2544827350411287</v>
      </c>
      <c r="CK8" s="1">
        <f t="shared" si="40"/>
        <v>0</v>
      </c>
    </row>
    <row r="9" spans="2:89" x14ac:dyDescent="0.2">
      <c r="B9" s="14" t="s">
        <v>91</v>
      </c>
      <c r="C9" s="13" t="s">
        <v>85</v>
      </c>
      <c r="D9" s="13">
        <v>0</v>
      </c>
      <c r="E9" s="13">
        <v>0</v>
      </c>
      <c r="F9" s="13">
        <v>0</v>
      </c>
      <c r="G9" s="13">
        <v>0</v>
      </c>
      <c r="H9" s="13">
        <v>5.3101897240000001E-2</v>
      </c>
      <c r="I9" s="13">
        <v>2.270169876E-2</v>
      </c>
      <c r="J9" s="13">
        <v>0</v>
      </c>
      <c r="K9" s="13">
        <v>0</v>
      </c>
      <c r="L9" s="13">
        <v>5.9012541000000002E-2</v>
      </c>
      <c r="M9" s="11">
        <f t="shared" si="0"/>
        <v>0</v>
      </c>
      <c r="N9" s="11">
        <f t="shared" si="1"/>
        <v>5.9012540679146006E-2</v>
      </c>
      <c r="O9" s="13">
        <v>99124.320160000003</v>
      </c>
      <c r="P9" s="13">
        <v>54251.997770000002</v>
      </c>
      <c r="Q9" s="13">
        <v>1.6761597559999999</v>
      </c>
      <c r="R9" s="11">
        <v>0.2020556</v>
      </c>
      <c r="T9" s="16">
        <v>73.71884</v>
      </c>
      <c r="U9" s="16">
        <v>-23.276809</v>
      </c>
      <c r="V9" s="16">
        <v>60.47681</v>
      </c>
      <c r="W9" s="16">
        <v>28.904357999999998</v>
      </c>
      <c r="X9" s="16">
        <v>39.957475000000002</v>
      </c>
      <c r="Y9" s="22">
        <v>420</v>
      </c>
      <c r="Z9" s="11">
        <v>21.986353300000001</v>
      </c>
      <c r="AA9" s="17">
        <v>-2.703157</v>
      </c>
      <c r="AB9" s="17"/>
      <c r="AC9" s="16">
        <v>20.789991000000001</v>
      </c>
      <c r="AD9" s="16">
        <v>9.1959800000000005</v>
      </c>
      <c r="AE9" s="16"/>
      <c r="AF9" s="17">
        <v>-150.75578899999999</v>
      </c>
      <c r="AG9" s="17">
        <v>-150.75578899999999</v>
      </c>
      <c r="AH9" s="17"/>
      <c r="AI9" s="17"/>
      <c r="AJ9" s="17"/>
      <c r="AK9" s="17"/>
      <c r="AL9" s="16">
        <v>8.9604540000000004</v>
      </c>
      <c r="AM9" s="16">
        <v>0</v>
      </c>
      <c r="AN9" s="16">
        <v>822.26752199999999</v>
      </c>
      <c r="AO9" s="16">
        <v>0</v>
      </c>
      <c r="AQ9" s="1" t="str">
        <f t="shared" si="2"/>
        <v>NE_TSC</v>
      </c>
      <c r="AR9" s="1" t="str">
        <f t="shared" si="3"/>
        <v>Ethane</v>
      </c>
      <c r="AS9" s="12">
        <f t="shared" si="4"/>
        <v>897.7154047719381</v>
      </c>
      <c r="AT9" s="12">
        <f t="shared" si="5"/>
        <v>897.7154047719381</v>
      </c>
      <c r="AU9" s="5">
        <f t="shared" si="6"/>
        <v>0</v>
      </c>
      <c r="AV9" s="12">
        <f t="shared" si="7"/>
        <v>1129.4266314460833</v>
      </c>
      <c r="AW9" s="12">
        <f t="shared" si="8"/>
        <v>1129.4266314460833</v>
      </c>
      <c r="AX9" s="5">
        <f t="shared" si="9"/>
        <v>0</v>
      </c>
      <c r="AY9" s="5">
        <f t="shared" si="10"/>
        <v>0</v>
      </c>
      <c r="AZ9" s="1">
        <f t="shared" si="11"/>
        <v>0</v>
      </c>
      <c r="BA9" s="1">
        <f t="shared" si="12"/>
        <v>0</v>
      </c>
      <c r="BB9" s="1">
        <f t="shared" si="13"/>
        <v>414.04082420313915</v>
      </c>
      <c r="BC9" s="1">
        <f t="shared" si="14"/>
        <v>3.8307016892723933</v>
      </c>
      <c r="BD9" s="1">
        <f t="shared" si="15"/>
        <v>0</v>
      </c>
      <c r="BE9" s="1">
        <f t="shared" si="16"/>
        <v>236.76830668400294</v>
      </c>
      <c r="BF9" s="1">
        <f t="shared" si="17"/>
        <v>129.58629754527846</v>
      </c>
      <c r="BG9" s="1">
        <f t="shared" si="18"/>
        <v>31.564969297130897</v>
      </c>
      <c r="BH9" s="1">
        <f t="shared" si="19"/>
        <v>1.1113075755548278</v>
      </c>
      <c r="BI9" s="1">
        <f t="shared" si="20"/>
        <v>0</v>
      </c>
      <c r="BJ9" s="1">
        <f t="shared" si="21"/>
        <v>81.924305353114264</v>
      </c>
      <c r="BK9" s="1">
        <f t="shared" si="22"/>
        <v>1.1113075755548278</v>
      </c>
      <c r="BL9" s="1">
        <f t="shared" si="23"/>
        <v>0</v>
      </c>
      <c r="BM9" s="1">
        <f t="shared" si="24"/>
        <v>81.924305353114264</v>
      </c>
      <c r="BN9" s="1">
        <f t="shared" si="25"/>
        <v>4.2544827350411287</v>
      </c>
      <c r="BO9" s="1">
        <f t="shared" si="26"/>
        <v>0</v>
      </c>
      <c r="BP9" s="1">
        <f t="shared" si="27"/>
        <v>313.63553202725939</v>
      </c>
      <c r="BQ9" s="1">
        <f t="shared" si="28"/>
        <v>4.2544827350411287</v>
      </c>
      <c r="BR9" s="1">
        <f t="shared" si="29"/>
        <v>0</v>
      </c>
      <c r="BS9" s="1">
        <f t="shared" si="30"/>
        <v>313.63553202725939</v>
      </c>
      <c r="BU9" s="9">
        <v>3.14</v>
      </c>
      <c r="BV9" s="10">
        <v>0.22181100240000001</v>
      </c>
      <c r="BW9" s="9">
        <v>0.18104824</v>
      </c>
      <c r="BX9" s="9">
        <v>1.5714286000000001E-2</v>
      </c>
      <c r="BZ9" s="10">
        <f t="shared" si="31"/>
        <v>4.1770824382695828</v>
      </c>
      <c r="CA9" s="10">
        <f t="shared" si="32"/>
        <v>7.7400296771546806E-2</v>
      </c>
      <c r="CB9" s="10">
        <f t="shared" si="33"/>
        <v>4.2544827350411296</v>
      </c>
      <c r="CD9" s="10">
        <f t="shared" si="34"/>
        <v>3.14</v>
      </c>
      <c r="CE9" s="10">
        <f t="shared" si="35"/>
        <v>0</v>
      </c>
      <c r="CF9" s="10">
        <f t="shared" si="36"/>
        <v>1.1113075755548278</v>
      </c>
      <c r="CG9" s="10">
        <f t="shared" si="37"/>
        <v>0</v>
      </c>
      <c r="CH9" s="10">
        <f t="shared" si="38"/>
        <v>3.1751594863016004E-3</v>
      </c>
      <c r="CI9" s="10">
        <f t="shared" si="39"/>
        <v>4.2544827350411287</v>
      </c>
      <c r="CK9" s="1">
        <f t="shared" si="40"/>
        <v>0</v>
      </c>
    </row>
    <row r="10" spans="2:89" x14ac:dyDescent="0.2">
      <c r="B10" s="14" t="s">
        <v>92</v>
      </c>
      <c r="C10" s="13" t="s">
        <v>85</v>
      </c>
      <c r="D10" s="13">
        <v>0.9</v>
      </c>
      <c r="E10" s="13">
        <v>0</v>
      </c>
      <c r="F10" s="13">
        <v>0</v>
      </c>
      <c r="G10" s="13">
        <v>8.0529664380000008E-3</v>
      </c>
      <c r="H10" s="13">
        <v>5.3101897240000001E-2</v>
      </c>
      <c r="I10" s="13">
        <v>2.270169876E-2</v>
      </c>
      <c r="J10" s="13">
        <v>0</v>
      </c>
      <c r="K10" s="13">
        <v>5.3111287E-2</v>
      </c>
      <c r="L10" s="13">
        <v>5.9012539999999999E-3</v>
      </c>
      <c r="M10" s="11">
        <f t="shared" si="0"/>
        <v>5.3111286611231406E-2</v>
      </c>
      <c r="N10" s="11">
        <f t="shared" si="1"/>
        <v>5.9012540679145992E-3</v>
      </c>
      <c r="O10" s="13">
        <v>106875.1697</v>
      </c>
      <c r="P10" s="13">
        <v>58496.387280000003</v>
      </c>
      <c r="Q10" s="13">
        <v>1.8072240850000001</v>
      </c>
      <c r="R10" s="11">
        <v>0.2020556</v>
      </c>
      <c r="T10" s="16">
        <v>73.71884</v>
      </c>
      <c r="U10" s="16">
        <v>-4.302149</v>
      </c>
      <c r="V10" s="16">
        <v>61.152786999999996</v>
      </c>
      <c r="W10" s="16">
        <v>40.832245999999998</v>
      </c>
      <c r="X10" s="16">
        <v>41.356794999999998</v>
      </c>
      <c r="Y10" s="22">
        <v>420</v>
      </c>
      <c r="Z10" s="11">
        <v>21.986353300000001</v>
      </c>
      <c r="AA10" s="17">
        <v>-1.8192109999999999</v>
      </c>
      <c r="AB10" s="17"/>
      <c r="AC10" s="16">
        <v>21.021514</v>
      </c>
      <c r="AD10" s="16">
        <v>9.0440679999999993</v>
      </c>
      <c r="AE10" s="16"/>
      <c r="AF10" s="17">
        <v>-126.225199</v>
      </c>
      <c r="AG10" s="17">
        <v>-126.225199</v>
      </c>
      <c r="AH10" s="17"/>
      <c r="AI10" s="17"/>
      <c r="AJ10" s="17"/>
      <c r="AK10" s="17"/>
      <c r="AL10" s="16">
        <v>10.321106</v>
      </c>
      <c r="AM10" s="16">
        <v>0</v>
      </c>
      <c r="AN10" s="16">
        <v>822.26752199999999</v>
      </c>
      <c r="AO10" s="16">
        <v>0</v>
      </c>
      <c r="AQ10" s="1" t="str">
        <f t="shared" si="2"/>
        <v>SW_TSC+CC90</v>
      </c>
      <c r="AR10" s="1" t="str">
        <f t="shared" si="3"/>
        <v>Ethane</v>
      </c>
      <c r="AS10" s="12">
        <f t="shared" si="4"/>
        <v>863.17606175766537</v>
      </c>
      <c r="AT10" s="12">
        <f t="shared" si="5"/>
        <v>863.17606175766537</v>
      </c>
      <c r="AU10" s="5">
        <f t="shared" si="6"/>
        <v>0</v>
      </c>
      <c r="AV10" s="12">
        <f t="shared" si="7"/>
        <v>1094.8872884318105</v>
      </c>
      <c r="AW10" s="12">
        <f t="shared" si="8"/>
        <v>1094.8872884318105</v>
      </c>
      <c r="AX10" s="5">
        <f t="shared" si="9"/>
        <v>0</v>
      </c>
      <c r="AY10" s="5">
        <f t="shared" si="10"/>
        <v>0</v>
      </c>
      <c r="AZ10" s="1">
        <f t="shared" si="11"/>
        <v>0</v>
      </c>
      <c r="BA10" s="1">
        <f t="shared" si="12"/>
        <v>3.1879378236307092</v>
      </c>
      <c r="BB10" s="1">
        <f t="shared" si="13"/>
        <v>414.04082420313915</v>
      </c>
      <c r="BC10" s="1">
        <f t="shared" si="14"/>
        <v>4.4123967590659401</v>
      </c>
      <c r="BD10" s="1">
        <f t="shared" si="15"/>
        <v>0</v>
      </c>
      <c r="BE10" s="1">
        <f t="shared" si="16"/>
        <v>255.2819824195449</v>
      </c>
      <c r="BF10" s="1">
        <f t="shared" si="17"/>
        <v>139.72444442555911</v>
      </c>
      <c r="BG10" s="1">
        <f t="shared" si="18"/>
        <v>34.033135894034963</v>
      </c>
      <c r="BH10" s="1">
        <f t="shared" si="19"/>
        <v>1.1113075755548278</v>
      </c>
      <c r="BI10" s="1">
        <f t="shared" si="20"/>
        <v>-69.428965120423783</v>
      </c>
      <c r="BJ10" s="1">
        <f t="shared" si="21"/>
        <v>81.924305353114264</v>
      </c>
      <c r="BK10" s="1">
        <f t="shared" si="22"/>
        <v>0.11113075755548275</v>
      </c>
      <c r="BL10" s="1">
        <f t="shared" si="23"/>
        <v>4.3029096973790644</v>
      </c>
      <c r="BM10" s="1">
        <f t="shared" si="24"/>
        <v>8.1924305353114235</v>
      </c>
      <c r="BN10" s="1">
        <f t="shared" si="25"/>
        <v>4.2544827350411296</v>
      </c>
      <c r="BO10" s="1">
        <f t="shared" si="26"/>
        <v>-69.428965120423783</v>
      </c>
      <c r="BP10" s="1">
        <f t="shared" si="27"/>
        <v>313.63553202725944</v>
      </c>
      <c r="BQ10" s="1">
        <f t="shared" si="28"/>
        <v>3.2543059170417847</v>
      </c>
      <c r="BR10" s="1">
        <f t="shared" si="29"/>
        <v>4.3029096973790644</v>
      </c>
      <c r="BS10" s="1">
        <f t="shared" si="30"/>
        <v>239.90365720945661</v>
      </c>
      <c r="BU10" s="9">
        <v>3.14</v>
      </c>
      <c r="BV10" s="10">
        <v>0.22181100240000001</v>
      </c>
      <c r="BW10" s="9">
        <v>0.18104824</v>
      </c>
      <c r="BX10" s="9">
        <v>1.5714286000000001E-2</v>
      </c>
      <c r="BZ10" s="10">
        <f t="shared" si="31"/>
        <v>4.1770824382695828</v>
      </c>
      <c r="CA10" s="10">
        <f t="shared" si="32"/>
        <v>7.7400296771546806E-2</v>
      </c>
      <c r="CB10" s="10">
        <f t="shared" si="33"/>
        <v>4.2544827350411296</v>
      </c>
      <c r="CD10" s="10">
        <f t="shared" si="34"/>
        <v>3.14</v>
      </c>
      <c r="CE10" s="10">
        <f t="shared" si="35"/>
        <v>0</v>
      </c>
      <c r="CF10" s="10">
        <f t="shared" si="36"/>
        <v>0.11113075755548275</v>
      </c>
      <c r="CG10" s="10">
        <f t="shared" si="37"/>
        <v>1.0001768179993451</v>
      </c>
      <c r="CH10" s="10">
        <f t="shared" si="38"/>
        <v>3.1751594863016004E-3</v>
      </c>
      <c r="CI10" s="10">
        <f t="shared" si="39"/>
        <v>4.2544827350411296</v>
      </c>
      <c r="CK10" s="1">
        <f t="shared" si="40"/>
        <v>0</v>
      </c>
    </row>
    <row r="11" spans="2:89" x14ac:dyDescent="0.2">
      <c r="B11" s="14" t="s">
        <v>93</v>
      </c>
      <c r="C11" s="13" t="s">
        <v>85</v>
      </c>
      <c r="D11" s="13">
        <v>0</v>
      </c>
      <c r="E11" s="13">
        <v>0</v>
      </c>
      <c r="F11" s="13">
        <v>0.15985314340000001</v>
      </c>
      <c r="G11" s="13">
        <v>0</v>
      </c>
      <c r="H11" s="13">
        <v>5.3101897240000001E-2</v>
      </c>
      <c r="I11" s="13">
        <v>0.13183228590000001</v>
      </c>
      <c r="J11" s="13">
        <v>0</v>
      </c>
      <c r="K11" s="13">
        <v>0</v>
      </c>
      <c r="L11" s="13">
        <v>7.8770440999999997E-2</v>
      </c>
      <c r="M11" s="11">
        <f t="shared" si="0"/>
        <v>0</v>
      </c>
      <c r="N11" s="11">
        <f t="shared" si="1"/>
        <v>7.877044141100964E-2</v>
      </c>
      <c r="O11" s="13">
        <v>99124.320160000003</v>
      </c>
      <c r="P11" s="13">
        <v>54251.997770000002</v>
      </c>
      <c r="Q11" s="13">
        <v>1.6761597559999999</v>
      </c>
      <c r="R11" s="11">
        <v>0.2020556</v>
      </c>
      <c r="T11" s="16">
        <v>73.71884</v>
      </c>
      <c r="U11" s="16">
        <v>-4.302149</v>
      </c>
      <c r="V11" s="16">
        <v>61.152786999999996</v>
      </c>
      <c r="W11" s="16">
        <v>40.832245999999998</v>
      </c>
      <c r="X11" s="16">
        <v>41.356794999999998</v>
      </c>
      <c r="Y11" s="22">
        <v>420</v>
      </c>
      <c r="Z11" s="11">
        <v>21.986353300000001</v>
      </c>
      <c r="AA11" s="17">
        <v>-1.8192109999999999</v>
      </c>
      <c r="AB11" s="17"/>
      <c r="AC11" s="16">
        <v>21.021514</v>
      </c>
      <c r="AD11" s="16">
        <v>9.0440679999999993</v>
      </c>
      <c r="AE11" s="16"/>
      <c r="AF11" s="17">
        <v>-126.225199</v>
      </c>
      <c r="AG11" s="17">
        <v>-126.225199</v>
      </c>
      <c r="AH11" s="17"/>
      <c r="AI11" s="17"/>
      <c r="AJ11" s="17"/>
      <c r="AK11" s="17"/>
      <c r="AL11" s="16">
        <v>10.321106</v>
      </c>
      <c r="AM11" s="16">
        <v>0</v>
      </c>
      <c r="AN11" s="16">
        <v>822.26752199999999</v>
      </c>
      <c r="AO11" s="16">
        <v>0</v>
      </c>
      <c r="AQ11" s="1" t="str">
        <f t="shared" si="2"/>
        <v>SW_TSC:H2</v>
      </c>
      <c r="AR11" s="1" t="str">
        <f t="shared" si="3"/>
        <v>Ethane</v>
      </c>
      <c r="AS11" s="12">
        <f t="shared" si="4"/>
        <v>919.711686526638</v>
      </c>
      <c r="AT11" s="12">
        <f t="shared" si="5"/>
        <v>919.711686526638</v>
      </c>
      <c r="AU11" s="5">
        <f t="shared" si="6"/>
        <v>0</v>
      </c>
      <c r="AV11" s="12">
        <f t="shared" si="7"/>
        <v>1151.4229132007831</v>
      </c>
      <c r="AW11" s="12">
        <f t="shared" si="8"/>
        <v>1151.4229132007831</v>
      </c>
      <c r="AX11" s="5">
        <f t="shared" si="9"/>
        <v>0</v>
      </c>
      <c r="AY11" s="5">
        <f t="shared" si="10"/>
        <v>0</v>
      </c>
      <c r="AZ11" s="1">
        <f t="shared" si="11"/>
        <v>-27.225443422280087</v>
      </c>
      <c r="BA11" s="1">
        <f t="shared" si="12"/>
        <v>0</v>
      </c>
      <c r="BB11" s="1">
        <f t="shared" si="13"/>
        <v>414.04082420313915</v>
      </c>
      <c r="BC11" s="1">
        <f t="shared" si="14"/>
        <v>25.623472375131385</v>
      </c>
      <c r="BD11" s="1">
        <f t="shared" si="15"/>
        <v>0</v>
      </c>
      <c r="BE11" s="1">
        <f t="shared" si="16"/>
        <v>236.76830668400294</v>
      </c>
      <c r="BF11" s="1">
        <f t="shared" si="17"/>
        <v>129.58629754527846</v>
      </c>
      <c r="BG11" s="1">
        <f t="shared" si="18"/>
        <v>31.564969297130897</v>
      </c>
      <c r="BH11" s="1">
        <f t="shared" si="19"/>
        <v>1.4833828074917506</v>
      </c>
      <c r="BI11" s="1">
        <f t="shared" si="20"/>
        <v>0</v>
      </c>
      <c r="BJ11" s="1">
        <f t="shared" si="21"/>
        <v>109.35325984423515</v>
      </c>
      <c r="BK11" s="1">
        <f t="shared" si="22"/>
        <v>1.4833828074917506</v>
      </c>
      <c r="BL11" s="1">
        <f t="shared" si="23"/>
        <v>0</v>
      </c>
      <c r="BM11" s="1">
        <f t="shared" si="24"/>
        <v>109.35325984423515</v>
      </c>
      <c r="BN11" s="1">
        <f t="shared" si="25"/>
        <v>4.6265579669780523</v>
      </c>
      <c r="BO11" s="1">
        <f t="shared" si="26"/>
        <v>0</v>
      </c>
      <c r="BP11" s="1">
        <f t="shared" si="27"/>
        <v>341.06448651838031</v>
      </c>
      <c r="BQ11" s="1">
        <f t="shared" si="28"/>
        <v>4.6265579669780523</v>
      </c>
      <c r="BR11" s="1">
        <f t="shared" si="29"/>
        <v>0</v>
      </c>
      <c r="BS11" s="1">
        <f t="shared" si="30"/>
        <v>341.06448651838031</v>
      </c>
      <c r="BU11" s="9">
        <v>3.14</v>
      </c>
      <c r="BV11" s="10">
        <v>0.22181100240000001</v>
      </c>
      <c r="BW11" s="9">
        <v>0.18104824</v>
      </c>
      <c r="BX11" s="9">
        <v>1.5714286000000001E-2</v>
      </c>
      <c r="BZ11" s="10">
        <f t="shared" si="31"/>
        <v>4.1770824382695828</v>
      </c>
      <c r="CA11" s="10">
        <f t="shared" si="32"/>
        <v>0.44947552870846952</v>
      </c>
      <c r="CB11" s="10">
        <f t="shared" si="33"/>
        <v>4.6265579669780523</v>
      </c>
      <c r="CD11" s="10">
        <f t="shared" si="34"/>
        <v>3.14</v>
      </c>
      <c r="CE11" s="10">
        <f t="shared" si="35"/>
        <v>0</v>
      </c>
      <c r="CF11" s="10">
        <f t="shared" si="36"/>
        <v>1.4833828074917506</v>
      </c>
      <c r="CG11" s="10">
        <f t="shared" si="37"/>
        <v>0</v>
      </c>
      <c r="CH11" s="10">
        <f t="shared" si="38"/>
        <v>3.1751594863016004E-3</v>
      </c>
      <c r="CI11" s="10">
        <f t="shared" si="39"/>
        <v>4.6265579669780523</v>
      </c>
      <c r="CK11" s="1">
        <f t="shared" si="40"/>
        <v>0</v>
      </c>
    </row>
    <row r="12" spans="2:89" x14ac:dyDescent="0.2">
      <c r="B12" s="14" t="s">
        <v>94</v>
      </c>
      <c r="C12" s="13" t="s">
        <v>85</v>
      </c>
      <c r="D12" s="13">
        <v>0.9</v>
      </c>
      <c r="E12" s="13">
        <v>0</v>
      </c>
      <c r="F12" s="13">
        <v>0.15985314340000001</v>
      </c>
      <c r="G12" s="13">
        <v>9.3887366979999998E-3</v>
      </c>
      <c r="H12" s="13">
        <v>5.3101897240000001E-2</v>
      </c>
      <c r="I12" s="13">
        <v>0.13183228590000001</v>
      </c>
      <c r="J12" s="13">
        <v>0</v>
      </c>
      <c r="K12" s="13">
        <v>7.0893396999999997E-2</v>
      </c>
      <c r="L12" s="13">
        <v>7.8770439999999997E-3</v>
      </c>
      <c r="M12" s="11">
        <f t="shared" si="0"/>
        <v>7.0893397269908676E-2</v>
      </c>
      <c r="N12" s="11">
        <f t="shared" si="1"/>
        <v>7.8770441411009622E-3</v>
      </c>
      <c r="O12" s="13">
        <v>106900.97410000001</v>
      </c>
      <c r="P12" s="13">
        <v>58510.185810000003</v>
      </c>
      <c r="Q12" s="13">
        <v>1.807660423</v>
      </c>
      <c r="R12" s="11">
        <v>0.2020556</v>
      </c>
      <c r="T12" s="16">
        <v>73.71884</v>
      </c>
      <c r="U12" s="16">
        <v>-4.302149</v>
      </c>
      <c r="V12" s="16">
        <v>61.152786999999996</v>
      </c>
      <c r="W12" s="16">
        <v>40.832245999999998</v>
      </c>
      <c r="X12" s="16">
        <v>41.356794999999998</v>
      </c>
      <c r="Y12" s="22">
        <v>420</v>
      </c>
      <c r="Z12" s="11">
        <v>21.986353300000001</v>
      </c>
      <c r="AA12" s="17">
        <v>-1.8192109999999999</v>
      </c>
      <c r="AB12" s="17"/>
      <c r="AC12" s="16">
        <v>21.021514</v>
      </c>
      <c r="AD12" s="16">
        <v>9.0440679999999993</v>
      </c>
      <c r="AE12" s="16"/>
      <c r="AF12" s="17">
        <v>-126.225199</v>
      </c>
      <c r="AG12" s="17">
        <v>-126.225199</v>
      </c>
      <c r="AH12" s="17"/>
      <c r="AI12" s="17"/>
      <c r="AJ12" s="17"/>
      <c r="AK12" s="17"/>
      <c r="AL12" s="16">
        <v>10.321106</v>
      </c>
      <c r="AM12" s="16">
        <v>0</v>
      </c>
      <c r="AN12" s="16">
        <v>822.26752199999999</v>
      </c>
      <c r="AO12" s="16">
        <v>0</v>
      </c>
      <c r="AQ12" s="1" t="str">
        <f t="shared" si="2"/>
        <v>SW_TSC+CC90:H2</v>
      </c>
      <c r="AR12" s="1" t="str">
        <f t="shared" si="3"/>
        <v>Ethane</v>
      </c>
      <c r="AS12" s="12">
        <f t="shared" si="4"/>
        <v>861.97684574577659</v>
      </c>
      <c r="AT12" s="12">
        <f t="shared" si="5"/>
        <v>861.9768457457767</v>
      </c>
      <c r="AU12" s="5">
        <f t="shared" si="6"/>
        <v>0</v>
      </c>
      <c r="AV12" s="12">
        <f t="shared" si="7"/>
        <v>1093.6880724199218</v>
      </c>
      <c r="AW12" s="12">
        <f t="shared" si="8"/>
        <v>1093.6880724199218</v>
      </c>
      <c r="AX12" s="5">
        <f t="shared" si="9"/>
        <v>0</v>
      </c>
      <c r="AY12" s="5">
        <f t="shared" si="10"/>
        <v>0</v>
      </c>
      <c r="AZ12" s="1">
        <f t="shared" si="11"/>
        <v>-27.225443422280087</v>
      </c>
      <c r="BA12" s="1">
        <f t="shared" si="12"/>
        <v>3.7167308551576856</v>
      </c>
      <c r="BB12" s="1">
        <f t="shared" si="13"/>
        <v>414.04082420313915</v>
      </c>
      <c r="BC12" s="1">
        <f t="shared" si="14"/>
        <v>25.623472375131385</v>
      </c>
      <c r="BD12" s="1">
        <f t="shared" si="15"/>
        <v>0</v>
      </c>
      <c r="BE12" s="1">
        <f t="shared" si="16"/>
        <v>255.34361879781346</v>
      </c>
      <c r="BF12" s="1">
        <f t="shared" si="17"/>
        <v>139.75740358812948</v>
      </c>
      <c r="BG12" s="1">
        <f t="shared" si="18"/>
        <v>34.041352888580896</v>
      </c>
      <c r="BH12" s="1">
        <f t="shared" si="19"/>
        <v>1.4833828074917506</v>
      </c>
      <c r="BI12" s="1">
        <f t="shared" si="20"/>
        <v>-92.674373384130604</v>
      </c>
      <c r="BJ12" s="1">
        <f t="shared" si="21"/>
        <v>109.35325984423515</v>
      </c>
      <c r="BK12" s="1">
        <f t="shared" si="22"/>
        <v>0.14833828074917502</v>
      </c>
      <c r="BL12" s="1">
        <f t="shared" si="23"/>
        <v>5.7435604756810443</v>
      </c>
      <c r="BM12" s="1">
        <f t="shared" si="24"/>
        <v>10.935325984423514</v>
      </c>
      <c r="BN12" s="1">
        <f t="shared" si="25"/>
        <v>4.6265579669780514</v>
      </c>
      <c r="BO12" s="1">
        <f t="shared" si="26"/>
        <v>-92.674373384130604</v>
      </c>
      <c r="BP12" s="1">
        <f t="shared" si="27"/>
        <v>341.06448651838025</v>
      </c>
      <c r="BQ12" s="1">
        <f t="shared" si="28"/>
        <v>3.2915134402354767</v>
      </c>
      <c r="BR12" s="1">
        <f t="shared" si="29"/>
        <v>5.7435604756810443</v>
      </c>
      <c r="BS12" s="1">
        <f t="shared" si="30"/>
        <v>242.64655265856865</v>
      </c>
      <c r="BU12" s="9">
        <v>3.14</v>
      </c>
      <c r="BV12" s="10">
        <v>0.22181100240000001</v>
      </c>
      <c r="BW12" s="9">
        <v>0.18104824</v>
      </c>
      <c r="BX12" s="9">
        <v>1.5714286000000001E-2</v>
      </c>
      <c r="BZ12" s="10">
        <f t="shared" si="31"/>
        <v>4.1770824382695828</v>
      </c>
      <c r="CA12" s="10">
        <f t="shared" si="32"/>
        <v>0.44947552870846952</v>
      </c>
      <c r="CB12" s="10">
        <f t="shared" si="33"/>
        <v>4.6265579669780523</v>
      </c>
      <c r="CD12" s="10">
        <f t="shared" si="34"/>
        <v>3.14</v>
      </c>
      <c r="CE12" s="10">
        <f t="shared" si="35"/>
        <v>0</v>
      </c>
      <c r="CF12" s="10">
        <f t="shared" si="36"/>
        <v>0.14833828074917502</v>
      </c>
      <c r="CG12" s="10">
        <f t="shared" si="37"/>
        <v>1.3350445267425755</v>
      </c>
      <c r="CH12" s="10">
        <f t="shared" si="38"/>
        <v>3.1751594863016004E-3</v>
      </c>
      <c r="CI12" s="10">
        <f t="shared" si="39"/>
        <v>4.6265579669780514</v>
      </c>
      <c r="CK12" s="1">
        <f t="shared" si="40"/>
        <v>0</v>
      </c>
    </row>
    <row r="13" spans="2:89" x14ac:dyDescent="0.2">
      <c r="B13" s="14" t="s">
        <v>95</v>
      </c>
      <c r="C13" s="13" t="s">
        <v>85</v>
      </c>
      <c r="D13" s="13">
        <v>0</v>
      </c>
      <c r="E13" s="13">
        <v>2.226644157E-2</v>
      </c>
      <c r="F13" s="13">
        <v>0</v>
      </c>
      <c r="G13" s="13">
        <v>0</v>
      </c>
      <c r="H13" s="13">
        <v>5.3101897240000001E-2</v>
      </c>
      <c r="I13" s="13">
        <v>0</v>
      </c>
      <c r="J13" s="13">
        <v>0</v>
      </c>
      <c r="K13" s="13">
        <v>0</v>
      </c>
      <c r="L13" s="13">
        <v>5.4902437999999998E-2</v>
      </c>
      <c r="M13" s="11">
        <f t="shared" si="0"/>
        <v>0</v>
      </c>
      <c r="N13" s="11">
        <f t="shared" si="1"/>
        <v>5.4902438073637823E-2</v>
      </c>
      <c r="O13" s="13">
        <v>99124.320160000003</v>
      </c>
      <c r="P13" s="13">
        <v>54251.997770000002</v>
      </c>
      <c r="Q13" s="13">
        <v>1.6761597559999999</v>
      </c>
      <c r="R13" s="11">
        <v>0.2020556</v>
      </c>
      <c r="T13" s="16">
        <v>73.71884</v>
      </c>
      <c r="U13" s="16">
        <v>-4.302149</v>
      </c>
      <c r="V13" s="16">
        <v>61.152786999999996</v>
      </c>
      <c r="W13" s="16">
        <v>40.832245999999998</v>
      </c>
      <c r="X13" s="16">
        <v>41.356794999999998</v>
      </c>
      <c r="Y13" s="22">
        <v>420</v>
      </c>
      <c r="Z13" s="11">
        <v>21.986353300000001</v>
      </c>
      <c r="AA13" s="17">
        <v>-1.8192109999999999</v>
      </c>
      <c r="AB13" s="17"/>
      <c r="AC13" s="16">
        <v>21.021514</v>
      </c>
      <c r="AD13" s="16">
        <v>9.0440679999999993</v>
      </c>
      <c r="AE13" s="16"/>
      <c r="AF13" s="17">
        <v>-126.225199</v>
      </c>
      <c r="AG13" s="17">
        <v>-126.225199</v>
      </c>
      <c r="AH13" s="17"/>
      <c r="AI13" s="17"/>
      <c r="AJ13" s="17"/>
      <c r="AK13" s="17"/>
      <c r="AL13" s="16">
        <v>10.321106</v>
      </c>
      <c r="AM13" s="16">
        <v>0</v>
      </c>
      <c r="AN13" s="16">
        <v>822.26752199999999</v>
      </c>
      <c r="AO13" s="16">
        <v>0</v>
      </c>
      <c r="AQ13" s="1" t="str">
        <f t="shared" si="2"/>
        <v>SW_TSC+H2in</v>
      </c>
      <c r="AR13" s="1" t="str">
        <f t="shared" si="3"/>
        <v>Ethane</v>
      </c>
      <c r="AS13" s="12">
        <f t="shared" si="4"/>
        <v>891.97115968848743</v>
      </c>
      <c r="AT13" s="12">
        <f t="shared" si="5"/>
        <v>891.97115968848743</v>
      </c>
      <c r="AU13" s="5">
        <f t="shared" si="6"/>
        <v>0</v>
      </c>
      <c r="AV13" s="12">
        <f t="shared" si="7"/>
        <v>1123.6823863626325</v>
      </c>
      <c r="AW13" s="12">
        <f t="shared" si="8"/>
        <v>1123.6823863626325</v>
      </c>
      <c r="AX13" s="5">
        <f t="shared" si="9"/>
        <v>0</v>
      </c>
      <c r="AY13" s="5">
        <f t="shared" si="10"/>
        <v>3.7923166994759292</v>
      </c>
      <c r="AZ13" s="1">
        <f t="shared" si="11"/>
        <v>0</v>
      </c>
      <c r="BA13" s="1">
        <f t="shared" si="12"/>
        <v>0</v>
      </c>
      <c r="BB13" s="1">
        <f t="shared" si="13"/>
        <v>414.04082420313915</v>
      </c>
      <c r="BC13" s="1">
        <f t="shared" si="14"/>
        <v>0</v>
      </c>
      <c r="BD13" s="1">
        <f t="shared" si="15"/>
        <v>0</v>
      </c>
      <c r="BE13" s="1">
        <f t="shared" si="16"/>
        <v>236.76830668400294</v>
      </c>
      <c r="BF13" s="1">
        <f t="shared" si="17"/>
        <v>129.58629754527846</v>
      </c>
      <c r="BG13" s="1">
        <f t="shared" si="18"/>
        <v>31.564969297130897</v>
      </c>
      <c r="BH13" s="1">
        <f t="shared" si="19"/>
        <v>1.033907278783281</v>
      </c>
      <c r="BI13" s="1">
        <f t="shared" si="20"/>
        <v>0</v>
      </c>
      <c r="BJ13" s="1">
        <f t="shared" si="21"/>
        <v>76.218445259460083</v>
      </c>
      <c r="BK13" s="1">
        <f t="shared" si="22"/>
        <v>1.033907278783281</v>
      </c>
      <c r="BL13" s="1">
        <f t="shared" si="23"/>
        <v>0</v>
      </c>
      <c r="BM13" s="1">
        <f t="shared" si="24"/>
        <v>76.218445259460083</v>
      </c>
      <c r="BN13" s="1">
        <f t="shared" si="25"/>
        <v>4.1770824382695819</v>
      </c>
      <c r="BO13" s="1">
        <f t="shared" si="26"/>
        <v>0</v>
      </c>
      <c r="BP13" s="1">
        <f t="shared" si="27"/>
        <v>307.92967193360516</v>
      </c>
      <c r="BQ13" s="1">
        <f t="shared" si="28"/>
        <v>4.1770824382695819</v>
      </c>
      <c r="BR13" s="1">
        <f t="shared" si="29"/>
        <v>0</v>
      </c>
      <c r="BS13" s="1">
        <f t="shared" si="30"/>
        <v>307.92967193360516</v>
      </c>
      <c r="BU13" s="9">
        <v>3.14</v>
      </c>
      <c r="BV13" s="10">
        <v>0.22181100240000001</v>
      </c>
      <c r="BW13" s="9">
        <v>0.18104824</v>
      </c>
      <c r="BX13" s="9">
        <v>1.5714286000000001E-2</v>
      </c>
      <c r="BZ13" s="10">
        <f t="shared" si="31"/>
        <v>4.1770824382695828</v>
      </c>
      <c r="CA13" s="10">
        <f t="shared" si="32"/>
        <v>0</v>
      </c>
      <c r="CB13" s="10">
        <f t="shared" si="33"/>
        <v>4.1770824382695828</v>
      </c>
      <c r="CD13" s="10">
        <f t="shared" si="34"/>
        <v>3.14</v>
      </c>
      <c r="CE13" s="10">
        <f t="shared" si="35"/>
        <v>0</v>
      </c>
      <c r="CF13" s="10">
        <f t="shared" si="36"/>
        <v>1.033907278783281</v>
      </c>
      <c r="CG13" s="10">
        <f t="shared" si="37"/>
        <v>0</v>
      </c>
      <c r="CH13" s="10">
        <f t="shared" si="38"/>
        <v>3.1751594863016004E-3</v>
      </c>
      <c r="CI13" s="10">
        <f t="shared" si="39"/>
        <v>4.1770824382695819</v>
      </c>
      <c r="CK13" s="1">
        <f t="shared" si="40"/>
        <v>0</v>
      </c>
    </row>
    <row r="14" spans="2:89" x14ac:dyDescent="0.2">
      <c r="B14" s="14" t="s">
        <v>96</v>
      </c>
      <c r="C14" s="13" t="s">
        <v>85</v>
      </c>
      <c r="D14" s="13">
        <v>0</v>
      </c>
      <c r="E14" s="13">
        <v>0.1375867019</v>
      </c>
      <c r="F14" s="13">
        <v>0</v>
      </c>
      <c r="G14" s="13">
        <v>0</v>
      </c>
      <c r="H14" s="13">
        <v>5.3101897240000001E-2</v>
      </c>
      <c r="I14" s="13">
        <v>0</v>
      </c>
      <c r="J14" s="13">
        <v>0.11814249659999999</v>
      </c>
      <c r="K14" s="13">
        <v>0</v>
      </c>
      <c r="L14" s="13">
        <v>3.3512947000000001E-2</v>
      </c>
      <c r="M14" s="11">
        <f t="shared" si="0"/>
        <v>0</v>
      </c>
      <c r="N14" s="11">
        <f t="shared" si="1"/>
        <v>3.351294699500184E-2</v>
      </c>
      <c r="O14" s="13">
        <v>99124.320160000003</v>
      </c>
      <c r="P14" s="13">
        <v>54251.997770000002</v>
      </c>
      <c r="Q14" s="13">
        <v>1.6761597559999999</v>
      </c>
      <c r="R14" s="11">
        <v>0.2020556</v>
      </c>
      <c r="T14" s="16">
        <v>73.71884</v>
      </c>
      <c r="U14" s="16">
        <v>-4.302149</v>
      </c>
      <c r="V14" s="16">
        <v>61.152786999999996</v>
      </c>
      <c r="W14" s="16">
        <v>40.832245999999998</v>
      </c>
      <c r="X14" s="16">
        <v>41.356794999999998</v>
      </c>
      <c r="Y14" s="22">
        <v>420</v>
      </c>
      <c r="Z14" s="11">
        <v>21.986353300000001</v>
      </c>
      <c r="AA14" s="17">
        <v>-1.8192109999999999</v>
      </c>
      <c r="AB14" s="17"/>
      <c r="AC14" s="16">
        <v>21.021514</v>
      </c>
      <c r="AD14" s="16">
        <v>9.0440679999999993</v>
      </c>
      <c r="AE14" s="16"/>
      <c r="AF14" s="17">
        <v>-126.225199</v>
      </c>
      <c r="AG14" s="17">
        <v>-126.225199</v>
      </c>
      <c r="AH14" s="17"/>
      <c r="AI14" s="17"/>
      <c r="AJ14" s="17"/>
      <c r="AK14" s="17"/>
      <c r="AL14" s="16">
        <v>10.321106</v>
      </c>
      <c r="AM14" s="16">
        <v>0</v>
      </c>
      <c r="AN14" s="16">
        <v>822.26752199999999</v>
      </c>
      <c r="AO14" s="16">
        <v>0</v>
      </c>
      <c r="AQ14" s="1" t="str">
        <f t="shared" si="2"/>
        <v>SW_TSC+H2in:CH4</v>
      </c>
      <c r="AR14" s="1" t="str">
        <f t="shared" si="3"/>
        <v>Ethane</v>
      </c>
      <c r="AS14" s="12">
        <f t="shared" si="4"/>
        <v>888.6493018363326</v>
      </c>
      <c r="AT14" s="12">
        <f t="shared" si="5"/>
        <v>888.6493018363326</v>
      </c>
      <c r="AU14" s="5">
        <f t="shared" si="6"/>
        <v>0</v>
      </c>
      <c r="AV14" s="12">
        <f t="shared" si="7"/>
        <v>1120.3605285104777</v>
      </c>
      <c r="AW14" s="12">
        <f t="shared" si="8"/>
        <v>1120.3605285104777</v>
      </c>
      <c r="AX14" s="5">
        <f t="shared" si="9"/>
        <v>0</v>
      </c>
      <c r="AY14" s="5">
        <f t="shared" si="10"/>
        <v>23.43312673472623</v>
      </c>
      <c r="AZ14" s="1">
        <f t="shared" si="11"/>
        <v>0</v>
      </c>
      <c r="BA14" s="1">
        <f t="shared" si="12"/>
        <v>0</v>
      </c>
      <c r="BB14" s="1">
        <f t="shared" si="13"/>
        <v>414.04082420313915</v>
      </c>
      <c r="BC14" s="1">
        <f t="shared" si="14"/>
        <v>0</v>
      </c>
      <c r="BD14" s="1">
        <f t="shared" si="15"/>
        <v>-22.962667887405217</v>
      </c>
      <c r="BE14" s="1">
        <f t="shared" si="16"/>
        <v>236.76830668400294</v>
      </c>
      <c r="BF14" s="1">
        <f t="shared" si="17"/>
        <v>129.58629754527846</v>
      </c>
      <c r="BG14" s="1">
        <f t="shared" si="18"/>
        <v>31.564969297130897</v>
      </c>
      <c r="BH14" s="1">
        <f t="shared" si="19"/>
        <v>1.033907278783281</v>
      </c>
      <c r="BI14" s="1">
        <f t="shared" si="20"/>
        <v>0</v>
      </c>
      <c r="BJ14" s="1">
        <f t="shared" si="21"/>
        <v>76.218445259460083</v>
      </c>
      <c r="BK14" s="1">
        <f t="shared" si="22"/>
        <v>1.033907278783281</v>
      </c>
      <c r="BL14" s="1">
        <f t="shared" si="23"/>
        <v>0</v>
      </c>
      <c r="BM14" s="1">
        <f t="shared" si="24"/>
        <v>76.218445259460083</v>
      </c>
      <c r="BN14" s="1">
        <f t="shared" si="25"/>
        <v>4.1770824382695819</v>
      </c>
      <c r="BO14" s="1">
        <f t="shared" si="26"/>
        <v>0</v>
      </c>
      <c r="BP14" s="1">
        <f t="shared" si="27"/>
        <v>307.92967193360516</v>
      </c>
      <c r="BQ14" s="1">
        <f t="shared" si="28"/>
        <v>4.1770824382695819</v>
      </c>
      <c r="BR14" s="1">
        <f t="shared" si="29"/>
        <v>0</v>
      </c>
      <c r="BS14" s="1">
        <f t="shared" si="30"/>
        <v>307.92967193360516</v>
      </c>
      <c r="BU14" s="9">
        <v>3.14</v>
      </c>
      <c r="BV14" s="10">
        <v>0.22181100240000001</v>
      </c>
      <c r="BW14" s="9">
        <v>0.18104824</v>
      </c>
      <c r="BX14" s="9">
        <v>1.5714286000000001E-2</v>
      </c>
      <c r="BZ14" s="10">
        <f t="shared" si="31"/>
        <v>4.1770824382695828</v>
      </c>
      <c r="CA14" s="10">
        <f t="shared" si="32"/>
        <v>0</v>
      </c>
      <c r="CB14" s="10">
        <f t="shared" si="33"/>
        <v>4.1770824382695828</v>
      </c>
      <c r="CD14" s="10">
        <f t="shared" si="34"/>
        <v>3.14</v>
      </c>
      <c r="CE14" s="10">
        <f t="shared" si="35"/>
        <v>0.40280088264951763</v>
      </c>
      <c r="CF14" s="10">
        <f t="shared" si="36"/>
        <v>0.6311063961337634</v>
      </c>
      <c r="CG14" s="10">
        <f t="shared" si="37"/>
        <v>0</v>
      </c>
      <c r="CH14" s="10">
        <f t="shared" si="38"/>
        <v>3.1751594863016004E-3</v>
      </c>
      <c r="CI14" s="10">
        <f t="shared" si="39"/>
        <v>4.1770824382695819</v>
      </c>
      <c r="CK14" s="1">
        <f t="shared" si="40"/>
        <v>0</v>
      </c>
    </row>
    <row r="15" spans="2:89" x14ac:dyDescent="0.2">
      <c r="B15" s="14" t="s">
        <v>97</v>
      </c>
      <c r="C15" s="13" t="s">
        <v>85</v>
      </c>
      <c r="D15" s="13">
        <v>0.9</v>
      </c>
      <c r="E15" s="13">
        <v>0</v>
      </c>
      <c r="F15" s="13">
        <v>0</v>
      </c>
      <c r="G15" s="13">
        <v>8.0529664380000008E-3</v>
      </c>
      <c r="H15" s="13">
        <v>5.3101897240000001E-2</v>
      </c>
      <c r="I15" s="13">
        <v>2.270169876E-2</v>
      </c>
      <c r="J15" s="13">
        <v>0</v>
      </c>
      <c r="K15" s="13">
        <v>5.3111287E-2</v>
      </c>
      <c r="L15" s="13">
        <v>5.9012539999999999E-3</v>
      </c>
      <c r="M15" s="11">
        <f t="shared" si="0"/>
        <v>5.3111286611231406E-2</v>
      </c>
      <c r="N15" s="11">
        <f t="shared" si="1"/>
        <v>5.9012540679145992E-3</v>
      </c>
      <c r="O15" s="13">
        <v>106875.1697</v>
      </c>
      <c r="P15" s="13">
        <v>58496.387280000003</v>
      </c>
      <c r="Q15" s="13">
        <v>1.8072240850000001</v>
      </c>
      <c r="R15" s="11">
        <v>0.2020556</v>
      </c>
      <c r="T15" s="16">
        <v>73.71884</v>
      </c>
      <c r="U15" s="16">
        <v>-5.0000840000000002</v>
      </c>
      <c r="V15" s="16">
        <v>62.617055000000001</v>
      </c>
      <c r="W15" s="16">
        <v>37.705083000000002</v>
      </c>
      <c r="X15" s="16">
        <v>30.684851999999999</v>
      </c>
      <c r="Y15" s="22">
        <v>420</v>
      </c>
      <c r="Z15" s="11">
        <v>21.986353300000001</v>
      </c>
      <c r="AA15" s="17">
        <v>-8.7269439999999996</v>
      </c>
      <c r="AB15" s="17"/>
      <c r="AC15" s="16">
        <v>21.357776999999999</v>
      </c>
      <c r="AD15" s="16">
        <v>7.5483099999999999</v>
      </c>
      <c r="AE15" s="16"/>
      <c r="AF15" s="17">
        <v>-126.782873</v>
      </c>
      <c r="AG15" s="17">
        <v>-126.782873</v>
      </c>
      <c r="AH15" s="17"/>
      <c r="AI15" s="17"/>
      <c r="AJ15" s="17"/>
      <c r="AK15" s="17"/>
      <c r="AL15" s="16">
        <v>8.6017200000000003</v>
      </c>
      <c r="AM15" s="16">
        <v>0</v>
      </c>
      <c r="AN15" s="16">
        <v>822.26752199999999</v>
      </c>
      <c r="AO15" s="16">
        <v>822.26752199999999</v>
      </c>
      <c r="AQ15" s="1" t="str">
        <f t="shared" si="2"/>
        <v>TX_TSC+CC90</v>
      </c>
      <c r="AR15" s="1" t="str">
        <f t="shared" si="3"/>
        <v>Ethane</v>
      </c>
      <c r="AS15" s="12">
        <f t="shared" si="4"/>
        <v>863.19005668983948</v>
      </c>
      <c r="AT15" s="12">
        <f t="shared" si="5"/>
        <v>863.19005668983948</v>
      </c>
      <c r="AU15" s="5">
        <f t="shared" si="6"/>
        <v>0</v>
      </c>
      <c r="AV15" s="12">
        <f t="shared" si="7"/>
        <v>1094.9012833639847</v>
      </c>
      <c r="AW15" s="12">
        <f t="shared" si="8"/>
        <v>1094.9012833639847</v>
      </c>
      <c r="AX15" s="5">
        <f t="shared" si="9"/>
        <v>0</v>
      </c>
      <c r="AY15" s="5">
        <f t="shared" si="10"/>
        <v>0</v>
      </c>
      <c r="AZ15" s="1">
        <f t="shared" si="11"/>
        <v>0</v>
      </c>
      <c r="BA15" s="1">
        <f t="shared" si="12"/>
        <v>3.2389325110917326</v>
      </c>
      <c r="BB15" s="1">
        <f t="shared" si="13"/>
        <v>414.04082420313915</v>
      </c>
      <c r="BC15" s="1">
        <f t="shared" si="14"/>
        <v>3.6773385963086391</v>
      </c>
      <c r="BD15" s="1">
        <f t="shared" si="15"/>
        <v>0</v>
      </c>
      <c r="BE15" s="1">
        <f t="shared" si="16"/>
        <v>255.2819824195449</v>
      </c>
      <c r="BF15" s="1">
        <f t="shared" si="17"/>
        <v>139.72444442555911</v>
      </c>
      <c r="BG15" s="1">
        <f t="shared" si="18"/>
        <v>34.033135894034963</v>
      </c>
      <c r="BH15" s="1">
        <f t="shared" si="19"/>
        <v>1.1113075755548278</v>
      </c>
      <c r="BI15" s="1">
        <f t="shared" si="20"/>
        <v>-68.730906712953399</v>
      </c>
      <c r="BJ15" s="1">
        <f t="shared" si="21"/>
        <v>81.924305353114264</v>
      </c>
      <c r="BK15" s="1">
        <f t="shared" si="22"/>
        <v>0.11113075755548275</v>
      </c>
      <c r="BL15" s="1">
        <f t="shared" si="23"/>
        <v>5.000968104849437</v>
      </c>
      <c r="BM15" s="1">
        <f t="shared" si="24"/>
        <v>8.1924305353114235</v>
      </c>
      <c r="BN15" s="1">
        <f t="shared" si="25"/>
        <v>4.2544827350411296</v>
      </c>
      <c r="BO15" s="1">
        <f t="shared" si="26"/>
        <v>-68.730906712953399</v>
      </c>
      <c r="BP15" s="1">
        <f t="shared" si="27"/>
        <v>313.63553202725944</v>
      </c>
      <c r="BQ15" s="1">
        <f t="shared" si="28"/>
        <v>3.2543059170417847</v>
      </c>
      <c r="BR15" s="1">
        <f t="shared" si="29"/>
        <v>5.0009681048494379</v>
      </c>
      <c r="BS15" s="1">
        <f t="shared" si="30"/>
        <v>239.90365720945661</v>
      </c>
      <c r="BU15" s="9">
        <v>3.14</v>
      </c>
      <c r="BV15" s="10">
        <v>0.22181100240000001</v>
      </c>
      <c r="BW15" s="9">
        <v>0.18104824</v>
      </c>
      <c r="BX15" s="9">
        <v>1.5714286000000001E-2</v>
      </c>
      <c r="BZ15" s="10">
        <f t="shared" si="31"/>
        <v>4.1770824382695828</v>
      </c>
      <c r="CA15" s="10">
        <f t="shared" si="32"/>
        <v>7.7400296771546806E-2</v>
      </c>
      <c r="CB15" s="10">
        <f t="shared" si="33"/>
        <v>4.2544827350411296</v>
      </c>
      <c r="CD15" s="10">
        <f t="shared" si="34"/>
        <v>3.14</v>
      </c>
      <c r="CE15" s="10">
        <f t="shared" si="35"/>
        <v>0</v>
      </c>
      <c r="CF15" s="10">
        <f t="shared" si="36"/>
        <v>0.11113075755548275</v>
      </c>
      <c r="CG15" s="10">
        <f t="shared" si="37"/>
        <v>1.0001768179993451</v>
      </c>
      <c r="CH15" s="10">
        <f t="shared" si="38"/>
        <v>3.1751594863016004E-3</v>
      </c>
      <c r="CI15" s="10">
        <f t="shared" si="39"/>
        <v>4.2544827350411296</v>
      </c>
      <c r="CK15" s="1">
        <f t="shared" si="40"/>
        <v>0</v>
      </c>
    </row>
    <row r="16" spans="2:89" ht="17" customHeight="1" x14ac:dyDescent="0.2">
      <c r="B16" s="14" t="s">
        <v>98</v>
      </c>
      <c r="C16" s="13" t="s">
        <v>85</v>
      </c>
      <c r="D16" s="13">
        <v>0</v>
      </c>
      <c r="E16" s="13">
        <v>0</v>
      </c>
      <c r="F16" s="13">
        <v>0.15985314340000001</v>
      </c>
      <c r="G16" s="13">
        <v>0</v>
      </c>
      <c r="H16" s="13">
        <v>5.3101897240000001E-2</v>
      </c>
      <c r="I16" s="13">
        <v>0.13183228590000001</v>
      </c>
      <c r="J16" s="13">
        <v>0</v>
      </c>
      <c r="K16" s="13">
        <v>0</v>
      </c>
      <c r="L16" s="13">
        <v>7.8770440999999997E-2</v>
      </c>
      <c r="M16" s="11">
        <f t="shared" si="0"/>
        <v>0</v>
      </c>
      <c r="N16" s="11">
        <f t="shared" si="1"/>
        <v>7.877044141100964E-2</v>
      </c>
      <c r="O16" s="13">
        <v>99124.320160000003</v>
      </c>
      <c r="P16" s="13">
        <v>54251.997770000002</v>
      </c>
      <c r="Q16" s="13">
        <v>1.6761597559999999</v>
      </c>
      <c r="R16" s="11">
        <v>0.2020556</v>
      </c>
      <c r="T16" s="16">
        <v>73.71884</v>
      </c>
      <c r="U16" s="16">
        <v>-5.0000840000000002</v>
      </c>
      <c r="V16" s="16">
        <v>62.617055000000001</v>
      </c>
      <c r="W16" s="16">
        <v>37.705083000000002</v>
      </c>
      <c r="X16" s="16">
        <v>30.684851999999999</v>
      </c>
      <c r="Y16" s="22">
        <v>420</v>
      </c>
      <c r="Z16" s="11">
        <v>21.986353300000001</v>
      </c>
      <c r="AA16" s="17">
        <v>-8.7269439999999996</v>
      </c>
      <c r="AB16" s="17"/>
      <c r="AC16" s="16">
        <v>21.357776999999999</v>
      </c>
      <c r="AD16" s="16">
        <v>7.5483099999999999</v>
      </c>
      <c r="AE16" s="16"/>
      <c r="AF16" s="17">
        <v>-126.782873</v>
      </c>
      <c r="AG16" s="17">
        <v>-126.782873</v>
      </c>
      <c r="AH16" s="17"/>
      <c r="AI16" s="17"/>
      <c r="AJ16" s="17"/>
      <c r="AK16" s="17"/>
      <c r="AL16" s="16">
        <v>8.6017200000000003</v>
      </c>
      <c r="AM16" s="16">
        <v>0</v>
      </c>
      <c r="AN16" s="16">
        <v>822.26752199999999</v>
      </c>
      <c r="AO16" s="16">
        <v>822.26752199999999</v>
      </c>
      <c r="AQ16" s="1" t="str">
        <f t="shared" si="2"/>
        <v>TX_TSC:H2</v>
      </c>
      <c r="AR16" s="1" t="str">
        <f t="shared" si="3"/>
        <v>Ethane</v>
      </c>
      <c r="AS16" s="12">
        <f t="shared" si="4"/>
        <v>919.94578421405299</v>
      </c>
      <c r="AT16" s="12">
        <f t="shared" si="5"/>
        <v>919.94578421405299</v>
      </c>
      <c r="AU16" s="5">
        <f t="shared" si="6"/>
        <v>0</v>
      </c>
      <c r="AV16" s="12">
        <f t="shared" si="7"/>
        <v>1151.6570108881981</v>
      </c>
      <c r="AW16" s="12">
        <f t="shared" si="8"/>
        <v>1151.6570108881981</v>
      </c>
      <c r="AX16" s="5">
        <f t="shared" si="9"/>
        <v>0</v>
      </c>
      <c r="AY16" s="5">
        <f t="shared" si="10"/>
        <v>0</v>
      </c>
      <c r="AZ16" s="1">
        <f t="shared" si="11"/>
        <v>-22.722748970798431</v>
      </c>
      <c r="BA16" s="1">
        <f t="shared" si="12"/>
        <v>0</v>
      </c>
      <c r="BB16" s="1">
        <f t="shared" si="13"/>
        <v>414.04082420313915</v>
      </c>
      <c r="BC16" s="1">
        <f t="shared" si="14"/>
        <v>21.354875611064855</v>
      </c>
      <c r="BD16" s="1">
        <f t="shared" si="15"/>
        <v>0</v>
      </c>
      <c r="BE16" s="1">
        <f t="shared" si="16"/>
        <v>236.76830668400294</v>
      </c>
      <c r="BF16" s="1">
        <f t="shared" si="17"/>
        <v>129.58629754527846</v>
      </c>
      <c r="BG16" s="1">
        <f t="shared" si="18"/>
        <v>31.564969297130897</v>
      </c>
      <c r="BH16" s="1">
        <f t="shared" si="19"/>
        <v>1.4833828074917506</v>
      </c>
      <c r="BI16" s="1">
        <f t="shared" si="20"/>
        <v>0</v>
      </c>
      <c r="BJ16" s="1">
        <f t="shared" si="21"/>
        <v>109.35325984423515</v>
      </c>
      <c r="BK16" s="1">
        <f t="shared" si="22"/>
        <v>1.4833828074917506</v>
      </c>
      <c r="BL16" s="1">
        <f t="shared" si="23"/>
        <v>0</v>
      </c>
      <c r="BM16" s="1">
        <f t="shared" si="24"/>
        <v>109.35325984423515</v>
      </c>
      <c r="BN16" s="1">
        <f t="shared" si="25"/>
        <v>4.6265579669780523</v>
      </c>
      <c r="BO16" s="1">
        <f t="shared" si="26"/>
        <v>0</v>
      </c>
      <c r="BP16" s="1">
        <f t="shared" si="27"/>
        <v>341.06448651838031</v>
      </c>
      <c r="BQ16" s="1">
        <f t="shared" si="28"/>
        <v>4.6265579669780523</v>
      </c>
      <c r="BR16" s="1">
        <f t="shared" si="29"/>
        <v>0</v>
      </c>
      <c r="BS16" s="1">
        <f t="shared" si="30"/>
        <v>341.06448651838031</v>
      </c>
      <c r="BU16" s="9">
        <v>3.14</v>
      </c>
      <c r="BV16" s="10">
        <v>0.22181100240000001</v>
      </c>
      <c r="BW16" s="9">
        <v>0.18104824</v>
      </c>
      <c r="BX16" s="9">
        <v>1.5714286000000001E-2</v>
      </c>
      <c r="BZ16" s="10">
        <f t="shared" si="31"/>
        <v>4.1770824382695828</v>
      </c>
      <c r="CA16" s="10">
        <f t="shared" si="32"/>
        <v>0.44947552870846952</v>
      </c>
      <c r="CB16" s="10">
        <f t="shared" si="33"/>
        <v>4.6265579669780523</v>
      </c>
      <c r="CD16" s="10">
        <f t="shared" si="34"/>
        <v>3.14</v>
      </c>
      <c r="CE16" s="10">
        <f t="shared" si="35"/>
        <v>0</v>
      </c>
      <c r="CF16" s="10">
        <f t="shared" si="36"/>
        <v>1.4833828074917506</v>
      </c>
      <c r="CG16" s="10">
        <f t="shared" si="37"/>
        <v>0</v>
      </c>
      <c r="CH16" s="10">
        <f t="shared" si="38"/>
        <v>3.1751594863016004E-3</v>
      </c>
      <c r="CI16" s="10">
        <f t="shared" si="39"/>
        <v>4.6265579669780523</v>
      </c>
      <c r="CK16" s="1">
        <f t="shared" si="40"/>
        <v>0</v>
      </c>
    </row>
    <row r="17" spans="2:89" ht="16" customHeight="1" x14ac:dyDescent="0.2">
      <c r="B17" s="14" t="s">
        <v>99</v>
      </c>
      <c r="C17" s="13" t="s">
        <v>85</v>
      </c>
      <c r="D17" s="13">
        <v>0.9</v>
      </c>
      <c r="E17" s="13">
        <v>0</v>
      </c>
      <c r="F17" s="13">
        <v>0.15985314340000001</v>
      </c>
      <c r="G17" s="13">
        <v>9.3887366979999998E-3</v>
      </c>
      <c r="H17" s="13">
        <v>5.3101897240000001E-2</v>
      </c>
      <c r="I17" s="13">
        <v>0.13183228590000001</v>
      </c>
      <c r="J17" s="13">
        <v>0</v>
      </c>
      <c r="K17" s="13">
        <v>7.0893396999999997E-2</v>
      </c>
      <c r="L17" s="13">
        <v>7.8770439999999997E-3</v>
      </c>
      <c r="M17" s="11">
        <f t="shared" si="0"/>
        <v>7.0893397269908676E-2</v>
      </c>
      <c r="N17" s="11">
        <f t="shared" si="1"/>
        <v>7.8770441411009622E-3</v>
      </c>
      <c r="O17" s="13">
        <v>106900.97410000001</v>
      </c>
      <c r="P17" s="13">
        <v>58510.185810000003</v>
      </c>
      <c r="Q17" s="13">
        <v>1.807660423</v>
      </c>
      <c r="R17" s="11">
        <v>0.2020556</v>
      </c>
      <c r="T17" s="16">
        <v>73.71884</v>
      </c>
      <c r="U17" s="16">
        <v>-5.0000840000000002</v>
      </c>
      <c r="V17" s="16">
        <v>62.617055000000001</v>
      </c>
      <c r="W17" s="16">
        <v>37.705083000000002</v>
      </c>
      <c r="X17" s="16">
        <v>30.684851999999999</v>
      </c>
      <c r="Y17" s="22">
        <v>420</v>
      </c>
      <c r="Z17" s="11">
        <v>21.986353300000001</v>
      </c>
      <c r="AA17" s="17">
        <v>-8.7269439999999996</v>
      </c>
      <c r="AB17" s="17"/>
      <c r="AC17" s="16">
        <v>21.357776999999999</v>
      </c>
      <c r="AD17" s="16">
        <v>7.5483099999999999</v>
      </c>
      <c r="AE17" s="16"/>
      <c r="AF17" s="17">
        <v>-126.782873</v>
      </c>
      <c r="AG17" s="17">
        <v>-126.782873</v>
      </c>
      <c r="AH17" s="17"/>
      <c r="AI17" s="17"/>
      <c r="AJ17" s="17"/>
      <c r="AK17" s="17"/>
      <c r="AL17" s="16">
        <v>8.6017200000000003</v>
      </c>
      <c r="AM17" s="16">
        <v>0</v>
      </c>
      <c r="AN17" s="16">
        <v>822.26752199999999</v>
      </c>
      <c r="AO17" s="16">
        <v>822.26752199999999</v>
      </c>
      <c r="AQ17" s="1" t="str">
        <f t="shared" si="2"/>
        <v>TX_TSC+CC90:H2</v>
      </c>
      <c r="AR17" s="1" t="str">
        <f t="shared" si="3"/>
        <v>Ethane</v>
      </c>
      <c r="AS17" s="12">
        <f t="shared" si="4"/>
        <v>863.20217106775169</v>
      </c>
      <c r="AT17" s="12">
        <f t="shared" si="5"/>
        <v>863.20217106775181</v>
      </c>
      <c r="AU17" s="5">
        <f t="shared" si="6"/>
        <v>0</v>
      </c>
      <c r="AV17" s="12">
        <f t="shared" si="7"/>
        <v>1094.9133977418969</v>
      </c>
      <c r="AW17" s="12">
        <f t="shared" si="8"/>
        <v>1094.9133977418969</v>
      </c>
      <c r="AX17" s="5">
        <f t="shared" si="9"/>
        <v>0</v>
      </c>
      <c r="AY17" s="5">
        <f t="shared" si="10"/>
        <v>0</v>
      </c>
      <c r="AZ17" s="1">
        <f t="shared" si="11"/>
        <v>-22.722748970798431</v>
      </c>
      <c r="BA17" s="1">
        <f t="shared" si="12"/>
        <v>3.7761841879456042</v>
      </c>
      <c r="BB17" s="1">
        <f t="shared" si="13"/>
        <v>414.04082420313915</v>
      </c>
      <c r="BC17" s="1">
        <f t="shared" si="14"/>
        <v>21.354875611064855</v>
      </c>
      <c r="BD17" s="1">
        <f t="shared" si="15"/>
        <v>0</v>
      </c>
      <c r="BE17" s="1">
        <f t="shared" si="16"/>
        <v>255.34361879781346</v>
      </c>
      <c r="BF17" s="1">
        <f t="shared" si="17"/>
        <v>139.75740358812948</v>
      </c>
      <c r="BG17" s="1">
        <f t="shared" si="18"/>
        <v>34.041352888580896</v>
      </c>
      <c r="BH17" s="1">
        <f t="shared" si="19"/>
        <v>1.4833828074917506</v>
      </c>
      <c r="BI17" s="1">
        <f t="shared" si="20"/>
        <v>-91.74259908235851</v>
      </c>
      <c r="BJ17" s="1">
        <f t="shared" si="21"/>
        <v>109.35325984423515</v>
      </c>
      <c r="BK17" s="1">
        <f t="shared" si="22"/>
        <v>0.14833828074917502</v>
      </c>
      <c r="BL17" s="1">
        <f t="shared" si="23"/>
        <v>6.6753347774531244</v>
      </c>
      <c r="BM17" s="1">
        <f t="shared" si="24"/>
        <v>10.935325984423514</v>
      </c>
      <c r="BN17" s="1">
        <f t="shared" si="25"/>
        <v>4.6265579669780514</v>
      </c>
      <c r="BO17" s="1">
        <f t="shared" si="26"/>
        <v>-91.74259908235851</v>
      </c>
      <c r="BP17" s="1">
        <f t="shared" si="27"/>
        <v>341.06448651838025</v>
      </c>
      <c r="BQ17" s="1">
        <f t="shared" si="28"/>
        <v>3.2915134402354767</v>
      </c>
      <c r="BR17" s="1">
        <f t="shared" si="29"/>
        <v>6.6753347774531235</v>
      </c>
      <c r="BS17" s="1">
        <f t="shared" si="30"/>
        <v>242.64655265856865</v>
      </c>
      <c r="BU17" s="9">
        <v>3.14</v>
      </c>
      <c r="BV17" s="10">
        <v>0.22181100240000001</v>
      </c>
      <c r="BW17" s="9">
        <v>0.18104824</v>
      </c>
      <c r="BX17" s="9">
        <v>1.5714286000000001E-2</v>
      </c>
      <c r="BZ17" s="10">
        <f t="shared" si="31"/>
        <v>4.1770824382695828</v>
      </c>
      <c r="CA17" s="10">
        <f t="shared" si="32"/>
        <v>0.44947552870846952</v>
      </c>
      <c r="CB17" s="10">
        <f t="shared" si="33"/>
        <v>4.6265579669780523</v>
      </c>
      <c r="CD17" s="10">
        <f t="shared" si="34"/>
        <v>3.14</v>
      </c>
      <c r="CE17" s="10">
        <f t="shared" si="35"/>
        <v>0</v>
      </c>
      <c r="CF17" s="10">
        <f t="shared" si="36"/>
        <v>0.14833828074917502</v>
      </c>
      <c r="CG17" s="10">
        <f t="shared" si="37"/>
        <v>1.3350445267425755</v>
      </c>
      <c r="CH17" s="10">
        <f t="shared" si="38"/>
        <v>3.1751594863016004E-3</v>
      </c>
      <c r="CI17" s="10">
        <f t="shared" si="39"/>
        <v>4.6265579669780514</v>
      </c>
      <c r="CK17" s="1">
        <f t="shared" si="40"/>
        <v>0</v>
      </c>
    </row>
    <row r="18" spans="2:89" x14ac:dyDescent="0.2">
      <c r="B18" s="14" t="s">
        <v>100</v>
      </c>
      <c r="C18" s="13" t="s">
        <v>85</v>
      </c>
      <c r="D18" s="13">
        <v>0</v>
      </c>
      <c r="E18" s="13">
        <v>2.226644157E-2</v>
      </c>
      <c r="F18" s="13">
        <v>0</v>
      </c>
      <c r="G18" s="13">
        <v>0</v>
      </c>
      <c r="H18" s="13">
        <v>5.3101897240000001E-2</v>
      </c>
      <c r="I18" s="13">
        <v>0</v>
      </c>
      <c r="J18" s="13">
        <v>0</v>
      </c>
      <c r="K18" s="13">
        <v>0</v>
      </c>
      <c r="L18" s="13">
        <v>5.4902437999999998E-2</v>
      </c>
      <c r="M18" s="11">
        <f t="shared" si="0"/>
        <v>0</v>
      </c>
      <c r="N18" s="11">
        <f t="shared" si="1"/>
        <v>5.4902438073637823E-2</v>
      </c>
      <c r="O18" s="13">
        <v>99124.320160000003</v>
      </c>
      <c r="P18" s="13">
        <v>54251.997770000002</v>
      </c>
      <c r="Q18" s="13">
        <v>1.6761597559999999</v>
      </c>
      <c r="R18" s="11">
        <v>0.2020556</v>
      </c>
      <c r="T18" s="16">
        <v>73.71884</v>
      </c>
      <c r="U18" s="16">
        <v>-5.0000840000000002</v>
      </c>
      <c r="V18" s="16">
        <v>62.617055000000001</v>
      </c>
      <c r="W18" s="16">
        <v>37.705083000000002</v>
      </c>
      <c r="X18" s="16">
        <v>30.684851999999999</v>
      </c>
      <c r="Y18" s="22">
        <v>420</v>
      </c>
      <c r="Z18" s="11">
        <v>21.986353300000001</v>
      </c>
      <c r="AA18" s="17">
        <v>-8.7269439999999996</v>
      </c>
      <c r="AB18" s="17"/>
      <c r="AC18" s="16">
        <v>21.357776999999999</v>
      </c>
      <c r="AD18" s="16">
        <v>7.5483099999999999</v>
      </c>
      <c r="AE18" s="16"/>
      <c r="AF18" s="17">
        <v>-126.782873</v>
      </c>
      <c r="AG18" s="17">
        <v>-126.782873</v>
      </c>
      <c r="AH18" s="17"/>
      <c r="AI18" s="17"/>
      <c r="AJ18" s="17"/>
      <c r="AK18" s="17"/>
      <c r="AL18" s="16">
        <v>8.6017200000000003</v>
      </c>
      <c r="AM18" s="16">
        <v>0</v>
      </c>
      <c r="AN18" s="16">
        <v>822.26752199999999</v>
      </c>
      <c r="AO18" s="16">
        <v>822.26752199999999</v>
      </c>
      <c r="AQ18" s="1" t="str">
        <f t="shared" si="2"/>
        <v>TX_TSC+H2in</v>
      </c>
      <c r="AR18" s="1" t="str">
        <f t="shared" si="3"/>
        <v>Ethane</v>
      </c>
      <c r="AS18" s="12">
        <f t="shared" si="4"/>
        <v>891.34396537263592</v>
      </c>
      <c r="AT18" s="12">
        <f t="shared" si="5"/>
        <v>891.34396537263592</v>
      </c>
      <c r="AU18" s="5">
        <f t="shared" si="6"/>
        <v>0</v>
      </c>
      <c r="AV18" s="12">
        <f t="shared" si="7"/>
        <v>1123.055192046781</v>
      </c>
      <c r="AW18" s="12">
        <f t="shared" si="8"/>
        <v>1123.055192046781</v>
      </c>
      <c r="AX18" s="5">
        <f t="shared" si="9"/>
        <v>0</v>
      </c>
      <c r="AY18" s="5">
        <f t="shared" si="10"/>
        <v>3.1651223836243991</v>
      </c>
      <c r="AZ18" s="1">
        <f t="shared" si="11"/>
        <v>0</v>
      </c>
      <c r="BA18" s="1">
        <f t="shared" si="12"/>
        <v>0</v>
      </c>
      <c r="BB18" s="1">
        <f t="shared" si="13"/>
        <v>414.04082420313915</v>
      </c>
      <c r="BC18" s="1">
        <f t="shared" si="14"/>
        <v>0</v>
      </c>
      <c r="BD18" s="1">
        <f t="shared" si="15"/>
        <v>0</v>
      </c>
      <c r="BE18" s="1">
        <f t="shared" si="16"/>
        <v>236.76830668400294</v>
      </c>
      <c r="BF18" s="1">
        <f t="shared" si="17"/>
        <v>129.58629754527846</v>
      </c>
      <c r="BG18" s="1">
        <f t="shared" si="18"/>
        <v>31.564969297130897</v>
      </c>
      <c r="BH18" s="1">
        <f t="shared" si="19"/>
        <v>1.033907278783281</v>
      </c>
      <c r="BI18" s="1">
        <f t="shared" si="20"/>
        <v>0</v>
      </c>
      <c r="BJ18" s="1">
        <f t="shared" si="21"/>
        <v>76.218445259460083</v>
      </c>
      <c r="BK18" s="1">
        <f t="shared" si="22"/>
        <v>1.033907278783281</v>
      </c>
      <c r="BL18" s="1">
        <f t="shared" si="23"/>
        <v>0</v>
      </c>
      <c r="BM18" s="1">
        <f t="shared" si="24"/>
        <v>76.218445259460083</v>
      </c>
      <c r="BN18" s="1">
        <f t="shared" si="25"/>
        <v>4.1770824382695819</v>
      </c>
      <c r="BO18" s="1">
        <f t="shared" si="26"/>
        <v>0</v>
      </c>
      <c r="BP18" s="1">
        <f t="shared" si="27"/>
        <v>307.92967193360516</v>
      </c>
      <c r="BQ18" s="1">
        <f t="shared" si="28"/>
        <v>4.1770824382695819</v>
      </c>
      <c r="BR18" s="1">
        <f t="shared" si="29"/>
        <v>0</v>
      </c>
      <c r="BS18" s="1">
        <f t="shared" si="30"/>
        <v>307.92967193360516</v>
      </c>
      <c r="BU18" s="9">
        <v>3.14</v>
      </c>
      <c r="BV18" s="10">
        <v>0.22181100240000001</v>
      </c>
      <c r="BW18" s="9">
        <v>0.18104824</v>
      </c>
      <c r="BX18" s="9">
        <v>1.5714286000000001E-2</v>
      </c>
      <c r="BZ18" s="10">
        <f t="shared" si="31"/>
        <v>4.1770824382695828</v>
      </c>
      <c r="CA18" s="10">
        <f t="shared" si="32"/>
        <v>0</v>
      </c>
      <c r="CB18" s="10">
        <f t="shared" si="33"/>
        <v>4.1770824382695828</v>
      </c>
      <c r="CD18" s="10">
        <f t="shared" si="34"/>
        <v>3.14</v>
      </c>
      <c r="CE18" s="10">
        <f t="shared" si="35"/>
        <v>0</v>
      </c>
      <c r="CF18" s="10">
        <f t="shared" si="36"/>
        <v>1.033907278783281</v>
      </c>
      <c r="CG18" s="10">
        <f t="shared" si="37"/>
        <v>0</v>
      </c>
      <c r="CH18" s="10">
        <f t="shared" si="38"/>
        <v>3.1751594863016004E-3</v>
      </c>
      <c r="CI18" s="10">
        <f t="shared" si="39"/>
        <v>4.1770824382695819</v>
      </c>
      <c r="CK18" s="1">
        <f t="shared" si="40"/>
        <v>0</v>
      </c>
    </row>
    <row r="19" spans="2:89" x14ac:dyDescent="0.2">
      <c r="B19" s="14" t="s">
        <v>101</v>
      </c>
      <c r="C19" s="13" t="s">
        <v>85</v>
      </c>
      <c r="D19" s="13">
        <v>0</v>
      </c>
      <c r="E19" s="13">
        <v>0.1375867019</v>
      </c>
      <c r="F19" s="13">
        <v>0</v>
      </c>
      <c r="G19" s="13">
        <v>0</v>
      </c>
      <c r="H19" s="13">
        <v>5.3101897240000001E-2</v>
      </c>
      <c r="I19" s="13">
        <v>0</v>
      </c>
      <c r="J19" s="13">
        <v>0.11814249659999999</v>
      </c>
      <c r="K19" s="13">
        <v>0</v>
      </c>
      <c r="L19" s="13">
        <v>3.3512947000000001E-2</v>
      </c>
      <c r="M19" s="11">
        <f t="shared" si="0"/>
        <v>0</v>
      </c>
      <c r="N19" s="11">
        <f t="shared" si="1"/>
        <v>3.351294699500184E-2</v>
      </c>
      <c r="O19" s="13">
        <v>99124.320160000003</v>
      </c>
      <c r="P19" s="13">
        <v>54251.997770000002</v>
      </c>
      <c r="Q19" s="13">
        <v>1.6761597559999999</v>
      </c>
      <c r="R19" s="11">
        <v>0.2020556</v>
      </c>
      <c r="T19" s="16">
        <v>73.71884</v>
      </c>
      <c r="U19" s="16">
        <v>-5.0000840000000002</v>
      </c>
      <c r="V19" s="16">
        <v>62.617055000000001</v>
      </c>
      <c r="W19" s="16">
        <v>37.705083000000002</v>
      </c>
      <c r="X19" s="16">
        <v>30.684851999999999</v>
      </c>
      <c r="Y19" s="22">
        <v>420</v>
      </c>
      <c r="Z19" s="11">
        <v>21.986353300000001</v>
      </c>
      <c r="AA19" s="17">
        <v>-8.7269439999999996</v>
      </c>
      <c r="AB19" s="17"/>
      <c r="AC19" s="16">
        <v>21.357776999999999</v>
      </c>
      <c r="AD19" s="16">
        <v>7.5483099999999999</v>
      </c>
      <c r="AE19" s="16"/>
      <c r="AF19" s="17">
        <v>-126.782873</v>
      </c>
      <c r="AG19" s="17">
        <v>-126.782873</v>
      </c>
      <c r="AH19" s="17"/>
      <c r="AI19" s="17"/>
      <c r="AJ19" s="17"/>
      <c r="AK19" s="17"/>
      <c r="AL19" s="16">
        <v>8.6017200000000003</v>
      </c>
      <c r="AM19" s="16">
        <v>0</v>
      </c>
      <c r="AN19" s="16">
        <v>822.26752199999999</v>
      </c>
      <c r="AO19" s="16">
        <v>822.26752199999999</v>
      </c>
      <c r="AQ19" s="1" t="str">
        <f t="shared" si="2"/>
        <v>TX_TSC+H2in:CH4</v>
      </c>
      <c r="AR19" s="1" t="str">
        <f t="shared" si="3"/>
        <v>Ethane</v>
      </c>
      <c r="AS19" s="12">
        <f t="shared" si="4"/>
        <v>888.59913686031655</v>
      </c>
      <c r="AT19" s="12">
        <f t="shared" si="5"/>
        <v>888.59913686031655</v>
      </c>
      <c r="AU19" s="5">
        <f t="shared" si="6"/>
        <v>0</v>
      </c>
      <c r="AV19" s="12">
        <f t="shared" si="7"/>
        <v>1120.3103635344617</v>
      </c>
      <c r="AW19" s="12">
        <f t="shared" si="8"/>
        <v>1120.3103635344617</v>
      </c>
      <c r="AX19" s="5">
        <f t="shared" si="9"/>
        <v>0</v>
      </c>
      <c r="AY19" s="5">
        <f t="shared" si="10"/>
        <v>19.557626597124365</v>
      </c>
      <c r="AZ19" s="1">
        <f t="shared" si="11"/>
        <v>0</v>
      </c>
      <c r="BA19" s="1">
        <f t="shared" si="12"/>
        <v>0</v>
      </c>
      <c r="BB19" s="1">
        <f t="shared" si="13"/>
        <v>414.04082420313915</v>
      </c>
      <c r="BC19" s="1">
        <f t="shared" si="14"/>
        <v>0</v>
      </c>
      <c r="BD19" s="1">
        <f t="shared" si="15"/>
        <v>-19.137332725819423</v>
      </c>
      <c r="BE19" s="1">
        <f t="shared" si="16"/>
        <v>236.76830668400294</v>
      </c>
      <c r="BF19" s="1">
        <f t="shared" si="17"/>
        <v>129.58629754527846</v>
      </c>
      <c r="BG19" s="1">
        <f t="shared" si="18"/>
        <v>31.564969297130897</v>
      </c>
      <c r="BH19" s="1">
        <f t="shared" si="19"/>
        <v>1.033907278783281</v>
      </c>
      <c r="BI19" s="1">
        <f t="shared" si="20"/>
        <v>0</v>
      </c>
      <c r="BJ19" s="1">
        <f t="shared" si="21"/>
        <v>76.218445259460083</v>
      </c>
      <c r="BK19" s="1">
        <f t="shared" si="22"/>
        <v>1.033907278783281</v>
      </c>
      <c r="BL19" s="1">
        <f t="shared" si="23"/>
        <v>0</v>
      </c>
      <c r="BM19" s="1">
        <f t="shared" si="24"/>
        <v>76.218445259460083</v>
      </c>
      <c r="BN19" s="1">
        <f t="shared" si="25"/>
        <v>4.1770824382695819</v>
      </c>
      <c r="BO19" s="1">
        <f t="shared" si="26"/>
        <v>0</v>
      </c>
      <c r="BP19" s="1">
        <f t="shared" si="27"/>
        <v>307.92967193360516</v>
      </c>
      <c r="BQ19" s="1">
        <f t="shared" si="28"/>
        <v>4.1770824382695819</v>
      </c>
      <c r="BR19" s="1">
        <f t="shared" si="29"/>
        <v>0</v>
      </c>
      <c r="BS19" s="1">
        <f t="shared" si="30"/>
        <v>307.92967193360516</v>
      </c>
      <c r="BU19" s="9">
        <v>3.14</v>
      </c>
      <c r="BV19" s="10">
        <v>0.22181100240000001</v>
      </c>
      <c r="BW19" s="9">
        <v>0.18104824</v>
      </c>
      <c r="BX19" s="9">
        <v>1.5714286000000001E-2</v>
      </c>
      <c r="BZ19" s="10">
        <f t="shared" si="31"/>
        <v>4.1770824382695828</v>
      </c>
      <c r="CA19" s="10">
        <f t="shared" si="32"/>
        <v>0</v>
      </c>
      <c r="CB19" s="10">
        <f t="shared" si="33"/>
        <v>4.1770824382695828</v>
      </c>
      <c r="CD19" s="10">
        <f t="shared" si="34"/>
        <v>3.14</v>
      </c>
      <c r="CE19" s="10">
        <f t="shared" si="35"/>
        <v>0.40280088264951763</v>
      </c>
      <c r="CF19" s="10">
        <f t="shared" si="36"/>
        <v>0.6311063961337634</v>
      </c>
      <c r="CG19" s="10">
        <f t="shared" si="37"/>
        <v>0</v>
      </c>
      <c r="CH19" s="10">
        <f t="shared" si="38"/>
        <v>3.1751594863016004E-3</v>
      </c>
      <c r="CI19" s="10">
        <f t="shared" si="39"/>
        <v>4.1770824382695819</v>
      </c>
      <c r="CK19" s="1">
        <f t="shared" si="40"/>
        <v>0</v>
      </c>
    </row>
    <row r="20" spans="2:89" x14ac:dyDescent="0.2">
      <c r="B20" s="14" t="s">
        <v>102</v>
      </c>
      <c r="C20" s="13" t="s">
        <v>85</v>
      </c>
      <c r="D20" s="13">
        <v>0.9</v>
      </c>
      <c r="E20" s="13">
        <v>0</v>
      </c>
      <c r="F20" s="13">
        <v>0</v>
      </c>
      <c r="G20" s="13">
        <v>8.0529664380000008E-3</v>
      </c>
      <c r="H20" s="13">
        <v>5.3101897240000001E-2</v>
      </c>
      <c r="I20" s="13">
        <v>2.270169876E-2</v>
      </c>
      <c r="J20" s="13">
        <v>0</v>
      </c>
      <c r="K20" s="13">
        <v>5.3111287E-2</v>
      </c>
      <c r="L20" s="13">
        <v>5.9012539999999999E-3</v>
      </c>
      <c r="M20" s="11">
        <f t="shared" si="0"/>
        <v>5.3111286611231406E-2</v>
      </c>
      <c r="N20" s="11">
        <f t="shared" si="1"/>
        <v>5.9012540679145992E-3</v>
      </c>
      <c r="O20" s="13">
        <v>106875.1697</v>
      </c>
      <c r="P20" s="13">
        <v>58496.387280000003</v>
      </c>
      <c r="Q20" s="13">
        <v>1.8072240850000001</v>
      </c>
      <c r="R20" s="11">
        <v>0.2020556</v>
      </c>
      <c r="T20" s="16">
        <v>73.71884</v>
      </c>
      <c r="U20" s="16">
        <v>-6.0973139999999999</v>
      </c>
      <c r="V20" s="16">
        <v>61.343403000000002</v>
      </c>
      <c r="W20" s="16">
        <v>33.004970999999998</v>
      </c>
      <c r="X20" s="16">
        <v>42.195610000000002</v>
      </c>
      <c r="Y20" s="22">
        <v>420</v>
      </c>
      <c r="Z20" s="11">
        <v>21.986353300000001</v>
      </c>
      <c r="AA20" s="17">
        <v>51.423575999999997</v>
      </c>
      <c r="AB20" s="17"/>
      <c r="AC20" s="16">
        <v>22.906690000000001</v>
      </c>
      <c r="AD20" s="16">
        <v>13.197062000000001</v>
      </c>
      <c r="AE20" s="16"/>
      <c r="AF20" s="17">
        <v>-129.528977</v>
      </c>
      <c r="AG20" s="17">
        <v>-129.528977</v>
      </c>
      <c r="AH20" s="17"/>
      <c r="AI20" s="17"/>
      <c r="AJ20" s="17"/>
      <c r="AK20" s="17"/>
      <c r="AL20" s="16">
        <v>14.953878</v>
      </c>
      <c r="AM20" s="16">
        <v>0</v>
      </c>
      <c r="AN20" s="16">
        <v>822.26752199999999</v>
      </c>
      <c r="AO20" s="16">
        <v>822.26752199999999</v>
      </c>
      <c r="AQ20" s="1" t="str">
        <f t="shared" si="2"/>
        <v>NCEN_TSC+CC90</v>
      </c>
      <c r="AR20" s="1" t="str">
        <f t="shared" si="3"/>
        <v>Ethane</v>
      </c>
      <c r="AS20" s="12">
        <f t="shared" si="4"/>
        <v>867.2379990417528</v>
      </c>
      <c r="AT20" s="12">
        <f t="shared" si="5"/>
        <v>867.2379990417528</v>
      </c>
      <c r="AU20" s="5">
        <f t="shared" si="6"/>
        <v>0</v>
      </c>
      <c r="AV20" s="12">
        <f t="shared" si="7"/>
        <v>1098.9492257158979</v>
      </c>
      <c r="AW20" s="12">
        <f t="shared" si="8"/>
        <v>1098.9492257158979</v>
      </c>
      <c r="AX20" s="5">
        <f t="shared" si="9"/>
        <v>0</v>
      </c>
      <c r="AY20" s="5">
        <f t="shared" si="10"/>
        <v>0</v>
      </c>
      <c r="AZ20" s="1">
        <f t="shared" si="11"/>
        <v>0</v>
      </c>
      <c r="BA20" s="1">
        <f t="shared" si="12"/>
        <v>3.4738270262162532</v>
      </c>
      <c r="BB20" s="1">
        <f t="shared" si="13"/>
        <v>414.04082420313915</v>
      </c>
      <c r="BC20" s="1">
        <f t="shared" si="14"/>
        <v>6.3929624230840618</v>
      </c>
      <c r="BD20" s="1">
        <f t="shared" si="15"/>
        <v>0</v>
      </c>
      <c r="BE20" s="1">
        <f t="shared" si="16"/>
        <v>255.2819824195449</v>
      </c>
      <c r="BF20" s="1">
        <f t="shared" si="17"/>
        <v>139.72444442555911</v>
      </c>
      <c r="BG20" s="1">
        <f t="shared" si="18"/>
        <v>34.033135894034963</v>
      </c>
      <c r="BH20" s="1">
        <f t="shared" si="19"/>
        <v>1.1113075755548278</v>
      </c>
      <c r="BI20" s="1">
        <f t="shared" si="20"/>
        <v>-67.633482702939986</v>
      </c>
      <c r="BJ20" s="1">
        <f t="shared" si="21"/>
        <v>81.924305353114264</v>
      </c>
      <c r="BK20" s="1">
        <f t="shared" si="22"/>
        <v>0.11113075755548275</v>
      </c>
      <c r="BL20" s="1">
        <f t="shared" si="23"/>
        <v>6.0983921148628584</v>
      </c>
      <c r="BM20" s="1">
        <f t="shared" si="24"/>
        <v>8.1924305353114235</v>
      </c>
      <c r="BN20" s="1">
        <f t="shared" si="25"/>
        <v>4.2544827350411296</v>
      </c>
      <c r="BO20" s="1">
        <f t="shared" si="26"/>
        <v>-67.633482702939986</v>
      </c>
      <c r="BP20" s="1">
        <f t="shared" si="27"/>
        <v>313.63553202725944</v>
      </c>
      <c r="BQ20" s="1">
        <f t="shared" si="28"/>
        <v>3.2543059170417847</v>
      </c>
      <c r="BR20" s="1">
        <f t="shared" si="29"/>
        <v>6.0983921148628584</v>
      </c>
      <c r="BS20" s="1">
        <f t="shared" si="30"/>
        <v>239.90365720945661</v>
      </c>
      <c r="BU20" s="9">
        <v>3.14</v>
      </c>
      <c r="BV20" s="10">
        <v>0.22181100240000001</v>
      </c>
      <c r="BW20" s="9">
        <v>0.18104824</v>
      </c>
      <c r="BX20" s="9">
        <v>1.5714286000000001E-2</v>
      </c>
      <c r="BZ20" s="10">
        <f t="shared" si="31"/>
        <v>4.1770824382695828</v>
      </c>
      <c r="CA20" s="10">
        <f t="shared" si="32"/>
        <v>7.7400296771546806E-2</v>
      </c>
      <c r="CB20" s="10">
        <f t="shared" si="33"/>
        <v>4.2544827350411296</v>
      </c>
      <c r="CD20" s="10">
        <f t="shared" si="34"/>
        <v>3.14</v>
      </c>
      <c r="CE20" s="10">
        <f t="shared" si="35"/>
        <v>0</v>
      </c>
      <c r="CF20" s="10">
        <f t="shared" si="36"/>
        <v>0.11113075755548275</v>
      </c>
      <c r="CG20" s="10">
        <f t="shared" si="37"/>
        <v>1.0001768179993451</v>
      </c>
      <c r="CH20" s="10">
        <f t="shared" si="38"/>
        <v>3.1751594863016004E-3</v>
      </c>
      <c r="CI20" s="10">
        <f t="shared" si="39"/>
        <v>4.2544827350411296</v>
      </c>
      <c r="CK20" s="1">
        <f t="shared" si="40"/>
        <v>0</v>
      </c>
    </row>
    <row r="21" spans="2:89" x14ac:dyDescent="0.2">
      <c r="B21" s="14" t="s">
        <v>103</v>
      </c>
      <c r="C21" s="13" t="s">
        <v>85</v>
      </c>
      <c r="D21" s="13">
        <v>0</v>
      </c>
      <c r="E21" s="13">
        <v>0</v>
      </c>
      <c r="F21" s="13">
        <v>0.15985314340000001</v>
      </c>
      <c r="G21" s="13">
        <v>0</v>
      </c>
      <c r="H21" s="13">
        <v>5.3101897240000001E-2</v>
      </c>
      <c r="I21" s="13">
        <v>0.13183228590000001</v>
      </c>
      <c r="J21" s="13">
        <v>0</v>
      </c>
      <c r="K21" s="13">
        <v>0</v>
      </c>
      <c r="L21" s="13">
        <v>7.8770440999999997E-2</v>
      </c>
      <c r="M21" s="11">
        <f t="shared" si="0"/>
        <v>0</v>
      </c>
      <c r="N21" s="11">
        <f t="shared" si="1"/>
        <v>7.877044141100964E-2</v>
      </c>
      <c r="O21" s="13">
        <v>99124.320160000003</v>
      </c>
      <c r="P21" s="13">
        <v>54251.997770000002</v>
      </c>
      <c r="Q21" s="13">
        <v>1.6761597559999999</v>
      </c>
      <c r="R21" s="11">
        <v>0.2020556</v>
      </c>
      <c r="T21" s="16">
        <v>73.71884</v>
      </c>
      <c r="U21" s="16">
        <v>-6.0973139999999999</v>
      </c>
      <c r="V21" s="16">
        <v>61.343403000000002</v>
      </c>
      <c r="W21" s="16">
        <v>33.004970999999998</v>
      </c>
      <c r="X21" s="16">
        <v>42.195610000000002</v>
      </c>
      <c r="Y21" s="22">
        <v>420</v>
      </c>
      <c r="Z21" s="11">
        <v>21.986353300000001</v>
      </c>
      <c r="AA21" s="17">
        <v>51.423575999999997</v>
      </c>
      <c r="AB21" s="17"/>
      <c r="AC21" s="16">
        <v>22.906690000000001</v>
      </c>
      <c r="AD21" s="16">
        <v>13.197062000000001</v>
      </c>
      <c r="AE21" s="16"/>
      <c r="AF21" s="17">
        <v>-129.528977</v>
      </c>
      <c r="AG21" s="17">
        <v>-129.528977</v>
      </c>
      <c r="AH21" s="17"/>
      <c r="AI21" s="17"/>
      <c r="AJ21" s="17"/>
      <c r="AK21" s="17"/>
      <c r="AL21" s="16">
        <v>14.953878</v>
      </c>
      <c r="AM21" s="16">
        <v>0</v>
      </c>
      <c r="AN21" s="16">
        <v>822.26752199999999</v>
      </c>
      <c r="AO21" s="16">
        <v>822.26752199999999</v>
      </c>
      <c r="AQ21" s="1" t="str">
        <f t="shared" si="2"/>
        <v>NCEN_TSC:H2</v>
      </c>
      <c r="AR21" s="1" t="str">
        <f t="shared" si="3"/>
        <v>Ethane</v>
      </c>
      <c r="AS21" s="12">
        <f t="shared" si="4"/>
        <v>918.7113414284629</v>
      </c>
      <c r="AT21" s="12">
        <f t="shared" si="5"/>
        <v>918.7113414284629</v>
      </c>
      <c r="AU21" s="5">
        <f t="shared" si="6"/>
        <v>0</v>
      </c>
      <c r="AV21" s="12">
        <f t="shared" si="7"/>
        <v>1150.422568102608</v>
      </c>
      <c r="AW21" s="12">
        <f t="shared" si="8"/>
        <v>1150.422568102608</v>
      </c>
      <c r="AX21" s="5">
        <f t="shared" si="9"/>
        <v>0</v>
      </c>
      <c r="AY21" s="5">
        <f t="shared" si="10"/>
        <v>0</v>
      </c>
      <c r="AZ21" s="1">
        <f t="shared" si="11"/>
        <v>-39.727240531730025</v>
      </c>
      <c r="BA21" s="1">
        <f t="shared" si="12"/>
        <v>0</v>
      </c>
      <c r="BB21" s="1">
        <f t="shared" si="13"/>
        <v>414.04082420313915</v>
      </c>
      <c r="BC21" s="1">
        <f t="shared" si="14"/>
        <v>37.124924386406356</v>
      </c>
      <c r="BD21" s="1">
        <f t="shared" si="15"/>
        <v>0</v>
      </c>
      <c r="BE21" s="1">
        <f t="shared" si="16"/>
        <v>236.76830668400294</v>
      </c>
      <c r="BF21" s="1">
        <f t="shared" si="17"/>
        <v>129.58629754527846</v>
      </c>
      <c r="BG21" s="1">
        <f t="shared" si="18"/>
        <v>31.564969297130897</v>
      </c>
      <c r="BH21" s="1">
        <f t="shared" si="19"/>
        <v>1.4833828074917506</v>
      </c>
      <c r="BI21" s="1">
        <f t="shared" si="20"/>
        <v>0</v>
      </c>
      <c r="BJ21" s="1">
        <f t="shared" si="21"/>
        <v>109.35325984423515</v>
      </c>
      <c r="BK21" s="1">
        <f t="shared" si="22"/>
        <v>1.4833828074917506</v>
      </c>
      <c r="BL21" s="1">
        <f t="shared" si="23"/>
        <v>0</v>
      </c>
      <c r="BM21" s="1">
        <f t="shared" si="24"/>
        <v>109.35325984423515</v>
      </c>
      <c r="BN21" s="1">
        <f t="shared" si="25"/>
        <v>4.6265579669780523</v>
      </c>
      <c r="BO21" s="1">
        <f t="shared" si="26"/>
        <v>0</v>
      </c>
      <c r="BP21" s="1">
        <f t="shared" si="27"/>
        <v>341.06448651838031</v>
      </c>
      <c r="BQ21" s="1">
        <f t="shared" si="28"/>
        <v>4.6265579669780523</v>
      </c>
      <c r="BR21" s="1">
        <f t="shared" si="29"/>
        <v>0</v>
      </c>
      <c r="BS21" s="1">
        <f t="shared" si="30"/>
        <v>341.06448651838031</v>
      </c>
      <c r="BU21" s="9">
        <v>3.14</v>
      </c>
      <c r="BV21" s="10">
        <v>0.22181100240000001</v>
      </c>
      <c r="BW21" s="9">
        <v>0.18104824</v>
      </c>
      <c r="BX21" s="9">
        <v>1.5714286000000001E-2</v>
      </c>
      <c r="BZ21" s="10">
        <f t="shared" si="31"/>
        <v>4.1770824382695828</v>
      </c>
      <c r="CA21" s="10">
        <f t="shared" si="32"/>
        <v>0.44947552870846952</v>
      </c>
      <c r="CB21" s="10">
        <f t="shared" si="33"/>
        <v>4.6265579669780523</v>
      </c>
      <c r="CD21" s="10">
        <f t="shared" si="34"/>
        <v>3.14</v>
      </c>
      <c r="CE21" s="10">
        <f t="shared" si="35"/>
        <v>0</v>
      </c>
      <c r="CF21" s="10">
        <f t="shared" si="36"/>
        <v>1.4833828074917506</v>
      </c>
      <c r="CG21" s="10">
        <f t="shared" si="37"/>
        <v>0</v>
      </c>
      <c r="CH21" s="10">
        <f t="shared" si="38"/>
        <v>3.1751594863016004E-3</v>
      </c>
      <c r="CI21" s="10">
        <f t="shared" si="39"/>
        <v>4.6265579669780523</v>
      </c>
      <c r="CK21" s="1">
        <f t="shared" si="40"/>
        <v>0</v>
      </c>
    </row>
    <row r="22" spans="2:89" x14ac:dyDescent="0.2">
      <c r="B22" s="14" t="s">
        <v>104</v>
      </c>
      <c r="C22" s="13" t="s">
        <v>85</v>
      </c>
      <c r="D22" s="13">
        <v>0.9</v>
      </c>
      <c r="E22" s="13">
        <v>0</v>
      </c>
      <c r="F22" s="13">
        <v>0.15985314340000001</v>
      </c>
      <c r="G22" s="13">
        <v>9.3887366979999998E-3</v>
      </c>
      <c r="H22" s="13">
        <v>5.3101897240000001E-2</v>
      </c>
      <c r="I22" s="13">
        <v>0.13183228590000001</v>
      </c>
      <c r="J22" s="13">
        <v>0</v>
      </c>
      <c r="K22" s="13">
        <v>7.0893396999999997E-2</v>
      </c>
      <c r="L22" s="13">
        <v>7.8770439999999997E-3</v>
      </c>
      <c r="M22" s="11">
        <f t="shared" si="0"/>
        <v>7.0893397269908676E-2</v>
      </c>
      <c r="N22" s="11">
        <f t="shared" si="1"/>
        <v>7.8770441411009622E-3</v>
      </c>
      <c r="O22" s="13">
        <v>106900.97410000001</v>
      </c>
      <c r="P22" s="13">
        <v>58510.185810000003</v>
      </c>
      <c r="Q22" s="13">
        <v>1.807660423</v>
      </c>
      <c r="R22" s="11">
        <v>0.2020556</v>
      </c>
      <c r="T22" s="16">
        <v>73.71884</v>
      </c>
      <c r="U22" s="16">
        <v>-6.0973139999999999</v>
      </c>
      <c r="V22" s="16">
        <v>61.343403000000002</v>
      </c>
      <c r="W22" s="16">
        <v>33.004970999999998</v>
      </c>
      <c r="X22" s="16">
        <v>42.195610000000002</v>
      </c>
      <c r="Y22" s="22">
        <v>420</v>
      </c>
      <c r="Z22" s="11">
        <v>21.986353300000001</v>
      </c>
      <c r="AA22" s="17">
        <v>51.423575999999997</v>
      </c>
      <c r="AB22" s="17"/>
      <c r="AC22" s="16">
        <v>22.906690000000001</v>
      </c>
      <c r="AD22" s="16">
        <v>13.197062000000001</v>
      </c>
      <c r="AE22" s="16"/>
      <c r="AF22" s="17">
        <v>-129.528977</v>
      </c>
      <c r="AG22" s="17">
        <v>-129.528977</v>
      </c>
      <c r="AH22" s="17"/>
      <c r="AI22" s="17"/>
      <c r="AJ22" s="17"/>
      <c r="AK22" s="17"/>
      <c r="AL22" s="16">
        <v>14.953878</v>
      </c>
      <c r="AM22" s="16">
        <v>0</v>
      </c>
      <c r="AN22" s="16">
        <v>822.26752199999999</v>
      </c>
      <c r="AO22" s="16">
        <v>822.26752199999999</v>
      </c>
      <c r="AQ22" s="1" t="str">
        <f t="shared" si="2"/>
        <v>NCEN_TSC+CC90:H2</v>
      </c>
      <c r="AR22" s="1" t="str">
        <f t="shared" si="3"/>
        <v>Ethane</v>
      </c>
      <c r="AS22" s="12">
        <f t="shared" si="4"/>
        <v>863.70643637754813</v>
      </c>
      <c r="AT22" s="12">
        <f t="shared" si="5"/>
        <v>863.70643637754802</v>
      </c>
      <c r="AU22" s="5">
        <f t="shared" si="6"/>
        <v>0</v>
      </c>
      <c r="AV22" s="12">
        <f t="shared" si="7"/>
        <v>1095.4176630516931</v>
      </c>
      <c r="AW22" s="12">
        <f t="shared" si="8"/>
        <v>1095.4176630516931</v>
      </c>
      <c r="AX22" s="5">
        <f t="shared" si="9"/>
        <v>0</v>
      </c>
      <c r="AY22" s="5">
        <f t="shared" si="10"/>
        <v>0</v>
      </c>
      <c r="AZ22" s="1">
        <f t="shared" si="11"/>
        <v>-39.727240531730025</v>
      </c>
      <c r="BA22" s="1">
        <f t="shared" si="12"/>
        <v>4.0500413772543693</v>
      </c>
      <c r="BB22" s="1">
        <f t="shared" si="13"/>
        <v>414.04082420313915</v>
      </c>
      <c r="BC22" s="1">
        <f t="shared" si="14"/>
        <v>37.124924386406356</v>
      </c>
      <c r="BD22" s="1">
        <f t="shared" si="15"/>
        <v>0</v>
      </c>
      <c r="BE22" s="1">
        <f t="shared" si="16"/>
        <v>255.34361879781346</v>
      </c>
      <c r="BF22" s="1">
        <f t="shared" si="17"/>
        <v>139.75740358812948</v>
      </c>
      <c r="BG22" s="1">
        <f t="shared" si="18"/>
        <v>34.041352888580896</v>
      </c>
      <c r="BH22" s="1">
        <f t="shared" si="19"/>
        <v>1.4833828074917506</v>
      </c>
      <c r="BI22" s="1">
        <f t="shared" si="20"/>
        <v>-90.277748176280767</v>
      </c>
      <c r="BJ22" s="1">
        <f t="shared" si="21"/>
        <v>109.35325984423515</v>
      </c>
      <c r="BK22" s="1">
        <f t="shared" si="22"/>
        <v>0.14833828074917502</v>
      </c>
      <c r="BL22" s="1">
        <f t="shared" si="23"/>
        <v>8.1401856835308788</v>
      </c>
      <c r="BM22" s="1">
        <f t="shared" si="24"/>
        <v>10.935325984423514</v>
      </c>
      <c r="BN22" s="1">
        <f t="shared" si="25"/>
        <v>4.6265579669780514</v>
      </c>
      <c r="BO22" s="1">
        <f t="shared" si="26"/>
        <v>-90.277748176280767</v>
      </c>
      <c r="BP22" s="1">
        <f t="shared" si="27"/>
        <v>341.06448651838025</v>
      </c>
      <c r="BQ22" s="1">
        <f t="shared" si="28"/>
        <v>3.2915134402354767</v>
      </c>
      <c r="BR22" s="1">
        <f t="shared" si="29"/>
        <v>8.1401856835308788</v>
      </c>
      <c r="BS22" s="1">
        <f t="shared" si="30"/>
        <v>242.64655265856865</v>
      </c>
      <c r="BU22" s="9">
        <v>3.14</v>
      </c>
      <c r="BV22" s="10">
        <v>0.22181100240000001</v>
      </c>
      <c r="BW22" s="9">
        <v>0.18104824</v>
      </c>
      <c r="BX22" s="9">
        <v>1.5714286000000001E-2</v>
      </c>
      <c r="BZ22" s="10">
        <f t="shared" si="31"/>
        <v>4.1770824382695828</v>
      </c>
      <c r="CA22" s="10">
        <f t="shared" si="32"/>
        <v>0.44947552870846952</v>
      </c>
      <c r="CB22" s="10">
        <f t="shared" si="33"/>
        <v>4.6265579669780523</v>
      </c>
      <c r="CD22" s="10">
        <f t="shared" si="34"/>
        <v>3.14</v>
      </c>
      <c r="CE22" s="10">
        <f t="shared" si="35"/>
        <v>0</v>
      </c>
      <c r="CF22" s="10">
        <f t="shared" si="36"/>
        <v>0.14833828074917502</v>
      </c>
      <c r="CG22" s="10">
        <f t="shared" si="37"/>
        <v>1.3350445267425755</v>
      </c>
      <c r="CH22" s="10">
        <f t="shared" si="38"/>
        <v>3.1751594863016004E-3</v>
      </c>
      <c r="CI22" s="10">
        <f t="shared" si="39"/>
        <v>4.6265579669780514</v>
      </c>
      <c r="CK22" s="1">
        <f t="shared" si="40"/>
        <v>0</v>
      </c>
    </row>
    <row r="23" spans="2:89" x14ac:dyDescent="0.2">
      <c r="B23" s="14" t="s">
        <v>105</v>
      </c>
      <c r="C23" s="13" t="s">
        <v>85</v>
      </c>
      <c r="D23" s="13">
        <v>0</v>
      </c>
      <c r="E23" s="13">
        <v>2.226644157E-2</v>
      </c>
      <c r="F23" s="13">
        <v>0</v>
      </c>
      <c r="G23" s="13">
        <v>0</v>
      </c>
      <c r="H23" s="13">
        <v>5.3101897240000001E-2</v>
      </c>
      <c r="I23" s="13">
        <v>0</v>
      </c>
      <c r="J23" s="13">
        <v>0</v>
      </c>
      <c r="K23" s="13">
        <v>0</v>
      </c>
      <c r="L23" s="13">
        <v>5.4902437999999998E-2</v>
      </c>
      <c r="M23" s="11">
        <f t="shared" si="0"/>
        <v>0</v>
      </c>
      <c r="N23" s="11">
        <f t="shared" si="1"/>
        <v>5.4902438073637823E-2</v>
      </c>
      <c r="O23" s="13">
        <v>99124.320160000003</v>
      </c>
      <c r="P23" s="13">
        <v>54251.997770000002</v>
      </c>
      <c r="Q23" s="13">
        <v>1.6761597559999999</v>
      </c>
      <c r="R23" s="11">
        <v>0.2020556</v>
      </c>
      <c r="T23" s="16">
        <v>73.71884</v>
      </c>
      <c r="U23" s="16">
        <v>-6.0973139999999999</v>
      </c>
      <c r="V23" s="16">
        <v>61.343403000000002</v>
      </c>
      <c r="W23" s="16">
        <v>33.004970999999998</v>
      </c>
      <c r="X23" s="16">
        <v>42.195610000000002</v>
      </c>
      <c r="Y23" s="22">
        <v>420</v>
      </c>
      <c r="Z23" s="11">
        <v>21.986353300000001</v>
      </c>
      <c r="AA23" s="17">
        <v>51.423575999999997</v>
      </c>
      <c r="AB23" s="17"/>
      <c r="AC23" s="16">
        <v>22.906690000000001</v>
      </c>
      <c r="AD23" s="16">
        <v>13.197062000000001</v>
      </c>
      <c r="AE23" s="16"/>
      <c r="AF23" s="17">
        <v>-129.528977</v>
      </c>
      <c r="AG23" s="17">
        <v>-129.528977</v>
      </c>
      <c r="AH23" s="17"/>
      <c r="AI23" s="17"/>
      <c r="AJ23" s="17"/>
      <c r="AK23" s="17"/>
      <c r="AL23" s="16">
        <v>14.953878</v>
      </c>
      <c r="AM23" s="16">
        <v>0</v>
      </c>
      <c r="AN23" s="16">
        <v>822.26752199999999</v>
      </c>
      <c r="AO23" s="16">
        <v>822.26752199999999</v>
      </c>
      <c r="AQ23" s="1" t="str">
        <f t="shared" si="2"/>
        <v>NCEN_TSC+H2in</v>
      </c>
      <c r="AR23" s="1" t="str">
        <f t="shared" si="3"/>
        <v>Ethane</v>
      </c>
      <c r="AS23" s="12">
        <f t="shared" si="4"/>
        <v>893.71257389490688</v>
      </c>
      <c r="AT23" s="12">
        <f t="shared" si="5"/>
        <v>893.71257389490688</v>
      </c>
      <c r="AU23" s="5">
        <f t="shared" si="6"/>
        <v>0</v>
      </c>
      <c r="AV23" s="12">
        <f t="shared" si="7"/>
        <v>1125.423800569052</v>
      </c>
      <c r="AW23" s="12">
        <f t="shared" si="8"/>
        <v>1125.423800569052</v>
      </c>
      <c r="AX23" s="5">
        <f t="shared" si="9"/>
        <v>0</v>
      </c>
      <c r="AY23" s="5">
        <f t="shared" si="10"/>
        <v>5.5337309058953572</v>
      </c>
      <c r="AZ23" s="1">
        <f t="shared" si="11"/>
        <v>0</v>
      </c>
      <c r="BA23" s="1">
        <f t="shared" si="12"/>
        <v>0</v>
      </c>
      <c r="BB23" s="1">
        <f t="shared" si="13"/>
        <v>414.04082420313915</v>
      </c>
      <c r="BC23" s="1">
        <f t="shared" si="14"/>
        <v>0</v>
      </c>
      <c r="BD23" s="1">
        <f t="shared" si="15"/>
        <v>0</v>
      </c>
      <c r="BE23" s="1">
        <f t="shared" si="16"/>
        <v>236.76830668400294</v>
      </c>
      <c r="BF23" s="1">
        <f t="shared" si="17"/>
        <v>129.58629754527846</v>
      </c>
      <c r="BG23" s="1">
        <f t="shared" si="18"/>
        <v>31.564969297130897</v>
      </c>
      <c r="BH23" s="1">
        <f t="shared" si="19"/>
        <v>1.033907278783281</v>
      </c>
      <c r="BI23" s="1">
        <f t="shared" si="20"/>
        <v>0</v>
      </c>
      <c r="BJ23" s="1">
        <f t="shared" si="21"/>
        <v>76.218445259460083</v>
      </c>
      <c r="BK23" s="1">
        <f t="shared" si="22"/>
        <v>1.033907278783281</v>
      </c>
      <c r="BL23" s="1">
        <f t="shared" si="23"/>
        <v>0</v>
      </c>
      <c r="BM23" s="1">
        <f t="shared" si="24"/>
        <v>76.218445259460083</v>
      </c>
      <c r="BN23" s="1">
        <f t="shared" si="25"/>
        <v>4.1770824382695819</v>
      </c>
      <c r="BO23" s="1">
        <f t="shared" si="26"/>
        <v>0</v>
      </c>
      <c r="BP23" s="1">
        <f t="shared" si="27"/>
        <v>307.92967193360516</v>
      </c>
      <c r="BQ23" s="1">
        <f t="shared" si="28"/>
        <v>4.1770824382695819</v>
      </c>
      <c r="BR23" s="1">
        <f t="shared" si="29"/>
        <v>0</v>
      </c>
      <c r="BS23" s="1">
        <f t="shared" si="30"/>
        <v>307.92967193360516</v>
      </c>
      <c r="BU23" s="9">
        <v>3.14</v>
      </c>
      <c r="BV23" s="10">
        <v>0.22181100240000001</v>
      </c>
      <c r="BW23" s="9">
        <v>0.18104824</v>
      </c>
      <c r="BX23" s="9">
        <v>1.5714286000000001E-2</v>
      </c>
      <c r="BZ23" s="10">
        <f t="shared" si="31"/>
        <v>4.1770824382695828</v>
      </c>
      <c r="CA23" s="10">
        <f t="shared" si="32"/>
        <v>0</v>
      </c>
      <c r="CB23" s="10">
        <f t="shared" si="33"/>
        <v>4.1770824382695828</v>
      </c>
      <c r="CD23" s="10">
        <f t="shared" si="34"/>
        <v>3.14</v>
      </c>
      <c r="CE23" s="10">
        <f t="shared" si="35"/>
        <v>0</v>
      </c>
      <c r="CF23" s="10">
        <f t="shared" si="36"/>
        <v>1.033907278783281</v>
      </c>
      <c r="CG23" s="10">
        <f t="shared" si="37"/>
        <v>0</v>
      </c>
      <c r="CH23" s="10">
        <f t="shared" si="38"/>
        <v>3.1751594863016004E-3</v>
      </c>
      <c r="CI23" s="10">
        <f t="shared" si="39"/>
        <v>4.1770824382695819</v>
      </c>
      <c r="CK23" s="1">
        <f t="shared" si="40"/>
        <v>0</v>
      </c>
    </row>
    <row r="24" spans="2:89" x14ac:dyDescent="0.2">
      <c r="B24" s="14" t="s">
        <v>106</v>
      </c>
      <c r="C24" s="13" t="s">
        <v>85</v>
      </c>
      <c r="D24" s="13">
        <v>0</v>
      </c>
      <c r="E24" s="13">
        <v>0.1375867019</v>
      </c>
      <c r="F24" s="13">
        <v>0</v>
      </c>
      <c r="G24" s="13">
        <v>0</v>
      </c>
      <c r="H24" s="13">
        <v>5.3101897240000001E-2</v>
      </c>
      <c r="I24" s="13">
        <v>0</v>
      </c>
      <c r="J24" s="13">
        <v>0.11814249659999999</v>
      </c>
      <c r="K24" s="13">
        <v>0</v>
      </c>
      <c r="L24" s="13">
        <v>3.3512947000000001E-2</v>
      </c>
      <c r="M24" s="11">
        <f t="shared" si="0"/>
        <v>0</v>
      </c>
      <c r="N24" s="11">
        <f t="shared" si="1"/>
        <v>3.351294699500184E-2</v>
      </c>
      <c r="O24" s="13">
        <v>99124.320160000003</v>
      </c>
      <c r="P24" s="13">
        <v>54251.997770000002</v>
      </c>
      <c r="Q24" s="13">
        <v>1.6761597559999999</v>
      </c>
      <c r="R24" s="11">
        <v>0.2020556</v>
      </c>
      <c r="T24" s="16">
        <v>73.71884</v>
      </c>
      <c r="U24" s="16">
        <v>-6.0973139999999999</v>
      </c>
      <c r="V24" s="16">
        <v>61.343403000000002</v>
      </c>
      <c r="W24" s="16">
        <v>33.004970999999998</v>
      </c>
      <c r="X24" s="16">
        <v>42.195610000000002</v>
      </c>
      <c r="Y24" s="22">
        <v>420</v>
      </c>
      <c r="Z24" s="11">
        <v>21.986353300000001</v>
      </c>
      <c r="AA24" s="17">
        <v>51.423575999999997</v>
      </c>
      <c r="AB24" s="17"/>
      <c r="AC24" s="16">
        <v>22.906690000000001</v>
      </c>
      <c r="AD24" s="16">
        <v>13.197062000000001</v>
      </c>
      <c r="AE24" s="16"/>
      <c r="AF24" s="17">
        <v>-129.528977</v>
      </c>
      <c r="AG24" s="17">
        <v>-129.528977</v>
      </c>
      <c r="AH24" s="17"/>
      <c r="AI24" s="17"/>
      <c r="AJ24" s="17"/>
      <c r="AK24" s="17"/>
      <c r="AL24" s="16">
        <v>14.953878</v>
      </c>
      <c r="AM24" s="16">
        <v>0</v>
      </c>
      <c r="AN24" s="16">
        <v>822.26752199999999</v>
      </c>
      <c r="AO24" s="16">
        <v>822.26752199999999</v>
      </c>
      <c r="AQ24" s="1" t="str">
        <f t="shared" si="2"/>
        <v>NCEN_TSC+H2in:CH4</v>
      </c>
      <c r="AR24" s="1" t="str">
        <f t="shared" si="3"/>
        <v>Ethane</v>
      </c>
      <c r="AS24" s="12">
        <f t="shared" si="4"/>
        <v>889.10257184103943</v>
      </c>
      <c r="AT24" s="12">
        <f t="shared" si="5"/>
        <v>889.10257184103943</v>
      </c>
      <c r="AU24" s="5">
        <f t="shared" si="6"/>
        <v>0</v>
      </c>
      <c r="AV24" s="12">
        <f t="shared" si="7"/>
        <v>1120.8137985151845</v>
      </c>
      <c r="AW24" s="12">
        <f t="shared" si="8"/>
        <v>1120.8137985151845</v>
      </c>
      <c r="AX24" s="5">
        <f t="shared" si="9"/>
        <v>0</v>
      </c>
      <c r="AY24" s="5">
        <f t="shared" si="10"/>
        <v>34.193509643231309</v>
      </c>
      <c r="AZ24" s="1">
        <f t="shared" si="11"/>
        <v>0</v>
      </c>
      <c r="BA24" s="1">
        <f t="shared" si="12"/>
        <v>0</v>
      </c>
      <c r="BB24" s="1">
        <f t="shared" si="13"/>
        <v>414.04082420313915</v>
      </c>
      <c r="BC24" s="1">
        <f t="shared" si="14"/>
        <v>0</v>
      </c>
      <c r="BD24" s="1">
        <f t="shared" si="15"/>
        <v>-33.269780791203509</v>
      </c>
      <c r="BE24" s="1">
        <f t="shared" si="16"/>
        <v>236.76830668400294</v>
      </c>
      <c r="BF24" s="1">
        <f t="shared" si="17"/>
        <v>129.58629754527846</v>
      </c>
      <c r="BG24" s="1">
        <f t="shared" si="18"/>
        <v>31.564969297130897</v>
      </c>
      <c r="BH24" s="1">
        <f t="shared" si="19"/>
        <v>1.033907278783281</v>
      </c>
      <c r="BI24" s="1">
        <f t="shared" si="20"/>
        <v>0</v>
      </c>
      <c r="BJ24" s="1">
        <f t="shared" si="21"/>
        <v>76.218445259460083</v>
      </c>
      <c r="BK24" s="1">
        <f t="shared" si="22"/>
        <v>1.033907278783281</v>
      </c>
      <c r="BL24" s="1">
        <f t="shared" si="23"/>
        <v>0</v>
      </c>
      <c r="BM24" s="1">
        <f t="shared" si="24"/>
        <v>76.218445259460083</v>
      </c>
      <c r="BN24" s="1">
        <f t="shared" si="25"/>
        <v>4.1770824382695819</v>
      </c>
      <c r="BO24" s="1">
        <f t="shared" si="26"/>
        <v>0</v>
      </c>
      <c r="BP24" s="1">
        <f t="shared" si="27"/>
        <v>307.92967193360516</v>
      </c>
      <c r="BQ24" s="1">
        <f t="shared" si="28"/>
        <v>4.1770824382695819</v>
      </c>
      <c r="BR24" s="1">
        <f t="shared" si="29"/>
        <v>0</v>
      </c>
      <c r="BS24" s="1">
        <f t="shared" si="30"/>
        <v>307.92967193360516</v>
      </c>
      <c r="BU24" s="9">
        <v>3.14</v>
      </c>
      <c r="BV24" s="10">
        <v>0.22181100240000001</v>
      </c>
      <c r="BW24" s="9">
        <v>0.18104824</v>
      </c>
      <c r="BX24" s="9">
        <v>1.5714286000000001E-2</v>
      </c>
      <c r="BZ24" s="10">
        <f t="shared" si="31"/>
        <v>4.1770824382695828</v>
      </c>
      <c r="CA24" s="10">
        <f t="shared" si="32"/>
        <v>0</v>
      </c>
      <c r="CB24" s="10">
        <f t="shared" si="33"/>
        <v>4.1770824382695828</v>
      </c>
      <c r="CD24" s="10">
        <f t="shared" si="34"/>
        <v>3.14</v>
      </c>
      <c r="CE24" s="10">
        <f t="shared" si="35"/>
        <v>0.40280088264951763</v>
      </c>
      <c r="CF24" s="10">
        <f t="shared" si="36"/>
        <v>0.6311063961337634</v>
      </c>
      <c r="CG24" s="10">
        <f t="shared" si="37"/>
        <v>0</v>
      </c>
      <c r="CH24" s="10">
        <f t="shared" si="38"/>
        <v>3.1751594863016004E-3</v>
      </c>
      <c r="CI24" s="10">
        <f t="shared" si="39"/>
        <v>4.1770824382695819</v>
      </c>
      <c r="CK24" s="1">
        <f t="shared" si="40"/>
        <v>0</v>
      </c>
    </row>
    <row r="25" spans="2:89" x14ac:dyDescent="0.2">
      <c r="B25" s="14" t="s">
        <v>107</v>
      </c>
      <c r="C25" s="13" t="s">
        <v>85</v>
      </c>
      <c r="D25" s="13">
        <v>0.9</v>
      </c>
      <c r="E25" s="13">
        <v>0</v>
      </c>
      <c r="F25" s="13">
        <v>0</v>
      </c>
      <c r="G25" s="13">
        <v>8.0529664380000008E-3</v>
      </c>
      <c r="H25" s="13">
        <v>5.3101897240000001E-2</v>
      </c>
      <c r="I25" s="13">
        <v>2.270169876E-2</v>
      </c>
      <c r="J25" s="13">
        <v>0</v>
      </c>
      <c r="K25" s="13">
        <v>5.3111287E-2</v>
      </c>
      <c r="L25" s="13">
        <v>5.9012539999999999E-3</v>
      </c>
      <c r="M25" s="11">
        <f t="shared" si="0"/>
        <v>5.3111286611231406E-2</v>
      </c>
      <c r="N25" s="11">
        <f t="shared" si="1"/>
        <v>5.9012540679145992E-3</v>
      </c>
      <c r="O25" s="13">
        <v>106875.1697</v>
      </c>
      <c r="P25" s="13">
        <v>58496.387280000003</v>
      </c>
      <c r="Q25" s="13">
        <v>1.8072240850000001</v>
      </c>
      <c r="R25" s="11">
        <v>0.2020556</v>
      </c>
      <c r="T25" s="16">
        <v>73.71884</v>
      </c>
      <c r="U25" s="16">
        <v>-6.1992539999999998</v>
      </c>
      <c r="V25" s="16">
        <v>65.59151</v>
      </c>
      <c r="W25" s="16">
        <v>31.821489</v>
      </c>
      <c r="X25" s="16">
        <v>37.986238999999998</v>
      </c>
      <c r="Y25" s="22">
        <v>420</v>
      </c>
      <c r="Z25" s="11">
        <v>21.986353300000001</v>
      </c>
      <c r="AA25" s="17">
        <v>51.417555</v>
      </c>
      <c r="AB25" s="17"/>
      <c r="AC25" s="16">
        <v>22.465142</v>
      </c>
      <c r="AD25" s="16">
        <v>13.285634</v>
      </c>
      <c r="AE25" s="16"/>
      <c r="AF25" s="17">
        <v>-129.68144799999999</v>
      </c>
      <c r="AG25" s="17">
        <v>-129.68144799999999</v>
      </c>
      <c r="AH25" s="17"/>
      <c r="AI25" s="17"/>
      <c r="AJ25" s="17"/>
      <c r="AK25" s="17"/>
      <c r="AL25" s="16">
        <v>15.046749</v>
      </c>
      <c r="AM25" s="16">
        <v>0</v>
      </c>
      <c r="AN25" s="16">
        <v>822.26752199999999</v>
      </c>
      <c r="AO25" s="16">
        <v>822.26752199999999</v>
      </c>
      <c r="AQ25" s="1" t="str">
        <f t="shared" si="2"/>
        <v>CEN_TSC+CC90</v>
      </c>
      <c r="AR25" s="1" t="str">
        <f t="shared" si="3"/>
        <v>Ethane</v>
      </c>
      <c r="AS25" s="12">
        <f t="shared" si="4"/>
        <v>867.3126992502971</v>
      </c>
      <c r="AT25" s="12">
        <f t="shared" si="5"/>
        <v>867.3126992502971</v>
      </c>
      <c r="AU25" s="5">
        <f t="shared" si="6"/>
        <v>0</v>
      </c>
      <c r="AV25" s="12">
        <f t="shared" si="7"/>
        <v>1099.0239259244422</v>
      </c>
      <c r="AW25" s="12">
        <f t="shared" si="8"/>
        <v>1099.0239259244422</v>
      </c>
      <c r="AX25" s="5">
        <f t="shared" si="9"/>
        <v>0</v>
      </c>
      <c r="AY25" s="5">
        <f t="shared" si="10"/>
        <v>0</v>
      </c>
      <c r="AZ25" s="1">
        <f t="shared" si="11"/>
        <v>0</v>
      </c>
      <c r="BA25" s="1">
        <f t="shared" si="12"/>
        <v>3.406865742164662</v>
      </c>
      <c r="BB25" s="1">
        <f t="shared" si="13"/>
        <v>414.04082420313915</v>
      </c>
      <c r="BC25" s="1">
        <f t="shared" si="14"/>
        <v>6.4326658908530412</v>
      </c>
      <c r="BD25" s="1">
        <f t="shared" si="15"/>
        <v>0</v>
      </c>
      <c r="BE25" s="1">
        <f t="shared" si="16"/>
        <v>255.2819824195449</v>
      </c>
      <c r="BF25" s="1">
        <f t="shared" si="17"/>
        <v>139.72444442555911</v>
      </c>
      <c r="BG25" s="1">
        <f t="shared" si="18"/>
        <v>34.033135894034963</v>
      </c>
      <c r="BH25" s="1">
        <f t="shared" si="19"/>
        <v>1.1113075755548278</v>
      </c>
      <c r="BI25" s="1">
        <f t="shared" si="20"/>
        <v>-67.531524678113144</v>
      </c>
      <c r="BJ25" s="1">
        <f t="shared" si="21"/>
        <v>81.924305353114264</v>
      </c>
      <c r="BK25" s="1">
        <f t="shared" si="22"/>
        <v>0.11113075755548275</v>
      </c>
      <c r="BL25" s="1">
        <f t="shared" si="23"/>
        <v>6.2003501396897116</v>
      </c>
      <c r="BM25" s="1">
        <f t="shared" si="24"/>
        <v>8.1924305353114235</v>
      </c>
      <c r="BN25" s="1">
        <f t="shared" si="25"/>
        <v>4.2544827350411296</v>
      </c>
      <c r="BO25" s="1">
        <f t="shared" si="26"/>
        <v>-67.531524678113144</v>
      </c>
      <c r="BP25" s="1">
        <f t="shared" si="27"/>
        <v>313.63553202725944</v>
      </c>
      <c r="BQ25" s="1">
        <f t="shared" si="28"/>
        <v>3.2543059170417847</v>
      </c>
      <c r="BR25" s="1">
        <f t="shared" si="29"/>
        <v>6.2003501396897116</v>
      </c>
      <c r="BS25" s="1">
        <f t="shared" si="30"/>
        <v>239.90365720945661</v>
      </c>
      <c r="BU25" s="9">
        <v>3.14</v>
      </c>
      <c r="BV25" s="10">
        <v>0.22181100240000001</v>
      </c>
      <c r="BW25" s="9">
        <v>0.18104824</v>
      </c>
      <c r="BX25" s="9">
        <v>1.5714286000000001E-2</v>
      </c>
      <c r="BZ25" s="10">
        <f t="shared" si="31"/>
        <v>4.1770824382695828</v>
      </c>
      <c r="CA25" s="10">
        <f t="shared" si="32"/>
        <v>7.7400296771546806E-2</v>
      </c>
      <c r="CB25" s="10">
        <f t="shared" si="33"/>
        <v>4.2544827350411296</v>
      </c>
      <c r="CD25" s="10">
        <f t="shared" si="34"/>
        <v>3.14</v>
      </c>
      <c r="CE25" s="10">
        <f t="shared" si="35"/>
        <v>0</v>
      </c>
      <c r="CF25" s="10">
        <f t="shared" si="36"/>
        <v>0.11113075755548275</v>
      </c>
      <c r="CG25" s="10">
        <f t="shared" si="37"/>
        <v>1.0001768179993451</v>
      </c>
      <c r="CH25" s="10">
        <f t="shared" si="38"/>
        <v>3.1751594863016004E-3</v>
      </c>
      <c r="CI25" s="10">
        <f t="shared" si="39"/>
        <v>4.2544827350411296</v>
      </c>
      <c r="CK25" s="1">
        <f t="shared" si="40"/>
        <v>0</v>
      </c>
    </row>
    <row r="26" spans="2:89" x14ac:dyDescent="0.2">
      <c r="B26" s="14" t="s">
        <v>108</v>
      </c>
      <c r="C26" s="13" t="s">
        <v>85</v>
      </c>
      <c r="D26" s="13">
        <v>0</v>
      </c>
      <c r="E26" s="13">
        <v>0</v>
      </c>
      <c r="F26" s="13">
        <v>0.15985314340000001</v>
      </c>
      <c r="G26" s="13">
        <v>0</v>
      </c>
      <c r="H26" s="13">
        <v>5.3101897240000001E-2</v>
      </c>
      <c r="I26" s="13">
        <v>0.13183228590000001</v>
      </c>
      <c r="J26" s="13">
        <v>0</v>
      </c>
      <c r="K26" s="13">
        <v>0</v>
      </c>
      <c r="L26" s="13">
        <v>7.8770440999999997E-2</v>
      </c>
      <c r="M26" s="11">
        <f t="shared" si="0"/>
        <v>0</v>
      </c>
      <c r="N26" s="11">
        <f t="shared" si="1"/>
        <v>7.877044141100964E-2</v>
      </c>
      <c r="O26" s="13">
        <v>99124.320160000003</v>
      </c>
      <c r="P26" s="13">
        <v>54251.997770000002</v>
      </c>
      <c r="Q26" s="13">
        <v>1.6761597559999999</v>
      </c>
      <c r="R26" s="11">
        <v>0.2020556</v>
      </c>
      <c r="T26" s="16">
        <v>73.71884</v>
      </c>
      <c r="U26" s="16">
        <v>-6.1992539999999998</v>
      </c>
      <c r="V26" s="16">
        <v>65.59151</v>
      </c>
      <c r="W26" s="16">
        <v>31.821489</v>
      </c>
      <c r="X26" s="16">
        <v>37.986238999999998</v>
      </c>
      <c r="Y26" s="22">
        <v>420</v>
      </c>
      <c r="Z26" s="11">
        <v>21.986353300000001</v>
      </c>
      <c r="AA26" s="17">
        <v>51.417555</v>
      </c>
      <c r="AB26" s="17"/>
      <c r="AC26" s="16">
        <v>22.465142</v>
      </c>
      <c r="AD26" s="16">
        <v>13.285634</v>
      </c>
      <c r="AE26" s="16"/>
      <c r="AF26" s="17">
        <v>-129.68144799999999</v>
      </c>
      <c r="AG26" s="17">
        <v>-129.68144799999999</v>
      </c>
      <c r="AH26" s="17"/>
      <c r="AI26" s="17"/>
      <c r="AJ26" s="17"/>
      <c r="AK26" s="17"/>
      <c r="AL26" s="16">
        <v>15.046749</v>
      </c>
      <c r="AM26" s="16">
        <v>0</v>
      </c>
      <c r="AN26" s="16">
        <v>822.26752199999999</v>
      </c>
      <c r="AO26" s="16">
        <v>822.26752199999999</v>
      </c>
      <c r="AQ26" s="1" t="str">
        <f t="shared" si="2"/>
        <v>CEN_TSC:H2</v>
      </c>
      <c r="AR26" s="1" t="str">
        <f t="shared" si="3"/>
        <v>Ethane</v>
      </c>
      <c r="AS26" s="12">
        <f t="shared" si="4"/>
        <v>918.67527649494923</v>
      </c>
      <c r="AT26" s="12">
        <f t="shared" si="5"/>
        <v>918.67527649494923</v>
      </c>
      <c r="AU26" s="5">
        <f t="shared" si="6"/>
        <v>0</v>
      </c>
      <c r="AV26" s="12">
        <f t="shared" si="7"/>
        <v>1150.3865031690943</v>
      </c>
      <c r="AW26" s="12">
        <f t="shared" si="8"/>
        <v>1150.3865031690943</v>
      </c>
      <c r="AX26" s="5">
        <f t="shared" si="9"/>
        <v>0</v>
      </c>
      <c r="AY26" s="5">
        <f t="shared" si="10"/>
        <v>0</v>
      </c>
      <c r="AZ26" s="1">
        <f t="shared" si="11"/>
        <v>-39.993869660878346</v>
      </c>
      <c r="BA26" s="1">
        <f t="shared" si="12"/>
        <v>0</v>
      </c>
      <c r="BB26" s="1">
        <f t="shared" si="13"/>
        <v>414.04082420313915</v>
      </c>
      <c r="BC26" s="1">
        <f t="shared" si="14"/>
        <v>37.35548858204109</v>
      </c>
      <c r="BD26" s="1">
        <f t="shared" si="15"/>
        <v>0</v>
      </c>
      <c r="BE26" s="1">
        <f t="shared" si="16"/>
        <v>236.76830668400294</v>
      </c>
      <c r="BF26" s="1">
        <f t="shared" si="17"/>
        <v>129.58629754527846</v>
      </c>
      <c r="BG26" s="1">
        <f t="shared" si="18"/>
        <v>31.564969297130897</v>
      </c>
      <c r="BH26" s="1">
        <f t="shared" si="19"/>
        <v>1.4833828074917506</v>
      </c>
      <c r="BI26" s="1">
        <f t="shared" si="20"/>
        <v>0</v>
      </c>
      <c r="BJ26" s="1">
        <f t="shared" si="21"/>
        <v>109.35325984423515</v>
      </c>
      <c r="BK26" s="1">
        <f t="shared" si="22"/>
        <v>1.4833828074917506</v>
      </c>
      <c r="BL26" s="1">
        <f t="shared" si="23"/>
        <v>0</v>
      </c>
      <c r="BM26" s="1">
        <f t="shared" si="24"/>
        <v>109.35325984423515</v>
      </c>
      <c r="BN26" s="1">
        <f t="shared" si="25"/>
        <v>4.6265579669780523</v>
      </c>
      <c r="BO26" s="1">
        <f t="shared" si="26"/>
        <v>0</v>
      </c>
      <c r="BP26" s="1">
        <f t="shared" si="27"/>
        <v>341.06448651838031</v>
      </c>
      <c r="BQ26" s="1">
        <f t="shared" si="28"/>
        <v>4.6265579669780523</v>
      </c>
      <c r="BR26" s="1">
        <f t="shared" si="29"/>
        <v>0</v>
      </c>
      <c r="BS26" s="1">
        <f t="shared" si="30"/>
        <v>341.06448651838031</v>
      </c>
      <c r="BU26" s="9">
        <v>3.14</v>
      </c>
      <c r="BV26" s="10">
        <v>0.22181100240000001</v>
      </c>
      <c r="BW26" s="9">
        <v>0.18104824</v>
      </c>
      <c r="BX26" s="9">
        <v>1.5714286000000001E-2</v>
      </c>
      <c r="BZ26" s="10">
        <f t="shared" si="31"/>
        <v>4.1770824382695828</v>
      </c>
      <c r="CA26" s="10">
        <f t="shared" si="32"/>
        <v>0.44947552870846952</v>
      </c>
      <c r="CB26" s="10">
        <f t="shared" si="33"/>
        <v>4.6265579669780523</v>
      </c>
      <c r="CD26" s="10">
        <f t="shared" si="34"/>
        <v>3.14</v>
      </c>
      <c r="CE26" s="10">
        <f t="shared" si="35"/>
        <v>0</v>
      </c>
      <c r="CF26" s="10">
        <f t="shared" si="36"/>
        <v>1.4833828074917506</v>
      </c>
      <c r="CG26" s="10">
        <f t="shared" si="37"/>
        <v>0</v>
      </c>
      <c r="CH26" s="10">
        <f t="shared" si="38"/>
        <v>3.1751594863016004E-3</v>
      </c>
      <c r="CI26" s="10">
        <f t="shared" si="39"/>
        <v>4.6265579669780523</v>
      </c>
      <c r="CK26" s="1">
        <f t="shared" si="40"/>
        <v>0</v>
      </c>
    </row>
    <row r="27" spans="2:89" x14ac:dyDescent="0.2">
      <c r="B27" s="14" t="s">
        <v>109</v>
      </c>
      <c r="C27" s="13" t="s">
        <v>85</v>
      </c>
      <c r="D27" s="13">
        <v>0.9</v>
      </c>
      <c r="E27" s="13">
        <v>0</v>
      </c>
      <c r="F27" s="13">
        <v>0.15985314340000001</v>
      </c>
      <c r="G27" s="13">
        <v>9.3887366979999998E-3</v>
      </c>
      <c r="H27" s="13">
        <v>5.3101897240000001E-2</v>
      </c>
      <c r="I27" s="13">
        <v>0.13183228590000001</v>
      </c>
      <c r="J27" s="13">
        <v>0</v>
      </c>
      <c r="K27" s="13">
        <v>7.0893396999999997E-2</v>
      </c>
      <c r="L27" s="13">
        <v>7.8770439999999997E-3</v>
      </c>
      <c r="M27" s="11">
        <f t="shared" si="0"/>
        <v>7.0893397269908676E-2</v>
      </c>
      <c r="N27" s="11">
        <f t="shared" si="1"/>
        <v>7.8770441411009622E-3</v>
      </c>
      <c r="O27" s="13">
        <v>106900.97410000001</v>
      </c>
      <c r="P27" s="13">
        <v>58510.185810000003</v>
      </c>
      <c r="Q27" s="13">
        <v>1.807660423</v>
      </c>
      <c r="R27" s="11">
        <v>0.2020556</v>
      </c>
      <c r="T27" s="16">
        <v>73.71884</v>
      </c>
      <c r="U27" s="16">
        <v>-6.1992539999999998</v>
      </c>
      <c r="V27" s="16">
        <v>65.59151</v>
      </c>
      <c r="W27" s="16">
        <v>31.821489</v>
      </c>
      <c r="X27" s="16">
        <v>37.986238999999998</v>
      </c>
      <c r="Y27" s="22">
        <v>420</v>
      </c>
      <c r="Z27" s="11">
        <v>21.986353300000001</v>
      </c>
      <c r="AA27" s="17">
        <v>51.417555</v>
      </c>
      <c r="AB27" s="17"/>
      <c r="AC27" s="16">
        <v>22.465142</v>
      </c>
      <c r="AD27" s="16">
        <v>13.285634</v>
      </c>
      <c r="AE27" s="16"/>
      <c r="AF27" s="17">
        <v>-129.68144799999999</v>
      </c>
      <c r="AG27" s="17">
        <v>-129.68144799999999</v>
      </c>
      <c r="AH27" s="17"/>
      <c r="AI27" s="17"/>
      <c r="AJ27" s="17"/>
      <c r="AK27" s="17"/>
      <c r="AL27" s="16">
        <v>15.046749</v>
      </c>
      <c r="AM27" s="16">
        <v>0</v>
      </c>
      <c r="AN27" s="16">
        <v>822.26752199999999</v>
      </c>
      <c r="AO27" s="16">
        <v>822.26752199999999</v>
      </c>
      <c r="AQ27" s="1" t="str">
        <f t="shared" si="2"/>
        <v>CEN_TSC+CC90:H2</v>
      </c>
      <c r="AR27" s="1" t="str">
        <f t="shared" si="3"/>
        <v>Ethane</v>
      </c>
      <c r="AS27" s="12">
        <f t="shared" si="4"/>
        <v>863.72839752532946</v>
      </c>
      <c r="AT27" s="12">
        <f t="shared" si="5"/>
        <v>863.72839752532946</v>
      </c>
      <c r="AU27" s="5">
        <f t="shared" si="6"/>
        <v>0</v>
      </c>
      <c r="AV27" s="12">
        <f t="shared" si="7"/>
        <v>1095.4396241994746</v>
      </c>
      <c r="AW27" s="12">
        <f t="shared" si="8"/>
        <v>1095.4396241994746</v>
      </c>
      <c r="AX27" s="5">
        <f t="shared" si="9"/>
        <v>0</v>
      </c>
      <c r="AY27" s="5">
        <f t="shared" si="10"/>
        <v>0</v>
      </c>
      <c r="AZ27" s="1">
        <f t="shared" si="11"/>
        <v>-39.993869660878346</v>
      </c>
      <c r="BA27" s="1">
        <f t="shared" si="12"/>
        <v>3.971973019493213</v>
      </c>
      <c r="BB27" s="1">
        <f t="shared" si="13"/>
        <v>414.04082420313915</v>
      </c>
      <c r="BC27" s="1">
        <f t="shared" si="14"/>
        <v>37.35548858204109</v>
      </c>
      <c r="BD27" s="1">
        <f t="shared" si="15"/>
        <v>0</v>
      </c>
      <c r="BE27" s="1">
        <f t="shared" si="16"/>
        <v>255.34361879781346</v>
      </c>
      <c r="BF27" s="1">
        <f t="shared" si="17"/>
        <v>139.75740358812948</v>
      </c>
      <c r="BG27" s="1">
        <f t="shared" si="18"/>
        <v>34.041352888580896</v>
      </c>
      <c r="BH27" s="1">
        <f t="shared" si="19"/>
        <v>1.4833828074917506</v>
      </c>
      <c r="BI27" s="1">
        <f t="shared" si="20"/>
        <v>-90.14165373722463</v>
      </c>
      <c r="BJ27" s="1">
        <f t="shared" si="21"/>
        <v>109.35325984423515</v>
      </c>
      <c r="BK27" s="1">
        <f t="shared" si="22"/>
        <v>0.14833828074917502</v>
      </c>
      <c r="BL27" s="1">
        <f t="shared" si="23"/>
        <v>8.2762801225870177</v>
      </c>
      <c r="BM27" s="1">
        <f t="shared" si="24"/>
        <v>10.935325984423514</v>
      </c>
      <c r="BN27" s="1">
        <f t="shared" si="25"/>
        <v>4.6265579669780514</v>
      </c>
      <c r="BO27" s="1">
        <f t="shared" si="26"/>
        <v>-90.14165373722463</v>
      </c>
      <c r="BP27" s="1">
        <f t="shared" si="27"/>
        <v>341.06448651838025</v>
      </c>
      <c r="BQ27" s="1">
        <f t="shared" si="28"/>
        <v>3.2915134402354767</v>
      </c>
      <c r="BR27" s="1">
        <f t="shared" si="29"/>
        <v>8.2762801225870177</v>
      </c>
      <c r="BS27" s="1">
        <f t="shared" si="30"/>
        <v>242.64655265856865</v>
      </c>
      <c r="BU27" s="9">
        <v>3.14</v>
      </c>
      <c r="BV27" s="10">
        <v>0.22181100240000001</v>
      </c>
      <c r="BW27" s="9">
        <v>0.18104824</v>
      </c>
      <c r="BX27" s="9">
        <v>1.5714286000000001E-2</v>
      </c>
      <c r="BZ27" s="10">
        <f t="shared" si="31"/>
        <v>4.1770824382695828</v>
      </c>
      <c r="CA27" s="10">
        <f t="shared" si="32"/>
        <v>0.44947552870846952</v>
      </c>
      <c r="CB27" s="10">
        <f t="shared" si="33"/>
        <v>4.6265579669780523</v>
      </c>
      <c r="CD27" s="10">
        <f t="shared" si="34"/>
        <v>3.14</v>
      </c>
      <c r="CE27" s="10">
        <f t="shared" si="35"/>
        <v>0</v>
      </c>
      <c r="CF27" s="10">
        <f t="shared" si="36"/>
        <v>0.14833828074917502</v>
      </c>
      <c r="CG27" s="10">
        <f t="shared" si="37"/>
        <v>1.3350445267425755</v>
      </c>
      <c r="CH27" s="10">
        <f t="shared" si="38"/>
        <v>3.1751594863016004E-3</v>
      </c>
      <c r="CI27" s="10">
        <f t="shared" si="39"/>
        <v>4.6265579669780514</v>
      </c>
      <c r="CK27" s="1">
        <f t="shared" si="40"/>
        <v>0</v>
      </c>
    </row>
    <row r="28" spans="2:89" x14ac:dyDescent="0.2">
      <c r="B28" s="14" t="s">
        <v>110</v>
      </c>
      <c r="C28" s="13" t="s">
        <v>85</v>
      </c>
      <c r="D28" s="13">
        <v>0</v>
      </c>
      <c r="E28" s="13">
        <v>2.226644157E-2</v>
      </c>
      <c r="F28" s="13">
        <v>0</v>
      </c>
      <c r="G28" s="13">
        <v>0</v>
      </c>
      <c r="H28" s="13">
        <v>5.3101897240000001E-2</v>
      </c>
      <c r="I28" s="13">
        <v>0</v>
      </c>
      <c r="J28" s="13">
        <v>0</v>
      </c>
      <c r="K28" s="13">
        <v>0</v>
      </c>
      <c r="L28" s="13">
        <v>5.4902437999999998E-2</v>
      </c>
      <c r="M28" s="11">
        <f t="shared" si="0"/>
        <v>0</v>
      </c>
      <c r="N28" s="11">
        <f t="shared" si="1"/>
        <v>5.4902438073637823E-2</v>
      </c>
      <c r="O28" s="13">
        <v>99124.320160000003</v>
      </c>
      <c r="P28" s="13">
        <v>54251.997770000002</v>
      </c>
      <c r="Q28" s="13">
        <v>1.6761597559999999</v>
      </c>
      <c r="R28" s="11">
        <v>0.2020556</v>
      </c>
      <c r="T28" s="16">
        <v>73.71884</v>
      </c>
      <c r="U28" s="16">
        <v>-6.1992539999999998</v>
      </c>
      <c r="V28" s="16">
        <v>65.59151</v>
      </c>
      <c r="W28" s="16">
        <v>31.821489</v>
      </c>
      <c r="X28" s="16">
        <v>37.986238999999998</v>
      </c>
      <c r="Y28" s="22">
        <v>420</v>
      </c>
      <c r="Z28" s="11">
        <v>21.986353300000001</v>
      </c>
      <c r="AA28" s="17">
        <v>51.417555</v>
      </c>
      <c r="AB28" s="17"/>
      <c r="AC28" s="16">
        <v>22.465142</v>
      </c>
      <c r="AD28" s="16">
        <v>13.285634</v>
      </c>
      <c r="AE28" s="16"/>
      <c r="AF28" s="17">
        <v>-129.68144799999999</v>
      </c>
      <c r="AG28" s="17">
        <v>-129.68144799999999</v>
      </c>
      <c r="AH28" s="17"/>
      <c r="AI28" s="17"/>
      <c r="AJ28" s="17"/>
      <c r="AK28" s="17"/>
      <c r="AL28" s="16">
        <v>15.046749</v>
      </c>
      <c r="AM28" s="16">
        <v>0</v>
      </c>
      <c r="AN28" s="16">
        <v>822.26752199999999</v>
      </c>
      <c r="AO28" s="16">
        <v>822.26752199999999</v>
      </c>
      <c r="AQ28" s="1" t="str">
        <f t="shared" si="2"/>
        <v>CEN_TSC+H2in</v>
      </c>
      <c r="AR28" s="1" t="str">
        <f t="shared" si="3"/>
        <v>Ethane</v>
      </c>
      <c r="AS28" s="12">
        <f t="shared" si="4"/>
        <v>893.74971349566022</v>
      </c>
      <c r="AT28" s="12">
        <f t="shared" si="5"/>
        <v>893.74971349566022</v>
      </c>
      <c r="AU28" s="5">
        <f t="shared" si="6"/>
        <v>0</v>
      </c>
      <c r="AV28" s="12">
        <f t="shared" si="7"/>
        <v>1125.4609401698053</v>
      </c>
      <c r="AW28" s="12">
        <f t="shared" si="8"/>
        <v>1125.4609401698053</v>
      </c>
      <c r="AX28" s="5">
        <f t="shared" si="9"/>
        <v>0</v>
      </c>
      <c r="AY28" s="5">
        <f t="shared" si="10"/>
        <v>5.5708705066486885</v>
      </c>
      <c r="AZ28" s="1">
        <f t="shared" si="11"/>
        <v>0</v>
      </c>
      <c r="BA28" s="1">
        <f t="shared" si="12"/>
        <v>0</v>
      </c>
      <c r="BB28" s="1">
        <f t="shared" si="13"/>
        <v>414.04082420313915</v>
      </c>
      <c r="BC28" s="1">
        <f t="shared" si="14"/>
        <v>0</v>
      </c>
      <c r="BD28" s="1">
        <f t="shared" si="15"/>
        <v>0</v>
      </c>
      <c r="BE28" s="1">
        <f t="shared" si="16"/>
        <v>236.76830668400294</v>
      </c>
      <c r="BF28" s="1">
        <f t="shared" si="17"/>
        <v>129.58629754527846</v>
      </c>
      <c r="BG28" s="1">
        <f t="shared" si="18"/>
        <v>31.564969297130897</v>
      </c>
      <c r="BH28" s="1">
        <f t="shared" si="19"/>
        <v>1.033907278783281</v>
      </c>
      <c r="BI28" s="1">
        <f t="shared" si="20"/>
        <v>0</v>
      </c>
      <c r="BJ28" s="1">
        <f t="shared" si="21"/>
        <v>76.218445259460083</v>
      </c>
      <c r="BK28" s="1">
        <f t="shared" si="22"/>
        <v>1.033907278783281</v>
      </c>
      <c r="BL28" s="1">
        <f t="shared" si="23"/>
        <v>0</v>
      </c>
      <c r="BM28" s="1">
        <f t="shared" si="24"/>
        <v>76.218445259460083</v>
      </c>
      <c r="BN28" s="1">
        <f t="shared" si="25"/>
        <v>4.1770824382695819</v>
      </c>
      <c r="BO28" s="1">
        <f t="shared" si="26"/>
        <v>0</v>
      </c>
      <c r="BP28" s="1">
        <f t="shared" si="27"/>
        <v>307.92967193360516</v>
      </c>
      <c r="BQ28" s="1">
        <f t="shared" si="28"/>
        <v>4.1770824382695819</v>
      </c>
      <c r="BR28" s="1">
        <f t="shared" si="29"/>
        <v>0</v>
      </c>
      <c r="BS28" s="1">
        <f t="shared" si="30"/>
        <v>307.92967193360516</v>
      </c>
      <c r="BU28" s="9">
        <v>3.14</v>
      </c>
      <c r="BV28" s="10">
        <v>0.22181100240000001</v>
      </c>
      <c r="BW28" s="9">
        <v>0.18104824</v>
      </c>
      <c r="BX28" s="9">
        <v>1.5714286000000001E-2</v>
      </c>
      <c r="BZ28" s="10">
        <f t="shared" si="31"/>
        <v>4.1770824382695828</v>
      </c>
      <c r="CA28" s="10">
        <f t="shared" si="32"/>
        <v>0</v>
      </c>
      <c r="CB28" s="10">
        <f t="shared" si="33"/>
        <v>4.1770824382695828</v>
      </c>
      <c r="CD28" s="10">
        <f t="shared" si="34"/>
        <v>3.14</v>
      </c>
      <c r="CE28" s="10">
        <f t="shared" si="35"/>
        <v>0</v>
      </c>
      <c r="CF28" s="10">
        <f t="shared" si="36"/>
        <v>1.033907278783281</v>
      </c>
      <c r="CG28" s="10">
        <f t="shared" si="37"/>
        <v>0</v>
      </c>
      <c r="CH28" s="10">
        <f t="shared" si="38"/>
        <v>3.1751594863016004E-3</v>
      </c>
      <c r="CI28" s="10">
        <f t="shared" si="39"/>
        <v>4.1770824382695819</v>
      </c>
      <c r="CK28" s="1">
        <f t="shared" si="40"/>
        <v>0</v>
      </c>
    </row>
    <row r="29" spans="2:89" x14ac:dyDescent="0.2">
      <c r="B29" s="14" t="s">
        <v>111</v>
      </c>
      <c r="C29" s="13" t="s">
        <v>85</v>
      </c>
      <c r="D29" s="13">
        <v>0</v>
      </c>
      <c r="E29" s="13">
        <v>0.1375867019</v>
      </c>
      <c r="F29" s="13">
        <v>0</v>
      </c>
      <c r="G29" s="13">
        <v>0</v>
      </c>
      <c r="H29" s="13">
        <v>5.3101897240000001E-2</v>
      </c>
      <c r="I29" s="13">
        <v>0</v>
      </c>
      <c r="J29" s="13">
        <v>0.11814249659999999</v>
      </c>
      <c r="K29" s="13">
        <v>0</v>
      </c>
      <c r="L29" s="13">
        <v>3.3512947000000001E-2</v>
      </c>
      <c r="M29" s="11">
        <f t="shared" si="0"/>
        <v>0</v>
      </c>
      <c r="N29" s="11">
        <f t="shared" si="1"/>
        <v>3.351294699500184E-2</v>
      </c>
      <c r="O29" s="13">
        <v>99124.320160000003</v>
      </c>
      <c r="P29" s="13">
        <v>54251.997770000002</v>
      </c>
      <c r="Q29" s="13">
        <v>1.6761597559999999</v>
      </c>
      <c r="R29" s="11">
        <v>0.2020556</v>
      </c>
      <c r="T29" s="16">
        <v>73.71884</v>
      </c>
      <c r="U29" s="16">
        <v>-6.1992539999999998</v>
      </c>
      <c r="V29" s="16">
        <v>65.59151</v>
      </c>
      <c r="W29" s="16">
        <v>31.821489</v>
      </c>
      <c r="X29" s="16">
        <v>37.986238999999998</v>
      </c>
      <c r="Y29" s="22">
        <v>420</v>
      </c>
      <c r="Z29" s="11">
        <v>21.986353300000001</v>
      </c>
      <c r="AA29" s="17">
        <v>51.417555</v>
      </c>
      <c r="AB29" s="17"/>
      <c r="AC29" s="16">
        <v>22.465142</v>
      </c>
      <c r="AD29" s="16">
        <v>13.285634</v>
      </c>
      <c r="AE29" s="16"/>
      <c r="AF29" s="17">
        <v>-129.68144799999999</v>
      </c>
      <c r="AG29" s="17">
        <v>-129.68144799999999</v>
      </c>
      <c r="AH29" s="17"/>
      <c r="AI29" s="17"/>
      <c r="AJ29" s="17"/>
      <c r="AK29" s="17"/>
      <c r="AL29" s="16">
        <v>15.046749</v>
      </c>
      <c r="AM29" s="16">
        <v>0</v>
      </c>
      <c r="AN29" s="16">
        <v>822.26752199999999</v>
      </c>
      <c r="AO29" s="16">
        <v>822.26752199999999</v>
      </c>
      <c r="AQ29" s="1" t="str">
        <f t="shared" si="2"/>
        <v>CEN_TSC+H2in:CH4</v>
      </c>
      <c r="AR29" s="1" t="str">
        <f t="shared" si="3"/>
        <v>Ethane</v>
      </c>
      <c r="AS29" s="12">
        <f t="shared" si="4"/>
        <v>889.1254395279218</v>
      </c>
      <c r="AT29" s="12">
        <f t="shared" si="5"/>
        <v>889.1254395279218</v>
      </c>
      <c r="AU29" s="5">
        <f t="shared" si="6"/>
        <v>0</v>
      </c>
      <c r="AV29" s="12">
        <f t="shared" si="7"/>
        <v>1120.8366662020669</v>
      </c>
      <c r="AW29" s="12">
        <f t="shared" si="8"/>
        <v>1120.8366662020669</v>
      </c>
      <c r="AX29" s="5">
        <f t="shared" si="9"/>
        <v>0</v>
      </c>
      <c r="AY29" s="5">
        <f t="shared" si="10"/>
        <v>34.422999171743051</v>
      </c>
      <c r="AZ29" s="1">
        <f t="shared" si="11"/>
        <v>0</v>
      </c>
      <c r="BA29" s="1">
        <f t="shared" si="12"/>
        <v>0</v>
      </c>
      <c r="BB29" s="1">
        <f t="shared" si="13"/>
        <v>414.04082420313915</v>
      </c>
      <c r="BC29" s="1">
        <f t="shared" si="14"/>
        <v>0</v>
      </c>
      <c r="BD29" s="1">
        <f t="shared" si="15"/>
        <v>-33.476402632832816</v>
      </c>
      <c r="BE29" s="1">
        <f t="shared" si="16"/>
        <v>236.76830668400294</v>
      </c>
      <c r="BF29" s="1">
        <f t="shared" si="17"/>
        <v>129.58629754527846</v>
      </c>
      <c r="BG29" s="1">
        <f t="shared" si="18"/>
        <v>31.564969297130897</v>
      </c>
      <c r="BH29" s="1">
        <f t="shared" si="19"/>
        <v>1.033907278783281</v>
      </c>
      <c r="BI29" s="1">
        <f t="shared" si="20"/>
        <v>0</v>
      </c>
      <c r="BJ29" s="1">
        <f t="shared" si="21"/>
        <v>76.218445259460083</v>
      </c>
      <c r="BK29" s="1">
        <f t="shared" si="22"/>
        <v>1.033907278783281</v>
      </c>
      <c r="BL29" s="1">
        <f t="shared" si="23"/>
        <v>0</v>
      </c>
      <c r="BM29" s="1">
        <f t="shared" si="24"/>
        <v>76.218445259460083</v>
      </c>
      <c r="BN29" s="1">
        <f t="shared" si="25"/>
        <v>4.1770824382695819</v>
      </c>
      <c r="BO29" s="1">
        <f t="shared" si="26"/>
        <v>0</v>
      </c>
      <c r="BP29" s="1">
        <f t="shared" si="27"/>
        <v>307.92967193360516</v>
      </c>
      <c r="BQ29" s="1">
        <f t="shared" si="28"/>
        <v>4.1770824382695819</v>
      </c>
      <c r="BR29" s="1">
        <f t="shared" si="29"/>
        <v>0</v>
      </c>
      <c r="BS29" s="1">
        <f t="shared" si="30"/>
        <v>307.92967193360516</v>
      </c>
      <c r="BU29" s="9">
        <v>3.14</v>
      </c>
      <c r="BV29" s="10">
        <v>0.22181100240000001</v>
      </c>
      <c r="BW29" s="9">
        <v>0.18104824</v>
      </c>
      <c r="BX29" s="9">
        <v>1.5714286000000001E-2</v>
      </c>
      <c r="BZ29" s="10">
        <f t="shared" si="31"/>
        <v>4.1770824382695828</v>
      </c>
      <c r="CA29" s="10">
        <f t="shared" si="32"/>
        <v>0</v>
      </c>
      <c r="CB29" s="10">
        <f t="shared" si="33"/>
        <v>4.1770824382695828</v>
      </c>
      <c r="CD29" s="10">
        <f t="shared" si="34"/>
        <v>3.14</v>
      </c>
      <c r="CE29" s="10">
        <f t="shared" si="35"/>
        <v>0.40280088264951763</v>
      </c>
      <c r="CF29" s="10">
        <f t="shared" si="36"/>
        <v>0.6311063961337634</v>
      </c>
      <c r="CG29" s="10">
        <f t="shared" si="37"/>
        <v>0</v>
      </c>
      <c r="CH29" s="10">
        <f t="shared" si="38"/>
        <v>3.1751594863016004E-3</v>
      </c>
      <c r="CI29" s="10">
        <f t="shared" si="39"/>
        <v>4.1770824382695819</v>
      </c>
      <c r="CK29" s="1">
        <f t="shared" si="40"/>
        <v>0</v>
      </c>
    </row>
    <row r="30" spans="2:89" x14ac:dyDescent="0.2">
      <c r="B30" s="14" t="s">
        <v>112</v>
      </c>
      <c r="C30" s="13" t="s">
        <v>85</v>
      </c>
      <c r="D30" s="13">
        <v>0.9</v>
      </c>
      <c r="E30" s="13">
        <v>0</v>
      </c>
      <c r="F30" s="13">
        <v>0</v>
      </c>
      <c r="G30" s="13">
        <v>8.0529664380000008E-3</v>
      </c>
      <c r="H30" s="13">
        <v>5.3101897240000001E-2</v>
      </c>
      <c r="I30" s="13">
        <v>2.270169876E-2</v>
      </c>
      <c r="J30" s="13">
        <v>0</v>
      </c>
      <c r="K30" s="13">
        <v>5.3111287E-2</v>
      </c>
      <c r="L30" s="13">
        <v>5.9012539999999999E-3</v>
      </c>
      <c r="M30" s="11">
        <f t="shared" si="0"/>
        <v>5.3111286611231406E-2</v>
      </c>
      <c r="N30" s="11">
        <f t="shared" si="1"/>
        <v>5.9012540679145992E-3</v>
      </c>
      <c r="O30" s="13">
        <v>106875.1697</v>
      </c>
      <c r="P30" s="13">
        <v>58496.387280000003</v>
      </c>
      <c r="Q30" s="13">
        <v>1.8072240850000001</v>
      </c>
      <c r="R30" s="11">
        <v>0.2020556</v>
      </c>
      <c r="T30" s="16">
        <v>73.71884</v>
      </c>
      <c r="U30" s="16">
        <v>-6.0910019999999996</v>
      </c>
      <c r="V30" s="16">
        <v>59.252833000000003</v>
      </c>
      <c r="W30" s="16">
        <v>23.691089000000002</v>
      </c>
      <c r="X30" s="16">
        <v>31.789762</v>
      </c>
      <c r="Y30" s="22">
        <v>420</v>
      </c>
      <c r="Z30" s="11">
        <v>21.986353300000001</v>
      </c>
      <c r="AA30" s="17">
        <v>-8.0072700000000001</v>
      </c>
      <c r="AB30" s="17"/>
      <c r="AC30" s="16">
        <v>21.266241000000001</v>
      </c>
      <c r="AD30" s="16">
        <v>7.267779</v>
      </c>
      <c r="AE30" s="16"/>
      <c r="AF30" s="17">
        <v>-128.077631</v>
      </c>
      <c r="AG30" s="17">
        <v>-128.077631</v>
      </c>
      <c r="AH30" s="17"/>
      <c r="AI30" s="17"/>
      <c r="AJ30" s="17"/>
      <c r="AK30" s="17"/>
      <c r="AL30" s="16">
        <v>7.9635800000000003</v>
      </c>
      <c r="AM30" s="16">
        <v>0</v>
      </c>
      <c r="AN30" s="16">
        <v>822.26752199999999</v>
      </c>
      <c r="AO30" s="16">
        <v>822.26752199999999</v>
      </c>
      <c r="AQ30" s="1" t="str">
        <f t="shared" si="2"/>
        <v>SE_TSC+CC90</v>
      </c>
      <c r="AR30" s="1" t="str">
        <f t="shared" si="3"/>
        <v>Ethane</v>
      </c>
      <c r="AS30" s="12">
        <f t="shared" si="4"/>
        <v>863.99447352624202</v>
      </c>
      <c r="AT30" s="12">
        <f t="shared" si="5"/>
        <v>863.99447352624202</v>
      </c>
      <c r="AU30" s="5">
        <f t="shared" si="6"/>
        <v>0</v>
      </c>
      <c r="AV30" s="12">
        <f t="shared" si="7"/>
        <v>1095.7057002003871</v>
      </c>
      <c r="AW30" s="12">
        <f t="shared" si="8"/>
        <v>1095.7057002003871</v>
      </c>
      <c r="AX30" s="5">
        <f t="shared" si="9"/>
        <v>0</v>
      </c>
      <c r="AY30" s="5">
        <f t="shared" si="10"/>
        <v>0</v>
      </c>
      <c r="AZ30" s="1">
        <f t="shared" si="11"/>
        <v>0</v>
      </c>
      <c r="BA30" s="1">
        <f t="shared" si="12"/>
        <v>3.2250509668497784</v>
      </c>
      <c r="BB30" s="1">
        <f t="shared" si="13"/>
        <v>414.04082420313915</v>
      </c>
      <c r="BC30" s="1">
        <f t="shared" si="14"/>
        <v>3.4045260830149728</v>
      </c>
      <c r="BD30" s="1">
        <f t="shared" si="15"/>
        <v>0</v>
      </c>
      <c r="BE30" s="1">
        <f t="shared" si="16"/>
        <v>255.2819824195449</v>
      </c>
      <c r="BF30" s="1">
        <f t="shared" si="17"/>
        <v>139.72444442555911</v>
      </c>
      <c r="BG30" s="1">
        <f t="shared" si="18"/>
        <v>34.033135894034963</v>
      </c>
      <c r="BH30" s="1">
        <f t="shared" si="19"/>
        <v>1.1113075755548278</v>
      </c>
      <c r="BI30" s="1">
        <f t="shared" si="20"/>
        <v>-67.639795819015191</v>
      </c>
      <c r="BJ30" s="1">
        <f t="shared" si="21"/>
        <v>81.924305353114264</v>
      </c>
      <c r="BK30" s="1">
        <f t="shared" si="22"/>
        <v>0.11113075755548275</v>
      </c>
      <c r="BL30" s="1">
        <f t="shared" si="23"/>
        <v>6.0920789987876471</v>
      </c>
      <c r="BM30" s="1">
        <f t="shared" si="24"/>
        <v>8.1924305353114235</v>
      </c>
      <c r="BN30" s="1">
        <f t="shared" si="25"/>
        <v>4.2544827350411296</v>
      </c>
      <c r="BO30" s="1">
        <f t="shared" si="26"/>
        <v>-67.639795819015191</v>
      </c>
      <c r="BP30" s="1">
        <f t="shared" si="27"/>
        <v>313.63553202725944</v>
      </c>
      <c r="BQ30" s="1">
        <f t="shared" si="28"/>
        <v>3.2543059170417847</v>
      </c>
      <c r="BR30" s="1">
        <f t="shared" si="29"/>
        <v>6.0920789987876462</v>
      </c>
      <c r="BS30" s="1">
        <f t="shared" si="30"/>
        <v>239.90365720945661</v>
      </c>
      <c r="BU30" s="9">
        <v>3.14</v>
      </c>
      <c r="BV30" s="10">
        <v>0.22181100240000001</v>
      </c>
      <c r="BW30" s="9">
        <v>0.18104824</v>
      </c>
      <c r="BX30" s="9">
        <v>1.5714286000000001E-2</v>
      </c>
      <c r="BZ30" s="10">
        <f t="shared" si="31"/>
        <v>4.1770824382695828</v>
      </c>
      <c r="CA30" s="10">
        <f t="shared" si="32"/>
        <v>7.7400296771546806E-2</v>
      </c>
      <c r="CB30" s="10">
        <f t="shared" si="33"/>
        <v>4.2544827350411296</v>
      </c>
      <c r="CD30" s="10">
        <f t="shared" si="34"/>
        <v>3.14</v>
      </c>
      <c r="CE30" s="10">
        <f t="shared" si="35"/>
        <v>0</v>
      </c>
      <c r="CF30" s="10">
        <f t="shared" si="36"/>
        <v>0.11113075755548275</v>
      </c>
      <c r="CG30" s="10">
        <f t="shared" si="37"/>
        <v>1.0001768179993451</v>
      </c>
      <c r="CH30" s="10">
        <f t="shared" si="38"/>
        <v>3.1751594863016004E-3</v>
      </c>
      <c r="CI30" s="10">
        <f t="shared" si="39"/>
        <v>4.2544827350411296</v>
      </c>
      <c r="CK30" s="1">
        <f t="shared" si="40"/>
        <v>0</v>
      </c>
    </row>
    <row r="31" spans="2:89" x14ac:dyDescent="0.2">
      <c r="B31" s="14" t="s">
        <v>113</v>
      </c>
      <c r="C31" s="13" t="s">
        <v>85</v>
      </c>
      <c r="D31" s="13">
        <v>0</v>
      </c>
      <c r="E31" s="13">
        <v>0</v>
      </c>
      <c r="F31" s="13">
        <v>0.15985314340000001</v>
      </c>
      <c r="G31" s="13">
        <v>0</v>
      </c>
      <c r="H31" s="13">
        <v>5.3101897240000001E-2</v>
      </c>
      <c r="I31" s="13">
        <v>0.13183228590000001</v>
      </c>
      <c r="J31" s="13">
        <v>0</v>
      </c>
      <c r="K31" s="13">
        <v>0</v>
      </c>
      <c r="L31" s="13">
        <v>7.8770440999999997E-2</v>
      </c>
      <c r="M31" s="11">
        <f t="shared" si="0"/>
        <v>0</v>
      </c>
      <c r="N31" s="11">
        <f t="shared" si="1"/>
        <v>7.877044141100964E-2</v>
      </c>
      <c r="O31" s="13">
        <v>99124.320160000003</v>
      </c>
      <c r="P31" s="13">
        <v>54251.997770000002</v>
      </c>
      <c r="Q31" s="13">
        <v>1.6761597559999999</v>
      </c>
      <c r="R31" s="11">
        <v>0.2020556</v>
      </c>
      <c r="T31" s="16">
        <v>73.71884</v>
      </c>
      <c r="U31" s="16">
        <v>-6.0910019999999996</v>
      </c>
      <c r="V31" s="16">
        <v>59.252833000000003</v>
      </c>
      <c r="W31" s="16">
        <v>23.691089000000002</v>
      </c>
      <c r="X31" s="16">
        <v>31.789762</v>
      </c>
      <c r="Y31" s="22">
        <v>420</v>
      </c>
      <c r="Z31" s="11">
        <v>21.986353300000001</v>
      </c>
      <c r="AA31" s="17">
        <v>-8.0072700000000001</v>
      </c>
      <c r="AB31" s="17"/>
      <c r="AC31" s="16">
        <v>21.266241000000001</v>
      </c>
      <c r="AD31" s="16">
        <v>7.267779</v>
      </c>
      <c r="AE31" s="16"/>
      <c r="AF31" s="17">
        <v>-128.077631</v>
      </c>
      <c r="AG31" s="17">
        <v>-128.077631</v>
      </c>
      <c r="AH31" s="17"/>
      <c r="AI31" s="17"/>
      <c r="AJ31" s="17"/>
      <c r="AK31" s="17"/>
      <c r="AL31" s="16">
        <v>7.9635800000000003</v>
      </c>
      <c r="AM31" s="16">
        <v>0</v>
      </c>
      <c r="AN31" s="16">
        <v>822.26752199999999</v>
      </c>
      <c r="AO31" s="16">
        <v>822.26752199999999</v>
      </c>
      <c r="AQ31" s="1" t="str">
        <f t="shared" si="2"/>
        <v>SE_TSC:H2</v>
      </c>
      <c r="AR31" s="1" t="str">
        <f t="shared" si="3"/>
        <v>Ethane</v>
      </c>
      <c r="AS31" s="12">
        <f t="shared" si="4"/>
        <v>919.20600475616402</v>
      </c>
      <c r="AT31" s="12">
        <f t="shared" si="5"/>
        <v>919.20600475616402</v>
      </c>
      <c r="AU31" s="5">
        <f t="shared" si="6"/>
        <v>0</v>
      </c>
      <c r="AV31" s="12">
        <f t="shared" si="7"/>
        <v>1150.9172314303091</v>
      </c>
      <c r="AW31" s="12">
        <f t="shared" si="8"/>
        <v>1150.9172314303091</v>
      </c>
      <c r="AX31" s="5">
        <f t="shared" si="9"/>
        <v>0</v>
      </c>
      <c r="AY31" s="5">
        <f t="shared" si="10"/>
        <v>0</v>
      </c>
      <c r="AZ31" s="1">
        <f t="shared" si="11"/>
        <v>-21.878263848760909</v>
      </c>
      <c r="BA31" s="1">
        <f t="shared" si="12"/>
        <v>0</v>
      </c>
      <c r="BB31" s="1">
        <f t="shared" si="13"/>
        <v>414.04082420313915</v>
      </c>
      <c r="BC31" s="1">
        <f t="shared" si="14"/>
        <v>19.770611031138408</v>
      </c>
      <c r="BD31" s="1">
        <f t="shared" si="15"/>
        <v>0</v>
      </c>
      <c r="BE31" s="1">
        <f t="shared" si="16"/>
        <v>236.76830668400294</v>
      </c>
      <c r="BF31" s="1">
        <f t="shared" si="17"/>
        <v>129.58629754527846</v>
      </c>
      <c r="BG31" s="1">
        <f t="shared" si="18"/>
        <v>31.564969297130897</v>
      </c>
      <c r="BH31" s="1">
        <f t="shared" si="19"/>
        <v>1.4833828074917506</v>
      </c>
      <c r="BI31" s="1">
        <f t="shared" si="20"/>
        <v>0</v>
      </c>
      <c r="BJ31" s="1">
        <f t="shared" si="21"/>
        <v>109.35325984423515</v>
      </c>
      <c r="BK31" s="1">
        <f t="shared" si="22"/>
        <v>1.4833828074917506</v>
      </c>
      <c r="BL31" s="1">
        <f t="shared" si="23"/>
        <v>0</v>
      </c>
      <c r="BM31" s="1">
        <f t="shared" si="24"/>
        <v>109.35325984423515</v>
      </c>
      <c r="BN31" s="1">
        <f t="shared" si="25"/>
        <v>4.6265579669780523</v>
      </c>
      <c r="BO31" s="1">
        <f t="shared" si="26"/>
        <v>0</v>
      </c>
      <c r="BP31" s="1">
        <f t="shared" si="27"/>
        <v>341.06448651838031</v>
      </c>
      <c r="BQ31" s="1">
        <f t="shared" si="28"/>
        <v>4.6265579669780523</v>
      </c>
      <c r="BR31" s="1">
        <f t="shared" si="29"/>
        <v>0</v>
      </c>
      <c r="BS31" s="1">
        <f t="shared" si="30"/>
        <v>341.06448651838031</v>
      </c>
      <c r="BU31" s="9">
        <v>3.14</v>
      </c>
      <c r="BV31" s="10">
        <v>0.22181100240000001</v>
      </c>
      <c r="BW31" s="9">
        <v>0.18104824</v>
      </c>
      <c r="BX31" s="9">
        <v>1.5714286000000001E-2</v>
      </c>
      <c r="BZ31" s="10">
        <f t="shared" si="31"/>
        <v>4.1770824382695828</v>
      </c>
      <c r="CA31" s="10">
        <f t="shared" si="32"/>
        <v>0.44947552870846952</v>
      </c>
      <c r="CB31" s="10">
        <f t="shared" si="33"/>
        <v>4.6265579669780523</v>
      </c>
      <c r="CD31" s="10">
        <f t="shared" si="34"/>
        <v>3.14</v>
      </c>
      <c r="CE31" s="10">
        <f t="shared" si="35"/>
        <v>0</v>
      </c>
      <c r="CF31" s="10">
        <f t="shared" si="36"/>
        <v>1.4833828074917506</v>
      </c>
      <c r="CG31" s="10">
        <f t="shared" si="37"/>
        <v>0</v>
      </c>
      <c r="CH31" s="10">
        <f t="shared" si="38"/>
        <v>3.1751594863016004E-3</v>
      </c>
      <c r="CI31" s="10">
        <f t="shared" si="39"/>
        <v>4.6265579669780523</v>
      </c>
      <c r="CK31" s="1">
        <f t="shared" si="40"/>
        <v>0</v>
      </c>
    </row>
    <row r="32" spans="2:89" x14ac:dyDescent="0.2">
      <c r="B32" s="14" t="s">
        <v>114</v>
      </c>
      <c r="C32" s="13" t="s">
        <v>85</v>
      </c>
      <c r="D32" s="13">
        <v>0.9</v>
      </c>
      <c r="E32" s="13">
        <v>0</v>
      </c>
      <c r="F32" s="13">
        <v>0.15985314340000001</v>
      </c>
      <c r="G32" s="13">
        <v>9.3887366979999998E-3</v>
      </c>
      <c r="H32" s="13">
        <v>5.3101897240000001E-2</v>
      </c>
      <c r="I32" s="13">
        <v>0.13183228590000001</v>
      </c>
      <c r="J32" s="13">
        <v>0</v>
      </c>
      <c r="K32" s="13">
        <v>7.0893396999999997E-2</v>
      </c>
      <c r="L32" s="13">
        <v>7.8770439999999997E-3</v>
      </c>
      <c r="M32" s="11">
        <f t="shared" si="0"/>
        <v>7.0893397269908676E-2</v>
      </c>
      <c r="N32" s="11">
        <f t="shared" si="1"/>
        <v>7.8770441411009622E-3</v>
      </c>
      <c r="O32" s="13">
        <v>106900.97410000001</v>
      </c>
      <c r="P32" s="13">
        <v>58510.185810000003</v>
      </c>
      <c r="Q32" s="13">
        <v>1.807660423</v>
      </c>
      <c r="R32" s="11">
        <v>0.2020556</v>
      </c>
      <c r="T32" s="16">
        <v>73.71884</v>
      </c>
      <c r="U32" s="16">
        <v>-6.0910019999999996</v>
      </c>
      <c r="V32" s="16">
        <v>59.252833000000003</v>
      </c>
      <c r="W32" s="16">
        <v>23.691089000000002</v>
      </c>
      <c r="X32" s="16">
        <v>31.789762</v>
      </c>
      <c r="Y32" s="22">
        <v>420</v>
      </c>
      <c r="Z32" s="11">
        <v>21.986353300000001</v>
      </c>
      <c r="AA32" s="17">
        <v>-8.0072700000000001</v>
      </c>
      <c r="AB32" s="17"/>
      <c r="AC32" s="16">
        <v>21.266241000000001</v>
      </c>
      <c r="AD32" s="16">
        <v>7.267779</v>
      </c>
      <c r="AE32" s="16"/>
      <c r="AF32" s="17">
        <v>-128.077631</v>
      </c>
      <c r="AG32" s="17">
        <v>-128.077631</v>
      </c>
      <c r="AH32" s="17"/>
      <c r="AI32" s="17"/>
      <c r="AJ32" s="17"/>
      <c r="AK32" s="17"/>
      <c r="AL32" s="16">
        <v>7.9635800000000003</v>
      </c>
      <c r="AM32" s="16">
        <v>0</v>
      </c>
      <c r="AN32" s="16">
        <v>822.26752199999999</v>
      </c>
      <c r="AO32" s="16">
        <v>822.26752199999999</v>
      </c>
      <c r="AQ32" s="1" t="str">
        <f t="shared" si="2"/>
        <v>SE_TSC+CC90:H2</v>
      </c>
      <c r="AR32" s="1" t="str">
        <f t="shared" si="3"/>
        <v>Ethane</v>
      </c>
      <c r="AS32" s="12">
        <f t="shared" si="4"/>
        <v>863.90263159629581</v>
      </c>
      <c r="AT32" s="12">
        <f t="shared" si="5"/>
        <v>863.90263159629581</v>
      </c>
      <c r="AU32" s="5">
        <f t="shared" si="6"/>
        <v>0</v>
      </c>
      <c r="AV32" s="12">
        <f t="shared" si="7"/>
        <v>1095.6138582704409</v>
      </c>
      <c r="AW32" s="12">
        <f t="shared" si="8"/>
        <v>1095.6138582704409</v>
      </c>
      <c r="AX32" s="5">
        <f t="shared" si="9"/>
        <v>0</v>
      </c>
      <c r="AY32" s="5">
        <f t="shared" si="10"/>
        <v>0</v>
      </c>
      <c r="AZ32" s="1">
        <f t="shared" si="11"/>
        <v>-21.878263848760909</v>
      </c>
      <c r="BA32" s="1">
        <f t="shared" si="12"/>
        <v>3.7600000693536844</v>
      </c>
      <c r="BB32" s="1">
        <f t="shared" si="13"/>
        <v>414.04082420313915</v>
      </c>
      <c r="BC32" s="1">
        <f t="shared" si="14"/>
        <v>19.770611031138408</v>
      </c>
      <c r="BD32" s="1">
        <f t="shared" si="15"/>
        <v>0</v>
      </c>
      <c r="BE32" s="1">
        <f t="shared" si="16"/>
        <v>255.34361879781346</v>
      </c>
      <c r="BF32" s="1">
        <f t="shared" si="17"/>
        <v>139.75740358812948</v>
      </c>
      <c r="BG32" s="1">
        <f t="shared" si="18"/>
        <v>34.041352888580896</v>
      </c>
      <c r="BH32" s="1">
        <f t="shared" si="19"/>
        <v>1.4833828074917506</v>
      </c>
      <c r="BI32" s="1">
        <f t="shared" si="20"/>
        <v>-90.286174977333559</v>
      </c>
      <c r="BJ32" s="1">
        <f t="shared" si="21"/>
        <v>109.35325984423515</v>
      </c>
      <c r="BK32" s="1">
        <f t="shared" si="22"/>
        <v>0.14833828074917502</v>
      </c>
      <c r="BL32" s="1">
        <f t="shared" si="23"/>
        <v>8.1317588824780795</v>
      </c>
      <c r="BM32" s="1">
        <f t="shared" si="24"/>
        <v>10.935325984423514</v>
      </c>
      <c r="BN32" s="1">
        <f t="shared" si="25"/>
        <v>4.6265579669780514</v>
      </c>
      <c r="BO32" s="1">
        <f t="shared" si="26"/>
        <v>-90.286174977333559</v>
      </c>
      <c r="BP32" s="1">
        <f t="shared" si="27"/>
        <v>341.06448651838025</v>
      </c>
      <c r="BQ32" s="1">
        <f t="shared" si="28"/>
        <v>3.2915134402354767</v>
      </c>
      <c r="BR32" s="1">
        <f t="shared" si="29"/>
        <v>8.1317588824780795</v>
      </c>
      <c r="BS32" s="1">
        <f t="shared" si="30"/>
        <v>242.64655265856865</v>
      </c>
      <c r="BU32" s="9">
        <v>3.14</v>
      </c>
      <c r="BV32" s="10">
        <v>0.22181100240000001</v>
      </c>
      <c r="BW32" s="9">
        <v>0.18104824</v>
      </c>
      <c r="BX32" s="9">
        <v>1.5714286000000001E-2</v>
      </c>
      <c r="BZ32" s="10">
        <f t="shared" si="31"/>
        <v>4.1770824382695828</v>
      </c>
      <c r="CA32" s="10">
        <f t="shared" si="32"/>
        <v>0.44947552870846952</v>
      </c>
      <c r="CB32" s="10">
        <f t="shared" si="33"/>
        <v>4.6265579669780523</v>
      </c>
      <c r="CD32" s="10">
        <f t="shared" si="34"/>
        <v>3.14</v>
      </c>
      <c r="CE32" s="10">
        <f t="shared" si="35"/>
        <v>0</v>
      </c>
      <c r="CF32" s="10">
        <f t="shared" si="36"/>
        <v>0.14833828074917502</v>
      </c>
      <c r="CG32" s="10">
        <f t="shared" si="37"/>
        <v>1.3350445267425755</v>
      </c>
      <c r="CH32" s="10">
        <f t="shared" si="38"/>
        <v>3.1751594863016004E-3</v>
      </c>
      <c r="CI32" s="10">
        <f t="shared" si="39"/>
        <v>4.6265579669780514</v>
      </c>
      <c r="CK32" s="1">
        <f t="shared" si="40"/>
        <v>0</v>
      </c>
    </row>
    <row r="33" spans="2:89" x14ac:dyDescent="0.2">
      <c r="B33" s="14" t="s">
        <v>115</v>
      </c>
      <c r="C33" s="13" t="s">
        <v>85</v>
      </c>
      <c r="D33" s="13">
        <v>0</v>
      </c>
      <c r="E33" s="13">
        <v>2.226644157E-2</v>
      </c>
      <c r="F33" s="13">
        <v>0</v>
      </c>
      <c r="G33" s="13">
        <v>0</v>
      </c>
      <c r="H33" s="13">
        <v>5.3101897240000001E-2</v>
      </c>
      <c r="I33" s="13">
        <v>0</v>
      </c>
      <c r="J33" s="13">
        <v>0</v>
      </c>
      <c r="K33" s="13">
        <v>0</v>
      </c>
      <c r="L33" s="13">
        <v>5.4902437999999998E-2</v>
      </c>
      <c r="M33" s="11">
        <f t="shared" si="0"/>
        <v>0</v>
      </c>
      <c r="N33" s="11">
        <f t="shared" si="1"/>
        <v>5.4902438073637823E-2</v>
      </c>
      <c r="O33" s="13">
        <v>99124.320160000003</v>
      </c>
      <c r="P33" s="13">
        <v>54251.997770000002</v>
      </c>
      <c r="Q33" s="13">
        <v>1.6761597559999999</v>
      </c>
      <c r="R33" s="11">
        <v>0.2020556</v>
      </c>
      <c r="T33" s="16">
        <v>73.71884</v>
      </c>
      <c r="U33" s="16">
        <v>-6.0910019999999996</v>
      </c>
      <c r="V33" s="16">
        <v>59.252833000000003</v>
      </c>
      <c r="W33" s="16">
        <v>23.691089000000002</v>
      </c>
      <c r="X33" s="16">
        <v>31.789762</v>
      </c>
      <c r="Y33" s="22">
        <v>420</v>
      </c>
      <c r="Z33" s="11">
        <v>21.986353300000001</v>
      </c>
      <c r="AA33" s="17">
        <v>-8.0072700000000001</v>
      </c>
      <c r="AB33" s="17"/>
      <c r="AC33" s="16">
        <v>21.266241000000001</v>
      </c>
      <c r="AD33" s="16">
        <v>7.267779</v>
      </c>
      <c r="AE33" s="16"/>
      <c r="AF33" s="17">
        <v>-128.077631</v>
      </c>
      <c r="AG33" s="17">
        <v>-128.077631</v>
      </c>
      <c r="AH33" s="17"/>
      <c r="AI33" s="17"/>
      <c r="AJ33" s="17"/>
      <c r="AK33" s="17"/>
      <c r="AL33" s="16">
        <v>7.9635800000000003</v>
      </c>
      <c r="AM33" s="16">
        <v>0</v>
      </c>
      <c r="AN33" s="16">
        <v>822.26752199999999</v>
      </c>
      <c r="AO33" s="16">
        <v>822.26752199999999</v>
      </c>
      <c r="AQ33" s="1" t="str">
        <f t="shared" si="2"/>
        <v>SE_TSC+H2in</v>
      </c>
      <c r="AR33" s="1" t="str">
        <f t="shared" si="3"/>
        <v>Ethane</v>
      </c>
      <c r="AS33" s="12">
        <f t="shared" si="4"/>
        <v>891.22633441320249</v>
      </c>
      <c r="AT33" s="12">
        <f t="shared" si="5"/>
        <v>891.22633441320249</v>
      </c>
      <c r="AU33" s="5">
        <f t="shared" si="6"/>
        <v>0</v>
      </c>
      <c r="AV33" s="12">
        <f t="shared" si="7"/>
        <v>1122.9375610873476</v>
      </c>
      <c r="AW33" s="12">
        <f t="shared" si="8"/>
        <v>1122.9375610873476</v>
      </c>
      <c r="AX33" s="5">
        <f t="shared" si="9"/>
        <v>0</v>
      </c>
      <c r="AY33" s="5">
        <f t="shared" si="10"/>
        <v>3.0474914241910245</v>
      </c>
      <c r="AZ33" s="1">
        <f t="shared" si="11"/>
        <v>0</v>
      </c>
      <c r="BA33" s="1">
        <f t="shared" si="12"/>
        <v>0</v>
      </c>
      <c r="BB33" s="1">
        <f t="shared" si="13"/>
        <v>414.04082420313915</v>
      </c>
      <c r="BC33" s="1">
        <f t="shared" si="14"/>
        <v>0</v>
      </c>
      <c r="BD33" s="1">
        <f t="shared" si="15"/>
        <v>0</v>
      </c>
      <c r="BE33" s="1">
        <f t="shared" si="16"/>
        <v>236.76830668400294</v>
      </c>
      <c r="BF33" s="1">
        <f t="shared" si="17"/>
        <v>129.58629754527846</v>
      </c>
      <c r="BG33" s="1">
        <f t="shared" si="18"/>
        <v>31.564969297130897</v>
      </c>
      <c r="BH33" s="1">
        <f t="shared" si="19"/>
        <v>1.033907278783281</v>
      </c>
      <c r="BI33" s="1">
        <f t="shared" si="20"/>
        <v>0</v>
      </c>
      <c r="BJ33" s="1">
        <f t="shared" si="21"/>
        <v>76.218445259460083</v>
      </c>
      <c r="BK33" s="1">
        <f t="shared" si="22"/>
        <v>1.033907278783281</v>
      </c>
      <c r="BL33" s="1">
        <f t="shared" si="23"/>
        <v>0</v>
      </c>
      <c r="BM33" s="1">
        <f t="shared" si="24"/>
        <v>76.218445259460083</v>
      </c>
      <c r="BN33" s="1">
        <f t="shared" si="25"/>
        <v>4.1770824382695819</v>
      </c>
      <c r="BO33" s="1">
        <f t="shared" si="26"/>
        <v>0</v>
      </c>
      <c r="BP33" s="1">
        <f t="shared" si="27"/>
        <v>307.92967193360516</v>
      </c>
      <c r="BQ33" s="1">
        <f t="shared" si="28"/>
        <v>4.1770824382695819</v>
      </c>
      <c r="BR33" s="1">
        <f t="shared" si="29"/>
        <v>0</v>
      </c>
      <c r="BS33" s="1">
        <f t="shared" si="30"/>
        <v>307.92967193360516</v>
      </c>
      <c r="BU33" s="9">
        <v>3.14</v>
      </c>
      <c r="BV33" s="10">
        <v>0.22181100240000001</v>
      </c>
      <c r="BW33" s="9">
        <v>0.18104824</v>
      </c>
      <c r="BX33" s="9">
        <v>1.5714286000000001E-2</v>
      </c>
      <c r="BZ33" s="10">
        <f t="shared" si="31"/>
        <v>4.1770824382695828</v>
      </c>
      <c r="CA33" s="10">
        <f t="shared" si="32"/>
        <v>0</v>
      </c>
      <c r="CB33" s="10">
        <f t="shared" si="33"/>
        <v>4.1770824382695828</v>
      </c>
      <c r="CD33" s="10">
        <f t="shared" si="34"/>
        <v>3.14</v>
      </c>
      <c r="CE33" s="10">
        <f t="shared" si="35"/>
        <v>0</v>
      </c>
      <c r="CF33" s="10">
        <f t="shared" si="36"/>
        <v>1.033907278783281</v>
      </c>
      <c r="CG33" s="10">
        <f t="shared" si="37"/>
        <v>0</v>
      </c>
      <c r="CH33" s="10">
        <f t="shared" si="38"/>
        <v>3.1751594863016004E-3</v>
      </c>
      <c r="CI33" s="10">
        <f t="shared" si="39"/>
        <v>4.1770824382695819</v>
      </c>
      <c r="CK33" s="1">
        <f t="shared" si="40"/>
        <v>0</v>
      </c>
    </row>
    <row r="34" spans="2:89" x14ac:dyDescent="0.2">
      <c r="B34" s="14" t="s">
        <v>116</v>
      </c>
      <c r="C34" s="13" t="s">
        <v>85</v>
      </c>
      <c r="D34" s="13">
        <v>0</v>
      </c>
      <c r="E34" s="13">
        <v>0.1375867019</v>
      </c>
      <c r="F34" s="13">
        <v>0</v>
      </c>
      <c r="G34" s="13">
        <v>0</v>
      </c>
      <c r="H34" s="13">
        <v>5.3101897240000001E-2</v>
      </c>
      <c r="I34" s="13">
        <v>0</v>
      </c>
      <c r="J34" s="13">
        <v>0.11814249659999999</v>
      </c>
      <c r="K34" s="13">
        <v>0</v>
      </c>
      <c r="L34" s="13">
        <v>3.3512947000000001E-2</v>
      </c>
      <c r="M34" s="11">
        <f t="shared" si="0"/>
        <v>0</v>
      </c>
      <c r="N34" s="11">
        <f t="shared" si="1"/>
        <v>3.351294699500184E-2</v>
      </c>
      <c r="O34" s="13">
        <v>99124.320160000003</v>
      </c>
      <c r="P34" s="13">
        <v>54251.997770000002</v>
      </c>
      <c r="Q34" s="13">
        <v>1.6761597559999999</v>
      </c>
      <c r="R34" s="11">
        <v>0.2020556</v>
      </c>
      <c r="T34" s="16">
        <v>73.71884</v>
      </c>
      <c r="U34" s="16">
        <v>-6.0910019999999996</v>
      </c>
      <c r="V34" s="16">
        <v>59.252833000000003</v>
      </c>
      <c r="W34" s="16">
        <v>23.691089000000002</v>
      </c>
      <c r="X34" s="16">
        <v>31.789762</v>
      </c>
      <c r="Y34" s="22">
        <v>420</v>
      </c>
      <c r="Z34" s="11">
        <v>21.986353300000001</v>
      </c>
      <c r="AA34" s="17">
        <v>-8.0072700000000001</v>
      </c>
      <c r="AB34" s="17"/>
      <c r="AC34" s="16">
        <v>21.266241000000001</v>
      </c>
      <c r="AD34" s="16">
        <v>7.267779</v>
      </c>
      <c r="AE34" s="16"/>
      <c r="AF34" s="17">
        <v>-128.077631</v>
      </c>
      <c r="AG34" s="17">
        <v>-128.077631</v>
      </c>
      <c r="AH34" s="17"/>
      <c r="AI34" s="17"/>
      <c r="AJ34" s="17"/>
      <c r="AK34" s="17"/>
      <c r="AL34" s="16">
        <v>7.9635800000000003</v>
      </c>
      <c r="AM34" s="16">
        <v>0</v>
      </c>
      <c r="AN34" s="16">
        <v>822.26752199999999</v>
      </c>
      <c r="AO34" s="16">
        <v>822.26752199999999</v>
      </c>
      <c r="AQ34" s="1" t="str">
        <f t="shared" si="2"/>
        <v>SE_TSC+H2in:CH4</v>
      </c>
      <c r="AR34" s="1" t="str">
        <f t="shared" si="3"/>
        <v>Ethane</v>
      </c>
      <c r="AS34" s="12">
        <f t="shared" si="4"/>
        <v>889.29203334089448</v>
      </c>
      <c r="AT34" s="12">
        <f t="shared" si="5"/>
        <v>889.29203334089448</v>
      </c>
      <c r="AU34" s="5">
        <f t="shared" si="6"/>
        <v>0</v>
      </c>
      <c r="AV34" s="12">
        <f t="shared" si="7"/>
        <v>1121.0032600150396</v>
      </c>
      <c r="AW34" s="12">
        <f t="shared" si="8"/>
        <v>1121.0032600150396</v>
      </c>
      <c r="AX34" s="5">
        <f t="shared" si="9"/>
        <v>0</v>
      </c>
      <c r="AY34" s="5">
        <f t="shared" si="10"/>
        <v>18.830772434150415</v>
      </c>
      <c r="AZ34" s="1">
        <f t="shared" si="11"/>
        <v>0</v>
      </c>
      <c r="BA34" s="1">
        <f t="shared" si="12"/>
        <v>0</v>
      </c>
      <c r="BB34" s="1">
        <f t="shared" si="13"/>
        <v>414.04082420313915</v>
      </c>
      <c r="BC34" s="1">
        <f t="shared" si="14"/>
        <v>0</v>
      </c>
      <c r="BD34" s="1">
        <f t="shared" si="15"/>
        <v>-17.717582082267388</v>
      </c>
      <c r="BE34" s="1">
        <f t="shared" si="16"/>
        <v>236.76830668400294</v>
      </c>
      <c r="BF34" s="1">
        <f t="shared" si="17"/>
        <v>129.58629754527846</v>
      </c>
      <c r="BG34" s="1">
        <f t="shared" si="18"/>
        <v>31.564969297130897</v>
      </c>
      <c r="BH34" s="1">
        <f t="shared" si="19"/>
        <v>1.033907278783281</v>
      </c>
      <c r="BI34" s="1">
        <f t="shared" si="20"/>
        <v>0</v>
      </c>
      <c r="BJ34" s="1">
        <f t="shared" si="21"/>
        <v>76.218445259460083</v>
      </c>
      <c r="BK34" s="1">
        <f t="shared" si="22"/>
        <v>1.033907278783281</v>
      </c>
      <c r="BL34" s="1">
        <f t="shared" si="23"/>
        <v>0</v>
      </c>
      <c r="BM34" s="1">
        <f t="shared" si="24"/>
        <v>76.218445259460083</v>
      </c>
      <c r="BN34" s="1">
        <f t="shared" si="25"/>
        <v>4.1770824382695819</v>
      </c>
      <c r="BO34" s="1">
        <f t="shared" si="26"/>
        <v>0</v>
      </c>
      <c r="BP34" s="1">
        <f t="shared" si="27"/>
        <v>307.92967193360516</v>
      </c>
      <c r="BQ34" s="1">
        <f t="shared" si="28"/>
        <v>4.1770824382695819</v>
      </c>
      <c r="BR34" s="1">
        <f t="shared" si="29"/>
        <v>0</v>
      </c>
      <c r="BS34" s="1">
        <f t="shared" si="30"/>
        <v>307.92967193360516</v>
      </c>
      <c r="BU34" s="9">
        <v>3.14</v>
      </c>
      <c r="BV34" s="10">
        <v>0.22181100240000001</v>
      </c>
      <c r="BW34" s="9">
        <v>0.18104824</v>
      </c>
      <c r="BX34" s="9">
        <v>1.5714286000000001E-2</v>
      </c>
      <c r="BZ34" s="10">
        <f t="shared" si="31"/>
        <v>4.1770824382695828</v>
      </c>
      <c r="CA34" s="10">
        <f t="shared" si="32"/>
        <v>0</v>
      </c>
      <c r="CB34" s="10">
        <f t="shared" si="33"/>
        <v>4.1770824382695828</v>
      </c>
      <c r="CD34" s="10">
        <f t="shared" si="34"/>
        <v>3.14</v>
      </c>
      <c r="CE34" s="10">
        <f t="shared" si="35"/>
        <v>0.40280088264951763</v>
      </c>
      <c r="CF34" s="10">
        <f t="shared" si="36"/>
        <v>0.6311063961337634</v>
      </c>
      <c r="CG34" s="10">
        <f t="shared" si="37"/>
        <v>0</v>
      </c>
      <c r="CH34" s="10">
        <f t="shared" si="38"/>
        <v>3.1751594863016004E-3</v>
      </c>
      <c r="CI34" s="10">
        <f t="shared" si="39"/>
        <v>4.1770824382695819</v>
      </c>
      <c r="CK34" s="1">
        <f t="shared" si="40"/>
        <v>0</v>
      </c>
    </row>
    <row r="35" spans="2:89" x14ac:dyDescent="0.2">
      <c r="B35" s="14" t="s">
        <v>117</v>
      </c>
      <c r="C35" s="13" t="s">
        <v>85</v>
      </c>
      <c r="D35" s="13">
        <v>0.9</v>
      </c>
      <c r="E35" s="13">
        <v>0</v>
      </c>
      <c r="F35" s="13">
        <v>0</v>
      </c>
      <c r="G35" s="13">
        <v>8.0529664380000008E-3</v>
      </c>
      <c r="H35" s="13">
        <v>5.3101897240000001E-2</v>
      </c>
      <c r="I35" s="13">
        <v>2.270169876E-2</v>
      </c>
      <c r="J35" s="13">
        <v>0</v>
      </c>
      <c r="K35" s="13">
        <v>5.3111287E-2</v>
      </c>
      <c r="L35" s="13">
        <v>5.9012539999999999E-3</v>
      </c>
      <c r="M35" s="11">
        <f t="shared" ref="M35:M65" si="41">CG35*H35</f>
        <v>5.3111286611231406E-2</v>
      </c>
      <c r="N35" s="11">
        <f t="shared" ref="N35:N65" si="42">CF35*H35</f>
        <v>5.9012540679145992E-3</v>
      </c>
      <c r="O35" s="13">
        <v>106875.1697</v>
      </c>
      <c r="P35" s="13">
        <v>58496.387280000003</v>
      </c>
      <c r="Q35" s="13">
        <v>1.8072240850000001</v>
      </c>
      <c r="R35" s="11">
        <v>0.2020556</v>
      </c>
      <c r="T35" s="16">
        <v>73.71884</v>
      </c>
      <c r="U35" s="16">
        <v>-16.179127999999999</v>
      </c>
      <c r="V35" s="16">
        <v>58.461202</v>
      </c>
      <c r="W35" s="16">
        <v>19.647223</v>
      </c>
      <c r="X35" s="16">
        <v>40.820307</v>
      </c>
      <c r="Y35" s="22">
        <v>420</v>
      </c>
      <c r="Z35" s="11">
        <v>21.986353300000001</v>
      </c>
      <c r="AA35" s="17">
        <v>-2.2030439999999998</v>
      </c>
      <c r="AB35" s="17"/>
      <c r="AC35" s="16">
        <v>21.500722</v>
      </c>
      <c r="AD35" s="16">
        <v>7.5324369999999998</v>
      </c>
      <c r="AE35" s="16"/>
      <c r="AF35" s="17">
        <v>-140.74133399999999</v>
      </c>
      <c r="AG35" s="17">
        <v>-140.74133399999999</v>
      </c>
      <c r="AH35" s="17"/>
      <c r="AI35" s="17"/>
      <c r="AJ35" s="17"/>
      <c r="AK35" s="17"/>
      <c r="AL35" s="16">
        <v>5.4076719999999998</v>
      </c>
      <c r="AM35" s="16">
        <v>0</v>
      </c>
      <c r="AN35" s="16">
        <v>822.26752199999999</v>
      </c>
      <c r="AO35" s="16">
        <v>822.26752199999999</v>
      </c>
      <c r="AQ35" s="1" t="str">
        <f t="shared" ref="AQ35:AQ65" si="43">B35</f>
        <v>MIDAT_TSC+CC90</v>
      </c>
      <c r="AR35" s="1" t="str">
        <f t="shared" ref="AR35:AR65" si="44">C35</f>
        <v>Ethane</v>
      </c>
      <c r="AS35" s="12">
        <f t="shared" ref="AS35:AS65" si="45">SUM(AY35:BG35)+BI35+BJ35</f>
        <v>873.02726125014237</v>
      </c>
      <c r="AT35" s="12">
        <f t="shared" ref="AT35:AT65" si="46">SUM(AY35:BG35)+BL35+BM35</f>
        <v>873.02726125014237</v>
      </c>
      <c r="AU35" s="5">
        <f t="shared" ref="AU35:AU66" si="47">AS35-AT35</f>
        <v>0</v>
      </c>
      <c r="AV35" s="12">
        <f t="shared" ref="AV35:AV65" si="48">SUM(AY35:BG35)+BO35+BP35</f>
        <v>1104.7384879242875</v>
      </c>
      <c r="AW35" s="12">
        <f t="shared" ref="AW35:AW65" si="49">SUM(AY35:BG35)+BR35+BS35</f>
        <v>1104.7384879242875</v>
      </c>
      <c r="AX35" s="5">
        <f t="shared" ref="AX35:AX66" si="50">AV35-AW35</f>
        <v>0</v>
      </c>
      <c r="AY35" s="5">
        <f t="shared" ref="AY35:AY65" si="51">E35/H35*AD35</f>
        <v>0</v>
      </c>
      <c r="AZ35" s="1">
        <f t="shared" ref="AZ35:AZ65" si="52">F35/H35*AD35*-1</f>
        <v>0</v>
      </c>
      <c r="BA35" s="1">
        <f t="shared" ref="BA35:BA65" si="53">G35/H35*AC35</f>
        <v>3.2606102918737871</v>
      </c>
      <c r="BB35" s="1">
        <f t="shared" ref="BB35:BB65" si="54">1/H35*Z35</f>
        <v>414.04082420313915</v>
      </c>
      <c r="BC35" s="1">
        <f t="shared" ref="BC35:BC65" si="55">I35/H35*AL35</f>
        <v>2.3118447196348555</v>
      </c>
      <c r="BD35" s="1">
        <f t="shared" ref="BD35:BD65" si="56">J35/H35*AL35*-1</f>
        <v>0</v>
      </c>
      <c r="BE35" s="1">
        <f t="shared" ref="BE35:BE65" si="57">O35/H35/(0.9*8760)</f>
        <v>255.2819824195449</v>
      </c>
      <c r="BF35" s="1">
        <f t="shared" ref="BF35:BF65" si="58">P35/H35/(0.9*8760)</f>
        <v>139.72444442555911</v>
      </c>
      <c r="BG35" s="1">
        <f t="shared" ref="BG35:BG65" si="59">Q35/H35</f>
        <v>34.033135894034963</v>
      </c>
      <c r="BH35" s="1">
        <f t="shared" ref="BH35:BH65" si="60">CE35+CF35+CG35</f>
        <v>1.1113075755548278</v>
      </c>
      <c r="BI35" s="1">
        <f t="shared" ref="BI35:BI65" si="61">(T35+U35)*-1*M35/H35</f>
        <v>-57.549886056758737</v>
      </c>
      <c r="BJ35" s="1">
        <f t="shared" ref="BJ35:BJ65" si="62">BH35*T35</f>
        <v>81.924305353114264</v>
      </c>
      <c r="BK35" s="1">
        <f t="shared" ref="BK35:BK65" si="63">CE35+CF35</f>
        <v>0.11113075755548275</v>
      </c>
      <c r="BL35" s="1">
        <f t="shared" ref="BL35:BL65" si="64">U35*M35*-1/H35</f>
        <v>16.181988761044106</v>
      </c>
      <c r="BM35" s="1">
        <f t="shared" ref="BM35:BM65" si="65">BK35*T35</f>
        <v>8.1924305353114235</v>
      </c>
      <c r="BN35" s="1">
        <f t="shared" ref="BN35:BN65" si="66">SUM(CD35:CH35)</f>
        <v>4.2544827350411296</v>
      </c>
      <c r="BO35" s="1">
        <f t="shared" ref="BO35:BO65" si="67">(T35+U35)*-1*M35/H35</f>
        <v>-57.549886056758737</v>
      </c>
      <c r="BP35" s="1">
        <f t="shared" ref="BP35:BP65" si="68">BN35*T35</f>
        <v>313.63553202725944</v>
      </c>
      <c r="BQ35" s="1">
        <f t="shared" ref="BQ35:BQ65" si="69">CD35+CE35+CF35+CH35</f>
        <v>3.2543059170417847</v>
      </c>
      <c r="BR35" s="1">
        <f t="shared" ref="BR35:BR65" si="70">M35/H35*U35*-1</f>
        <v>16.181988761044106</v>
      </c>
      <c r="BS35" s="1">
        <f t="shared" ref="BS35:BS65" si="71">T35*BQ35</f>
        <v>239.90365720945661</v>
      </c>
      <c r="BU35" s="9">
        <v>3.14</v>
      </c>
      <c r="BV35" s="10">
        <v>0.22181100240000001</v>
      </c>
      <c r="BW35" s="9">
        <v>0.18104824</v>
      </c>
      <c r="BX35" s="9">
        <v>1.5714286000000001E-2</v>
      </c>
      <c r="BZ35" s="10">
        <f t="shared" ref="BZ35:BZ65" si="72">1/H35*BV35</f>
        <v>4.1770824382695828</v>
      </c>
      <c r="CA35" s="10">
        <f t="shared" ref="CA35:CA65" si="73">I35/H35*BW35</f>
        <v>7.7400296771546806E-2</v>
      </c>
      <c r="CB35" s="10">
        <f t="shared" ref="CB35:CB66" si="74">BZ35+CA35</f>
        <v>4.2544827350411296</v>
      </c>
      <c r="CD35" s="10">
        <f t="shared" ref="CD35:CD65" si="75">BU35</f>
        <v>3.14</v>
      </c>
      <c r="CE35" s="10">
        <f t="shared" ref="CE35:CE65" si="76">J35/H35*BW35</f>
        <v>0</v>
      </c>
      <c r="CF35" s="10">
        <f t="shared" ref="CF35:CF66" si="77">(CB35-CD35-CE35-CH35)*(1-D35)</f>
        <v>0.11113075755548275</v>
      </c>
      <c r="CG35" s="10">
        <f t="shared" ref="CG35:CG66" si="78">(CB35-CD35-CE35-CH35)*D35</f>
        <v>1.0001768179993451</v>
      </c>
      <c r="CH35" s="10">
        <f t="shared" ref="CH35:CH65" si="79">BX35*R35</f>
        <v>3.1751594863016004E-3</v>
      </c>
      <c r="CI35" s="10">
        <f t="shared" ref="CI35:CI66" si="80">SUM(CD35:CH35)</f>
        <v>4.2544827350411296</v>
      </c>
      <c r="CK35" s="1">
        <f t="shared" ref="CK35:CK65" si="81">CI35-CB35</f>
        <v>0</v>
      </c>
    </row>
    <row r="36" spans="2:89" x14ac:dyDescent="0.2">
      <c r="B36" s="14" t="s">
        <v>118</v>
      </c>
      <c r="C36" s="13" t="s">
        <v>85</v>
      </c>
      <c r="D36" s="13">
        <v>0</v>
      </c>
      <c r="E36" s="13">
        <v>0</v>
      </c>
      <c r="F36" s="13">
        <v>0.15985314340000001</v>
      </c>
      <c r="G36" s="13">
        <v>0</v>
      </c>
      <c r="H36" s="13">
        <v>5.3101897240000001E-2</v>
      </c>
      <c r="I36" s="13">
        <v>0.13183228590000001</v>
      </c>
      <c r="J36" s="13">
        <v>0</v>
      </c>
      <c r="K36" s="13">
        <v>0</v>
      </c>
      <c r="L36" s="13">
        <v>7.8770440999999997E-2</v>
      </c>
      <c r="M36" s="11">
        <f t="shared" si="41"/>
        <v>0</v>
      </c>
      <c r="N36" s="11">
        <f t="shared" si="42"/>
        <v>7.877044141100964E-2</v>
      </c>
      <c r="O36" s="13">
        <v>99124.320160000003</v>
      </c>
      <c r="P36" s="13">
        <v>54251.997770000002</v>
      </c>
      <c r="Q36" s="13">
        <v>1.6761597559999999</v>
      </c>
      <c r="R36" s="11">
        <v>0.2020556</v>
      </c>
      <c r="T36" s="16">
        <v>73.71884</v>
      </c>
      <c r="U36" s="16">
        <v>-16.179127999999999</v>
      </c>
      <c r="V36" s="16">
        <v>58.461202</v>
      </c>
      <c r="W36" s="16">
        <v>19.647223</v>
      </c>
      <c r="X36" s="16">
        <v>40.820307</v>
      </c>
      <c r="Y36" s="22">
        <v>420</v>
      </c>
      <c r="Z36" s="11">
        <v>21.986353300000001</v>
      </c>
      <c r="AA36" s="17">
        <v>-2.2030439999999998</v>
      </c>
      <c r="AB36" s="17"/>
      <c r="AC36" s="16">
        <v>21.500722</v>
      </c>
      <c r="AD36" s="16">
        <v>7.5324369999999998</v>
      </c>
      <c r="AE36" s="16"/>
      <c r="AF36" s="17">
        <v>-140.74133399999999</v>
      </c>
      <c r="AG36" s="17">
        <v>-140.74133399999999</v>
      </c>
      <c r="AH36" s="17"/>
      <c r="AI36" s="17"/>
      <c r="AJ36" s="17"/>
      <c r="AK36" s="17"/>
      <c r="AL36" s="16">
        <v>5.4076719999999998</v>
      </c>
      <c r="AM36" s="16">
        <v>0</v>
      </c>
      <c r="AN36" s="16">
        <v>822.26752199999999</v>
      </c>
      <c r="AO36" s="16">
        <v>822.26752199999999</v>
      </c>
      <c r="AQ36" s="1" t="str">
        <f t="shared" si="43"/>
        <v>MIDAT_TSC:H2</v>
      </c>
      <c r="AR36" s="1" t="str">
        <f t="shared" si="44"/>
        <v>Ethane</v>
      </c>
      <c r="AS36" s="12">
        <f t="shared" si="45"/>
        <v>912.06393211604814</v>
      </c>
      <c r="AT36" s="12">
        <f t="shared" si="46"/>
        <v>912.06393211604814</v>
      </c>
      <c r="AU36" s="5">
        <f t="shared" si="47"/>
        <v>0</v>
      </c>
      <c r="AV36" s="12">
        <f t="shared" si="48"/>
        <v>1143.7751587901932</v>
      </c>
      <c r="AW36" s="12">
        <f t="shared" si="49"/>
        <v>1143.7751587901932</v>
      </c>
      <c r="AX36" s="5">
        <f t="shared" si="50"/>
        <v>0</v>
      </c>
      <c r="AY36" s="5">
        <f t="shared" si="51"/>
        <v>0</v>
      </c>
      <c r="AZ36" s="1">
        <f t="shared" si="52"/>
        <v>-22.674966328801283</v>
      </c>
      <c r="BA36" s="1">
        <f t="shared" si="53"/>
        <v>0</v>
      </c>
      <c r="BB36" s="1">
        <f t="shared" si="54"/>
        <v>414.04082420313915</v>
      </c>
      <c r="BC36" s="1">
        <f t="shared" si="55"/>
        <v>13.425240871062799</v>
      </c>
      <c r="BD36" s="1">
        <f t="shared" si="56"/>
        <v>0</v>
      </c>
      <c r="BE36" s="1">
        <f t="shared" si="57"/>
        <v>236.76830668400294</v>
      </c>
      <c r="BF36" s="1">
        <f t="shared" si="58"/>
        <v>129.58629754527846</v>
      </c>
      <c r="BG36" s="1">
        <f t="shared" si="59"/>
        <v>31.564969297130897</v>
      </c>
      <c r="BH36" s="1">
        <f t="shared" si="60"/>
        <v>1.4833828074917506</v>
      </c>
      <c r="BI36" s="1">
        <f t="shared" si="61"/>
        <v>0</v>
      </c>
      <c r="BJ36" s="1">
        <f t="shared" si="62"/>
        <v>109.35325984423515</v>
      </c>
      <c r="BK36" s="1">
        <f t="shared" si="63"/>
        <v>1.4833828074917506</v>
      </c>
      <c r="BL36" s="1">
        <f t="shared" si="64"/>
        <v>0</v>
      </c>
      <c r="BM36" s="1">
        <f t="shared" si="65"/>
        <v>109.35325984423515</v>
      </c>
      <c r="BN36" s="1">
        <f t="shared" si="66"/>
        <v>4.6265579669780523</v>
      </c>
      <c r="BO36" s="1">
        <f t="shared" si="67"/>
        <v>0</v>
      </c>
      <c r="BP36" s="1">
        <f t="shared" si="68"/>
        <v>341.06448651838031</v>
      </c>
      <c r="BQ36" s="1">
        <f t="shared" si="69"/>
        <v>4.6265579669780523</v>
      </c>
      <c r="BR36" s="1">
        <f t="shared" si="70"/>
        <v>0</v>
      </c>
      <c r="BS36" s="1">
        <f t="shared" si="71"/>
        <v>341.06448651838031</v>
      </c>
      <c r="BU36" s="9">
        <v>3.14</v>
      </c>
      <c r="BV36" s="10">
        <v>0.22181100240000001</v>
      </c>
      <c r="BW36" s="9">
        <v>0.18104824</v>
      </c>
      <c r="BX36" s="9">
        <v>1.5714286000000001E-2</v>
      </c>
      <c r="BZ36" s="10">
        <f t="shared" si="72"/>
        <v>4.1770824382695828</v>
      </c>
      <c r="CA36" s="10">
        <f t="shared" si="73"/>
        <v>0.44947552870846952</v>
      </c>
      <c r="CB36" s="10">
        <f t="shared" si="74"/>
        <v>4.6265579669780523</v>
      </c>
      <c r="CD36" s="10">
        <f t="shared" si="75"/>
        <v>3.14</v>
      </c>
      <c r="CE36" s="10">
        <f t="shared" si="76"/>
        <v>0</v>
      </c>
      <c r="CF36" s="10">
        <f t="shared" si="77"/>
        <v>1.4833828074917506</v>
      </c>
      <c r="CG36" s="10">
        <f t="shared" si="78"/>
        <v>0</v>
      </c>
      <c r="CH36" s="10">
        <f t="shared" si="79"/>
        <v>3.1751594863016004E-3</v>
      </c>
      <c r="CI36" s="10">
        <f t="shared" si="80"/>
        <v>4.6265579669780523</v>
      </c>
      <c r="CK36" s="1">
        <f t="shared" si="81"/>
        <v>0</v>
      </c>
    </row>
    <row r="37" spans="2:89" x14ac:dyDescent="0.2">
      <c r="B37" s="14" t="s">
        <v>119</v>
      </c>
      <c r="C37" s="13" t="s">
        <v>85</v>
      </c>
      <c r="D37" s="13">
        <v>0.9</v>
      </c>
      <c r="E37" s="13">
        <v>0</v>
      </c>
      <c r="F37" s="13">
        <v>0.15985314340000001</v>
      </c>
      <c r="G37" s="13">
        <v>9.3887366979999998E-3</v>
      </c>
      <c r="H37" s="13">
        <v>5.3101897240000001E-2</v>
      </c>
      <c r="I37" s="13">
        <v>0.13183228590000001</v>
      </c>
      <c r="J37" s="13">
        <v>0</v>
      </c>
      <c r="K37" s="13">
        <v>7.0893396999999997E-2</v>
      </c>
      <c r="L37" s="13">
        <v>7.8770439999999997E-3</v>
      </c>
      <c r="M37" s="11">
        <f t="shared" si="41"/>
        <v>7.0893397269908676E-2</v>
      </c>
      <c r="N37" s="11">
        <f t="shared" si="42"/>
        <v>7.8770441411009622E-3</v>
      </c>
      <c r="O37" s="13">
        <v>106900.97410000001</v>
      </c>
      <c r="P37" s="13">
        <v>58510.185810000003</v>
      </c>
      <c r="Q37" s="13">
        <v>1.807660423</v>
      </c>
      <c r="R37" s="11">
        <v>0.2020556</v>
      </c>
      <c r="T37" s="16">
        <v>73.71884</v>
      </c>
      <c r="U37" s="16">
        <v>-16.179127999999999</v>
      </c>
      <c r="V37" s="16">
        <v>58.461202</v>
      </c>
      <c r="W37" s="16">
        <v>19.647223</v>
      </c>
      <c r="X37" s="16">
        <v>40.820307</v>
      </c>
      <c r="Y37" s="22">
        <v>420</v>
      </c>
      <c r="Z37" s="11">
        <v>21.986353300000001</v>
      </c>
      <c r="AA37" s="17">
        <v>-2.2030439999999998</v>
      </c>
      <c r="AB37" s="17"/>
      <c r="AC37" s="16">
        <v>21.500722</v>
      </c>
      <c r="AD37" s="16">
        <v>7.5324369999999998</v>
      </c>
      <c r="AE37" s="16"/>
      <c r="AF37" s="17">
        <v>-140.74133399999999</v>
      </c>
      <c r="AG37" s="17">
        <v>-140.74133399999999</v>
      </c>
      <c r="AH37" s="17"/>
      <c r="AI37" s="17"/>
      <c r="AJ37" s="17"/>
      <c r="AK37" s="17"/>
      <c r="AL37" s="16">
        <v>5.4076719999999998</v>
      </c>
      <c r="AM37" s="16">
        <v>0</v>
      </c>
      <c r="AN37" s="16">
        <v>822.26752199999999</v>
      </c>
      <c r="AO37" s="16">
        <v>822.26752199999999</v>
      </c>
      <c r="AQ37" s="1" t="str">
        <f t="shared" si="43"/>
        <v>MIDAT_TSC+CC90:H2</v>
      </c>
      <c r="AR37" s="1" t="str">
        <f t="shared" si="44"/>
        <v>Ethane</v>
      </c>
      <c r="AS37" s="12">
        <f t="shared" si="45"/>
        <v>870.270114016977</v>
      </c>
      <c r="AT37" s="12">
        <f t="shared" si="46"/>
        <v>870.270114016977</v>
      </c>
      <c r="AU37" s="5">
        <f t="shared" si="47"/>
        <v>0</v>
      </c>
      <c r="AV37" s="12">
        <f t="shared" si="48"/>
        <v>1101.9813406911221</v>
      </c>
      <c r="AW37" s="12">
        <f t="shared" si="49"/>
        <v>1101.9813406911221</v>
      </c>
      <c r="AX37" s="5">
        <f t="shared" si="50"/>
        <v>0</v>
      </c>
      <c r="AY37" s="5">
        <f t="shared" si="51"/>
        <v>0</v>
      </c>
      <c r="AZ37" s="1">
        <f t="shared" si="52"/>
        <v>-22.674966328801283</v>
      </c>
      <c r="BA37" s="1">
        <f t="shared" si="53"/>
        <v>3.8014577287614806</v>
      </c>
      <c r="BB37" s="1">
        <f t="shared" si="54"/>
        <v>414.04082420313915</v>
      </c>
      <c r="BC37" s="1">
        <f t="shared" si="55"/>
        <v>13.425240871062799</v>
      </c>
      <c r="BD37" s="1">
        <f t="shared" si="56"/>
        <v>0</v>
      </c>
      <c r="BE37" s="1">
        <f t="shared" si="57"/>
        <v>255.34361879781346</v>
      </c>
      <c r="BF37" s="1">
        <f t="shared" si="58"/>
        <v>139.75740358812948</v>
      </c>
      <c r="BG37" s="1">
        <f t="shared" si="59"/>
        <v>34.041352888580896</v>
      </c>
      <c r="BH37" s="1">
        <f t="shared" si="60"/>
        <v>1.4833828074917506</v>
      </c>
      <c r="BI37" s="1">
        <f t="shared" si="61"/>
        <v>-76.818077575944088</v>
      </c>
      <c r="BJ37" s="1">
        <f t="shared" si="62"/>
        <v>109.35325984423515</v>
      </c>
      <c r="BK37" s="1">
        <f t="shared" si="63"/>
        <v>0.14833828074917502</v>
      </c>
      <c r="BL37" s="1">
        <f t="shared" si="64"/>
        <v>21.599856283867549</v>
      </c>
      <c r="BM37" s="1">
        <f t="shared" si="65"/>
        <v>10.935325984423514</v>
      </c>
      <c r="BN37" s="1">
        <f t="shared" si="66"/>
        <v>4.6265579669780514</v>
      </c>
      <c r="BO37" s="1">
        <f t="shared" si="67"/>
        <v>-76.818077575944088</v>
      </c>
      <c r="BP37" s="1">
        <f t="shared" si="68"/>
        <v>341.06448651838025</v>
      </c>
      <c r="BQ37" s="1">
        <f t="shared" si="69"/>
        <v>3.2915134402354767</v>
      </c>
      <c r="BR37" s="1">
        <f t="shared" si="70"/>
        <v>21.599856283867549</v>
      </c>
      <c r="BS37" s="1">
        <f t="shared" si="71"/>
        <v>242.64655265856865</v>
      </c>
      <c r="BU37" s="9">
        <v>3.14</v>
      </c>
      <c r="BV37" s="10">
        <v>0.22181100240000001</v>
      </c>
      <c r="BW37" s="9">
        <v>0.18104824</v>
      </c>
      <c r="BX37" s="9">
        <v>1.5714286000000001E-2</v>
      </c>
      <c r="BZ37" s="10">
        <f t="shared" si="72"/>
        <v>4.1770824382695828</v>
      </c>
      <c r="CA37" s="10">
        <f t="shared" si="73"/>
        <v>0.44947552870846952</v>
      </c>
      <c r="CB37" s="10">
        <f t="shared" si="74"/>
        <v>4.6265579669780523</v>
      </c>
      <c r="CD37" s="10">
        <f t="shared" si="75"/>
        <v>3.14</v>
      </c>
      <c r="CE37" s="10">
        <f t="shared" si="76"/>
        <v>0</v>
      </c>
      <c r="CF37" s="10">
        <f t="shared" si="77"/>
        <v>0.14833828074917502</v>
      </c>
      <c r="CG37" s="10">
        <f t="shared" si="78"/>
        <v>1.3350445267425755</v>
      </c>
      <c r="CH37" s="10">
        <f t="shared" si="79"/>
        <v>3.1751594863016004E-3</v>
      </c>
      <c r="CI37" s="10">
        <f t="shared" si="80"/>
        <v>4.6265579669780514</v>
      </c>
      <c r="CK37" s="1">
        <f t="shared" si="81"/>
        <v>0</v>
      </c>
    </row>
    <row r="38" spans="2:89" x14ac:dyDescent="0.2">
      <c r="B38" s="14" t="s">
        <v>120</v>
      </c>
      <c r="C38" s="13" t="s">
        <v>85</v>
      </c>
      <c r="D38" s="13">
        <v>0</v>
      </c>
      <c r="E38" s="13">
        <v>2.226644157E-2</v>
      </c>
      <c r="F38" s="13">
        <v>0</v>
      </c>
      <c r="G38" s="13">
        <v>0</v>
      </c>
      <c r="H38" s="13">
        <v>5.3101897240000001E-2</v>
      </c>
      <c r="I38" s="13">
        <v>0</v>
      </c>
      <c r="J38" s="13">
        <v>0</v>
      </c>
      <c r="K38" s="13">
        <v>0</v>
      </c>
      <c r="L38" s="13">
        <v>5.4902437999999998E-2</v>
      </c>
      <c r="M38" s="11">
        <f t="shared" si="41"/>
        <v>0</v>
      </c>
      <c r="N38" s="11">
        <f t="shared" si="42"/>
        <v>5.4902438073637823E-2</v>
      </c>
      <c r="O38" s="13">
        <v>99124.320160000003</v>
      </c>
      <c r="P38" s="13">
        <v>54251.997770000002</v>
      </c>
      <c r="Q38" s="13">
        <v>1.6761597559999999</v>
      </c>
      <c r="R38" s="11">
        <v>0.2020556</v>
      </c>
      <c r="T38" s="16">
        <v>73.71884</v>
      </c>
      <c r="U38" s="16">
        <v>-16.179127999999999</v>
      </c>
      <c r="V38" s="16">
        <v>58.461202</v>
      </c>
      <c r="W38" s="16">
        <v>19.647223</v>
      </c>
      <c r="X38" s="16">
        <v>40.820307</v>
      </c>
      <c r="Y38" s="22">
        <v>420</v>
      </c>
      <c r="Z38" s="11">
        <v>21.986353300000001</v>
      </c>
      <c r="AA38" s="17">
        <v>-2.2030439999999998</v>
      </c>
      <c r="AB38" s="17"/>
      <c r="AC38" s="16">
        <v>21.500722</v>
      </c>
      <c r="AD38" s="16">
        <v>7.5324369999999998</v>
      </c>
      <c r="AE38" s="16"/>
      <c r="AF38" s="17">
        <v>-140.74133399999999</v>
      </c>
      <c r="AG38" s="17">
        <v>-140.74133399999999</v>
      </c>
      <c r="AH38" s="17"/>
      <c r="AI38" s="17"/>
      <c r="AJ38" s="17"/>
      <c r="AK38" s="17"/>
      <c r="AL38" s="16">
        <v>5.4076719999999998</v>
      </c>
      <c r="AM38" s="16">
        <v>0</v>
      </c>
      <c r="AN38" s="16">
        <v>822.26752199999999</v>
      </c>
      <c r="AO38" s="16">
        <v>822.26752199999999</v>
      </c>
      <c r="AQ38" s="1" t="str">
        <f t="shared" si="43"/>
        <v>MIDAT_TSC+H2in</v>
      </c>
      <c r="AR38" s="1" t="str">
        <f t="shared" si="44"/>
        <v>Ethane</v>
      </c>
      <c r="AS38" s="12">
        <f t="shared" si="45"/>
        <v>891.33730957980356</v>
      </c>
      <c r="AT38" s="12">
        <f t="shared" si="46"/>
        <v>891.33730957980356</v>
      </c>
      <c r="AU38" s="5">
        <f t="shared" si="47"/>
        <v>0</v>
      </c>
      <c r="AV38" s="12">
        <f t="shared" si="48"/>
        <v>1123.0485362539487</v>
      </c>
      <c r="AW38" s="12">
        <f t="shared" si="49"/>
        <v>1123.0485362539487</v>
      </c>
      <c r="AX38" s="5">
        <f t="shared" si="50"/>
        <v>0</v>
      </c>
      <c r="AY38" s="5">
        <f t="shared" si="51"/>
        <v>3.158466590791928</v>
      </c>
      <c r="AZ38" s="1">
        <f t="shared" si="52"/>
        <v>0</v>
      </c>
      <c r="BA38" s="1">
        <f t="shared" si="53"/>
        <v>0</v>
      </c>
      <c r="BB38" s="1">
        <f t="shared" si="54"/>
        <v>414.04082420313915</v>
      </c>
      <c r="BC38" s="1">
        <f t="shared" si="55"/>
        <v>0</v>
      </c>
      <c r="BD38" s="1">
        <f t="shared" si="56"/>
        <v>0</v>
      </c>
      <c r="BE38" s="1">
        <f t="shared" si="57"/>
        <v>236.76830668400294</v>
      </c>
      <c r="BF38" s="1">
        <f t="shared" si="58"/>
        <v>129.58629754527846</v>
      </c>
      <c r="BG38" s="1">
        <f t="shared" si="59"/>
        <v>31.564969297130897</v>
      </c>
      <c r="BH38" s="1">
        <f t="shared" si="60"/>
        <v>1.033907278783281</v>
      </c>
      <c r="BI38" s="1">
        <f t="shared" si="61"/>
        <v>0</v>
      </c>
      <c r="BJ38" s="1">
        <f t="shared" si="62"/>
        <v>76.218445259460083</v>
      </c>
      <c r="BK38" s="1">
        <f t="shared" si="63"/>
        <v>1.033907278783281</v>
      </c>
      <c r="BL38" s="1">
        <f t="shared" si="64"/>
        <v>0</v>
      </c>
      <c r="BM38" s="1">
        <f t="shared" si="65"/>
        <v>76.218445259460083</v>
      </c>
      <c r="BN38" s="1">
        <f t="shared" si="66"/>
        <v>4.1770824382695819</v>
      </c>
      <c r="BO38" s="1">
        <f t="shared" si="67"/>
        <v>0</v>
      </c>
      <c r="BP38" s="1">
        <f t="shared" si="68"/>
        <v>307.92967193360516</v>
      </c>
      <c r="BQ38" s="1">
        <f t="shared" si="69"/>
        <v>4.1770824382695819</v>
      </c>
      <c r="BR38" s="1">
        <f t="shared" si="70"/>
        <v>0</v>
      </c>
      <c r="BS38" s="1">
        <f t="shared" si="71"/>
        <v>307.92967193360516</v>
      </c>
      <c r="BU38" s="9">
        <v>3.14</v>
      </c>
      <c r="BV38" s="10">
        <v>0.22181100240000001</v>
      </c>
      <c r="BW38" s="9">
        <v>0.18104824</v>
      </c>
      <c r="BX38" s="9">
        <v>1.5714286000000001E-2</v>
      </c>
      <c r="BZ38" s="10">
        <f t="shared" si="72"/>
        <v>4.1770824382695828</v>
      </c>
      <c r="CA38" s="10">
        <f t="shared" si="73"/>
        <v>0</v>
      </c>
      <c r="CB38" s="10">
        <f t="shared" si="74"/>
        <v>4.1770824382695828</v>
      </c>
      <c r="CD38" s="10">
        <f t="shared" si="75"/>
        <v>3.14</v>
      </c>
      <c r="CE38" s="10">
        <f t="shared" si="76"/>
        <v>0</v>
      </c>
      <c r="CF38" s="10">
        <f t="shared" si="77"/>
        <v>1.033907278783281</v>
      </c>
      <c r="CG38" s="10">
        <f t="shared" si="78"/>
        <v>0</v>
      </c>
      <c r="CH38" s="10">
        <f t="shared" si="79"/>
        <v>3.1751594863016004E-3</v>
      </c>
      <c r="CI38" s="10">
        <f t="shared" si="80"/>
        <v>4.1770824382695819</v>
      </c>
      <c r="CK38" s="1">
        <f t="shared" si="81"/>
        <v>0</v>
      </c>
    </row>
    <row r="39" spans="2:89" x14ac:dyDescent="0.2">
      <c r="B39" s="14" t="s">
        <v>121</v>
      </c>
      <c r="C39" s="13" t="s">
        <v>85</v>
      </c>
      <c r="D39" s="13">
        <v>0</v>
      </c>
      <c r="E39" s="13">
        <v>0.1375867019</v>
      </c>
      <c r="F39" s="13">
        <v>0</v>
      </c>
      <c r="G39" s="13">
        <v>0</v>
      </c>
      <c r="H39" s="13">
        <v>5.3101897240000001E-2</v>
      </c>
      <c r="I39" s="13">
        <v>0</v>
      </c>
      <c r="J39" s="13">
        <v>0.11814249659999999</v>
      </c>
      <c r="K39" s="13">
        <v>0</v>
      </c>
      <c r="L39" s="13">
        <v>3.3512947000000001E-2</v>
      </c>
      <c r="M39" s="11">
        <f t="shared" si="41"/>
        <v>0</v>
      </c>
      <c r="N39" s="11">
        <f t="shared" si="42"/>
        <v>3.351294699500184E-2</v>
      </c>
      <c r="O39" s="13">
        <v>99124.320160000003</v>
      </c>
      <c r="P39" s="13">
        <v>54251.997770000002</v>
      </c>
      <c r="Q39" s="13">
        <v>1.6761597559999999</v>
      </c>
      <c r="R39" s="11">
        <v>0.2020556</v>
      </c>
      <c r="T39" s="16">
        <v>73.71884</v>
      </c>
      <c r="U39" s="16">
        <v>-16.179127999999999</v>
      </c>
      <c r="V39" s="16">
        <v>58.461202</v>
      </c>
      <c r="W39" s="16">
        <v>19.647223</v>
      </c>
      <c r="X39" s="16">
        <v>40.820307</v>
      </c>
      <c r="Y39" s="22">
        <v>420</v>
      </c>
      <c r="Z39" s="11">
        <v>21.986353300000001</v>
      </c>
      <c r="AA39" s="17">
        <v>-2.2030439999999998</v>
      </c>
      <c r="AB39" s="17"/>
      <c r="AC39" s="16">
        <v>21.500722</v>
      </c>
      <c r="AD39" s="16">
        <v>7.5324369999999998</v>
      </c>
      <c r="AE39" s="16"/>
      <c r="AF39" s="17">
        <v>-140.74133399999999</v>
      </c>
      <c r="AG39" s="17">
        <v>-140.74133399999999</v>
      </c>
      <c r="AH39" s="17"/>
      <c r="AI39" s="17"/>
      <c r="AJ39" s="17"/>
      <c r="AK39" s="17"/>
      <c r="AL39" s="16">
        <v>5.4076719999999998</v>
      </c>
      <c r="AM39" s="16">
        <v>0</v>
      </c>
      <c r="AN39" s="16">
        <v>822.26752199999999</v>
      </c>
      <c r="AO39" s="16">
        <v>822.26752199999999</v>
      </c>
      <c r="AQ39" s="1" t="str">
        <f t="shared" si="43"/>
        <v>MIDAT_TSC+H2in:CH4</v>
      </c>
      <c r="AR39" s="1" t="str">
        <f t="shared" si="44"/>
        <v>Ethane</v>
      </c>
      <c r="AS39" s="12">
        <f t="shared" si="45"/>
        <v>895.66421194728309</v>
      </c>
      <c r="AT39" s="12">
        <f t="shared" si="46"/>
        <v>895.66421194728309</v>
      </c>
      <c r="AU39" s="5">
        <f t="shared" si="47"/>
        <v>0</v>
      </c>
      <c r="AV39" s="12">
        <f t="shared" si="48"/>
        <v>1127.3754386214282</v>
      </c>
      <c r="AW39" s="12">
        <f t="shared" si="49"/>
        <v>1127.3754386214282</v>
      </c>
      <c r="AX39" s="5">
        <f t="shared" si="50"/>
        <v>0</v>
      </c>
      <c r="AY39" s="5">
        <f t="shared" si="51"/>
        <v>19.516499747938767</v>
      </c>
      <c r="AZ39" s="1">
        <f t="shared" si="52"/>
        <v>0</v>
      </c>
      <c r="BA39" s="1">
        <f t="shared" si="53"/>
        <v>0</v>
      </c>
      <c r="BB39" s="1">
        <f t="shared" si="54"/>
        <v>414.04082420313915</v>
      </c>
      <c r="BC39" s="1">
        <f t="shared" si="55"/>
        <v>0</v>
      </c>
      <c r="BD39" s="1">
        <f t="shared" si="56"/>
        <v>-12.031130789667341</v>
      </c>
      <c r="BE39" s="1">
        <f t="shared" si="57"/>
        <v>236.76830668400294</v>
      </c>
      <c r="BF39" s="1">
        <f t="shared" si="58"/>
        <v>129.58629754527846</v>
      </c>
      <c r="BG39" s="1">
        <f t="shared" si="59"/>
        <v>31.564969297130897</v>
      </c>
      <c r="BH39" s="1">
        <f t="shared" si="60"/>
        <v>1.033907278783281</v>
      </c>
      <c r="BI39" s="1">
        <f t="shared" si="61"/>
        <v>0</v>
      </c>
      <c r="BJ39" s="1">
        <f t="shared" si="62"/>
        <v>76.218445259460083</v>
      </c>
      <c r="BK39" s="1">
        <f t="shared" si="63"/>
        <v>1.033907278783281</v>
      </c>
      <c r="BL39" s="1">
        <f t="shared" si="64"/>
        <v>0</v>
      </c>
      <c r="BM39" s="1">
        <f t="shared" si="65"/>
        <v>76.218445259460083</v>
      </c>
      <c r="BN39" s="1">
        <f t="shared" si="66"/>
        <v>4.1770824382695819</v>
      </c>
      <c r="BO39" s="1">
        <f t="shared" si="67"/>
        <v>0</v>
      </c>
      <c r="BP39" s="1">
        <f t="shared" si="68"/>
        <v>307.92967193360516</v>
      </c>
      <c r="BQ39" s="1">
        <f t="shared" si="69"/>
        <v>4.1770824382695819</v>
      </c>
      <c r="BR39" s="1">
        <f t="shared" si="70"/>
        <v>0</v>
      </c>
      <c r="BS39" s="1">
        <f t="shared" si="71"/>
        <v>307.92967193360516</v>
      </c>
      <c r="BU39" s="9">
        <v>3.14</v>
      </c>
      <c r="BV39" s="10">
        <v>0.22181100240000001</v>
      </c>
      <c r="BW39" s="9">
        <v>0.18104824</v>
      </c>
      <c r="BX39" s="9">
        <v>1.5714286000000001E-2</v>
      </c>
      <c r="BZ39" s="10">
        <f t="shared" si="72"/>
        <v>4.1770824382695828</v>
      </c>
      <c r="CA39" s="10">
        <f t="shared" si="73"/>
        <v>0</v>
      </c>
      <c r="CB39" s="10">
        <f t="shared" si="74"/>
        <v>4.1770824382695828</v>
      </c>
      <c r="CD39" s="10">
        <f t="shared" si="75"/>
        <v>3.14</v>
      </c>
      <c r="CE39" s="10">
        <f t="shared" si="76"/>
        <v>0.40280088264951763</v>
      </c>
      <c r="CF39" s="10">
        <f t="shared" si="77"/>
        <v>0.6311063961337634</v>
      </c>
      <c r="CG39" s="10">
        <f t="shared" si="78"/>
        <v>0</v>
      </c>
      <c r="CH39" s="10">
        <f t="shared" si="79"/>
        <v>3.1751594863016004E-3</v>
      </c>
      <c r="CI39" s="10">
        <f t="shared" si="80"/>
        <v>4.1770824382695819</v>
      </c>
      <c r="CK39" s="1">
        <f t="shared" si="81"/>
        <v>0</v>
      </c>
    </row>
    <row r="40" spans="2:89" x14ac:dyDescent="0.2">
      <c r="B40" s="14" t="s">
        <v>122</v>
      </c>
      <c r="C40" s="13" t="s">
        <v>85</v>
      </c>
      <c r="D40" s="13">
        <v>0.9</v>
      </c>
      <c r="E40" s="13">
        <v>0</v>
      </c>
      <c r="F40" s="13">
        <v>0</v>
      </c>
      <c r="G40" s="13">
        <v>8.0529664380000008E-3</v>
      </c>
      <c r="H40" s="13">
        <v>5.3101897240000001E-2</v>
      </c>
      <c r="I40" s="13">
        <v>2.270169876E-2</v>
      </c>
      <c r="J40" s="13">
        <v>0</v>
      </c>
      <c r="K40" s="13">
        <v>5.3111287E-2</v>
      </c>
      <c r="L40" s="13">
        <v>5.9012539999999999E-3</v>
      </c>
      <c r="M40" s="11">
        <f t="shared" si="41"/>
        <v>5.3111286611231406E-2</v>
      </c>
      <c r="N40" s="11">
        <f t="shared" si="42"/>
        <v>5.9012540679145992E-3</v>
      </c>
      <c r="O40" s="13">
        <v>106875.1697</v>
      </c>
      <c r="P40" s="13">
        <v>58496.387280000003</v>
      </c>
      <c r="Q40" s="13">
        <v>1.8072240850000001</v>
      </c>
      <c r="R40" s="11">
        <v>0.2020556</v>
      </c>
      <c r="T40" s="16">
        <v>73.71884</v>
      </c>
      <c r="U40" s="16">
        <v>-23.276809</v>
      </c>
      <c r="V40" s="16">
        <v>60.47681</v>
      </c>
      <c r="W40" s="16">
        <v>28.904357999999998</v>
      </c>
      <c r="X40" s="16">
        <v>39.957475000000002</v>
      </c>
      <c r="Y40" s="22">
        <v>420</v>
      </c>
      <c r="Z40" s="11">
        <v>21.986353300000001</v>
      </c>
      <c r="AA40" s="17">
        <v>-2.703157</v>
      </c>
      <c r="AB40" s="17"/>
      <c r="AC40" s="16">
        <v>20.789991000000001</v>
      </c>
      <c r="AD40" s="16">
        <v>9.1959800000000005</v>
      </c>
      <c r="AE40" s="16"/>
      <c r="AF40" s="17">
        <v>-150.75578899999999</v>
      </c>
      <c r="AG40" s="17">
        <v>-150.75578899999999</v>
      </c>
      <c r="AH40" s="17"/>
      <c r="AI40" s="17"/>
      <c r="AJ40" s="17"/>
      <c r="AK40" s="17"/>
      <c r="AL40" s="16">
        <v>8.9604540000000004</v>
      </c>
      <c r="AM40" s="16">
        <v>0</v>
      </c>
      <c r="AN40" s="16">
        <v>822.26752199999999</v>
      </c>
      <c r="AO40" s="16">
        <v>0</v>
      </c>
      <c r="AQ40" s="1" t="str">
        <f t="shared" si="43"/>
        <v>NE_TSC+CC90</v>
      </c>
      <c r="AR40" s="1" t="str">
        <f t="shared" si="44"/>
        <v>Ethane</v>
      </c>
      <c r="AS40" s="12">
        <f t="shared" si="45"/>
        <v>881.53727100851688</v>
      </c>
      <c r="AT40" s="12">
        <f t="shared" si="46"/>
        <v>881.53727100851688</v>
      </c>
      <c r="AU40" s="5">
        <f t="shared" si="47"/>
        <v>0</v>
      </c>
      <c r="AV40" s="12">
        <f t="shared" si="48"/>
        <v>1113.248497682662</v>
      </c>
      <c r="AW40" s="12">
        <f t="shared" si="49"/>
        <v>1113.248497682662</v>
      </c>
      <c r="AX40" s="5">
        <f t="shared" si="50"/>
        <v>0</v>
      </c>
      <c r="AY40" s="5">
        <f t="shared" si="51"/>
        <v>0</v>
      </c>
      <c r="AZ40" s="1">
        <f t="shared" si="52"/>
        <v>0</v>
      </c>
      <c r="BA40" s="1">
        <f t="shared" si="53"/>
        <v>3.1528270828562599</v>
      </c>
      <c r="BB40" s="1">
        <f t="shared" si="54"/>
        <v>414.04082420313915</v>
      </c>
      <c r="BC40" s="1">
        <f t="shared" si="55"/>
        <v>3.8307016892723933</v>
      </c>
      <c r="BD40" s="1">
        <f t="shared" si="56"/>
        <v>0</v>
      </c>
      <c r="BE40" s="1">
        <f t="shared" si="57"/>
        <v>255.2819824195449</v>
      </c>
      <c r="BF40" s="1">
        <f t="shared" si="58"/>
        <v>139.72444442555911</v>
      </c>
      <c r="BG40" s="1">
        <f t="shared" si="59"/>
        <v>34.033135894034963</v>
      </c>
      <c r="BH40" s="1">
        <f t="shared" si="60"/>
        <v>1.1113075755548278</v>
      </c>
      <c r="BI40" s="1">
        <f t="shared" si="61"/>
        <v>-50.45095005900432</v>
      </c>
      <c r="BJ40" s="1">
        <f t="shared" si="62"/>
        <v>81.924305353114264</v>
      </c>
      <c r="BK40" s="1">
        <f t="shared" si="63"/>
        <v>0.11113075755548275</v>
      </c>
      <c r="BL40" s="1">
        <f t="shared" si="64"/>
        <v>23.28092475879852</v>
      </c>
      <c r="BM40" s="1">
        <f t="shared" si="65"/>
        <v>8.1924305353114235</v>
      </c>
      <c r="BN40" s="1">
        <f t="shared" si="66"/>
        <v>4.2544827350411296</v>
      </c>
      <c r="BO40" s="1">
        <f t="shared" si="67"/>
        <v>-50.45095005900432</v>
      </c>
      <c r="BP40" s="1">
        <f t="shared" si="68"/>
        <v>313.63553202725944</v>
      </c>
      <c r="BQ40" s="1">
        <f t="shared" si="69"/>
        <v>3.2543059170417847</v>
      </c>
      <c r="BR40" s="1">
        <f t="shared" si="70"/>
        <v>23.28092475879852</v>
      </c>
      <c r="BS40" s="1">
        <f t="shared" si="71"/>
        <v>239.90365720945661</v>
      </c>
      <c r="BU40" s="9">
        <v>3.14</v>
      </c>
      <c r="BV40" s="10">
        <v>0.22181100240000001</v>
      </c>
      <c r="BW40" s="9">
        <v>0.18104824</v>
      </c>
      <c r="BX40" s="9">
        <v>1.5714286000000001E-2</v>
      </c>
      <c r="BZ40" s="10">
        <f t="shared" si="72"/>
        <v>4.1770824382695828</v>
      </c>
      <c r="CA40" s="10">
        <f t="shared" si="73"/>
        <v>7.7400296771546806E-2</v>
      </c>
      <c r="CB40" s="10">
        <f t="shared" si="74"/>
        <v>4.2544827350411296</v>
      </c>
      <c r="CD40" s="10">
        <f t="shared" si="75"/>
        <v>3.14</v>
      </c>
      <c r="CE40" s="10">
        <f t="shared" si="76"/>
        <v>0</v>
      </c>
      <c r="CF40" s="10">
        <f t="shared" si="77"/>
        <v>0.11113075755548275</v>
      </c>
      <c r="CG40" s="10">
        <f t="shared" si="78"/>
        <v>1.0001768179993451</v>
      </c>
      <c r="CH40" s="10">
        <f t="shared" si="79"/>
        <v>3.1751594863016004E-3</v>
      </c>
      <c r="CI40" s="10">
        <f t="shared" si="80"/>
        <v>4.2544827350411296</v>
      </c>
      <c r="CK40" s="1">
        <f t="shared" si="81"/>
        <v>0</v>
      </c>
    </row>
    <row r="41" spans="2:89" x14ac:dyDescent="0.2">
      <c r="B41" s="14" t="s">
        <v>123</v>
      </c>
      <c r="C41" s="13" t="s">
        <v>85</v>
      </c>
      <c r="D41" s="13">
        <v>0</v>
      </c>
      <c r="E41" s="13">
        <v>0</v>
      </c>
      <c r="F41" s="13">
        <v>0.15985314340000001</v>
      </c>
      <c r="G41" s="13">
        <v>0</v>
      </c>
      <c r="H41" s="13">
        <v>5.3101897240000001E-2</v>
      </c>
      <c r="I41" s="13">
        <v>0.13183228590000001</v>
      </c>
      <c r="J41" s="13">
        <v>0</v>
      </c>
      <c r="K41" s="13">
        <v>0</v>
      </c>
      <c r="L41" s="13">
        <v>7.8770440999999997E-2</v>
      </c>
      <c r="M41" s="11">
        <f t="shared" si="41"/>
        <v>0</v>
      </c>
      <c r="N41" s="11">
        <f t="shared" si="42"/>
        <v>7.877044141100964E-2</v>
      </c>
      <c r="O41" s="13">
        <v>99124.320160000003</v>
      </c>
      <c r="P41" s="13">
        <v>54251.997770000002</v>
      </c>
      <c r="Q41" s="13">
        <v>1.6761597559999999</v>
      </c>
      <c r="R41" s="11">
        <v>0.2020556</v>
      </c>
      <c r="T41" s="16">
        <v>73.71884</v>
      </c>
      <c r="U41" s="16">
        <v>-23.276809</v>
      </c>
      <c r="V41" s="16">
        <v>60.47681</v>
      </c>
      <c r="W41" s="16">
        <v>28.904357999999998</v>
      </c>
      <c r="X41" s="16">
        <v>39.957475000000002</v>
      </c>
      <c r="Y41" s="22">
        <v>420</v>
      </c>
      <c r="Z41" s="11">
        <v>21.986353300000001</v>
      </c>
      <c r="AA41" s="17">
        <v>-2.703157</v>
      </c>
      <c r="AB41" s="17"/>
      <c r="AC41" s="16">
        <v>20.789991000000001</v>
      </c>
      <c r="AD41" s="16">
        <v>9.1959800000000005</v>
      </c>
      <c r="AE41" s="16"/>
      <c r="AF41" s="17">
        <v>-150.75578899999999</v>
      </c>
      <c r="AG41" s="17">
        <v>-150.75578899999999</v>
      </c>
      <c r="AH41" s="17"/>
      <c r="AI41" s="17"/>
      <c r="AJ41" s="17"/>
      <c r="AK41" s="17"/>
      <c r="AL41" s="16">
        <v>8.9604540000000004</v>
      </c>
      <c r="AM41" s="16">
        <v>0</v>
      </c>
      <c r="AN41" s="16">
        <v>822.26752199999999</v>
      </c>
      <c r="AO41" s="16">
        <v>0</v>
      </c>
      <c r="AQ41" s="1" t="str">
        <f t="shared" si="43"/>
        <v>NE_TSC:H2</v>
      </c>
      <c r="AR41" s="1" t="str">
        <f t="shared" si="44"/>
        <v>Ethane</v>
      </c>
      <c r="AS41" s="12">
        <f t="shared" si="45"/>
        <v>915.87639090105768</v>
      </c>
      <c r="AT41" s="12">
        <f t="shared" si="46"/>
        <v>915.87639090105768</v>
      </c>
      <c r="AU41" s="5">
        <f t="shared" si="47"/>
        <v>0</v>
      </c>
      <c r="AV41" s="12">
        <f t="shared" si="48"/>
        <v>1147.5876175752028</v>
      </c>
      <c r="AW41" s="12">
        <f t="shared" si="49"/>
        <v>1147.5876175752028</v>
      </c>
      <c r="AX41" s="5">
        <f t="shared" si="50"/>
        <v>0</v>
      </c>
      <c r="AY41" s="5">
        <f t="shared" si="51"/>
        <v>0</v>
      </c>
      <c r="AZ41" s="1">
        <f t="shared" si="52"/>
        <v>-27.682745552379668</v>
      </c>
      <c r="BA41" s="1">
        <f t="shared" si="53"/>
        <v>0</v>
      </c>
      <c r="BB41" s="1">
        <f t="shared" si="54"/>
        <v>414.04082420313915</v>
      </c>
      <c r="BC41" s="1">
        <f t="shared" si="55"/>
        <v>22.245478879650644</v>
      </c>
      <c r="BD41" s="1">
        <f t="shared" si="56"/>
        <v>0</v>
      </c>
      <c r="BE41" s="1">
        <f t="shared" si="57"/>
        <v>236.76830668400294</v>
      </c>
      <c r="BF41" s="1">
        <f t="shared" si="58"/>
        <v>129.58629754527846</v>
      </c>
      <c r="BG41" s="1">
        <f t="shared" si="59"/>
        <v>31.564969297130897</v>
      </c>
      <c r="BH41" s="1">
        <f t="shared" si="60"/>
        <v>1.4833828074917506</v>
      </c>
      <c r="BI41" s="1">
        <f t="shared" si="61"/>
        <v>0</v>
      </c>
      <c r="BJ41" s="1">
        <f t="shared" si="62"/>
        <v>109.35325984423515</v>
      </c>
      <c r="BK41" s="1">
        <f t="shared" si="63"/>
        <v>1.4833828074917506</v>
      </c>
      <c r="BL41" s="1">
        <f t="shared" si="64"/>
        <v>0</v>
      </c>
      <c r="BM41" s="1">
        <f t="shared" si="65"/>
        <v>109.35325984423515</v>
      </c>
      <c r="BN41" s="1">
        <f t="shared" si="66"/>
        <v>4.6265579669780523</v>
      </c>
      <c r="BO41" s="1">
        <f t="shared" si="67"/>
        <v>0</v>
      </c>
      <c r="BP41" s="1">
        <f t="shared" si="68"/>
        <v>341.06448651838031</v>
      </c>
      <c r="BQ41" s="1">
        <f t="shared" si="69"/>
        <v>4.6265579669780523</v>
      </c>
      <c r="BR41" s="1">
        <f t="shared" si="70"/>
        <v>0</v>
      </c>
      <c r="BS41" s="1">
        <f t="shared" si="71"/>
        <v>341.06448651838031</v>
      </c>
      <c r="BU41" s="9">
        <v>3.14</v>
      </c>
      <c r="BV41" s="10">
        <v>0.22181100240000001</v>
      </c>
      <c r="BW41" s="9">
        <v>0.18104824</v>
      </c>
      <c r="BX41" s="9">
        <v>1.5714286000000001E-2</v>
      </c>
      <c r="BZ41" s="10">
        <f t="shared" si="72"/>
        <v>4.1770824382695828</v>
      </c>
      <c r="CA41" s="10">
        <f t="shared" si="73"/>
        <v>0.44947552870846952</v>
      </c>
      <c r="CB41" s="10">
        <f t="shared" si="74"/>
        <v>4.6265579669780523</v>
      </c>
      <c r="CD41" s="10">
        <f t="shared" si="75"/>
        <v>3.14</v>
      </c>
      <c r="CE41" s="10">
        <f t="shared" si="76"/>
        <v>0</v>
      </c>
      <c r="CF41" s="10">
        <f t="shared" si="77"/>
        <v>1.4833828074917506</v>
      </c>
      <c r="CG41" s="10">
        <f t="shared" si="78"/>
        <v>0</v>
      </c>
      <c r="CH41" s="10">
        <f t="shared" si="79"/>
        <v>3.1751594863016004E-3</v>
      </c>
      <c r="CI41" s="10">
        <f t="shared" si="80"/>
        <v>4.6265579669780523</v>
      </c>
      <c r="CK41" s="1">
        <f t="shared" si="81"/>
        <v>0</v>
      </c>
    </row>
    <row r="42" spans="2:89" x14ac:dyDescent="0.2">
      <c r="B42" s="14" t="s">
        <v>124</v>
      </c>
      <c r="C42" s="13" t="s">
        <v>85</v>
      </c>
      <c r="D42" s="13">
        <v>0.9</v>
      </c>
      <c r="E42" s="13">
        <v>0</v>
      </c>
      <c r="F42" s="13">
        <v>0.15985314340000001</v>
      </c>
      <c r="G42" s="13">
        <v>9.3887366979999998E-3</v>
      </c>
      <c r="H42" s="13">
        <v>5.3101897240000001E-2</v>
      </c>
      <c r="I42" s="13">
        <v>0.13183228590000001</v>
      </c>
      <c r="J42" s="13">
        <v>0</v>
      </c>
      <c r="K42" s="13">
        <v>7.0893396999999997E-2</v>
      </c>
      <c r="L42" s="13">
        <v>7.8770439999999997E-3</v>
      </c>
      <c r="M42" s="11">
        <f t="shared" si="41"/>
        <v>7.0893397269908676E-2</v>
      </c>
      <c r="N42" s="11">
        <f t="shared" si="42"/>
        <v>7.8770441411009622E-3</v>
      </c>
      <c r="O42" s="13">
        <v>106900.97410000001</v>
      </c>
      <c r="P42" s="13">
        <v>58510.185810000003</v>
      </c>
      <c r="Q42" s="13">
        <v>1.807660423</v>
      </c>
      <c r="R42" s="11">
        <v>0.2020556</v>
      </c>
      <c r="T42" s="16">
        <v>73.71884</v>
      </c>
      <c r="U42" s="16">
        <v>-23.276809</v>
      </c>
      <c r="V42" s="16">
        <v>60.47681</v>
      </c>
      <c r="W42" s="16">
        <v>28.904357999999998</v>
      </c>
      <c r="X42" s="16">
        <v>39.957475000000002</v>
      </c>
      <c r="Y42" s="22">
        <v>420</v>
      </c>
      <c r="Z42" s="11">
        <v>21.986353300000001</v>
      </c>
      <c r="AA42" s="17">
        <v>-2.703157</v>
      </c>
      <c r="AB42" s="17"/>
      <c r="AC42" s="16">
        <v>20.789991000000001</v>
      </c>
      <c r="AD42" s="16">
        <v>9.1959800000000005</v>
      </c>
      <c r="AE42" s="16"/>
      <c r="AF42" s="17">
        <v>-150.75578899999999</v>
      </c>
      <c r="AG42" s="17">
        <v>-150.75578899999999</v>
      </c>
      <c r="AH42" s="17"/>
      <c r="AI42" s="17"/>
      <c r="AJ42" s="17"/>
      <c r="AK42" s="17"/>
      <c r="AL42" s="16">
        <v>8.9604540000000004</v>
      </c>
      <c r="AM42" s="16">
        <v>0</v>
      </c>
      <c r="AN42" s="16">
        <v>822.26752199999999</v>
      </c>
      <c r="AO42" s="16">
        <v>0</v>
      </c>
      <c r="AQ42" s="1" t="str">
        <f t="shared" si="43"/>
        <v>NE_TSC+CC90:H2</v>
      </c>
      <c r="AR42" s="1" t="str">
        <f t="shared" si="44"/>
        <v>Ethane</v>
      </c>
      <c r="AS42" s="12">
        <f t="shared" si="45"/>
        <v>883.43263143288561</v>
      </c>
      <c r="AT42" s="12">
        <f t="shared" si="46"/>
        <v>883.4326314328855</v>
      </c>
      <c r="AU42" s="5">
        <f t="shared" si="47"/>
        <v>0</v>
      </c>
      <c r="AV42" s="12">
        <f t="shared" si="48"/>
        <v>1115.1438581070306</v>
      </c>
      <c r="AW42" s="12">
        <f t="shared" si="49"/>
        <v>1115.1438581070306</v>
      </c>
      <c r="AX42" s="5">
        <f t="shared" si="50"/>
        <v>0</v>
      </c>
      <c r="AY42" s="5">
        <f t="shared" si="51"/>
        <v>0</v>
      </c>
      <c r="AZ42" s="1">
        <f t="shared" si="52"/>
        <v>-27.682745552379668</v>
      </c>
      <c r="BA42" s="1">
        <f t="shared" si="53"/>
        <v>3.6757961880457608</v>
      </c>
      <c r="BB42" s="1">
        <f t="shared" si="54"/>
        <v>414.04082420313915</v>
      </c>
      <c r="BC42" s="1">
        <f t="shared" si="55"/>
        <v>22.245478879650644</v>
      </c>
      <c r="BD42" s="1">
        <f t="shared" si="56"/>
        <v>0</v>
      </c>
      <c r="BE42" s="1">
        <f t="shared" si="57"/>
        <v>255.34361879781346</v>
      </c>
      <c r="BF42" s="1">
        <f t="shared" si="58"/>
        <v>139.75740358812948</v>
      </c>
      <c r="BG42" s="1">
        <f t="shared" si="59"/>
        <v>34.041352888580896</v>
      </c>
      <c r="BH42" s="1">
        <f t="shared" si="60"/>
        <v>1.4833828074917506</v>
      </c>
      <c r="BI42" s="1">
        <f t="shared" si="61"/>
        <v>-67.34235740432932</v>
      </c>
      <c r="BJ42" s="1">
        <f t="shared" si="62"/>
        <v>109.35325984423515</v>
      </c>
      <c r="BK42" s="1">
        <f t="shared" si="63"/>
        <v>0.14833828074917502</v>
      </c>
      <c r="BL42" s="1">
        <f t="shared" si="64"/>
        <v>31.075576455482324</v>
      </c>
      <c r="BM42" s="1">
        <f t="shared" si="65"/>
        <v>10.935325984423514</v>
      </c>
      <c r="BN42" s="1">
        <f t="shared" si="66"/>
        <v>4.6265579669780514</v>
      </c>
      <c r="BO42" s="1">
        <f t="shared" si="67"/>
        <v>-67.34235740432932</v>
      </c>
      <c r="BP42" s="1">
        <f t="shared" si="68"/>
        <v>341.06448651838025</v>
      </c>
      <c r="BQ42" s="1">
        <f t="shared" si="69"/>
        <v>3.2915134402354767</v>
      </c>
      <c r="BR42" s="1">
        <f t="shared" si="70"/>
        <v>31.07557645548232</v>
      </c>
      <c r="BS42" s="1">
        <f t="shared" si="71"/>
        <v>242.64655265856865</v>
      </c>
      <c r="BU42" s="9">
        <v>3.14</v>
      </c>
      <c r="BV42" s="10">
        <v>0.22181100240000001</v>
      </c>
      <c r="BW42" s="9">
        <v>0.18104824</v>
      </c>
      <c r="BX42" s="9">
        <v>1.5714286000000001E-2</v>
      </c>
      <c r="BZ42" s="10">
        <f t="shared" si="72"/>
        <v>4.1770824382695828</v>
      </c>
      <c r="CA42" s="10">
        <f t="shared" si="73"/>
        <v>0.44947552870846952</v>
      </c>
      <c r="CB42" s="10">
        <f t="shared" si="74"/>
        <v>4.6265579669780523</v>
      </c>
      <c r="CD42" s="10">
        <f t="shared" si="75"/>
        <v>3.14</v>
      </c>
      <c r="CE42" s="10">
        <f t="shared" si="76"/>
        <v>0</v>
      </c>
      <c r="CF42" s="10">
        <f t="shared" si="77"/>
        <v>0.14833828074917502</v>
      </c>
      <c r="CG42" s="10">
        <f t="shared" si="78"/>
        <v>1.3350445267425755</v>
      </c>
      <c r="CH42" s="10">
        <f t="shared" si="79"/>
        <v>3.1751594863016004E-3</v>
      </c>
      <c r="CI42" s="10">
        <f t="shared" si="80"/>
        <v>4.6265579669780514</v>
      </c>
      <c r="CK42" s="1">
        <f t="shared" si="81"/>
        <v>0</v>
      </c>
    </row>
    <row r="43" spans="2:89" x14ac:dyDescent="0.2">
      <c r="B43" s="14" t="s">
        <v>125</v>
      </c>
      <c r="C43" s="13" t="s">
        <v>85</v>
      </c>
      <c r="D43" s="13">
        <v>0</v>
      </c>
      <c r="E43" s="13">
        <v>2.226644157E-2</v>
      </c>
      <c r="F43" s="13">
        <v>0</v>
      </c>
      <c r="G43" s="13">
        <v>0</v>
      </c>
      <c r="H43" s="13">
        <v>5.3101897240000001E-2</v>
      </c>
      <c r="I43" s="13">
        <v>0</v>
      </c>
      <c r="J43" s="13">
        <v>0</v>
      </c>
      <c r="K43" s="13">
        <v>0</v>
      </c>
      <c r="L43" s="13">
        <v>5.4902437999999998E-2</v>
      </c>
      <c r="M43" s="11">
        <f t="shared" si="41"/>
        <v>0</v>
      </c>
      <c r="N43" s="11">
        <f t="shared" si="42"/>
        <v>5.4902438073637823E-2</v>
      </c>
      <c r="O43" s="13">
        <v>99124.320160000003</v>
      </c>
      <c r="P43" s="13">
        <v>54251.997770000002</v>
      </c>
      <c r="Q43" s="13">
        <v>1.6761597559999999</v>
      </c>
      <c r="R43" s="11">
        <v>0.2020556</v>
      </c>
      <c r="T43" s="16">
        <v>73.71884</v>
      </c>
      <c r="U43" s="16">
        <v>-23.276809</v>
      </c>
      <c r="V43" s="16">
        <v>60.47681</v>
      </c>
      <c r="W43" s="16">
        <v>28.904357999999998</v>
      </c>
      <c r="X43" s="16">
        <v>39.957475000000002</v>
      </c>
      <c r="Y43" s="22">
        <v>420</v>
      </c>
      <c r="Z43" s="11">
        <v>21.986353300000001</v>
      </c>
      <c r="AA43" s="17">
        <v>-2.703157</v>
      </c>
      <c r="AB43" s="17"/>
      <c r="AC43" s="16">
        <v>20.789991000000001</v>
      </c>
      <c r="AD43" s="16">
        <v>9.1959800000000005</v>
      </c>
      <c r="AE43" s="16"/>
      <c r="AF43" s="17">
        <v>-150.75578899999999</v>
      </c>
      <c r="AG43" s="17">
        <v>-150.75578899999999</v>
      </c>
      <c r="AH43" s="17"/>
      <c r="AI43" s="17"/>
      <c r="AJ43" s="17"/>
      <c r="AK43" s="17"/>
      <c r="AL43" s="16">
        <v>8.9604540000000004</v>
      </c>
      <c r="AM43" s="16">
        <v>0</v>
      </c>
      <c r="AN43" s="16">
        <v>822.26752199999999</v>
      </c>
      <c r="AO43" s="16">
        <v>0</v>
      </c>
      <c r="AQ43" s="1" t="str">
        <f t="shared" si="43"/>
        <v>NE_TSC+H2in</v>
      </c>
      <c r="AR43" s="1" t="str">
        <f t="shared" si="44"/>
        <v>Ethane</v>
      </c>
      <c r="AS43" s="12">
        <f t="shared" si="45"/>
        <v>892.03485872463489</v>
      </c>
      <c r="AT43" s="12">
        <f t="shared" si="46"/>
        <v>892.03485872463489</v>
      </c>
      <c r="AU43" s="5">
        <f t="shared" si="47"/>
        <v>0</v>
      </c>
      <c r="AV43" s="12">
        <f t="shared" si="48"/>
        <v>1123.74608539878</v>
      </c>
      <c r="AW43" s="12">
        <f t="shared" si="49"/>
        <v>1123.74608539878</v>
      </c>
      <c r="AX43" s="5">
        <f t="shared" si="50"/>
        <v>0</v>
      </c>
      <c r="AY43" s="5">
        <f t="shared" si="51"/>
        <v>3.8560157356232461</v>
      </c>
      <c r="AZ43" s="1">
        <f t="shared" si="52"/>
        <v>0</v>
      </c>
      <c r="BA43" s="1">
        <f t="shared" si="53"/>
        <v>0</v>
      </c>
      <c r="BB43" s="1">
        <f t="shared" si="54"/>
        <v>414.04082420313915</v>
      </c>
      <c r="BC43" s="1">
        <f t="shared" si="55"/>
        <v>0</v>
      </c>
      <c r="BD43" s="1">
        <f t="shared" si="56"/>
        <v>0</v>
      </c>
      <c r="BE43" s="1">
        <f t="shared" si="57"/>
        <v>236.76830668400294</v>
      </c>
      <c r="BF43" s="1">
        <f t="shared" si="58"/>
        <v>129.58629754527846</v>
      </c>
      <c r="BG43" s="1">
        <f t="shared" si="59"/>
        <v>31.564969297130897</v>
      </c>
      <c r="BH43" s="1">
        <f t="shared" si="60"/>
        <v>1.033907278783281</v>
      </c>
      <c r="BI43" s="1">
        <f t="shared" si="61"/>
        <v>0</v>
      </c>
      <c r="BJ43" s="1">
        <f t="shared" si="62"/>
        <v>76.218445259460083</v>
      </c>
      <c r="BK43" s="1">
        <f t="shared" si="63"/>
        <v>1.033907278783281</v>
      </c>
      <c r="BL43" s="1">
        <f t="shared" si="64"/>
        <v>0</v>
      </c>
      <c r="BM43" s="1">
        <f t="shared" si="65"/>
        <v>76.218445259460083</v>
      </c>
      <c r="BN43" s="1">
        <f t="shared" si="66"/>
        <v>4.1770824382695819</v>
      </c>
      <c r="BO43" s="1">
        <f t="shared" si="67"/>
        <v>0</v>
      </c>
      <c r="BP43" s="1">
        <f t="shared" si="68"/>
        <v>307.92967193360516</v>
      </c>
      <c r="BQ43" s="1">
        <f t="shared" si="69"/>
        <v>4.1770824382695819</v>
      </c>
      <c r="BR43" s="1">
        <f t="shared" si="70"/>
        <v>0</v>
      </c>
      <c r="BS43" s="1">
        <f t="shared" si="71"/>
        <v>307.92967193360516</v>
      </c>
      <c r="BU43" s="9">
        <v>3.14</v>
      </c>
      <c r="BV43" s="10">
        <v>0.22181100240000001</v>
      </c>
      <c r="BW43" s="9">
        <v>0.18104824</v>
      </c>
      <c r="BX43" s="9">
        <v>1.5714286000000001E-2</v>
      </c>
      <c r="BZ43" s="10">
        <f t="shared" si="72"/>
        <v>4.1770824382695828</v>
      </c>
      <c r="CA43" s="10">
        <f t="shared" si="73"/>
        <v>0</v>
      </c>
      <c r="CB43" s="10">
        <f t="shared" si="74"/>
        <v>4.1770824382695828</v>
      </c>
      <c r="CD43" s="10">
        <f t="shared" si="75"/>
        <v>3.14</v>
      </c>
      <c r="CE43" s="10">
        <f t="shared" si="76"/>
        <v>0</v>
      </c>
      <c r="CF43" s="10">
        <f t="shared" si="77"/>
        <v>1.033907278783281</v>
      </c>
      <c r="CG43" s="10">
        <f t="shared" si="78"/>
        <v>0</v>
      </c>
      <c r="CH43" s="10">
        <f t="shared" si="79"/>
        <v>3.1751594863016004E-3</v>
      </c>
      <c r="CI43" s="10">
        <f t="shared" si="80"/>
        <v>4.1770824382695819</v>
      </c>
      <c r="CK43" s="1">
        <f t="shared" si="81"/>
        <v>0</v>
      </c>
    </row>
    <row r="44" spans="2:89" x14ac:dyDescent="0.2">
      <c r="B44" s="14" t="s">
        <v>126</v>
      </c>
      <c r="C44" s="13" t="s">
        <v>85</v>
      </c>
      <c r="D44" s="13">
        <v>0</v>
      </c>
      <c r="E44" s="13">
        <v>0.1375867019</v>
      </c>
      <c r="F44" s="13">
        <v>0</v>
      </c>
      <c r="G44" s="13">
        <v>0</v>
      </c>
      <c r="H44" s="13">
        <v>5.3101897240000001E-2</v>
      </c>
      <c r="I44" s="13">
        <v>0</v>
      </c>
      <c r="J44" s="13">
        <v>0.11814249659999999</v>
      </c>
      <c r="K44" s="13">
        <v>0</v>
      </c>
      <c r="L44" s="13">
        <v>3.3512947000000001E-2</v>
      </c>
      <c r="M44" s="11">
        <f t="shared" si="41"/>
        <v>0</v>
      </c>
      <c r="N44" s="11">
        <f t="shared" si="42"/>
        <v>3.351294699500184E-2</v>
      </c>
      <c r="O44" s="13">
        <v>99124.320160000003</v>
      </c>
      <c r="P44" s="13">
        <v>54251.997770000002</v>
      </c>
      <c r="Q44" s="13">
        <v>1.6761597559999999</v>
      </c>
      <c r="R44" s="11">
        <v>0.2020556</v>
      </c>
      <c r="T44" s="16">
        <v>73.71884</v>
      </c>
      <c r="U44" s="16">
        <v>-23.276809</v>
      </c>
      <c r="V44" s="16">
        <v>60.47681</v>
      </c>
      <c r="W44" s="16">
        <v>28.904357999999998</v>
      </c>
      <c r="X44" s="16">
        <v>39.957475000000002</v>
      </c>
      <c r="Y44" s="22">
        <v>420</v>
      </c>
      <c r="Z44" s="11">
        <v>21.986353300000001</v>
      </c>
      <c r="AA44" s="17">
        <v>-2.703157</v>
      </c>
      <c r="AB44" s="17"/>
      <c r="AC44" s="16">
        <v>20.789991000000001</v>
      </c>
      <c r="AD44" s="16">
        <v>9.1959800000000005</v>
      </c>
      <c r="AE44" s="16"/>
      <c r="AF44" s="17">
        <v>-150.75578899999999</v>
      </c>
      <c r="AG44" s="17">
        <v>-150.75578899999999</v>
      </c>
      <c r="AH44" s="17"/>
      <c r="AI44" s="17"/>
      <c r="AJ44" s="17"/>
      <c r="AK44" s="17"/>
      <c r="AL44" s="16">
        <v>8.9604540000000004</v>
      </c>
      <c r="AM44" s="16">
        <v>0</v>
      </c>
      <c r="AN44" s="16">
        <v>822.26752199999999</v>
      </c>
      <c r="AO44" s="16">
        <v>0</v>
      </c>
      <c r="AQ44" s="1" t="str">
        <f t="shared" si="43"/>
        <v>NE_TSC+H2in:CH4</v>
      </c>
      <c r="AR44" s="1" t="str">
        <f t="shared" si="44"/>
        <v>Ethane</v>
      </c>
      <c r="AS44" s="12">
        <f t="shared" si="45"/>
        <v>892.0701192606482</v>
      </c>
      <c r="AT44" s="12">
        <f t="shared" si="46"/>
        <v>892.0701192606482</v>
      </c>
      <c r="AU44" s="5">
        <f t="shared" si="47"/>
        <v>0</v>
      </c>
      <c r="AV44" s="12">
        <f t="shared" si="48"/>
        <v>1123.7813459347933</v>
      </c>
      <c r="AW44" s="12">
        <f t="shared" si="49"/>
        <v>1123.7813459347933</v>
      </c>
      <c r="AX44" s="5">
        <f t="shared" si="50"/>
        <v>0</v>
      </c>
      <c r="AY44" s="5">
        <f t="shared" si="51"/>
        <v>23.826729828878747</v>
      </c>
      <c r="AZ44" s="1">
        <f t="shared" si="52"/>
        <v>0</v>
      </c>
      <c r="BA44" s="1">
        <f t="shared" si="53"/>
        <v>0</v>
      </c>
      <c r="BB44" s="1">
        <f t="shared" si="54"/>
        <v>414.04082420313915</v>
      </c>
      <c r="BC44" s="1">
        <f t="shared" si="55"/>
        <v>0</v>
      </c>
      <c r="BD44" s="1">
        <f t="shared" si="56"/>
        <v>-19.935453557241988</v>
      </c>
      <c r="BE44" s="1">
        <f t="shared" si="57"/>
        <v>236.76830668400294</v>
      </c>
      <c r="BF44" s="1">
        <f t="shared" si="58"/>
        <v>129.58629754527846</v>
      </c>
      <c r="BG44" s="1">
        <f t="shared" si="59"/>
        <v>31.564969297130897</v>
      </c>
      <c r="BH44" s="1">
        <f t="shared" si="60"/>
        <v>1.033907278783281</v>
      </c>
      <c r="BI44" s="1">
        <f t="shared" si="61"/>
        <v>0</v>
      </c>
      <c r="BJ44" s="1">
        <f t="shared" si="62"/>
        <v>76.218445259460083</v>
      </c>
      <c r="BK44" s="1">
        <f t="shared" si="63"/>
        <v>1.033907278783281</v>
      </c>
      <c r="BL44" s="1">
        <f t="shared" si="64"/>
        <v>0</v>
      </c>
      <c r="BM44" s="1">
        <f t="shared" si="65"/>
        <v>76.218445259460083</v>
      </c>
      <c r="BN44" s="1">
        <f t="shared" si="66"/>
        <v>4.1770824382695819</v>
      </c>
      <c r="BO44" s="1">
        <f t="shared" si="67"/>
        <v>0</v>
      </c>
      <c r="BP44" s="1">
        <f t="shared" si="68"/>
        <v>307.92967193360516</v>
      </c>
      <c r="BQ44" s="1">
        <f t="shared" si="69"/>
        <v>4.1770824382695819</v>
      </c>
      <c r="BR44" s="1">
        <f t="shared" si="70"/>
        <v>0</v>
      </c>
      <c r="BS44" s="1">
        <f t="shared" si="71"/>
        <v>307.92967193360516</v>
      </c>
      <c r="BU44" s="9">
        <v>3.14</v>
      </c>
      <c r="BV44" s="10">
        <v>0.22181100240000001</v>
      </c>
      <c r="BW44" s="9">
        <v>0.18104824</v>
      </c>
      <c r="BX44" s="9">
        <v>1.5714286000000001E-2</v>
      </c>
      <c r="BZ44" s="10">
        <f t="shared" si="72"/>
        <v>4.1770824382695828</v>
      </c>
      <c r="CA44" s="10">
        <f t="shared" si="73"/>
        <v>0</v>
      </c>
      <c r="CB44" s="10">
        <f t="shared" si="74"/>
        <v>4.1770824382695828</v>
      </c>
      <c r="CD44" s="10">
        <f t="shared" si="75"/>
        <v>3.14</v>
      </c>
      <c r="CE44" s="10">
        <f t="shared" si="76"/>
        <v>0.40280088264951763</v>
      </c>
      <c r="CF44" s="10">
        <f t="shared" si="77"/>
        <v>0.6311063961337634</v>
      </c>
      <c r="CG44" s="10">
        <f t="shared" si="78"/>
        <v>0</v>
      </c>
      <c r="CH44" s="10">
        <f t="shared" si="79"/>
        <v>3.1751594863016004E-3</v>
      </c>
      <c r="CI44" s="10">
        <f t="shared" si="80"/>
        <v>4.1770824382695819</v>
      </c>
      <c r="CK44" s="1">
        <f t="shared" si="81"/>
        <v>0</v>
      </c>
    </row>
    <row r="45" spans="2:89" x14ac:dyDescent="0.2">
      <c r="B45" s="14" t="s">
        <v>127</v>
      </c>
      <c r="C45" s="13" t="s">
        <v>85</v>
      </c>
      <c r="D45" s="13">
        <v>0</v>
      </c>
      <c r="E45" s="13">
        <v>0</v>
      </c>
      <c r="F45" s="13">
        <v>0.15985314340000001</v>
      </c>
      <c r="G45" s="13">
        <v>0.19138279329999999</v>
      </c>
      <c r="H45" s="13">
        <v>5.3101897240000001E-2</v>
      </c>
      <c r="I45" s="13">
        <v>0</v>
      </c>
      <c r="J45" s="13">
        <v>0.11814249659999999</v>
      </c>
      <c r="K45" s="13">
        <v>0</v>
      </c>
      <c r="L45" s="13">
        <v>3.3512947000000001E-2</v>
      </c>
      <c r="M45" s="11">
        <f t="shared" si="41"/>
        <v>0</v>
      </c>
      <c r="N45" s="11">
        <f t="shared" si="42"/>
        <v>3.351294699500184E-2</v>
      </c>
      <c r="O45" s="13">
        <v>131324.11480000001</v>
      </c>
      <c r="P45" s="13">
        <v>71875.354000000007</v>
      </c>
      <c r="Q45" s="13">
        <v>2.2206477329999998</v>
      </c>
      <c r="R45" s="11">
        <v>0.2020556</v>
      </c>
      <c r="T45" s="16">
        <v>73.71884</v>
      </c>
      <c r="U45" s="16">
        <v>-4.302149</v>
      </c>
      <c r="V45" s="16">
        <v>61.152786999999996</v>
      </c>
      <c r="W45" s="16">
        <v>40.832245999999998</v>
      </c>
      <c r="X45" s="16">
        <v>41.356794999999998</v>
      </c>
      <c r="Y45" s="22">
        <v>420</v>
      </c>
      <c r="Z45" s="11">
        <v>21.986353300000001</v>
      </c>
      <c r="AA45" s="17">
        <v>-1.8192109999999999</v>
      </c>
      <c r="AB45" s="17"/>
      <c r="AC45" s="16">
        <v>21.021514</v>
      </c>
      <c r="AD45" s="16">
        <v>9.0440679999999993</v>
      </c>
      <c r="AE45" s="16"/>
      <c r="AF45" s="17">
        <v>-126.225199</v>
      </c>
      <c r="AG45" s="17">
        <v>-126.225199</v>
      </c>
      <c r="AH45" s="17"/>
      <c r="AI45" s="17"/>
      <c r="AJ45" s="17"/>
      <c r="AK45" s="17"/>
      <c r="AL45" s="16">
        <v>10.321106</v>
      </c>
      <c r="AM45" s="16">
        <v>0</v>
      </c>
      <c r="AN45" s="16">
        <v>822.26752199999999</v>
      </c>
      <c r="AO45" s="16">
        <v>0</v>
      </c>
      <c r="AQ45" s="1" t="str">
        <f t="shared" si="43"/>
        <v>SW_ESC</v>
      </c>
      <c r="AR45" s="1" t="str">
        <f t="shared" si="44"/>
        <v>Ethane</v>
      </c>
      <c r="AS45" s="12">
        <f t="shared" si="45"/>
        <v>1043.0148760477082</v>
      </c>
      <c r="AT45" s="12">
        <f t="shared" si="46"/>
        <v>1043.0148760477082</v>
      </c>
      <c r="AU45" s="5">
        <f t="shared" si="47"/>
        <v>0</v>
      </c>
      <c r="AV45" s="12">
        <f t="shared" si="48"/>
        <v>1274.7261027218533</v>
      </c>
      <c r="AW45" s="12">
        <f t="shared" si="49"/>
        <v>1274.7261027218533</v>
      </c>
      <c r="AX45" s="5">
        <f t="shared" si="50"/>
        <v>0</v>
      </c>
      <c r="AY45" s="5">
        <f t="shared" si="51"/>
        <v>0</v>
      </c>
      <c r="AZ45" s="1">
        <f t="shared" si="52"/>
        <v>-27.225443422280087</v>
      </c>
      <c r="BA45" s="1">
        <f t="shared" si="53"/>
        <v>75.76294403440896</v>
      </c>
      <c r="BB45" s="1">
        <f t="shared" si="54"/>
        <v>414.04082420313915</v>
      </c>
      <c r="BC45" s="1">
        <f t="shared" si="55"/>
        <v>0</v>
      </c>
      <c r="BD45" s="1">
        <f t="shared" si="56"/>
        <v>-22.962667887405217</v>
      </c>
      <c r="BE45" s="1">
        <f t="shared" si="57"/>
        <v>313.68072172180047</v>
      </c>
      <c r="BF45" s="1">
        <f t="shared" si="58"/>
        <v>171.68143833344078</v>
      </c>
      <c r="BG45" s="1">
        <f t="shared" si="59"/>
        <v>41.818613805143954</v>
      </c>
      <c r="BH45" s="1">
        <f t="shared" si="60"/>
        <v>1.033907278783281</v>
      </c>
      <c r="BI45" s="1">
        <f t="shared" si="61"/>
        <v>0</v>
      </c>
      <c r="BJ45" s="1">
        <f t="shared" si="62"/>
        <v>76.218445259460083</v>
      </c>
      <c r="BK45" s="1">
        <f t="shared" si="63"/>
        <v>1.033907278783281</v>
      </c>
      <c r="BL45" s="1">
        <f t="shared" si="64"/>
        <v>0</v>
      </c>
      <c r="BM45" s="1">
        <f t="shared" si="65"/>
        <v>76.218445259460083</v>
      </c>
      <c r="BN45" s="1">
        <f t="shared" si="66"/>
        <v>4.1770824382695819</v>
      </c>
      <c r="BO45" s="1">
        <f t="shared" si="67"/>
        <v>0</v>
      </c>
      <c r="BP45" s="1">
        <f t="shared" si="68"/>
        <v>307.92967193360516</v>
      </c>
      <c r="BQ45" s="1">
        <f t="shared" si="69"/>
        <v>4.1770824382695819</v>
      </c>
      <c r="BR45" s="1">
        <f t="shared" si="70"/>
        <v>0</v>
      </c>
      <c r="BS45" s="1">
        <f t="shared" si="71"/>
        <v>307.92967193360516</v>
      </c>
      <c r="BU45" s="9">
        <v>3.14</v>
      </c>
      <c r="BV45" s="10">
        <v>0.22181100240000001</v>
      </c>
      <c r="BW45" s="9">
        <v>0.18104824</v>
      </c>
      <c r="BX45" s="9">
        <v>1.5714286000000001E-2</v>
      </c>
      <c r="BZ45" s="10">
        <f t="shared" si="72"/>
        <v>4.1770824382695828</v>
      </c>
      <c r="CA45" s="10">
        <f t="shared" si="73"/>
        <v>0</v>
      </c>
      <c r="CB45" s="10">
        <f t="shared" si="74"/>
        <v>4.1770824382695828</v>
      </c>
      <c r="CD45" s="10">
        <f t="shared" si="75"/>
        <v>3.14</v>
      </c>
      <c r="CE45" s="10">
        <f t="shared" si="76"/>
        <v>0.40280088264951763</v>
      </c>
      <c r="CF45" s="10">
        <f t="shared" si="77"/>
        <v>0.6311063961337634</v>
      </c>
      <c r="CG45" s="10">
        <f t="shared" si="78"/>
        <v>0</v>
      </c>
      <c r="CH45" s="10">
        <f t="shared" si="79"/>
        <v>3.1751594863016004E-3</v>
      </c>
      <c r="CI45" s="10">
        <f t="shared" si="80"/>
        <v>4.1770824382695819</v>
      </c>
      <c r="CK45" s="1">
        <f t="shared" si="81"/>
        <v>0</v>
      </c>
    </row>
    <row r="46" spans="2:89" x14ac:dyDescent="0.2">
      <c r="B46" s="14" t="s">
        <v>128</v>
      </c>
      <c r="C46" s="13" t="s">
        <v>85</v>
      </c>
      <c r="D46" s="13">
        <v>0</v>
      </c>
      <c r="E46" s="13">
        <v>0</v>
      </c>
      <c r="F46" s="13">
        <v>0.15985314340000001</v>
      </c>
      <c r="G46" s="13">
        <v>0.19138279329999999</v>
      </c>
      <c r="H46" s="13">
        <v>5.3101897240000001E-2</v>
      </c>
      <c r="I46" s="13">
        <v>0</v>
      </c>
      <c r="J46" s="13">
        <v>0.11814249659999999</v>
      </c>
      <c r="K46" s="13">
        <v>0</v>
      </c>
      <c r="L46" s="13">
        <v>3.3512947000000001E-2</v>
      </c>
      <c r="M46" s="11">
        <f t="shared" si="41"/>
        <v>0</v>
      </c>
      <c r="N46" s="11">
        <f t="shared" si="42"/>
        <v>3.351294699500184E-2</v>
      </c>
      <c r="O46" s="13">
        <v>131324.11480000001</v>
      </c>
      <c r="P46" s="13">
        <v>71875.354000000007</v>
      </c>
      <c r="Q46" s="13">
        <v>2.2206477329999998</v>
      </c>
      <c r="R46" s="11">
        <v>0.2020556</v>
      </c>
      <c r="T46" s="16">
        <v>73.71884</v>
      </c>
      <c r="U46" s="16">
        <v>-5.0000840000000002</v>
      </c>
      <c r="V46" s="16">
        <v>62.617055000000001</v>
      </c>
      <c r="W46" s="16">
        <v>37.705083000000002</v>
      </c>
      <c r="X46" s="16">
        <v>30.684851999999999</v>
      </c>
      <c r="Y46" s="22">
        <v>420</v>
      </c>
      <c r="Z46" s="11">
        <v>21.986353300000001</v>
      </c>
      <c r="AA46" s="17">
        <v>-8.7269439999999996</v>
      </c>
      <c r="AB46" s="17"/>
      <c r="AC46" s="16">
        <v>21.357776999999999</v>
      </c>
      <c r="AD46" s="16">
        <v>7.5483099999999999</v>
      </c>
      <c r="AE46" s="16"/>
      <c r="AF46" s="17">
        <v>-126.782873</v>
      </c>
      <c r="AG46" s="17">
        <v>-126.782873</v>
      </c>
      <c r="AH46" s="17"/>
      <c r="AI46" s="17"/>
      <c r="AJ46" s="17"/>
      <c r="AK46" s="17"/>
      <c r="AL46" s="16">
        <v>8.6017200000000003</v>
      </c>
      <c r="AM46" s="16">
        <v>0</v>
      </c>
      <c r="AN46" s="16">
        <v>822.26752199999999</v>
      </c>
      <c r="AO46" s="16">
        <v>822.26752199999999</v>
      </c>
      <c r="AQ46" s="1" t="str">
        <f t="shared" si="43"/>
        <v>TX_ESC</v>
      </c>
      <c r="AR46" s="1" t="str">
        <f t="shared" si="44"/>
        <v>Ethane</v>
      </c>
      <c r="AS46" s="12">
        <f t="shared" si="45"/>
        <v>1052.5548200285916</v>
      </c>
      <c r="AT46" s="12">
        <f t="shared" si="46"/>
        <v>1052.5548200285916</v>
      </c>
      <c r="AU46" s="5">
        <f t="shared" si="47"/>
        <v>0</v>
      </c>
      <c r="AV46" s="12">
        <f t="shared" si="48"/>
        <v>1284.2660467027367</v>
      </c>
      <c r="AW46" s="12">
        <f t="shared" si="49"/>
        <v>1284.2660467027367</v>
      </c>
      <c r="AX46" s="5">
        <f t="shared" si="50"/>
        <v>0</v>
      </c>
      <c r="AY46" s="5">
        <f t="shared" si="51"/>
        <v>0</v>
      </c>
      <c r="AZ46" s="1">
        <f t="shared" si="52"/>
        <v>-22.722748970798431</v>
      </c>
      <c r="BA46" s="1">
        <f t="shared" si="53"/>
        <v>76.974858402224825</v>
      </c>
      <c r="BB46" s="1">
        <f t="shared" si="54"/>
        <v>414.04082420313915</v>
      </c>
      <c r="BC46" s="1">
        <f t="shared" si="55"/>
        <v>0</v>
      </c>
      <c r="BD46" s="1">
        <f t="shared" si="56"/>
        <v>-19.137332725819423</v>
      </c>
      <c r="BE46" s="1">
        <f t="shared" si="57"/>
        <v>313.68072172180047</v>
      </c>
      <c r="BF46" s="1">
        <f t="shared" si="58"/>
        <v>171.68143833344078</v>
      </c>
      <c r="BG46" s="1">
        <f t="shared" si="59"/>
        <v>41.818613805143954</v>
      </c>
      <c r="BH46" s="1">
        <f t="shared" si="60"/>
        <v>1.033907278783281</v>
      </c>
      <c r="BI46" s="1">
        <f t="shared" si="61"/>
        <v>0</v>
      </c>
      <c r="BJ46" s="1">
        <f t="shared" si="62"/>
        <v>76.218445259460083</v>
      </c>
      <c r="BK46" s="1">
        <f t="shared" si="63"/>
        <v>1.033907278783281</v>
      </c>
      <c r="BL46" s="1">
        <f t="shared" si="64"/>
        <v>0</v>
      </c>
      <c r="BM46" s="1">
        <f t="shared" si="65"/>
        <v>76.218445259460083</v>
      </c>
      <c r="BN46" s="1">
        <f t="shared" si="66"/>
        <v>4.1770824382695819</v>
      </c>
      <c r="BO46" s="1">
        <f t="shared" si="67"/>
        <v>0</v>
      </c>
      <c r="BP46" s="1">
        <f t="shared" si="68"/>
        <v>307.92967193360516</v>
      </c>
      <c r="BQ46" s="1">
        <f t="shared" si="69"/>
        <v>4.1770824382695819</v>
      </c>
      <c r="BR46" s="1">
        <f t="shared" si="70"/>
        <v>0</v>
      </c>
      <c r="BS46" s="1">
        <f t="shared" si="71"/>
        <v>307.92967193360516</v>
      </c>
      <c r="BU46" s="9">
        <v>3.14</v>
      </c>
      <c r="BV46" s="10">
        <v>0.22181100240000001</v>
      </c>
      <c r="BW46" s="9">
        <v>0.18104824</v>
      </c>
      <c r="BX46" s="9">
        <v>1.5714286000000001E-2</v>
      </c>
      <c r="BZ46" s="10">
        <f t="shared" si="72"/>
        <v>4.1770824382695828</v>
      </c>
      <c r="CA46" s="10">
        <f t="shared" si="73"/>
        <v>0</v>
      </c>
      <c r="CB46" s="10">
        <f t="shared" si="74"/>
        <v>4.1770824382695828</v>
      </c>
      <c r="CD46" s="10">
        <f t="shared" si="75"/>
        <v>3.14</v>
      </c>
      <c r="CE46" s="10">
        <f t="shared" si="76"/>
        <v>0.40280088264951763</v>
      </c>
      <c r="CF46" s="10">
        <f t="shared" si="77"/>
        <v>0.6311063961337634</v>
      </c>
      <c r="CG46" s="10">
        <f t="shared" si="78"/>
        <v>0</v>
      </c>
      <c r="CH46" s="10">
        <f t="shared" si="79"/>
        <v>3.1751594863016004E-3</v>
      </c>
      <c r="CI46" s="10">
        <f t="shared" si="80"/>
        <v>4.1770824382695819</v>
      </c>
      <c r="CK46" s="1">
        <f t="shared" si="81"/>
        <v>0</v>
      </c>
    </row>
    <row r="47" spans="2:89" x14ac:dyDescent="0.2">
      <c r="B47" s="14" t="s">
        <v>129</v>
      </c>
      <c r="C47" s="13" t="s">
        <v>85</v>
      </c>
      <c r="D47" s="13">
        <v>0</v>
      </c>
      <c r="E47" s="13">
        <v>0</v>
      </c>
      <c r="F47" s="13">
        <v>0.15985314340000001</v>
      </c>
      <c r="G47" s="13">
        <v>0.19138279329999999</v>
      </c>
      <c r="H47" s="13">
        <v>5.3101897240000001E-2</v>
      </c>
      <c r="I47" s="13">
        <v>0</v>
      </c>
      <c r="J47" s="13">
        <v>0.11814249659999999</v>
      </c>
      <c r="K47" s="13">
        <v>0</v>
      </c>
      <c r="L47" s="13">
        <v>3.3512947000000001E-2</v>
      </c>
      <c r="M47" s="11">
        <f t="shared" si="41"/>
        <v>0</v>
      </c>
      <c r="N47" s="11">
        <f t="shared" si="42"/>
        <v>3.351294699500184E-2</v>
      </c>
      <c r="O47" s="13">
        <v>131324.11480000001</v>
      </c>
      <c r="P47" s="13">
        <v>71875.354000000007</v>
      </c>
      <c r="Q47" s="13">
        <v>2.2206477329999998</v>
      </c>
      <c r="R47" s="11">
        <v>0.2020556</v>
      </c>
      <c r="T47" s="16">
        <v>73.71884</v>
      </c>
      <c r="U47" s="16">
        <v>-6.0973139999999999</v>
      </c>
      <c r="V47" s="16">
        <v>61.343403000000002</v>
      </c>
      <c r="W47" s="16">
        <v>33.004970999999998</v>
      </c>
      <c r="X47" s="16">
        <v>42.195610000000002</v>
      </c>
      <c r="Y47" s="22">
        <v>420</v>
      </c>
      <c r="Z47" s="11">
        <v>21.986353300000001</v>
      </c>
      <c r="AA47" s="17">
        <v>51.423575999999997</v>
      </c>
      <c r="AB47" s="17"/>
      <c r="AC47" s="16">
        <v>22.906690000000001</v>
      </c>
      <c r="AD47" s="16">
        <v>13.197062000000001</v>
      </c>
      <c r="AE47" s="16"/>
      <c r="AF47" s="17">
        <v>-129.528977</v>
      </c>
      <c r="AG47" s="17">
        <v>-129.528977</v>
      </c>
      <c r="AH47" s="17"/>
      <c r="AI47" s="17"/>
      <c r="AJ47" s="17"/>
      <c r="AK47" s="17"/>
      <c r="AL47" s="16">
        <v>14.953878</v>
      </c>
      <c r="AM47" s="16">
        <v>0</v>
      </c>
      <c r="AN47" s="16">
        <v>822.26752199999999</v>
      </c>
      <c r="AO47" s="16">
        <v>822.26752199999999</v>
      </c>
      <c r="AQ47" s="1" t="str">
        <f t="shared" si="43"/>
        <v>NCEN_ESC</v>
      </c>
      <c r="AR47" s="1" t="str">
        <f t="shared" si="44"/>
        <v>Ethane</v>
      </c>
      <c r="AS47" s="12">
        <f t="shared" si="45"/>
        <v>1027.0002665678569</v>
      </c>
      <c r="AT47" s="12">
        <f t="shared" si="46"/>
        <v>1027.0002665678569</v>
      </c>
      <c r="AU47" s="5">
        <f t="shared" si="47"/>
        <v>0</v>
      </c>
      <c r="AV47" s="12">
        <f t="shared" si="48"/>
        <v>1258.7114932420018</v>
      </c>
      <c r="AW47" s="12">
        <f t="shared" si="49"/>
        <v>1258.7114932420018</v>
      </c>
      <c r="AX47" s="5">
        <f t="shared" si="50"/>
        <v>0</v>
      </c>
      <c r="AY47" s="5">
        <f t="shared" si="51"/>
        <v>0</v>
      </c>
      <c r="AZ47" s="1">
        <f t="shared" si="52"/>
        <v>-39.727240531730025</v>
      </c>
      <c r="BA47" s="1">
        <f t="shared" si="53"/>
        <v>82.557244567805895</v>
      </c>
      <c r="BB47" s="1">
        <f t="shared" si="54"/>
        <v>414.04082420313915</v>
      </c>
      <c r="BC47" s="1">
        <f t="shared" si="55"/>
        <v>0</v>
      </c>
      <c r="BD47" s="1">
        <f t="shared" si="56"/>
        <v>-33.269780791203509</v>
      </c>
      <c r="BE47" s="1">
        <f t="shared" si="57"/>
        <v>313.68072172180047</v>
      </c>
      <c r="BF47" s="1">
        <f t="shared" si="58"/>
        <v>171.68143833344078</v>
      </c>
      <c r="BG47" s="1">
        <f t="shared" si="59"/>
        <v>41.818613805143954</v>
      </c>
      <c r="BH47" s="1">
        <f t="shared" si="60"/>
        <v>1.033907278783281</v>
      </c>
      <c r="BI47" s="1">
        <f t="shared" si="61"/>
        <v>0</v>
      </c>
      <c r="BJ47" s="1">
        <f t="shared" si="62"/>
        <v>76.218445259460083</v>
      </c>
      <c r="BK47" s="1">
        <f t="shared" si="63"/>
        <v>1.033907278783281</v>
      </c>
      <c r="BL47" s="1">
        <f t="shared" si="64"/>
        <v>0</v>
      </c>
      <c r="BM47" s="1">
        <f t="shared" si="65"/>
        <v>76.218445259460083</v>
      </c>
      <c r="BN47" s="1">
        <f t="shared" si="66"/>
        <v>4.1770824382695819</v>
      </c>
      <c r="BO47" s="1">
        <f t="shared" si="67"/>
        <v>0</v>
      </c>
      <c r="BP47" s="1">
        <f t="shared" si="68"/>
        <v>307.92967193360516</v>
      </c>
      <c r="BQ47" s="1">
        <f t="shared" si="69"/>
        <v>4.1770824382695819</v>
      </c>
      <c r="BR47" s="1">
        <f t="shared" si="70"/>
        <v>0</v>
      </c>
      <c r="BS47" s="1">
        <f t="shared" si="71"/>
        <v>307.92967193360516</v>
      </c>
      <c r="BU47" s="9">
        <v>3.14</v>
      </c>
      <c r="BV47" s="10">
        <v>0.22181100240000001</v>
      </c>
      <c r="BW47" s="9">
        <v>0.18104824</v>
      </c>
      <c r="BX47" s="9">
        <v>1.5714286000000001E-2</v>
      </c>
      <c r="BZ47" s="10">
        <f t="shared" si="72"/>
        <v>4.1770824382695828</v>
      </c>
      <c r="CA47" s="10">
        <f t="shared" si="73"/>
        <v>0</v>
      </c>
      <c r="CB47" s="10">
        <f t="shared" si="74"/>
        <v>4.1770824382695828</v>
      </c>
      <c r="CD47" s="10">
        <f t="shared" si="75"/>
        <v>3.14</v>
      </c>
      <c r="CE47" s="10">
        <f t="shared" si="76"/>
        <v>0.40280088264951763</v>
      </c>
      <c r="CF47" s="10">
        <f t="shared" si="77"/>
        <v>0.6311063961337634</v>
      </c>
      <c r="CG47" s="10">
        <f t="shared" si="78"/>
        <v>0</v>
      </c>
      <c r="CH47" s="10">
        <f t="shared" si="79"/>
        <v>3.1751594863016004E-3</v>
      </c>
      <c r="CI47" s="10">
        <f t="shared" si="80"/>
        <v>4.1770824382695819</v>
      </c>
      <c r="CK47" s="1">
        <f t="shared" si="81"/>
        <v>0</v>
      </c>
    </row>
    <row r="48" spans="2:89" x14ac:dyDescent="0.2">
      <c r="B48" s="14" t="s">
        <v>130</v>
      </c>
      <c r="C48" s="13" t="s">
        <v>85</v>
      </c>
      <c r="D48" s="13">
        <v>0</v>
      </c>
      <c r="E48" s="13">
        <v>0</v>
      </c>
      <c r="F48" s="13">
        <v>0.15985314340000001</v>
      </c>
      <c r="G48" s="13">
        <v>0.19138279329999999</v>
      </c>
      <c r="H48" s="13">
        <v>5.3101897240000001E-2</v>
      </c>
      <c r="I48" s="13">
        <v>0</v>
      </c>
      <c r="J48" s="13">
        <v>0.11814249659999999</v>
      </c>
      <c r="K48" s="13">
        <v>0</v>
      </c>
      <c r="L48" s="13">
        <v>3.3512947000000001E-2</v>
      </c>
      <c r="M48" s="11">
        <f t="shared" si="41"/>
        <v>0</v>
      </c>
      <c r="N48" s="11">
        <f t="shared" si="42"/>
        <v>3.351294699500184E-2</v>
      </c>
      <c r="O48" s="13">
        <v>131324.11480000001</v>
      </c>
      <c r="P48" s="13">
        <v>71875.354000000007</v>
      </c>
      <c r="Q48" s="13">
        <v>2.2206477329999998</v>
      </c>
      <c r="R48" s="11">
        <v>0.2020556</v>
      </c>
      <c r="T48" s="16">
        <v>73.71884</v>
      </c>
      <c r="U48" s="16">
        <v>-6.1992539999999998</v>
      </c>
      <c r="V48" s="16">
        <v>65.59151</v>
      </c>
      <c r="W48" s="16">
        <v>31.821489</v>
      </c>
      <c r="X48" s="16">
        <v>37.986238999999998</v>
      </c>
      <c r="Y48" s="22">
        <v>420</v>
      </c>
      <c r="Z48" s="11">
        <v>21.986353300000001</v>
      </c>
      <c r="AA48" s="17">
        <v>51.417555</v>
      </c>
      <c r="AB48" s="17"/>
      <c r="AC48" s="16">
        <v>22.465142</v>
      </c>
      <c r="AD48" s="16">
        <v>13.285634</v>
      </c>
      <c r="AE48" s="16"/>
      <c r="AF48" s="17">
        <v>-129.68144799999999</v>
      </c>
      <c r="AG48" s="17">
        <v>-129.68144799999999</v>
      </c>
      <c r="AH48" s="17"/>
      <c r="AI48" s="17"/>
      <c r="AJ48" s="17"/>
      <c r="AK48" s="17"/>
      <c r="AL48" s="16">
        <v>15.046749</v>
      </c>
      <c r="AM48" s="16">
        <v>0</v>
      </c>
      <c r="AN48" s="16">
        <v>822.26752199999999</v>
      </c>
      <c r="AO48" s="16">
        <v>822.26752199999999</v>
      </c>
      <c r="AQ48" s="1" t="str">
        <f t="shared" si="43"/>
        <v>CEN_ESC</v>
      </c>
      <c r="AR48" s="1" t="str">
        <f t="shared" si="44"/>
        <v>Ethane</v>
      </c>
      <c r="AS48" s="12">
        <f t="shared" si="45"/>
        <v>1024.935647039491</v>
      </c>
      <c r="AT48" s="12">
        <f t="shared" si="46"/>
        <v>1024.935647039491</v>
      </c>
      <c r="AU48" s="5">
        <f t="shared" si="47"/>
        <v>0</v>
      </c>
      <c r="AV48" s="12">
        <f t="shared" si="48"/>
        <v>1256.6468737136361</v>
      </c>
      <c r="AW48" s="12">
        <f t="shared" si="49"/>
        <v>1256.6468737136361</v>
      </c>
      <c r="AX48" s="5">
        <f t="shared" si="50"/>
        <v>0</v>
      </c>
      <c r="AY48" s="5">
        <f t="shared" si="51"/>
        <v>0</v>
      </c>
      <c r="AZ48" s="1">
        <f t="shared" si="52"/>
        <v>-39.993869660878346</v>
      </c>
      <c r="BA48" s="1">
        <f t="shared" si="53"/>
        <v>80.965876010217443</v>
      </c>
      <c r="BB48" s="1">
        <f t="shared" si="54"/>
        <v>414.04082420313915</v>
      </c>
      <c r="BC48" s="1">
        <f t="shared" si="55"/>
        <v>0</v>
      </c>
      <c r="BD48" s="1">
        <f t="shared" si="56"/>
        <v>-33.476402632832816</v>
      </c>
      <c r="BE48" s="1">
        <f t="shared" si="57"/>
        <v>313.68072172180047</v>
      </c>
      <c r="BF48" s="1">
        <f t="shared" si="58"/>
        <v>171.68143833344078</v>
      </c>
      <c r="BG48" s="1">
        <f t="shared" si="59"/>
        <v>41.818613805143954</v>
      </c>
      <c r="BH48" s="1">
        <f t="shared" si="60"/>
        <v>1.033907278783281</v>
      </c>
      <c r="BI48" s="1">
        <f t="shared" si="61"/>
        <v>0</v>
      </c>
      <c r="BJ48" s="1">
        <f t="shared" si="62"/>
        <v>76.218445259460083</v>
      </c>
      <c r="BK48" s="1">
        <f t="shared" si="63"/>
        <v>1.033907278783281</v>
      </c>
      <c r="BL48" s="1">
        <f t="shared" si="64"/>
        <v>0</v>
      </c>
      <c r="BM48" s="1">
        <f t="shared" si="65"/>
        <v>76.218445259460083</v>
      </c>
      <c r="BN48" s="1">
        <f t="shared" si="66"/>
        <v>4.1770824382695819</v>
      </c>
      <c r="BO48" s="1">
        <f t="shared" si="67"/>
        <v>0</v>
      </c>
      <c r="BP48" s="1">
        <f t="shared" si="68"/>
        <v>307.92967193360516</v>
      </c>
      <c r="BQ48" s="1">
        <f t="shared" si="69"/>
        <v>4.1770824382695819</v>
      </c>
      <c r="BR48" s="1">
        <f t="shared" si="70"/>
        <v>0</v>
      </c>
      <c r="BS48" s="1">
        <f t="shared" si="71"/>
        <v>307.92967193360516</v>
      </c>
      <c r="BU48" s="9">
        <v>3.14</v>
      </c>
      <c r="BV48" s="10">
        <v>0.22181100240000001</v>
      </c>
      <c r="BW48" s="9">
        <v>0.18104824</v>
      </c>
      <c r="BX48" s="9">
        <v>1.5714286000000001E-2</v>
      </c>
      <c r="BZ48" s="10">
        <f t="shared" si="72"/>
        <v>4.1770824382695828</v>
      </c>
      <c r="CA48" s="10">
        <f t="shared" si="73"/>
        <v>0</v>
      </c>
      <c r="CB48" s="10">
        <f t="shared" si="74"/>
        <v>4.1770824382695828</v>
      </c>
      <c r="CD48" s="10">
        <f t="shared" si="75"/>
        <v>3.14</v>
      </c>
      <c r="CE48" s="10">
        <f t="shared" si="76"/>
        <v>0.40280088264951763</v>
      </c>
      <c r="CF48" s="10">
        <f t="shared" si="77"/>
        <v>0.6311063961337634</v>
      </c>
      <c r="CG48" s="10">
        <f t="shared" si="78"/>
        <v>0</v>
      </c>
      <c r="CH48" s="10">
        <f t="shared" si="79"/>
        <v>3.1751594863016004E-3</v>
      </c>
      <c r="CI48" s="10">
        <f t="shared" si="80"/>
        <v>4.1770824382695819</v>
      </c>
      <c r="CK48" s="1">
        <f t="shared" si="81"/>
        <v>0</v>
      </c>
    </row>
    <row r="49" spans="2:89" x14ac:dyDescent="0.2">
      <c r="B49" s="14" t="s">
        <v>131</v>
      </c>
      <c r="C49" s="13" t="s">
        <v>85</v>
      </c>
      <c r="D49" s="13">
        <v>0</v>
      </c>
      <c r="E49" s="13">
        <v>0</v>
      </c>
      <c r="F49" s="13">
        <v>0.15985314340000001</v>
      </c>
      <c r="G49" s="13">
        <v>0.19138279329999999</v>
      </c>
      <c r="H49" s="13">
        <v>5.3101897240000001E-2</v>
      </c>
      <c r="I49" s="13">
        <v>0</v>
      </c>
      <c r="J49" s="13">
        <v>0.11814249659999999</v>
      </c>
      <c r="K49" s="13">
        <v>0</v>
      </c>
      <c r="L49" s="13">
        <v>3.3512947000000001E-2</v>
      </c>
      <c r="M49" s="11">
        <f t="shared" si="41"/>
        <v>0</v>
      </c>
      <c r="N49" s="11">
        <f t="shared" si="42"/>
        <v>3.351294699500184E-2</v>
      </c>
      <c r="O49" s="13">
        <v>131324.11480000001</v>
      </c>
      <c r="P49" s="13">
        <v>71875.354000000007</v>
      </c>
      <c r="Q49" s="13">
        <v>2.2206477329999998</v>
      </c>
      <c r="R49" s="11">
        <v>0.2020556</v>
      </c>
      <c r="T49" s="16">
        <v>73.71884</v>
      </c>
      <c r="U49" s="16">
        <v>-6.0910019999999996</v>
      </c>
      <c r="V49" s="16">
        <v>59.252833000000003</v>
      </c>
      <c r="W49" s="16">
        <v>23.691089000000002</v>
      </c>
      <c r="X49" s="16">
        <v>31.789762</v>
      </c>
      <c r="Y49" s="22">
        <v>420</v>
      </c>
      <c r="Z49" s="11">
        <v>21.986353300000001</v>
      </c>
      <c r="AA49" s="17">
        <v>-8.0072700000000001</v>
      </c>
      <c r="AB49" s="17"/>
      <c r="AC49" s="16">
        <v>21.266241000000001</v>
      </c>
      <c r="AD49" s="16">
        <v>7.267779</v>
      </c>
      <c r="AE49" s="16"/>
      <c r="AF49" s="17">
        <v>-128.077631</v>
      </c>
      <c r="AG49" s="17">
        <v>-128.077631</v>
      </c>
      <c r="AH49" s="17"/>
      <c r="AI49" s="17"/>
      <c r="AJ49" s="17"/>
      <c r="AK49" s="17"/>
      <c r="AL49" s="16">
        <v>7.9635800000000003</v>
      </c>
      <c r="AM49" s="16">
        <v>0</v>
      </c>
      <c r="AN49" s="16">
        <v>822.26752199999999</v>
      </c>
      <c r="AO49" s="16">
        <v>822.26752199999999</v>
      </c>
      <c r="AQ49" s="1" t="str">
        <f t="shared" si="43"/>
        <v>SE_ESC</v>
      </c>
      <c r="AR49" s="1" t="str">
        <f t="shared" si="44"/>
        <v>Ethane</v>
      </c>
      <c r="AS49" s="12">
        <f t="shared" si="45"/>
        <v>1054.4891539210271</v>
      </c>
      <c r="AT49" s="12">
        <f t="shared" si="46"/>
        <v>1054.4891539210271</v>
      </c>
      <c r="AU49" s="5">
        <f t="shared" si="47"/>
        <v>0</v>
      </c>
      <c r="AV49" s="12">
        <f t="shared" si="48"/>
        <v>1286.2003805951722</v>
      </c>
      <c r="AW49" s="12">
        <f t="shared" si="49"/>
        <v>1286.2003805951722</v>
      </c>
      <c r="AX49" s="5">
        <f t="shared" si="50"/>
        <v>0</v>
      </c>
      <c r="AY49" s="5">
        <f t="shared" si="51"/>
        <v>0</v>
      </c>
      <c r="AZ49" s="1">
        <f t="shared" si="52"/>
        <v>-21.878263848760909</v>
      </c>
      <c r="BA49" s="1">
        <f t="shared" si="53"/>
        <v>76.644956529070811</v>
      </c>
      <c r="BB49" s="1">
        <f t="shared" si="54"/>
        <v>414.04082420313915</v>
      </c>
      <c r="BC49" s="1">
        <f t="shared" si="55"/>
        <v>0</v>
      </c>
      <c r="BD49" s="1">
        <f t="shared" si="56"/>
        <v>-17.717582082267388</v>
      </c>
      <c r="BE49" s="1">
        <f t="shared" si="57"/>
        <v>313.68072172180047</v>
      </c>
      <c r="BF49" s="1">
        <f t="shared" si="58"/>
        <v>171.68143833344078</v>
      </c>
      <c r="BG49" s="1">
        <f t="shared" si="59"/>
        <v>41.818613805143954</v>
      </c>
      <c r="BH49" s="1">
        <f t="shared" si="60"/>
        <v>1.033907278783281</v>
      </c>
      <c r="BI49" s="1">
        <f t="shared" si="61"/>
        <v>0</v>
      </c>
      <c r="BJ49" s="1">
        <f t="shared" si="62"/>
        <v>76.218445259460083</v>
      </c>
      <c r="BK49" s="1">
        <f t="shared" si="63"/>
        <v>1.033907278783281</v>
      </c>
      <c r="BL49" s="1">
        <f t="shared" si="64"/>
        <v>0</v>
      </c>
      <c r="BM49" s="1">
        <f t="shared" si="65"/>
        <v>76.218445259460083</v>
      </c>
      <c r="BN49" s="1">
        <f t="shared" si="66"/>
        <v>4.1770824382695819</v>
      </c>
      <c r="BO49" s="1">
        <f t="shared" si="67"/>
        <v>0</v>
      </c>
      <c r="BP49" s="1">
        <f t="shared" si="68"/>
        <v>307.92967193360516</v>
      </c>
      <c r="BQ49" s="1">
        <f t="shared" si="69"/>
        <v>4.1770824382695819</v>
      </c>
      <c r="BR49" s="1">
        <f t="shared" si="70"/>
        <v>0</v>
      </c>
      <c r="BS49" s="1">
        <f t="shared" si="71"/>
        <v>307.92967193360516</v>
      </c>
      <c r="BU49" s="9">
        <v>3.14</v>
      </c>
      <c r="BV49" s="10">
        <v>0.22181100240000001</v>
      </c>
      <c r="BW49" s="9">
        <v>0.18104824</v>
      </c>
      <c r="BX49" s="9">
        <v>1.5714286000000001E-2</v>
      </c>
      <c r="BZ49" s="10">
        <f t="shared" si="72"/>
        <v>4.1770824382695828</v>
      </c>
      <c r="CA49" s="10">
        <f t="shared" si="73"/>
        <v>0</v>
      </c>
      <c r="CB49" s="10">
        <f t="shared" si="74"/>
        <v>4.1770824382695828</v>
      </c>
      <c r="CD49" s="10">
        <f t="shared" si="75"/>
        <v>3.14</v>
      </c>
      <c r="CE49" s="10">
        <f t="shared" si="76"/>
        <v>0.40280088264951763</v>
      </c>
      <c r="CF49" s="10">
        <f t="shared" si="77"/>
        <v>0.6311063961337634</v>
      </c>
      <c r="CG49" s="10">
        <f t="shared" si="78"/>
        <v>0</v>
      </c>
      <c r="CH49" s="10">
        <f t="shared" si="79"/>
        <v>3.1751594863016004E-3</v>
      </c>
      <c r="CI49" s="10">
        <f t="shared" si="80"/>
        <v>4.1770824382695819</v>
      </c>
      <c r="CK49" s="1">
        <f t="shared" si="81"/>
        <v>0</v>
      </c>
    </row>
    <row r="50" spans="2:89" x14ac:dyDescent="0.2">
      <c r="B50" s="14" t="s">
        <v>132</v>
      </c>
      <c r="C50" s="13" t="s">
        <v>85</v>
      </c>
      <c r="D50" s="13">
        <v>0</v>
      </c>
      <c r="E50" s="13">
        <v>0</v>
      </c>
      <c r="F50" s="13">
        <v>0.15985314340000001</v>
      </c>
      <c r="G50" s="13">
        <v>0.19138279329999999</v>
      </c>
      <c r="H50" s="13">
        <v>5.3101897240000001E-2</v>
      </c>
      <c r="I50" s="13">
        <v>0</v>
      </c>
      <c r="J50" s="13">
        <v>0.11814249659999999</v>
      </c>
      <c r="K50" s="13">
        <v>0</v>
      </c>
      <c r="L50" s="13">
        <v>3.3512947000000001E-2</v>
      </c>
      <c r="M50" s="11">
        <f t="shared" si="41"/>
        <v>0</v>
      </c>
      <c r="N50" s="11">
        <f t="shared" si="42"/>
        <v>3.351294699500184E-2</v>
      </c>
      <c r="O50" s="13">
        <v>131324.11480000001</v>
      </c>
      <c r="P50" s="13">
        <v>71875.354000000007</v>
      </c>
      <c r="Q50" s="13">
        <v>2.2206477329999998</v>
      </c>
      <c r="R50" s="11">
        <v>0.2020556</v>
      </c>
      <c r="T50" s="16">
        <v>73.71884</v>
      </c>
      <c r="U50" s="16">
        <v>-16.179127999999999</v>
      </c>
      <c r="V50" s="16">
        <v>58.461202</v>
      </c>
      <c r="W50" s="16">
        <v>19.647223</v>
      </c>
      <c r="X50" s="16">
        <v>40.820307</v>
      </c>
      <c r="Y50" s="22">
        <v>420</v>
      </c>
      <c r="Z50" s="11">
        <v>21.986353300000001</v>
      </c>
      <c r="AA50" s="17">
        <v>-2.2030439999999998</v>
      </c>
      <c r="AB50" s="17"/>
      <c r="AC50" s="16">
        <v>21.500722</v>
      </c>
      <c r="AD50" s="16">
        <v>7.5324369999999998</v>
      </c>
      <c r="AE50" s="16"/>
      <c r="AF50" s="17">
        <v>-140.74133399999999</v>
      </c>
      <c r="AG50" s="17">
        <v>-140.74133399999999</v>
      </c>
      <c r="AH50" s="17"/>
      <c r="AI50" s="17"/>
      <c r="AJ50" s="17"/>
      <c r="AK50" s="17"/>
      <c r="AL50" s="16">
        <v>5.4076719999999998</v>
      </c>
      <c r="AM50" s="16">
        <v>0</v>
      </c>
      <c r="AN50" s="16">
        <v>822.26752199999999</v>
      </c>
      <c r="AO50" s="16">
        <v>822.26752199999999</v>
      </c>
      <c r="AQ50" s="1" t="str">
        <f t="shared" si="43"/>
        <v>MIDAT_ESC</v>
      </c>
      <c r="AR50" s="1" t="str">
        <f t="shared" si="44"/>
        <v>Ethane</v>
      </c>
      <c r="AS50" s="12">
        <f t="shared" si="45"/>
        <v>1060.2239879581873</v>
      </c>
      <c r="AT50" s="12">
        <f t="shared" si="46"/>
        <v>1060.2239879581873</v>
      </c>
      <c r="AU50" s="5">
        <f t="shared" si="47"/>
        <v>0</v>
      </c>
      <c r="AV50" s="12">
        <f t="shared" si="48"/>
        <v>1291.9352146323322</v>
      </c>
      <c r="AW50" s="12">
        <f t="shared" si="49"/>
        <v>1291.9352146323322</v>
      </c>
      <c r="AX50" s="5">
        <f t="shared" si="50"/>
        <v>0</v>
      </c>
      <c r="AY50" s="5">
        <f t="shared" si="51"/>
        <v>0</v>
      </c>
      <c r="AZ50" s="1">
        <f t="shared" si="52"/>
        <v>-22.674966328801283</v>
      </c>
      <c r="BA50" s="1">
        <f t="shared" si="53"/>
        <v>77.490041753671292</v>
      </c>
      <c r="BB50" s="1">
        <f t="shared" si="54"/>
        <v>414.04082420313915</v>
      </c>
      <c r="BC50" s="1">
        <f t="shared" si="55"/>
        <v>0</v>
      </c>
      <c r="BD50" s="1">
        <f t="shared" si="56"/>
        <v>-12.031130789667341</v>
      </c>
      <c r="BE50" s="1">
        <f t="shared" si="57"/>
        <v>313.68072172180047</v>
      </c>
      <c r="BF50" s="1">
        <f t="shared" si="58"/>
        <v>171.68143833344078</v>
      </c>
      <c r="BG50" s="1">
        <f t="shared" si="59"/>
        <v>41.818613805143954</v>
      </c>
      <c r="BH50" s="1">
        <f t="shared" si="60"/>
        <v>1.033907278783281</v>
      </c>
      <c r="BI50" s="1">
        <f t="shared" si="61"/>
        <v>0</v>
      </c>
      <c r="BJ50" s="1">
        <f t="shared" si="62"/>
        <v>76.218445259460083</v>
      </c>
      <c r="BK50" s="1">
        <f t="shared" si="63"/>
        <v>1.033907278783281</v>
      </c>
      <c r="BL50" s="1">
        <f t="shared" si="64"/>
        <v>0</v>
      </c>
      <c r="BM50" s="1">
        <f t="shared" si="65"/>
        <v>76.218445259460083</v>
      </c>
      <c r="BN50" s="1">
        <f t="shared" si="66"/>
        <v>4.1770824382695819</v>
      </c>
      <c r="BO50" s="1">
        <f t="shared" si="67"/>
        <v>0</v>
      </c>
      <c r="BP50" s="1">
        <f t="shared" si="68"/>
        <v>307.92967193360516</v>
      </c>
      <c r="BQ50" s="1">
        <f t="shared" si="69"/>
        <v>4.1770824382695819</v>
      </c>
      <c r="BR50" s="1">
        <f t="shared" si="70"/>
        <v>0</v>
      </c>
      <c r="BS50" s="1">
        <f t="shared" si="71"/>
        <v>307.92967193360516</v>
      </c>
      <c r="BU50" s="9">
        <v>3.14</v>
      </c>
      <c r="BV50" s="10">
        <v>0.22181100240000001</v>
      </c>
      <c r="BW50" s="9">
        <v>0.18104824</v>
      </c>
      <c r="BX50" s="9">
        <v>1.5714286000000001E-2</v>
      </c>
      <c r="BZ50" s="10">
        <f t="shared" si="72"/>
        <v>4.1770824382695828</v>
      </c>
      <c r="CA50" s="10">
        <f t="shared" si="73"/>
        <v>0</v>
      </c>
      <c r="CB50" s="10">
        <f t="shared" si="74"/>
        <v>4.1770824382695828</v>
      </c>
      <c r="CD50" s="10">
        <f t="shared" si="75"/>
        <v>3.14</v>
      </c>
      <c r="CE50" s="10">
        <f t="shared" si="76"/>
        <v>0.40280088264951763</v>
      </c>
      <c r="CF50" s="10">
        <f t="shared" si="77"/>
        <v>0.6311063961337634</v>
      </c>
      <c r="CG50" s="10">
        <f t="shared" si="78"/>
        <v>0</v>
      </c>
      <c r="CH50" s="10">
        <f t="shared" si="79"/>
        <v>3.1751594863016004E-3</v>
      </c>
      <c r="CI50" s="10">
        <f t="shared" si="80"/>
        <v>4.1770824382695819</v>
      </c>
      <c r="CK50" s="1">
        <f t="shared" si="81"/>
        <v>0</v>
      </c>
    </row>
    <row r="51" spans="2:89" x14ac:dyDescent="0.2">
      <c r="B51" s="14" t="s">
        <v>133</v>
      </c>
      <c r="C51" s="13" t="s">
        <v>85</v>
      </c>
      <c r="D51" s="13">
        <v>0</v>
      </c>
      <c r="E51" s="13">
        <v>0</v>
      </c>
      <c r="F51" s="13">
        <v>0.15985314340000001</v>
      </c>
      <c r="G51" s="13">
        <v>0.19138279329999999</v>
      </c>
      <c r="H51" s="13">
        <v>5.3101897240000001E-2</v>
      </c>
      <c r="I51" s="13">
        <v>0</v>
      </c>
      <c r="J51" s="13">
        <v>0.11814249659999999</v>
      </c>
      <c r="K51" s="13">
        <v>0</v>
      </c>
      <c r="L51" s="13">
        <v>3.3512947000000001E-2</v>
      </c>
      <c r="M51" s="11">
        <f t="shared" si="41"/>
        <v>0</v>
      </c>
      <c r="N51" s="11">
        <f t="shared" si="42"/>
        <v>3.351294699500184E-2</v>
      </c>
      <c r="O51" s="13">
        <v>131324.11480000001</v>
      </c>
      <c r="P51" s="13">
        <v>71875.354000000007</v>
      </c>
      <c r="Q51" s="13">
        <v>2.2206477329999998</v>
      </c>
      <c r="R51" s="11">
        <v>0.2020556</v>
      </c>
      <c r="T51" s="16">
        <v>73.71884</v>
      </c>
      <c r="U51" s="16">
        <v>-23.276809</v>
      </c>
      <c r="V51" s="16">
        <v>60.47681</v>
      </c>
      <c r="W51" s="16">
        <v>28.904357999999998</v>
      </c>
      <c r="X51" s="16">
        <v>39.957475000000002</v>
      </c>
      <c r="Y51" s="22">
        <v>420</v>
      </c>
      <c r="Z51" s="11">
        <v>21.986353300000001</v>
      </c>
      <c r="AA51" s="17">
        <v>-2.703157</v>
      </c>
      <c r="AB51" s="17"/>
      <c r="AC51" s="16">
        <v>20.789991000000001</v>
      </c>
      <c r="AD51" s="16">
        <v>9.1959800000000005</v>
      </c>
      <c r="AE51" s="16"/>
      <c r="AF51" s="17">
        <v>-150.75578899999999</v>
      </c>
      <c r="AG51" s="17">
        <v>-150.75578899999999</v>
      </c>
      <c r="AH51" s="17"/>
      <c r="AI51" s="17"/>
      <c r="AJ51" s="17"/>
      <c r="AK51" s="17"/>
      <c r="AL51" s="16">
        <v>8.9604540000000004</v>
      </c>
      <c r="AM51" s="16">
        <v>0</v>
      </c>
      <c r="AN51" s="16">
        <v>822.26752199999999</v>
      </c>
      <c r="AO51" s="16">
        <v>0</v>
      </c>
      <c r="AQ51" s="1" t="str">
        <f t="shared" si="43"/>
        <v>NE_ESC</v>
      </c>
      <c r="AR51" s="1" t="str">
        <f t="shared" si="44"/>
        <v>Ethane</v>
      </c>
      <c r="AS51" s="12">
        <f t="shared" si="45"/>
        <v>1044.750363853236</v>
      </c>
      <c r="AT51" s="12">
        <f t="shared" si="46"/>
        <v>1044.750363853236</v>
      </c>
      <c r="AU51" s="5">
        <f t="shared" si="47"/>
        <v>0</v>
      </c>
      <c r="AV51" s="12">
        <f t="shared" si="48"/>
        <v>1276.4615905273808</v>
      </c>
      <c r="AW51" s="12">
        <f t="shared" si="49"/>
        <v>1276.4615905273808</v>
      </c>
      <c r="AX51" s="5">
        <f t="shared" si="50"/>
        <v>0</v>
      </c>
      <c r="AY51" s="5">
        <f t="shared" si="51"/>
        <v>0</v>
      </c>
      <c r="AZ51" s="1">
        <f t="shared" si="52"/>
        <v>-27.682745552379668</v>
      </c>
      <c r="BA51" s="1">
        <f t="shared" si="53"/>
        <v>74.928519639873045</v>
      </c>
      <c r="BB51" s="1">
        <f t="shared" si="54"/>
        <v>414.04082420313915</v>
      </c>
      <c r="BC51" s="1">
        <f t="shared" si="55"/>
        <v>0</v>
      </c>
      <c r="BD51" s="1">
        <f t="shared" si="56"/>
        <v>-19.935453557241988</v>
      </c>
      <c r="BE51" s="1">
        <f t="shared" si="57"/>
        <v>313.68072172180047</v>
      </c>
      <c r="BF51" s="1">
        <f t="shared" si="58"/>
        <v>171.68143833344078</v>
      </c>
      <c r="BG51" s="1">
        <f t="shared" si="59"/>
        <v>41.818613805143954</v>
      </c>
      <c r="BH51" s="1">
        <f t="shared" si="60"/>
        <v>1.033907278783281</v>
      </c>
      <c r="BI51" s="1">
        <f t="shared" si="61"/>
        <v>0</v>
      </c>
      <c r="BJ51" s="1">
        <f t="shared" si="62"/>
        <v>76.218445259460083</v>
      </c>
      <c r="BK51" s="1">
        <f t="shared" si="63"/>
        <v>1.033907278783281</v>
      </c>
      <c r="BL51" s="1">
        <f t="shared" si="64"/>
        <v>0</v>
      </c>
      <c r="BM51" s="1">
        <f t="shared" si="65"/>
        <v>76.218445259460083</v>
      </c>
      <c r="BN51" s="1">
        <f t="shared" si="66"/>
        <v>4.1770824382695819</v>
      </c>
      <c r="BO51" s="1">
        <f t="shared" si="67"/>
        <v>0</v>
      </c>
      <c r="BP51" s="1">
        <f t="shared" si="68"/>
        <v>307.92967193360516</v>
      </c>
      <c r="BQ51" s="1">
        <f t="shared" si="69"/>
        <v>4.1770824382695819</v>
      </c>
      <c r="BR51" s="1">
        <f t="shared" si="70"/>
        <v>0</v>
      </c>
      <c r="BS51" s="1">
        <f t="shared" si="71"/>
        <v>307.92967193360516</v>
      </c>
      <c r="BU51" s="9">
        <v>3.14</v>
      </c>
      <c r="BV51" s="10">
        <v>0.22181100240000001</v>
      </c>
      <c r="BW51" s="9">
        <v>0.18104824</v>
      </c>
      <c r="BX51" s="9">
        <v>1.5714286000000001E-2</v>
      </c>
      <c r="BZ51" s="10">
        <f t="shared" si="72"/>
        <v>4.1770824382695828</v>
      </c>
      <c r="CA51" s="10">
        <f t="shared" si="73"/>
        <v>0</v>
      </c>
      <c r="CB51" s="10">
        <f t="shared" si="74"/>
        <v>4.1770824382695828</v>
      </c>
      <c r="CD51" s="10">
        <f t="shared" si="75"/>
        <v>3.14</v>
      </c>
      <c r="CE51" s="10">
        <f t="shared" si="76"/>
        <v>0.40280088264951763</v>
      </c>
      <c r="CF51" s="10">
        <f t="shared" si="77"/>
        <v>0.6311063961337634</v>
      </c>
      <c r="CG51" s="10">
        <f t="shared" si="78"/>
        <v>0</v>
      </c>
      <c r="CH51" s="10">
        <f t="shared" si="79"/>
        <v>3.1751594863016004E-3</v>
      </c>
      <c r="CI51" s="10">
        <f t="shared" si="80"/>
        <v>4.1770824382695819</v>
      </c>
      <c r="CK51" s="1">
        <f t="shared" si="81"/>
        <v>0</v>
      </c>
    </row>
    <row r="52" spans="2:89" x14ac:dyDescent="0.2"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1" t="e">
        <f t="shared" si="41"/>
        <v>#DIV/0!</v>
      </c>
      <c r="N52" s="11" t="e">
        <f t="shared" si="42"/>
        <v>#DIV/0!</v>
      </c>
      <c r="O52" s="13"/>
      <c r="P52" s="13"/>
      <c r="Q52" s="13"/>
      <c r="R52" s="11">
        <v>0.2020556</v>
      </c>
      <c r="T52" s="16"/>
      <c r="U52" s="16"/>
      <c r="V52" s="16"/>
      <c r="W52" s="16"/>
      <c r="X52" s="16"/>
      <c r="Y52" s="22">
        <v>420</v>
      </c>
      <c r="Z52" s="11">
        <v>21.986353300000001</v>
      </c>
      <c r="AA52" s="17"/>
      <c r="AB52" s="17"/>
      <c r="AC52" s="16"/>
      <c r="AD52" s="16"/>
      <c r="AE52" s="16"/>
      <c r="AF52" s="17"/>
      <c r="AG52" s="17"/>
      <c r="AH52" s="17"/>
      <c r="AI52" s="17"/>
      <c r="AJ52" s="17"/>
      <c r="AK52" s="17"/>
      <c r="AL52" s="16"/>
      <c r="AM52" s="16"/>
      <c r="AN52" s="16"/>
      <c r="AO52" s="16"/>
      <c r="AQ52" s="1">
        <f t="shared" si="43"/>
        <v>0</v>
      </c>
      <c r="AR52" s="1">
        <f t="shared" si="44"/>
        <v>0</v>
      </c>
      <c r="AS52" s="12" t="e">
        <f t="shared" si="45"/>
        <v>#DIV/0!</v>
      </c>
      <c r="AT52" s="12" t="e">
        <f t="shared" si="46"/>
        <v>#DIV/0!</v>
      </c>
      <c r="AU52" s="5" t="e">
        <f t="shared" si="47"/>
        <v>#DIV/0!</v>
      </c>
      <c r="AV52" s="12" t="e">
        <f t="shared" si="48"/>
        <v>#DIV/0!</v>
      </c>
      <c r="AW52" s="12" t="e">
        <f t="shared" si="49"/>
        <v>#DIV/0!</v>
      </c>
      <c r="AX52" s="5" t="e">
        <f t="shared" si="50"/>
        <v>#DIV/0!</v>
      </c>
      <c r="AY52" s="5" t="e">
        <f t="shared" si="51"/>
        <v>#DIV/0!</v>
      </c>
      <c r="AZ52" s="1" t="e">
        <f t="shared" si="52"/>
        <v>#DIV/0!</v>
      </c>
      <c r="BA52" s="1" t="e">
        <f t="shared" si="53"/>
        <v>#DIV/0!</v>
      </c>
      <c r="BB52" s="1" t="e">
        <f t="shared" si="54"/>
        <v>#DIV/0!</v>
      </c>
      <c r="BC52" s="1" t="e">
        <f t="shared" si="55"/>
        <v>#DIV/0!</v>
      </c>
      <c r="BD52" s="1" t="e">
        <f t="shared" si="56"/>
        <v>#DIV/0!</v>
      </c>
      <c r="BE52" s="1" t="e">
        <f t="shared" si="57"/>
        <v>#DIV/0!</v>
      </c>
      <c r="BF52" s="1" t="e">
        <f t="shared" si="58"/>
        <v>#DIV/0!</v>
      </c>
      <c r="BG52" s="1" t="e">
        <f t="shared" si="59"/>
        <v>#DIV/0!</v>
      </c>
      <c r="BH52" s="1" t="e">
        <f t="shared" si="60"/>
        <v>#DIV/0!</v>
      </c>
      <c r="BI52" s="1" t="e">
        <f t="shared" si="61"/>
        <v>#DIV/0!</v>
      </c>
      <c r="BJ52" s="1" t="e">
        <f t="shared" si="62"/>
        <v>#DIV/0!</v>
      </c>
      <c r="BK52" s="1" t="e">
        <f t="shared" si="63"/>
        <v>#DIV/0!</v>
      </c>
      <c r="BL52" s="1" t="e">
        <f t="shared" si="64"/>
        <v>#DIV/0!</v>
      </c>
      <c r="BM52" s="1" t="e">
        <f t="shared" si="65"/>
        <v>#DIV/0!</v>
      </c>
      <c r="BN52" s="1" t="e">
        <f t="shared" si="66"/>
        <v>#DIV/0!</v>
      </c>
      <c r="BO52" s="1" t="e">
        <f t="shared" si="67"/>
        <v>#DIV/0!</v>
      </c>
      <c r="BP52" s="1" t="e">
        <f t="shared" si="68"/>
        <v>#DIV/0!</v>
      </c>
      <c r="BQ52" s="1" t="e">
        <f t="shared" si="69"/>
        <v>#DIV/0!</v>
      </c>
      <c r="BR52" s="1" t="e">
        <f t="shared" si="70"/>
        <v>#DIV/0!</v>
      </c>
      <c r="BS52" s="1" t="e">
        <f t="shared" si="71"/>
        <v>#DIV/0!</v>
      </c>
      <c r="BU52" s="9">
        <v>3.14</v>
      </c>
      <c r="BV52" s="10">
        <v>0.22181100240000001</v>
      </c>
      <c r="BW52" s="9">
        <v>0.18104824</v>
      </c>
      <c r="BX52" s="9">
        <v>1.5714286000000001E-2</v>
      </c>
      <c r="BZ52" s="10" t="e">
        <f t="shared" si="72"/>
        <v>#DIV/0!</v>
      </c>
      <c r="CA52" s="10" t="e">
        <f t="shared" si="73"/>
        <v>#DIV/0!</v>
      </c>
      <c r="CB52" s="10" t="e">
        <f t="shared" si="74"/>
        <v>#DIV/0!</v>
      </c>
      <c r="CD52" s="10">
        <f t="shared" si="75"/>
        <v>3.14</v>
      </c>
      <c r="CE52" s="10" t="e">
        <f t="shared" si="76"/>
        <v>#DIV/0!</v>
      </c>
      <c r="CF52" s="10" t="e">
        <f t="shared" si="77"/>
        <v>#DIV/0!</v>
      </c>
      <c r="CG52" s="10" t="e">
        <f t="shared" si="78"/>
        <v>#DIV/0!</v>
      </c>
      <c r="CH52" s="10">
        <f t="shared" si="79"/>
        <v>3.1751594863016004E-3</v>
      </c>
      <c r="CI52" s="10" t="e">
        <f t="shared" si="80"/>
        <v>#DIV/0!</v>
      </c>
      <c r="CK52" s="1" t="e">
        <f t="shared" si="81"/>
        <v>#DIV/0!</v>
      </c>
    </row>
    <row r="53" spans="2:89" x14ac:dyDescent="0.2"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1" t="e">
        <f t="shared" si="41"/>
        <v>#DIV/0!</v>
      </c>
      <c r="N53" s="11" t="e">
        <f t="shared" si="42"/>
        <v>#DIV/0!</v>
      </c>
      <c r="O53" s="13"/>
      <c r="P53" s="13"/>
      <c r="Q53" s="13"/>
      <c r="R53" s="11">
        <v>0.2020556</v>
      </c>
      <c r="T53" s="16"/>
      <c r="U53" s="16"/>
      <c r="V53" s="16"/>
      <c r="W53" s="16"/>
      <c r="X53" s="16"/>
      <c r="Y53" s="22">
        <v>420</v>
      </c>
      <c r="Z53" s="11">
        <v>21.986353300000001</v>
      </c>
      <c r="AA53" s="17"/>
      <c r="AB53" s="17"/>
      <c r="AC53" s="16"/>
      <c r="AD53" s="16"/>
      <c r="AE53" s="16"/>
      <c r="AF53" s="17"/>
      <c r="AG53" s="17"/>
      <c r="AH53" s="17"/>
      <c r="AI53" s="17"/>
      <c r="AJ53" s="17"/>
      <c r="AK53" s="17"/>
      <c r="AL53" s="16"/>
      <c r="AM53" s="16"/>
      <c r="AN53" s="16"/>
      <c r="AO53" s="16"/>
      <c r="AQ53" s="1">
        <f t="shared" si="43"/>
        <v>0</v>
      </c>
      <c r="AR53" s="1">
        <f t="shared" si="44"/>
        <v>0</v>
      </c>
      <c r="AS53" s="12" t="e">
        <f t="shared" si="45"/>
        <v>#DIV/0!</v>
      </c>
      <c r="AT53" s="12" t="e">
        <f t="shared" si="46"/>
        <v>#DIV/0!</v>
      </c>
      <c r="AU53" s="5" t="e">
        <f t="shared" si="47"/>
        <v>#DIV/0!</v>
      </c>
      <c r="AV53" s="12" t="e">
        <f t="shared" si="48"/>
        <v>#DIV/0!</v>
      </c>
      <c r="AW53" s="12" t="e">
        <f t="shared" si="49"/>
        <v>#DIV/0!</v>
      </c>
      <c r="AX53" s="5" t="e">
        <f t="shared" si="50"/>
        <v>#DIV/0!</v>
      </c>
      <c r="AY53" s="5" t="e">
        <f t="shared" si="51"/>
        <v>#DIV/0!</v>
      </c>
      <c r="AZ53" s="1" t="e">
        <f t="shared" si="52"/>
        <v>#DIV/0!</v>
      </c>
      <c r="BA53" s="1" t="e">
        <f t="shared" si="53"/>
        <v>#DIV/0!</v>
      </c>
      <c r="BB53" s="1" t="e">
        <f t="shared" si="54"/>
        <v>#DIV/0!</v>
      </c>
      <c r="BC53" s="1" t="e">
        <f t="shared" si="55"/>
        <v>#DIV/0!</v>
      </c>
      <c r="BD53" s="1" t="e">
        <f t="shared" si="56"/>
        <v>#DIV/0!</v>
      </c>
      <c r="BE53" s="1" t="e">
        <f t="shared" si="57"/>
        <v>#DIV/0!</v>
      </c>
      <c r="BF53" s="1" t="e">
        <f t="shared" si="58"/>
        <v>#DIV/0!</v>
      </c>
      <c r="BG53" s="1" t="e">
        <f t="shared" si="59"/>
        <v>#DIV/0!</v>
      </c>
      <c r="BH53" s="1" t="e">
        <f t="shared" si="60"/>
        <v>#DIV/0!</v>
      </c>
      <c r="BI53" s="1" t="e">
        <f t="shared" si="61"/>
        <v>#DIV/0!</v>
      </c>
      <c r="BJ53" s="1" t="e">
        <f t="shared" si="62"/>
        <v>#DIV/0!</v>
      </c>
      <c r="BK53" s="1" t="e">
        <f t="shared" si="63"/>
        <v>#DIV/0!</v>
      </c>
      <c r="BL53" s="1" t="e">
        <f t="shared" si="64"/>
        <v>#DIV/0!</v>
      </c>
      <c r="BM53" s="1" t="e">
        <f t="shared" si="65"/>
        <v>#DIV/0!</v>
      </c>
      <c r="BN53" s="1" t="e">
        <f t="shared" si="66"/>
        <v>#DIV/0!</v>
      </c>
      <c r="BO53" s="1" t="e">
        <f t="shared" si="67"/>
        <v>#DIV/0!</v>
      </c>
      <c r="BP53" s="1" t="e">
        <f t="shared" si="68"/>
        <v>#DIV/0!</v>
      </c>
      <c r="BQ53" s="1" t="e">
        <f t="shared" si="69"/>
        <v>#DIV/0!</v>
      </c>
      <c r="BR53" s="1" t="e">
        <f t="shared" si="70"/>
        <v>#DIV/0!</v>
      </c>
      <c r="BS53" s="1" t="e">
        <f t="shared" si="71"/>
        <v>#DIV/0!</v>
      </c>
      <c r="BU53" s="9">
        <v>3.14</v>
      </c>
      <c r="BV53" s="10">
        <v>0.22181100240000001</v>
      </c>
      <c r="BW53" s="9">
        <v>0.18104824</v>
      </c>
      <c r="BX53" s="9">
        <v>1.5714286000000001E-2</v>
      </c>
      <c r="BZ53" s="10" t="e">
        <f t="shared" si="72"/>
        <v>#DIV/0!</v>
      </c>
      <c r="CA53" s="10" t="e">
        <f t="shared" si="73"/>
        <v>#DIV/0!</v>
      </c>
      <c r="CB53" s="10" t="e">
        <f t="shared" si="74"/>
        <v>#DIV/0!</v>
      </c>
      <c r="CD53" s="10">
        <f t="shared" si="75"/>
        <v>3.14</v>
      </c>
      <c r="CE53" s="10" t="e">
        <f t="shared" si="76"/>
        <v>#DIV/0!</v>
      </c>
      <c r="CF53" s="10" t="e">
        <f t="shared" si="77"/>
        <v>#DIV/0!</v>
      </c>
      <c r="CG53" s="10" t="e">
        <f t="shared" si="78"/>
        <v>#DIV/0!</v>
      </c>
      <c r="CH53" s="10">
        <f t="shared" si="79"/>
        <v>3.1751594863016004E-3</v>
      </c>
      <c r="CI53" s="10" t="e">
        <f t="shared" si="80"/>
        <v>#DIV/0!</v>
      </c>
      <c r="CK53" s="1" t="e">
        <f t="shared" si="81"/>
        <v>#DIV/0!</v>
      </c>
    </row>
    <row r="54" spans="2:89" x14ac:dyDescent="0.2"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1" t="e">
        <f t="shared" si="41"/>
        <v>#DIV/0!</v>
      </c>
      <c r="N54" s="11" t="e">
        <f t="shared" si="42"/>
        <v>#DIV/0!</v>
      </c>
      <c r="O54" s="13"/>
      <c r="P54" s="13"/>
      <c r="Q54" s="13"/>
      <c r="R54" s="11">
        <v>0.2020556</v>
      </c>
      <c r="T54" s="16"/>
      <c r="U54" s="16"/>
      <c r="V54" s="16"/>
      <c r="W54" s="16"/>
      <c r="X54" s="16"/>
      <c r="Y54" s="22">
        <v>420</v>
      </c>
      <c r="Z54" s="11">
        <v>21.986353300000001</v>
      </c>
      <c r="AA54" s="17"/>
      <c r="AB54" s="17"/>
      <c r="AC54" s="16"/>
      <c r="AD54" s="16"/>
      <c r="AE54" s="16"/>
      <c r="AF54" s="17"/>
      <c r="AG54" s="17"/>
      <c r="AH54" s="17"/>
      <c r="AI54" s="17"/>
      <c r="AJ54" s="17"/>
      <c r="AK54" s="17"/>
      <c r="AL54" s="16"/>
      <c r="AM54" s="16"/>
      <c r="AN54" s="16"/>
      <c r="AO54" s="16"/>
      <c r="AQ54" s="1">
        <f t="shared" si="43"/>
        <v>0</v>
      </c>
      <c r="AR54" s="1">
        <f t="shared" si="44"/>
        <v>0</v>
      </c>
      <c r="AS54" s="12" t="e">
        <f t="shared" si="45"/>
        <v>#DIV/0!</v>
      </c>
      <c r="AT54" s="12" t="e">
        <f t="shared" si="46"/>
        <v>#DIV/0!</v>
      </c>
      <c r="AU54" s="5" t="e">
        <f t="shared" si="47"/>
        <v>#DIV/0!</v>
      </c>
      <c r="AV54" s="12" t="e">
        <f t="shared" si="48"/>
        <v>#DIV/0!</v>
      </c>
      <c r="AW54" s="12" t="e">
        <f t="shared" si="49"/>
        <v>#DIV/0!</v>
      </c>
      <c r="AX54" s="5" t="e">
        <f t="shared" si="50"/>
        <v>#DIV/0!</v>
      </c>
      <c r="AY54" s="5" t="e">
        <f t="shared" si="51"/>
        <v>#DIV/0!</v>
      </c>
      <c r="AZ54" s="1" t="e">
        <f t="shared" si="52"/>
        <v>#DIV/0!</v>
      </c>
      <c r="BA54" s="1" t="e">
        <f t="shared" si="53"/>
        <v>#DIV/0!</v>
      </c>
      <c r="BB54" s="1" t="e">
        <f t="shared" si="54"/>
        <v>#DIV/0!</v>
      </c>
      <c r="BC54" s="1" t="e">
        <f t="shared" si="55"/>
        <v>#DIV/0!</v>
      </c>
      <c r="BD54" s="1" t="e">
        <f t="shared" si="56"/>
        <v>#DIV/0!</v>
      </c>
      <c r="BE54" s="1" t="e">
        <f t="shared" si="57"/>
        <v>#DIV/0!</v>
      </c>
      <c r="BF54" s="1" t="e">
        <f t="shared" si="58"/>
        <v>#DIV/0!</v>
      </c>
      <c r="BG54" s="1" t="e">
        <f t="shared" si="59"/>
        <v>#DIV/0!</v>
      </c>
      <c r="BH54" s="1" t="e">
        <f t="shared" si="60"/>
        <v>#DIV/0!</v>
      </c>
      <c r="BI54" s="1" t="e">
        <f t="shared" si="61"/>
        <v>#DIV/0!</v>
      </c>
      <c r="BJ54" s="1" t="e">
        <f t="shared" si="62"/>
        <v>#DIV/0!</v>
      </c>
      <c r="BK54" s="1" t="e">
        <f t="shared" si="63"/>
        <v>#DIV/0!</v>
      </c>
      <c r="BL54" s="1" t="e">
        <f t="shared" si="64"/>
        <v>#DIV/0!</v>
      </c>
      <c r="BM54" s="1" t="e">
        <f t="shared" si="65"/>
        <v>#DIV/0!</v>
      </c>
      <c r="BN54" s="1" t="e">
        <f t="shared" si="66"/>
        <v>#DIV/0!</v>
      </c>
      <c r="BO54" s="1" t="e">
        <f t="shared" si="67"/>
        <v>#DIV/0!</v>
      </c>
      <c r="BP54" s="1" t="e">
        <f t="shared" si="68"/>
        <v>#DIV/0!</v>
      </c>
      <c r="BQ54" s="1" t="e">
        <f t="shared" si="69"/>
        <v>#DIV/0!</v>
      </c>
      <c r="BR54" s="1" t="e">
        <f t="shared" si="70"/>
        <v>#DIV/0!</v>
      </c>
      <c r="BS54" s="1" t="e">
        <f t="shared" si="71"/>
        <v>#DIV/0!</v>
      </c>
      <c r="BU54" s="9">
        <v>3.14</v>
      </c>
      <c r="BV54" s="10">
        <v>0.22181100240000001</v>
      </c>
      <c r="BW54" s="9">
        <v>0.18104824</v>
      </c>
      <c r="BX54" s="9">
        <v>1.5714286000000001E-2</v>
      </c>
      <c r="BZ54" s="10" t="e">
        <f t="shared" si="72"/>
        <v>#DIV/0!</v>
      </c>
      <c r="CA54" s="10" t="e">
        <f t="shared" si="73"/>
        <v>#DIV/0!</v>
      </c>
      <c r="CB54" s="10" t="e">
        <f t="shared" si="74"/>
        <v>#DIV/0!</v>
      </c>
      <c r="CD54" s="10">
        <f t="shared" si="75"/>
        <v>3.14</v>
      </c>
      <c r="CE54" s="10" t="e">
        <f t="shared" si="76"/>
        <v>#DIV/0!</v>
      </c>
      <c r="CF54" s="10" t="e">
        <f t="shared" si="77"/>
        <v>#DIV/0!</v>
      </c>
      <c r="CG54" s="10" t="e">
        <f t="shared" si="78"/>
        <v>#DIV/0!</v>
      </c>
      <c r="CH54" s="10">
        <f t="shared" si="79"/>
        <v>3.1751594863016004E-3</v>
      </c>
      <c r="CI54" s="10" t="e">
        <f t="shared" si="80"/>
        <v>#DIV/0!</v>
      </c>
      <c r="CK54" s="1" t="e">
        <f t="shared" si="81"/>
        <v>#DIV/0!</v>
      </c>
    </row>
    <row r="55" spans="2:89" x14ac:dyDescent="0.2"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1" t="e">
        <f t="shared" si="41"/>
        <v>#DIV/0!</v>
      </c>
      <c r="N55" s="11" t="e">
        <f t="shared" si="42"/>
        <v>#DIV/0!</v>
      </c>
      <c r="O55" s="13"/>
      <c r="P55" s="13"/>
      <c r="Q55" s="13"/>
      <c r="R55" s="11">
        <v>0.2020556</v>
      </c>
      <c r="T55" s="16"/>
      <c r="U55" s="16"/>
      <c r="V55" s="16"/>
      <c r="W55" s="16"/>
      <c r="X55" s="16"/>
      <c r="Y55" s="22">
        <v>420</v>
      </c>
      <c r="Z55" s="11">
        <v>21.986353300000001</v>
      </c>
      <c r="AA55" s="17"/>
      <c r="AB55" s="17"/>
      <c r="AC55" s="16"/>
      <c r="AD55" s="16"/>
      <c r="AE55" s="16"/>
      <c r="AF55" s="17"/>
      <c r="AG55" s="17"/>
      <c r="AH55" s="17"/>
      <c r="AI55" s="17"/>
      <c r="AJ55" s="17"/>
      <c r="AK55" s="17"/>
      <c r="AL55" s="16"/>
      <c r="AM55" s="16"/>
      <c r="AN55" s="16"/>
      <c r="AO55" s="16"/>
      <c r="AQ55" s="1">
        <f t="shared" si="43"/>
        <v>0</v>
      </c>
      <c r="AR55" s="1">
        <f t="shared" si="44"/>
        <v>0</v>
      </c>
      <c r="AS55" s="12" t="e">
        <f t="shared" si="45"/>
        <v>#DIV/0!</v>
      </c>
      <c r="AT55" s="12" t="e">
        <f t="shared" si="46"/>
        <v>#DIV/0!</v>
      </c>
      <c r="AU55" s="5" t="e">
        <f t="shared" si="47"/>
        <v>#DIV/0!</v>
      </c>
      <c r="AV55" s="12" t="e">
        <f t="shared" si="48"/>
        <v>#DIV/0!</v>
      </c>
      <c r="AW55" s="12" t="e">
        <f t="shared" si="49"/>
        <v>#DIV/0!</v>
      </c>
      <c r="AX55" s="5" t="e">
        <f t="shared" si="50"/>
        <v>#DIV/0!</v>
      </c>
      <c r="AY55" s="5" t="e">
        <f t="shared" si="51"/>
        <v>#DIV/0!</v>
      </c>
      <c r="AZ55" s="1" t="e">
        <f t="shared" si="52"/>
        <v>#DIV/0!</v>
      </c>
      <c r="BA55" s="1" t="e">
        <f t="shared" si="53"/>
        <v>#DIV/0!</v>
      </c>
      <c r="BB55" s="1" t="e">
        <f t="shared" si="54"/>
        <v>#DIV/0!</v>
      </c>
      <c r="BC55" s="1" t="e">
        <f t="shared" si="55"/>
        <v>#DIV/0!</v>
      </c>
      <c r="BD55" s="1" t="e">
        <f t="shared" si="56"/>
        <v>#DIV/0!</v>
      </c>
      <c r="BE55" s="1" t="e">
        <f t="shared" si="57"/>
        <v>#DIV/0!</v>
      </c>
      <c r="BF55" s="1" t="e">
        <f t="shared" si="58"/>
        <v>#DIV/0!</v>
      </c>
      <c r="BG55" s="1" t="e">
        <f t="shared" si="59"/>
        <v>#DIV/0!</v>
      </c>
      <c r="BH55" s="1" t="e">
        <f t="shared" si="60"/>
        <v>#DIV/0!</v>
      </c>
      <c r="BI55" s="1" t="e">
        <f t="shared" si="61"/>
        <v>#DIV/0!</v>
      </c>
      <c r="BJ55" s="1" t="e">
        <f t="shared" si="62"/>
        <v>#DIV/0!</v>
      </c>
      <c r="BK55" s="1" t="e">
        <f t="shared" si="63"/>
        <v>#DIV/0!</v>
      </c>
      <c r="BL55" s="1" t="e">
        <f t="shared" si="64"/>
        <v>#DIV/0!</v>
      </c>
      <c r="BM55" s="1" t="e">
        <f t="shared" si="65"/>
        <v>#DIV/0!</v>
      </c>
      <c r="BN55" s="1" t="e">
        <f t="shared" si="66"/>
        <v>#DIV/0!</v>
      </c>
      <c r="BO55" s="1" t="e">
        <f t="shared" si="67"/>
        <v>#DIV/0!</v>
      </c>
      <c r="BP55" s="1" t="e">
        <f t="shared" si="68"/>
        <v>#DIV/0!</v>
      </c>
      <c r="BQ55" s="1" t="e">
        <f t="shared" si="69"/>
        <v>#DIV/0!</v>
      </c>
      <c r="BR55" s="1" t="e">
        <f t="shared" si="70"/>
        <v>#DIV/0!</v>
      </c>
      <c r="BS55" s="1" t="e">
        <f t="shared" si="71"/>
        <v>#DIV/0!</v>
      </c>
      <c r="BU55" s="9">
        <v>3.14</v>
      </c>
      <c r="BV55" s="10">
        <v>0.22181100240000001</v>
      </c>
      <c r="BW55" s="9">
        <v>0.18104824</v>
      </c>
      <c r="BX55" s="9">
        <v>1.5714286000000001E-2</v>
      </c>
      <c r="BZ55" s="10" t="e">
        <f t="shared" si="72"/>
        <v>#DIV/0!</v>
      </c>
      <c r="CA55" s="10" t="e">
        <f t="shared" si="73"/>
        <v>#DIV/0!</v>
      </c>
      <c r="CB55" s="10" t="e">
        <f t="shared" si="74"/>
        <v>#DIV/0!</v>
      </c>
      <c r="CD55" s="10">
        <f t="shared" si="75"/>
        <v>3.14</v>
      </c>
      <c r="CE55" s="10" t="e">
        <f t="shared" si="76"/>
        <v>#DIV/0!</v>
      </c>
      <c r="CF55" s="10" t="e">
        <f t="shared" si="77"/>
        <v>#DIV/0!</v>
      </c>
      <c r="CG55" s="10" t="e">
        <f t="shared" si="78"/>
        <v>#DIV/0!</v>
      </c>
      <c r="CH55" s="10">
        <f t="shared" si="79"/>
        <v>3.1751594863016004E-3</v>
      </c>
      <c r="CI55" s="10" t="e">
        <f t="shared" si="80"/>
        <v>#DIV/0!</v>
      </c>
      <c r="CK55" s="1" t="e">
        <f t="shared" si="81"/>
        <v>#DIV/0!</v>
      </c>
    </row>
    <row r="56" spans="2:89" x14ac:dyDescent="0.2"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1" t="e">
        <f t="shared" si="41"/>
        <v>#DIV/0!</v>
      </c>
      <c r="N56" s="11" t="e">
        <f t="shared" si="42"/>
        <v>#DIV/0!</v>
      </c>
      <c r="O56" s="13"/>
      <c r="P56" s="13"/>
      <c r="Q56" s="13"/>
      <c r="R56" s="11">
        <v>0.2020556</v>
      </c>
      <c r="T56" s="16"/>
      <c r="U56" s="16"/>
      <c r="V56" s="16"/>
      <c r="W56" s="16"/>
      <c r="X56" s="16"/>
      <c r="Y56" s="22">
        <v>420</v>
      </c>
      <c r="Z56" s="11">
        <v>21.986353300000001</v>
      </c>
      <c r="AA56" s="17"/>
      <c r="AB56" s="17"/>
      <c r="AC56" s="16"/>
      <c r="AD56" s="16"/>
      <c r="AE56" s="16"/>
      <c r="AF56" s="17"/>
      <c r="AG56" s="17"/>
      <c r="AH56" s="17"/>
      <c r="AI56" s="17"/>
      <c r="AJ56" s="17"/>
      <c r="AK56" s="17"/>
      <c r="AL56" s="16"/>
      <c r="AM56" s="16"/>
      <c r="AN56" s="16"/>
      <c r="AO56" s="16"/>
      <c r="AQ56" s="1">
        <f t="shared" si="43"/>
        <v>0</v>
      </c>
      <c r="AR56" s="1">
        <f t="shared" si="44"/>
        <v>0</v>
      </c>
      <c r="AS56" s="12" t="e">
        <f t="shared" si="45"/>
        <v>#DIV/0!</v>
      </c>
      <c r="AT56" s="12" t="e">
        <f t="shared" si="46"/>
        <v>#DIV/0!</v>
      </c>
      <c r="AU56" s="5" t="e">
        <f t="shared" si="47"/>
        <v>#DIV/0!</v>
      </c>
      <c r="AV56" s="12" t="e">
        <f t="shared" si="48"/>
        <v>#DIV/0!</v>
      </c>
      <c r="AW56" s="12" t="e">
        <f t="shared" si="49"/>
        <v>#DIV/0!</v>
      </c>
      <c r="AX56" s="5" t="e">
        <f t="shared" si="50"/>
        <v>#DIV/0!</v>
      </c>
      <c r="AY56" s="5" t="e">
        <f t="shared" si="51"/>
        <v>#DIV/0!</v>
      </c>
      <c r="AZ56" s="1" t="e">
        <f t="shared" si="52"/>
        <v>#DIV/0!</v>
      </c>
      <c r="BA56" s="1" t="e">
        <f t="shared" si="53"/>
        <v>#DIV/0!</v>
      </c>
      <c r="BB56" s="1" t="e">
        <f t="shared" si="54"/>
        <v>#DIV/0!</v>
      </c>
      <c r="BC56" s="1" t="e">
        <f t="shared" si="55"/>
        <v>#DIV/0!</v>
      </c>
      <c r="BD56" s="1" t="e">
        <f t="shared" si="56"/>
        <v>#DIV/0!</v>
      </c>
      <c r="BE56" s="1" t="e">
        <f t="shared" si="57"/>
        <v>#DIV/0!</v>
      </c>
      <c r="BF56" s="1" t="e">
        <f t="shared" si="58"/>
        <v>#DIV/0!</v>
      </c>
      <c r="BG56" s="1" t="e">
        <f t="shared" si="59"/>
        <v>#DIV/0!</v>
      </c>
      <c r="BH56" s="1" t="e">
        <f t="shared" si="60"/>
        <v>#DIV/0!</v>
      </c>
      <c r="BI56" s="1" t="e">
        <f t="shared" si="61"/>
        <v>#DIV/0!</v>
      </c>
      <c r="BJ56" s="1" t="e">
        <f t="shared" si="62"/>
        <v>#DIV/0!</v>
      </c>
      <c r="BK56" s="1" t="e">
        <f t="shared" si="63"/>
        <v>#DIV/0!</v>
      </c>
      <c r="BL56" s="1" t="e">
        <f t="shared" si="64"/>
        <v>#DIV/0!</v>
      </c>
      <c r="BM56" s="1" t="e">
        <f t="shared" si="65"/>
        <v>#DIV/0!</v>
      </c>
      <c r="BN56" s="1" t="e">
        <f t="shared" si="66"/>
        <v>#DIV/0!</v>
      </c>
      <c r="BO56" s="1" t="e">
        <f t="shared" si="67"/>
        <v>#DIV/0!</v>
      </c>
      <c r="BP56" s="1" t="e">
        <f t="shared" si="68"/>
        <v>#DIV/0!</v>
      </c>
      <c r="BQ56" s="1" t="e">
        <f t="shared" si="69"/>
        <v>#DIV/0!</v>
      </c>
      <c r="BR56" s="1" t="e">
        <f t="shared" si="70"/>
        <v>#DIV/0!</v>
      </c>
      <c r="BS56" s="1" t="e">
        <f t="shared" si="71"/>
        <v>#DIV/0!</v>
      </c>
      <c r="BU56" s="9">
        <v>3.14</v>
      </c>
      <c r="BV56" s="10">
        <v>0.22181100240000001</v>
      </c>
      <c r="BW56" s="9">
        <v>0.18104824</v>
      </c>
      <c r="BX56" s="9">
        <v>1.5714286000000001E-2</v>
      </c>
      <c r="BZ56" s="10" t="e">
        <f t="shared" si="72"/>
        <v>#DIV/0!</v>
      </c>
      <c r="CA56" s="10" t="e">
        <f t="shared" si="73"/>
        <v>#DIV/0!</v>
      </c>
      <c r="CB56" s="10" t="e">
        <f t="shared" si="74"/>
        <v>#DIV/0!</v>
      </c>
      <c r="CD56" s="10">
        <f t="shared" si="75"/>
        <v>3.14</v>
      </c>
      <c r="CE56" s="10" t="e">
        <f t="shared" si="76"/>
        <v>#DIV/0!</v>
      </c>
      <c r="CF56" s="10" t="e">
        <f t="shared" si="77"/>
        <v>#DIV/0!</v>
      </c>
      <c r="CG56" s="10" t="e">
        <f t="shared" si="78"/>
        <v>#DIV/0!</v>
      </c>
      <c r="CH56" s="10">
        <f t="shared" si="79"/>
        <v>3.1751594863016004E-3</v>
      </c>
      <c r="CI56" s="10" t="e">
        <f t="shared" si="80"/>
        <v>#DIV/0!</v>
      </c>
      <c r="CK56" s="1" t="e">
        <f t="shared" si="81"/>
        <v>#DIV/0!</v>
      </c>
    </row>
    <row r="57" spans="2:89" x14ac:dyDescent="0.2"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1" t="e">
        <f t="shared" si="41"/>
        <v>#DIV/0!</v>
      </c>
      <c r="N57" s="11" t="e">
        <f t="shared" si="42"/>
        <v>#DIV/0!</v>
      </c>
      <c r="O57" s="13"/>
      <c r="P57" s="13"/>
      <c r="Q57" s="13"/>
      <c r="R57" s="11">
        <v>0.2020556</v>
      </c>
      <c r="T57" s="17"/>
      <c r="U57" s="17"/>
      <c r="V57" s="16"/>
      <c r="W57" s="16"/>
      <c r="X57" s="16"/>
      <c r="Y57" s="22">
        <v>420</v>
      </c>
      <c r="Z57" s="11">
        <v>21.986353300000001</v>
      </c>
      <c r="AA57" s="17"/>
      <c r="AB57" s="17"/>
      <c r="AC57" s="16"/>
      <c r="AD57" s="16"/>
      <c r="AE57" s="17"/>
      <c r="AF57" s="17"/>
      <c r="AG57" s="17"/>
      <c r="AH57" s="17"/>
      <c r="AI57" s="17"/>
      <c r="AJ57" s="17"/>
      <c r="AK57" s="17"/>
      <c r="AL57" s="16"/>
      <c r="AM57" s="16"/>
      <c r="AN57" s="16"/>
      <c r="AO57" s="16"/>
      <c r="AQ57" s="1">
        <f t="shared" si="43"/>
        <v>0</v>
      </c>
      <c r="AR57" s="1">
        <f t="shared" si="44"/>
        <v>0</v>
      </c>
      <c r="AS57" s="12" t="e">
        <f t="shared" si="45"/>
        <v>#DIV/0!</v>
      </c>
      <c r="AT57" s="12" t="e">
        <f t="shared" si="46"/>
        <v>#DIV/0!</v>
      </c>
      <c r="AU57" s="5" t="e">
        <f t="shared" si="47"/>
        <v>#DIV/0!</v>
      </c>
      <c r="AV57" s="12" t="e">
        <f t="shared" si="48"/>
        <v>#DIV/0!</v>
      </c>
      <c r="AW57" s="12" t="e">
        <f t="shared" si="49"/>
        <v>#DIV/0!</v>
      </c>
      <c r="AX57" s="5" t="e">
        <f t="shared" si="50"/>
        <v>#DIV/0!</v>
      </c>
      <c r="AY57" s="5" t="e">
        <f t="shared" si="51"/>
        <v>#DIV/0!</v>
      </c>
      <c r="AZ57" s="1" t="e">
        <f t="shared" si="52"/>
        <v>#DIV/0!</v>
      </c>
      <c r="BA57" s="1" t="e">
        <f t="shared" si="53"/>
        <v>#DIV/0!</v>
      </c>
      <c r="BB57" s="1" t="e">
        <f t="shared" si="54"/>
        <v>#DIV/0!</v>
      </c>
      <c r="BC57" s="1" t="e">
        <f t="shared" si="55"/>
        <v>#DIV/0!</v>
      </c>
      <c r="BD57" s="1" t="e">
        <f t="shared" si="56"/>
        <v>#DIV/0!</v>
      </c>
      <c r="BE57" s="1" t="e">
        <f t="shared" si="57"/>
        <v>#DIV/0!</v>
      </c>
      <c r="BF57" s="1" t="e">
        <f t="shared" si="58"/>
        <v>#DIV/0!</v>
      </c>
      <c r="BG57" s="1" t="e">
        <f t="shared" si="59"/>
        <v>#DIV/0!</v>
      </c>
      <c r="BH57" s="1" t="e">
        <f t="shared" si="60"/>
        <v>#DIV/0!</v>
      </c>
      <c r="BI57" s="1" t="e">
        <f t="shared" si="61"/>
        <v>#DIV/0!</v>
      </c>
      <c r="BJ57" s="1" t="e">
        <f t="shared" si="62"/>
        <v>#DIV/0!</v>
      </c>
      <c r="BK57" s="1" t="e">
        <f t="shared" si="63"/>
        <v>#DIV/0!</v>
      </c>
      <c r="BL57" s="1" t="e">
        <f t="shared" si="64"/>
        <v>#DIV/0!</v>
      </c>
      <c r="BM57" s="1" t="e">
        <f t="shared" si="65"/>
        <v>#DIV/0!</v>
      </c>
      <c r="BN57" s="1" t="e">
        <f t="shared" si="66"/>
        <v>#DIV/0!</v>
      </c>
      <c r="BO57" s="1" t="e">
        <f t="shared" si="67"/>
        <v>#DIV/0!</v>
      </c>
      <c r="BP57" s="1" t="e">
        <f t="shared" si="68"/>
        <v>#DIV/0!</v>
      </c>
      <c r="BQ57" s="1" t="e">
        <f t="shared" si="69"/>
        <v>#DIV/0!</v>
      </c>
      <c r="BR57" s="1" t="e">
        <f t="shared" si="70"/>
        <v>#DIV/0!</v>
      </c>
      <c r="BS57" s="1" t="e">
        <f t="shared" si="71"/>
        <v>#DIV/0!</v>
      </c>
      <c r="BU57" s="9">
        <v>3.14</v>
      </c>
      <c r="BV57" s="10">
        <v>0.22181100240000001</v>
      </c>
      <c r="BW57" s="9">
        <v>0.18104824</v>
      </c>
      <c r="BX57" s="9">
        <v>1.5714286000000001E-2</v>
      </c>
      <c r="BZ57" s="10" t="e">
        <f t="shared" si="72"/>
        <v>#DIV/0!</v>
      </c>
      <c r="CA57" s="10" t="e">
        <f t="shared" si="73"/>
        <v>#DIV/0!</v>
      </c>
      <c r="CB57" s="10" t="e">
        <f t="shared" si="74"/>
        <v>#DIV/0!</v>
      </c>
      <c r="CD57" s="10">
        <f t="shared" si="75"/>
        <v>3.14</v>
      </c>
      <c r="CE57" s="10" t="e">
        <f t="shared" si="76"/>
        <v>#DIV/0!</v>
      </c>
      <c r="CF57" s="10" t="e">
        <f t="shared" si="77"/>
        <v>#DIV/0!</v>
      </c>
      <c r="CG57" s="10" t="e">
        <f t="shared" si="78"/>
        <v>#DIV/0!</v>
      </c>
      <c r="CH57" s="10">
        <f t="shared" si="79"/>
        <v>3.1751594863016004E-3</v>
      </c>
      <c r="CI57" s="10" t="e">
        <f t="shared" si="80"/>
        <v>#DIV/0!</v>
      </c>
      <c r="CK57" s="1" t="e">
        <f t="shared" si="81"/>
        <v>#DIV/0!</v>
      </c>
    </row>
    <row r="58" spans="2:89" x14ac:dyDescent="0.2"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1" t="e">
        <f t="shared" si="41"/>
        <v>#DIV/0!</v>
      </c>
      <c r="N58" s="11" t="e">
        <f t="shared" si="42"/>
        <v>#DIV/0!</v>
      </c>
      <c r="O58" s="13"/>
      <c r="P58" s="13"/>
      <c r="Q58" s="13"/>
      <c r="R58" s="11">
        <v>0.2020556</v>
      </c>
      <c r="T58" s="17"/>
      <c r="U58" s="17"/>
      <c r="V58" s="16"/>
      <c r="W58" s="16"/>
      <c r="X58" s="16"/>
      <c r="Y58" s="22">
        <v>420</v>
      </c>
      <c r="Z58" s="11">
        <v>21.986353300000001</v>
      </c>
      <c r="AA58" s="17"/>
      <c r="AB58" s="17"/>
      <c r="AC58" s="16"/>
      <c r="AD58" s="16"/>
      <c r="AE58" s="17"/>
      <c r="AF58" s="17"/>
      <c r="AG58" s="17"/>
      <c r="AH58" s="17"/>
      <c r="AI58" s="17"/>
      <c r="AJ58" s="17"/>
      <c r="AK58" s="17"/>
      <c r="AL58" s="16"/>
      <c r="AM58" s="16"/>
      <c r="AN58" s="16"/>
      <c r="AO58" s="16"/>
      <c r="AQ58" s="1">
        <f t="shared" si="43"/>
        <v>0</v>
      </c>
      <c r="AR58" s="1">
        <f t="shared" si="44"/>
        <v>0</v>
      </c>
      <c r="AS58" s="12" t="e">
        <f t="shared" si="45"/>
        <v>#DIV/0!</v>
      </c>
      <c r="AT58" s="12" t="e">
        <f t="shared" si="46"/>
        <v>#DIV/0!</v>
      </c>
      <c r="AU58" s="5" t="e">
        <f t="shared" si="47"/>
        <v>#DIV/0!</v>
      </c>
      <c r="AV58" s="12" t="e">
        <f t="shared" si="48"/>
        <v>#DIV/0!</v>
      </c>
      <c r="AW58" s="12" t="e">
        <f t="shared" si="49"/>
        <v>#DIV/0!</v>
      </c>
      <c r="AX58" s="5" t="e">
        <f t="shared" si="50"/>
        <v>#DIV/0!</v>
      </c>
      <c r="AY58" s="5" t="e">
        <f t="shared" si="51"/>
        <v>#DIV/0!</v>
      </c>
      <c r="AZ58" s="1" t="e">
        <f t="shared" si="52"/>
        <v>#DIV/0!</v>
      </c>
      <c r="BA58" s="1" t="e">
        <f t="shared" si="53"/>
        <v>#DIV/0!</v>
      </c>
      <c r="BB58" s="1" t="e">
        <f t="shared" si="54"/>
        <v>#DIV/0!</v>
      </c>
      <c r="BC58" s="1" t="e">
        <f t="shared" si="55"/>
        <v>#DIV/0!</v>
      </c>
      <c r="BD58" s="1" t="e">
        <f t="shared" si="56"/>
        <v>#DIV/0!</v>
      </c>
      <c r="BE58" s="1" t="e">
        <f t="shared" si="57"/>
        <v>#DIV/0!</v>
      </c>
      <c r="BF58" s="1" t="e">
        <f t="shared" si="58"/>
        <v>#DIV/0!</v>
      </c>
      <c r="BG58" s="1" t="e">
        <f t="shared" si="59"/>
        <v>#DIV/0!</v>
      </c>
      <c r="BH58" s="1" t="e">
        <f t="shared" si="60"/>
        <v>#DIV/0!</v>
      </c>
      <c r="BI58" s="1" t="e">
        <f t="shared" si="61"/>
        <v>#DIV/0!</v>
      </c>
      <c r="BJ58" s="1" t="e">
        <f t="shared" si="62"/>
        <v>#DIV/0!</v>
      </c>
      <c r="BK58" s="1" t="e">
        <f t="shared" si="63"/>
        <v>#DIV/0!</v>
      </c>
      <c r="BL58" s="1" t="e">
        <f t="shared" si="64"/>
        <v>#DIV/0!</v>
      </c>
      <c r="BM58" s="1" t="e">
        <f t="shared" si="65"/>
        <v>#DIV/0!</v>
      </c>
      <c r="BN58" s="1" t="e">
        <f t="shared" si="66"/>
        <v>#DIV/0!</v>
      </c>
      <c r="BO58" s="1" t="e">
        <f t="shared" si="67"/>
        <v>#DIV/0!</v>
      </c>
      <c r="BP58" s="1" t="e">
        <f t="shared" si="68"/>
        <v>#DIV/0!</v>
      </c>
      <c r="BQ58" s="1" t="e">
        <f t="shared" si="69"/>
        <v>#DIV/0!</v>
      </c>
      <c r="BR58" s="1" t="e">
        <f t="shared" si="70"/>
        <v>#DIV/0!</v>
      </c>
      <c r="BS58" s="1" t="e">
        <f t="shared" si="71"/>
        <v>#DIV/0!</v>
      </c>
      <c r="BU58" s="9">
        <v>3.14</v>
      </c>
      <c r="BV58" s="10">
        <v>0.22181100240000001</v>
      </c>
      <c r="BW58" s="9">
        <v>0.18104824</v>
      </c>
      <c r="BX58" s="9">
        <v>1.5714286000000001E-2</v>
      </c>
      <c r="BZ58" s="10" t="e">
        <f t="shared" si="72"/>
        <v>#DIV/0!</v>
      </c>
      <c r="CA58" s="10" t="e">
        <f t="shared" si="73"/>
        <v>#DIV/0!</v>
      </c>
      <c r="CB58" s="10" t="e">
        <f t="shared" si="74"/>
        <v>#DIV/0!</v>
      </c>
      <c r="CD58" s="10">
        <f t="shared" si="75"/>
        <v>3.14</v>
      </c>
      <c r="CE58" s="10" t="e">
        <f t="shared" si="76"/>
        <v>#DIV/0!</v>
      </c>
      <c r="CF58" s="10" t="e">
        <f t="shared" si="77"/>
        <v>#DIV/0!</v>
      </c>
      <c r="CG58" s="10" t="e">
        <f t="shared" si="78"/>
        <v>#DIV/0!</v>
      </c>
      <c r="CH58" s="10">
        <f t="shared" si="79"/>
        <v>3.1751594863016004E-3</v>
      </c>
      <c r="CI58" s="10" t="e">
        <f t="shared" si="80"/>
        <v>#DIV/0!</v>
      </c>
      <c r="CK58" s="1" t="e">
        <f t="shared" si="81"/>
        <v>#DIV/0!</v>
      </c>
    </row>
    <row r="59" spans="2:89" x14ac:dyDescent="0.2">
      <c r="B59" s="1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1" t="e">
        <f t="shared" si="41"/>
        <v>#DIV/0!</v>
      </c>
      <c r="N59" s="11" t="e">
        <f t="shared" si="42"/>
        <v>#DIV/0!</v>
      </c>
      <c r="O59" s="13"/>
      <c r="P59" s="13"/>
      <c r="Q59" s="13"/>
      <c r="R59" s="11">
        <v>0.2020556</v>
      </c>
      <c r="T59" s="17"/>
      <c r="U59" s="17"/>
      <c r="V59" s="16"/>
      <c r="W59" s="16"/>
      <c r="X59" s="16"/>
      <c r="Y59" s="22">
        <v>420</v>
      </c>
      <c r="Z59" s="11">
        <v>21.986353300000001</v>
      </c>
      <c r="AA59" s="17"/>
      <c r="AB59" s="17"/>
      <c r="AC59" s="16"/>
      <c r="AD59" s="16"/>
      <c r="AE59" s="17"/>
      <c r="AF59" s="17"/>
      <c r="AG59" s="17"/>
      <c r="AH59" s="17"/>
      <c r="AI59" s="17"/>
      <c r="AJ59" s="17"/>
      <c r="AK59" s="17"/>
      <c r="AL59" s="16"/>
      <c r="AM59" s="16"/>
      <c r="AN59" s="16"/>
      <c r="AO59" s="16"/>
      <c r="AQ59" s="1">
        <f t="shared" si="43"/>
        <v>0</v>
      </c>
      <c r="AR59" s="1">
        <f t="shared" si="44"/>
        <v>0</v>
      </c>
      <c r="AS59" s="12" t="e">
        <f t="shared" si="45"/>
        <v>#DIV/0!</v>
      </c>
      <c r="AT59" s="12" t="e">
        <f t="shared" si="46"/>
        <v>#DIV/0!</v>
      </c>
      <c r="AU59" s="5" t="e">
        <f t="shared" si="47"/>
        <v>#DIV/0!</v>
      </c>
      <c r="AV59" s="12" t="e">
        <f t="shared" si="48"/>
        <v>#DIV/0!</v>
      </c>
      <c r="AW59" s="12" t="e">
        <f t="shared" si="49"/>
        <v>#DIV/0!</v>
      </c>
      <c r="AX59" s="5" t="e">
        <f t="shared" si="50"/>
        <v>#DIV/0!</v>
      </c>
      <c r="AY59" s="5" t="e">
        <f t="shared" si="51"/>
        <v>#DIV/0!</v>
      </c>
      <c r="AZ59" s="1" t="e">
        <f t="shared" si="52"/>
        <v>#DIV/0!</v>
      </c>
      <c r="BA59" s="1" t="e">
        <f t="shared" si="53"/>
        <v>#DIV/0!</v>
      </c>
      <c r="BB59" s="1" t="e">
        <f t="shared" si="54"/>
        <v>#DIV/0!</v>
      </c>
      <c r="BC59" s="1" t="e">
        <f t="shared" si="55"/>
        <v>#DIV/0!</v>
      </c>
      <c r="BD59" s="1" t="e">
        <f t="shared" si="56"/>
        <v>#DIV/0!</v>
      </c>
      <c r="BE59" s="1" t="e">
        <f t="shared" si="57"/>
        <v>#DIV/0!</v>
      </c>
      <c r="BF59" s="1" t="e">
        <f t="shared" si="58"/>
        <v>#DIV/0!</v>
      </c>
      <c r="BG59" s="1" t="e">
        <f t="shared" si="59"/>
        <v>#DIV/0!</v>
      </c>
      <c r="BH59" s="1" t="e">
        <f t="shared" si="60"/>
        <v>#DIV/0!</v>
      </c>
      <c r="BI59" s="1" t="e">
        <f t="shared" si="61"/>
        <v>#DIV/0!</v>
      </c>
      <c r="BJ59" s="1" t="e">
        <f t="shared" si="62"/>
        <v>#DIV/0!</v>
      </c>
      <c r="BK59" s="1" t="e">
        <f t="shared" si="63"/>
        <v>#DIV/0!</v>
      </c>
      <c r="BL59" s="1" t="e">
        <f t="shared" si="64"/>
        <v>#DIV/0!</v>
      </c>
      <c r="BM59" s="1" t="e">
        <f t="shared" si="65"/>
        <v>#DIV/0!</v>
      </c>
      <c r="BN59" s="1" t="e">
        <f t="shared" si="66"/>
        <v>#DIV/0!</v>
      </c>
      <c r="BO59" s="1" t="e">
        <f t="shared" si="67"/>
        <v>#DIV/0!</v>
      </c>
      <c r="BP59" s="1" t="e">
        <f t="shared" si="68"/>
        <v>#DIV/0!</v>
      </c>
      <c r="BQ59" s="1" t="e">
        <f t="shared" si="69"/>
        <v>#DIV/0!</v>
      </c>
      <c r="BR59" s="1" t="e">
        <f t="shared" si="70"/>
        <v>#DIV/0!</v>
      </c>
      <c r="BS59" s="1" t="e">
        <f t="shared" si="71"/>
        <v>#DIV/0!</v>
      </c>
      <c r="BU59" s="9">
        <v>3.14</v>
      </c>
      <c r="BV59" s="10">
        <v>0.22181100240000001</v>
      </c>
      <c r="BW59" s="9">
        <v>0.18104824</v>
      </c>
      <c r="BX59" s="9">
        <v>1.5714286000000001E-2</v>
      </c>
      <c r="BZ59" s="10" t="e">
        <f t="shared" si="72"/>
        <v>#DIV/0!</v>
      </c>
      <c r="CA59" s="10" t="e">
        <f t="shared" si="73"/>
        <v>#DIV/0!</v>
      </c>
      <c r="CB59" s="10" t="e">
        <f t="shared" si="74"/>
        <v>#DIV/0!</v>
      </c>
      <c r="CD59" s="10">
        <f t="shared" si="75"/>
        <v>3.14</v>
      </c>
      <c r="CE59" s="10" t="e">
        <f t="shared" si="76"/>
        <v>#DIV/0!</v>
      </c>
      <c r="CF59" s="10" t="e">
        <f t="shared" si="77"/>
        <v>#DIV/0!</v>
      </c>
      <c r="CG59" s="10" t="e">
        <f t="shared" si="78"/>
        <v>#DIV/0!</v>
      </c>
      <c r="CH59" s="10">
        <f t="shared" si="79"/>
        <v>3.1751594863016004E-3</v>
      </c>
      <c r="CI59" s="10" t="e">
        <f t="shared" si="80"/>
        <v>#DIV/0!</v>
      </c>
      <c r="CK59" s="1" t="e">
        <f t="shared" si="81"/>
        <v>#DIV/0!</v>
      </c>
    </row>
    <row r="60" spans="2:89" x14ac:dyDescent="0.2">
      <c r="B60" s="14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1" t="e">
        <f t="shared" si="41"/>
        <v>#DIV/0!</v>
      </c>
      <c r="N60" s="11" t="e">
        <f t="shared" si="42"/>
        <v>#DIV/0!</v>
      </c>
      <c r="O60" s="13"/>
      <c r="P60" s="13"/>
      <c r="Q60" s="13"/>
      <c r="R60" s="11">
        <v>0.2020556</v>
      </c>
      <c r="T60" s="17"/>
      <c r="U60" s="17"/>
      <c r="V60" s="16"/>
      <c r="W60" s="16"/>
      <c r="X60" s="16"/>
      <c r="Y60" s="22">
        <v>420</v>
      </c>
      <c r="Z60" s="11">
        <v>21.986353300000001</v>
      </c>
      <c r="AA60" s="17"/>
      <c r="AB60" s="17"/>
      <c r="AC60" s="16"/>
      <c r="AD60" s="16"/>
      <c r="AE60" s="17"/>
      <c r="AF60" s="17"/>
      <c r="AG60" s="17"/>
      <c r="AH60" s="17"/>
      <c r="AI60" s="17"/>
      <c r="AJ60" s="17"/>
      <c r="AK60" s="17"/>
      <c r="AL60" s="16"/>
      <c r="AM60" s="16"/>
      <c r="AN60" s="16"/>
      <c r="AO60" s="16"/>
      <c r="AQ60" s="1">
        <f t="shared" si="43"/>
        <v>0</v>
      </c>
      <c r="AR60" s="1">
        <f t="shared" si="44"/>
        <v>0</v>
      </c>
      <c r="AS60" s="12" t="e">
        <f t="shared" si="45"/>
        <v>#DIV/0!</v>
      </c>
      <c r="AT60" s="12" t="e">
        <f t="shared" si="46"/>
        <v>#DIV/0!</v>
      </c>
      <c r="AU60" s="5" t="e">
        <f t="shared" si="47"/>
        <v>#DIV/0!</v>
      </c>
      <c r="AV60" s="12" t="e">
        <f t="shared" si="48"/>
        <v>#DIV/0!</v>
      </c>
      <c r="AW60" s="12" t="e">
        <f t="shared" si="49"/>
        <v>#DIV/0!</v>
      </c>
      <c r="AX60" s="5" t="e">
        <f t="shared" si="50"/>
        <v>#DIV/0!</v>
      </c>
      <c r="AY60" s="5" t="e">
        <f t="shared" si="51"/>
        <v>#DIV/0!</v>
      </c>
      <c r="AZ60" s="1" t="e">
        <f t="shared" si="52"/>
        <v>#DIV/0!</v>
      </c>
      <c r="BA60" s="1" t="e">
        <f t="shared" si="53"/>
        <v>#DIV/0!</v>
      </c>
      <c r="BB60" s="1" t="e">
        <f t="shared" si="54"/>
        <v>#DIV/0!</v>
      </c>
      <c r="BC60" s="1" t="e">
        <f t="shared" si="55"/>
        <v>#DIV/0!</v>
      </c>
      <c r="BD60" s="1" t="e">
        <f t="shared" si="56"/>
        <v>#DIV/0!</v>
      </c>
      <c r="BE60" s="1" t="e">
        <f t="shared" si="57"/>
        <v>#DIV/0!</v>
      </c>
      <c r="BF60" s="1" t="e">
        <f t="shared" si="58"/>
        <v>#DIV/0!</v>
      </c>
      <c r="BG60" s="1" t="e">
        <f t="shared" si="59"/>
        <v>#DIV/0!</v>
      </c>
      <c r="BH60" s="1" t="e">
        <f t="shared" si="60"/>
        <v>#DIV/0!</v>
      </c>
      <c r="BI60" s="1" t="e">
        <f t="shared" si="61"/>
        <v>#DIV/0!</v>
      </c>
      <c r="BJ60" s="1" t="e">
        <f t="shared" si="62"/>
        <v>#DIV/0!</v>
      </c>
      <c r="BK60" s="1" t="e">
        <f t="shared" si="63"/>
        <v>#DIV/0!</v>
      </c>
      <c r="BL60" s="1" t="e">
        <f t="shared" si="64"/>
        <v>#DIV/0!</v>
      </c>
      <c r="BM60" s="1" t="e">
        <f t="shared" si="65"/>
        <v>#DIV/0!</v>
      </c>
      <c r="BN60" s="1" t="e">
        <f t="shared" si="66"/>
        <v>#DIV/0!</v>
      </c>
      <c r="BO60" s="1" t="e">
        <f t="shared" si="67"/>
        <v>#DIV/0!</v>
      </c>
      <c r="BP60" s="1" t="e">
        <f t="shared" si="68"/>
        <v>#DIV/0!</v>
      </c>
      <c r="BQ60" s="1" t="e">
        <f t="shared" si="69"/>
        <v>#DIV/0!</v>
      </c>
      <c r="BR60" s="1" t="e">
        <f t="shared" si="70"/>
        <v>#DIV/0!</v>
      </c>
      <c r="BS60" s="1" t="e">
        <f t="shared" si="71"/>
        <v>#DIV/0!</v>
      </c>
      <c r="BU60" s="9">
        <v>3.14</v>
      </c>
      <c r="BV60" s="10">
        <v>0.22181100240000001</v>
      </c>
      <c r="BW60" s="9">
        <v>0.18104824</v>
      </c>
      <c r="BX60" s="9">
        <v>1.5714286000000001E-2</v>
      </c>
      <c r="BZ60" s="10" t="e">
        <f t="shared" si="72"/>
        <v>#DIV/0!</v>
      </c>
      <c r="CA60" s="10" t="e">
        <f t="shared" si="73"/>
        <v>#DIV/0!</v>
      </c>
      <c r="CB60" s="10" t="e">
        <f t="shared" si="74"/>
        <v>#DIV/0!</v>
      </c>
      <c r="CD60" s="10">
        <f t="shared" si="75"/>
        <v>3.14</v>
      </c>
      <c r="CE60" s="10" t="e">
        <f t="shared" si="76"/>
        <v>#DIV/0!</v>
      </c>
      <c r="CF60" s="10" t="e">
        <f t="shared" si="77"/>
        <v>#DIV/0!</v>
      </c>
      <c r="CG60" s="10" t="e">
        <f t="shared" si="78"/>
        <v>#DIV/0!</v>
      </c>
      <c r="CH60" s="10">
        <f t="shared" si="79"/>
        <v>3.1751594863016004E-3</v>
      </c>
      <c r="CI60" s="10" t="e">
        <f t="shared" si="80"/>
        <v>#DIV/0!</v>
      </c>
      <c r="CK60" s="1" t="e">
        <f t="shared" si="81"/>
        <v>#DIV/0!</v>
      </c>
    </row>
    <row r="61" spans="2:89" x14ac:dyDescent="0.2">
      <c r="B61" s="14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1" t="e">
        <f t="shared" si="41"/>
        <v>#DIV/0!</v>
      </c>
      <c r="N61" s="11" t="e">
        <f t="shared" si="42"/>
        <v>#DIV/0!</v>
      </c>
      <c r="O61" s="13"/>
      <c r="P61" s="13"/>
      <c r="Q61" s="13"/>
      <c r="R61" s="11">
        <v>0.2020556</v>
      </c>
      <c r="T61" s="17"/>
      <c r="U61" s="17"/>
      <c r="V61" s="16"/>
      <c r="W61" s="16"/>
      <c r="X61" s="16"/>
      <c r="Y61" s="22">
        <v>420</v>
      </c>
      <c r="Z61" s="11">
        <v>21.986353300000001</v>
      </c>
      <c r="AA61" s="17"/>
      <c r="AB61" s="17"/>
      <c r="AC61" s="16"/>
      <c r="AD61" s="16"/>
      <c r="AE61" s="17"/>
      <c r="AF61" s="17"/>
      <c r="AG61" s="17"/>
      <c r="AH61" s="17"/>
      <c r="AI61" s="17"/>
      <c r="AJ61" s="17"/>
      <c r="AK61" s="17"/>
      <c r="AL61" s="16"/>
      <c r="AM61" s="16"/>
      <c r="AN61" s="16"/>
      <c r="AO61" s="16"/>
      <c r="AQ61" s="1">
        <f t="shared" si="43"/>
        <v>0</v>
      </c>
      <c r="AR61" s="1">
        <f t="shared" si="44"/>
        <v>0</v>
      </c>
      <c r="AS61" s="12" t="e">
        <f t="shared" si="45"/>
        <v>#DIV/0!</v>
      </c>
      <c r="AT61" s="12" t="e">
        <f t="shared" si="46"/>
        <v>#DIV/0!</v>
      </c>
      <c r="AU61" s="5" t="e">
        <f t="shared" si="47"/>
        <v>#DIV/0!</v>
      </c>
      <c r="AV61" s="12" t="e">
        <f t="shared" si="48"/>
        <v>#DIV/0!</v>
      </c>
      <c r="AW61" s="12" t="e">
        <f t="shared" si="49"/>
        <v>#DIV/0!</v>
      </c>
      <c r="AX61" s="5" t="e">
        <f t="shared" si="50"/>
        <v>#DIV/0!</v>
      </c>
      <c r="AY61" s="5" t="e">
        <f t="shared" si="51"/>
        <v>#DIV/0!</v>
      </c>
      <c r="AZ61" s="1" t="e">
        <f t="shared" si="52"/>
        <v>#DIV/0!</v>
      </c>
      <c r="BA61" s="1" t="e">
        <f t="shared" si="53"/>
        <v>#DIV/0!</v>
      </c>
      <c r="BB61" s="1" t="e">
        <f t="shared" si="54"/>
        <v>#DIV/0!</v>
      </c>
      <c r="BC61" s="1" t="e">
        <f t="shared" si="55"/>
        <v>#DIV/0!</v>
      </c>
      <c r="BD61" s="1" t="e">
        <f t="shared" si="56"/>
        <v>#DIV/0!</v>
      </c>
      <c r="BE61" s="1" t="e">
        <f t="shared" si="57"/>
        <v>#DIV/0!</v>
      </c>
      <c r="BF61" s="1" t="e">
        <f t="shared" si="58"/>
        <v>#DIV/0!</v>
      </c>
      <c r="BG61" s="1" t="e">
        <f t="shared" si="59"/>
        <v>#DIV/0!</v>
      </c>
      <c r="BH61" s="1" t="e">
        <f t="shared" si="60"/>
        <v>#DIV/0!</v>
      </c>
      <c r="BI61" s="1" t="e">
        <f t="shared" si="61"/>
        <v>#DIV/0!</v>
      </c>
      <c r="BJ61" s="1" t="e">
        <f t="shared" si="62"/>
        <v>#DIV/0!</v>
      </c>
      <c r="BK61" s="1" t="e">
        <f t="shared" si="63"/>
        <v>#DIV/0!</v>
      </c>
      <c r="BL61" s="1" t="e">
        <f t="shared" si="64"/>
        <v>#DIV/0!</v>
      </c>
      <c r="BM61" s="1" t="e">
        <f t="shared" si="65"/>
        <v>#DIV/0!</v>
      </c>
      <c r="BN61" s="1" t="e">
        <f t="shared" si="66"/>
        <v>#DIV/0!</v>
      </c>
      <c r="BO61" s="1" t="e">
        <f t="shared" si="67"/>
        <v>#DIV/0!</v>
      </c>
      <c r="BP61" s="1" t="e">
        <f t="shared" si="68"/>
        <v>#DIV/0!</v>
      </c>
      <c r="BQ61" s="1" t="e">
        <f t="shared" si="69"/>
        <v>#DIV/0!</v>
      </c>
      <c r="BR61" s="1" t="e">
        <f t="shared" si="70"/>
        <v>#DIV/0!</v>
      </c>
      <c r="BS61" s="1" t="e">
        <f t="shared" si="71"/>
        <v>#DIV/0!</v>
      </c>
      <c r="BU61" s="9">
        <v>3.14</v>
      </c>
      <c r="BV61" s="10">
        <v>0.22181100240000001</v>
      </c>
      <c r="BW61" s="9">
        <v>0.18104824</v>
      </c>
      <c r="BX61" s="9">
        <v>1.5714286000000001E-2</v>
      </c>
      <c r="BZ61" s="10" t="e">
        <f t="shared" si="72"/>
        <v>#DIV/0!</v>
      </c>
      <c r="CA61" s="10" t="e">
        <f t="shared" si="73"/>
        <v>#DIV/0!</v>
      </c>
      <c r="CB61" s="10" t="e">
        <f t="shared" si="74"/>
        <v>#DIV/0!</v>
      </c>
      <c r="CD61" s="10">
        <f t="shared" si="75"/>
        <v>3.14</v>
      </c>
      <c r="CE61" s="10" t="e">
        <f t="shared" si="76"/>
        <v>#DIV/0!</v>
      </c>
      <c r="CF61" s="10" t="e">
        <f t="shared" si="77"/>
        <v>#DIV/0!</v>
      </c>
      <c r="CG61" s="10" t="e">
        <f t="shared" si="78"/>
        <v>#DIV/0!</v>
      </c>
      <c r="CH61" s="10">
        <f t="shared" si="79"/>
        <v>3.1751594863016004E-3</v>
      </c>
      <c r="CI61" s="10" t="e">
        <f t="shared" si="80"/>
        <v>#DIV/0!</v>
      </c>
      <c r="CK61" s="1" t="e">
        <f t="shared" si="81"/>
        <v>#DIV/0!</v>
      </c>
    </row>
    <row r="62" spans="2:89" x14ac:dyDescent="0.2">
      <c r="B62" s="14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1" t="e">
        <f t="shared" si="41"/>
        <v>#DIV/0!</v>
      </c>
      <c r="N62" s="11" t="e">
        <f t="shared" si="42"/>
        <v>#DIV/0!</v>
      </c>
      <c r="O62" s="13"/>
      <c r="P62" s="13"/>
      <c r="Q62" s="13"/>
      <c r="R62" s="11">
        <v>0.2020556</v>
      </c>
      <c r="T62" s="17"/>
      <c r="U62" s="17"/>
      <c r="V62" s="16"/>
      <c r="W62" s="16"/>
      <c r="X62" s="16"/>
      <c r="Y62" s="22">
        <v>420</v>
      </c>
      <c r="Z62" s="11">
        <v>21.986353300000001</v>
      </c>
      <c r="AA62" s="17"/>
      <c r="AB62" s="17"/>
      <c r="AC62" s="16"/>
      <c r="AD62" s="16"/>
      <c r="AE62" s="17"/>
      <c r="AF62" s="17"/>
      <c r="AG62" s="17"/>
      <c r="AH62" s="17"/>
      <c r="AI62" s="17"/>
      <c r="AJ62" s="17"/>
      <c r="AK62" s="17"/>
      <c r="AL62" s="16"/>
      <c r="AM62" s="16"/>
      <c r="AN62" s="16"/>
      <c r="AO62" s="16"/>
      <c r="AQ62" s="1">
        <f t="shared" si="43"/>
        <v>0</v>
      </c>
      <c r="AR62" s="1">
        <f t="shared" si="44"/>
        <v>0</v>
      </c>
      <c r="AS62" s="12" t="e">
        <f t="shared" si="45"/>
        <v>#DIV/0!</v>
      </c>
      <c r="AT62" s="12" t="e">
        <f t="shared" si="46"/>
        <v>#DIV/0!</v>
      </c>
      <c r="AU62" s="5" t="e">
        <f t="shared" si="47"/>
        <v>#DIV/0!</v>
      </c>
      <c r="AV62" s="12" t="e">
        <f t="shared" si="48"/>
        <v>#DIV/0!</v>
      </c>
      <c r="AW62" s="12" t="e">
        <f t="shared" si="49"/>
        <v>#DIV/0!</v>
      </c>
      <c r="AX62" s="5" t="e">
        <f t="shared" si="50"/>
        <v>#DIV/0!</v>
      </c>
      <c r="AY62" s="5" t="e">
        <f t="shared" si="51"/>
        <v>#DIV/0!</v>
      </c>
      <c r="AZ62" s="1" t="e">
        <f t="shared" si="52"/>
        <v>#DIV/0!</v>
      </c>
      <c r="BA62" s="1" t="e">
        <f t="shared" si="53"/>
        <v>#DIV/0!</v>
      </c>
      <c r="BB62" s="1" t="e">
        <f t="shared" si="54"/>
        <v>#DIV/0!</v>
      </c>
      <c r="BC62" s="1" t="e">
        <f t="shared" si="55"/>
        <v>#DIV/0!</v>
      </c>
      <c r="BD62" s="1" t="e">
        <f t="shared" si="56"/>
        <v>#DIV/0!</v>
      </c>
      <c r="BE62" s="1" t="e">
        <f t="shared" si="57"/>
        <v>#DIV/0!</v>
      </c>
      <c r="BF62" s="1" t="e">
        <f t="shared" si="58"/>
        <v>#DIV/0!</v>
      </c>
      <c r="BG62" s="1" t="e">
        <f t="shared" si="59"/>
        <v>#DIV/0!</v>
      </c>
      <c r="BH62" s="1" t="e">
        <f t="shared" si="60"/>
        <v>#DIV/0!</v>
      </c>
      <c r="BI62" s="1" t="e">
        <f t="shared" si="61"/>
        <v>#DIV/0!</v>
      </c>
      <c r="BJ62" s="1" t="e">
        <f t="shared" si="62"/>
        <v>#DIV/0!</v>
      </c>
      <c r="BK62" s="1" t="e">
        <f t="shared" si="63"/>
        <v>#DIV/0!</v>
      </c>
      <c r="BL62" s="1" t="e">
        <f t="shared" si="64"/>
        <v>#DIV/0!</v>
      </c>
      <c r="BM62" s="1" t="e">
        <f t="shared" si="65"/>
        <v>#DIV/0!</v>
      </c>
      <c r="BN62" s="1" t="e">
        <f t="shared" si="66"/>
        <v>#DIV/0!</v>
      </c>
      <c r="BO62" s="1" t="e">
        <f t="shared" si="67"/>
        <v>#DIV/0!</v>
      </c>
      <c r="BP62" s="1" t="e">
        <f t="shared" si="68"/>
        <v>#DIV/0!</v>
      </c>
      <c r="BQ62" s="1" t="e">
        <f t="shared" si="69"/>
        <v>#DIV/0!</v>
      </c>
      <c r="BR62" s="1" t="e">
        <f t="shared" si="70"/>
        <v>#DIV/0!</v>
      </c>
      <c r="BS62" s="1" t="e">
        <f t="shared" si="71"/>
        <v>#DIV/0!</v>
      </c>
      <c r="BU62" s="9">
        <v>3.14</v>
      </c>
      <c r="BV62" s="10">
        <v>0.22181100240000001</v>
      </c>
      <c r="BW62" s="9">
        <v>0.18104824</v>
      </c>
      <c r="BX62" s="9">
        <v>1.5714286000000001E-2</v>
      </c>
      <c r="BZ62" s="10" t="e">
        <f t="shared" si="72"/>
        <v>#DIV/0!</v>
      </c>
      <c r="CA62" s="10" t="e">
        <f t="shared" si="73"/>
        <v>#DIV/0!</v>
      </c>
      <c r="CB62" s="10" t="e">
        <f t="shared" si="74"/>
        <v>#DIV/0!</v>
      </c>
      <c r="CD62" s="10">
        <f t="shared" si="75"/>
        <v>3.14</v>
      </c>
      <c r="CE62" s="10" t="e">
        <f t="shared" si="76"/>
        <v>#DIV/0!</v>
      </c>
      <c r="CF62" s="10" t="e">
        <f t="shared" si="77"/>
        <v>#DIV/0!</v>
      </c>
      <c r="CG62" s="10" t="e">
        <f t="shared" si="78"/>
        <v>#DIV/0!</v>
      </c>
      <c r="CH62" s="10">
        <f t="shared" si="79"/>
        <v>3.1751594863016004E-3</v>
      </c>
      <c r="CI62" s="10" t="e">
        <f t="shared" si="80"/>
        <v>#DIV/0!</v>
      </c>
      <c r="CK62" s="1" t="e">
        <f t="shared" si="81"/>
        <v>#DIV/0!</v>
      </c>
    </row>
    <row r="63" spans="2:89" x14ac:dyDescent="0.2">
      <c r="B63" s="14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1" t="e">
        <f t="shared" si="41"/>
        <v>#DIV/0!</v>
      </c>
      <c r="N63" s="11" t="e">
        <f t="shared" si="42"/>
        <v>#DIV/0!</v>
      </c>
      <c r="O63" s="13"/>
      <c r="P63" s="13"/>
      <c r="Q63" s="13"/>
      <c r="R63" s="11">
        <v>0.2020556</v>
      </c>
      <c r="T63" s="17"/>
      <c r="U63" s="17"/>
      <c r="V63" s="16"/>
      <c r="W63" s="16"/>
      <c r="X63" s="16"/>
      <c r="Y63" s="22">
        <v>420</v>
      </c>
      <c r="Z63" s="11">
        <v>21.986353300000001</v>
      </c>
      <c r="AA63" s="17"/>
      <c r="AB63" s="17"/>
      <c r="AC63" s="16"/>
      <c r="AD63" s="16"/>
      <c r="AE63" s="17"/>
      <c r="AF63" s="17"/>
      <c r="AG63" s="17"/>
      <c r="AH63" s="17"/>
      <c r="AI63" s="17"/>
      <c r="AJ63" s="17"/>
      <c r="AK63" s="17"/>
      <c r="AL63" s="16"/>
      <c r="AM63" s="16"/>
      <c r="AN63" s="16"/>
      <c r="AO63" s="16"/>
      <c r="AQ63" s="1">
        <f t="shared" si="43"/>
        <v>0</v>
      </c>
      <c r="AR63" s="1">
        <f t="shared" si="44"/>
        <v>0</v>
      </c>
      <c r="AS63" s="12" t="e">
        <f t="shared" si="45"/>
        <v>#DIV/0!</v>
      </c>
      <c r="AT63" s="12" t="e">
        <f t="shared" si="46"/>
        <v>#DIV/0!</v>
      </c>
      <c r="AU63" s="5" t="e">
        <f t="shared" si="47"/>
        <v>#DIV/0!</v>
      </c>
      <c r="AV63" s="12" t="e">
        <f t="shared" si="48"/>
        <v>#DIV/0!</v>
      </c>
      <c r="AW63" s="12" t="e">
        <f t="shared" si="49"/>
        <v>#DIV/0!</v>
      </c>
      <c r="AX63" s="5" t="e">
        <f t="shared" si="50"/>
        <v>#DIV/0!</v>
      </c>
      <c r="AY63" s="5" t="e">
        <f t="shared" si="51"/>
        <v>#DIV/0!</v>
      </c>
      <c r="AZ63" s="1" t="e">
        <f t="shared" si="52"/>
        <v>#DIV/0!</v>
      </c>
      <c r="BA63" s="1" t="e">
        <f t="shared" si="53"/>
        <v>#DIV/0!</v>
      </c>
      <c r="BB63" s="1" t="e">
        <f t="shared" si="54"/>
        <v>#DIV/0!</v>
      </c>
      <c r="BC63" s="1" t="e">
        <f t="shared" si="55"/>
        <v>#DIV/0!</v>
      </c>
      <c r="BD63" s="1" t="e">
        <f t="shared" si="56"/>
        <v>#DIV/0!</v>
      </c>
      <c r="BE63" s="1" t="e">
        <f t="shared" si="57"/>
        <v>#DIV/0!</v>
      </c>
      <c r="BF63" s="1" t="e">
        <f t="shared" si="58"/>
        <v>#DIV/0!</v>
      </c>
      <c r="BG63" s="1" t="e">
        <f t="shared" si="59"/>
        <v>#DIV/0!</v>
      </c>
      <c r="BH63" s="1" t="e">
        <f t="shared" si="60"/>
        <v>#DIV/0!</v>
      </c>
      <c r="BI63" s="1" t="e">
        <f t="shared" si="61"/>
        <v>#DIV/0!</v>
      </c>
      <c r="BJ63" s="1" t="e">
        <f t="shared" si="62"/>
        <v>#DIV/0!</v>
      </c>
      <c r="BK63" s="1" t="e">
        <f t="shared" si="63"/>
        <v>#DIV/0!</v>
      </c>
      <c r="BL63" s="1" t="e">
        <f t="shared" si="64"/>
        <v>#DIV/0!</v>
      </c>
      <c r="BM63" s="1" t="e">
        <f t="shared" si="65"/>
        <v>#DIV/0!</v>
      </c>
      <c r="BN63" s="1" t="e">
        <f t="shared" si="66"/>
        <v>#DIV/0!</v>
      </c>
      <c r="BO63" s="1" t="e">
        <f t="shared" si="67"/>
        <v>#DIV/0!</v>
      </c>
      <c r="BP63" s="1" t="e">
        <f t="shared" si="68"/>
        <v>#DIV/0!</v>
      </c>
      <c r="BQ63" s="1" t="e">
        <f t="shared" si="69"/>
        <v>#DIV/0!</v>
      </c>
      <c r="BR63" s="1" t="e">
        <f t="shared" si="70"/>
        <v>#DIV/0!</v>
      </c>
      <c r="BS63" s="1" t="e">
        <f t="shared" si="71"/>
        <v>#DIV/0!</v>
      </c>
      <c r="BU63" s="9">
        <v>3.14</v>
      </c>
      <c r="BV63" s="10">
        <v>0.22181100240000001</v>
      </c>
      <c r="BW63" s="9">
        <v>0.18104824</v>
      </c>
      <c r="BX63" s="9">
        <v>1.5714286000000001E-2</v>
      </c>
      <c r="BZ63" s="10" t="e">
        <f t="shared" si="72"/>
        <v>#DIV/0!</v>
      </c>
      <c r="CA63" s="10" t="e">
        <f t="shared" si="73"/>
        <v>#DIV/0!</v>
      </c>
      <c r="CB63" s="10" t="e">
        <f t="shared" si="74"/>
        <v>#DIV/0!</v>
      </c>
      <c r="CD63" s="10">
        <f t="shared" si="75"/>
        <v>3.14</v>
      </c>
      <c r="CE63" s="10" t="e">
        <f t="shared" si="76"/>
        <v>#DIV/0!</v>
      </c>
      <c r="CF63" s="10" t="e">
        <f t="shared" si="77"/>
        <v>#DIV/0!</v>
      </c>
      <c r="CG63" s="10" t="e">
        <f t="shared" si="78"/>
        <v>#DIV/0!</v>
      </c>
      <c r="CH63" s="10">
        <f t="shared" si="79"/>
        <v>3.1751594863016004E-3</v>
      </c>
      <c r="CI63" s="10" t="e">
        <f t="shared" si="80"/>
        <v>#DIV/0!</v>
      </c>
      <c r="CK63" s="1" t="e">
        <f t="shared" si="81"/>
        <v>#DIV/0!</v>
      </c>
    </row>
    <row r="64" spans="2:89" x14ac:dyDescent="0.2">
      <c r="B64" s="14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1" t="e">
        <f t="shared" si="41"/>
        <v>#DIV/0!</v>
      </c>
      <c r="N64" s="11" t="e">
        <f t="shared" si="42"/>
        <v>#DIV/0!</v>
      </c>
      <c r="O64" s="13"/>
      <c r="P64" s="13"/>
      <c r="Q64" s="13"/>
      <c r="R64" s="11">
        <v>0.2020556</v>
      </c>
      <c r="T64" s="17"/>
      <c r="U64" s="17"/>
      <c r="V64" s="16"/>
      <c r="W64" s="16"/>
      <c r="X64" s="16"/>
      <c r="Y64" s="22">
        <v>420</v>
      </c>
      <c r="Z64" s="11">
        <v>21.986353300000001</v>
      </c>
      <c r="AA64" s="17"/>
      <c r="AB64" s="17"/>
      <c r="AC64" s="16"/>
      <c r="AD64" s="16"/>
      <c r="AE64" s="17"/>
      <c r="AF64" s="17"/>
      <c r="AG64" s="17"/>
      <c r="AH64" s="17"/>
      <c r="AI64" s="17"/>
      <c r="AJ64" s="17"/>
      <c r="AK64" s="17"/>
      <c r="AL64" s="16"/>
      <c r="AM64" s="16"/>
      <c r="AN64" s="16"/>
      <c r="AO64" s="16"/>
      <c r="AQ64" s="1">
        <f t="shared" si="43"/>
        <v>0</v>
      </c>
      <c r="AR64" s="1">
        <f t="shared" si="44"/>
        <v>0</v>
      </c>
      <c r="AS64" s="12" t="e">
        <f t="shared" si="45"/>
        <v>#DIV/0!</v>
      </c>
      <c r="AT64" s="12" t="e">
        <f t="shared" si="46"/>
        <v>#DIV/0!</v>
      </c>
      <c r="AU64" s="5" t="e">
        <f t="shared" si="47"/>
        <v>#DIV/0!</v>
      </c>
      <c r="AV64" s="12" t="e">
        <f t="shared" si="48"/>
        <v>#DIV/0!</v>
      </c>
      <c r="AW64" s="12" t="e">
        <f t="shared" si="49"/>
        <v>#DIV/0!</v>
      </c>
      <c r="AX64" s="5" t="e">
        <f t="shared" si="50"/>
        <v>#DIV/0!</v>
      </c>
      <c r="AY64" s="5" t="e">
        <f t="shared" si="51"/>
        <v>#DIV/0!</v>
      </c>
      <c r="AZ64" s="1" t="e">
        <f t="shared" si="52"/>
        <v>#DIV/0!</v>
      </c>
      <c r="BA64" s="1" t="e">
        <f t="shared" si="53"/>
        <v>#DIV/0!</v>
      </c>
      <c r="BB64" s="1" t="e">
        <f t="shared" si="54"/>
        <v>#DIV/0!</v>
      </c>
      <c r="BC64" s="1" t="e">
        <f t="shared" si="55"/>
        <v>#DIV/0!</v>
      </c>
      <c r="BD64" s="1" t="e">
        <f t="shared" si="56"/>
        <v>#DIV/0!</v>
      </c>
      <c r="BE64" s="1" t="e">
        <f t="shared" si="57"/>
        <v>#DIV/0!</v>
      </c>
      <c r="BF64" s="1" t="e">
        <f t="shared" si="58"/>
        <v>#DIV/0!</v>
      </c>
      <c r="BG64" s="1" t="e">
        <f t="shared" si="59"/>
        <v>#DIV/0!</v>
      </c>
      <c r="BH64" s="1" t="e">
        <f t="shared" si="60"/>
        <v>#DIV/0!</v>
      </c>
      <c r="BI64" s="1" t="e">
        <f t="shared" si="61"/>
        <v>#DIV/0!</v>
      </c>
      <c r="BJ64" s="1" t="e">
        <f t="shared" si="62"/>
        <v>#DIV/0!</v>
      </c>
      <c r="BK64" s="1" t="e">
        <f t="shared" si="63"/>
        <v>#DIV/0!</v>
      </c>
      <c r="BL64" s="1" t="e">
        <f t="shared" si="64"/>
        <v>#DIV/0!</v>
      </c>
      <c r="BM64" s="1" t="e">
        <f t="shared" si="65"/>
        <v>#DIV/0!</v>
      </c>
      <c r="BN64" s="1" t="e">
        <f t="shared" si="66"/>
        <v>#DIV/0!</v>
      </c>
      <c r="BO64" s="1" t="e">
        <f t="shared" si="67"/>
        <v>#DIV/0!</v>
      </c>
      <c r="BP64" s="1" t="e">
        <f t="shared" si="68"/>
        <v>#DIV/0!</v>
      </c>
      <c r="BQ64" s="1" t="e">
        <f t="shared" si="69"/>
        <v>#DIV/0!</v>
      </c>
      <c r="BR64" s="1" t="e">
        <f t="shared" si="70"/>
        <v>#DIV/0!</v>
      </c>
      <c r="BS64" s="1" t="e">
        <f t="shared" si="71"/>
        <v>#DIV/0!</v>
      </c>
      <c r="BU64" s="9">
        <v>3.14</v>
      </c>
      <c r="BV64" s="10">
        <v>0.22181100240000001</v>
      </c>
      <c r="BW64" s="9">
        <v>0.18104824</v>
      </c>
      <c r="BX64" s="9">
        <v>1.5714286000000001E-2</v>
      </c>
      <c r="BZ64" s="10" t="e">
        <f t="shared" si="72"/>
        <v>#DIV/0!</v>
      </c>
      <c r="CA64" s="10" t="e">
        <f t="shared" si="73"/>
        <v>#DIV/0!</v>
      </c>
      <c r="CB64" s="10" t="e">
        <f t="shared" si="74"/>
        <v>#DIV/0!</v>
      </c>
      <c r="CD64" s="10">
        <f t="shared" si="75"/>
        <v>3.14</v>
      </c>
      <c r="CE64" s="10" t="e">
        <f t="shared" si="76"/>
        <v>#DIV/0!</v>
      </c>
      <c r="CF64" s="10" t="e">
        <f t="shared" si="77"/>
        <v>#DIV/0!</v>
      </c>
      <c r="CG64" s="10" t="e">
        <f t="shared" si="78"/>
        <v>#DIV/0!</v>
      </c>
      <c r="CH64" s="10">
        <f t="shared" si="79"/>
        <v>3.1751594863016004E-3</v>
      </c>
      <c r="CI64" s="10" t="e">
        <f t="shared" si="80"/>
        <v>#DIV/0!</v>
      </c>
      <c r="CK64" s="1" t="e">
        <f t="shared" si="81"/>
        <v>#DIV/0!</v>
      </c>
    </row>
    <row r="65" spans="2:89" x14ac:dyDescent="0.2">
      <c r="B65" s="14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1" t="e">
        <f t="shared" si="41"/>
        <v>#DIV/0!</v>
      </c>
      <c r="N65" s="11" t="e">
        <f t="shared" si="42"/>
        <v>#DIV/0!</v>
      </c>
      <c r="O65" s="13"/>
      <c r="P65" s="13"/>
      <c r="Q65" s="13"/>
      <c r="R65" s="11">
        <v>0.2020556</v>
      </c>
      <c r="T65" s="17"/>
      <c r="U65" s="17"/>
      <c r="V65" s="16"/>
      <c r="W65" s="16"/>
      <c r="X65" s="16"/>
      <c r="Y65" s="22">
        <v>420</v>
      </c>
      <c r="Z65" s="11">
        <v>21.986353300000001</v>
      </c>
      <c r="AA65" s="17"/>
      <c r="AB65" s="17"/>
      <c r="AC65" s="16"/>
      <c r="AD65" s="16"/>
      <c r="AE65" s="17"/>
      <c r="AF65" s="17"/>
      <c r="AG65" s="17"/>
      <c r="AH65" s="17"/>
      <c r="AI65" s="17"/>
      <c r="AJ65" s="17"/>
      <c r="AK65" s="17"/>
      <c r="AL65" s="16"/>
      <c r="AM65" s="16"/>
      <c r="AN65" s="16"/>
      <c r="AO65" s="16"/>
      <c r="AQ65" s="1">
        <f t="shared" si="43"/>
        <v>0</v>
      </c>
      <c r="AR65" s="1">
        <f t="shared" si="44"/>
        <v>0</v>
      </c>
      <c r="AS65" s="12" t="e">
        <f t="shared" si="45"/>
        <v>#DIV/0!</v>
      </c>
      <c r="AT65" s="12" t="e">
        <f t="shared" si="46"/>
        <v>#DIV/0!</v>
      </c>
      <c r="AU65" s="5" t="e">
        <f t="shared" si="47"/>
        <v>#DIV/0!</v>
      </c>
      <c r="AV65" s="12" t="e">
        <f t="shared" si="48"/>
        <v>#DIV/0!</v>
      </c>
      <c r="AW65" s="12" t="e">
        <f t="shared" si="49"/>
        <v>#DIV/0!</v>
      </c>
      <c r="AX65" s="5" t="e">
        <f t="shared" si="50"/>
        <v>#DIV/0!</v>
      </c>
      <c r="AY65" s="5" t="e">
        <f t="shared" si="51"/>
        <v>#DIV/0!</v>
      </c>
      <c r="AZ65" s="1" t="e">
        <f t="shared" si="52"/>
        <v>#DIV/0!</v>
      </c>
      <c r="BA65" s="1" t="e">
        <f t="shared" si="53"/>
        <v>#DIV/0!</v>
      </c>
      <c r="BB65" s="1" t="e">
        <f t="shared" si="54"/>
        <v>#DIV/0!</v>
      </c>
      <c r="BC65" s="1" t="e">
        <f t="shared" si="55"/>
        <v>#DIV/0!</v>
      </c>
      <c r="BD65" s="1" t="e">
        <f t="shared" si="56"/>
        <v>#DIV/0!</v>
      </c>
      <c r="BE65" s="1" t="e">
        <f t="shared" si="57"/>
        <v>#DIV/0!</v>
      </c>
      <c r="BF65" s="1" t="e">
        <f t="shared" si="58"/>
        <v>#DIV/0!</v>
      </c>
      <c r="BG65" s="1" t="e">
        <f t="shared" si="59"/>
        <v>#DIV/0!</v>
      </c>
      <c r="BH65" s="1" t="e">
        <f t="shared" si="60"/>
        <v>#DIV/0!</v>
      </c>
      <c r="BI65" s="1" t="e">
        <f t="shared" si="61"/>
        <v>#DIV/0!</v>
      </c>
      <c r="BJ65" s="1" t="e">
        <f t="shared" si="62"/>
        <v>#DIV/0!</v>
      </c>
      <c r="BK65" s="1" t="e">
        <f t="shared" si="63"/>
        <v>#DIV/0!</v>
      </c>
      <c r="BL65" s="1" t="e">
        <f t="shared" si="64"/>
        <v>#DIV/0!</v>
      </c>
      <c r="BM65" s="1" t="e">
        <f t="shared" si="65"/>
        <v>#DIV/0!</v>
      </c>
      <c r="BN65" s="1" t="e">
        <f t="shared" si="66"/>
        <v>#DIV/0!</v>
      </c>
      <c r="BO65" s="1" t="e">
        <f t="shared" si="67"/>
        <v>#DIV/0!</v>
      </c>
      <c r="BP65" s="1" t="e">
        <f t="shared" si="68"/>
        <v>#DIV/0!</v>
      </c>
      <c r="BQ65" s="1" t="e">
        <f t="shared" si="69"/>
        <v>#DIV/0!</v>
      </c>
      <c r="BR65" s="1" t="e">
        <f t="shared" si="70"/>
        <v>#DIV/0!</v>
      </c>
      <c r="BS65" s="1" t="e">
        <f t="shared" si="71"/>
        <v>#DIV/0!</v>
      </c>
      <c r="BU65" s="9">
        <v>3.14</v>
      </c>
      <c r="BV65" s="10">
        <v>0.22181100240000001</v>
      </c>
      <c r="BW65" s="9">
        <v>0.18104824</v>
      </c>
      <c r="BX65" s="9">
        <v>1.5714286000000001E-2</v>
      </c>
      <c r="BZ65" s="10" t="e">
        <f t="shared" si="72"/>
        <v>#DIV/0!</v>
      </c>
      <c r="CA65" s="10" t="e">
        <f t="shared" si="73"/>
        <v>#DIV/0!</v>
      </c>
      <c r="CB65" s="10" t="e">
        <f t="shared" si="74"/>
        <v>#DIV/0!</v>
      </c>
      <c r="CD65" s="10">
        <f t="shared" si="75"/>
        <v>3.14</v>
      </c>
      <c r="CE65" s="10" t="e">
        <f t="shared" si="76"/>
        <v>#DIV/0!</v>
      </c>
      <c r="CF65" s="10" t="e">
        <f t="shared" si="77"/>
        <v>#DIV/0!</v>
      </c>
      <c r="CG65" s="10" t="e">
        <f t="shared" si="78"/>
        <v>#DIV/0!</v>
      </c>
      <c r="CH65" s="10">
        <f t="shared" si="79"/>
        <v>3.1751594863016004E-3</v>
      </c>
      <c r="CI65" s="10" t="e">
        <f t="shared" si="80"/>
        <v>#DIV/0!</v>
      </c>
      <c r="CK65" s="1" t="e">
        <f t="shared" si="81"/>
        <v>#DIV/0!</v>
      </c>
    </row>
    <row r="66" spans="2:89" x14ac:dyDescent="0.2">
      <c r="AS66" s="5"/>
      <c r="AT66" s="5"/>
      <c r="AU66" s="5"/>
      <c r="AV66" s="5"/>
      <c r="AW66" s="5"/>
      <c r="AX66" s="5"/>
      <c r="AY66" s="5"/>
      <c r="BU66" s="8"/>
      <c r="BW66" s="8"/>
      <c r="BX66" s="8"/>
    </row>
    <row r="67" spans="2:89" x14ac:dyDescent="0.2">
      <c r="AS67" s="5"/>
      <c r="AT67" s="5"/>
      <c r="AU67" s="5"/>
      <c r="AV67" s="5"/>
      <c r="AW67" s="5"/>
      <c r="AX67" s="5"/>
      <c r="AY67" s="5"/>
      <c r="BU67" s="8"/>
      <c r="BW67" s="8"/>
      <c r="BX67" s="8"/>
    </row>
    <row r="68" spans="2:89" x14ac:dyDescent="0.2">
      <c r="AS68" s="5"/>
      <c r="AT68" s="5"/>
      <c r="AU68" s="5"/>
      <c r="AV68" s="5"/>
      <c r="AW68" s="5"/>
      <c r="AX68" s="5"/>
      <c r="AY68" s="5"/>
      <c r="BU68" s="8"/>
      <c r="BW68" s="8"/>
      <c r="BX68" s="8"/>
    </row>
    <row r="69" spans="2:89" x14ac:dyDescent="0.2">
      <c r="AS69" s="5"/>
      <c r="AT69" s="5"/>
      <c r="AU69" s="5"/>
      <c r="AV69" s="5"/>
      <c r="AW69" s="5"/>
      <c r="AX69" s="5"/>
      <c r="AY69" s="5"/>
      <c r="BU69" s="8"/>
      <c r="BW69" s="8"/>
      <c r="BX69" s="8"/>
    </row>
    <row r="70" spans="2:89" x14ac:dyDescent="0.2">
      <c r="AS70" s="5"/>
      <c r="AT70" s="5"/>
      <c r="AU70" s="5"/>
      <c r="AV70" s="5"/>
      <c r="AW70" s="5"/>
      <c r="AX70" s="5"/>
      <c r="AY70" s="5"/>
      <c r="BU70" s="8"/>
      <c r="BW70" s="8"/>
      <c r="BX70" s="8"/>
    </row>
    <row r="71" spans="2:89" x14ac:dyDescent="0.2">
      <c r="AS71" s="5"/>
      <c r="AT71" s="5"/>
      <c r="AU71" s="5"/>
      <c r="AV71" s="5"/>
      <c r="AW71" s="5"/>
      <c r="AX71" s="5"/>
      <c r="AY71" s="5"/>
      <c r="BU71" s="8"/>
      <c r="BW71" s="8"/>
      <c r="BX71" s="8"/>
    </row>
    <row r="72" spans="2:89" x14ac:dyDescent="0.2">
      <c r="AS72" s="5"/>
      <c r="AT72" s="5"/>
      <c r="AU72" s="5"/>
      <c r="AV72" s="5"/>
      <c r="AW72" s="5"/>
      <c r="AX72" s="5"/>
      <c r="AY72" s="5"/>
      <c r="BU72" s="8"/>
      <c r="BW72" s="8"/>
      <c r="BX72" s="8"/>
    </row>
    <row r="73" spans="2:89" x14ac:dyDescent="0.2">
      <c r="AS73" s="5"/>
      <c r="AT73" s="5"/>
      <c r="AU73" s="5"/>
      <c r="AV73" s="5"/>
      <c r="AW73" s="5"/>
      <c r="AX73" s="5"/>
      <c r="AY73" s="5"/>
      <c r="BU73" s="8"/>
      <c r="BW73" s="8"/>
      <c r="BX73" s="8"/>
    </row>
    <row r="74" spans="2:89" x14ac:dyDescent="0.2">
      <c r="AS74" s="5"/>
      <c r="AT74" s="5"/>
      <c r="AU74" s="5"/>
      <c r="AV74" s="5"/>
      <c r="AW74" s="5"/>
      <c r="AX74" s="5"/>
      <c r="AY74" s="5"/>
      <c r="BU74" s="8"/>
      <c r="BW74" s="8"/>
      <c r="BX74" s="8"/>
    </row>
    <row r="75" spans="2:89" x14ac:dyDescent="0.2">
      <c r="AS75" s="5"/>
      <c r="AT75" s="5"/>
      <c r="AU75" s="5"/>
      <c r="AV75" s="5"/>
      <c r="AW75" s="5"/>
      <c r="AX75" s="5"/>
      <c r="AY75" s="5"/>
      <c r="BU75" s="8"/>
      <c r="BW75" s="8"/>
      <c r="BX75" s="8"/>
    </row>
    <row r="76" spans="2:89" x14ac:dyDescent="0.2">
      <c r="AS76" s="5"/>
      <c r="AT76" s="5"/>
      <c r="AU76" s="5"/>
      <c r="AV76" s="5"/>
      <c r="AW76" s="5"/>
      <c r="AX76" s="5"/>
      <c r="AY76" s="5"/>
      <c r="BU76" s="8"/>
      <c r="BW76" s="8"/>
      <c r="BX76" s="8"/>
    </row>
    <row r="77" spans="2:89" x14ac:dyDescent="0.2">
      <c r="AS77" s="5"/>
      <c r="AT77" s="5"/>
      <c r="AU77" s="5"/>
      <c r="AV77" s="5"/>
      <c r="AW77" s="5"/>
      <c r="AX77" s="5"/>
      <c r="AY77" s="5"/>
      <c r="BU77" s="8"/>
      <c r="BW77" s="8"/>
      <c r="BX77" s="8"/>
    </row>
    <row r="78" spans="2:89" x14ac:dyDescent="0.2">
      <c r="AS78" s="5"/>
      <c r="AT78" s="5"/>
      <c r="AU78" s="5"/>
      <c r="AV78" s="5"/>
      <c r="AW78" s="5"/>
      <c r="AX78" s="5"/>
      <c r="AY78" s="5"/>
      <c r="BU78" s="8"/>
      <c r="BW78" s="8"/>
      <c r="BX78" s="8"/>
    </row>
    <row r="79" spans="2:89" x14ac:dyDescent="0.2">
      <c r="AS79" s="5"/>
      <c r="AT79" s="5"/>
      <c r="AU79" s="5"/>
      <c r="AV79" s="5"/>
      <c r="AW79" s="5"/>
      <c r="AX79" s="5"/>
      <c r="AY79" s="5"/>
      <c r="BU79" s="8"/>
      <c r="BW79" s="8"/>
      <c r="BX79" s="8"/>
    </row>
    <row r="80" spans="2:89" x14ac:dyDescent="0.2">
      <c r="AS80" s="5"/>
      <c r="AT80" s="5"/>
      <c r="AU80" s="5"/>
      <c r="AV80" s="5"/>
      <c r="AW80" s="5"/>
      <c r="AX80" s="5"/>
      <c r="AY80" s="5"/>
      <c r="BU80" s="8"/>
      <c r="BW80" s="8"/>
      <c r="BX80" s="8"/>
    </row>
    <row r="81" spans="45:76" x14ac:dyDescent="0.2">
      <c r="AS81" s="5"/>
      <c r="AT81" s="5"/>
      <c r="AU81" s="5"/>
      <c r="AV81" s="5"/>
      <c r="AW81" s="5"/>
      <c r="AX81" s="5"/>
      <c r="AY81" s="5"/>
      <c r="BU81" s="8"/>
      <c r="BW81" s="8"/>
      <c r="BX81" s="8"/>
    </row>
    <row r="82" spans="45:76" x14ac:dyDescent="0.2">
      <c r="AS82" s="5"/>
      <c r="AT82" s="5"/>
      <c r="AU82" s="5"/>
      <c r="AV82" s="5"/>
      <c r="AW82" s="5"/>
      <c r="AX82" s="5"/>
      <c r="AY82" s="5"/>
      <c r="BU82" s="8"/>
      <c r="BW82" s="8"/>
      <c r="BX82" s="8"/>
    </row>
    <row r="83" spans="45:76" x14ac:dyDescent="0.2">
      <c r="AS83" s="5"/>
      <c r="AT83" s="5"/>
      <c r="AU83" s="5"/>
      <c r="AV83" s="5"/>
      <c r="AW83" s="5"/>
      <c r="AX83" s="5"/>
      <c r="AY83" s="5"/>
      <c r="BU83" s="8"/>
      <c r="BW83" s="8"/>
      <c r="BX83" s="8"/>
    </row>
    <row r="84" spans="45:76" x14ac:dyDescent="0.2">
      <c r="AS84" s="5"/>
      <c r="AT84" s="5"/>
      <c r="AU84" s="5"/>
      <c r="AV84" s="5"/>
      <c r="AW84" s="5"/>
      <c r="AX84" s="5"/>
      <c r="AY84" s="5"/>
      <c r="BU84" s="8"/>
      <c r="BW84" s="8"/>
      <c r="BX84" s="8"/>
    </row>
    <row r="85" spans="45:76" x14ac:dyDescent="0.2">
      <c r="AS85" s="5"/>
      <c r="AT85" s="5"/>
      <c r="AU85" s="5"/>
      <c r="AV85" s="5"/>
      <c r="AW85" s="5"/>
      <c r="AX85" s="5"/>
      <c r="AY85" s="5"/>
      <c r="BU85" s="8"/>
      <c r="BW85" s="8"/>
      <c r="BX85" s="8"/>
    </row>
    <row r="86" spans="45:76" x14ac:dyDescent="0.2">
      <c r="AS86" s="5"/>
      <c r="AT86" s="5"/>
      <c r="AU86" s="5"/>
      <c r="AV86" s="5"/>
      <c r="AW86" s="5"/>
      <c r="AX86" s="5"/>
      <c r="AY86" s="5"/>
      <c r="BU86" s="8"/>
      <c r="BW86" s="8"/>
      <c r="BX86" s="8"/>
    </row>
    <row r="87" spans="45:76" x14ac:dyDescent="0.2">
      <c r="AS87" s="5"/>
      <c r="AT87" s="5"/>
      <c r="AU87" s="5"/>
      <c r="AV87" s="5"/>
      <c r="AW87" s="5"/>
      <c r="AX87" s="5"/>
      <c r="AY87" s="5"/>
      <c r="BU87" s="8"/>
      <c r="BW87" s="8"/>
      <c r="BX87" s="8"/>
    </row>
    <row r="88" spans="45:76" x14ac:dyDescent="0.2">
      <c r="AS88" s="5"/>
      <c r="AT88" s="5"/>
      <c r="AU88" s="5"/>
      <c r="AV88" s="5"/>
      <c r="AW88" s="5"/>
      <c r="AX88" s="5"/>
      <c r="AY88" s="5"/>
      <c r="BU88" s="8"/>
      <c r="BW88" s="8"/>
      <c r="BX88" s="8"/>
    </row>
    <row r="89" spans="45:76" x14ac:dyDescent="0.2">
      <c r="AS89" s="5"/>
      <c r="AT89" s="5"/>
      <c r="AU89" s="5"/>
      <c r="AV89" s="5"/>
      <c r="AW89" s="5"/>
      <c r="AX89" s="5"/>
      <c r="AY89" s="5"/>
      <c r="BU89" s="8"/>
      <c r="BW89" s="8"/>
      <c r="BX89" s="8"/>
    </row>
    <row r="90" spans="45:76" x14ac:dyDescent="0.2">
      <c r="AS90" s="5"/>
      <c r="AT90" s="5"/>
      <c r="AU90" s="5"/>
      <c r="AV90" s="5"/>
      <c r="AW90" s="5"/>
      <c r="AX90" s="5"/>
      <c r="AY90" s="5"/>
      <c r="BU90" s="8"/>
      <c r="BW90" s="8"/>
      <c r="BX90" s="8"/>
    </row>
    <row r="91" spans="45:76" x14ac:dyDescent="0.2">
      <c r="AS91" s="5"/>
      <c r="AT91" s="5"/>
      <c r="AU91" s="5"/>
      <c r="AV91" s="5"/>
      <c r="AW91" s="5"/>
      <c r="AX91" s="5"/>
      <c r="AY91" s="5"/>
      <c r="BU91" s="8"/>
      <c r="BW91" s="8"/>
      <c r="BX91" s="8"/>
    </row>
    <row r="92" spans="45:76" x14ac:dyDescent="0.2">
      <c r="AS92" s="5"/>
      <c r="AT92" s="5"/>
      <c r="AU92" s="5"/>
      <c r="AV92" s="5"/>
      <c r="AW92" s="5"/>
      <c r="AX92" s="5"/>
      <c r="AY92" s="5"/>
      <c r="BU92" s="8"/>
      <c r="BW92" s="8"/>
      <c r="BX92" s="8"/>
    </row>
    <row r="93" spans="45:76" x14ac:dyDescent="0.2">
      <c r="AS93" s="5"/>
      <c r="AT93" s="5"/>
      <c r="AU93" s="5"/>
      <c r="AV93" s="5"/>
      <c r="AW93" s="5"/>
      <c r="AX93" s="5"/>
      <c r="AY93" s="5"/>
      <c r="BU93" s="8"/>
      <c r="BW93" s="8"/>
      <c r="BX93" s="8"/>
    </row>
    <row r="94" spans="45:76" x14ac:dyDescent="0.2">
      <c r="AS94" s="5"/>
      <c r="AT94" s="5"/>
      <c r="AU94" s="5"/>
      <c r="AV94" s="5"/>
      <c r="AW94" s="5"/>
      <c r="AX94" s="5"/>
      <c r="AY94" s="5"/>
      <c r="BU94" s="8"/>
      <c r="BW94" s="8"/>
      <c r="BX94" s="8"/>
    </row>
    <row r="95" spans="45:76" x14ac:dyDescent="0.2">
      <c r="AS95" s="5"/>
      <c r="AT95" s="5"/>
      <c r="AU95" s="5"/>
      <c r="AV95" s="5"/>
      <c r="AW95" s="5"/>
      <c r="AX95" s="5"/>
      <c r="AY95" s="5"/>
      <c r="BU95" s="8"/>
      <c r="BW95" s="8"/>
      <c r="BX95" s="8"/>
    </row>
    <row r="96" spans="45:76" x14ac:dyDescent="0.2">
      <c r="AS96" s="5"/>
      <c r="AT96" s="5"/>
      <c r="AU96" s="5"/>
      <c r="AV96" s="5"/>
      <c r="AW96" s="5"/>
      <c r="AX96" s="5"/>
      <c r="AY96" s="5"/>
      <c r="BU96" s="8"/>
      <c r="BW96" s="8"/>
      <c r="BX96" s="8"/>
    </row>
    <row r="97" spans="45:76" x14ac:dyDescent="0.2">
      <c r="AS97" s="5"/>
      <c r="AT97" s="5"/>
      <c r="AU97" s="5"/>
      <c r="AV97" s="5"/>
      <c r="AW97" s="5"/>
      <c r="AX97" s="5"/>
      <c r="AY97" s="5"/>
      <c r="BU97" s="8"/>
      <c r="BW97" s="8"/>
      <c r="BX97" s="8"/>
    </row>
    <row r="98" spans="45:76" x14ac:dyDescent="0.2">
      <c r="AS98" s="5"/>
      <c r="AT98" s="5"/>
      <c r="AU98" s="5"/>
      <c r="AV98" s="5"/>
      <c r="AW98" s="5"/>
      <c r="AX98" s="5"/>
      <c r="AY98" s="5"/>
      <c r="BU98" s="8"/>
      <c r="BW98" s="8"/>
      <c r="BX98" s="8"/>
    </row>
    <row r="99" spans="45:76" x14ac:dyDescent="0.2">
      <c r="AS99" s="5"/>
      <c r="AT99" s="5"/>
      <c r="AU99" s="5"/>
      <c r="AV99" s="5"/>
      <c r="AW99" s="5"/>
      <c r="AX99" s="5"/>
      <c r="AY99" s="5"/>
      <c r="BU99" s="8"/>
      <c r="BW99" s="8"/>
      <c r="BX99" s="8"/>
    </row>
    <row r="100" spans="45:76" x14ac:dyDescent="0.2">
      <c r="AS100" s="5"/>
      <c r="AT100" s="5"/>
      <c r="AU100" s="5"/>
      <c r="AV100" s="5"/>
      <c r="AW100" s="5"/>
      <c r="AX100" s="5"/>
      <c r="AY100" s="5"/>
      <c r="BU100" s="8"/>
      <c r="BW100" s="8"/>
      <c r="BX100" s="8"/>
    </row>
    <row r="101" spans="45:76" x14ac:dyDescent="0.2">
      <c r="AS101" s="5"/>
      <c r="AT101" s="5"/>
      <c r="AU101" s="5"/>
      <c r="AV101" s="5"/>
      <c r="AW101" s="5"/>
      <c r="AX101" s="5"/>
      <c r="AY101" s="5"/>
      <c r="BU101" s="8"/>
      <c r="BW101" s="8"/>
      <c r="BX101" s="8"/>
    </row>
    <row r="102" spans="45:76" x14ac:dyDescent="0.2">
      <c r="AS102" s="5"/>
      <c r="AT102" s="5"/>
      <c r="AU102" s="5"/>
      <c r="AV102" s="5"/>
      <c r="AW102" s="5"/>
      <c r="AX102" s="5"/>
      <c r="AY102" s="5"/>
      <c r="BU102" s="8"/>
      <c r="BW102" s="8"/>
      <c r="BX102" s="8"/>
    </row>
    <row r="103" spans="45:76" x14ac:dyDescent="0.2">
      <c r="AS103" s="5"/>
      <c r="AT103" s="5"/>
      <c r="AU103" s="5"/>
      <c r="AV103" s="5"/>
      <c r="AW103" s="5"/>
      <c r="AX103" s="5"/>
      <c r="AY103" s="5"/>
      <c r="BU103" s="8"/>
      <c r="BW103" s="8"/>
      <c r="BX103" s="8"/>
    </row>
    <row r="104" spans="45:76" x14ac:dyDescent="0.2">
      <c r="AS104" s="5"/>
      <c r="AT104" s="5"/>
      <c r="AU104" s="5"/>
      <c r="AV104" s="5"/>
      <c r="AW104" s="5"/>
      <c r="AX104" s="5"/>
      <c r="AY104" s="5"/>
    </row>
    <row r="105" spans="45:76" x14ac:dyDescent="0.2">
      <c r="AS105" s="5"/>
      <c r="AT105" s="5"/>
      <c r="AU105" s="5"/>
      <c r="AV105" s="5"/>
      <c r="AW105" s="5"/>
      <c r="AX105" s="5"/>
      <c r="AY105" s="5"/>
    </row>
    <row r="106" spans="45:76" x14ac:dyDescent="0.2">
      <c r="AS106" s="5"/>
      <c r="AT106" s="5"/>
      <c r="AU106" s="5"/>
      <c r="AV106" s="5"/>
      <c r="AW106" s="5"/>
      <c r="AX106" s="5"/>
      <c r="AY106" s="5"/>
    </row>
    <row r="107" spans="45:76" x14ac:dyDescent="0.2">
      <c r="AY107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5"/>
  <sheetViews>
    <sheetView tabSelected="1" topLeftCell="T1" zoomScale="108" workbookViewId="0">
      <selection activeCell="W17" sqref="W17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5.1640625" bestFit="1" customWidth="1"/>
    <col min="14" max="14" width="12.6640625" bestFit="1" customWidth="1"/>
    <col min="15" max="15" width="11" bestFit="1" customWidth="1"/>
    <col min="16" max="16" width="16.5" customWidth="1"/>
    <col min="17" max="17" width="2.83203125" customWidth="1"/>
    <col min="18" max="18" width="12.6640625" bestFit="1" customWidth="1"/>
    <col min="19" max="19" width="5.33203125" bestFit="1" customWidth="1"/>
    <col min="20" max="20" width="13" bestFit="1" customWidth="1"/>
    <col min="21" max="21" width="2.83203125" customWidth="1"/>
    <col min="22" max="22" width="20.5" customWidth="1"/>
  </cols>
  <sheetData>
    <row r="1" spans="1:37" s="19" customFormat="1" x14ac:dyDescent="0.2">
      <c r="A1" s="18" t="s">
        <v>134</v>
      </c>
      <c r="B1" s="18"/>
      <c r="C1" s="18"/>
      <c r="D1" s="18"/>
      <c r="E1" s="18"/>
      <c r="F1" s="18"/>
      <c r="G1" s="18"/>
      <c r="H1" s="18"/>
      <c r="I1" s="18"/>
      <c r="J1" s="18"/>
      <c r="R1" s="19" t="s">
        <v>135</v>
      </c>
      <c r="V1" s="18" t="s">
        <v>136</v>
      </c>
    </row>
    <row r="2" spans="1:37" ht="32" customHeight="1" x14ac:dyDescent="0.2">
      <c r="A2" s="4" t="s">
        <v>55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3" t="s">
        <v>69</v>
      </c>
      <c r="L2" s="3" t="s">
        <v>70</v>
      </c>
      <c r="M2" s="3" t="s">
        <v>68</v>
      </c>
      <c r="N2" s="20" t="s">
        <v>57</v>
      </c>
      <c r="O2" s="20" t="s">
        <v>137</v>
      </c>
      <c r="P2" s="20" t="s">
        <v>138</v>
      </c>
      <c r="R2" t="s">
        <v>139</v>
      </c>
      <c r="S2">
        <v>45.6</v>
      </c>
      <c r="T2" t="s">
        <v>140</v>
      </c>
      <c r="V2" s="4" t="s">
        <v>55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4" t="s">
        <v>66</v>
      </c>
      <c r="AE2" s="4" t="s">
        <v>67</v>
      </c>
      <c r="AF2" s="3" t="s">
        <v>69</v>
      </c>
      <c r="AG2" s="3" t="s">
        <v>70</v>
      </c>
      <c r="AH2" s="3" t="s">
        <v>68</v>
      </c>
      <c r="AI2" s="20" t="s">
        <v>57</v>
      </c>
      <c r="AJ2" s="20" t="s">
        <v>137</v>
      </c>
      <c r="AK2" s="20" t="s">
        <v>138</v>
      </c>
    </row>
    <row r="3" spans="1:37" x14ac:dyDescent="0.2">
      <c r="A3" t="str">
        <f>lc_detailed!AQ3</f>
        <v>SW_TSC</v>
      </c>
      <c r="B3" s="21">
        <f>lc_detailed!AY3/$S$2</f>
        <v>0</v>
      </c>
      <c r="C3" s="21">
        <f>lc_detailed!AZ3/$S$2</f>
        <v>0</v>
      </c>
      <c r="D3" s="21">
        <f>lc_detailed!BA3/$S$2</f>
        <v>0</v>
      </c>
      <c r="E3" s="21">
        <f>lc_detailed!BB3/$S$2</f>
        <v>9.079842636033753</v>
      </c>
      <c r="F3" s="21">
        <f>lc_detailed!BC3/$S$2</f>
        <v>9.6763086821621491E-2</v>
      </c>
      <c r="G3" s="21">
        <f>lc_detailed!BD3/$S$2</f>
        <v>0</v>
      </c>
      <c r="H3" s="21">
        <f>lc_detailed!BE3/$S$2</f>
        <v>5.1922874272807658</v>
      </c>
      <c r="I3" s="21">
        <f>lc_detailed!BF3/$S$2</f>
        <v>2.8418047707297904</v>
      </c>
      <c r="J3" s="21">
        <f>lc_detailed!BG3/$S$2</f>
        <v>0.69221423897216883</v>
      </c>
      <c r="K3" s="21">
        <f>lc_detailed!BI3/$S$2</f>
        <v>0</v>
      </c>
      <c r="L3" s="21">
        <f>lc_detailed!BJ3/$S$2</f>
        <v>1.796585643708646</v>
      </c>
      <c r="M3" s="21">
        <f>lc_detailed!BH3</f>
        <v>1.1113075755548278</v>
      </c>
      <c r="N3" s="21">
        <f>lc_detailed!AS3</f>
        <v>898.29709984173167</v>
      </c>
      <c r="O3" s="21">
        <f t="shared" ref="O3:O34" si="0">N3/$S$2</f>
        <v>19.699497803546745</v>
      </c>
      <c r="P3" s="21">
        <f t="shared" ref="P3:P34" si="1">SUM(B3:L3)</f>
        <v>19.699497803546745</v>
      </c>
      <c r="V3" t="str">
        <f t="array" ref="V3:AK65">_xlfn._xlws.SORT(A3:P65, 14, 1)</f>
        <v>SW_TSC+CC90:H2</v>
      </c>
      <c r="W3">
        <v>0</v>
      </c>
      <c r="X3">
        <v>-0.59704919785701938</v>
      </c>
      <c r="Y3">
        <v>8.150725559556328E-2</v>
      </c>
      <c r="Z3">
        <v>9.079842636033753</v>
      </c>
      <c r="AA3">
        <v>0.56191825384060057</v>
      </c>
      <c r="AB3">
        <v>0</v>
      </c>
      <c r="AC3">
        <v>5.5996407631099441</v>
      </c>
      <c r="AD3">
        <v>3.0648553418449445</v>
      </c>
      <c r="AE3">
        <v>0.74652089667940558</v>
      </c>
      <c r="AF3">
        <v>-2.032332749651987</v>
      </c>
      <c r="AG3">
        <v>2.3980978036016483</v>
      </c>
      <c r="AH3">
        <v>1.4833828074917506</v>
      </c>
      <c r="AI3">
        <v>861.97684574577659</v>
      </c>
      <c r="AJ3">
        <v>18.903001003196856</v>
      </c>
      <c r="AK3">
        <v>18.903001003196852</v>
      </c>
    </row>
    <row r="4" spans="1:37" x14ac:dyDescent="0.2">
      <c r="A4" t="str">
        <f>lc_detailed!AQ4</f>
        <v>TX_TSC</v>
      </c>
      <c r="B4" s="21">
        <f>lc_detailed!AY4/$S$2</f>
        <v>0</v>
      </c>
      <c r="C4" s="21">
        <f>lc_detailed!AZ4/$S$2</f>
        <v>0</v>
      </c>
      <c r="D4" s="21">
        <f>lc_detailed!BA4/$S$2</f>
        <v>0</v>
      </c>
      <c r="E4" s="21">
        <f>lc_detailed!BB4/$S$2</f>
        <v>9.079842636033753</v>
      </c>
      <c r="F4" s="21">
        <f>lc_detailed!BC4/$S$2</f>
        <v>8.0643390269926299E-2</v>
      </c>
      <c r="G4" s="21">
        <f>lc_detailed!BD4/$S$2</f>
        <v>0</v>
      </c>
      <c r="H4" s="21">
        <f>lc_detailed!BE4/$S$2</f>
        <v>5.1922874272807658</v>
      </c>
      <c r="I4" s="21">
        <f>lc_detailed!BF4/$S$2</f>
        <v>2.8418047707297904</v>
      </c>
      <c r="J4" s="21">
        <f>lc_detailed!BG4/$S$2</f>
        <v>0.69221423897216883</v>
      </c>
      <c r="K4" s="21">
        <f>lc_detailed!BI4/$S$2</f>
        <v>0</v>
      </c>
      <c r="L4" s="21">
        <f>lc_detailed!BJ4/$S$2</f>
        <v>1.796585643708646</v>
      </c>
      <c r="M4" s="21">
        <f>lc_detailed!BH4</f>
        <v>1.1113075755548278</v>
      </c>
      <c r="N4" s="21">
        <f>lc_detailed!AS4</f>
        <v>897.56204167897442</v>
      </c>
      <c r="O4" s="21">
        <f t="shared" si="0"/>
        <v>19.683378106995054</v>
      </c>
      <c r="P4" s="21">
        <f t="shared" si="1"/>
        <v>19.68337810699505</v>
      </c>
      <c r="V4" t="str">
        <v>SW_TSC+CC90</v>
      </c>
      <c r="W4">
        <v>0</v>
      </c>
      <c r="X4">
        <v>0</v>
      </c>
      <c r="Y4">
        <v>6.9910917184883972E-2</v>
      </c>
      <c r="Z4">
        <v>9.079842636033753</v>
      </c>
      <c r="AA4">
        <v>9.6763086821621491E-2</v>
      </c>
      <c r="AB4">
        <v>0</v>
      </c>
      <c r="AC4">
        <v>5.5982890881479141</v>
      </c>
      <c r="AD4">
        <v>3.0641325531920858</v>
      </c>
      <c r="AE4">
        <v>0.74634069943059123</v>
      </c>
      <c r="AF4">
        <v>-1.522565024570697</v>
      </c>
      <c r="AG4">
        <v>1.796585643708646</v>
      </c>
      <c r="AH4">
        <v>1.1113075755548278</v>
      </c>
      <c r="AI4">
        <v>863.17606175766537</v>
      </c>
      <c r="AJ4">
        <v>18.929299599948802</v>
      </c>
      <c r="AK4">
        <v>18.929299599948799</v>
      </c>
    </row>
    <row r="5" spans="1:37" x14ac:dyDescent="0.2">
      <c r="A5" t="str">
        <f>lc_detailed!AQ5</f>
        <v>NCEN_TSC</v>
      </c>
      <c r="B5" s="21">
        <f>lc_detailed!AY5/$S$2</f>
        <v>0</v>
      </c>
      <c r="C5" s="21">
        <f>lc_detailed!AZ5/$S$2</f>
        <v>0</v>
      </c>
      <c r="D5" s="21">
        <f>lc_detailed!BA5/$S$2</f>
        <v>0</v>
      </c>
      <c r="E5" s="21">
        <f>lc_detailed!BB5/$S$2</f>
        <v>9.079842636033753</v>
      </c>
      <c r="F5" s="21">
        <f>lc_detailed!BC5/$S$2</f>
        <v>0.14019654436587856</v>
      </c>
      <c r="G5" s="21">
        <f>lc_detailed!BD5/$S$2</f>
        <v>0</v>
      </c>
      <c r="H5" s="21">
        <f>lc_detailed!BE5/$S$2</f>
        <v>5.1922874272807658</v>
      </c>
      <c r="I5" s="21">
        <f>lc_detailed!BF5/$S$2</f>
        <v>2.8418047707297904</v>
      </c>
      <c r="J5" s="21">
        <f>lc_detailed!BG5/$S$2</f>
        <v>0.69221423897216883</v>
      </c>
      <c r="K5" s="21">
        <f>lc_detailed!BI5/$S$2</f>
        <v>0</v>
      </c>
      <c r="L5" s="21">
        <f>lc_detailed!BJ5/$S$2</f>
        <v>1.796585643708646</v>
      </c>
      <c r="M5" s="21">
        <f>lc_detailed!BH5</f>
        <v>1.1113075755548278</v>
      </c>
      <c r="N5" s="21">
        <f>lc_detailed!AS5</f>
        <v>900.27766550574972</v>
      </c>
      <c r="O5" s="21">
        <f t="shared" si="0"/>
        <v>19.742931261091002</v>
      </c>
      <c r="P5" s="21">
        <f t="shared" si="1"/>
        <v>19.742931261091002</v>
      </c>
      <c r="V5" t="str">
        <v>TX_TSC+CC90</v>
      </c>
      <c r="W5">
        <v>0</v>
      </c>
      <c r="X5">
        <v>0</v>
      </c>
      <c r="Y5">
        <v>7.1029221734467823E-2</v>
      </c>
      <c r="Z5">
        <v>9.079842636033753</v>
      </c>
      <c r="AA5">
        <v>8.0643390269926299E-2</v>
      </c>
      <c r="AB5">
        <v>0</v>
      </c>
      <c r="AC5">
        <v>5.5982890881479141</v>
      </c>
      <c r="AD5">
        <v>3.0641325531920858</v>
      </c>
      <c r="AE5">
        <v>0.74634069943059123</v>
      </c>
      <c r="AF5">
        <v>-1.5072567261612586</v>
      </c>
      <c r="AG5">
        <v>1.796585643708646</v>
      </c>
      <c r="AH5">
        <v>1.1113075755548278</v>
      </c>
      <c r="AI5">
        <v>863.19005668983948</v>
      </c>
      <c r="AJ5">
        <v>18.92960650635613</v>
      </c>
      <c r="AK5">
        <v>18.929606506356123</v>
      </c>
    </row>
    <row r="6" spans="1:37" x14ac:dyDescent="0.2">
      <c r="A6" t="str">
        <f>lc_detailed!AQ6</f>
        <v>CEN_TSC</v>
      </c>
      <c r="B6" s="21">
        <f>lc_detailed!AY6/$S$2</f>
        <v>0</v>
      </c>
      <c r="C6" s="21">
        <f>lc_detailed!AZ6/$S$2</f>
        <v>0</v>
      </c>
      <c r="D6" s="21">
        <f>lc_detailed!BA6/$S$2</f>
        <v>0</v>
      </c>
      <c r="E6" s="21">
        <f>lc_detailed!BB6/$S$2</f>
        <v>9.079842636033753</v>
      </c>
      <c r="F6" s="21">
        <f>lc_detailed!BC6/$S$2</f>
        <v>0.14106723444853161</v>
      </c>
      <c r="G6" s="21">
        <f>lc_detailed!BD6/$S$2</f>
        <v>0</v>
      </c>
      <c r="H6" s="21">
        <f>lc_detailed!BE6/$S$2</f>
        <v>5.1922874272807658</v>
      </c>
      <c r="I6" s="21">
        <f>lc_detailed!BF6/$S$2</f>
        <v>2.8418047707297904</v>
      </c>
      <c r="J6" s="21">
        <f>lc_detailed!BG6/$S$2</f>
        <v>0.69221423897216883</v>
      </c>
      <c r="K6" s="21">
        <f>lc_detailed!BI6/$S$2</f>
        <v>0</v>
      </c>
      <c r="L6" s="21">
        <f>lc_detailed!BJ6/$S$2</f>
        <v>1.796585643708646</v>
      </c>
      <c r="M6" s="21">
        <f>lc_detailed!BH6</f>
        <v>1.1113075755548278</v>
      </c>
      <c r="N6" s="21">
        <f>lc_detailed!AS6</f>
        <v>900.31736897351891</v>
      </c>
      <c r="O6" s="21">
        <f t="shared" si="0"/>
        <v>19.743801951173658</v>
      </c>
      <c r="P6" s="21">
        <f t="shared" si="1"/>
        <v>19.743801951173655</v>
      </c>
      <c r="V6" t="str">
        <v>TX_TSC+CC90:H2</v>
      </c>
      <c r="W6">
        <v>0</v>
      </c>
      <c r="X6">
        <v>-0.49830589848242174</v>
      </c>
      <c r="Y6">
        <v>8.2811056753193071E-2</v>
      </c>
      <c r="Z6">
        <v>9.079842636033753</v>
      </c>
      <c r="AA6">
        <v>0.46830867568124679</v>
      </c>
      <c r="AB6">
        <v>0</v>
      </c>
      <c r="AC6">
        <v>5.5996407631099441</v>
      </c>
      <c r="AD6">
        <v>3.0648553418449445</v>
      </c>
      <c r="AE6">
        <v>0.74652089667940558</v>
      </c>
      <c r="AF6">
        <v>-2.0118991026833006</v>
      </c>
      <c r="AG6">
        <v>2.3980978036016483</v>
      </c>
      <c r="AH6">
        <v>1.4833828074917506</v>
      </c>
      <c r="AI6">
        <v>863.20217106775169</v>
      </c>
      <c r="AJ6">
        <v>18.929872172538413</v>
      </c>
      <c r="AK6">
        <v>18.92987217253841</v>
      </c>
    </row>
    <row r="7" spans="1:37" x14ac:dyDescent="0.2">
      <c r="A7" t="str">
        <f>lc_detailed!AQ7</f>
        <v>SE_TSC</v>
      </c>
      <c r="B7" s="21">
        <f>lc_detailed!AY7/$S$2</f>
        <v>0</v>
      </c>
      <c r="C7" s="21">
        <f>lc_detailed!AZ7/$S$2</f>
        <v>0</v>
      </c>
      <c r="D7" s="21">
        <f>lc_detailed!BA7/$S$2</f>
        <v>0</v>
      </c>
      <c r="E7" s="21">
        <f>lc_detailed!BB7/$S$2</f>
        <v>9.079842636033753</v>
      </c>
      <c r="F7" s="21">
        <f>lc_detailed!BC7/$S$2</f>
        <v>7.4660659715240635E-2</v>
      </c>
      <c r="G7" s="21">
        <f>lc_detailed!BD7/$S$2</f>
        <v>0</v>
      </c>
      <c r="H7" s="21">
        <f>lc_detailed!BE7/$S$2</f>
        <v>5.1922874272807658</v>
      </c>
      <c r="I7" s="21">
        <f>lc_detailed!BF7/$S$2</f>
        <v>2.8418047707297904</v>
      </c>
      <c r="J7" s="21">
        <f>lc_detailed!BG7/$S$2</f>
        <v>0.69221423897216883</v>
      </c>
      <c r="K7" s="21">
        <f>lc_detailed!BI7/$S$2</f>
        <v>0</v>
      </c>
      <c r="L7" s="21">
        <f>lc_detailed!BJ7/$S$2</f>
        <v>1.796585643708646</v>
      </c>
      <c r="M7" s="21">
        <f>lc_detailed!BH7</f>
        <v>1.1113075755548278</v>
      </c>
      <c r="N7" s="21">
        <f>lc_detailed!AS7</f>
        <v>897.28922916568069</v>
      </c>
      <c r="O7" s="21">
        <f t="shared" si="0"/>
        <v>19.677395376440366</v>
      </c>
      <c r="P7" s="21">
        <f t="shared" si="1"/>
        <v>19.677395376440366</v>
      </c>
      <c r="V7" t="str">
        <v>NCEN_TSC+CC90:H2</v>
      </c>
      <c r="W7">
        <v>0</v>
      </c>
      <c r="X7">
        <v>-0.87121141516951806</v>
      </c>
      <c r="Y7">
        <v>8.8816696869613354E-2</v>
      </c>
      <c r="Z7">
        <v>9.079842636033753</v>
      </c>
      <c r="AA7">
        <v>0.81414307864926216</v>
      </c>
      <c r="AB7">
        <v>0</v>
      </c>
      <c r="AC7">
        <v>5.5996407631099441</v>
      </c>
      <c r="AD7">
        <v>3.0648553418449445</v>
      </c>
      <c r="AE7">
        <v>0.74652089667940558</v>
      </c>
      <c r="AF7">
        <v>-1.9797751793044027</v>
      </c>
      <c r="AG7">
        <v>2.3980978036016483</v>
      </c>
      <c r="AH7">
        <v>1.4833828074917506</v>
      </c>
      <c r="AI7">
        <v>863.70643637754813</v>
      </c>
      <c r="AJ7">
        <v>18.940930622314653</v>
      </c>
      <c r="AK7">
        <v>18.940930622314649</v>
      </c>
    </row>
    <row r="8" spans="1:37" x14ac:dyDescent="0.2">
      <c r="A8" t="str">
        <f>lc_detailed!AQ8</f>
        <v>MIDAT_TSC</v>
      </c>
      <c r="B8" s="21">
        <f>lc_detailed!AY8/$S$2</f>
        <v>0</v>
      </c>
      <c r="C8" s="21">
        <f>lc_detailed!AZ8/$S$2</f>
        <v>0</v>
      </c>
      <c r="D8" s="21">
        <f>lc_detailed!BA8/$S$2</f>
        <v>0</v>
      </c>
      <c r="E8" s="21">
        <f>lc_detailed!BB8/$S$2</f>
        <v>9.079842636033753</v>
      </c>
      <c r="F8" s="21">
        <f>lc_detailed!BC8/$S$2</f>
        <v>5.0698349114799458E-2</v>
      </c>
      <c r="G8" s="21">
        <f>lc_detailed!BD8/$S$2</f>
        <v>0</v>
      </c>
      <c r="H8" s="21">
        <f>lc_detailed!BE8/$S$2</f>
        <v>5.1922874272807658</v>
      </c>
      <c r="I8" s="21">
        <f>lc_detailed!BF8/$S$2</f>
        <v>2.8418047707297904</v>
      </c>
      <c r="J8" s="21">
        <f>lc_detailed!BG8/$S$2</f>
        <v>0.69221423897216883</v>
      </c>
      <c r="K8" s="21">
        <f>lc_detailed!BI8/$S$2</f>
        <v>0</v>
      </c>
      <c r="L8" s="21">
        <f>lc_detailed!BJ8/$S$2</f>
        <v>1.796585643708646</v>
      </c>
      <c r="M8" s="21">
        <f>lc_detailed!BH8</f>
        <v>1.1113075755548278</v>
      </c>
      <c r="N8" s="21">
        <f>lc_detailed!AS8</f>
        <v>896.19654780230064</v>
      </c>
      <c r="O8" s="21">
        <f t="shared" si="0"/>
        <v>19.653433065839927</v>
      </c>
      <c r="P8" s="21">
        <f t="shared" si="1"/>
        <v>19.653433065839923</v>
      </c>
      <c r="V8" t="str">
        <v>CEN_TSC+CC90:H2</v>
      </c>
      <c r="W8">
        <v>0</v>
      </c>
      <c r="X8">
        <v>-0.8770585451947005</v>
      </c>
      <c r="Y8">
        <v>8.7104671480114318E-2</v>
      </c>
      <c r="Z8">
        <v>9.079842636033753</v>
      </c>
      <c r="AA8">
        <v>0.81919931100967303</v>
      </c>
      <c r="AB8">
        <v>0</v>
      </c>
      <c r="AC8">
        <v>5.5996407631099441</v>
      </c>
      <c r="AD8">
        <v>3.0648553418449445</v>
      </c>
      <c r="AE8">
        <v>0.74652089667940558</v>
      </c>
      <c r="AF8">
        <v>-1.976790652132119</v>
      </c>
      <c r="AG8">
        <v>2.3980978036016483</v>
      </c>
      <c r="AH8">
        <v>1.4833828074917506</v>
      </c>
      <c r="AI8">
        <v>863.72839752532946</v>
      </c>
      <c r="AJ8">
        <v>18.941412226432664</v>
      </c>
      <c r="AK8">
        <v>18.941412226432661</v>
      </c>
    </row>
    <row r="9" spans="1:37" x14ac:dyDescent="0.2">
      <c r="A9" t="str">
        <f>lc_detailed!AQ9</f>
        <v>NE_TSC</v>
      </c>
      <c r="B9" s="21">
        <f>lc_detailed!AY9/$S$2</f>
        <v>0</v>
      </c>
      <c r="C9" s="21">
        <f>lc_detailed!AZ9/$S$2</f>
        <v>0</v>
      </c>
      <c r="D9" s="21">
        <f>lc_detailed!BA9/$S$2</f>
        <v>0</v>
      </c>
      <c r="E9" s="21">
        <f>lc_detailed!BB9/$S$2</f>
        <v>9.079842636033753</v>
      </c>
      <c r="F9" s="21">
        <f>lc_detailed!BC9/$S$2</f>
        <v>8.4006615992815642E-2</v>
      </c>
      <c r="G9" s="21">
        <f>lc_detailed!BD9/$S$2</f>
        <v>0</v>
      </c>
      <c r="H9" s="21">
        <f>lc_detailed!BE9/$S$2</f>
        <v>5.1922874272807658</v>
      </c>
      <c r="I9" s="21">
        <f>lc_detailed!BF9/$S$2</f>
        <v>2.8418047707297904</v>
      </c>
      <c r="J9" s="21">
        <f>lc_detailed!BG9/$S$2</f>
        <v>0.69221423897216883</v>
      </c>
      <c r="K9" s="21">
        <f>lc_detailed!BI9/$S$2</f>
        <v>0</v>
      </c>
      <c r="L9" s="21">
        <f>lc_detailed!BJ9/$S$2</f>
        <v>1.796585643708646</v>
      </c>
      <c r="M9" s="21">
        <f>lc_detailed!BH9</f>
        <v>1.1113075755548278</v>
      </c>
      <c r="N9" s="21">
        <f>lc_detailed!AS9</f>
        <v>897.7154047719381</v>
      </c>
      <c r="O9" s="21">
        <f t="shared" si="0"/>
        <v>19.68674133271794</v>
      </c>
      <c r="P9" s="21">
        <f t="shared" si="1"/>
        <v>19.68674133271794</v>
      </c>
      <c r="V9" t="str">
        <v>SE_TSC+CC90:H2</v>
      </c>
      <c r="W9">
        <v>0</v>
      </c>
      <c r="X9">
        <v>-0.47978648791142342</v>
      </c>
      <c r="Y9">
        <v>8.2456141871791316E-2</v>
      </c>
      <c r="Z9">
        <v>9.079842636033753</v>
      </c>
      <c r="AA9">
        <v>0.43356603138461419</v>
      </c>
      <c r="AB9">
        <v>0</v>
      </c>
      <c r="AC9">
        <v>5.5996407631099441</v>
      </c>
      <c r="AD9">
        <v>3.0648553418449445</v>
      </c>
      <c r="AE9">
        <v>0.74652089667940558</v>
      </c>
      <c r="AF9">
        <v>-1.9799599775731043</v>
      </c>
      <c r="AG9">
        <v>2.3980978036016483</v>
      </c>
      <c r="AH9">
        <v>1.4833828074917506</v>
      </c>
      <c r="AI9">
        <v>863.90263159629581</v>
      </c>
      <c r="AJ9">
        <v>18.945233149041574</v>
      </c>
      <c r="AK9">
        <v>18.945233149041574</v>
      </c>
    </row>
    <row r="10" spans="1:37" x14ac:dyDescent="0.2">
      <c r="A10" t="str">
        <f>lc_detailed!AQ10</f>
        <v>SW_TSC+CC90</v>
      </c>
      <c r="B10" s="21">
        <f>lc_detailed!AY10/$S$2</f>
        <v>0</v>
      </c>
      <c r="C10" s="21">
        <f>lc_detailed!AZ10/$S$2</f>
        <v>0</v>
      </c>
      <c r="D10" s="21">
        <f>lc_detailed!BA10/$S$2</f>
        <v>6.9910917184883972E-2</v>
      </c>
      <c r="E10" s="21">
        <f>lc_detailed!BB10/$S$2</f>
        <v>9.079842636033753</v>
      </c>
      <c r="F10" s="21">
        <f>lc_detailed!BC10/$S$2</f>
        <v>9.6763086821621491E-2</v>
      </c>
      <c r="G10" s="21">
        <f>lc_detailed!BD10/$S$2</f>
        <v>0</v>
      </c>
      <c r="H10" s="21">
        <f>lc_detailed!BE10/$S$2</f>
        <v>5.5982890881479141</v>
      </c>
      <c r="I10" s="21">
        <f>lc_detailed!BF10/$S$2</f>
        <v>3.0641325531920858</v>
      </c>
      <c r="J10" s="21">
        <f>lc_detailed!BG10/$S$2</f>
        <v>0.74634069943059123</v>
      </c>
      <c r="K10" s="21">
        <f>lc_detailed!BI10/$S$2</f>
        <v>-1.522565024570697</v>
      </c>
      <c r="L10" s="21">
        <f>lc_detailed!BJ10/$S$2</f>
        <v>1.796585643708646</v>
      </c>
      <c r="M10" s="21">
        <f>lc_detailed!BH10</f>
        <v>1.1113075755548278</v>
      </c>
      <c r="N10" s="21">
        <f>lc_detailed!AS10</f>
        <v>863.17606175766537</v>
      </c>
      <c r="O10" s="21">
        <f t="shared" si="0"/>
        <v>18.929299599948802</v>
      </c>
      <c r="P10" s="21">
        <f t="shared" si="1"/>
        <v>18.929299599948799</v>
      </c>
      <c r="V10" t="str">
        <v>SE_TSC+CC90</v>
      </c>
      <c r="W10">
        <v>0</v>
      </c>
      <c r="X10">
        <v>0</v>
      </c>
      <c r="Y10">
        <v>7.0724801904600398E-2</v>
      </c>
      <c r="Z10">
        <v>9.079842636033753</v>
      </c>
      <c r="AA10">
        <v>7.4660659715240635E-2</v>
      </c>
      <c r="AB10">
        <v>0</v>
      </c>
      <c r="AC10">
        <v>5.5982890881479141</v>
      </c>
      <c r="AD10">
        <v>3.0641325531920858</v>
      </c>
      <c r="AE10">
        <v>0.74634069943059123</v>
      </c>
      <c r="AF10">
        <v>-1.4833288556801576</v>
      </c>
      <c r="AG10">
        <v>1.796585643708646</v>
      </c>
      <c r="AH10">
        <v>1.1113075755548278</v>
      </c>
      <c r="AI10">
        <v>863.99447352624202</v>
      </c>
      <c r="AJ10">
        <v>18.947247226452674</v>
      </c>
      <c r="AK10">
        <v>18.947247226452671</v>
      </c>
    </row>
    <row r="11" spans="1:37" x14ac:dyDescent="0.2">
      <c r="A11" t="str">
        <f>lc_detailed!AQ11</f>
        <v>SW_TSC:H2</v>
      </c>
      <c r="B11" s="21">
        <f>lc_detailed!AY11/$S$2</f>
        <v>0</v>
      </c>
      <c r="C11" s="21">
        <f>lc_detailed!AZ11/$S$2</f>
        <v>-0.59704919785701938</v>
      </c>
      <c r="D11" s="21">
        <f>lc_detailed!BA11/$S$2</f>
        <v>0</v>
      </c>
      <c r="E11" s="21">
        <f>lc_detailed!BB11/$S$2</f>
        <v>9.079842636033753</v>
      </c>
      <c r="F11" s="21">
        <f>lc_detailed!BC11/$S$2</f>
        <v>0.56191825384060057</v>
      </c>
      <c r="G11" s="21">
        <f>lc_detailed!BD11/$S$2</f>
        <v>0</v>
      </c>
      <c r="H11" s="21">
        <f>lc_detailed!BE11/$S$2</f>
        <v>5.1922874272807658</v>
      </c>
      <c r="I11" s="21">
        <f>lc_detailed!BF11/$S$2</f>
        <v>2.8418047707297904</v>
      </c>
      <c r="J11" s="21">
        <f>lc_detailed!BG11/$S$2</f>
        <v>0.69221423897216883</v>
      </c>
      <c r="K11" s="21">
        <f>lc_detailed!BI11/$S$2</f>
        <v>0</v>
      </c>
      <c r="L11" s="21">
        <f>lc_detailed!BJ11/$S$2</f>
        <v>2.3980978036016483</v>
      </c>
      <c r="M11" s="21">
        <f>lc_detailed!BH11</f>
        <v>1.4833828074917506</v>
      </c>
      <c r="N11" s="21">
        <f>lc_detailed!AS11</f>
        <v>919.711686526638</v>
      </c>
      <c r="O11" s="21">
        <f t="shared" si="0"/>
        <v>20.169115932601709</v>
      </c>
      <c r="P11" s="21">
        <f t="shared" si="1"/>
        <v>20.169115932601706</v>
      </c>
      <c r="V11" t="str">
        <v>NCEN_TSC+CC90</v>
      </c>
      <c r="W11">
        <v>0</v>
      </c>
      <c r="X11">
        <v>0</v>
      </c>
      <c r="Y11">
        <v>7.6180417241584503E-2</v>
      </c>
      <c r="Z11">
        <v>9.079842636033753</v>
      </c>
      <c r="AA11">
        <v>0.14019654436587856</v>
      </c>
      <c r="AB11">
        <v>0</v>
      </c>
      <c r="AC11">
        <v>5.5982890881479141</v>
      </c>
      <c r="AD11">
        <v>3.0641325531920858</v>
      </c>
      <c r="AE11">
        <v>0.74634069943059123</v>
      </c>
      <c r="AF11">
        <v>-1.4831904101521927</v>
      </c>
      <c r="AG11">
        <v>1.796585643708646</v>
      </c>
      <c r="AH11">
        <v>1.1113075755548278</v>
      </c>
      <c r="AI11">
        <v>867.2379990417528</v>
      </c>
      <c r="AJ11">
        <v>19.018377171968261</v>
      </c>
      <c r="AK11">
        <v>19.018377171968257</v>
      </c>
    </row>
    <row r="12" spans="1:37" x14ac:dyDescent="0.2">
      <c r="A12" t="str">
        <f>lc_detailed!AQ12</f>
        <v>SW_TSC+CC90:H2</v>
      </c>
      <c r="B12" s="21">
        <f>lc_detailed!AY12/$S$2</f>
        <v>0</v>
      </c>
      <c r="C12" s="21">
        <f>lc_detailed!AZ12/$S$2</f>
        <v>-0.59704919785701938</v>
      </c>
      <c r="D12" s="21">
        <f>lc_detailed!BA12/$S$2</f>
        <v>8.150725559556328E-2</v>
      </c>
      <c r="E12" s="21">
        <f>lc_detailed!BB12/$S$2</f>
        <v>9.079842636033753</v>
      </c>
      <c r="F12" s="21">
        <f>lc_detailed!BC12/$S$2</f>
        <v>0.56191825384060057</v>
      </c>
      <c r="G12" s="21">
        <f>lc_detailed!BD12/$S$2</f>
        <v>0</v>
      </c>
      <c r="H12" s="21">
        <f>lc_detailed!BE12/$S$2</f>
        <v>5.5996407631099441</v>
      </c>
      <c r="I12" s="21">
        <f>lc_detailed!BF12/$S$2</f>
        <v>3.0648553418449445</v>
      </c>
      <c r="J12" s="21">
        <f>lc_detailed!BG12/$S$2</f>
        <v>0.74652089667940558</v>
      </c>
      <c r="K12" s="21">
        <f>lc_detailed!BI12/$S$2</f>
        <v>-2.032332749651987</v>
      </c>
      <c r="L12" s="21">
        <f>lc_detailed!BJ12/$S$2</f>
        <v>2.3980978036016483</v>
      </c>
      <c r="M12" s="21">
        <f>lc_detailed!BH12</f>
        <v>1.4833828074917506</v>
      </c>
      <c r="N12" s="21">
        <f>lc_detailed!AS12</f>
        <v>861.97684574577659</v>
      </c>
      <c r="O12" s="21">
        <f t="shared" si="0"/>
        <v>18.903001003196856</v>
      </c>
      <c r="P12" s="21">
        <f t="shared" si="1"/>
        <v>18.903001003196852</v>
      </c>
      <c r="V12" t="str">
        <v>CEN_TSC+CC90</v>
      </c>
      <c r="W12">
        <v>0</v>
      </c>
      <c r="X12">
        <v>0</v>
      </c>
      <c r="Y12">
        <v>7.4711968029926801E-2</v>
      </c>
      <c r="Z12">
        <v>9.079842636033753</v>
      </c>
      <c r="AA12">
        <v>0.14106723444853161</v>
      </c>
      <c r="AB12">
        <v>0</v>
      </c>
      <c r="AC12">
        <v>5.5982890881479141</v>
      </c>
      <c r="AD12">
        <v>3.0641325531920858</v>
      </c>
      <c r="AE12">
        <v>0.74634069943059123</v>
      </c>
      <c r="AF12">
        <v>-1.4809544885551127</v>
      </c>
      <c r="AG12">
        <v>1.796585643708646</v>
      </c>
      <c r="AH12">
        <v>1.1113075755548278</v>
      </c>
      <c r="AI12">
        <v>867.3126992502971</v>
      </c>
      <c r="AJ12">
        <v>19.020015334436341</v>
      </c>
      <c r="AK12">
        <v>19.020015334436334</v>
      </c>
    </row>
    <row r="13" spans="1:37" x14ac:dyDescent="0.2">
      <c r="A13" t="str">
        <f>lc_detailed!AQ13</f>
        <v>SW_TSC+H2in</v>
      </c>
      <c r="B13" s="21">
        <f>lc_detailed!AY13/$S$2</f>
        <v>8.3164839900787921E-2</v>
      </c>
      <c r="C13" s="21">
        <f>lc_detailed!AZ13/$S$2</f>
        <v>0</v>
      </c>
      <c r="D13" s="21">
        <f>lc_detailed!BA13/$S$2</f>
        <v>0</v>
      </c>
      <c r="E13" s="21">
        <f>lc_detailed!BB13/$S$2</f>
        <v>9.079842636033753</v>
      </c>
      <c r="F13" s="21">
        <f>lc_detailed!BC13/$S$2</f>
        <v>0</v>
      </c>
      <c r="G13" s="21">
        <f>lc_detailed!BD13/$S$2</f>
        <v>0</v>
      </c>
      <c r="H13" s="21">
        <f>lc_detailed!BE13/$S$2</f>
        <v>5.1922874272807658</v>
      </c>
      <c r="I13" s="21">
        <f>lc_detailed!BF13/$S$2</f>
        <v>2.8418047707297904</v>
      </c>
      <c r="J13" s="21">
        <f>lc_detailed!BG13/$S$2</f>
        <v>0.69221423897216883</v>
      </c>
      <c r="K13" s="21">
        <f>lc_detailed!BI13/$S$2</f>
        <v>0</v>
      </c>
      <c r="L13" s="21">
        <f>lc_detailed!BJ13/$S$2</f>
        <v>1.6714571328828964</v>
      </c>
      <c r="M13" s="21">
        <f>lc_detailed!BH13</f>
        <v>1.033907278783281</v>
      </c>
      <c r="N13" s="21">
        <f>lc_detailed!AS13</f>
        <v>891.97115968848743</v>
      </c>
      <c r="O13" s="21">
        <f t="shared" si="0"/>
        <v>19.560771045800163</v>
      </c>
      <c r="P13" s="21">
        <f t="shared" si="1"/>
        <v>19.560771045800163</v>
      </c>
      <c r="V13" t="str">
        <v>MIDAT_TSC+CC90:H2</v>
      </c>
      <c r="W13">
        <v>0</v>
      </c>
      <c r="X13">
        <v>-0.4972580335263439</v>
      </c>
      <c r="Y13">
        <v>8.3365301069330711E-2</v>
      </c>
      <c r="Z13">
        <v>9.079842636033753</v>
      </c>
      <c r="AA13">
        <v>0.29441317699699121</v>
      </c>
      <c r="AB13">
        <v>0</v>
      </c>
      <c r="AC13">
        <v>5.5996407631099441</v>
      </c>
      <c r="AD13">
        <v>3.0648553418449445</v>
      </c>
      <c r="AE13">
        <v>0.74652089667940558</v>
      </c>
      <c r="AF13">
        <v>-1.6846069643847388</v>
      </c>
      <c r="AG13">
        <v>2.3980978036016483</v>
      </c>
      <c r="AH13">
        <v>1.4833828074917506</v>
      </c>
      <c r="AI13">
        <v>870.270114016977</v>
      </c>
      <c r="AJ13">
        <v>19.084870921424933</v>
      </c>
      <c r="AK13">
        <v>19.084870921424937</v>
      </c>
    </row>
    <row r="14" spans="1:37" x14ac:dyDescent="0.2">
      <c r="A14" t="str">
        <f>lc_detailed!AQ14</f>
        <v>SW_TSC+H2in:CH4</v>
      </c>
      <c r="B14" s="21">
        <f>lc_detailed!AY14/$S$2</f>
        <v>0.51388435821768041</v>
      </c>
      <c r="C14" s="21">
        <f>lc_detailed!AZ14/$S$2</f>
        <v>0</v>
      </c>
      <c r="D14" s="21">
        <f>lc_detailed!BA14/$S$2</f>
        <v>0</v>
      </c>
      <c r="E14" s="21">
        <f>lc_detailed!BB14/$S$2</f>
        <v>9.079842636033753</v>
      </c>
      <c r="F14" s="21">
        <f>lc_detailed!BC14/$S$2</f>
        <v>0</v>
      </c>
      <c r="G14" s="21">
        <f>lc_detailed!BD14/$S$2</f>
        <v>-0.50356727823257053</v>
      </c>
      <c r="H14" s="21">
        <f>lc_detailed!BE14/$S$2</f>
        <v>5.1922874272807658</v>
      </c>
      <c r="I14" s="21">
        <f>lc_detailed!BF14/$S$2</f>
        <v>2.8418047707297904</v>
      </c>
      <c r="J14" s="21">
        <f>lc_detailed!BG14/$S$2</f>
        <v>0.69221423897216883</v>
      </c>
      <c r="K14" s="21">
        <f>lc_detailed!BI14/$S$2</f>
        <v>0</v>
      </c>
      <c r="L14" s="21">
        <f>lc_detailed!BJ14/$S$2</f>
        <v>1.6714571328828964</v>
      </c>
      <c r="M14" s="21">
        <f>lc_detailed!BH14</f>
        <v>1.033907278783281</v>
      </c>
      <c r="N14" s="21">
        <f>lc_detailed!AS14</f>
        <v>888.6493018363326</v>
      </c>
      <c r="O14" s="21">
        <f t="shared" si="0"/>
        <v>19.487923285884484</v>
      </c>
      <c r="P14" s="21">
        <f t="shared" si="1"/>
        <v>19.487923285884484</v>
      </c>
      <c r="V14" t="str">
        <v>MIDAT_TSC+CC90</v>
      </c>
      <c r="W14">
        <v>0</v>
      </c>
      <c r="X14">
        <v>0</v>
      </c>
      <c r="Y14">
        <v>7.1504611663898834E-2</v>
      </c>
      <c r="Z14">
        <v>9.079842636033753</v>
      </c>
      <c r="AA14">
        <v>5.0698349114799458E-2</v>
      </c>
      <c r="AB14">
        <v>0</v>
      </c>
      <c r="AC14">
        <v>5.5982890881479141</v>
      </c>
      <c r="AD14">
        <v>3.0641325531920858</v>
      </c>
      <c r="AE14">
        <v>0.74634069943059123</v>
      </c>
      <c r="AF14">
        <v>-1.2620589047534811</v>
      </c>
      <c r="AG14">
        <v>1.796585643708646</v>
      </c>
      <c r="AH14">
        <v>1.1113075755548278</v>
      </c>
      <c r="AI14">
        <v>873.02726125014237</v>
      </c>
      <c r="AJ14">
        <v>19.145334676538209</v>
      </c>
      <c r="AK14">
        <v>19.145334676538205</v>
      </c>
    </row>
    <row r="15" spans="1:37" x14ac:dyDescent="0.2">
      <c r="A15" t="str">
        <f>lc_detailed!AQ15</f>
        <v>TX_TSC+CC90</v>
      </c>
      <c r="B15" s="21">
        <f>lc_detailed!AY15/$S$2</f>
        <v>0</v>
      </c>
      <c r="C15" s="21">
        <f>lc_detailed!AZ15/$S$2</f>
        <v>0</v>
      </c>
      <c r="D15" s="21">
        <f>lc_detailed!BA15/$S$2</f>
        <v>7.1029221734467823E-2</v>
      </c>
      <c r="E15" s="21">
        <f>lc_detailed!BB15/$S$2</f>
        <v>9.079842636033753</v>
      </c>
      <c r="F15" s="21">
        <f>lc_detailed!BC15/$S$2</f>
        <v>8.0643390269926299E-2</v>
      </c>
      <c r="G15" s="21">
        <f>lc_detailed!BD15/$S$2</f>
        <v>0</v>
      </c>
      <c r="H15" s="21">
        <f>lc_detailed!BE15/$S$2</f>
        <v>5.5982890881479141</v>
      </c>
      <c r="I15" s="21">
        <f>lc_detailed!BF15/$S$2</f>
        <v>3.0641325531920858</v>
      </c>
      <c r="J15" s="21">
        <f>lc_detailed!BG15/$S$2</f>
        <v>0.74634069943059123</v>
      </c>
      <c r="K15" s="21">
        <f>lc_detailed!BI15/$S$2</f>
        <v>-1.5072567261612586</v>
      </c>
      <c r="L15" s="21">
        <f>lc_detailed!BJ15/$S$2</f>
        <v>1.796585643708646</v>
      </c>
      <c r="M15" s="21">
        <f>lc_detailed!BH15</f>
        <v>1.1113075755548278</v>
      </c>
      <c r="N15" s="21">
        <f>lc_detailed!AS15</f>
        <v>863.19005668983948</v>
      </c>
      <c r="O15" s="21">
        <f t="shared" si="0"/>
        <v>18.92960650635613</v>
      </c>
      <c r="P15" s="21">
        <f t="shared" si="1"/>
        <v>18.929606506356123</v>
      </c>
      <c r="V15" t="str">
        <v>NE_TSC+CC90</v>
      </c>
      <c r="W15">
        <v>0</v>
      </c>
      <c r="X15">
        <v>0</v>
      </c>
      <c r="Y15">
        <v>6.9140944799479381E-2</v>
      </c>
      <c r="Z15">
        <v>9.079842636033753</v>
      </c>
      <c r="AA15">
        <v>8.4006615992815642E-2</v>
      </c>
      <c r="AB15">
        <v>0</v>
      </c>
      <c r="AC15">
        <v>5.5982890881479141</v>
      </c>
      <c r="AD15">
        <v>3.0641325531920858</v>
      </c>
      <c r="AE15">
        <v>0.74634069943059123</v>
      </c>
      <c r="AF15">
        <v>-1.1063804837500948</v>
      </c>
      <c r="AG15">
        <v>1.796585643708646</v>
      </c>
      <c r="AH15">
        <v>1.1113075755548278</v>
      </c>
      <c r="AI15">
        <v>881.53727100851688</v>
      </c>
      <c r="AJ15">
        <v>19.331957697555193</v>
      </c>
      <c r="AK15">
        <v>19.33195769755519</v>
      </c>
    </row>
    <row r="16" spans="1:37" x14ac:dyDescent="0.2">
      <c r="A16" t="str">
        <f>lc_detailed!AQ16</f>
        <v>TX_TSC:H2</v>
      </c>
      <c r="B16" s="21">
        <f>lc_detailed!AY16/$S$2</f>
        <v>0</v>
      </c>
      <c r="C16" s="21">
        <f>lc_detailed!AZ16/$S$2</f>
        <v>-0.49830589848242174</v>
      </c>
      <c r="D16" s="21">
        <f>lc_detailed!BA16/$S$2</f>
        <v>0</v>
      </c>
      <c r="E16" s="21">
        <f>lc_detailed!BB16/$S$2</f>
        <v>9.079842636033753</v>
      </c>
      <c r="F16" s="21">
        <f>lc_detailed!BC16/$S$2</f>
        <v>0.46830867568124679</v>
      </c>
      <c r="G16" s="21">
        <f>lc_detailed!BD16/$S$2</f>
        <v>0</v>
      </c>
      <c r="H16" s="21">
        <f>lc_detailed!BE16/$S$2</f>
        <v>5.1922874272807658</v>
      </c>
      <c r="I16" s="21">
        <f>lc_detailed!BF16/$S$2</f>
        <v>2.8418047707297904</v>
      </c>
      <c r="J16" s="21">
        <f>lc_detailed!BG16/$S$2</f>
        <v>0.69221423897216883</v>
      </c>
      <c r="K16" s="21">
        <f>lc_detailed!BI16/$S$2</f>
        <v>0</v>
      </c>
      <c r="L16" s="21">
        <f>lc_detailed!BJ16/$S$2</f>
        <v>2.3980978036016483</v>
      </c>
      <c r="M16" s="21">
        <f>lc_detailed!BH16</f>
        <v>1.4833828074917506</v>
      </c>
      <c r="N16" s="21">
        <f>lc_detailed!AS16</f>
        <v>919.94578421405299</v>
      </c>
      <c r="O16" s="21">
        <f t="shared" si="0"/>
        <v>20.17424965381695</v>
      </c>
      <c r="P16" s="21">
        <f t="shared" si="1"/>
        <v>20.17424965381695</v>
      </c>
      <c r="V16" t="str">
        <v>NE_TSC+CC90:H2</v>
      </c>
      <c r="W16">
        <v>0</v>
      </c>
      <c r="X16">
        <v>-0.60707775334165937</v>
      </c>
      <c r="Y16">
        <v>8.0609565527319307E-2</v>
      </c>
      <c r="Z16">
        <v>9.079842636033753</v>
      </c>
      <c r="AA16">
        <v>0.48783944911514571</v>
      </c>
      <c r="AB16">
        <v>0</v>
      </c>
      <c r="AC16">
        <v>5.5996407631099441</v>
      </c>
      <c r="AD16">
        <v>3.0648553418449445</v>
      </c>
      <c r="AE16">
        <v>0.74652089667940558</v>
      </c>
      <c r="AF16">
        <v>-1.4768060834282746</v>
      </c>
      <c r="AG16">
        <v>2.3980978036016483</v>
      </c>
      <c r="AH16">
        <v>1.4833828074917506</v>
      </c>
      <c r="AI16">
        <v>883.43263143288561</v>
      </c>
      <c r="AJ16">
        <v>19.373522619142229</v>
      </c>
      <c r="AK16">
        <v>19.373522619142225</v>
      </c>
    </row>
    <row r="17" spans="1:37" x14ac:dyDescent="0.2">
      <c r="A17" t="str">
        <f>lc_detailed!AQ17</f>
        <v>TX_TSC+CC90:H2</v>
      </c>
      <c r="B17" s="21">
        <f>lc_detailed!AY17/$S$2</f>
        <v>0</v>
      </c>
      <c r="C17" s="21">
        <f>lc_detailed!AZ17/$S$2</f>
        <v>-0.49830589848242174</v>
      </c>
      <c r="D17" s="21">
        <f>lc_detailed!BA17/$S$2</f>
        <v>8.2811056753193071E-2</v>
      </c>
      <c r="E17" s="21">
        <f>lc_detailed!BB17/$S$2</f>
        <v>9.079842636033753</v>
      </c>
      <c r="F17" s="21">
        <f>lc_detailed!BC17/$S$2</f>
        <v>0.46830867568124679</v>
      </c>
      <c r="G17" s="21">
        <f>lc_detailed!BD17/$S$2</f>
        <v>0</v>
      </c>
      <c r="H17" s="21">
        <f>lc_detailed!BE17/$S$2</f>
        <v>5.5996407631099441</v>
      </c>
      <c r="I17" s="21">
        <f>lc_detailed!BF17/$S$2</f>
        <v>3.0648553418449445</v>
      </c>
      <c r="J17" s="21">
        <f>lc_detailed!BG17/$S$2</f>
        <v>0.74652089667940558</v>
      </c>
      <c r="K17" s="21">
        <f>lc_detailed!BI17/$S$2</f>
        <v>-2.0118991026833006</v>
      </c>
      <c r="L17" s="21">
        <f>lc_detailed!BJ17/$S$2</f>
        <v>2.3980978036016483</v>
      </c>
      <c r="M17" s="21">
        <f>lc_detailed!BH17</f>
        <v>1.4833828074917506</v>
      </c>
      <c r="N17" s="21">
        <f>lc_detailed!AS17</f>
        <v>863.20217106775169</v>
      </c>
      <c r="O17" s="21">
        <f t="shared" si="0"/>
        <v>18.929872172538413</v>
      </c>
      <c r="P17" s="21">
        <f t="shared" si="1"/>
        <v>18.92987217253841</v>
      </c>
      <c r="V17" t="str">
        <v>TX_TSC+H2in:CH4</v>
      </c>
      <c r="W17">
        <v>0.42889532011237641</v>
      </c>
      <c r="X17">
        <v>0</v>
      </c>
      <c r="Y17">
        <v>0</v>
      </c>
      <c r="Z17">
        <v>9.079842636033753</v>
      </c>
      <c r="AA17">
        <v>0</v>
      </c>
      <c r="AB17">
        <v>-0.41967834925042591</v>
      </c>
      <c r="AC17">
        <v>5.1922874272807658</v>
      </c>
      <c r="AD17">
        <v>2.8418047707297904</v>
      </c>
      <c r="AE17">
        <v>0.69221423897216883</v>
      </c>
      <c r="AF17">
        <v>0</v>
      </c>
      <c r="AG17">
        <v>1.6714571328828964</v>
      </c>
      <c r="AH17">
        <v>1.033907278783281</v>
      </c>
      <c r="AI17">
        <v>888.59913686031655</v>
      </c>
      <c r="AJ17">
        <v>19.486823176761327</v>
      </c>
      <c r="AK17">
        <v>19.486823176761327</v>
      </c>
    </row>
    <row r="18" spans="1:37" x14ac:dyDescent="0.2">
      <c r="A18" t="str">
        <f>lc_detailed!AQ18</f>
        <v>TX_TSC+H2in</v>
      </c>
      <c r="B18" s="21">
        <f>lc_detailed!AY18/$S$2</f>
        <v>6.9410578588254362E-2</v>
      </c>
      <c r="C18" s="21">
        <f>lc_detailed!AZ18/$S$2</f>
        <v>0</v>
      </c>
      <c r="D18" s="21">
        <f>lc_detailed!BA18/$S$2</f>
        <v>0</v>
      </c>
      <c r="E18" s="21">
        <f>lc_detailed!BB18/$S$2</f>
        <v>9.079842636033753</v>
      </c>
      <c r="F18" s="21">
        <f>lc_detailed!BC18/$S$2</f>
        <v>0</v>
      </c>
      <c r="G18" s="21">
        <f>lc_detailed!BD18/$S$2</f>
        <v>0</v>
      </c>
      <c r="H18" s="21">
        <f>lc_detailed!BE18/$S$2</f>
        <v>5.1922874272807658</v>
      </c>
      <c r="I18" s="21">
        <f>lc_detailed!BF18/$S$2</f>
        <v>2.8418047707297904</v>
      </c>
      <c r="J18" s="21">
        <f>lc_detailed!BG18/$S$2</f>
        <v>0.69221423897216883</v>
      </c>
      <c r="K18" s="21">
        <f>lc_detailed!BI18/$S$2</f>
        <v>0</v>
      </c>
      <c r="L18" s="21">
        <f>lc_detailed!BJ18/$S$2</f>
        <v>1.6714571328828964</v>
      </c>
      <c r="M18" s="21">
        <f>lc_detailed!BH18</f>
        <v>1.033907278783281</v>
      </c>
      <c r="N18" s="21">
        <f>lc_detailed!AS18</f>
        <v>891.34396537263592</v>
      </c>
      <c r="O18" s="21">
        <f t="shared" si="0"/>
        <v>19.547016784487628</v>
      </c>
      <c r="P18" s="21">
        <f t="shared" si="1"/>
        <v>19.547016784487628</v>
      </c>
      <c r="V18" t="str">
        <v>SW_TSC+H2in:CH4</v>
      </c>
      <c r="W18">
        <v>0.51388435821768041</v>
      </c>
      <c r="X18">
        <v>0</v>
      </c>
      <c r="Y18">
        <v>0</v>
      </c>
      <c r="Z18">
        <v>9.079842636033753</v>
      </c>
      <c r="AA18">
        <v>0</v>
      </c>
      <c r="AB18">
        <v>-0.50356727823257053</v>
      </c>
      <c r="AC18">
        <v>5.1922874272807658</v>
      </c>
      <c r="AD18">
        <v>2.8418047707297904</v>
      </c>
      <c r="AE18">
        <v>0.69221423897216883</v>
      </c>
      <c r="AF18">
        <v>0</v>
      </c>
      <c r="AG18">
        <v>1.6714571328828964</v>
      </c>
      <c r="AH18">
        <v>1.033907278783281</v>
      </c>
      <c r="AI18">
        <v>888.6493018363326</v>
      </c>
      <c r="AJ18">
        <v>19.487923285884484</v>
      </c>
      <c r="AK18">
        <v>19.487923285884484</v>
      </c>
    </row>
    <row r="19" spans="1:37" x14ac:dyDescent="0.2">
      <c r="A19" t="str">
        <f>lc_detailed!AQ19</f>
        <v>TX_TSC+H2in:CH4</v>
      </c>
      <c r="B19" s="21">
        <f>lc_detailed!AY19/$S$2</f>
        <v>0.42889532011237641</v>
      </c>
      <c r="C19" s="21">
        <f>lc_detailed!AZ19/$S$2</f>
        <v>0</v>
      </c>
      <c r="D19" s="21">
        <f>lc_detailed!BA19/$S$2</f>
        <v>0</v>
      </c>
      <c r="E19" s="21">
        <f>lc_detailed!BB19/$S$2</f>
        <v>9.079842636033753</v>
      </c>
      <c r="F19" s="21">
        <f>lc_detailed!BC19/$S$2</f>
        <v>0</v>
      </c>
      <c r="G19" s="21">
        <f>lc_detailed!BD19/$S$2</f>
        <v>-0.41967834925042591</v>
      </c>
      <c r="H19" s="21">
        <f>lc_detailed!BE19/$S$2</f>
        <v>5.1922874272807658</v>
      </c>
      <c r="I19" s="21">
        <f>lc_detailed!BF19/$S$2</f>
        <v>2.8418047707297904</v>
      </c>
      <c r="J19" s="21">
        <f>lc_detailed!BG19/$S$2</f>
        <v>0.69221423897216883</v>
      </c>
      <c r="K19" s="21">
        <f>lc_detailed!BI19/$S$2</f>
        <v>0</v>
      </c>
      <c r="L19" s="21">
        <f>lc_detailed!BJ19/$S$2</f>
        <v>1.6714571328828964</v>
      </c>
      <c r="M19" s="21">
        <f>lc_detailed!BH19</f>
        <v>1.033907278783281</v>
      </c>
      <c r="N19" s="21">
        <f>lc_detailed!AS19</f>
        <v>888.59913686031655</v>
      </c>
      <c r="O19" s="21">
        <f t="shared" si="0"/>
        <v>19.486823176761327</v>
      </c>
      <c r="P19" s="21">
        <f t="shared" si="1"/>
        <v>19.486823176761327</v>
      </c>
      <c r="V19" t="str">
        <v>NCEN_TSC+H2in:CH4</v>
      </c>
      <c r="W19">
        <v>0.74985766761472161</v>
      </c>
      <c r="X19">
        <v>0</v>
      </c>
      <c r="Y19">
        <v>0</v>
      </c>
      <c r="Z19">
        <v>9.079842636033753</v>
      </c>
      <c r="AA19">
        <v>0</v>
      </c>
      <c r="AB19">
        <v>-0.72960045594744538</v>
      </c>
      <c r="AC19">
        <v>5.1922874272807658</v>
      </c>
      <c r="AD19">
        <v>2.8418047707297904</v>
      </c>
      <c r="AE19">
        <v>0.69221423897216883</v>
      </c>
      <c r="AF19">
        <v>0</v>
      </c>
      <c r="AG19">
        <v>1.6714571328828964</v>
      </c>
      <c r="AH19">
        <v>1.033907278783281</v>
      </c>
      <c r="AI19">
        <v>889.10257184103943</v>
      </c>
      <c r="AJ19">
        <v>19.497863417566652</v>
      </c>
      <c r="AK19">
        <v>19.497863417566652</v>
      </c>
    </row>
    <row r="20" spans="1:37" x14ac:dyDescent="0.2">
      <c r="A20" t="str">
        <f>lc_detailed!AQ20</f>
        <v>NCEN_TSC+CC90</v>
      </c>
      <c r="B20" s="21">
        <f>lc_detailed!AY20/$S$2</f>
        <v>0</v>
      </c>
      <c r="C20" s="21">
        <f>lc_detailed!AZ20/$S$2</f>
        <v>0</v>
      </c>
      <c r="D20" s="21">
        <f>lc_detailed!BA20/$S$2</f>
        <v>7.6180417241584503E-2</v>
      </c>
      <c r="E20" s="21">
        <f>lc_detailed!BB20/$S$2</f>
        <v>9.079842636033753</v>
      </c>
      <c r="F20" s="21">
        <f>lc_detailed!BC20/$S$2</f>
        <v>0.14019654436587856</v>
      </c>
      <c r="G20" s="21">
        <f>lc_detailed!BD20/$S$2</f>
        <v>0</v>
      </c>
      <c r="H20" s="21">
        <f>lc_detailed!BE20/$S$2</f>
        <v>5.5982890881479141</v>
      </c>
      <c r="I20" s="21">
        <f>lc_detailed!BF20/$S$2</f>
        <v>3.0641325531920858</v>
      </c>
      <c r="J20" s="21">
        <f>lc_detailed!BG20/$S$2</f>
        <v>0.74634069943059123</v>
      </c>
      <c r="K20" s="21">
        <f>lc_detailed!BI20/$S$2</f>
        <v>-1.4831904101521927</v>
      </c>
      <c r="L20" s="21">
        <f>lc_detailed!BJ20/$S$2</f>
        <v>1.796585643708646</v>
      </c>
      <c r="M20" s="21">
        <f>lc_detailed!BH20</f>
        <v>1.1113075755548278</v>
      </c>
      <c r="N20" s="21">
        <f>lc_detailed!AS20</f>
        <v>867.2379990417528</v>
      </c>
      <c r="O20" s="21">
        <f t="shared" si="0"/>
        <v>19.018377171968261</v>
      </c>
      <c r="P20" s="21">
        <f t="shared" si="1"/>
        <v>19.018377171968257</v>
      </c>
      <c r="V20" t="str">
        <v>CEN_TSC+H2in:CH4</v>
      </c>
      <c r="W20">
        <v>0.75489033271366335</v>
      </c>
      <c r="X20">
        <v>0</v>
      </c>
      <c r="Y20">
        <v>0</v>
      </c>
      <c r="Z20">
        <v>9.079842636033753</v>
      </c>
      <c r="AA20">
        <v>0</v>
      </c>
      <c r="AB20">
        <v>-0.7341316366849302</v>
      </c>
      <c r="AC20">
        <v>5.1922874272807658</v>
      </c>
      <c r="AD20">
        <v>2.8418047707297904</v>
      </c>
      <c r="AE20">
        <v>0.69221423897216883</v>
      </c>
      <c r="AF20">
        <v>0</v>
      </c>
      <c r="AG20">
        <v>1.6714571328828964</v>
      </c>
      <c r="AH20">
        <v>1.033907278783281</v>
      </c>
      <c r="AI20">
        <v>889.1254395279218</v>
      </c>
      <c r="AJ20">
        <v>19.49836490192811</v>
      </c>
      <c r="AK20">
        <v>19.49836490192811</v>
      </c>
    </row>
    <row r="21" spans="1:37" x14ac:dyDescent="0.2">
      <c r="A21" t="str">
        <f>lc_detailed!AQ21</f>
        <v>NCEN_TSC:H2</v>
      </c>
      <c r="B21" s="21">
        <f>lc_detailed!AY21/$S$2</f>
        <v>0</v>
      </c>
      <c r="C21" s="21">
        <f>lc_detailed!AZ21/$S$2</f>
        <v>-0.87121141516951806</v>
      </c>
      <c r="D21" s="21">
        <f>lc_detailed!BA21/$S$2</f>
        <v>0</v>
      </c>
      <c r="E21" s="21">
        <f>lc_detailed!BB21/$S$2</f>
        <v>9.079842636033753</v>
      </c>
      <c r="F21" s="21">
        <f>lc_detailed!BC21/$S$2</f>
        <v>0.81414307864926216</v>
      </c>
      <c r="G21" s="21">
        <f>lc_detailed!BD21/$S$2</f>
        <v>0</v>
      </c>
      <c r="H21" s="21">
        <f>lc_detailed!BE21/$S$2</f>
        <v>5.1922874272807658</v>
      </c>
      <c r="I21" s="21">
        <f>lc_detailed!BF21/$S$2</f>
        <v>2.8418047707297904</v>
      </c>
      <c r="J21" s="21">
        <f>lc_detailed!BG21/$S$2</f>
        <v>0.69221423897216883</v>
      </c>
      <c r="K21" s="21">
        <f>lc_detailed!BI21/$S$2</f>
        <v>0</v>
      </c>
      <c r="L21" s="21">
        <f>lc_detailed!BJ21/$S$2</f>
        <v>2.3980978036016483</v>
      </c>
      <c r="M21" s="21">
        <f>lc_detailed!BH21</f>
        <v>1.4833828074917506</v>
      </c>
      <c r="N21" s="21">
        <f>lc_detailed!AS21</f>
        <v>918.7113414284629</v>
      </c>
      <c r="O21" s="21">
        <f t="shared" si="0"/>
        <v>20.147178540097869</v>
      </c>
      <c r="P21" s="21">
        <f t="shared" si="1"/>
        <v>20.147178540097869</v>
      </c>
      <c r="V21" t="str">
        <v>SE_TSC+H2in:CH4</v>
      </c>
      <c r="W21">
        <v>0.41295553583663192</v>
      </c>
      <c r="X21">
        <v>0</v>
      </c>
      <c r="Y21">
        <v>0</v>
      </c>
      <c r="Z21">
        <v>9.079842636033753</v>
      </c>
      <c r="AA21">
        <v>0</v>
      </c>
      <c r="AB21">
        <v>-0.38854346671639006</v>
      </c>
      <c r="AC21">
        <v>5.1922874272807658</v>
      </c>
      <c r="AD21">
        <v>2.8418047707297904</v>
      </c>
      <c r="AE21">
        <v>0.69221423897216883</v>
      </c>
      <c r="AF21">
        <v>0</v>
      </c>
      <c r="AG21">
        <v>1.6714571328828964</v>
      </c>
      <c r="AH21">
        <v>1.033907278783281</v>
      </c>
      <c r="AI21">
        <v>889.29203334089448</v>
      </c>
      <c r="AJ21">
        <v>19.502018275019616</v>
      </c>
      <c r="AK21">
        <v>19.502018275019616</v>
      </c>
    </row>
    <row r="22" spans="1:37" x14ac:dyDescent="0.2">
      <c r="A22" t="str">
        <f>lc_detailed!AQ22</f>
        <v>NCEN_TSC+CC90:H2</v>
      </c>
      <c r="B22" s="21">
        <f>lc_detailed!AY22/$S$2</f>
        <v>0</v>
      </c>
      <c r="C22" s="21">
        <f>lc_detailed!AZ22/$S$2</f>
        <v>-0.87121141516951806</v>
      </c>
      <c r="D22" s="21">
        <f>lc_detailed!BA22/$S$2</f>
        <v>8.8816696869613354E-2</v>
      </c>
      <c r="E22" s="21">
        <f>lc_detailed!BB22/$S$2</f>
        <v>9.079842636033753</v>
      </c>
      <c r="F22" s="21">
        <f>lc_detailed!BC22/$S$2</f>
        <v>0.81414307864926216</v>
      </c>
      <c r="G22" s="21">
        <f>lc_detailed!BD22/$S$2</f>
        <v>0</v>
      </c>
      <c r="H22" s="21">
        <f>lc_detailed!BE22/$S$2</f>
        <v>5.5996407631099441</v>
      </c>
      <c r="I22" s="21">
        <f>lc_detailed!BF22/$S$2</f>
        <v>3.0648553418449445</v>
      </c>
      <c r="J22" s="21">
        <f>lc_detailed!BG22/$S$2</f>
        <v>0.74652089667940558</v>
      </c>
      <c r="K22" s="21">
        <f>lc_detailed!BI22/$S$2</f>
        <v>-1.9797751793044027</v>
      </c>
      <c r="L22" s="21">
        <f>lc_detailed!BJ22/$S$2</f>
        <v>2.3980978036016483</v>
      </c>
      <c r="M22" s="21">
        <f>lc_detailed!BH22</f>
        <v>1.4833828074917506</v>
      </c>
      <c r="N22" s="21">
        <f>lc_detailed!AS22</f>
        <v>863.70643637754813</v>
      </c>
      <c r="O22" s="21">
        <f t="shared" si="0"/>
        <v>18.940930622314653</v>
      </c>
      <c r="P22" s="21">
        <f t="shared" si="1"/>
        <v>18.940930622314649</v>
      </c>
      <c r="V22" t="str">
        <v>SE_TSC+H2in</v>
      </c>
      <c r="W22">
        <v>6.6830952284890888E-2</v>
      </c>
      <c r="X22">
        <v>0</v>
      </c>
      <c r="Y22">
        <v>0</v>
      </c>
      <c r="Z22">
        <v>9.079842636033753</v>
      </c>
      <c r="AA22">
        <v>0</v>
      </c>
      <c r="AB22">
        <v>0</v>
      </c>
      <c r="AC22">
        <v>5.1922874272807658</v>
      </c>
      <c r="AD22">
        <v>2.8418047707297904</v>
      </c>
      <c r="AE22">
        <v>0.69221423897216883</v>
      </c>
      <c r="AF22">
        <v>0</v>
      </c>
      <c r="AG22">
        <v>1.6714571328828964</v>
      </c>
      <c r="AH22">
        <v>1.033907278783281</v>
      </c>
      <c r="AI22">
        <v>891.22633441320249</v>
      </c>
      <c r="AJ22">
        <v>19.544437158184266</v>
      </c>
      <c r="AK22">
        <v>19.544437158184266</v>
      </c>
    </row>
    <row r="23" spans="1:37" x14ac:dyDescent="0.2">
      <c r="A23" t="str">
        <f>lc_detailed!AQ23</f>
        <v>NCEN_TSC+H2in</v>
      </c>
      <c r="B23" s="21">
        <f>lc_detailed!AY23/$S$2</f>
        <v>0.12135374793630169</v>
      </c>
      <c r="C23" s="21">
        <f>lc_detailed!AZ23/$S$2</f>
        <v>0</v>
      </c>
      <c r="D23" s="21">
        <f>lc_detailed!BA23/$S$2</f>
        <v>0</v>
      </c>
      <c r="E23" s="21">
        <f>lc_detailed!BB23/$S$2</f>
        <v>9.079842636033753</v>
      </c>
      <c r="F23" s="21">
        <f>lc_detailed!BC23/$S$2</f>
        <v>0</v>
      </c>
      <c r="G23" s="21">
        <f>lc_detailed!BD23/$S$2</f>
        <v>0</v>
      </c>
      <c r="H23" s="21">
        <f>lc_detailed!BE23/$S$2</f>
        <v>5.1922874272807658</v>
      </c>
      <c r="I23" s="21">
        <f>lc_detailed!BF23/$S$2</f>
        <v>2.8418047707297904</v>
      </c>
      <c r="J23" s="21">
        <f>lc_detailed!BG23/$S$2</f>
        <v>0.69221423897216883</v>
      </c>
      <c r="K23" s="21">
        <f>lc_detailed!BI23/$S$2</f>
        <v>0</v>
      </c>
      <c r="L23" s="21">
        <f>lc_detailed!BJ23/$S$2</f>
        <v>1.6714571328828964</v>
      </c>
      <c r="M23" s="21">
        <f>lc_detailed!BH23</f>
        <v>1.033907278783281</v>
      </c>
      <c r="N23" s="21">
        <f>lc_detailed!AS23</f>
        <v>893.71257389490688</v>
      </c>
      <c r="O23" s="21">
        <f t="shared" si="0"/>
        <v>19.598959953835678</v>
      </c>
      <c r="P23" s="21">
        <f t="shared" si="1"/>
        <v>19.598959953835678</v>
      </c>
      <c r="V23" t="str">
        <v>MIDAT_TSC+H2in</v>
      </c>
      <c r="W23">
        <v>6.9264618219121221E-2</v>
      </c>
      <c r="X23">
        <v>0</v>
      </c>
      <c r="Y23">
        <v>0</v>
      </c>
      <c r="Z23">
        <v>9.079842636033753</v>
      </c>
      <c r="AA23">
        <v>0</v>
      </c>
      <c r="AB23">
        <v>0</v>
      </c>
      <c r="AC23">
        <v>5.1922874272807658</v>
      </c>
      <c r="AD23">
        <v>2.8418047707297904</v>
      </c>
      <c r="AE23">
        <v>0.69221423897216883</v>
      </c>
      <c r="AF23">
        <v>0</v>
      </c>
      <c r="AG23">
        <v>1.6714571328828964</v>
      </c>
      <c r="AH23">
        <v>1.033907278783281</v>
      </c>
      <c r="AI23">
        <v>891.33730957980356</v>
      </c>
      <c r="AJ23">
        <v>19.5468708241185</v>
      </c>
      <c r="AK23">
        <v>19.546870824118496</v>
      </c>
    </row>
    <row r="24" spans="1:37" x14ac:dyDescent="0.2">
      <c r="A24" t="str">
        <f>lc_detailed!AQ24</f>
        <v>NCEN_TSC+H2in:CH4</v>
      </c>
      <c r="B24" s="21">
        <f>lc_detailed!AY24/$S$2</f>
        <v>0.74985766761472161</v>
      </c>
      <c r="C24" s="21">
        <f>lc_detailed!AZ24/$S$2</f>
        <v>0</v>
      </c>
      <c r="D24" s="21">
        <f>lc_detailed!BA24/$S$2</f>
        <v>0</v>
      </c>
      <c r="E24" s="21">
        <f>lc_detailed!BB24/$S$2</f>
        <v>9.079842636033753</v>
      </c>
      <c r="F24" s="21">
        <f>lc_detailed!BC24/$S$2</f>
        <v>0</v>
      </c>
      <c r="G24" s="21">
        <f>lc_detailed!BD24/$S$2</f>
        <v>-0.72960045594744538</v>
      </c>
      <c r="H24" s="21">
        <f>lc_detailed!BE24/$S$2</f>
        <v>5.1922874272807658</v>
      </c>
      <c r="I24" s="21">
        <f>lc_detailed!BF24/$S$2</f>
        <v>2.8418047707297904</v>
      </c>
      <c r="J24" s="21">
        <f>lc_detailed!BG24/$S$2</f>
        <v>0.69221423897216883</v>
      </c>
      <c r="K24" s="21">
        <f>lc_detailed!BI24/$S$2</f>
        <v>0</v>
      </c>
      <c r="L24" s="21">
        <f>lc_detailed!BJ24/$S$2</f>
        <v>1.6714571328828964</v>
      </c>
      <c r="M24" s="21">
        <f>lc_detailed!BH24</f>
        <v>1.033907278783281</v>
      </c>
      <c r="N24" s="21">
        <f>lc_detailed!AS24</f>
        <v>889.10257184103943</v>
      </c>
      <c r="O24" s="21">
        <f t="shared" si="0"/>
        <v>19.497863417566652</v>
      </c>
      <c r="P24" s="21">
        <f t="shared" si="1"/>
        <v>19.497863417566652</v>
      </c>
      <c r="V24" t="str">
        <v>TX_TSC+H2in</v>
      </c>
      <c r="W24">
        <v>6.9410578588254362E-2</v>
      </c>
      <c r="X24">
        <v>0</v>
      </c>
      <c r="Y24">
        <v>0</v>
      </c>
      <c r="Z24">
        <v>9.079842636033753</v>
      </c>
      <c r="AA24">
        <v>0</v>
      </c>
      <c r="AB24">
        <v>0</v>
      </c>
      <c r="AC24">
        <v>5.1922874272807658</v>
      </c>
      <c r="AD24">
        <v>2.8418047707297904</v>
      </c>
      <c r="AE24">
        <v>0.69221423897216883</v>
      </c>
      <c r="AF24">
        <v>0</v>
      </c>
      <c r="AG24">
        <v>1.6714571328828964</v>
      </c>
      <c r="AH24">
        <v>1.033907278783281</v>
      </c>
      <c r="AI24">
        <v>891.34396537263592</v>
      </c>
      <c r="AJ24">
        <v>19.547016784487628</v>
      </c>
      <c r="AK24">
        <v>19.547016784487628</v>
      </c>
    </row>
    <row r="25" spans="1:37" x14ac:dyDescent="0.2">
      <c r="A25" t="str">
        <f>lc_detailed!AQ25</f>
        <v>CEN_TSC+CC90</v>
      </c>
      <c r="B25" s="21">
        <f>lc_detailed!AY25/$S$2</f>
        <v>0</v>
      </c>
      <c r="C25" s="21">
        <f>lc_detailed!AZ25/$S$2</f>
        <v>0</v>
      </c>
      <c r="D25" s="21">
        <f>lc_detailed!BA25/$S$2</f>
        <v>7.4711968029926801E-2</v>
      </c>
      <c r="E25" s="21">
        <f>lc_detailed!BB25/$S$2</f>
        <v>9.079842636033753</v>
      </c>
      <c r="F25" s="21">
        <f>lc_detailed!BC25/$S$2</f>
        <v>0.14106723444853161</v>
      </c>
      <c r="G25" s="21">
        <f>lc_detailed!BD25/$S$2</f>
        <v>0</v>
      </c>
      <c r="H25" s="21">
        <f>lc_detailed!BE25/$S$2</f>
        <v>5.5982890881479141</v>
      </c>
      <c r="I25" s="21">
        <f>lc_detailed!BF25/$S$2</f>
        <v>3.0641325531920858</v>
      </c>
      <c r="J25" s="21">
        <f>lc_detailed!BG25/$S$2</f>
        <v>0.74634069943059123</v>
      </c>
      <c r="K25" s="21">
        <f>lc_detailed!BI25/$S$2</f>
        <v>-1.4809544885551127</v>
      </c>
      <c r="L25" s="21">
        <f>lc_detailed!BJ25/$S$2</f>
        <v>1.796585643708646</v>
      </c>
      <c r="M25" s="21">
        <f>lc_detailed!BH25</f>
        <v>1.1113075755548278</v>
      </c>
      <c r="N25" s="21">
        <f>lc_detailed!AS25</f>
        <v>867.3126992502971</v>
      </c>
      <c r="O25" s="21">
        <f t="shared" si="0"/>
        <v>19.020015334436341</v>
      </c>
      <c r="P25" s="21">
        <f t="shared" si="1"/>
        <v>19.020015334436334</v>
      </c>
      <c r="V25" t="str">
        <v>SW_TSC+H2in</v>
      </c>
      <c r="W25">
        <v>8.3164839900787921E-2</v>
      </c>
      <c r="X25">
        <v>0</v>
      </c>
      <c r="Y25">
        <v>0</v>
      </c>
      <c r="Z25">
        <v>9.079842636033753</v>
      </c>
      <c r="AA25">
        <v>0</v>
      </c>
      <c r="AB25">
        <v>0</v>
      </c>
      <c r="AC25">
        <v>5.1922874272807658</v>
      </c>
      <c r="AD25">
        <v>2.8418047707297904</v>
      </c>
      <c r="AE25">
        <v>0.69221423897216883</v>
      </c>
      <c r="AF25">
        <v>0</v>
      </c>
      <c r="AG25">
        <v>1.6714571328828964</v>
      </c>
      <c r="AH25">
        <v>1.033907278783281</v>
      </c>
      <c r="AI25">
        <v>891.97115968848743</v>
      </c>
      <c r="AJ25">
        <v>19.560771045800163</v>
      </c>
      <c r="AK25">
        <v>19.560771045800163</v>
      </c>
    </row>
    <row r="26" spans="1:37" x14ac:dyDescent="0.2">
      <c r="A26" t="str">
        <f>lc_detailed!AQ26</f>
        <v>CEN_TSC:H2</v>
      </c>
      <c r="B26" s="21">
        <f>lc_detailed!AY26/$S$2</f>
        <v>0</v>
      </c>
      <c r="C26" s="21">
        <f>lc_detailed!AZ26/$S$2</f>
        <v>-0.8770585451947005</v>
      </c>
      <c r="D26" s="21">
        <f>lc_detailed!BA26/$S$2</f>
        <v>0</v>
      </c>
      <c r="E26" s="21">
        <f>lc_detailed!BB26/$S$2</f>
        <v>9.079842636033753</v>
      </c>
      <c r="F26" s="21">
        <f>lc_detailed!BC26/$S$2</f>
        <v>0.81919931100967303</v>
      </c>
      <c r="G26" s="21">
        <f>lc_detailed!BD26/$S$2</f>
        <v>0</v>
      </c>
      <c r="H26" s="21">
        <f>lc_detailed!BE26/$S$2</f>
        <v>5.1922874272807658</v>
      </c>
      <c r="I26" s="21">
        <f>lc_detailed!BF26/$S$2</f>
        <v>2.8418047707297904</v>
      </c>
      <c r="J26" s="21">
        <f>lc_detailed!BG26/$S$2</f>
        <v>0.69221423897216883</v>
      </c>
      <c r="K26" s="21">
        <f>lc_detailed!BI26/$S$2</f>
        <v>0</v>
      </c>
      <c r="L26" s="21">
        <f>lc_detailed!BJ26/$S$2</f>
        <v>2.3980978036016483</v>
      </c>
      <c r="M26" s="21">
        <f>lc_detailed!BH26</f>
        <v>1.4833828074917506</v>
      </c>
      <c r="N26" s="21">
        <f>lc_detailed!AS26</f>
        <v>918.67527649494923</v>
      </c>
      <c r="O26" s="21">
        <f t="shared" si="0"/>
        <v>20.146387642433098</v>
      </c>
      <c r="P26" s="21">
        <f t="shared" si="1"/>
        <v>20.146387642433098</v>
      </c>
      <c r="V26" t="str">
        <v>NE_TSC+H2in</v>
      </c>
      <c r="W26">
        <v>8.4561748588229083E-2</v>
      </c>
      <c r="X26">
        <v>0</v>
      </c>
      <c r="Y26">
        <v>0</v>
      </c>
      <c r="Z26">
        <v>9.079842636033753</v>
      </c>
      <c r="AA26">
        <v>0</v>
      </c>
      <c r="AB26">
        <v>0</v>
      </c>
      <c r="AC26">
        <v>5.1922874272807658</v>
      </c>
      <c r="AD26">
        <v>2.8418047707297904</v>
      </c>
      <c r="AE26">
        <v>0.69221423897216883</v>
      </c>
      <c r="AF26">
        <v>0</v>
      </c>
      <c r="AG26">
        <v>1.6714571328828964</v>
      </c>
      <c r="AH26">
        <v>1.033907278783281</v>
      </c>
      <c r="AI26">
        <v>892.03485872463489</v>
      </c>
      <c r="AJ26">
        <v>19.562167954487606</v>
      </c>
      <c r="AK26">
        <v>19.562167954487602</v>
      </c>
    </row>
    <row r="27" spans="1:37" x14ac:dyDescent="0.2">
      <c r="A27" t="str">
        <f>lc_detailed!AQ27</f>
        <v>CEN_TSC+CC90:H2</v>
      </c>
      <c r="B27" s="21">
        <f>lc_detailed!AY27/$S$2</f>
        <v>0</v>
      </c>
      <c r="C27" s="21">
        <f>lc_detailed!AZ27/$S$2</f>
        <v>-0.8770585451947005</v>
      </c>
      <c r="D27" s="21">
        <f>lc_detailed!BA27/$S$2</f>
        <v>8.7104671480114318E-2</v>
      </c>
      <c r="E27" s="21">
        <f>lc_detailed!BB27/$S$2</f>
        <v>9.079842636033753</v>
      </c>
      <c r="F27" s="21">
        <f>lc_detailed!BC27/$S$2</f>
        <v>0.81919931100967303</v>
      </c>
      <c r="G27" s="21">
        <f>lc_detailed!BD27/$S$2</f>
        <v>0</v>
      </c>
      <c r="H27" s="21">
        <f>lc_detailed!BE27/$S$2</f>
        <v>5.5996407631099441</v>
      </c>
      <c r="I27" s="21">
        <f>lc_detailed!BF27/$S$2</f>
        <v>3.0648553418449445</v>
      </c>
      <c r="J27" s="21">
        <f>lc_detailed!BG27/$S$2</f>
        <v>0.74652089667940558</v>
      </c>
      <c r="K27" s="21">
        <f>lc_detailed!BI27/$S$2</f>
        <v>-1.976790652132119</v>
      </c>
      <c r="L27" s="21">
        <f>lc_detailed!BJ27/$S$2</f>
        <v>2.3980978036016483</v>
      </c>
      <c r="M27" s="21">
        <f>lc_detailed!BH27</f>
        <v>1.4833828074917506</v>
      </c>
      <c r="N27" s="21">
        <f>lc_detailed!AS27</f>
        <v>863.72839752532946</v>
      </c>
      <c r="O27" s="21">
        <f t="shared" si="0"/>
        <v>18.941412226432664</v>
      </c>
      <c r="P27" s="21">
        <f t="shared" si="1"/>
        <v>18.941412226432661</v>
      </c>
      <c r="V27" t="str">
        <v>NE_TSC+H2in:CH4</v>
      </c>
      <c r="W27">
        <v>0.52251600501927076</v>
      </c>
      <c r="X27">
        <v>0</v>
      </c>
      <c r="Y27">
        <v>0</v>
      </c>
      <c r="Z27">
        <v>9.079842636033753</v>
      </c>
      <c r="AA27">
        <v>0</v>
      </c>
      <c r="AB27">
        <v>-0.43718099906232427</v>
      </c>
      <c r="AC27">
        <v>5.1922874272807658</v>
      </c>
      <c r="AD27">
        <v>2.8418047707297904</v>
      </c>
      <c r="AE27">
        <v>0.69221423897216883</v>
      </c>
      <c r="AF27">
        <v>0</v>
      </c>
      <c r="AG27">
        <v>1.6714571328828964</v>
      </c>
      <c r="AH27">
        <v>1.033907278783281</v>
      </c>
      <c r="AI27">
        <v>892.0701192606482</v>
      </c>
      <c r="AJ27">
        <v>19.56294121185632</v>
      </c>
      <c r="AK27">
        <v>19.56294121185632</v>
      </c>
    </row>
    <row r="28" spans="1:37" x14ac:dyDescent="0.2">
      <c r="A28" t="str">
        <f>lc_detailed!AQ28</f>
        <v>CEN_TSC+H2in</v>
      </c>
      <c r="B28" s="21">
        <f>lc_detailed!AY28/$S$2</f>
        <v>0.12216821286510282</v>
      </c>
      <c r="C28" s="21">
        <f>lc_detailed!AZ28/$S$2</f>
        <v>0</v>
      </c>
      <c r="D28" s="21">
        <f>lc_detailed!BA28/$S$2</f>
        <v>0</v>
      </c>
      <c r="E28" s="21">
        <f>lc_detailed!BB28/$S$2</f>
        <v>9.079842636033753</v>
      </c>
      <c r="F28" s="21">
        <f>lc_detailed!BC28/$S$2</f>
        <v>0</v>
      </c>
      <c r="G28" s="21">
        <f>lc_detailed!BD28/$S$2</f>
        <v>0</v>
      </c>
      <c r="H28" s="21">
        <f>lc_detailed!BE28/$S$2</f>
        <v>5.1922874272807658</v>
      </c>
      <c r="I28" s="21">
        <f>lc_detailed!BF28/$S$2</f>
        <v>2.8418047707297904</v>
      </c>
      <c r="J28" s="21">
        <f>lc_detailed!BG28/$S$2</f>
        <v>0.69221423897216883</v>
      </c>
      <c r="K28" s="21">
        <f>lc_detailed!BI28/$S$2</f>
        <v>0</v>
      </c>
      <c r="L28" s="21">
        <f>lc_detailed!BJ28/$S$2</f>
        <v>1.6714571328828964</v>
      </c>
      <c r="M28" s="21">
        <f>lc_detailed!BH28</f>
        <v>1.033907278783281</v>
      </c>
      <c r="N28" s="21">
        <f>lc_detailed!AS28</f>
        <v>893.74971349566022</v>
      </c>
      <c r="O28" s="21">
        <f t="shared" si="0"/>
        <v>19.599774418764479</v>
      </c>
      <c r="P28" s="21">
        <f t="shared" si="1"/>
        <v>19.599774418764479</v>
      </c>
      <c r="V28" t="str">
        <v>NCEN_TSC+H2in</v>
      </c>
      <c r="W28">
        <v>0.12135374793630169</v>
      </c>
      <c r="X28">
        <v>0</v>
      </c>
      <c r="Y28">
        <v>0</v>
      </c>
      <c r="Z28">
        <v>9.079842636033753</v>
      </c>
      <c r="AA28">
        <v>0</v>
      </c>
      <c r="AB28">
        <v>0</v>
      </c>
      <c r="AC28">
        <v>5.1922874272807658</v>
      </c>
      <c r="AD28">
        <v>2.8418047707297904</v>
      </c>
      <c r="AE28">
        <v>0.69221423897216883</v>
      </c>
      <c r="AF28">
        <v>0</v>
      </c>
      <c r="AG28">
        <v>1.6714571328828964</v>
      </c>
      <c r="AH28">
        <v>1.033907278783281</v>
      </c>
      <c r="AI28">
        <v>893.71257389490688</v>
      </c>
      <c r="AJ28">
        <v>19.598959953835678</v>
      </c>
      <c r="AK28">
        <v>19.598959953835678</v>
      </c>
    </row>
    <row r="29" spans="1:37" x14ac:dyDescent="0.2">
      <c r="A29" t="str">
        <f>lc_detailed!AQ29</f>
        <v>CEN_TSC+H2in:CH4</v>
      </c>
      <c r="B29" s="21">
        <f>lc_detailed!AY29/$S$2</f>
        <v>0.75489033271366335</v>
      </c>
      <c r="C29" s="21">
        <f>lc_detailed!AZ29/$S$2</f>
        <v>0</v>
      </c>
      <c r="D29" s="21">
        <f>lc_detailed!BA29/$S$2</f>
        <v>0</v>
      </c>
      <c r="E29" s="21">
        <f>lc_detailed!BB29/$S$2</f>
        <v>9.079842636033753</v>
      </c>
      <c r="F29" s="21">
        <f>lc_detailed!BC29/$S$2</f>
        <v>0</v>
      </c>
      <c r="G29" s="21">
        <f>lc_detailed!BD29/$S$2</f>
        <v>-0.7341316366849302</v>
      </c>
      <c r="H29" s="21">
        <f>lc_detailed!BE29/$S$2</f>
        <v>5.1922874272807658</v>
      </c>
      <c r="I29" s="21">
        <f>lc_detailed!BF29/$S$2</f>
        <v>2.8418047707297904</v>
      </c>
      <c r="J29" s="21">
        <f>lc_detailed!BG29/$S$2</f>
        <v>0.69221423897216883</v>
      </c>
      <c r="K29" s="21">
        <f>lc_detailed!BI29/$S$2</f>
        <v>0</v>
      </c>
      <c r="L29" s="21">
        <f>lc_detailed!BJ29/$S$2</f>
        <v>1.6714571328828964</v>
      </c>
      <c r="M29" s="21">
        <f>lc_detailed!BH29</f>
        <v>1.033907278783281</v>
      </c>
      <c r="N29" s="21">
        <f>lc_detailed!AS29</f>
        <v>889.1254395279218</v>
      </c>
      <c r="O29" s="21">
        <f t="shared" si="0"/>
        <v>19.49836490192811</v>
      </c>
      <c r="P29" s="21">
        <f t="shared" si="1"/>
        <v>19.49836490192811</v>
      </c>
      <c r="V29" t="str">
        <v>CEN_TSC+H2in</v>
      </c>
      <c r="W29">
        <v>0.12216821286510282</v>
      </c>
      <c r="X29">
        <v>0</v>
      </c>
      <c r="Y29">
        <v>0</v>
      </c>
      <c r="Z29">
        <v>9.079842636033753</v>
      </c>
      <c r="AA29">
        <v>0</v>
      </c>
      <c r="AB29">
        <v>0</v>
      </c>
      <c r="AC29">
        <v>5.1922874272807658</v>
      </c>
      <c r="AD29">
        <v>2.8418047707297904</v>
      </c>
      <c r="AE29">
        <v>0.69221423897216883</v>
      </c>
      <c r="AF29">
        <v>0</v>
      </c>
      <c r="AG29">
        <v>1.6714571328828964</v>
      </c>
      <c r="AH29">
        <v>1.033907278783281</v>
      </c>
      <c r="AI29">
        <v>893.74971349566022</v>
      </c>
      <c r="AJ29">
        <v>19.599774418764479</v>
      </c>
      <c r="AK29">
        <v>19.599774418764479</v>
      </c>
    </row>
    <row r="30" spans="1:37" x14ac:dyDescent="0.2">
      <c r="A30" t="str">
        <f>lc_detailed!AQ30</f>
        <v>SE_TSC+CC90</v>
      </c>
      <c r="B30" s="21">
        <f>lc_detailed!AY30/$S$2</f>
        <v>0</v>
      </c>
      <c r="C30" s="21">
        <f>lc_detailed!AZ30/$S$2</f>
        <v>0</v>
      </c>
      <c r="D30" s="21">
        <f>lc_detailed!BA30/$S$2</f>
        <v>7.0724801904600398E-2</v>
      </c>
      <c r="E30" s="21">
        <f>lc_detailed!BB30/$S$2</f>
        <v>9.079842636033753</v>
      </c>
      <c r="F30" s="21">
        <f>lc_detailed!BC30/$S$2</f>
        <v>7.4660659715240635E-2</v>
      </c>
      <c r="G30" s="21">
        <f>lc_detailed!BD30/$S$2</f>
        <v>0</v>
      </c>
      <c r="H30" s="21">
        <f>lc_detailed!BE30/$S$2</f>
        <v>5.5982890881479141</v>
      </c>
      <c r="I30" s="21">
        <f>lc_detailed!BF30/$S$2</f>
        <v>3.0641325531920858</v>
      </c>
      <c r="J30" s="21">
        <f>lc_detailed!BG30/$S$2</f>
        <v>0.74634069943059123</v>
      </c>
      <c r="K30" s="21">
        <f>lc_detailed!BI30/$S$2</f>
        <v>-1.4833288556801576</v>
      </c>
      <c r="L30" s="21">
        <f>lc_detailed!BJ30/$S$2</f>
        <v>1.796585643708646</v>
      </c>
      <c r="M30" s="21">
        <f>lc_detailed!BH30</f>
        <v>1.1113075755548278</v>
      </c>
      <c r="N30" s="21">
        <f>lc_detailed!AS30</f>
        <v>863.99447352624202</v>
      </c>
      <c r="O30" s="21">
        <f t="shared" si="0"/>
        <v>18.947247226452674</v>
      </c>
      <c r="P30" s="21">
        <f t="shared" si="1"/>
        <v>18.947247226452671</v>
      </c>
      <c r="V30" t="str">
        <v>MIDAT_TSC+H2in:CH4</v>
      </c>
      <c r="W30">
        <v>0.42799341552497294</v>
      </c>
      <c r="X30">
        <v>0</v>
      </c>
      <c r="Y30">
        <v>0</v>
      </c>
      <c r="Z30">
        <v>9.079842636033753</v>
      </c>
      <c r="AA30">
        <v>0</v>
      </c>
      <c r="AB30">
        <v>-0.26384058749270484</v>
      </c>
      <c r="AC30">
        <v>5.1922874272807658</v>
      </c>
      <c r="AD30">
        <v>2.8418047707297904</v>
      </c>
      <c r="AE30">
        <v>0.69221423897216883</v>
      </c>
      <c r="AF30">
        <v>0</v>
      </c>
      <c r="AG30">
        <v>1.6714571328828964</v>
      </c>
      <c r="AH30">
        <v>1.033907278783281</v>
      </c>
      <c r="AI30">
        <v>895.66421194728309</v>
      </c>
      <c r="AJ30">
        <v>19.641759033931645</v>
      </c>
      <c r="AK30">
        <v>19.641759033931642</v>
      </c>
    </row>
    <row r="31" spans="1:37" x14ac:dyDescent="0.2">
      <c r="A31" t="str">
        <f>lc_detailed!AQ31</f>
        <v>SE_TSC:H2</v>
      </c>
      <c r="B31" s="21">
        <f>lc_detailed!AY31/$S$2</f>
        <v>0</v>
      </c>
      <c r="C31" s="21">
        <f>lc_detailed!AZ31/$S$2</f>
        <v>-0.47978648791142342</v>
      </c>
      <c r="D31" s="21">
        <f>lc_detailed!BA31/$S$2</f>
        <v>0</v>
      </c>
      <c r="E31" s="21">
        <f>lc_detailed!BB31/$S$2</f>
        <v>9.079842636033753</v>
      </c>
      <c r="F31" s="21">
        <f>lc_detailed!BC31/$S$2</f>
        <v>0.43356603138461419</v>
      </c>
      <c r="G31" s="21">
        <f>lc_detailed!BD31/$S$2</f>
        <v>0</v>
      </c>
      <c r="H31" s="21">
        <f>lc_detailed!BE31/$S$2</f>
        <v>5.1922874272807658</v>
      </c>
      <c r="I31" s="21">
        <f>lc_detailed!BF31/$S$2</f>
        <v>2.8418047707297904</v>
      </c>
      <c r="J31" s="21">
        <f>lc_detailed!BG31/$S$2</f>
        <v>0.69221423897216883</v>
      </c>
      <c r="K31" s="21">
        <f>lc_detailed!BI31/$S$2</f>
        <v>0</v>
      </c>
      <c r="L31" s="21">
        <f>lc_detailed!BJ31/$S$2</f>
        <v>2.3980978036016483</v>
      </c>
      <c r="M31" s="21">
        <f>lc_detailed!BH31</f>
        <v>1.4833828074917506</v>
      </c>
      <c r="N31" s="21">
        <f>lc_detailed!AS31</f>
        <v>919.20600475616402</v>
      </c>
      <c r="O31" s="21">
        <f t="shared" si="0"/>
        <v>20.158026420091314</v>
      </c>
      <c r="P31" s="21">
        <f t="shared" si="1"/>
        <v>20.158026420091318</v>
      </c>
      <c r="V31" t="str">
        <v>MIDAT_TSC</v>
      </c>
      <c r="W31">
        <v>0</v>
      </c>
      <c r="X31">
        <v>0</v>
      </c>
      <c r="Y31">
        <v>0</v>
      </c>
      <c r="Z31">
        <v>9.079842636033753</v>
      </c>
      <c r="AA31">
        <v>5.0698349114799458E-2</v>
      </c>
      <c r="AB31">
        <v>0</v>
      </c>
      <c r="AC31">
        <v>5.1922874272807658</v>
      </c>
      <c r="AD31">
        <v>2.8418047707297904</v>
      </c>
      <c r="AE31">
        <v>0.69221423897216883</v>
      </c>
      <c r="AF31">
        <v>0</v>
      </c>
      <c r="AG31">
        <v>1.796585643708646</v>
      </c>
      <c r="AH31">
        <v>1.1113075755548278</v>
      </c>
      <c r="AI31">
        <v>896.19654780230064</v>
      </c>
      <c r="AJ31">
        <v>19.653433065839927</v>
      </c>
      <c r="AK31">
        <v>19.653433065839923</v>
      </c>
    </row>
    <row r="32" spans="1:37" x14ac:dyDescent="0.2">
      <c r="A32" t="str">
        <f>lc_detailed!AQ32</f>
        <v>SE_TSC+CC90:H2</v>
      </c>
      <c r="B32" s="21">
        <f>lc_detailed!AY32/$S$2</f>
        <v>0</v>
      </c>
      <c r="C32" s="21">
        <f>lc_detailed!AZ32/$S$2</f>
        <v>-0.47978648791142342</v>
      </c>
      <c r="D32" s="21">
        <f>lc_detailed!BA32/$S$2</f>
        <v>8.2456141871791316E-2</v>
      </c>
      <c r="E32" s="21">
        <f>lc_detailed!BB32/$S$2</f>
        <v>9.079842636033753</v>
      </c>
      <c r="F32" s="21">
        <f>lc_detailed!BC32/$S$2</f>
        <v>0.43356603138461419</v>
      </c>
      <c r="G32" s="21">
        <f>lc_detailed!BD32/$S$2</f>
        <v>0</v>
      </c>
      <c r="H32" s="21">
        <f>lc_detailed!BE32/$S$2</f>
        <v>5.5996407631099441</v>
      </c>
      <c r="I32" s="21">
        <f>lc_detailed!BF32/$S$2</f>
        <v>3.0648553418449445</v>
      </c>
      <c r="J32" s="21">
        <f>lc_detailed!BG32/$S$2</f>
        <v>0.74652089667940558</v>
      </c>
      <c r="K32" s="21">
        <f>lc_detailed!BI32/$S$2</f>
        <v>-1.9799599775731043</v>
      </c>
      <c r="L32" s="21">
        <f>lc_detailed!BJ32/$S$2</f>
        <v>2.3980978036016483</v>
      </c>
      <c r="M32" s="21">
        <f>lc_detailed!BH32</f>
        <v>1.4833828074917506</v>
      </c>
      <c r="N32" s="21">
        <f>lc_detailed!AS32</f>
        <v>863.90263159629581</v>
      </c>
      <c r="O32" s="21">
        <f t="shared" si="0"/>
        <v>18.945233149041574</v>
      </c>
      <c r="P32" s="21">
        <f t="shared" si="1"/>
        <v>18.945233149041574</v>
      </c>
      <c r="V32" t="str">
        <v>SE_TSC</v>
      </c>
      <c r="W32">
        <v>0</v>
      </c>
      <c r="X32">
        <v>0</v>
      </c>
      <c r="Y32">
        <v>0</v>
      </c>
      <c r="Z32">
        <v>9.079842636033753</v>
      </c>
      <c r="AA32">
        <v>7.4660659715240635E-2</v>
      </c>
      <c r="AB32">
        <v>0</v>
      </c>
      <c r="AC32">
        <v>5.1922874272807658</v>
      </c>
      <c r="AD32">
        <v>2.8418047707297904</v>
      </c>
      <c r="AE32">
        <v>0.69221423897216883</v>
      </c>
      <c r="AF32">
        <v>0</v>
      </c>
      <c r="AG32">
        <v>1.796585643708646</v>
      </c>
      <c r="AH32">
        <v>1.1113075755548278</v>
      </c>
      <c r="AI32">
        <v>897.28922916568069</v>
      </c>
      <c r="AJ32">
        <v>19.677395376440366</v>
      </c>
      <c r="AK32">
        <v>19.677395376440366</v>
      </c>
    </row>
    <row r="33" spans="1:37" x14ac:dyDescent="0.2">
      <c r="A33" t="str">
        <f>lc_detailed!AQ33</f>
        <v>SE_TSC+H2in</v>
      </c>
      <c r="B33" s="21">
        <f>lc_detailed!AY33/$S$2</f>
        <v>6.6830952284890888E-2</v>
      </c>
      <c r="C33" s="21">
        <f>lc_detailed!AZ33/$S$2</f>
        <v>0</v>
      </c>
      <c r="D33" s="21">
        <f>lc_detailed!BA33/$S$2</f>
        <v>0</v>
      </c>
      <c r="E33" s="21">
        <f>lc_detailed!BB33/$S$2</f>
        <v>9.079842636033753</v>
      </c>
      <c r="F33" s="21">
        <f>lc_detailed!BC33/$S$2</f>
        <v>0</v>
      </c>
      <c r="G33" s="21">
        <f>lc_detailed!BD33/$S$2</f>
        <v>0</v>
      </c>
      <c r="H33" s="21">
        <f>lc_detailed!BE33/$S$2</f>
        <v>5.1922874272807658</v>
      </c>
      <c r="I33" s="21">
        <f>lc_detailed!BF33/$S$2</f>
        <v>2.8418047707297904</v>
      </c>
      <c r="J33" s="21">
        <f>lc_detailed!BG33/$S$2</f>
        <v>0.69221423897216883</v>
      </c>
      <c r="K33" s="21">
        <f>lc_detailed!BI33/$S$2</f>
        <v>0</v>
      </c>
      <c r="L33" s="21">
        <f>lc_detailed!BJ33/$S$2</f>
        <v>1.6714571328828964</v>
      </c>
      <c r="M33" s="21">
        <f>lc_detailed!BH33</f>
        <v>1.033907278783281</v>
      </c>
      <c r="N33" s="21">
        <f>lc_detailed!AS33</f>
        <v>891.22633441320249</v>
      </c>
      <c r="O33" s="21">
        <f t="shared" si="0"/>
        <v>19.544437158184266</v>
      </c>
      <c r="P33" s="21">
        <f t="shared" si="1"/>
        <v>19.544437158184266</v>
      </c>
      <c r="V33" t="str">
        <v>TX_TSC</v>
      </c>
      <c r="W33">
        <v>0</v>
      </c>
      <c r="X33">
        <v>0</v>
      </c>
      <c r="Y33">
        <v>0</v>
      </c>
      <c r="Z33">
        <v>9.079842636033753</v>
      </c>
      <c r="AA33">
        <v>8.0643390269926299E-2</v>
      </c>
      <c r="AB33">
        <v>0</v>
      </c>
      <c r="AC33">
        <v>5.1922874272807658</v>
      </c>
      <c r="AD33">
        <v>2.8418047707297904</v>
      </c>
      <c r="AE33">
        <v>0.69221423897216883</v>
      </c>
      <c r="AF33">
        <v>0</v>
      </c>
      <c r="AG33">
        <v>1.796585643708646</v>
      </c>
      <c r="AH33">
        <v>1.1113075755548278</v>
      </c>
      <c r="AI33">
        <v>897.56204167897442</v>
      </c>
      <c r="AJ33">
        <v>19.683378106995054</v>
      </c>
      <c r="AK33">
        <v>19.68337810699505</v>
      </c>
    </row>
    <row r="34" spans="1:37" x14ac:dyDescent="0.2">
      <c r="A34" t="str">
        <f>lc_detailed!AQ34</f>
        <v>SE_TSC+H2in:CH4</v>
      </c>
      <c r="B34" s="21">
        <f>lc_detailed!AY34/$S$2</f>
        <v>0.41295553583663192</v>
      </c>
      <c r="C34" s="21">
        <f>lc_detailed!AZ34/$S$2</f>
        <v>0</v>
      </c>
      <c r="D34" s="21">
        <f>lc_detailed!BA34/$S$2</f>
        <v>0</v>
      </c>
      <c r="E34" s="21">
        <f>lc_detailed!BB34/$S$2</f>
        <v>9.079842636033753</v>
      </c>
      <c r="F34" s="21">
        <f>lc_detailed!BC34/$S$2</f>
        <v>0</v>
      </c>
      <c r="G34" s="21">
        <f>lc_detailed!BD34/$S$2</f>
        <v>-0.38854346671639006</v>
      </c>
      <c r="H34" s="21">
        <f>lc_detailed!BE34/$S$2</f>
        <v>5.1922874272807658</v>
      </c>
      <c r="I34" s="21">
        <f>lc_detailed!BF34/$S$2</f>
        <v>2.8418047707297904</v>
      </c>
      <c r="J34" s="21">
        <f>lc_detailed!BG34/$S$2</f>
        <v>0.69221423897216883</v>
      </c>
      <c r="K34" s="21">
        <f>lc_detailed!BI34/$S$2</f>
        <v>0</v>
      </c>
      <c r="L34" s="21">
        <f>lc_detailed!BJ34/$S$2</f>
        <v>1.6714571328828964</v>
      </c>
      <c r="M34" s="21">
        <f>lc_detailed!BH34</f>
        <v>1.033907278783281</v>
      </c>
      <c r="N34" s="21">
        <f>lc_detailed!AS34</f>
        <v>889.29203334089448</v>
      </c>
      <c r="O34" s="21">
        <f t="shared" si="0"/>
        <v>19.502018275019616</v>
      </c>
      <c r="P34" s="21">
        <f t="shared" si="1"/>
        <v>19.502018275019616</v>
      </c>
      <c r="V34" t="str">
        <v>NE_TSC</v>
      </c>
      <c r="W34">
        <v>0</v>
      </c>
      <c r="X34">
        <v>0</v>
      </c>
      <c r="Y34">
        <v>0</v>
      </c>
      <c r="Z34">
        <v>9.079842636033753</v>
      </c>
      <c r="AA34">
        <v>8.4006615992815642E-2</v>
      </c>
      <c r="AB34">
        <v>0</v>
      </c>
      <c r="AC34">
        <v>5.1922874272807658</v>
      </c>
      <c r="AD34">
        <v>2.8418047707297904</v>
      </c>
      <c r="AE34">
        <v>0.69221423897216883</v>
      </c>
      <c r="AF34">
        <v>0</v>
      </c>
      <c r="AG34">
        <v>1.796585643708646</v>
      </c>
      <c r="AH34">
        <v>1.1113075755548278</v>
      </c>
      <c r="AI34">
        <v>897.7154047719381</v>
      </c>
      <c r="AJ34">
        <v>19.68674133271794</v>
      </c>
      <c r="AK34">
        <v>19.68674133271794</v>
      </c>
    </row>
    <row r="35" spans="1:37" x14ac:dyDescent="0.2">
      <c r="A35" t="str">
        <f>lc_detailed!AQ35</f>
        <v>MIDAT_TSC+CC90</v>
      </c>
      <c r="B35" s="21">
        <f>lc_detailed!AY35/$S$2</f>
        <v>0</v>
      </c>
      <c r="C35" s="21">
        <f>lc_detailed!AZ35/$S$2</f>
        <v>0</v>
      </c>
      <c r="D35" s="21">
        <f>lc_detailed!BA35/$S$2</f>
        <v>7.1504611663898834E-2</v>
      </c>
      <c r="E35" s="21">
        <f>lc_detailed!BB35/$S$2</f>
        <v>9.079842636033753</v>
      </c>
      <c r="F35" s="21">
        <f>lc_detailed!BC35/$S$2</f>
        <v>5.0698349114799458E-2</v>
      </c>
      <c r="G35" s="21">
        <f>lc_detailed!BD35/$S$2</f>
        <v>0</v>
      </c>
      <c r="H35" s="21">
        <f>lc_detailed!BE35/$S$2</f>
        <v>5.5982890881479141</v>
      </c>
      <c r="I35" s="21">
        <f>lc_detailed!BF35/$S$2</f>
        <v>3.0641325531920858</v>
      </c>
      <c r="J35" s="21">
        <f>lc_detailed!BG35/$S$2</f>
        <v>0.74634069943059123</v>
      </c>
      <c r="K35" s="21">
        <f>lc_detailed!BI35/$S$2</f>
        <v>-1.2620589047534811</v>
      </c>
      <c r="L35" s="21">
        <f>lc_detailed!BJ35/$S$2</f>
        <v>1.796585643708646</v>
      </c>
      <c r="M35" s="21">
        <f>lc_detailed!BH35</f>
        <v>1.1113075755548278</v>
      </c>
      <c r="N35" s="21">
        <f>lc_detailed!AS35</f>
        <v>873.02726125014237</v>
      </c>
      <c r="O35" s="21">
        <f t="shared" ref="O35:O66" si="2">N35/$S$2</f>
        <v>19.145334676538209</v>
      </c>
      <c r="P35" s="21">
        <f t="shared" ref="P35:P65" si="3">SUM(B35:L35)</f>
        <v>19.145334676538205</v>
      </c>
      <c r="V35" t="str">
        <v>SW_TSC</v>
      </c>
      <c r="W35">
        <v>0</v>
      </c>
      <c r="X35">
        <v>0</v>
      </c>
      <c r="Y35">
        <v>0</v>
      </c>
      <c r="Z35">
        <v>9.079842636033753</v>
      </c>
      <c r="AA35">
        <v>9.6763086821621491E-2</v>
      </c>
      <c r="AB35">
        <v>0</v>
      </c>
      <c r="AC35">
        <v>5.1922874272807658</v>
      </c>
      <c r="AD35">
        <v>2.8418047707297904</v>
      </c>
      <c r="AE35">
        <v>0.69221423897216883</v>
      </c>
      <c r="AF35">
        <v>0</v>
      </c>
      <c r="AG35">
        <v>1.796585643708646</v>
      </c>
      <c r="AH35">
        <v>1.1113075755548278</v>
      </c>
      <c r="AI35">
        <v>898.29709984173167</v>
      </c>
      <c r="AJ35">
        <v>19.699497803546745</v>
      </c>
      <c r="AK35">
        <v>19.699497803546745</v>
      </c>
    </row>
    <row r="36" spans="1:37" x14ac:dyDescent="0.2">
      <c r="A36" t="str">
        <f>lc_detailed!AQ36</f>
        <v>MIDAT_TSC:H2</v>
      </c>
      <c r="B36" s="21">
        <f>lc_detailed!AY36/$S$2</f>
        <v>0</v>
      </c>
      <c r="C36" s="21">
        <f>lc_detailed!AZ36/$S$2</f>
        <v>-0.4972580335263439</v>
      </c>
      <c r="D36" s="21">
        <f>lc_detailed!BA36/$S$2</f>
        <v>0</v>
      </c>
      <c r="E36" s="21">
        <f>lc_detailed!BB36/$S$2</f>
        <v>9.079842636033753</v>
      </c>
      <c r="F36" s="21">
        <f>lc_detailed!BC36/$S$2</f>
        <v>0.29441317699699121</v>
      </c>
      <c r="G36" s="21">
        <f>lc_detailed!BD36/$S$2</f>
        <v>0</v>
      </c>
      <c r="H36" s="21">
        <f>lc_detailed!BE36/$S$2</f>
        <v>5.1922874272807658</v>
      </c>
      <c r="I36" s="21">
        <f>lc_detailed!BF36/$S$2</f>
        <v>2.8418047707297904</v>
      </c>
      <c r="J36" s="21">
        <f>lc_detailed!BG36/$S$2</f>
        <v>0.69221423897216883</v>
      </c>
      <c r="K36" s="21">
        <f>lc_detailed!BI36/$S$2</f>
        <v>0</v>
      </c>
      <c r="L36" s="21">
        <f>lc_detailed!BJ36/$S$2</f>
        <v>2.3980978036016483</v>
      </c>
      <c r="M36" s="21">
        <f>lc_detailed!BH36</f>
        <v>1.4833828074917506</v>
      </c>
      <c r="N36" s="21">
        <f>lc_detailed!AS36</f>
        <v>912.06393211604814</v>
      </c>
      <c r="O36" s="21">
        <f t="shared" si="2"/>
        <v>20.001402020088776</v>
      </c>
      <c r="P36" s="21">
        <f t="shared" si="3"/>
        <v>20.001402020088776</v>
      </c>
      <c r="V36" t="str">
        <v>NCEN_TSC</v>
      </c>
      <c r="W36">
        <v>0</v>
      </c>
      <c r="X36">
        <v>0</v>
      </c>
      <c r="Y36">
        <v>0</v>
      </c>
      <c r="Z36">
        <v>9.079842636033753</v>
      </c>
      <c r="AA36">
        <v>0.14019654436587856</v>
      </c>
      <c r="AB36">
        <v>0</v>
      </c>
      <c r="AC36">
        <v>5.1922874272807658</v>
      </c>
      <c r="AD36">
        <v>2.8418047707297904</v>
      </c>
      <c r="AE36">
        <v>0.69221423897216883</v>
      </c>
      <c r="AF36">
        <v>0</v>
      </c>
      <c r="AG36">
        <v>1.796585643708646</v>
      </c>
      <c r="AH36">
        <v>1.1113075755548278</v>
      </c>
      <c r="AI36">
        <v>900.27766550574972</v>
      </c>
      <c r="AJ36">
        <v>19.742931261091002</v>
      </c>
      <c r="AK36">
        <v>19.742931261091002</v>
      </c>
    </row>
    <row r="37" spans="1:37" x14ac:dyDescent="0.2">
      <c r="A37" t="str">
        <f>lc_detailed!AQ37</f>
        <v>MIDAT_TSC+CC90:H2</v>
      </c>
      <c r="B37" s="21">
        <f>lc_detailed!AY37/$S$2</f>
        <v>0</v>
      </c>
      <c r="C37" s="21">
        <f>lc_detailed!AZ37/$S$2</f>
        <v>-0.4972580335263439</v>
      </c>
      <c r="D37" s="21">
        <f>lc_detailed!BA37/$S$2</f>
        <v>8.3365301069330711E-2</v>
      </c>
      <c r="E37" s="21">
        <f>lc_detailed!BB37/$S$2</f>
        <v>9.079842636033753</v>
      </c>
      <c r="F37" s="21">
        <f>lc_detailed!BC37/$S$2</f>
        <v>0.29441317699699121</v>
      </c>
      <c r="G37" s="21">
        <f>lc_detailed!BD37/$S$2</f>
        <v>0</v>
      </c>
      <c r="H37" s="21">
        <f>lc_detailed!BE37/$S$2</f>
        <v>5.5996407631099441</v>
      </c>
      <c r="I37" s="21">
        <f>lc_detailed!BF37/$S$2</f>
        <v>3.0648553418449445</v>
      </c>
      <c r="J37" s="21">
        <f>lc_detailed!BG37/$S$2</f>
        <v>0.74652089667940558</v>
      </c>
      <c r="K37" s="21">
        <f>lc_detailed!BI37/$S$2</f>
        <v>-1.6846069643847388</v>
      </c>
      <c r="L37" s="21">
        <f>lc_detailed!BJ37/$S$2</f>
        <v>2.3980978036016483</v>
      </c>
      <c r="M37" s="21">
        <f>lc_detailed!BH37</f>
        <v>1.4833828074917506</v>
      </c>
      <c r="N37" s="21">
        <f>lc_detailed!AS37</f>
        <v>870.270114016977</v>
      </c>
      <c r="O37" s="21">
        <f t="shared" si="2"/>
        <v>19.084870921424933</v>
      </c>
      <c r="P37" s="21">
        <f t="shared" si="3"/>
        <v>19.084870921424937</v>
      </c>
      <c r="V37" t="str">
        <v>CEN_TSC</v>
      </c>
      <c r="W37">
        <v>0</v>
      </c>
      <c r="X37">
        <v>0</v>
      </c>
      <c r="Y37">
        <v>0</v>
      </c>
      <c r="Z37">
        <v>9.079842636033753</v>
      </c>
      <c r="AA37">
        <v>0.14106723444853161</v>
      </c>
      <c r="AB37">
        <v>0</v>
      </c>
      <c r="AC37">
        <v>5.1922874272807658</v>
      </c>
      <c r="AD37">
        <v>2.8418047707297904</v>
      </c>
      <c r="AE37">
        <v>0.69221423897216883</v>
      </c>
      <c r="AF37">
        <v>0</v>
      </c>
      <c r="AG37">
        <v>1.796585643708646</v>
      </c>
      <c r="AH37">
        <v>1.1113075755548278</v>
      </c>
      <c r="AI37">
        <v>900.31736897351891</v>
      </c>
      <c r="AJ37">
        <v>19.743801951173658</v>
      </c>
      <c r="AK37">
        <v>19.743801951173655</v>
      </c>
    </row>
    <row r="38" spans="1:37" x14ac:dyDescent="0.2">
      <c r="A38" t="str">
        <f>lc_detailed!AQ38</f>
        <v>MIDAT_TSC+H2in</v>
      </c>
      <c r="B38" s="21">
        <f>lc_detailed!AY38/$S$2</f>
        <v>6.9264618219121221E-2</v>
      </c>
      <c r="C38" s="21">
        <f>lc_detailed!AZ38/$S$2</f>
        <v>0</v>
      </c>
      <c r="D38" s="21">
        <f>lc_detailed!BA38/$S$2</f>
        <v>0</v>
      </c>
      <c r="E38" s="21">
        <f>lc_detailed!BB38/$S$2</f>
        <v>9.079842636033753</v>
      </c>
      <c r="F38" s="21">
        <f>lc_detailed!BC38/$S$2</f>
        <v>0</v>
      </c>
      <c r="G38" s="21">
        <f>lc_detailed!BD38/$S$2</f>
        <v>0</v>
      </c>
      <c r="H38" s="21">
        <f>lc_detailed!BE38/$S$2</f>
        <v>5.1922874272807658</v>
      </c>
      <c r="I38" s="21">
        <f>lc_detailed!BF38/$S$2</f>
        <v>2.8418047707297904</v>
      </c>
      <c r="J38" s="21">
        <f>lc_detailed!BG38/$S$2</f>
        <v>0.69221423897216883</v>
      </c>
      <c r="K38" s="21">
        <f>lc_detailed!BI38/$S$2</f>
        <v>0</v>
      </c>
      <c r="L38" s="21">
        <f>lc_detailed!BJ38/$S$2</f>
        <v>1.6714571328828964</v>
      </c>
      <c r="M38" s="21">
        <f>lc_detailed!BH38</f>
        <v>1.033907278783281</v>
      </c>
      <c r="N38" s="21">
        <f>lc_detailed!AS38</f>
        <v>891.33730957980356</v>
      </c>
      <c r="O38" s="21">
        <f t="shared" si="2"/>
        <v>19.5468708241185</v>
      </c>
      <c r="P38" s="21">
        <f t="shared" si="3"/>
        <v>19.546870824118496</v>
      </c>
      <c r="V38" t="str">
        <v>MIDAT_TSC:H2</v>
      </c>
      <c r="W38">
        <v>0</v>
      </c>
      <c r="X38">
        <v>-0.4972580335263439</v>
      </c>
      <c r="Y38">
        <v>0</v>
      </c>
      <c r="Z38">
        <v>9.079842636033753</v>
      </c>
      <c r="AA38">
        <v>0.29441317699699121</v>
      </c>
      <c r="AB38">
        <v>0</v>
      </c>
      <c r="AC38">
        <v>5.1922874272807658</v>
      </c>
      <c r="AD38">
        <v>2.8418047707297904</v>
      </c>
      <c r="AE38">
        <v>0.69221423897216883</v>
      </c>
      <c r="AF38">
        <v>0</v>
      </c>
      <c r="AG38">
        <v>2.3980978036016483</v>
      </c>
      <c r="AH38">
        <v>1.4833828074917506</v>
      </c>
      <c r="AI38">
        <v>912.06393211604814</v>
      </c>
      <c r="AJ38">
        <v>20.001402020088776</v>
      </c>
      <c r="AK38">
        <v>20.001402020088776</v>
      </c>
    </row>
    <row r="39" spans="1:37" x14ac:dyDescent="0.2">
      <c r="A39" t="str">
        <f>lc_detailed!AQ39</f>
        <v>MIDAT_TSC+H2in:CH4</v>
      </c>
      <c r="B39" s="21">
        <f>lc_detailed!AY39/$S$2</f>
        <v>0.42799341552497294</v>
      </c>
      <c r="C39" s="21">
        <f>lc_detailed!AZ39/$S$2</f>
        <v>0</v>
      </c>
      <c r="D39" s="21">
        <f>lc_detailed!BA39/$S$2</f>
        <v>0</v>
      </c>
      <c r="E39" s="21">
        <f>lc_detailed!BB39/$S$2</f>
        <v>9.079842636033753</v>
      </c>
      <c r="F39" s="21">
        <f>lc_detailed!BC39/$S$2</f>
        <v>0</v>
      </c>
      <c r="G39" s="21">
        <f>lc_detailed!BD39/$S$2</f>
        <v>-0.26384058749270484</v>
      </c>
      <c r="H39" s="21">
        <f>lc_detailed!BE39/$S$2</f>
        <v>5.1922874272807658</v>
      </c>
      <c r="I39" s="21">
        <f>lc_detailed!BF39/$S$2</f>
        <v>2.8418047707297904</v>
      </c>
      <c r="J39" s="21">
        <f>lc_detailed!BG39/$S$2</f>
        <v>0.69221423897216883</v>
      </c>
      <c r="K39" s="21">
        <f>lc_detailed!BI39/$S$2</f>
        <v>0</v>
      </c>
      <c r="L39" s="21">
        <f>lc_detailed!BJ39/$S$2</f>
        <v>1.6714571328828964</v>
      </c>
      <c r="M39" s="21">
        <f>lc_detailed!BH39</f>
        <v>1.033907278783281</v>
      </c>
      <c r="N39" s="21">
        <f>lc_detailed!AS39</f>
        <v>895.66421194728309</v>
      </c>
      <c r="O39" s="21">
        <f t="shared" si="2"/>
        <v>19.641759033931645</v>
      </c>
      <c r="P39" s="21">
        <f t="shared" si="3"/>
        <v>19.641759033931642</v>
      </c>
      <c r="V39" t="str">
        <v>NE_TSC:H2</v>
      </c>
      <c r="W39">
        <v>0</v>
      </c>
      <c r="X39">
        <v>-0.60707775334165937</v>
      </c>
      <c r="Y39">
        <v>0</v>
      </c>
      <c r="Z39">
        <v>9.079842636033753</v>
      </c>
      <c r="AA39">
        <v>0.48783944911514571</v>
      </c>
      <c r="AB39">
        <v>0</v>
      </c>
      <c r="AC39">
        <v>5.1922874272807658</v>
      </c>
      <c r="AD39">
        <v>2.8418047707297904</v>
      </c>
      <c r="AE39">
        <v>0.69221423897216883</v>
      </c>
      <c r="AF39">
        <v>0</v>
      </c>
      <c r="AG39">
        <v>2.3980978036016483</v>
      </c>
      <c r="AH39">
        <v>1.4833828074917506</v>
      </c>
      <c r="AI39">
        <v>915.87639090105768</v>
      </c>
      <c r="AJ39">
        <v>20.085008572391615</v>
      </c>
      <c r="AK39">
        <v>20.085008572391612</v>
      </c>
    </row>
    <row r="40" spans="1:37" x14ac:dyDescent="0.2">
      <c r="A40" t="str">
        <f>lc_detailed!AQ40</f>
        <v>NE_TSC+CC90</v>
      </c>
      <c r="B40" s="21">
        <f>lc_detailed!AY40/$S$2</f>
        <v>0</v>
      </c>
      <c r="C40" s="21">
        <f>lc_detailed!AZ40/$S$2</f>
        <v>0</v>
      </c>
      <c r="D40" s="21">
        <f>lc_detailed!BA40/$S$2</f>
        <v>6.9140944799479381E-2</v>
      </c>
      <c r="E40" s="21">
        <f>lc_detailed!BB40/$S$2</f>
        <v>9.079842636033753</v>
      </c>
      <c r="F40" s="21">
        <f>lc_detailed!BC40/$S$2</f>
        <v>8.4006615992815642E-2</v>
      </c>
      <c r="G40" s="21">
        <f>lc_detailed!BD40/$S$2</f>
        <v>0</v>
      </c>
      <c r="H40" s="21">
        <f>lc_detailed!BE40/$S$2</f>
        <v>5.5982890881479141</v>
      </c>
      <c r="I40" s="21">
        <f>lc_detailed!BF40/$S$2</f>
        <v>3.0641325531920858</v>
      </c>
      <c r="J40" s="21">
        <f>lc_detailed!BG40/$S$2</f>
        <v>0.74634069943059123</v>
      </c>
      <c r="K40" s="21">
        <f>lc_detailed!BI40/$S$2</f>
        <v>-1.1063804837500948</v>
      </c>
      <c r="L40" s="21">
        <f>lc_detailed!BJ40/$S$2</f>
        <v>1.796585643708646</v>
      </c>
      <c r="M40" s="21">
        <f>lc_detailed!BH40</f>
        <v>1.1113075755548278</v>
      </c>
      <c r="N40" s="21">
        <f>lc_detailed!AS40</f>
        <v>881.53727100851688</v>
      </c>
      <c r="O40" s="21">
        <f t="shared" si="2"/>
        <v>19.331957697555193</v>
      </c>
      <c r="P40" s="21">
        <f t="shared" si="3"/>
        <v>19.33195769755519</v>
      </c>
      <c r="V40" t="str">
        <v>CEN_TSC:H2</v>
      </c>
      <c r="W40">
        <v>0</v>
      </c>
      <c r="X40">
        <v>-0.8770585451947005</v>
      </c>
      <c r="Y40">
        <v>0</v>
      </c>
      <c r="Z40">
        <v>9.079842636033753</v>
      </c>
      <c r="AA40">
        <v>0.81919931100967303</v>
      </c>
      <c r="AB40">
        <v>0</v>
      </c>
      <c r="AC40">
        <v>5.1922874272807658</v>
      </c>
      <c r="AD40">
        <v>2.8418047707297904</v>
      </c>
      <c r="AE40">
        <v>0.69221423897216883</v>
      </c>
      <c r="AF40">
        <v>0</v>
      </c>
      <c r="AG40">
        <v>2.3980978036016483</v>
      </c>
      <c r="AH40">
        <v>1.4833828074917506</v>
      </c>
      <c r="AI40">
        <v>918.67527649494923</v>
      </c>
      <c r="AJ40">
        <v>20.146387642433098</v>
      </c>
      <c r="AK40">
        <v>20.146387642433098</v>
      </c>
    </row>
    <row r="41" spans="1:37" x14ac:dyDescent="0.2">
      <c r="A41" t="str">
        <f>lc_detailed!AQ41</f>
        <v>NE_TSC:H2</v>
      </c>
      <c r="B41" s="21">
        <f>lc_detailed!AY41/$S$2</f>
        <v>0</v>
      </c>
      <c r="C41" s="21">
        <f>lc_detailed!AZ41/$S$2</f>
        <v>-0.60707775334165937</v>
      </c>
      <c r="D41" s="21">
        <f>lc_detailed!BA41/$S$2</f>
        <v>0</v>
      </c>
      <c r="E41" s="21">
        <f>lc_detailed!BB41/$S$2</f>
        <v>9.079842636033753</v>
      </c>
      <c r="F41" s="21">
        <f>lc_detailed!BC41/$S$2</f>
        <v>0.48783944911514571</v>
      </c>
      <c r="G41" s="21">
        <f>lc_detailed!BD41/$S$2</f>
        <v>0</v>
      </c>
      <c r="H41" s="21">
        <f>lc_detailed!BE41/$S$2</f>
        <v>5.1922874272807658</v>
      </c>
      <c r="I41" s="21">
        <f>lc_detailed!BF41/$S$2</f>
        <v>2.8418047707297904</v>
      </c>
      <c r="J41" s="21">
        <f>lc_detailed!BG41/$S$2</f>
        <v>0.69221423897216883</v>
      </c>
      <c r="K41" s="21">
        <f>lc_detailed!BI41/$S$2</f>
        <v>0</v>
      </c>
      <c r="L41" s="21">
        <f>lc_detailed!BJ41/$S$2</f>
        <v>2.3980978036016483</v>
      </c>
      <c r="M41" s="21">
        <f>lc_detailed!BH41</f>
        <v>1.4833828074917506</v>
      </c>
      <c r="N41" s="21">
        <f>lc_detailed!AS41</f>
        <v>915.87639090105768</v>
      </c>
      <c r="O41" s="21">
        <f t="shared" si="2"/>
        <v>20.085008572391615</v>
      </c>
      <c r="P41" s="21">
        <f t="shared" si="3"/>
        <v>20.085008572391612</v>
      </c>
      <c r="V41" t="str">
        <v>NCEN_TSC:H2</v>
      </c>
      <c r="W41">
        <v>0</v>
      </c>
      <c r="X41">
        <v>-0.87121141516951806</v>
      </c>
      <c r="Y41">
        <v>0</v>
      </c>
      <c r="Z41">
        <v>9.079842636033753</v>
      </c>
      <c r="AA41">
        <v>0.81414307864926216</v>
      </c>
      <c r="AB41">
        <v>0</v>
      </c>
      <c r="AC41">
        <v>5.1922874272807658</v>
      </c>
      <c r="AD41">
        <v>2.8418047707297904</v>
      </c>
      <c r="AE41">
        <v>0.69221423897216883</v>
      </c>
      <c r="AF41">
        <v>0</v>
      </c>
      <c r="AG41">
        <v>2.3980978036016483</v>
      </c>
      <c r="AH41">
        <v>1.4833828074917506</v>
      </c>
      <c r="AI41">
        <v>918.7113414284629</v>
      </c>
      <c r="AJ41">
        <v>20.147178540097869</v>
      </c>
      <c r="AK41">
        <v>20.147178540097869</v>
      </c>
    </row>
    <row r="42" spans="1:37" x14ac:dyDescent="0.2">
      <c r="A42" t="str">
        <f>lc_detailed!AQ42</f>
        <v>NE_TSC+CC90:H2</v>
      </c>
      <c r="B42" s="21">
        <f>lc_detailed!AY42/$S$2</f>
        <v>0</v>
      </c>
      <c r="C42" s="21">
        <f>lc_detailed!AZ42/$S$2</f>
        <v>-0.60707775334165937</v>
      </c>
      <c r="D42" s="21">
        <f>lc_detailed!BA42/$S$2</f>
        <v>8.0609565527319307E-2</v>
      </c>
      <c r="E42" s="21">
        <f>lc_detailed!BB42/$S$2</f>
        <v>9.079842636033753</v>
      </c>
      <c r="F42" s="21">
        <f>lc_detailed!BC42/$S$2</f>
        <v>0.48783944911514571</v>
      </c>
      <c r="G42" s="21">
        <f>lc_detailed!BD42/$S$2</f>
        <v>0</v>
      </c>
      <c r="H42" s="21">
        <f>lc_detailed!BE42/$S$2</f>
        <v>5.5996407631099441</v>
      </c>
      <c r="I42" s="21">
        <f>lc_detailed!BF42/$S$2</f>
        <v>3.0648553418449445</v>
      </c>
      <c r="J42" s="21">
        <f>lc_detailed!BG42/$S$2</f>
        <v>0.74652089667940558</v>
      </c>
      <c r="K42" s="21">
        <f>lc_detailed!BI42/$S$2</f>
        <v>-1.4768060834282746</v>
      </c>
      <c r="L42" s="21">
        <f>lc_detailed!BJ42/$S$2</f>
        <v>2.3980978036016483</v>
      </c>
      <c r="M42" s="21">
        <f>lc_detailed!BH42</f>
        <v>1.4833828074917506</v>
      </c>
      <c r="N42" s="21">
        <f>lc_detailed!AS42</f>
        <v>883.43263143288561</v>
      </c>
      <c r="O42" s="21">
        <f t="shared" si="2"/>
        <v>19.373522619142229</v>
      </c>
      <c r="P42" s="21">
        <f t="shared" si="3"/>
        <v>19.373522619142225</v>
      </c>
      <c r="V42" t="str">
        <v>SE_TSC:H2</v>
      </c>
      <c r="W42">
        <v>0</v>
      </c>
      <c r="X42">
        <v>-0.47978648791142342</v>
      </c>
      <c r="Y42">
        <v>0</v>
      </c>
      <c r="Z42">
        <v>9.079842636033753</v>
      </c>
      <c r="AA42">
        <v>0.43356603138461419</v>
      </c>
      <c r="AB42">
        <v>0</v>
      </c>
      <c r="AC42">
        <v>5.1922874272807658</v>
      </c>
      <c r="AD42">
        <v>2.8418047707297904</v>
      </c>
      <c r="AE42">
        <v>0.69221423897216883</v>
      </c>
      <c r="AF42">
        <v>0</v>
      </c>
      <c r="AG42">
        <v>2.3980978036016483</v>
      </c>
      <c r="AH42">
        <v>1.4833828074917506</v>
      </c>
      <c r="AI42">
        <v>919.20600475616402</v>
      </c>
      <c r="AJ42">
        <v>20.158026420091314</v>
      </c>
      <c r="AK42">
        <v>20.158026420091318</v>
      </c>
    </row>
    <row r="43" spans="1:37" x14ac:dyDescent="0.2">
      <c r="A43" t="str">
        <f>lc_detailed!AQ43</f>
        <v>NE_TSC+H2in</v>
      </c>
      <c r="B43" s="21">
        <f>lc_detailed!AY43/$S$2</f>
        <v>8.4561748588229083E-2</v>
      </c>
      <c r="C43" s="21">
        <f>lc_detailed!AZ43/$S$2</f>
        <v>0</v>
      </c>
      <c r="D43" s="21">
        <f>lc_detailed!BA43/$S$2</f>
        <v>0</v>
      </c>
      <c r="E43" s="21">
        <f>lc_detailed!BB43/$S$2</f>
        <v>9.079842636033753</v>
      </c>
      <c r="F43" s="21">
        <f>lc_detailed!BC43/$S$2</f>
        <v>0</v>
      </c>
      <c r="G43" s="21">
        <f>lc_detailed!BD43/$S$2</f>
        <v>0</v>
      </c>
      <c r="H43" s="21">
        <f>lc_detailed!BE43/$S$2</f>
        <v>5.1922874272807658</v>
      </c>
      <c r="I43" s="21">
        <f>lc_detailed!BF43/$S$2</f>
        <v>2.8418047707297904</v>
      </c>
      <c r="J43" s="21">
        <f>lc_detailed!BG43/$S$2</f>
        <v>0.69221423897216883</v>
      </c>
      <c r="K43" s="21">
        <f>lc_detailed!BI43/$S$2</f>
        <v>0</v>
      </c>
      <c r="L43" s="21">
        <f>lc_detailed!BJ43/$S$2</f>
        <v>1.6714571328828964</v>
      </c>
      <c r="M43" s="21">
        <f>lc_detailed!BH43</f>
        <v>1.033907278783281</v>
      </c>
      <c r="N43" s="21">
        <f>lc_detailed!AS43</f>
        <v>892.03485872463489</v>
      </c>
      <c r="O43" s="21">
        <f t="shared" si="2"/>
        <v>19.562167954487606</v>
      </c>
      <c r="P43" s="21">
        <f t="shared" si="3"/>
        <v>19.562167954487602</v>
      </c>
      <c r="V43" t="str">
        <v>SW_TSC:H2</v>
      </c>
      <c r="W43">
        <v>0</v>
      </c>
      <c r="X43">
        <v>-0.59704919785701938</v>
      </c>
      <c r="Y43">
        <v>0</v>
      </c>
      <c r="Z43">
        <v>9.079842636033753</v>
      </c>
      <c r="AA43">
        <v>0.56191825384060057</v>
      </c>
      <c r="AB43">
        <v>0</v>
      </c>
      <c r="AC43">
        <v>5.1922874272807658</v>
      </c>
      <c r="AD43">
        <v>2.8418047707297904</v>
      </c>
      <c r="AE43">
        <v>0.69221423897216883</v>
      </c>
      <c r="AF43">
        <v>0</v>
      </c>
      <c r="AG43">
        <v>2.3980978036016483</v>
      </c>
      <c r="AH43">
        <v>1.4833828074917506</v>
      </c>
      <c r="AI43">
        <v>919.711686526638</v>
      </c>
      <c r="AJ43">
        <v>20.169115932601709</v>
      </c>
      <c r="AK43">
        <v>20.169115932601706</v>
      </c>
    </row>
    <row r="44" spans="1:37" x14ac:dyDescent="0.2">
      <c r="A44" t="str">
        <f>lc_detailed!AQ44</f>
        <v>NE_TSC+H2in:CH4</v>
      </c>
      <c r="B44" s="21">
        <f>lc_detailed!AY44/$S$2</f>
        <v>0.52251600501927076</v>
      </c>
      <c r="C44" s="21">
        <f>lc_detailed!AZ44/$S$2</f>
        <v>0</v>
      </c>
      <c r="D44" s="21">
        <f>lc_detailed!BA44/$S$2</f>
        <v>0</v>
      </c>
      <c r="E44" s="21">
        <f>lc_detailed!BB44/$S$2</f>
        <v>9.079842636033753</v>
      </c>
      <c r="F44" s="21">
        <f>lc_detailed!BC44/$S$2</f>
        <v>0</v>
      </c>
      <c r="G44" s="21">
        <f>lc_detailed!BD44/$S$2</f>
        <v>-0.43718099906232427</v>
      </c>
      <c r="H44" s="21">
        <f>lc_detailed!BE44/$S$2</f>
        <v>5.1922874272807658</v>
      </c>
      <c r="I44" s="21">
        <f>lc_detailed!BF44/$S$2</f>
        <v>2.8418047707297904</v>
      </c>
      <c r="J44" s="21">
        <f>lc_detailed!BG44/$S$2</f>
        <v>0.69221423897216883</v>
      </c>
      <c r="K44" s="21">
        <f>lc_detailed!BI44/$S$2</f>
        <v>0</v>
      </c>
      <c r="L44" s="21">
        <f>lc_detailed!BJ44/$S$2</f>
        <v>1.6714571328828964</v>
      </c>
      <c r="M44" s="21">
        <f>lc_detailed!BH44</f>
        <v>1.033907278783281</v>
      </c>
      <c r="N44" s="21">
        <f>lc_detailed!AS44</f>
        <v>892.0701192606482</v>
      </c>
      <c r="O44" s="21">
        <f t="shared" si="2"/>
        <v>19.56294121185632</v>
      </c>
      <c r="P44" s="21">
        <f t="shared" si="3"/>
        <v>19.56294121185632</v>
      </c>
      <c r="V44" t="str">
        <v>TX_TSC:H2</v>
      </c>
      <c r="W44">
        <v>0</v>
      </c>
      <c r="X44">
        <v>-0.49830589848242174</v>
      </c>
      <c r="Y44">
        <v>0</v>
      </c>
      <c r="Z44">
        <v>9.079842636033753</v>
      </c>
      <c r="AA44">
        <v>0.46830867568124679</v>
      </c>
      <c r="AB44">
        <v>0</v>
      </c>
      <c r="AC44">
        <v>5.1922874272807658</v>
      </c>
      <c r="AD44">
        <v>2.8418047707297904</v>
      </c>
      <c r="AE44">
        <v>0.69221423897216883</v>
      </c>
      <c r="AF44">
        <v>0</v>
      </c>
      <c r="AG44">
        <v>2.3980978036016483</v>
      </c>
      <c r="AH44">
        <v>1.4833828074917506</v>
      </c>
      <c r="AI44">
        <v>919.94578421405299</v>
      </c>
      <c r="AJ44">
        <v>20.17424965381695</v>
      </c>
      <c r="AK44">
        <v>20.17424965381695</v>
      </c>
    </row>
    <row r="45" spans="1:37" x14ac:dyDescent="0.2">
      <c r="A45" t="str">
        <f>lc_detailed!AQ45</f>
        <v>SW_ESC</v>
      </c>
      <c r="B45" s="21">
        <f>lc_detailed!AY45/$S$2</f>
        <v>0</v>
      </c>
      <c r="C45" s="21">
        <f>lc_detailed!AZ45/$S$2</f>
        <v>-0.59704919785701938</v>
      </c>
      <c r="D45" s="21">
        <f>lc_detailed!BA45/$S$2</f>
        <v>1.6614680709300209</v>
      </c>
      <c r="E45" s="21">
        <f>lc_detailed!BB45/$S$2</f>
        <v>9.079842636033753</v>
      </c>
      <c r="F45" s="21">
        <f>lc_detailed!BC45/$S$2</f>
        <v>0</v>
      </c>
      <c r="G45" s="21">
        <f>lc_detailed!BD45/$S$2</f>
        <v>-0.50356727823257053</v>
      </c>
      <c r="H45" s="21">
        <f>lc_detailed!BE45/$S$2</f>
        <v>6.8789631956535189</v>
      </c>
      <c r="I45" s="21">
        <f>lc_detailed!BF45/$S$2</f>
        <v>3.7649438231017713</v>
      </c>
      <c r="J45" s="21">
        <f>lc_detailed!BG45/$S$2</f>
        <v>0.91707486414789374</v>
      </c>
      <c r="K45" s="21">
        <f>lc_detailed!BI45/$S$2</f>
        <v>0</v>
      </c>
      <c r="L45" s="21">
        <f>lc_detailed!BJ45/$S$2</f>
        <v>1.6714571328828964</v>
      </c>
      <c r="M45" s="21">
        <f>lc_detailed!BH45</f>
        <v>1.033907278783281</v>
      </c>
      <c r="N45" s="21">
        <f>lc_detailed!AS45</f>
        <v>1043.0148760477082</v>
      </c>
      <c r="O45" s="21">
        <f t="shared" si="2"/>
        <v>22.873133246660267</v>
      </c>
      <c r="P45" s="21">
        <f t="shared" si="3"/>
        <v>22.873133246660263</v>
      </c>
      <c r="V45" t="str">
        <v>CEN_ESC</v>
      </c>
      <c r="W45">
        <v>0</v>
      </c>
      <c r="X45">
        <v>-0.8770585451947005</v>
      </c>
      <c r="Y45">
        <v>1.7755674563644175</v>
      </c>
      <c r="Z45">
        <v>9.079842636033753</v>
      </c>
      <c r="AA45">
        <v>0</v>
      </c>
      <c r="AB45">
        <v>-0.7341316366849302</v>
      </c>
      <c r="AC45">
        <v>6.8789631956535189</v>
      </c>
      <c r="AD45">
        <v>3.7649438231017713</v>
      </c>
      <c r="AE45">
        <v>0.91707486414789374</v>
      </c>
      <c r="AF45">
        <v>0</v>
      </c>
      <c r="AG45">
        <v>1.6714571328828964</v>
      </c>
      <c r="AH45">
        <v>1.033907278783281</v>
      </c>
      <c r="AI45">
        <v>1024.935647039491</v>
      </c>
      <c r="AJ45">
        <v>22.476658926304626</v>
      </c>
      <c r="AK45">
        <v>22.476658926304616</v>
      </c>
    </row>
    <row r="46" spans="1:37" x14ac:dyDescent="0.2">
      <c r="A46" t="str">
        <f>lc_detailed!AQ46</f>
        <v>TX_ESC</v>
      </c>
      <c r="B46" s="21">
        <f>lc_detailed!AY46/$S$2</f>
        <v>0</v>
      </c>
      <c r="C46" s="21">
        <f>lc_detailed!AZ46/$S$2</f>
        <v>-0.49830589848242174</v>
      </c>
      <c r="D46" s="21">
        <f>lc_detailed!BA46/$S$2</f>
        <v>1.6880451403996672</v>
      </c>
      <c r="E46" s="21">
        <f>lc_detailed!BB46/$S$2</f>
        <v>9.079842636033753</v>
      </c>
      <c r="F46" s="21">
        <f>lc_detailed!BC46/$S$2</f>
        <v>0</v>
      </c>
      <c r="G46" s="21">
        <f>lc_detailed!BD46/$S$2</f>
        <v>-0.41967834925042591</v>
      </c>
      <c r="H46" s="21">
        <f>lc_detailed!BE46/$S$2</f>
        <v>6.8789631956535189</v>
      </c>
      <c r="I46" s="21">
        <f>lc_detailed!BF46/$S$2</f>
        <v>3.7649438231017713</v>
      </c>
      <c r="J46" s="21">
        <f>lc_detailed!BG46/$S$2</f>
        <v>0.91707486414789374</v>
      </c>
      <c r="K46" s="21">
        <f>lc_detailed!BI46/$S$2</f>
        <v>0</v>
      </c>
      <c r="L46" s="21">
        <f>lc_detailed!BJ46/$S$2</f>
        <v>1.6714571328828964</v>
      </c>
      <c r="M46" s="21">
        <f>lc_detailed!BH46</f>
        <v>1.033907278783281</v>
      </c>
      <c r="N46" s="21">
        <f>lc_detailed!AS46</f>
        <v>1052.5548200285916</v>
      </c>
      <c r="O46" s="21">
        <f t="shared" si="2"/>
        <v>23.082342544486657</v>
      </c>
      <c r="P46" s="21">
        <f t="shared" si="3"/>
        <v>23.08234254448665</v>
      </c>
      <c r="V46" t="str">
        <v>NCEN_ESC</v>
      </c>
      <c r="W46">
        <v>0</v>
      </c>
      <c r="X46">
        <v>-0.87121141516951806</v>
      </c>
      <c r="Y46">
        <v>1.810465889644866</v>
      </c>
      <c r="Z46">
        <v>9.079842636033753</v>
      </c>
      <c r="AA46">
        <v>0</v>
      </c>
      <c r="AB46">
        <v>-0.72960045594744538</v>
      </c>
      <c r="AC46">
        <v>6.8789631956535189</v>
      </c>
      <c r="AD46">
        <v>3.7649438231017713</v>
      </c>
      <c r="AE46">
        <v>0.91707486414789374</v>
      </c>
      <c r="AF46">
        <v>0</v>
      </c>
      <c r="AG46">
        <v>1.6714571328828964</v>
      </c>
      <c r="AH46">
        <v>1.033907278783281</v>
      </c>
      <c r="AI46">
        <v>1027.0002665678569</v>
      </c>
      <c r="AJ46">
        <v>22.521935670347737</v>
      </c>
      <c r="AK46">
        <v>22.521935670347734</v>
      </c>
    </row>
    <row r="47" spans="1:37" x14ac:dyDescent="0.2">
      <c r="A47" t="str">
        <f>lc_detailed!AQ47</f>
        <v>NCEN_ESC</v>
      </c>
      <c r="B47" s="21">
        <f>lc_detailed!AY47/$S$2</f>
        <v>0</v>
      </c>
      <c r="C47" s="21">
        <f>lc_detailed!AZ47/$S$2</f>
        <v>-0.87121141516951806</v>
      </c>
      <c r="D47" s="21">
        <f>lc_detailed!BA47/$S$2</f>
        <v>1.810465889644866</v>
      </c>
      <c r="E47" s="21">
        <f>lc_detailed!BB47/$S$2</f>
        <v>9.079842636033753</v>
      </c>
      <c r="F47" s="21">
        <f>lc_detailed!BC47/$S$2</f>
        <v>0</v>
      </c>
      <c r="G47" s="21">
        <f>lc_detailed!BD47/$S$2</f>
        <v>-0.72960045594744538</v>
      </c>
      <c r="H47" s="21">
        <f>lc_detailed!BE47/$S$2</f>
        <v>6.8789631956535189</v>
      </c>
      <c r="I47" s="21">
        <f>lc_detailed!BF47/$S$2</f>
        <v>3.7649438231017713</v>
      </c>
      <c r="J47" s="21">
        <f>lc_detailed!BG47/$S$2</f>
        <v>0.91707486414789374</v>
      </c>
      <c r="K47" s="21">
        <f>lc_detailed!BI47/$S$2</f>
        <v>0</v>
      </c>
      <c r="L47" s="21">
        <f>lc_detailed!BJ47/$S$2</f>
        <v>1.6714571328828964</v>
      </c>
      <c r="M47" s="21">
        <f>lc_detailed!BH47</f>
        <v>1.033907278783281</v>
      </c>
      <c r="N47" s="21">
        <f>lc_detailed!AS47</f>
        <v>1027.0002665678569</v>
      </c>
      <c r="O47" s="21">
        <f t="shared" si="2"/>
        <v>22.521935670347737</v>
      </c>
      <c r="P47" s="21">
        <f t="shared" si="3"/>
        <v>22.521935670347734</v>
      </c>
      <c r="V47" t="str">
        <v>SW_ESC</v>
      </c>
      <c r="W47">
        <v>0</v>
      </c>
      <c r="X47">
        <v>-0.59704919785701938</v>
      </c>
      <c r="Y47">
        <v>1.6614680709300209</v>
      </c>
      <c r="Z47">
        <v>9.079842636033753</v>
      </c>
      <c r="AA47">
        <v>0</v>
      </c>
      <c r="AB47">
        <v>-0.50356727823257053</v>
      </c>
      <c r="AC47">
        <v>6.8789631956535189</v>
      </c>
      <c r="AD47">
        <v>3.7649438231017713</v>
      </c>
      <c r="AE47">
        <v>0.91707486414789374</v>
      </c>
      <c r="AF47">
        <v>0</v>
      </c>
      <c r="AG47">
        <v>1.6714571328828964</v>
      </c>
      <c r="AH47">
        <v>1.033907278783281</v>
      </c>
      <c r="AI47">
        <v>1043.0148760477082</v>
      </c>
      <c r="AJ47">
        <v>22.873133246660267</v>
      </c>
      <c r="AK47">
        <v>22.873133246660263</v>
      </c>
    </row>
    <row r="48" spans="1:37" x14ac:dyDescent="0.2">
      <c r="A48" t="str">
        <f>lc_detailed!AQ48</f>
        <v>CEN_ESC</v>
      </c>
      <c r="B48" s="21">
        <f>lc_detailed!AY48/$S$2</f>
        <v>0</v>
      </c>
      <c r="C48" s="21">
        <f>lc_detailed!AZ48/$S$2</f>
        <v>-0.8770585451947005</v>
      </c>
      <c r="D48" s="21">
        <f>lc_detailed!BA48/$S$2</f>
        <v>1.7755674563644175</v>
      </c>
      <c r="E48" s="21">
        <f>lc_detailed!BB48/$S$2</f>
        <v>9.079842636033753</v>
      </c>
      <c r="F48" s="21">
        <f>lc_detailed!BC48/$S$2</f>
        <v>0</v>
      </c>
      <c r="G48" s="21">
        <f>lc_detailed!BD48/$S$2</f>
        <v>-0.7341316366849302</v>
      </c>
      <c r="H48" s="21">
        <f>lc_detailed!BE48/$S$2</f>
        <v>6.8789631956535189</v>
      </c>
      <c r="I48" s="21">
        <f>lc_detailed!BF48/$S$2</f>
        <v>3.7649438231017713</v>
      </c>
      <c r="J48" s="21">
        <f>lc_detailed!BG48/$S$2</f>
        <v>0.91707486414789374</v>
      </c>
      <c r="K48" s="21">
        <f>lc_detailed!BI48/$S$2</f>
        <v>0</v>
      </c>
      <c r="L48" s="21">
        <f>lc_detailed!BJ48/$S$2</f>
        <v>1.6714571328828964</v>
      </c>
      <c r="M48" s="21">
        <f>lc_detailed!BH48</f>
        <v>1.033907278783281</v>
      </c>
      <c r="N48" s="21">
        <f>lc_detailed!AS48</f>
        <v>1024.935647039491</v>
      </c>
      <c r="O48" s="21">
        <f t="shared" si="2"/>
        <v>22.476658926304626</v>
      </c>
      <c r="P48" s="21">
        <f t="shared" si="3"/>
        <v>22.476658926304616</v>
      </c>
      <c r="V48" t="str">
        <v>NE_ESC</v>
      </c>
      <c r="W48">
        <v>0</v>
      </c>
      <c r="X48">
        <v>-0.60707775334165937</v>
      </c>
      <c r="Y48">
        <v>1.643169290348093</v>
      </c>
      <c r="Z48">
        <v>9.079842636033753</v>
      </c>
      <c r="AA48">
        <v>0</v>
      </c>
      <c r="AB48">
        <v>-0.43718099906232427</v>
      </c>
      <c r="AC48">
        <v>6.8789631956535189</v>
      </c>
      <c r="AD48">
        <v>3.7649438231017713</v>
      </c>
      <c r="AE48">
        <v>0.91707486414789374</v>
      </c>
      <c r="AF48">
        <v>0</v>
      </c>
      <c r="AG48">
        <v>1.6714571328828964</v>
      </c>
      <c r="AH48">
        <v>1.033907278783281</v>
      </c>
      <c r="AI48">
        <v>1044.750363853236</v>
      </c>
      <c r="AJ48">
        <v>22.911192189763945</v>
      </c>
      <c r="AK48">
        <v>22.911192189763938</v>
      </c>
    </row>
    <row r="49" spans="1:37" x14ac:dyDescent="0.2">
      <c r="A49" t="str">
        <f>lc_detailed!AQ49</f>
        <v>SE_ESC</v>
      </c>
      <c r="B49" s="21">
        <f>lc_detailed!AY49/$S$2</f>
        <v>0</v>
      </c>
      <c r="C49" s="21">
        <f>lc_detailed!AZ49/$S$2</f>
        <v>-0.47978648791142342</v>
      </c>
      <c r="D49" s="21">
        <f>lc_detailed!BA49/$S$2</f>
        <v>1.6808104501989212</v>
      </c>
      <c r="E49" s="21">
        <f>lc_detailed!BB49/$S$2</f>
        <v>9.079842636033753</v>
      </c>
      <c r="F49" s="21">
        <f>lc_detailed!BC49/$S$2</f>
        <v>0</v>
      </c>
      <c r="G49" s="21">
        <f>lc_detailed!BD49/$S$2</f>
        <v>-0.38854346671639006</v>
      </c>
      <c r="H49" s="21">
        <f>lc_detailed!BE49/$S$2</f>
        <v>6.8789631956535189</v>
      </c>
      <c r="I49" s="21">
        <f>lc_detailed!BF49/$S$2</f>
        <v>3.7649438231017713</v>
      </c>
      <c r="J49" s="21">
        <f>lc_detailed!BG49/$S$2</f>
        <v>0.91707486414789374</v>
      </c>
      <c r="K49" s="21">
        <f>lc_detailed!BI49/$S$2</f>
        <v>0</v>
      </c>
      <c r="L49" s="21">
        <f>lc_detailed!BJ49/$S$2</f>
        <v>1.6714571328828964</v>
      </c>
      <c r="M49" s="21">
        <f>lc_detailed!BH49</f>
        <v>1.033907278783281</v>
      </c>
      <c r="N49" s="21">
        <f>lc_detailed!AS49</f>
        <v>1054.4891539210271</v>
      </c>
      <c r="O49" s="21">
        <f t="shared" si="2"/>
        <v>23.124762147390943</v>
      </c>
      <c r="P49" s="21">
        <f t="shared" si="3"/>
        <v>23.124762147390939</v>
      </c>
      <c r="V49" t="str">
        <v>TX_ESC</v>
      </c>
      <c r="W49">
        <v>0</v>
      </c>
      <c r="X49">
        <v>-0.49830589848242174</v>
      </c>
      <c r="Y49">
        <v>1.6880451403996672</v>
      </c>
      <c r="Z49">
        <v>9.079842636033753</v>
      </c>
      <c r="AA49">
        <v>0</v>
      </c>
      <c r="AB49">
        <v>-0.41967834925042591</v>
      </c>
      <c r="AC49">
        <v>6.8789631956535189</v>
      </c>
      <c r="AD49">
        <v>3.7649438231017713</v>
      </c>
      <c r="AE49">
        <v>0.91707486414789374</v>
      </c>
      <c r="AF49">
        <v>0</v>
      </c>
      <c r="AG49">
        <v>1.6714571328828964</v>
      </c>
      <c r="AH49">
        <v>1.033907278783281</v>
      </c>
      <c r="AI49">
        <v>1052.5548200285916</v>
      </c>
      <c r="AJ49">
        <v>23.082342544486657</v>
      </c>
      <c r="AK49">
        <v>23.08234254448665</v>
      </c>
    </row>
    <row r="50" spans="1:37" x14ac:dyDescent="0.2">
      <c r="A50" t="str">
        <f>lc_detailed!AQ50</f>
        <v>MIDAT_ESC</v>
      </c>
      <c r="B50" s="21">
        <f>lc_detailed!AY50/$S$2</f>
        <v>0</v>
      </c>
      <c r="C50" s="21">
        <f>lc_detailed!AZ50/$S$2</f>
        <v>-0.4972580335263439</v>
      </c>
      <c r="D50" s="21">
        <f>lc_detailed!BA50/$S$2</f>
        <v>1.699343020913844</v>
      </c>
      <c r="E50" s="21">
        <f>lc_detailed!BB50/$S$2</f>
        <v>9.079842636033753</v>
      </c>
      <c r="F50" s="21">
        <f>lc_detailed!BC50/$S$2</f>
        <v>0</v>
      </c>
      <c r="G50" s="21">
        <f>lc_detailed!BD50/$S$2</f>
        <v>-0.26384058749270484</v>
      </c>
      <c r="H50" s="21">
        <f>lc_detailed!BE50/$S$2</f>
        <v>6.8789631956535189</v>
      </c>
      <c r="I50" s="21">
        <f>lc_detailed!BF50/$S$2</f>
        <v>3.7649438231017713</v>
      </c>
      <c r="J50" s="21">
        <f>lc_detailed!BG50/$S$2</f>
        <v>0.91707486414789374</v>
      </c>
      <c r="K50" s="21">
        <f>lc_detailed!BI50/$S$2</f>
        <v>0</v>
      </c>
      <c r="L50" s="21">
        <f>lc_detailed!BJ50/$S$2</f>
        <v>1.6714571328828964</v>
      </c>
      <c r="M50" s="21">
        <f>lc_detailed!BH50</f>
        <v>1.033907278783281</v>
      </c>
      <c r="N50" s="21">
        <f>lc_detailed!AS50</f>
        <v>1060.2239879581873</v>
      </c>
      <c r="O50" s="21">
        <f t="shared" si="2"/>
        <v>23.250526051714633</v>
      </c>
      <c r="P50" s="21">
        <f t="shared" si="3"/>
        <v>23.250526051714626</v>
      </c>
      <c r="V50" t="str">
        <v>SE_ESC</v>
      </c>
      <c r="W50">
        <v>0</v>
      </c>
      <c r="X50">
        <v>-0.47978648791142342</v>
      </c>
      <c r="Y50">
        <v>1.6808104501989212</v>
      </c>
      <c r="Z50">
        <v>9.079842636033753</v>
      </c>
      <c r="AA50">
        <v>0</v>
      </c>
      <c r="AB50">
        <v>-0.38854346671639006</v>
      </c>
      <c r="AC50">
        <v>6.8789631956535189</v>
      </c>
      <c r="AD50">
        <v>3.7649438231017713</v>
      </c>
      <c r="AE50">
        <v>0.91707486414789374</v>
      </c>
      <c r="AF50">
        <v>0</v>
      </c>
      <c r="AG50">
        <v>1.6714571328828964</v>
      </c>
      <c r="AH50">
        <v>1.033907278783281</v>
      </c>
      <c r="AI50">
        <v>1054.4891539210271</v>
      </c>
      <c r="AJ50">
        <v>23.124762147390943</v>
      </c>
      <c r="AK50">
        <v>23.124762147390939</v>
      </c>
    </row>
    <row r="51" spans="1:37" x14ac:dyDescent="0.2">
      <c r="A51" t="str">
        <f>lc_detailed!AQ51</f>
        <v>NE_ESC</v>
      </c>
      <c r="B51" s="21">
        <f>lc_detailed!AY51/$S$2</f>
        <v>0</v>
      </c>
      <c r="C51" s="21">
        <f>lc_detailed!AZ51/$S$2</f>
        <v>-0.60707775334165937</v>
      </c>
      <c r="D51" s="21">
        <f>lc_detailed!BA51/$S$2</f>
        <v>1.643169290348093</v>
      </c>
      <c r="E51" s="21">
        <f>lc_detailed!BB51/$S$2</f>
        <v>9.079842636033753</v>
      </c>
      <c r="F51" s="21">
        <f>lc_detailed!BC51/$S$2</f>
        <v>0</v>
      </c>
      <c r="G51" s="21">
        <f>lc_detailed!BD51/$S$2</f>
        <v>-0.43718099906232427</v>
      </c>
      <c r="H51" s="21">
        <f>lc_detailed!BE51/$S$2</f>
        <v>6.8789631956535189</v>
      </c>
      <c r="I51" s="21">
        <f>lc_detailed!BF51/$S$2</f>
        <v>3.7649438231017713</v>
      </c>
      <c r="J51" s="21">
        <f>lc_detailed!BG51/$S$2</f>
        <v>0.91707486414789374</v>
      </c>
      <c r="K51" s="21">
        <f>lc_detailed!BI51/$S$2</f>
        <v>0</v>
      </c>
      <c r="L51" s="21">
        <f>lc_detailed!BJ51/$S$2</f>
        <v>1.6714571328828964</v>
      </c>
      <c r="M51" s="21">
        <f>lc_detailed!BH51</f>
        <v>1.033907278783281</v>
      </c>
      <c r="N51" s="21">
        <f>lc_detailed!AS51</f>
        <v>1044.750363853236</v>
      </c>
      <c r="O51" s="21">
        <f t="shared" si="2"/>
        <v>22.911192189763945</v>
      </c>
      <c r="P51" s="21">
        <f t="shared" si="3"/>
        <v>22.911192189763938</v>
      </c>
      <c r="V51" t="str">
        <v>MIDAT_ESC</v>
      </c>
      <c r="W51">
        <v>0</v>
      </c>
      <c r="X51">
        <v>-0.4972580335263439</v>
      </c>
      <c r="Y51">
        <v>1.699343020913844</v>
      </c>
      <c r="Z51">
        <v>9.079842636033753</v>
      </c>
      <c r="AA51">
        <v>0</v>
      </c>
      <c r="AB51">
        <v>-0.26384058749270484</v>
      </c>
      <c r="AC51">
        <v>6.8789631956535189</v>
      </c>
      <c r="AD51">
        <v>3.7649438231017713</v>
      </c>
      <c r="AE51">
        <v>0.91707486414789374</v>
      </c>
      <c r="AF51">
        <v>0</v>
      </c>
      <c r="AG51">
        <v>1.6714571328828964</v>
      </c>
      <c r="AH51">
        <v>1.033907278783281</v>
      </c>
      <c r="AI51">
        <v>1060.2239879581873</v>
      </c>
      <c r="AJ51">
        <v>23.250526051714633</v>
      </c>
      <c r="AK51">
        <v>23.250526051714626</v>
      </c>
    </row>
    <row r="52" spans="1:37" x14ac:dyDescent="0.2">
      <c r="A52">
        <f>lc_detailed!AQ52</f>
        <v>0</v>
      </c>
      <c r="B52" s="21" t="e">
        <f>lc_detailed!AY52/$S$2</f>
        <v>#DIV/0!</v>
      </c>
      <c r="C52" s="21" t="e">
        <f>lc_detailed!AZ52/$S$2</f>
        <v>#DIV/0!</v>
      </c>
      <c r="D52" s="21" t="e">
        <f>lc_detailed!BA52/$S$2</f>
        <v>#DIV/0!</v>
      </c>
      <c r="E52" s="21" t="e">
        <f>lc_detailed!BB52/$S$2</f>
        <v>#DIV/0!</v>
      </c>
      <c r="F52" s="21" t="e">
        <f>lc_detailed!BC52/$S$2</f>
        <v>#DIV/0!</v>
      </c>
      <c r="G52" s="21" t="e">
        <f>lc_detailed!BD52/$S$2</f>
        <v>#DIV/0!</v>
      </c>
      <c r="H52" s="21" t="e">
        <f>lc_detailed!BE52/$S$2</f>
        <v>#DIV/0!</v>
      </c>
      <c r="I52" s="21" t="e">
        <f>lc_detailed!BF52/$S$2</f>
        <v>#DIV/0!</v>
      </c>
      <c r="J52" s="21" t="e">
        <f>lc_detailed!BG52/$S$2</f>
        <v>#DIV/0!</v>
      </c>
      <c r="K52" s="21" t="e">
        <f>lc_detailed!BI52/$S$2</f>
        <v>#DIV/0!</v>
      </c>
      <c r="L52" s="21" t="e">
        <f>lc_detailed!BJ52/$S$2</f>
        <v>#DIV/0!</v>
      </c>
      <c r="M52" s="21" t="e">
        <f>lc_detailed!BH52</f>
        <v>#DIV/0!</v>
      </c>
      <c r="N52" s="21" t="e">
        <f>lc_detailed!AS52</f>
        <v>#DIV/0!</v>
      </c>
      <c r="O52" s="21" t="e">
        <f t="shared" si="2"/>
        <v>#DIV/0!</v>
      </c>
      <c r="P52" s="21" t="e">
        <f t="shared" si="3"/>
        <v>#DIV/0!</v>
      </c>
      <c r="V52">
        <v>0</v>
      </c>
      <c r="W52" t="e">
        <v>#DIV/0!</v>
      </c>
      <c r="X52" t="e">
        <v>#DIV/0!</v>
      </c>
      <c r="Y52" t="e">
        <v>#DIV/0!</v>
      </c>
      <c r="Z52" t="e">
        <v>#DIV/0!</v>
      </c>
      <c r="AA52" t="e">
        <v>#DIV/0!</v>
      </c>
      <c r="AB52" t="e">
        <v>#DIV/0!</v>
      </c>
      <c r="AC52" t="e">
        <v>#DIV/0!</v>
      </c>
      <c r="AD52" t="e">
        <v>#DIV/0!</v>
      </c>
      <c r="AE52" t="e">
        <v>#DIV/0!</v>
      </c>
      <c r="AF52" t="e">
        <v>#DIV/0!</v>
      </c>
      <c r="AG52" t="e">
        <v>#DIV/0!</v>
      </c>
      <c r="AH52" t="e">
        <v>#DIV/0!</v>
      </c>
      <c r="AI52" t="e">
        <v>#DIV/0!</v>
      </c>
      <c r="AJ52" t="e">
        <v>#DIV/0!</v>
      </c>
      <c r="AK52" t="e">
        <v>#DIV/0!</v>
      </c>
    </row>
    <row r="53" spans="1:37" x14ac:dyDescent="0.2">
      <c r="A53">
        <f>lc_detailed!AQ53</f>
        <v>0</v>
      </c>
      <c r="B53" s="21" t="e">
        <f>lc_detailed!AY53/$S$2</f>
        <v>#DIV/0!</v>
      </c>
      <c r="C53" s="21" t="e">
        <f>lc_detailed!AZ53/$S$2</f>
        <v>#DIV/0!</v>
      </c>
      <c r="D53" s="21" t="e">
        <f>lc_detailed!BA53/$S$2</f>
        <v>#DIV/0!</v>
      </c>
      <c r="E53" s="21" t="e">
        <f>lc_detailed!BB53/$S$2</f>
        <v>#DIV/0!</v>
      </c>
      <c r="F53" s="21" t="e">
        <f>lc_detailed!BC53/$S$2</f>
        <v>#DIV/0!</v>
      </c>
      <c r="G53" s="21" t="e">
        <f>lc_detailed!BD53/$S$2</f>
        <v>#DIV/0!</v>
      </c>
      <c r="H53" s="21" t="e">
        <f>lc_detailed!BE53/$S$2</f>
        <v>#DIV/0!</v>
      </c>
      <c r="I53" s="21" t="e">
        <f>lc_detailed!BF53/$S$2</f>
        <v>#DIV/0!</v>
      </c>
      <c r="J53" s="21" t="e">
        <f>lc_detailed!BG53/$S$2</f>
        <v>#DIV/0!</v>
      </c>
      <c r="K53" s="21" t="e">
        <f>lc_detailed!BI53/$S$2</f>
        <v>#DIV/0!</v>
      </c>
      <c r="L53" s="21" t="e">
        <f>lc_detailed!BJ53/$S$2</f>
        <v>#DIV/0!</v>
      </c>
      <c r="M53" s="21" t="e">
        <f>lc_detailed!BH53</f>
        <v>#DIV/0!</v>
      </c>
      <c r="N53" s="21" t="e">
        <f>lc_detailed!AS53</f>
        <v>#DIV/0!</v>
      </c>
      <c r="O53" s="21" t="e">
        <f t="shared" si="2"/>
        <v>#DIV/0!</v>
      </c>
      <c r="P53" s="21" t="e">
        <f t="shared" si="3"/>
        <v>#DIV/0!</v>
      </c>
      <c r="V53">
        <v>0</v>
      </c>
      <c r="W53" t="e">
        <v>#DIV/0!</v>
      </c>
      <c r="X53" t="e">
        <v>#DIV/0!</v>
      </c>
      <c r="Y53" t="e">
        <v>#DIV/0!</v>
      </c>
      <c r="Z53" t="e">
        <v>#DIV/0!</v>
      </c>
      <c r="AA53" t="e">
        <v>#DIV/0!</v>
      </c>
      <c r="AB53" t="e">
        <v>#DIV/0!</v>
      </c>
      <c r="AC53" t="e">
        <v>#DIV/0!</v>
      </c>
      <c r="AD53" t="e">
        <v>#DIV/0!</v>
      </c>
      <c r="AE53" t="e">
        <v>#DIV/0!</v>
      </c>
      <c r="AF53" t="e">
        <v>#DIV/0!</v>
      </c>
      <c r="AG53" t="e">
        <v>#DIV/0!</v>
      </c>
      <c r="AH53" t="e">
        <v>#DIV/0!</v>
      </c>
      <c r="AI53" t="e">
        <v>#DIV/0!</v>
      </c>
      <c r="AJ53" t="e">
        <v>#DIV/0!</v>
      </c>
      <c r="AK53" t="e">
        <v>#DIV/0!</v>
      </c>
    </row>
    <row r="54" spans="1:37" x14ac:dyDescent="0.2">
      <c r="A54">
        <f>lc_detailed!AQ54</f>
        <v>0</v>
      </c>
      <c r="B54" s="21" t="e">
        <f>lc_detailed!AY54/$S$2</f>
        <v>#DIV/0!</v>
      </c>
      <c r="C54" s="21" t="e">
        <f>lc_detailed!AZ54/$S$2</f>
        <v>#DIV/0!</v>
      </c>
      <c r="D54" s="21" t="e">
        <f>lc_detailed!BA54/$S$2</f>
        <v>#DIV/0!</v>
      </c>
      <c r="E54" s="21" t="e">
        <f>lc_detailed!BB54/$S$2</f>
        <v>#DIV/0!</v>
      </c>
      <c r="F54" s="21" t="e">
        <f>lc_detailed!BC54/$S$2</f>
        <v>#DIV/0!</v>
      </c>
      <c r="G54" s="21" t="e">
        <f>lc_detailed!BD54/$S$2</f>
        <v>#DIV/0!</v>
      </c>
      <c r="H54" s="21" t="e">
        <f>lc_detailed!BE54/$S$2</f>
        <v>#DIV/0!</v>
      </c>
      <c r="I54" s="21" t="e">
        <f>lc_detailed!BF54/$S$2</f>
        <v>#DIV/0!</v>
      </c>
      <c r="J54" s="21" t="e">
        <f>lc_detailed!BG54/$S$2</f>
        <v>#DIV/0!</v>
      </c>
      <c r="K54" s="21" t="e">
        <f>lc_detailed!BI54/$S$2</f>
        <v>#DIV/0!</v>
      </c>
      <c r="L54" s="21" t="e">
        <f>lc_detailed!BJ54/$S$2</f>
        <v>#DIV/0!</v>
      </c>
      <c r="M54" s="21" t="e">
        <f>lc_detailed!BH54</f>
        <v>#DIV/0!</v>
      </c>
      <c r="N54" s="21" t="e">
        <f>lc_detailed!AS54</f>
        <v>#DIV/0!</v>
      </c>
      <c r="O54" s="21" t="e">
        <f t="shared" si="2"/>
        <v>#DIV/0!</v>
      </c>
      <c r="P54" s="21" t="e">
        <f t="shared" si="3"/>
        <v>#DIV/0!</v>
      </c>
      <c r="V54">
        <v>0</v>
      </c>
      <c r="W54" t="e">
        <v>#DIV/0!</v>
      </c>
      <c r="X54" t="e">
        <v>#DIV/0!</v>
      </c>
      <c r="Y54" t="e">
        <v>#DIV/0!</v>
      </c>
      <c r="Z54" t="e">
        <v>#DIV/0!</v>
      </c>
      <c r="AA54" t="e">
        <v>#DIV/0!</v>
      </c>
      <c r="AB54" t="e">
        <v>#DIV/0!</v>
      </c>
      <c r="AC54" t="e">
        <v>#DIV/0!</v>
      </c>
      <c r="AD54" t="e">
        <v>#DIV/0!</v>
      </c>
      <c r="AE54" t="e">
        <v>#DIV/0!</v>
      </c>
      <c r="AF54" t="e">
        <v>#DIV/0!</v>
      </c>
      <c r="AG54" t="e">
        <v>#DIV/0!</v>
      </c>
      <c r="AH54" t="e">
        <v>#DIV/0!</v>
      </c>
      <c r="AI54" t="e">
        <v>#DIV/0!</v>
      </c>
      <c r="AJ54" t="e">
        <v>#DIV/0!</v>
      </c>
      <c r="AK54" t="e">
        <v>#DIV/0!</v>
      </c>
    </row>
    <row r="55" spans="1:37" x14ac:dyDescent="0.2">
      <c r="A55">
        <f>lc_detailed!AQ55</f>
        <v>0</v>
      </c>
      <c r="B55" s="21" t="e">
        <f>lc_detailed!AY55/$S$2</f>
        <v>#DIV/0!</v>
      </c>
      <c r="C55" s="21" t="e">
        <f>lc_detailed!AZ55/$S$2</f>
        <v>#DIV/0!</v>
      </c>
      <c r="D55" s="21" t="e">
        <f>lc_detailed!BA55/$S$2</f>
        <v>#DIV/0!</v>
      </c>
      <c r="E55" s="21" t="e">
        <f>lc_detailed!BB55/$S$2</f>
        <v>#DIV/0!</v>
      </c>
      <c r="F55" s="21" t="e">
        <f>lc_detailed!BC55/$S$2</f>
        <v>#DIV/0!</v>
      </c>
      <c r="G55" s="21" t="e">
        <f>lc_detailed!BD55/$S$2</f>
        <v>#DIV/0!</v>
      </c>
      <c r="H55" s="21" t="e">
        <f>lc_detailed!BE55/$S$2</f>
        <v>#DIV/0!</v>
      </c>
      <c r="I55" s="21" t="e">
        <f>lc_detailed!BF55/$S$2</f>
        <v>#DIV/0!</v>
      </c>
      <c r="J55" s="21" t="e">
        <f>lc_detailed!BG55/$S$2</f>
        <v>#DIV/0!</v>
      </c>
      <c r="K55" s="21" t="e">
        <f>lc_detailed!BI55/$S$2</f>
        <v>#DIV/0!</v>
      </c>
      <c r="L55" s="21" t="e">
        <f>lc_detailed!BJ55/$S$2</f>
        <v>#DIV/0!</v>
      </c>
      <c r="M55" s="21" t="e">
        <f>lc_detailed!BH55</f>
        <v>#DIV/0!</v>
      </c>
      <c r="N55" s="21" t="e">
        <f>lc_detailed!AS55</f>
        <v>#DIV/0!</v>
      </c>
      <c r="O55" s="21" t="e">
        <f t="shared" si="2"/>
        <v>#DIV/0!</v>
      </c>
      <c r="P55" s="21" t="e">
        <f t="shared" si="3"/>
        <v>#DIV/0!</v>
      </c>
      <c r="V55">
        <v>0</v>
      </c>
      <c r="W55" t="e">
        <v>#DIV/0!</v>
      </c>
      <c r="X55" t="e">
        <v>#DIV/0!</v>
      </c>
      <c r="Y55" t="e">
        <v>#DIV/0!</v>
      </c>
      <c r="Z55" t="e">
        <v>#DIV/0!</v>
      </c>
      <c r="AA55" t="e">
        <v>#DIV/0!</v>
      </c>
      <c r="AB55" t="e">
        <v>#DIV/0!</v>
      </c>
      <c r="AC55" t="e">
        <v>#DIV/0!</v>
      </c>
      <c r="AD55" t="e">
        <v>#DIV/0!</v>
      </c>
      <c r="AE55" t="e">
        <v>#DIV/0!</v>
      </c>
      <c r="AF55" t="e">
        <v>#DIV/0!</v>
      </c>
      <c r="AG55" t="e">
        <v>#DIV/0!</v>
      </c>
      <c r="AH55" t="e">
        <v>#DIV/0!</v>
      </c>
      <c r="AI55" t="e">
        <v>#DIV/0!</v>
      </c>
      <c r="AJ55" t="e">
        <v>#DIV/0!</v>
      </c>
      <c r="AK55" t="e">
        <v>#DIV/0!</v>
      </c>
    </row>
    <row r="56" spans="1:37" x14ac:dyDescent="0.2">
      <c r="A56">
        <f>lc_detailed!AQ56</f>
        <v>0</v>
      </c>
      <c r="B56" s="21" t="e">
        <f>lc_detailed!AY56/$S$2</f>
        <v>#DIV/0!</v>
      </c>
      <c r="C56" s="21" t="e">
        <f>lc_detailed!AZ56/$S$2</f>
        <v>#DIV/0!</v>
      </c>
      <c r="D56" s="21" t="e">
        <f>lc_detailed!BA56/$S$2</f>
        <v>#DIV/0!</v>
      </c>
      <c r="E56" s="21" t="e">
        <f>lc_detailed!BB56/$S$2</f>
        <v>#DIV/0!</v>
      </c>
      <c r="F56" s="21" t="e">
        <f>lc_detailed!BC56/$S$2</f>
        <v>#DIV/0!</v>
      </c>
      <c r="G56" s="21" t="e">
        <f>lc_detailed!BD56/$S$2</f>
        <v>#DIV/0!</v>
      </c>
      <c r="H56" s="21" t="e">
        <f>lc_detailed!BE56/$S$2</f>
        <v>#DIV/0!</v>
      </c>
      <c r="I56" s="21" t="e">
        <f>lc_detailed!BF56/$S$2</f>
        <v>#DIV/0!</v>
      </c>
      <c r="J56" s="21" t="e">
        <f>lc_detailed!BG56/$S$2</f>
        <v>#DIV/0!</v>
      </c>
      <c r="K56" s="21" t="e">
        <f>lc_detailed!BI56/$S$2</f>
        <v>#DIV/0!</v>
      </c>
      <c r="L56" s="21" t="e">
        <f>lc_detailed!BJ56/$S$2</f>
        <v>#DIV/0!</v>
      </c>
      <c r="M56" s="21" t="e">
        <f>lc_detailed!BH56</f>
        <v>#DIV/0!</v>
      </c>
      <c r="N56" s="21" t="e">
        <f>lc_detailed!AS56</f>
        <v>#DIV/0!</v>
      </c>
      <c r="O56" s="21" t="e">
        <f t="shared" si="2"/>
        <v>#DIV/0!</v>
      </c>
      <c r="P56" s="21" t="e">
        <f t="shared" si="3"/>
        <v>#DIV/0!</v>
      </c>
      <c r="V56">
        <v>0</v>
      </c>
      <c r="W56" t="e">
        <v>#DIV/0!</v>
      </c>
      <c r="X56" t="e">
        <v>#DIV/0!</v>
      </c>
      <c r="Y56" t="e">
        <v>#DIV/0!</v>
      </c>
      <c r="Z56" t="e">
        <v>#DIV/0!</v>
      </c>
      <c r="AA56" t="e">
        <v>#DIV/0!</v>
      </c>
      <c r="AB56" t="e">
        <v>#DIV/0!</v>
      </c>
      <c r="AC56" t="e">
        <v>#DIV/0!</v>
      </c>
      <c r="AD56" t="e">
        <v>#DIV/0!</v>
      </c>
      <c r="AE56" t="e">
        <v>#DIV/0!</v>
      </c>
      <c r="AF56" t="e">
        <v>#DIV/0!</v>
      </c>
      <c r="AG56" t="e">
        <v>#DIV/0!</v>
      </c>
      <c r="AH56" t="e">
        <v>#DIV/0!</v>
      </c>
      <c r="AI56" t="e">
        <v>#DIV/0!</v>
      </c>
      <c r="AJ56" t="e">
        <v>#DIV/0!</v>
      </c>
      <c r="AK56" t="e">
        <v>#DIV/0!</v>
      </c>
    </row>
    <row r="57" spans="1:37" x14ac:dyDescent="0.2">
      <c r="A57">
        <f>lc_detailed!AQ57</f>
        <v>0</v>
      </c>
      <c r="B57" s="21" t="e">
        <f>lc_detailed!AY57/$S$2</f>
        <v>#DIV/0!</v>
      </c>
      <c r="C57" s="21" t="e">
        <f>lc_detailed!AZ57/$S$2</f>
        <v>#DIV/0!</v>
      </c>
      <c r="D57" s="21" t="e">
        <f>lc_detailed!BA57/$S$2</f>
        <v>#DIV/0!</v>
      </c>
      <c r="E57" s="21" t="e">
        <f>lc_detailed!BB57/$S$2</f>
        <v>#DIV/0!</v>
      </c>
      <c r="F57" s="21" t="e">
        <f>lc_detailed!BC57/$S$2</f>
        <v>#DIV/0!</v>
      </c>
      <c r="G57" s="21" t="e">
        <f>lc_detailed!BD57/$S$2</f>
        <v>#DIV/0!</v>
      </c>
      <c r="H57" s="21" t="e">
        <f>lc_detailed!BE57/$S$2</f>
        <v>#DIV/0!</v>
      </c>
      <c r="I57" s="21" t="e">
        <f>lc_detailed!BF57/$S$2</f>
        <v>#DIV/0!</v>
      </c>
      <c r="J57" s="21" t="e">
        <f>lc_detailed!BG57/$S$2</f>
        <v>#DIV/0!</v>
      </c>
      <c r="K57" s="21" t="e">
        <f>lc_detailed!BI57/$S$2</f>
        <v>#DIV/0!</v>
      </c>
      <c r="L57" s="21" t="e">
        <f>lc_detailed!BJ57/$S$2</f>
        <v>#DIV/0!</v>
      </c>
      <c r="M57" s="21" t="e">
        <f>lc_detailed!BH57</f>
        <v>#DIV/0!</v>
      </c>
      <c r="N57" s="21" t="e">
        <f>lc_detailed!AS57</f>
        <v>#DIV/0!</v>
      </c>
      <c r="O57" s="21" t="e">
        <f t="shared" si="2"/>
        <v>#DIV/0!</v>
      </c>
      <c r="P57" s="21" t="e">
        <f t="shared" si="3"/>
        <v>#DIV/0!</v>
      </c>
      <c r="V57">
        <v>0</v>
      </c>
      <c r="W57" t="e">
        <v>#DIV/0!</v>
      </c>
      <c r="X57" t="e">
        <v>#DIV/0!</v>
      </c>
      <c r="Y57" t="e">
        <v>#DIV/0!</v>
      </c>
      <c r="Z57" t="e">
        <v>#DIV/0!</v>
      </c>
      <c r="AA57" t="e">
        <v>#DIV/0!</v>
      </c>
      <c r="AB57" t="e">
        <v>#DIV/0!</v>
      </c>
      <c r="AC57" t="e">
        <v>#DIV/0!</v>
      </c>
      <c r="AD57" t="e">
        <v>#DIV/0!</v>
      </c>
      <c r="AE57" t="e">
        <v>#DIV/0!</v>
      </c>
      <c r="AF57" t="e">
        <v>#DIV/0!</v>
      </c>
      <c r="AG57" t="e">
        <v>#DIV/0!</v>
      </c>
      <c r="AH57" t="e">
        <v>#DIV/0!</v>
      </c>
      <c r="AI57" t="e">
        <v>#DIV/0!</v>
      </c>
      <c r="AJ57" t="e">
        <v>#DIV/0!</v>
      </c>
      <c r="AK57" t="e">
        <v>#DIV/0!</v>
      </c>
    </row>
    <row r="58" spans="1:37" x14ac:dyDescent="0.2">
      <c r="A58">
        <f>lc_detailed!AQ58</f>
        <v>0</v>
      </c>
      <c r="B58" s="21" t="e">
        <f>lc_detailed!AY58/$S$2</f>
        <v>#DIV/0!</v>
      </c>
      <c r="C58" s="21" t="e">
        <f>lc_detailed!AZ58/$S$2</f>
        <v>#DIV/0!</v>
      </c>
      <c r="D58" s="21" t="e">
        <f>lc_detailed!BA58/$S$2</f>
        <v>#DIV/0!</v>
      </c>
      <c r="E58" s="21" t="e">
        <f>lc_detailed!BB58/$S$2</f>
        <v>#DIV/0!</v>
      </c>
      <c r="F58" s="21" t="e">
        <f>lc_detailed!BC58/$S$2</f>
        <v>#DIV/0!</v>
      </c>
      <c r="G58" s="21" t="e">
        <f>lc_detailed!BD58/$S$2</f>
        <v>#DIV/0!</v>
      </c>
      <c r="H58" s="21" t="e">
        <f>lc_detailed!BE58/$S$2</f>
        <v>#DIV/0!</v>
      </c>
      <c r="I58" s="21" t="e">
        <f>lc_detailed!BF58/$S$2</f>
        <v>#DIV/0!</v>
      </c>
      <c r="J58" s="21" t="e">
        <f>lc_detailed!BG58/$S$2</f>
        <v>#DIV/0!</v>
      </c>
      <c r="K58" s="21" t="e">
        <f>lc_detailed!BI58/$S$2</f>
        <v>#DIV/0!</v>
      </c>
      <c r="L58" s="21" t="e">
        <f>lc_detailed!BJ58/$S$2</f>
        <v>#DIV/0!</v>
      </c>
      <c r="M58" s="21" t="e">
        <f>lc_detailed!BH58</f>
        <v>#DIV/0!</v>
      </c>
      <c r="N58" s="21" t="e">
        <f>lc_detailed!AS58</f>
        <v>#DIV/0!</v>
      </c>
      <c r="O58" s="21" t="e">
        <f t="shared" si="2"/>
        <v>#DIV/0!</v>
      </c>
      <c r="P58" s="21" t="e">
        <f t="shared" si="3"/>
        <v>#DIV/0!</v>
      </c>
      <c r="V58">
        <v>0</v>
      </c>
      <c r="W58" t="e">
        <v>#DIV/0!</v>
      </c>
      <c r="X58" t="e">
        <v>#DIV/0!</v>
      </c>
      <c r="Y58" t="e">
        <v>#DIV/0!</v>
      </c>
      <c r="Z58" t="e">
        <v>#DIV/0!</v>
      </c>
      <c r="AA58" t="e">
        <v>#DIV/0!</v>
      </c>
      <c r="AB58" t="e">
        <v>#DIV/0!</v>
      </c>
      <c r="AC58" t="e">
        <v>#DIV/0!</v>
      </c>
      <c r="AD58" t="e">
        <v>#DIV/0!</v>
      </c>
      <c r="AE58" t="e">
        <v>#DIV/0!</v>
      </c>
      <c r="AF58" t="e">
        <v>#DIV/0!</v>
      </c>
      <c r="AG58" t="e">
        <v>#DIV/0!</v>
      </c>
      <c r="AH58" t="e">
        <v>#DIV/0!</v>
      </c>
      <c r="AI58" t="e">
        <v>#DIV/0!</v>
      </c>
      <c r="AJ58" t="e">
        <v>#DIV/0!</v>
      </c>
      <c r="AK58" t="e">
        <v>#DIV/0!</v>
      </c>
    </row>
    <row r="59" spans="1:37" x14ac:dyDescent="0.2">
      <c r="A59">
        <f>lc_detailed!AQ59</f>
        <v>0</v>
      </c>
      <c r="B59" s="21" t="e">
        <f>lc_detailed!AY59/$S$2</f>
        <v>#DIV/0!</v>
      </c>
      <c r="C59" s="21" t="e">
        <f>lc_detailed!AZ59/$S$2</f>
        <v>#DIV/0!</v>
      </c>
      <c r="D59" s="21" t="e">
        <f>lc_detailed!BA59/$S$2</f>
        <v>#DIV/0!</v>
      </c>
      <c r="E59" s="21" t="e">
        <f>lc_detailed!BB59/$S$2</f>
        <v>#DIV/0!</v>
      </c>
      <c r="F59" s="21" t="e">
        <f>lc_detailed!BC59/$S$2</f>
        <v>#DIV/0!</v>
      </c>
      <c r="G59" s="21" t="e">
        <f>lc_detailed!BD59/$S$2</f>
        <v>#DIV/0!</v>
      </c>
      <c r="H59" s="21" t="e">
        <f>lc_detailed!BE59/$S$2</f>
        <v>#DIV/0!</v>
      </c>
      <c r="I59" s="21" t="e">
        <f>lc_detailed!BF59/$S$2</f>
        <v>#DIV/0!</v>
      </c>
      <c r="J59" s="21" t="e">
        <f>lc_detailed!BG59/$S$2</f>
        <v>#DIV/0!</v>
      </c>
      <c r="K59" s="21" t="e">
        <f>lc_detailed!BI59/$S$2</f>
        <v>#DIV/0!</v>
      </c>
      <c r="L59" s="21" t="e">
        <f>lc_detailed!BJ59/$S$2</f>
        <v>#DIV/0!</v>
      </c>
      <c r="M59" s="21" t="e">
        <f>lc_detailed!BH59</f>
        <v>#DIV/0!</v>
      </c>
      <c r="N59" s="21" t="e">
        <f>lc_detailed!AS59</f>
        <v>#DIV/0!</v>
      </c>
      <c r="O59" s="21" t="e">
        <f t="shared" si="2"/>
        <v>#DIV/0!</v>
      </c>
      <c r="P59" s="21" t="e">
        <f t="shared" si="3"/>
        <v>#DIV/0!</v>
      </c>
      <c r="V59">
        <v>0</v>
      </c>
      <c r="W59" t="e">
        <v>#DIV/0!</v>
      </c>
      <c r="X59" t="e">
        <v>#DIV/0!</v>
      </c>
      <c r="Y59" t="e">
        <v>#DIV/0!</v>
      </c>
      <c r="Z59" t="e">
        <v>#DIV/0!</v>
      </c>
      <c r="AA59" t="e">
        <v>#DIV/0!</v>
      </c>
      <c r="AB59" t="e">
        <v>#DIV/0!</v>
      </c>
      <c r="AC59" t="e">
        <v>#DIV/0!</v>
      </c>
      <c r="AD59" t="e">
        <v>#DIV/0!</v>
      </c>
      <c r="AE59" t="e">
        <v>#DIV/0!</v>
      </c>
      <c r="AF59" t="e">
        <v>#DIV/0!</v>
      </c>
      <c r="AG59" t="e">
        <v>#DIV/0!</v>
      </c>
      <c r="AH59" t="e">
        <v>#DIV/0!</v>
      </c>
      <c r="AI59" t="e">
        <v>#DIV/0!</v>
      </c>
      <c r="AJ59" t="e">
        <v>#DIV/0!</v>
      </c>
      <c r="AK59" t="e">
        <v>#DIV/0!</v>
      </c>
    </row>
    <row r="60" spans="1:37" x14ac:dyDescent="0.2">
      <c r="A60">
        <f>lc_detailed!AQ60</f>
        <v>0</v>
      </c>
      <c r="B60" s="21" t="e">
        <f>lc_detailed!AY60/$S$2</f>
        <v>#DIV/0!</v>
      </c>
      <c r="C60" s="21" t="e">
        <f>lc_detailed!AZ60/$S$2</f>
        <v>#DIV/0!</v>
      </c>
      <c r="D60" s="21" t="e">
        <f>lc_detailed!BA60/$S$2</f>
        <v>#DIV/0!</v>
      </c>
      <c r="E60" s="21" t="e">
        <f>lc_detailed!BB60/$S$2</f>
        <v>#DIV/0!</v>
      </c>
      <c r="F60" s="21" t="e">
        <f>lc_detailed!BC60/$S$2</f>
        <v>#DIV/0!</v>
      </c>
      <c r="G60" s="21" t="e">
        <f>lc_detailed!BD60/$S$2</f>
        <v>#DIV/0!</v>
      </c>
      <c r="H60" s="21" t="e">
        <f>lc_detailed!BE60/$S$2</f>
        <v>#DIV/0!</v>
      </c>
      <c r="I60" s="21" t="e">
        <f>lc_detailed!BF60/$S$2</f>
        <v>#DIV/0!</v>
      </c>
      <c r="J60" s="21" t="e">
        <f>lc_detailed!BG60/$S$2</f>
        <v>#DIV/0!</v>
      </c>
      <c r="K60" s="21" t="e">
        <f>lc_detailed!BI60/$S$2</f>
        <v>#DIV/0!</v>
      </c>
      <c r="L60" s="21" t="e">
        <f>lc_detailed!BJ60/$S$2</f>
        <v>#DIV/0!</v>
      </c>
      <c r="M60" s="21" t="e">
        <f>lc_detailed!BH60</f>
        <v>#DIV/0!</v>
      </c>
      <c r="N60" s="21" t="e">
        <f>lc_detailed!AS60</f>
        <v>#DIV/0!</v>
      </c>
      <c r="O60" s="21" t="e">
        <f t="shared" si="2"/>
        <v>#DIV/0!</v>
      </c>
      <c r="P60" s="21" t="e">
        <f t="shared" si="3"/>
        <v>#DIV/0!</v>
      </c>
      <c r="V60">
        <v>0</v>
      </c>
      <c r="W60" t="e">
        <v>#DIV/0!</v>
      </c>
      <c r="X60" t="e">
        <v>#DIV/0!</v>
      </c>
      <c r="Y60" t="e">
        <v>#DIV/0!</v>
      </c>
      <c r="Z60" t="e">
        <v>#DIV/0!</v>
      </c>
      <c r="AA60" t="e">
        <v>#DIV/0!</v>
      </c>
      <c r="AB60" t="e">
        <v>#DIV/0!</v>
      </c>
      <c r="AC60" t="e">
        <v>#DIV/0!</v>
      </c>
      <c r="AD60" t="e">
        <v>#DIV/0!</v>
      </c>
      <c r="AE60" t="e">
        <v>#DIV/0!</v>
      </c>
      <c r="AF60" t="e">
        <v>#DIV/0!</v>
      </c>
      <c r="AG60" t="e">
        <v>#DIV/0!</v>
      </c>
      <c r="AH60" t="e">
        <v>#DIV/0!</v>
      </c>
      <c r="AI60" t="e">
        <v>#DIV/0!</v>
      </c>
      <c r="AJ60" t="e">
        <v>#DIV/0!</v>
      </c>
      <c r="AK60" t="e">
        <v>#DIV/0!</v>
      </c>
    </row>
    <row r="61" spans="1:37" x14ac:dyDescent="0.2">
      <c r="A61">
        <f>lc_detailed!AQ61</f>
        <v>0</v>
      </c>
      <c r="B61" s="21" t="e">
        <f>lc_detailed!AY61/$S$2</f>
        <v>#DIV/0!</v>
      </c>
      <c r="C61" s="21" t="e">
        <f>lc_detailed!AZ61/$S$2</f>
        <v>#DIV/0!</v>
      </c>
      <c r="D61" s="21" t="e">
        <f>lc_detailed!BA61/$S$2</f>
        <v>#DIV/0!</v>
      </c>
      <c r="E61" s="21" t="e">
        <f>lc_detailed!BB61/$S$2</f>
        <v>#DIV/0!</v>
      </c>
      <c r="F61" s="21" t="e">
        <f>lc_detailed!BC61/$S$2</f>
        <v>#DIV/0!</v>
      </c>
      <c r="G61" s="21" t="e">
        <f>lc_detailed!BD61/$S$2</f>
        <v>#DIV/0!</v>
      </c>
      <c r="H61" s="21" t="e">
        <f>lc_detailed!BE61/$S$2</f>
        <v>#DIV/0!</v>
      </c>
      <c r="I61" s="21" t="e">
        <f>lc_detailed!BF61/$S$2</f>
        <v>#DIV/0!</v>
      </c>
      <c r="J61" s="21" t="e">
        <f>lc_detailed!BG61/$S$2</f>
        <v>#DIV/0!</v>
      </c>
      <c r="K61" s="21" t="e">
        <f>lc_detailed!BI61/$S$2</f>
        <v>#DIV/0!</v>
      </c>
      <c r="L61" s="21" t="e">
        <f>lc_detailed!BJ61/$S$2</f>
        <v>#DIV/0!</v>
      </c>
      <c r="M61" s="21" t="e">
        <f>lc_detailed!BH61</f>
        <v>#DIV/0!</v>
      </c>
      <c r="N61" s="21" t="e">
        <f>lc_detailed!AS61</f>
        <v>#DIV/0!</v>
      </c>
      <c r="O61" s="21" t="e">
        <f t="shared" si="2"/>
        <v>#DIV/0!</v>
      </c>
      <c r="P61" s="21" t="e">
        <f t="shared" si="3"/>
        <v>#DIV/0!</v>
      </c>
      <c r="V61">
        <v>0</v>
      </c>
      <c r="W61" t="e">
        <v>#DIV/0!</v>
      </c>
      <c r="X61" t="e">
        <v>#DIV/0!</v>
      </c>
      <c r="Y61" t="e">
        <v>#DIV/0!</v>
      </c>
      <c r="Z61" t="e">
        <v>#DIV/0!</v>
      </c>
      <c r="AA61" t="e">
        <v>#DIV/0!</v>
      </c>
      <c r="AB61" t="e">
        <v>#DIV/0!</v>
      </c>
      <c r="AC61" t="e">
        <v>#DIV/0!</v>
      </c>
      <c r="AD61" t="e">
        <v>#DIV/0!</v>
      </c>
      <c r="AE61" t="e">
        <v>#DIV/0!</v>
      </c>
      <c r="AF61" t="e">
        <v>#DIV/0!</v>
      </c>
      <c r="AG61" t="e">
        <v>#DIV/0!</v>
      </c>
      <c r="AH61" t="e">
        <v>#DIV/0!</v>
      </c>
      <c r="AI61" t="e">
        <v>#DIV/0!</v>
      </c>
      <c r="AJ61" t="e">
        <v>#DIV/0!</v>
      </c>
      <c r="AK61" t="e">
        <v>#DIV/0!</v>
      </c>
    </row>
    <row r="62" spans="1:37" x14ac:dyDescent="0.2">
      <c r="A62">
        <f>lc_detailed!AQ62</f>
        <v>0</v>
      </c>
      <c r="B62" s="21" t="e">
        <f>lc_detailed!AY62/$S$2</f>
        <v>#DIV/0!</v>
      </c>
      <c r="C62" s="21" t="e">
        <f>lc_detailed!AZ62/$S$2</f>
        <v>#DIV/0!</v>
      </c>
      <c r="D62" s="21" t="e">
        <f>lc_detailed!BA62/$S$2</f>
        <v>#DIV/0!</v>
      </c>
      <c r="E62" s="21" t="e">
        <f>lc_detailed!BB62/$S$2</f>
        <v>#DIV/0!</v>
      </c>
      <c r="F62" s="21" t="e">
        <f>lc_detailed!BC62/$S$2</f>
        <v>#DIV/0!</v>
      </c>
      <c r="G62" s="21" t="e">
        <f>lc_detailed!BD62/$S$2</f>
        <v>#DIV/0!</v>
      </c>
      <c r="H62" s="21" t="e">
        <f>lc_detailed!BE62/$S$2</f>
        <v>#DIV/0!</v>
      </c>
      <c r="I62" s="21" t="e">
        <f>lc_detailed!BF62/$S$2</f>
        <v>#DIV/0!</v>
      </c>
      <c r="J62" s="21" t="e">
        <f>lc_detailed!BG62/$S$2</f>
        <v>#DIV/0!</v>
      </c>
      <c r="K62" s="21" t="e">
        <f>lc_detailed!BI62/$S$2</f>
        <v>#DIV/0!</v>
      </c>
      <c r="L62" s="21" t="e">
        <f>lc_detailed!BJ62/$S$2</f>
        <v>#DIV/0!</v>
      </c>
      <c r="M62" s="21" t="e">
        <f>lc_detailed!BH62</f>
        <v>#DIV/0!</v>
      </c>
      <c r="N62" s="21" t="e">
        <f>lc_detailed!AS62</f>
        <v>#DIV/0!</v>
      </c>
      <c r="O62" s="21" t="e">
        <f t="shared" si="2"/>
        <v>#DIV/0!</v>
      </c>
      <c r="P62" s="21" t="e">
        <f t="shared" si="3"/>
        <v>#DIV/0!</v>
      </c>
      <c r="V62">
        <v>0</v>
      </c>
      <c r="W62" t="e">
        <v>#DIV/0!</v>
      </c>
      <c r="X62" t="e">
        <v>#DIV/0!</v>
      </c>
      <c r="Y62" t="e">
        <v>#DIV/0!</v>
      </c>
      <c r="Z62" t="e">
        <v>#DIV/0!</v>
      </c>
      <c r="AA62" t="e">
        <v>#DIV/0!</v>
      </c>
      <c r="AB62" t="e">
        <v>#DIV/0!</v>
      </c>
      <c r="AC62" t="e">
        <v>#DIV/0!</v>
      </c>
      <c r="AD62" t="e">
        <v>#DIV/0!</v>
      </c>
      <c r="AE62" t="e">
        <v>#DIV/0!</v>
      </c>
      <c r="AF62" t="e">
        <v>#DIV/0!</v>
      </c>
      <c r="AG62" t="e">
        <v>#DIV/0!</v>
      </c>
      <c r="AH62" t="e">
        <v>#DIV/0!</v>
      </c>
      <c r="AI62" t="e">
        <v>#DIV/0!</v>
      </c>
      <c r="AJ62" t="e">
        <v>#DIV/0!</v>
      </c>
      <c r="AK62" t="e">
        <v>#DIV/0!</v>
      </c>
    </row>
    <row r="63" spans="1:37" x14ac:dyDescent="0.2">
      <c r="A63">
        <f>lc_detailed!AQ63</f>
        <v>0</v>
      </c>
      <c r="B63" s="21" t="e">
        <f>lc_detailed!AY63/$S$2</f>
        <v>#DIV/0!</v>
      </c>
      <c r="C63" s="21" t="e">
        <f>lc_detailed!AZ63/$S$2</f>
        <v>#DIV/0!</v>
      </c>
      <c r="D63" s="21" t="e">
        <f>lc_detailed!BA63/$S$2</f>
        <v>#DIV/0!</v>
      </c>
      <c r="E63" s="21" t="e">
        <f>lc_detailed!BB63/$S$2</f>
        <v>#DIV/0!</v>
      </c>
      <c r="F63" s="21" t="e">
        <f>lc_detailed!BC63/$S$2</f>
        <v>#DIV/0!</v>
      </c>
      <c r="G63" s="21" t="e">
        <f>lc_detailed!BD63/$S$2</f>
        <v>#DIV/0!</v>
      </c>
      <c r="H63" s="21" t="e">
        <f>lc_detailed!BE63/$S$2</f>
        <v>#DIV/0!</v>
      </c>
      <c r="I63" s="21" t="e">
        <f>lc_detailed!BF63/$S$2</f>
        <v>#DIV/0!</v>
      </c>
      <c r="J63" s="21" t="e">
        <f>lc_detailed!BG63/$S$2</f>
        <v>#DIV/0!</v>
      </c>
      <c r="K63" s="21" t="e">
        <f>lc_detailed!BI63/$S$2</f>
        <v>#DIV/0!</v>
      </c>
      <c r="L63" s="21" t="e">
        <f>lc_detailed!BJ63/$S$2</f>
        <v>#DIV/0!</v>
      </c>
      <c r="M63" s="21" t="e">
        <f>lc_detailed!BH63</f>
        <v>#DIV/0!</v>
      </c>
      <c r="N63" s="21" t="e">
        <f>lc_detailed!AS63</f>
        <v>#DIV/0!</v>
      </c>
      <c r="O63" s="21" t="e">
        <f t="shared" si="2"/>
        <v>#DIV/0!</v>
      </c>
      <c r="P63" s="21" t="e">
        <f t="shared" si="3"/>
        <v>#DIV/0!</v>
      </c>
      <c r="V63">
        <v>0</v>
      </c>
      <c r="W63" t="e">
        <v>#DIV/0!</v>
      </c>
      <c r="X63" t="e">
        <v>#DIV/0!</v>
      </c>
      <c r="Y63" t="e">
        <v>#DIV/0!</v>
      </c>
      <c r="Z63" t="e">
        <v>#DIV/0!</v>
      </c>
      <c r="AA63" t="e">
        <v>#DIV/0!</v>
      </c>
      <c r="AB63" t="e">
        <v>#DIV/0!</v>
      </c>
      <c r="AC63" t="e">
        <v>#DIV/0!</v>
      </c>
      <c r="AD63" t="e">
        <v>#DIV/0!</v>
      </c>
      <c r="AE63" t="e">
        <v>#DIV/0!</v>
      </c>
      <c r="AF63" t="e">
        <v>#DIV/0!</v>
      </c>
      <c r="AG63" t="e">
        <v>#DIV/0!</v>
      </c>
      <c r="AH63" t="e">
        <v>#DIV/0!</v>
      </c>
      <c r="AI63" t="e">
        <v>#DIV/0!</v>
      </c>
      <c r="AJ63" t="e">
        <v>#DIV/0!</v>
      </c>
      <c r="AK63" t="e">
        <v>#DIV/0!</v>
      </c>
    </row>
    <row r="64" spans="1:37" x14ac:dyDescent="0.2">
      <c r="A64">
        <f>lc_detailed!AQ64</f>
        <v>0</v>
      </c>
      <c r="B64" s="21" t="e">
        <f>lc_detailed!AY64/$S$2</f>
        <v>#DIV/0!</v>
      </c>
      <c r="C64" s="21" t="e">
        <f>lc_detailed!AZ64/$S$2</f>
        <v>#DIV/0!</v>
      </c>
      <c r="D64" s="21" t="e">
        <f>lc_detailed!BA64/$S$2</f>
        <v>#DIV/0!</v>
      </c>
      <c r="E64" s="21" t="e">
        <f>lc_detailed!BB64/$S$2</f>
        <v>#DIV/0!</v>
      </c>
      <c r="F64" s="21" t="e">
        <f>lc_detailed!BC64/$S$2</f>
        <v>#DIV/0!</v>
      </c>
      <c r="G64" s="21" t="e">
        <f>lc_detailed!BD64/$S$2</f>
        <v>#DIV/0!</v>
      </c>
      <c r="H64" s="21" t="e">
        <f>lc_detailed!BE64/$S$2</f>
        <v>#DIV/0!</v>
      </c>
      <c r="I64" s="21" t="e">
        <f>lc_detailed!BF64/$S$2</f>
        <v>#DIV/0!</v>
      </c>
      <c r="J64" s="21" t="e">
        <f>lc_detailed!BG64/$S$2</f>
        <v>#DIV/0!</v>
      </c>
      <c r="K64" s="21" t="e">
        <f>lc_detailed!BI64/$S$2</f>
        <v>#DIV/0!</v>
      </c>
      <c r="L64" s="21" t="e">
        <f>lc_detailed!BJ64/$S$2</f>
        <v>#DIV/0!</v>
      </c>
      <c r="M64" s="21" t="e">
        <f>lc_detailed!BH64</f>
        <v>#DIV/0!</v>
      </c>
      <c r="N64" s="21" t="e">
        <f>lc_detailed!AS64</f>
        <v>#DIV/0!</v>
      </c>
      <c r="O64" s="21" t="e">
        <f t="shared" si="2"/>
        <v>#DIV/0!</v>
      </c>
      <c r="P64" s="21" t="e">
        <f t="shared" si="3"/>
        <v>#DIV/0!</v>
      </c>
      <c r="V64">
        <v>0</v>
      </c>
      <c r="W64" t="e">
        <v>#DIV/0!</v>
      </c>
      <c r="X64" t="e">
        <v>#DIV/0!</v>
      </c>
      <c r="Y64" t="e">
        <v>#DIV/0!</v>
      </c>
      <c r="Z64" t="e">
        <v>#DIV/0!</v>
      </c>
      <c r="AA64" t="e">
        <v>#DIV/0!</v>
      </c>
      <c r="AB64" t="e">
        <v>#DIV/0!</v>
      </c>
      <c r="AC64" t="e">
        <v>#DIV/0!</v>
      </c>
      <c r="AD64" t="e">
        <v>#DIV/0!</v>
      </c>
      <c r="AE64" t="e">
        <v>#DIV/0!</v>
      </c>
      <c r="AF64" t="e">
        <v>#DIV/0!</v>
      </c>
      <c r="AG64" t="e">
        <v>#DIV/0!</v>
      </c>
      <c r="AH64" t="e">
        <v>#DIV/0!</v>
      </c>
      <c r="AI64" t="e">
        <v>#DIV/0!</v>
      </c>
      <c r="AJ64" t="e">
        <v>#DIV/0!</v>
      </c>
      <c r="AK64" t="e">
        <v>#DIV/0!</v>
      </c>
    </row>
    <row r="65" spans="1:37" x14ac:dyDescent="0.2">
      <c r="A65">
        <f>lc_detailed!AQ65</f>
        <v>0</v>
      </c>
      <c r="B65" s="21" t="e">
        <f>lc_detailed!AY65/$S$2</f>
        <v>#DIV/0!</v>
      </c>
      <c r="C65" s="21" t="e">
        <f>lc_detailed!AZ65/$S$2</f>
        <v>#DIV/0!</v>
      </c>
      <c r="D65" s="21" t="e">
        <f>lc_detailed!BA65/$S$2</f>
        <v>#DIV/0!</v>
      </c>
      <c r="E65" s="21" t="e">
        <f>lc_detailed!BB65/$S$2</f>
        <v>#DIV/0!</v>
      </c>
      <c r="F65" s="21" t="e">
        <f>lc_detailed!BC65/$S$2</f>
        <v>#DIV/0!</v>
      </c>
      <c r="G65" s="21" t="e">
        <f>lc_detailed!BD65/$S$2</f>
        <v>#DIV/0!</v>
      </c>
      <c r="H65" s="21" t="e">
        <f>lc_detailed!BE65/$S$2</f>
        <v>#DIV/0!</v>
      </c>
      <c r="I65" s="21" t="e">
        <f>lc_detailed!BF65/$S$2</f>
        <v>#DIV/0!</v>
      </c>
      <c r="J65" s="21" t="e">
        <f>lc_detailed!BG65/$S$2</f>
        <v>#DIV/0!</v>
      </c>
      <c r="K65" s="21" t="e">
        <f>lc_detailed!BI65/$S$2</f>
        <v>#DIV/0!</v>
      </c>
      <c r="L65" s="21" t="e">
        <f>lc_detailed!BJ65/$S$2</f>
        <v>#DIV/0!</v>
      </c>
      <c r="M65" s="21" t="e">
        <f>lc_detailed!BH65</f>
        <v>#DIV/0!</v>
      </c>
      <c r="N65" s="21" t="e">
        <f>lc_detailed!AS65</f>
        <v>#DIV/0!</v>
      </c>
      <c r="O65" s="21" t="e">
        <f t="shared" si="2"/>
        <v>#DIV/0!</v>
      </c>
      <c r="P65" s="21" t="e">
        <f t="shared" si="3"/>
        <v>#DIV/0!</v>
      </c>
      <c r="V65">
        <v>0</v>
      </c>
      <c r="W65" t="e">
        <v>#DIV/0!</v>
      </c>
      <c r="X65" t="e">
        <v>#DIV/0!</v>
      </c>
      <c r="Y65" t="e">
        <v>#DIV/0!</v>
      </c>
      <c r="Z65" t="e">
        <v>#DIV/0!</v>
      </c>
      <c r="AA65" t="e">
        <v>#DIV/0!</v>
      </c>
      <c r="AB65" t="e">
        <v>#DIV/0!</v>
      </c>
      <c r="AC65" t="e">
        <v>#DIV/0!</v>
      </c>
      <c r="AD65" t="e">
        <v>#DIV/0!</v>
      </c>
      <c r="AE65" t="e">
        <v>#DIV/0!</v>
      </c>
      <c r="AF65" t="e">
        <v>#DIV/0!</v>
      </c>
      <c r="AG65" t="e">
        <v>#DIV/0!</v>
      </c>
      <c r="AH65" t="e">
        <v>#DIV/0!</v>
      </c>
      <c r="AI65" t="e">
        <v>#DIV/0!</v>
      </c>
      <c r="AJ65" t="e">
        <v>#DIV/0!</v>
      </c>
      <c r="AK65" t="e"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5"/>
  <sheetViews>
    <sheetView topLeftCell="D1" zoomScale="75" workbookViewId="0">
      <selection activeCell="G13" sqref="G13"/>
    </sheetView>
  </sheetViews>
  <sheetFormatPr baseColWidth="10" defaultRowHeight="16" x14ac:dyDescent="0.2"/>
  <cols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5.1640625" bestFit="1" customWidth="1"/>
    <col min="16" max="16" width="15.1640625" bestFit="1" customWidth="1"/>
    <col min="17" max="17" width="3.6640625" customWidth="1"/>
    <col min="18" max="18" width="11.83203125" bestFit="1" customWidth="1"/>
    <col min="19" max="19" width="5.5" bestFit="1" customWidth="1"/>
    <col min="20" max="20" width="12.33203125" bestFit="1" customWidth="1"/>
  </cols>
  <sheetData>
    <row r="1" spans="1:20" x14ac:dyDescent="0.2">
      <c r="A1" s="18" t="s">
        <v>141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9"/>
      <c r="M1" s="19"/>
      <c r="N1" s="19"/>
      <c r="O1" s="19"/>
      <c r="P1" s="19"/>
      <c r="R1" s="19" t="s">
        <v>135</v>
      </c>
    </row>
    <row r="2" spans="1:20" ht="32" customHeight="1" x14ac:dyDescent="0.2">
      <c r="A2" s="4" t="s">
        <v>55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3" t="s">
        <v>69</v>
      </c>
      <c r="L2" s="3" t="s">
        <v>70</v>
      </c>
      <c r="M2" s="3" t="s">
        <v>68</v>
      </c>
      <c r="N2" s="20" t="s">
        <v>57</v>
      </c>
      <c r="O2" s="20" t="s">
        <v>137</v>
      </c>
      <c r="P2" s="20" t="s">
        <v>138</v>
      </c>
      <c r="R2" t="s">
        <v>139</v>
      </c>
      <c r="S2">
        <v>45.6</v>
      </c>
      <c r="T2" t="s">
        <v>140</v>
      </c>
    </row>
    <row r="3" spans="1:20" x14ac:dyDescent="0.2">
      <c r="A3" t="str">
        <f>lc_detailed!AQ3</f>
        <v>SW_TSC</v>
      </c>
      <c r="B3" s="21">
        <f>lc_detailed!AY3/$S$2</f>
        <v>0</v>
      </c>
      <c r="C3" s="21">
        <f>lc_detailed!AZ3/$S$2</f>
        <v>0</v>
      </c>
      <c r="D3" s="21">
        <f>lc_detailed!BA3/$S$2</f>
        <v>0</v>
      </c>
      <c r="E3" s="21">
        <f>lc_detailed!BB3/$S$2</f>
        <v>9.079842636033753</v>
      </c>
      <c r="F3" s="21">
        <f>lc_detailed!BC3/$S$2</f>
        <v>9.6763086821621491E-2</v>
      </c>
      <c r="G3" s="21">
        <f>lc_detailed!BD3/$S$2</f>
        <v>0</v>
      </c>
      <c r="H3" s="21">
        <f>lc_detailed!BE3/$S$2</f>
        <v>5.1922874272807658</v>
      </c>
      <c r="I3" s="21">
        <f>lc_detailed!BF3/$S$2</f>
        <v>2.8418047707297904</v>
      </c>
      <c r="J3" s="21">
        <f>lc_detailed!BG3/$S$2</f>
        <v>0.69221423897216883</v>
      </c>
      <c r="K3" s="21">
        <f>lc_detailed!BO3/$S$2</f>
        <v>0</v>
      </c>
      <c r="L3" s="21">
        <f>lc_detailed!BP3/$S$2</f>
        <v>6.8779721935802494</v>
      </c>
      <c r="M3" s="21">
        <f>lc_detailed!BN3</f>
        <v>4.2544827350411287</v>
      </c>
      <c r="N3" s="21">
        <f>lc_detailed!AV3</f>
        <v>1130.0083265158769</v>
      </c>
      <c r="O3" s="21">
        <f t="shared" ref="O3:O34" si="0">N3/$S$2</f>
        <v>24.780884353418351</v>
      </c>
      <c r="P3" s="21">
        <f t="shared" ref="P3:P34" si="1">SUM(B3:L3)</f>
        <v>24.780884353418347</v>
      </c>
    </row>
    <row r="4" spans="1:20" x14ac:dyDescent="0.2">
      <c r="A4" t="str">
        <f>lc_detailed!AQ4</f>
        <v>TX_TSC</v>
      </c>
      <c r="B4" s="21">
        <f>lc_detailed!AY4/$S$2</f>
        <v>0</v>
      </c>
      <c r="C4" s="21">
        <f>lc_detailed!AZ4/$S$2</f>
        <v>0</v>
      </c>
      <c r="D4" s="21">
        <f>lc_detailed!BA4/$S$2</f>
        <v>0</v>
      </c>
      <c r="E4" s="21">
        <f>lc_detailed!BB4/$S$2</f>
        <v>9.079842636033753</v>
      </c>
      <c r="F4" s="21">
        <f>lc_detailed!BC4/$S$2</f>
        <v>8.0643390269926299E-2</v>
      </c>
      <c r="G4" s="21">
        <f>lc_detailed!BD4/$S$2</f>
        <v>0</v>
      </c>
      <c r="H4" s="21">
        <f>lc_detailed!BE4/$S$2</f>
        <v>5.1922874272807658</v>
      </c>
      <c r="I4" s="21">
        <f>lc_detailed!BF4/$S$2</f>
        <v>2.8418047707297904</v>
      </c>
      <c r="J4" s="21">
        <f>lc_detailed!BG4/$S$2</f>
        <v>0.69221423897216883</v>
      </c>
      <c r="K4" s="21">
        <f>lc_detailed!BO4/$S$2</f>
        <v>0</v>
      </c>
      <c r="L4" s="21">
        <f>lc_detailed!BP4/$S$2</f>
        <v>6.8779721935802494</v>
      </c>
      <c r="M4" s="21">
        <f>lc_detailed!BN4</f>
        <v>4.2544827350411287</v>
      </c>
      <c r="N4" s="21">
        <f>lc_detailed!AV4</f>
        <v>1129.2732683531194</v>
      </c>
      <c r="O4" s="21">
        <f t="shared" si="0"/>
        <v>24.764764656866653</v>
      </c>
      <c r="P4" s="21">
        <f t="shared" si="1"/>
        <v>24.764764656866653</v>
      </c>
    </row>
    <row r="5" spans="1:20" x14ac:dyDescent="0.2">
      <c r="A5" t="str">
        <f>lc_detailed!AQ5</f>
        <v>NCEN_TSC</v>
      </c>
      <c r="B5" s="21">
        <f>lc_detailed!AY5/$S$2</f>
        <v>0</v>
      </c>
      <c r="C5" s="21">
        <f>lc_detailed!AZ5/$S$2</f>
        <v>0</v>
      </c>
      <c r="D5" s="21">
        <f>lc_detailed!BA5/$S$2</f>
        <v>0</v>
      </c>
      <c r="E5" s="21">
        <f>lc_detailed!BB5/$S$2</f>
        <v>9.079842636033753</v>
      </c>
      <c r="F5" s="21">
        <f>lc_detailed!BC5/$S$2</f>
        <v>0.14019654436587856</v>
      </c>
      <c r="G5" s="21">
        <f>lc_detailed!BD5/$S$2</f>
        <v>0</v>
      </c>
      <c r="H5" s="21">
        <f>lc_detailed!BE5/$S$2</f>
        <v>5.1922874272807658</v>
      </c>
      <c r="I5" s="21">
        <f>lc_detailed!BF5/$S$2</f>
        <v>2.8418047707297904</v>
      </c>
      <c r="J5" s="21">
        <f>lc_detailed!BG5/$S$2</f>
        <v>0.69221423897216883</v>
      </c>
      <c r="K5" s="21">
        <f>lc_detailed!BO5/$S$2</f>
        <v>0</v>
      </c>
      <c r="L5" s="21">
        <f>lc_detailed!BP5/$S$2</f>
        <v>6.8779721935802494</v>
      </c>
      <c r="M5" s="21">
        <f>lc_detailed!BN5</f>
        <v>4.2544827350411287</v>
      </c>
      <c r="N5" s="21">
        <f>lc_detailed!AV5</f>
        <v>1131.9888921798947</v>
      </c>
      <c r="O5" s="21">
        <f t="shared" si="0"/>
        <v>24.824317810962604</v>
      </c>
      <c r="P5" s="21">
        <f t="shared" si="1"/>
        <v>24.824317810962604</v>
      </c>
    </row>
    <row r="6" spans="1:20" x14ac:dyDescent="0.2">
      <c r="A6" t="str">
        <f>lc_detailed!AQ6</f>
        <v>CEN_TSC</v>
      </c>
      <c r="B6" s="21">
        <f>lc_detailed!AY6/$S$2</f>
        <v>0</v>
      </c>
      <c r="C6" s="21">
        <f>lc_detailed!AZ6/$S$2</f>
        <v>0</v>
      </c>
      <c r="D6" s="21">
        <f>lc_detailed!BA6/$S$2</f>
        <v>0</v>
      </c>
      <c r="E6" s="21">
        <f>lc_detailed!BB6/$S$2</f>
        <v>9.079842636033753</v>
      </c>
      <c r="F6" s="21">
        <f>lc_detailed!BC6/$S$2</f>
        <v>0.14106723444853161</v>
      </c>
      <c r="G6" s="21">
        <f>lc_detailed!BD6/$S$2</f>
        <v>0</v>
      </c>
      <c r="H6" s="21">
        <f>lc_detailed!BE6/$S$2</f>
        <v>5.1922874272807658</v>
      </c>
      <c r="I6" s="21">
        <f>lc_detailed!BF6/$S$2</f>
        <v>2.8418047707297904</v>
      </c>
      <c r="J6" s="21">
        <f>lc_detailed!BG6/$S$2</f>
        <v>0.69221423897216883</v>
      </c>
      <c r="K6" s="21">
        <f>lc_detailed!BO6/$S$2</f>
        <v>0</v>
      </c>
      <c r="L6" s="21">
        <f>lc_detailed!BP6/$S$2</f>
        <v>6.8779721935802494</v>
      </c>
      <c r="M6" s="21">
        <f>lc_detailed!BN6</f>
        <v>4.2544827350411287</v>
      </c>
      <c r="N6" s="21">
        <f>lc_detailed!AV6</f>
        <v>1132.0285956476641</v>
      </c>
      <c r="O6" s="21">
        <f t="shared" si="0"/>
        <v>24.825188501045265</v>
      </c>
      <c r="P6" s="21">
        <f t="shared" si="1"/>
        <v>24.825188501045258</v>
      </c>
    </row>
    <row r="7" spans="1:20" x14ac:dyDescent="0.2">
      <c r="A7" t="str">
        <f>lc_detailed!AQ7</f>
        <v>SE_TSC</v>
      </c>
      <c r="B7" s="21">
        <f>lc_detailed!AY7/$S$2</f>
        <v>0</v>
      </c>
      <c r="C7" s="21">
        <f>lc_detailed!AZ7/$S$2</f>
        <v>0</v>
      </c>
      <c r="D7" s="21">
        <f>lc_detailed!BA7/$S$2</f>
        <v>0</v>
      </c>
      <c r="E7" s="21">
        <f>lc_detailed!BB7/$S$2</f>
        <v>9.079842636033753</v>
      </c>
      <c r="F7" s="21">
        <f>lc_detailed!BC7/$S$2</f>
        <v>7.4660659715240635E-2</v>
      </c>
      <c r="G7" s="21">
        <f>lc_detailed!BD7/$S$2</f>
        <v>0</v>
      </c>
      <c r="H7" s="21">
        <f>lc_detailed!BE7/$S$2</f>
        <v>5.1922874272807658</v>
      </c>
      <c r="I7" s="21">
        <f>lc_detailed!BF7/$S$2</f>
        <v>2.8418047707297904</v>
      </c>
      <c r="J7" s="21">
        <f>lc_detailed!BG7/$S$2</f>
        <v>0.69221423897216883</v>
      </c>
      <c r="K7" s="21">
        <f>lc_detailed!BO7/$S$2</f>
        <v>0</v>
      </c>
      <c r="L7" s="21">
        <f>lc_detailed!BP7/$S$2</f>
        <v>6.8779721935802494</v>
      </c>
      <c r="M7" s="21">
        <f>lc_detailed!BN7</f>
        <v>4.2544827350411287</v>
      </c>
      <c r="N7" s="21">
        <f>lc_detailed!AV7</f>
        <v>1129.0004558398259</v>
      </c>
      <c r="O7" s="21">
        <f t="shared" si="0"/>
        <v>24.758781926311972</v>
      </c>
      <c r="P7" s="21">
        <f t="shared" si="1"/>
        <v>24.758781926311968</v>
      </c>
    </row>
    <row r="8" spans="1:20" x14ac:dyDescent="0.2">
      <c r="A8" t="str">
        <f>lc_detailed!AQ8</f>
        <v>MIDAT_TSC</v>
      </c>
      <c r="B8" s="21">
        <f>lc_detailed!AY8/$S$2</f>
        <v>0</v>
      </c>
      <c r="C8" s="21">
        <f>lc_detailed!AZ8/$S$2</f>
        <v>0</v>
      </c>
      <c r="D8" s="21">
        <f>lc_detailed!BA8/$S$2</f>
        <v>0</v>
      </c>
      <c r="E8" s="21">
        <f>lc_detailed!BB8/$S$2</f>
        <v>9.079842636033753</v>
      </c>
      <c r="F8" s="21">
        <f>lc_detailed!BC8/$S$2</f>
        <v>5.0698349114799458E-2</v>
      </c>
      <c r="G8" s="21">
        <f>lc_detailed!BD8/$S$2</f>
        <v>0</v>
      </c>
      <c r="H8" s="21">
        <f>lc_detailed!BE8/$S$2</f>
        <v>5.1922874272807658</v>
      </c>
      <c r="I8" s="21">
        <f>lc_detailed!BF8/$S$2</f>
        <v>2.8418047707297904</v>
      </c>
      <c r="J8" s="21">
        <f>lc_detailed!BG8/$S$2</f>
        <v>0.69221423897216883</v>
      </c>
      <c r="K8" s="21">
        <f>lc_detailed!BO8/$S$2</f>
        <v>0</v>
      </c>
      <c r="L8" s="21">
        <f>lc_detailed!BP8/$S$2</f>
        <v>6.8779721935802494</v>
      </c>
      <c r="M8" s="21">
        <f>lc_detailed!BN8</f>
        <v>4.2544827350411287</v>
      </c>
      <c r="N8" s="21">
        <f>lc_detailed!AV8</f>
        <v>1127.9077744764459</v>
      </c>
      <c r="O8" s="21">
        <f t="shared" si="0"/>
        <v>24.73481961571153</v>
      </c>
      <c r="P8" s="21">
        <f t="shared" si="1"/>
        <v>24.734819615711526</v>
      </c>
    </row>
    <row r="9" spans="1:20" x14ac:dyDescent="0.2">
      <c r="A9" t="str">
        <f>lc_detailed!AQ9</f>
        <v>NE_TSC</v>
      </c>
      <c r="B9" s="21">
        <f>lc_detailed!AY9/$S$2</f>
        <v>0</v>
      </c>
      <c r="C9" s="21">
        <f>lc_detailed!AZ9/$S$2</f>
        <v>0</v>
      </c>
      <c r="D9" s="21">
        <f>lc_detailed!BA9/$S$2</f>
        <v>0</v>
      </c>
      <c r="E9" s="21">
        <f>lc_detailed!BB9/$S$2</f>
        <v>9.079842636033753</v>
      </c>
      <c r="F9" s="21">
        <f>lc_detailed!BC9/$S$2</f>
        <v>8.4006615992815642E-2</v>
      </c>
      <c r="G9" s="21">
        <f>lc_detailed!BD9/$S$2</f>
        <v>0</v>
      </c>
      <c r="H9" s="21">
        <f>lc_detailed!BE9/$S$2</f>
        <v>5.1922874272807658</v>
      </c>
      <c r="I9" s="21">
        <f>lc_detailed!BF9/$S$2</f>
        <v>2.8418047707297904</v>
      </c>
      <c r="J9" s="21">
        <f>lc_detailed!BG9/$S$2</f>
        <v>0.69221423897216883</v>
      </c>
      <c r="K9" s="21">
        <f>lc_detailed!BO9/$S$2</f>
        <v>0</v>
      </c>
      <c r="L9" s="21">
        <f>lc_detailed!BP9/$S$2</f>
        <v>6.8779721935802494</v>
      </c>
      <c r="M9" s="21">
        <f>lc_detailed!BN9</f>
        <v>4.2544827350411287</v>
      </c>
      <c r="N9" s="21">
        <f>lc_detailed!AV9</f>
        <v>1129.4266314460833</v>
      </c>
      <c r="O9" s="21">
        <f t="shared" si="0"/>
        <v>24.768127882589546</v>
      </c>
      <c r="P9" s="21">
        <f t="shared" si="1"/>
        <v>24.768127882589543</v>
      </c>
    </row>
    <row r="10" spans="1:20" x14ac:dyDescent="0.2">
      <c r="A10" t="str">
        <f>lc_detailed!AQ10</f>
        <v>SW_TSC+CC90</v>
      </c>
      <c r="B10" s="21">
        <f>lc_detailed!AY10/$S$2</f>
        <v>0</v>
      </c>
      <c r="C10" s="21">
        <f>lc_detailed!AZ10/$S$2</f>
        <v>0</v>
      </c>
      <c r="D10" s="21">
        <f>lc_detailed!BA10/$S$2</f>
        <v>6.9910917184883972E-2</v>
      </c>
      <c r="E10" s="21">
        <f>lc_detailed!BB10/$S$2</f>
        <v>9.079842636033753</v>
      </c>
      <c r="F10" s="21">
        <f>lc_detailed!BC10/$S$2</f>
        <v>9.6763086821621491E-2</v>
      </c>
      <c r="G10" s="21">
        <f>lc_detailed!BD10/$S$2</f>
        <v>0</v>
      </c>
      <c r="H10" s="21">
        <f>lc_detailed!BE10/$S$2</f>
        <v>5.5982890881479141</v>
      </c>
      <c r="I10" s="21">
        <f>lc_detailed!BF10/$S$2</f>
        <v>3.0641325531920858</v>
      </c>
      <c r="J10" s="21">
        <f>lc_detailed!BG10/$S$2</f>
        <v>0.74634069943059123</v>
      </c>
      <c r="K10" s="21">
        <f>lc_detailed!BO10/$S$2</f>
        <v>-1.522565024570697</v>
      </c>
      <c r="L10" s="21">
        <f>lc_detailed!BP10/$S$2</f>
        <v>6.8779721935802511</v>
      </c>
      <c r="M10" s="21">
        <f>lc_detailed!BN10</f>
        <v>4.2544827350411296</v>
      </c>
      <c r="N10" s="21">
        <f>lc_detailed!AV10</f>
        <v>1094.8872884318105</v>
      </c>
      <c r="O10" s="21">
        <f t="shared" si="0"/>
        <v>24.010686149820405</v>
      </c>
      <c r="P10" s="21">
        <f t="shared" si="1"/>
        <v>24.010686149820405</v>
      </c>
    </row>
    <row r="11" spans="1:20" x14ac:dyDescent="0.2">
      <c r="A11" t="str">
        <f>lc_detailed!AQ11</f>
        <v>SW_TSC:H2</v>
      </c>
      <c r="B11" s="21">
        <f>lc_detailed!AY11/$S$2</f>
        <v>0</v>
      </c>
      <c r="C11" s="21">
        <f>lc_detailed!AZ11/$S$2</f>
        <v>-0.59704919785701938</v>
      </c>
      <c r="D11" s="21">
        <f>lc_detailed!BA11/$S$2</f>
        <v>0</v>
      </c>
      <c r="E11" s="21">
        <f>lc_detailed!BB11/$S$2</f>
        <v>9.079842636033753</v>
      </c>
      <c r="F11" s="21">
        <f>lc_detailed!BC11/$S$2</f>
        <v>0.56191825384060057</v>
      </c>
      <c r="G11" s="21">
        <f>lc_detailed!BD11/$S$2</f>
        <v>0</v>
      </c>
      <c r="H11" s="21">
        <f>lc_detailed!BE11/$S$2</f>
        <v>5.1922874272807658</v>
      </c>
      <c r="I11" s="21">
        <f>lc_detailed!BF11/$S$2</f>
        <v>2.8418047707297904</v>
      </c>
      <c r="J11" s="21">
        <f>lc_detailed!BG11/$S$2</f>
        <v>0.69221423897216883</v>
      </c>
      <c r="K11" s="21">
        <f>lc_detailed!BO11/$S$2</f>
        <v>0</v>
      </c>
      <c r="L11" s="21">
        <f>lc_detailed!BP11/$S$2</f>
        <v>7.4794843534732518</v>
      </c>
      <c r="M11" s="21">
        <f>lc_detailed!BN11</f>
        <v>4.6265579669780523</v>
      </c>
      <c r="N11" s="21">
        <f>lc_detailed!AV11</f>
        <v>1151.4229132007831</v>
      </c>
      <c r="O11" s="21">
        <f t="shared" si="0"/>
        <v>25.250502482473312</v>
      </c>
      <c r="P11" s="21">
        <f t="shared" si="1"/>
        <v>25.250502482473308</v>
      </c>
    </row>
    <row r="12" spans="1:20" x14ac:dyDescent="0.2">
      <c r="A12" t="str">
        <f>lc_detailed!AQ12</f>
        <v>SW_TSC+CC90:H2</v>
      </c>
      <c r="B12" s="21">
        <f>lc_detailed!AY12/$S$2</f>
        <v>0</v>
      </c>
      <c r="C12" s="21">
        <f>lc_detailed!AZ12/$S$2</f>
        <v>-0.59704919785701938</v>
      </c>
      <c r="D12" s="21">
        <f>lc_detailed!BA12/$S$2</f>
        <v>8.150725559556328E-2</v>
      </c>
      <c r="E12" s="21">
        <f>lc_detailed!BB12/$S$2</f>
        <v>9.079842636033753</v>
      </c>
      <c r="F12" s="21">
        <f>lc_detailed!BC12/$S$2</f>
        <v>0.56191825384060057</v>
      </c>
      <c r="G12" s="21">
        <f>lc_detailed!BD12/$S$2</f>
        <v>0</v>
      </c>
      <c r="H12" s="21">
        <f>lc_detailed!BE12/$S$2</f>
        <v>5.5996407631099441</v>
      </c>
      <c r="I12" s="21">
        <f>lc_detailed!BF12/$S$2</f>
        <v>3.0648553418449445</v>
      </c>
      <c r="J12" s="21">
        <f>lc_detailed!BG12/$S$2</f>
        <v>0.74652089667940558</v>
      </c>
      <c r="K12" s="21">
        <f>lc_detailed!BO12/$S$2</f>
        <v>-2.032332749651987</v>
      </c>
      <c r="L12" s="21">
        <f>lc_detailed!BP12/$S$2</f>
        <v>7.4794843534732509</v>
      </c>
      <c r="M12" s="21">
        <f>lc_detailed!BN12</f>
        <v>4.6265579669780514</v>
      </c>
      <c r="N12" s="21">
        <f>lc_detailed!AV12</f>
        <v>1093.6880724199218</v>
      </c>
      <c r="O12" s="21">
        <f t="shared" si="0"/>
        <v>23.984387553068458</v>
      </c>
      <c r="P12" s="21">
        <f t="shared" si="1"/>
        <v>23.984387553068455</v>
      </c>
    </row>
    <row r="13" spans="1:20" x14ac:dyDescent="0.2">
      <c r="A13" t="str">
        <f>lc_detailed!AQ13</f>
        <v>SW_TSC+H2in</v>
      </c>
      <c r="B13" s="21">
        <f>lc_detailed!AY13/$S$2</f>
        <v>8.3164839900787921E-2</v>
      </c>
      <c r="C13" s="21">
        <f>lc_detailed!AZ13/$S$2</f>
        <v>0</v>
      </c>
      <c r="D13" s="21">
        <f>lc_detailed!BA13/$S$2</f>
        <v>0</v>
      </c>
      <c r="E13" s="21">
        <f>lc_detailed!BB13/$S$2</f>
        <v>9.079842636033753</v>
      </c>
      <c r="F13" s="21">
        <f>lc_detailed!BC13/$S$2</f>
        <v>0</v>
      </c>
      <c r="G13" s="21">
        <f>lc_detailed!BD13/$S$2</f>
        <v>0</v>
      </c>
      <c r="H13" s="21">
        <f>lc_detailed!BE13/$S$2</f>
        <v>5.1922874272807658</v>
      </c>
      <c r="I13" s="21">
        <f>lc_detailed!BF13/$S$2</f>
        <v>2.8418047707297904</v>
      </c>
      <c r="J13" s="21">
        <f>lc_detailed!BG13/$S$2</f>
        <v>0.69221423897216883</v>
      </c>
      <c r="K13" s="21">
        <f>lc_detailed!BO13/$S$2</f>
        <v>0</v>
      </c>
      <c r="L13" s="21">
        <f>lc_detailed!BP13/$S$2</f>
        <v>6.7528436827544986</v>
      </c>
      <c r="M13" s="21">
        <f>lc_detailed!BN13</f>
        <v>4.1770824382695819</v>
      </c>
      <c r="N13" s="21">
        <f>lc_detailed!AV13</f>
        <v>1123.6823863626325</v>
      </c>
      <c r="O13" s="21">
        <f t="shared" si="0"/>
        <v>24.642157595671765</v>
      </c>
      <c r="P13" s="21">
        <f t="shared" si="1"/>
        <v>24.642157595671765</v>
      </c>
    </row>
    <row r="14" spans="1:20" x14ac:dyDescent="0.2">
      <c r="A14" t="str">
        <f>lc_detailed!AQ14</f>
        <v>SW_TSC+H2in:CH4</v>
      </c>
      <c r="B14" s="21">
        <f>lc_detailed!AY14/$S$2</f>
        <v>0.51388435821768041</v>
      </c>
      <c r="C14" s="21">
        <f>lc_detailed!AZ14/$S$2</f>
        <v>0</v>
      </c>
      <c r="D14" s="21">
        <f>lc_detailed!BA14/$S$2</f>
        <v>0</v>
      </c>
      <c r="E14" s="21">
        <f>lc_detailed!BB14/$S$2</f>
        <v>9.079842636033753</v>
      </c>
      <c r="F14" s="21">
        <f>lc_detailed!BC14/$S$2</f>
        <v>0</v>
      </c>
      <c r="G14" s="21">
        <f>lc_detailed!BD14/$S$2</f>
        <v>-0.50356727823257053</v>
      </c>
      <c r="H14" s="21">
        <f>lc_detailed!BE14/$S$2</f>
        <v>5.1922874272807658</v>
      </c>
      <c r="I14" s="21">
        <f>lc_detailed!BF14/$S$2</f>
        <v>2.8418047707297904</v>
      </c>
      <c r="J14" s="21">
        <f>lc_detailed!BG14/$S$2</f>
        <v>0.69221423897216883</v>
      </c>
      <c r="K14" s="21">
        <f>lc_detailed!BO14/$S$2</f>
        <v>0</v>
      </c>
      <c r="L14" s="21">
        <f>lc_detailed!BP14/$S$2</f>
        <v>6.7528436827544986</v>
      </c>
      <c r="M14" s="21">
        <f>lc_detailed!BN14</f>
        <v>4.1770824382695819</v>
      </c>
      <c r="N14" s="21">
        <f>lc_detailed!AV14</f>
        <v>1120.3605285104777</v>
      </c>
      <c r="O14" s="21">
        <f t="shared" si="0"/>
        <v>24.569309835756091</v>
      </c>
      <c r="P14" s="21">
        <f t="shared" si="1"/>
        <v>24.569309835756087</v>
      </c>
    </row>
    <row r="15" spans="1:20" x14ac:dyDescent="0.2">
      <c r="A15" t="str">
        <f>lc_detailed!AQ15</f>
        <v>TX_TSC+CC90</v>
      </c>
      <c r="B15" s="21">
        <f>lc_detailed!AY15/$S$2</f>
        <v>0</v>
      </c>
      <c r="C15" s="21">
        <f>lc_detailed!AZ15/$S$2</f>
        <v>0</v>
      </c>
      <c r="D15" s="21">
        <f>lc_detailed!BA15/$S$2</f>
        <v>7.1029221734467823E-2</v>
      </c>
      <c r="E15" s="21">
        <f>lc_detailed!BB15/$S$2</f>
        <v>9.079842636033753</v>
      </c>
      <c r="F15" s="21">
        <f>lc_detailed!BC15/$S$2</f>
        <v>8.0643390269926299E-2</v>
      </c>
      <c r="G15" s="21">
        <f>lc_detailed!BD15/$S$2</f>
        <v>0</v>
      </c>
      <c r="H15" s="21">
        <f>lc_detailed!BE15/$S$2</f>
        <v>5.5982890881479141</v>
      </c>
      <c r="I15" s="21">
        <f>lc_detailed!BF15/$S$2</f>
        <v>3.0641325531920858</v>
      </c>
      <c r="J15" s="21">
        <f>lc_detailed!BG15/$S$2</f>
        <v>0.74634069943059123</v>
      </c>
      <c r="K15" s="21">
        <f>lc_detailed!BO15/$S$2</f>
        <v>-1.5072567261612586</v>
      </c>
      <c r="L15" s="21">
        <f>lc_detailed!BP15/$S$2</f>
        <v>6.8779721935802511</v>
      </c>
      <c r="M15" s="21">
        <f>lc_detailed!BN15</f>
        <v>4.2544827350411296</v>
      </c>
      <c r="N15" s="21">
        <f>lc_detailed!AV15</f>
        <v>1094.9012833639847</v>
      </c>
      <c r="O15" s="21">
        <f t="shared" si="0"/>
        <v>24.010993056227733</v>
      </c>
      <c r="P15" s="21">
        <f t="shared" si="1"/>
        <v>24.010993056227729</v>
      </c>
    </row>
    <row r="16" spans="1:20" x14ac:dyDescent="0.2">
      <c r="A16" t="str">
        <f>lc_detailed!AQ16</f>
        <v>TX_TSC:H2</v>
      </c>
      <c r="B16" s="21">
        <f>lc_detailed!AY16/$S$2</f>
        <v>0</v>
      </c>
      <c r="C16" s="21">
        <f>lc_detailed!AZ16/$S$2</f>
        <v>-0.49830589848242174</v>
      </c>
      <c r="D16" s="21">
        <f>lc_detailed!BA16/$S$2</f>
        <v>0</v>
      </c>
      <c r="E16" s="21">
        <f>lc_detailed!BB16/$S$2</f>
        <v>9.079842636033753</v>
      </c>
      <c r="F16" s="21">
        <f>lc_detailed!BC16/$S$2</f>
        <v>0.46830867568124679</v>
      </c>
      <c r="G16" s="21">
        <f>lc_detailed!BD16/$S$2</f>
        <v>0</v>
      </c>
      <c r="H16" s="21">
        <f>lc_detailed!BE16/$S$2</f>
        <v>5.1922874272807658</v>
      </c>
      <c r="I16" s="21">
        <f>lc_detailed!BF16/$S$2</f>
        <v>2.8418047707297904</v>
      </c>
      <c r="J16" s="21">
        <f>lc_detailed!BG16/$S$2</f>
        <v>0.69221423897216883</v>
      </c>
      <c r="K16" s="21">
        <f>lc_detailed!BO16/$S$2</f>
        <v>0</v>
      </c>
      <c r="L16" s="21">
        <f>lc_detailed!BP16/$S$2</f>
        <v>7.4794843534732518</v>
      </c>
      <c r="M16" s="21">
        <f>lc_detailed!BN16</f>
        <v>4.6265579669780523</v>
      </c>
      <c r="N16" s="21">
        <f>lc_detailed!AV16</f>
        <v>1151.6570108881981</v>
      </c>
      <c r="O16" s="21">
        <f t="shared" si="0"/>
        <v>25.255636203688553</v>
      </c>
      <c r="P16" s="21">
        <f t="shared" si="1"/>
        <v>25.255636203688553</v>
      </c>
    </row>
    <row r="17" spans="1:16" x14ac:dyDescent="0.2">
      <c r="A17" t="str">
        <f>lc_detailed!AQ17</f>
        <v>TX_TSC+CC90:H2</v>
      </c>
      <c r="B17" s="21">
        <f>lc_detailed!AY17/$S$2</f>
        <v>0</v>
      </c>
      <c r="C17" s="21">
        <f>lc_detailed!AZ17/$S$2</f>
        <v>-0.49830589848242174</v>
      </c>
      <c r="D17" s="21">
        <f>lc_detailed!BA17/$S$2</f>
        <v>8.2811056753193071E-2</v>
      </c>
      <c r="E17" s="21">
        <f>lc_detailed!BB17/$S$2</f>
        <v>9.079842636033753</v>
      </c>
      <c r="F17" s="21">
        <f>lc_detailed!BC17/$S$2</f>
        <v>0.46830867568124679</v>
      </c>
      <c r="G17" s="21">
        <f>lc_detailed!BD17/$S$2</f>
        <v>0</v>
      </c>
      <c r="H17" s="21">
        <f>lc_detailed!BE17/$S$2</f>
        <v>5.5996407631099441</v>
      </c>
      <c r="I17" s="21">
        <f>lc_detailed!BF17/$S$2</f>
        <v>3.0648553418449445</v>
      </c>
      <c r="J17" s="21">
        <f>lc_detailed!BG17/$S$2</f>
        <v>0.74652089667940558</v>
      </c>
      <c r="K17" s="21">
        <f>lc_detailed!BO17/$S$2</f>
        <v>-2.0118991026833006</v>
      </c>
      <c r="L17" s="21">
        <f>lc_detailed!BP17/$S$2</f>
        <v>7.4794843534732509</v>
      </c>
      <c r="M17" s="21">
        <f>lc_detailed!BN17</f>
        <v>4.6265579669780514</v>
      </c>
      <c r="N17" s="21">
        <f>lc_detailed!AV17</f>
        <v>1094.9133977418969</v>
      </c>
      <c r="O17" s="21">
        <f t="shared" si="0"/>
        <v>24.01125872241002</v>
      </c>
      <c r="P17" s="21">
        <f t="shared" si="1"/>
        <v>24.011258722410012</v>
      </c>
    </row>
    <row r="18" spans="1:16" x14ac:dyDescent="0.2">
      <c r="A18" t="str">
        <f>lc_detailed!AQ18</f>
        <v>TX_TSC+H2in</v>
      </c>
      <c r="B18" s="21">
        <f>lc_detailed!AY18/$S$2</f>
        <v>6.9410578588254362E-2</v>
      </c>
      <c r="C18" s="21">
        <f>lc_detailed!AZ18/$S$2</f>
        <v>0</v>
      </c>
      <c r="D18" s="21">
        <f>lc_detailed!BA18/$S$2</f>
        <v>0</v>
      </c>
      <c r="E18" s="21">
        <f>lc_detailed!BB18/$S$2</f>
        <v>9.079842636033753</v>
      </c>
      <c r="F18" s="21">
        <f>lc_detailed!BC18/$S$2</f>
        <v>0</v>
      </c>
      <c r="G18" s="21">
        <f>lc_detailed!BD18/$S$2</f>
        <v>0</v>
      </c>
      <c r="H18" s="21">
        <f>lc_detailed!BE18/$S$2</f>
        <v>5.1922874272807658</v>
      </c>
      <c r="I18" s="21">
        <f>lc_detailed!BF18/$S$2</f>
        <v>2.8418047707297904</v>
      </c>
      <c r="J18" s="21">
        <f>lc_detailed!BG18/$S$2</f>
        <v>0.69221423897216883</v>
      </c>
      <c r="K18" s="21">
        <f>lc_detailed!BO18/$S$2</f>
        <v>0</v>
      </c>
      <c r="L18" s="21">
        <f>lc_detailed!BP18/$S$2</f>
        <v>6.7528436827544986</v>
      </c>
      <c r="M18" s="21">
        <f>lc_detailed!BN18</f>
        <v>4.1770824382695819</v>
      </c>
      <c r="N18" s="21">
        <f>lc_detailed!AV18</f>
        <v>1123.055192046781</v>
      </c>
      <c r="O18" s="21">
        <f t="shared" si="0"/>
        <v>24.628403334359234</v>
      </c>
      <c r="P18" s="21">
        <f t="shared" si="1"/>
        <v>24.628403334359231</v>
      </c>
    </row>
    <row r="19" spans="1:16" x14ac:dyDescent="0.2">
      <c r="A19" t="str">
        <f>lc_detailed!AQ19</f>
        <v>TX_TSC+H2in:CH4</v>
      </c>
      <c r="B19" s="21">
        <f>lc_detailed!AY19/$S$2</f>
        <v>0.42889532011237641</v>
      </c>
      <c r="C19" s="21">
        <f>lc_detailed!AZ19/$S$2</f>
        <v>0</v>
      </c>
      <c r="D19" s="21">
        <f>lc_detailed!BA19/$S$2</f>
        <v>0</v>
      </c>
      <c r="E19" s="21">
        <f>lc_detailed!BB19/$S$2</f>
        <v>9.079842636033753</v>
      </c>
      <c r="F19" s="21">
        <f>lc_detailed!BC19/$S$2</f>
        <v>0</v>
      </c>
      <c r="G19" s="21">
        <f>lc_detailed!BD19/$S$2</f>
        <v>-0.41967834925042591</v>
      </c>
      <c r="H19" s="21">
        <f>lc_detailed!BE19/$S$2</f>
        <v>5.1922874272807658</v>
      </c>
      <c r="I19" s="21">
        <f>lc_detailed!BF19/$S$2</f>
        <v>2.8418047707297904</v>
      </c>
      <c r="J19" s="21">
        <f>lc_detailed!BG19/$S$2</f>
        <v>0.69221423897216883</v>
      </c>
      <c r="K19" s="21">
        <f>lc_detailed!BO19/$S$2</f>
        <v>0</v>
      </c>
      <c r="L19" s="21">
        <f>lc_detailed!BP19/$S$2</f>
        <v>6.7528436827544986</v>
      </c>
      <c r="M19" s="21">
        <f>lc_detailed!BN19</f>
        <v>4.1770824382695819</v>
      </c>
      <c r="N19" s="21">
        <f>lc_detailed!AV19</f>
        <v>1120.3103635344617</v>
      </c>
      <c r="O19" s="21">
        <f t="shared" si="0"/>
        <v>24.568209726632929</v>
      </c>
      <c r="P19" s="21">
        <f t="shared" si="1"/>
        <v>24.568209726632929</v>
      </c>
    </row>
    <row r="20" spans="1:16" x14ac:dyDescent="0.2">
      <c r="A20" t="str">
        <f>lc_detailed!AQ20</f>
        <v>NCEN_TSC+CC90</v>
      </c>
      <c r="B20" s="21">
        <f>lc_detailed!AY20/$S$2</f>
        <v>0</v>
      </c>
      <c r="C20" s="21">
        <f>lc_detailed!AZ20/$S$2</f>
        <v>0</v>
      </c>
      <c r="D20" s="21">
        <f>lc_detailed!BA20/$S$2</f>
        <v>7.6180417241584503E-2</v>
      </c>
      <c r="E20" s="21">
        <f>lc_detailed!BB20/$S$2</f>
        <v>9.079842636033753</v>
      </c>
      <c r="F20" s="21">
        <f>lc_detailed!BC20/$S$2</f>
        <v>0.14019654436587856</v>
      </c>
      <c r="G20" s="21">
        <f>lc_detailed!BD20/$S$2</f>
        <v>0</v>
      </c>
      <c r="H20" s="21">
        <f>lc_detailed!BE20/$S$2</f>
        <v>5.5982890881479141</v>
      </c>
      <c r="I20" s="21">
        <f>lc_detailed!BF20/$S$2</f>
        <v>3.0641325531920858</v>
      </c>
      <c r="J20" s="21">
        <f>lc_detailed!BG20/$S$2</f>
        <v>0.74634069943059123</v>
      </c>
      <c r="K20" s="21">
        <f>lc_detailed!BO20/$S$2</f>
        <v>-1.4831904101521927</v>
      </c>
      <c r="L20" s="21">
        <f>lc_detailed!BP20/$S$2</f>
        <v>6.8779721935802511</v>
      </c>
      <c r="M20" s="21">
        <f>lc_detailed!BN20</f>
        <v>4.2544827350411296</v>
      </c>
      <c r="N20" s="21">
        <f>lc_detailed!AV20</f>
        <v>1098.9492257158979</v>
      </c>
      <c r="O20" s="21">
        <f t="shared" si="0"/>
        <v>24.099763721839867</v>
      </c>
      <c r="P20" s="21">
        <f t="shared" si="1"/>
        <v>24.099763721839864</v>
      </c>
    </row>
    <row r="21" spans="1:16" x14ac:dyDescent="0.2">
      <c r="A21" t="str">
        <f>lc_detailed!AQ21</f>
        <v>NCEN_TSC:H2</v>
      </c>
      <c r="B21" s="21">
        <f>lc_detailed!AY21/$S$2</f>
        <v>0</v>
      </c>
      <c r="C21" s="21">
        <f>lc_detailed!AZ21/$S$2</f>
        <v>-0.87121141516951806</v>
      </c>
      <c r="D21" s="21">
        <f>lc_detailed!BA21/$S$2</f>
        <v>0</v>
      </c>
      <c r="E21" s="21">
        <f>lc_detailed!BB21/$S$2</f>
        <v>9.079842636033753</v>
      </c>
      <c r="F21" s="21">
        <f>lc_detailed!BC21/$S$2</f>
        <v>0.81414307864926216</v>
      </c>
      <c r="G21" s="21">
        <f>lc_detailed!BD21/$S$2</f>
        <v>0</v>
      </c>
      <c r="H21" s="21">
        <f>lc_detailed!BE21/$S$2</f>
        <v>5.1922874272807658</v>
      </c>
      <c r="I21" s="21">
        <f>lc_detailed!BF21/$S$2</f>
        <v>2.8418047707297904</v>
      </c>
      <c r="J21" s="21">
        <f>lc_detailed!BG21/$S$2</f>
        <v>0.69221423897216883</v>
      </c>
      <c r="K21" s="21">
        <f>lc_detailed!BO21/$S$2</f>
        <v>0</v>
      </c>
      <c r="L21" s="21">
        <f>lc_detailed!BP21/$S$2</f>
        <v>7.4794843534732518</v>
      </c>
      <c r="M21" s="21">
        <f>lc_detailed!BN21</f>
        <v>4.6265579669780523</v>
      </c>
      <c r="N21" s="21">
        <f>lc_detailed!AV21</f>
        <v>1150.422568102608</v>
      </c>
      <c r="O21" s="21">
        <f t="shared" si="0"/>
        <v>25.228565089969472</v>
      </c>
      <c r="P21" s="21">
        <f t="shared" si="1"/>
        <v>25.228565089969472</v>
      </c>
    </row>
    <row r="22" spans="1:16" x14ac:dyDescent="0.2">
      <c r="A22" t="str">
        <f>lc_detailed!AQ22</f>
        <v>NCEN_TSC+CC90:H2</v>
      </c>
      <c r="B22" s="21">
        <f>lc_detailed!AY22/$S$2</f>
        <v>0</v>
      </c>
      <c r="C22" s="21">
        <f>lc_detailed!AZ22/$S$2</f>
        <v>-0.87121141516951806</v>
      </c>
      <c r="D22" s="21">
        <f>lc_detailed!BA22/$S$2</f>
        <v>8.8816696869613354E-2</v>
      </c>
      <c r="E22" s="21">
        <f>lc_detailed!BB22/$S$2</f>
        <v>9.079842636033753</v>
      </c>
      <c r="F22" s="21">
        <f>lc_detailed!BC22/$S$2</f>
        <v>0.81414307864926216</v>
      </c>
      <c r="G22" s="21">
        <f>lc_detailed!BD22/$S$2</f>
        <v>0</v>
      </c>
      <c r="H22" s="21">
        <f>lc_detailed!BE22/$S$2</f>
        <v>5.5996407631099441</v>
      </c>
      <c r="I22" s="21">
        <f>lc_detailed!BF22/$S$2</f>
        <v>3.0648553418449445</v>
      </c>
      <c r="J22" s="21">
        <f>lc_detailed!BG22/$S$2</f>
        <v>0.74652089667940558</v>
      </c>
      <c r="K22" s="21">
        <f>lc_detailed!BO22/$S$2</f>
        <v>-1.9797751793044027</v>
      </c>
      <c r="L22" s="21">
        <f>lc_detailed!BP22/$S$2</f>
        <v>7.4794843534732509</v>
      </c>
      <c r="M22" s="21">
        <f>lc_detailed!BN22</f>
        <v>4.6265579669780514</v>
      </c>
      <c r="N22" s="21">
        <f>lc_detailed!AV22</f>
        <v>1095.4176630516931</v>
      </c>
      <c r="O22" s="21">
        <f t="shared" si="0"/>
        <v>24.022317172186252</v>
      </c>
      <c r="P22" s="21">
        <f t="shared" si="1"/>
        <v>24.022317172186252</v>
      </c>
    </row>
    <row r="23" spans="1:16" x14ac:dyDescent="0.2">
      <c r="A23" t="str">
        <f>lc_detailed!AQ23</f>
        <v>NCEN_TSC+H2in</v>
      </c>
      <c r="B23" s="21">
        <f>lc_detailed!AY23/$S$2</f>
        <v>0.12135374793630169</v>
      </c>
      <c r="C23" s="21">
        <f>lc_detailed!AZ23/$S$2</f>
        <v>0</v>
      </c>
      <c r="D23" s="21">
        <f>lc_detailed!BA23/$S$2</f>
        <v>0</v>
      </c>
      <c r="E23" s="21">
        <f>lc_detailed!BB23/$S$2</f>
        <v>9.079842636033753</v>
      </c>
      <c r="F23" s="21">
        <f>lc_detailed!BC23/$S$2</f>
        <v>0</v>
      </c>
      <c r="G23" s="21">
        <f>lc_detailed!BD23/$S$2</f>
        <v>0</v>
      </c>
      <c r="H23" s="21">
        <f>lc_detailed!BE23/$S$2</f>
        <v>5.1922874272807658</v>
      </c>
      <c r="I23" s="21">
        <f>lc_detailed!BF23/$S$2</f>
        <v>2.8418047707297904</v>
      </c>
      <c r="J23" s="21">
        <f>lc_detailed!BG23/$S$2</f>
        <v>0.69221423897216883</v>
      </c>
      <c r="K23" s="21">
        <f>lc_detailed!BO23/$S$2</f>
        <v>0</v>
      </c>
      <c r="L23" s="21">
        <f>lc_detailed!BP23/$S$2</f>
        <v>6.7528436827544986</v>
      </c>
      <c r="M23" s="21">
        <f>lc_detailed!BN23</f>
        <v>4.1770824382695819</v>
      </c>
      <c r="N23" s="21">
        <f>lc_detailed!AV23</f>
        <v>1125.423800569052</v>
      </c>
      <c r="O23" s="21">
        <f t="shared" si="0"/>
        <v>24.68034650370728</v>
      </c>
      <c r="P23" s="21">
        <f t="shared" si="1"/>
        <v>24.68034650370728</v>
      </c>
    </row>
    <row r="24" spans="1:16" x14ac:dyDescent="0.2">
      <c r="A24" t="str">
        <f>lc_detailed!AQ24</f>
        <v>NCEN_TSC+H2in:CH4</v>
      </c>
      <c r="B24" s="21">
        <f>lc_detailed!AY24/$S$2</f>
        <v>0.74985766761472161</v>
      </c>
      <c r="C24" s="21">
        <f>lc_detailed!AZ24/$S$2</f>
        <v>0</v>
      </c>
      <c r="D24" s="21">
        <f>lc_detailed!BA24/$S$2</f>
        <v>0</v>
      </c>
      <c r="E24" s="21">
        <f>lc_detailed!BB24/$S$2</f>
        <v>9.079842636033753</v>
      </c>
      <c r="F24" s="21">
        <f>lc_detailed!BC24/$S$2</f>
        <v>0</v>
      </c>
      <c r="G24" s="21">
        <f>lc_detailed!BD24/$S$2</f>
        <v>-0.72960045594744538</v>
      </c>
      <c r="H24" s="21">
        <f>lc_detailed!BE24/$S$2</f>
        <v>5.1922874272807658</v>
      </c>
      <c r="I24" s="21">
        <f>lc_detailed!BF24/$S$2</f>
        <v>2.8418047707297904</v>
      </c>
      <c r="J24" s="21">
        <f>lc_detailed!BG24/$S$2</f>
        <v>0.69221423897216883</v>
      </c>
      <c r="K24" s="21">
        <f>lc_detailed!BO24/$S$2</f>
        <v>0</v>
      </c>
      <c r="L24" s="21">
        <f>lc_detailed!BP24/$S$2</f>
        <v>6.7528436827544986</v>
      </c>
      <c r="M24" s="21">
        <f>lc_detailed!BN24</f>
        <v>4.1770824382695819</v>
      </c>
      <c r="N24" s="21">
        <f>lc_detailed!AV24</f>
        <v>1120.8137985151845</v>
      </c>
      <c r="O24" s="21">
        <f t="shared" si="0"/>
        <v>24.579249967438258</v>
      </c>
      <c r="P24" s="21">
        <f t="shared" si="1"/>
        <v>24.579249967438255</v>
      </c>
    </row>
    <row r="25" spans="1:16" x14ac:dyDescent="0.2">
      <c r="A25" t="str">
        <f>lc_detailed!AQ25</f>
        <v>CEN_TSC+CC90</v>
      </c>
      <c r="B25" s="21">
        <f>lc_detailed!AY25/$S$2</f>
        <v>0</v>
      </c>
      <c r="C25" s="21">
        <f>lc_detailed!AZ25/$S$2</f>
        <v>0</v>
      </c>
      <c r="D25" s="21">
        <f>lc_detailed!BA25/$S$2</f>
        <v>7.4711968029926801E-2</v>
      </c>
      <c r="E25" s="21">
        <f>lc_detailed!BB25/$S$2</f>
        <v>9.079842636033753</v>
      </c>
      <c r="F25" s="21">
        <f>lc_detailed!BC25/$S$2</f>
        <v>0.14106723444853161</v>
      </c>
      <c r="G25" s="21">
        <f>lc_detailed!BD25/$S$2</f>
        <v>0</v>
      </c>
      <c r="H25" s="21">
        <f>lc_detailed!BE25/$S$2</f>
        <v>5.5982890881479141</v>
      </c>
      <c r="I25" s="21">
        <f>lc_detailed!BF25/$S$2</f>
        <v>3.0641325531920858</v>
      </c>
      <c r="J25" s="21">
        <f>lc_detailed!BG25/$S$2</f>
        <v>0.74634069943059123</v>
      </c>
      <c r="K25" s="21">
        <f>lc_detailed!BO25/$S$2</f>
        <v>-1.4809544885551127</v>
      </c>
      <c r="L25" s="21">
        <f>lc_detailed!BP25/$S$2</f>
        <v>6.8779721935802511</v>
      </c>
      <c r="M25" s="21">
        <f>lc_detailed!BN25</f>
        <v>4.2544827350411296</v>
      </c>
      <c r="N25" s="21">
        <f>lc_detailed!AV25</f>
        <v>1099.0239259244422</v>
      </c>
      <c r="O25" s="21">
        <f t="shared" si="0"/>
        <v>24.101401884307943</v>
      </c>
      <c r="P25" s="21">
        <f t="shared" si="1"/>
        <v>24.10140188430794</v>
      </c>
    </row>
    <row r="26" spans="1:16" x14ac:dyDescent="0.2">
      <c r="A26" t="str">
        <f>lc_detailed!AQ26</f>
        <v>CEN_TSC:H2</v>
      </c>
      <c r="B26" s="21">
        <f>lc_detailed!AY26/$S$2</f>
        <v>0</v>
      </c>
      <c r="C26" s="21">
        <f>lc_detailed!AZ26/$S$2</f>
        <v>-0.8770585451947005</v>
      </c>
      <c r="D26" s="21">
        <f>lc_detailed!BA26/$S$2</f>
        <v>0</v>
      </c>
      <c r="E26" s="21">
        <f>lc_detailed!BB26/$S$2</f>
        <v>9.079842636033753</v>
      </c>
      <c r="F26" s="21">
        <f>lc_detailed!BC26/$S$2</f>
        <v>0.81919931100967303</v>
      </c>
      <c r="G26" s="21">
        <f>lc_detailed!BD26/$S$2</f>
        <v>0</v>
      </c>
      <c r="H26" s="21">
        <f>lc_detailed!BE26/$S$2</f>
        <v>5.1922874272807658</v>
      </c>
      <c r="I26" s="21">
        <f>lc_detailed!BF26/$S$2</f>
        <v>2.8418047707297904</v>
      </c>
      <c r="J26" s="21">
        <f>lc_detailed!BG26/$S$2</f>
        <v>0.69221423897216883</v>
      </c>
      <c r="K26" s="21">
        <f>lc_detailed!BO26/$S$2</f>
        <v>0</v>
      </c>
      <c r="L26" s="21">
        <f>lc_detailed!BP26/$S$2</f>
        <v>7.4794843534732518</v>
      </c>
      <c r="M26" s="21">
        <f>lc_detailed!BN26</f>
        <v>4.6265579669780523</v>
      </c>
      <c r="N26" s="21">
        <f>lc_detailed!AV26</f>
        <v>1150.3865031690943</v>
      </c>
      <c r="O26" s="21">
        <f t="shared" si="0"/>
        <v>25.2277741923047</v>
      </c>
      <c r="P26" s="21">
        <f t="shared" si="1"/>
        <v>25.2277741923047</v>
      </c>
    </row>
    <row r="27" spans="1:16" x14ac:dyDescent="0.2">
      <c r="A27" t="str">
        <f>lc_detailed!AQ27</f>
        <v>CEN_TSC+CC90:H2</v>
      </c>
      <c r="B27" s="21">
        <f>lc_detailed!AY27/$S$2</f>
        <v>0</v>
      </c>
      <c r="C27" s="21">
        <f>lc_detailed!AZ27/$S$2</f>
        <v>-0.8770585451947005</v>
      </c>
      <c r="D27" s="21">
        <f>lc_detailed!BA27/$S$2</f>
        <v>8.7104671480114318E-2</v>
      </c>
      <c r="E27" s="21">
        <f>lc_detailed!BB27/$S$2</f>
        <v>9.079842636033753</v>
      </c>
      <c r="F27" s="21">
        <f>lc_detailed!BC27/$S$2</f>
        <v>0.81919931100967303</v>
      </c>
      <c r="G27" s="21">
        <f>lc_detailed!BD27/$S$2</f>
        <v>0</v>
      </c>
      <c r="H27" s="21">
        <f>lc_detailed!BE27/$S$2</f>
        <v>5.5996407631099441</v>
      </c>
      <c r="I27" s="21">
        <f>lc_detailed!BF27/$S$2</f>
        <v>3.0648553418449445</v>
      </c>
      <c r="J27" s="21">
        <f>lc_detailed!BG27/$S$2</f>
        <v>0.74652089667940558</v>
      </c>
      <c r="K27" s="21">
        <f>lc_detailed!BO27/$S$2</f>
        <v>-1.976790652132119</v>
      </c>
      <c r="L27" s="21">
        <f>lc_detailed!BP27/$S$2</f>
        <v>7.4794843534732509</v>
      </c>
      <c r="M27" s="21">
        <f>lc_detailed!BN27</f>
        <v>4.6265579669780514</v>
      </c>
      <c r="N27" s="21">
        <f>lc_detailed!AV27</f>
        <v>1095.4396241994746</v>
      </c>
      <c r="O27" s="21">
        <f t="shared" si="0"/>
        <v>24.022798776304267</v>
      </c>
      <c r="P27" s="21">
        <f t="shared" si="1"/>
        <v>24.022798776304263</v>
      </c>
    </row>
    <row r="28" spans="1:16" x14ac:dyDescent="0.2">
      <c r="A28" t="str">
        <f>lc_detailed!AQ28</f>
        <v>CEN_TSC+H2in</v>
      </c>
      <c r="B28" s="21">
        <f>lc_detailed!AY28/$S$2</f>
        <v>0.12216821286510282</v>
      </c>
      <c r="C28" s="21">
        <f>lc_detailed!AZ28/$S$2</f>
        <v>0</v>
      </c>
      <c r="D28" s="21">
        <f>lc_detailed!BA28/$S$2</f>
        <v>0</v>
      </c>
      <c r="E28" s="21">
        <f>lc_detailed!BB28/$S$2</f>
        <v>9.079842636033753</v>
      </c>
      <c r="F28" s="21">
        <f>lc_detailed!BC28/$S$2</f>
        <v>0</v>
      </c>
      <c r="G28" s="21">
        <f>lc_detailed!BD28/$S$2</f>
        <v>0</v>
      </c>
      <c r="H28" s="21">
        <f>lc_detailed!BE28/$S$2</f>
        <v>5.1922874272807658</v>
      </c>
      <c r="I28" s="21">
        <f>lc_detailed!BF28/$S$2</f>
        <v>2.8418047707297904</v>
      </c>
      <c r="J28" s="21">
        <f>lc_detailed!BG28/$S$2</f>
        <v>0.69221423897216883</v>
      </c>
      <c r="K28" s="21">
        <f>lc_detailed!BO28/$S$2</f>
        <v>0</v>
      </c>
      <c r="L28" s="21">
        <f>lc_detailed!BP28/$S$2</f>
        <v>6.7528436827544986</v>
      </c>
      <c r="M28" s="21">
        <f>lc_detailed!BN28</f>
        <v>4.1770824382695819</v>
      </c>
      <c r="N28" s="21">
        <f>lc_detailed!AV28</f>
        <v>1125.4609401698053</v>
      </c>
      <c r="O28" s="21">
        <f t="shared" si="0"/>
        <v>24.681160968636082</v>
      </c>
      <c r="P28" s="21">
        <f t="shared" si="1"/>
        <v>24.681160968636082</v>
      </c>
    </row>
    <row r="29" spans="1:16" x14ac:dyDescent="0.2">
      <c r="A29" t="str">
        <f>lc_detailed!AQ29</f>
        <v>CEN_TSC+H2in:CH4</v>
      </c>
      <c r="B29" s="21">
        <f>lc_detailed!AY29/$S$2</f>
        <v>0.75489033271366335</v>
      </c>
      <c r="C29" s="21">
        <f>lc_detailed!AZ29/$S$2</f>
        <v>0</v>
      </c>
      <c r="D29" s="21">
        <f>lc_detailed!BA29/$S$2</f>
        <v>0</v>
      </c>
      <c r="E29" s="21">
        <f>lc_detailed!BB29/$S$2</f>
        <v>9.079842636033753</v>
      </c>
      <c r="F29" s="21">
        <f>lc_detailed!BC29/$S$2</f>
        <v>0</v>
      </c>
      <c r="G29" s="21">
        <f>lc_detailed!BD29/$S$2</f>
        <v>-0.7341316366849302</v>
      </c>
      <c r="H29" s="21">
        <f>lc_detailed!BE29/$S$2</f>
        <v>5.1922874272807658</v>
      </c>
      <c r="I29" s="21">
        <f>lc_detailed!BF29/$S$2</f>
        <v>2.8418047707297904</v>
      </c>
      <c r="J29" s="21">
        <f>lc_detailed!BG29/$S$2</f>
        <v>0.69221423897216883</v>
      </c>
      <c r="K29" s="21">
        <f>lc_detailed!BO29/$S$2</f>
        <v>0</v>
      </c>
      <c r="L29" s="21">
        <f>lc_detailed!BP29/$S$2</f>
        <v>6.7528436827544986</v>
      </c>
      <c r="M29" s="21">
        <f>lc_detailed!BN29</f>
        <v>4.1770824382695819</v>
      </c>
      <c r="N29" s="21">
        <f>lc_detailed!AV29</f>
        <v>1120.8366662020669</v>
      </c>
      <c r="O29" s="21">
        <f t="shared" si="0"/>
        <v>24.579751451799712</v>
      </c>
      <c r="P29" s="21">
        <f t="shared" si="1"/>
        <v>24.579751451799712</v>
      </c>
    </row>
    <row r="30" spans="1:16" x14ac:dyDescent="0.2">
      <c r="A30" t="str">
        <f>lc_detailed!AQ30</f>
        <v>SE_TSC+CC90</v>
      </c>
      <c r="B30" s="21">
        <f>lc_detailed!AY30/$S$2</f>
        <v>0</v>
      </c>
      <c r="C30" s="21">
        <f>lc_detailed!AZ30/$S$2</f>
        <v>0</v>
      </c>
      <c r="D30" s="21">
        <f>lc_detailed!BA30/$S$2</f>
        <v>7.0724801904600398E-2</v>
      </c>
      <c r="E30" s="21">
        <f>lc_detailed!BB30/$S$2</f>
        <v>9.079842636033753</v>
      </c>
      <c r="F30" s="21">
        <f>lc_detailed!BC30/$S$2</f>
        <v>7.4660659715240635E-2</v>
      </c>
      <c r="G30" s="21">
        <f>lc_detailed!BD30/$S$2</f>
        <v>0</v>
      </c>
      <c r="H30" s="21">
        <f>lc_detailed!BE30/$S$2</f>
        <v>5.5982890881479141</v>
      </c>
      <c r="I30" s="21">
        <f>lc_detailed!BF30/$S$2</f>
        <v>3.0641325531920858</v>
      </c>
      <c r="J30" s="21">
        <f>lc_detailed!BG30/$S$2</f>
        <v>0.74634069943059123</v>
      </c>
      <c r="K30" s="21">
        <f>lc_detailed!BO30/$S$2</f>
        <v>-1.4833288556801576</v>
      </c>
      <c r="L30" s="21">
        <f>lc_detailed!BP30/$S$2</f>
        <v>6.8779721935802511</v>
      </c>
      <c r="M30" s="21">
        <f>lc_detailed!BN30</f>
        <v>4.2544827350411296</v>
      </c>
      <c r="N30" s="21">
        <f>lc_detailed!AV30</f>
        <v>1095.7057002003871</v>
      </c>
      <c r="O30" s="21">
        <f t="shared" si="0"/>
        <v>24.028633776324277</v>
      </c>
      <c r="P30" s="21">
        <f t="shared" si="1"/>
        <v>24.028633776324277</v>
      </c>
    </row>
    <row r="31" spans="1:16" x14ac:dyDescent="0.2">
      <c r="A31" t="str">
        <f>lc_detailed!AQ31</f>
        <v>SE_TSC:H2</v>
      </c>
      <c r="B31" s="21">
        <f>lc_detailed!AY31/$S$2</f>
        <v>0</v>
      </c>
      <c r="C31" s="21">
        <f>lc_detailed!AZ31/$S$2</f>
        <v>-0.47978648791142342</v>
      </c>
      <c r="D31" s="21">
        <f>lc_detailed!BA31/$S$2</f>
        <v>0</v>
      </c>
      <c r="E31" s="21">
        <f>lc_detailed!BB31/$S$2</f>
        <v>9.079842636033753</v>
      </c>
      <c r="F31" s="21">
        <f>lc_detailed!BC31/$S$2</f>
        <v>0.43356603138461419</v>
      </c>
      <c r="G31" s="21">
        <f>lc_detailed!BD31/$S$2</f>
        <v>0</v>
      </c>
      <c r="H31" s="21">
        <f>lc_detailed!BE31/$S$2</f>
        <v>5.1922874272807658</v>
      </c>
      <c r="I31" s="21">
        <f>lc_detailed!BF31/$S$2</f>
        <v>2.8418047707297904</v>
      </c>
      <c r="J31" s="21">
        <f>lc_detailed!BG31/$S$2</f>
        <v>0.69221423897216883</v>
      </c>
      <c r="K31" s="21">
        <f>lc_detailed!BO31/$S$2</f>
        <v>0</v>
      </c>
      <c r="L31" s="21">
        <f>lc_detailed!BP31/$S$2</f>
        <v>7.4794843534732518</v>
      </c>
      <c r="M31" s="21">
        <f>lc_detailed!BN31</f>
        <v>4.6265579669780523</v>
      </c>
      <c r="N31" s="21">
        <f>lc_detailed!AV31</f>
        <v>1150.9172314303091</v>
      </c>
      <c r="O31" s="21">
        <f t="shared" si="0"/>
        <v>25.23941296996292</v>
      </c>
      <c r="P31" s="21">
        <f t="shared" si="1"/>
        <v>25.23941296996292</v>
      </c>
    </row>
    <row r="32" spans="1:16" x14ac:dyDescent="0.2">
      <c r="A32" t="str">
        <f>lc_detailed!AQ32</f>
        <v>SE_TSC+CC90:H2</v>
      </c>
      <c r="B32" s="21">
        <f>lc_detailed!AY32/$S$2</f>
        <v>0</v>
      </c>
      <c r="C32" s="21">
        <f>lc_detailed!AZ32/$S$2</f>
        <v>-0.47978648791142342</v>
      </c>
      <c r="D32" s="21">
        <f>lc_detailed!BA32/$S$2</f>
        <v>8.2456141871791316E-2</v>
      </c>
      <c r="E32" s="21">
        <f>lc_detailed!BB32/$S$2</f>
        <v>9.079842636033753</v>
      </c>
      <c r="F32" s="21">
        <f>lc_detailed!BC32/$S$2</f>
        <v>0.43356603138461419</v>
      </c>
      <c r="G32" s="21">
        <f>lc_detailed!BD32/$S$2</f>
        <v>0</v>
      </c>
      <c r="H32" s="21">
        <f>lc_detailed!BE32/$S$2</f>
        <v>5.5996407631099441</v>
      </c>
      <c r="I32" s="21">
        <f>lc_detailed!BF32/$S$2</f>
        <v>3.0648553418449445</v>
      </c>
      <c r="J32" s="21">
        <f>lc_detailed!BG32/$S$2</f>
        <v>0.74652089667940558</v>
      </c>
      <c r="K32" s="21">
        <f>lc_detailed!BO32/$S$2</f>
        <v>-1.9799599775731043</v>
      </c>
      <c r="L32" s="21">
        <f>lc_detailed!BP32/$S$2</f>
        <v>7.4794843534732509</v>
      </c>
      <c r="M32" s="21">
        <f>lc_detailed!BN32</f>
        <v>4.6265579669780514</v>
      </c>
      <c r="N32" s="21">
        <f>lc_detailed!AV32</f>
        <v>1095.6138582704409</v>
      </c>
      <c r="O32" s="21">
        <f t="shared" si="0"/>
        <v>24.026619698913176</v>
      </c>
      <c r="P32" s="21">
        <f t="shared" si="1"/>
        <v>24.026619698913176</v>
      </c>
    </row>
    <row r="33" spans="1:16" x14ac:dyDescent="0.2">
      <c r="A33" t="str">
        <f>lc_detailed!AQ33</f>
        <v>SE_TSC+H2in</v>
      </c>
      <c r="B33" s="21">
        <f>lc_detailed!AY33/$S$2</f>
        <v>6.6830952284890888E-2</v>
      </c>
      <c r="C33" s="21">
        <f>lc_detailed!AZ33/$S$2</f>
        <v>0</v>
      </c>
      <c r="D33" s="21">
        <f>lc_detailed!BA33/$S$2</f>
        <v>0</v>
      </c>
      <c r="E33" s="21">
        <f>lc_detailed!BB33/$S$2</f>
        <v>9.079842636033753</v>
      </c>
      <c r="F33" s="21">
        <f>lc_detailed!BC33/$S$2</f>
        <v>0</v>
      </c>
      <c r="G33" s="21">
        <f>lc_detailed!BD33/$S$2</f>
        <v>0</v>
      </c>
      <c r="H33" s="21">
        <f>lc_detailed!BE33/$S$2</f>
        <v>5.1922874272807658</v>
      </c>
      <c r="I33" s="21">
        <f>lc_detailed!BF33/$S$2</f>
        <v>2.8418047707297904</v>
      </c>
      <c r="J33" s="21">
        <f>lc_detailed!BG33/$S$2</f>
        <v>0.69221423897216883</v>
      </c>
      <c r="K33" s="21">
        <f>lc_detailed!BO33/$S$2</f>
        <v>0</v>
      </c>
      <c r="L33" s="21">
        <f>lc_detailed!BP33/$S$2</f>
        <v>6.7528436827544986</v>
      </c>
      <c r="M33" s="21">
        <f>lc_detailed!BN33</f>
        <v>4.1770824382695819</v>
      </c>
      <c r="N33" s="21">
        <f>lc_detailed!AV33</f>
        <v>1122.9375610873476</v>
      </c>
      <c r="O33" s="21">
        <f t="shared" si="0"/>
        <v>24.625823708055869</v>
      </c>
      <c r="P33" s="21">
        <f t="shared" si="1"/>
        <v>24.625823708055869</v>
      </c>
    </row>
    <row r="34" spans="1:16" x14ac:dyDescent="0.2">
      <c r="A34" t="str">
        <f>lc_detailed!AQ34</f>
        <v>SE_TSC+H2in:CH4</v>
      </c>
      <c r="B34" s="21">
        <f>lc_detailed!AY34/$S$2</f>
        <v>0.41295553583663192</v>
      </c>
      <c r="C34" s="21">
        <f>lc_detailed!AZ34/$S$2</f>
        <v>0</v>
      </c>
      <c r="D34" s="21">
        <f>lc_detailed!BA34/$S$2</f>
        <v>0</v>
      </c>
      <c r="E34" s="21">
        <f>lc_detailed!BB34/$S$2</f>
        <v>9.079842636033753</v>
      </c>
      <c r="F34" s="21">
        <f>lc_detailed!BC34/$S$2</f>
        <v>0</v>
      </c>
      <c r="G34" s="21">
        <f>lc_detailed!BD34/$S$2</f>
        <v>-0.38854346671639006</v>
      </c>
      <c r="H34" s="21">
        <f>lc_detailed!BE34/$S$2</f>
        <v>5.1922874272807658</v>
      </c>
      <c r="I34" s="21">
        <f>lc_detailed!BF34/$S$2</f>
        <v>2.8418047707297904</v>
      </c>
      <c r="J34" s="21">
        <f>lc_detailed!BG34/$S$2</f>
        <v>0.69221423897216883</v>
      </c>
      <c r="K34" s="21">
        <f>lc_detailed!BO34/$S$2</f>
        <v>0</v>
      </c>
      <c r="L34" s="21">
        <f>lc_detailed!BP34/$S$2</f>
        <v>6.7528436827544986</v>
      </c>
      <c r="M34" s="21">
        <f>lc_detailed!BN34</f>
        <v>4.1770824382695819</v>
      </c>
      <c r="N34" s="21">
        <f>lc_detailed!AV34</f>
        <v>1121.0032600150396</v>
      </c>
      <c r="O34" s="21">
        <f t="shared" si="0"/>
        <v>24.583404824891218</v>
      </c>
      <c r="P34" s="21">
        <f t="shared" si="1"/>
        <v>24.583404824891218</v>
      </c>
    </row>
    <row r="35" spans="1:16" x14ac:dyDescent="0.2">
      <c r="A35" t="str">
        <f>lc_detailed!AQ35</f>
        <v>MIDAT_TSC+CC90</v>
      </c>
      <c r="B35" s="21">
        <f>lc_detailed!AY35/$S$2</f>
        <v>0</v>
      </c>
      <c r="C35" s="21">
        <f>lc_detailed!AZ35/$S$2</f>
        <v>0</v>
      </c>
      <c r="D35" s="21">
        <f>lc_detailed!BA35/$S$2</f>
        <v>7.1504611663898834E-2</v>
      </c>
      <c r="E35" s="21">
        <f>lc_detailed!BB35/$S$2</f>
        <v>9.079842636033753</v>
      </c>
      <c r="F35" s="21">
        <f>lc_detailed!BC35/$S$2</f>
        <v>5.0698349114799458E-2</v>
      </c>
      <c r="G35" s="21">
        <f>lc_detailed!BD35/$S$2</f>
        <v>0</v>
      </c>
      <c r="H35" s="21">
        <f>lc_detailed!BE35/$S$2</f>
        <v>5.5982890881479141</v>
      </c>
      <c r="I35" s="21">
        <f>lc_detailed!BF35/$S$2</f>
        <v>3.0641325531920858</v>
      </c>
      <c r="J35" s="21">
        <f>lc_detailed!BG35/$S$2</f>
        <v>0.74634069943059123</v>
      </c>
      <c r="K35" s="21">
        <f>lc_detailed!BO35/$S$2</f>
        <v>-1.2620589047534811</v>
      </c>
      <c r="L35" s="21">
        <f>lc_detailed!BP35/$S$2</f>
        <v>6.8779721935802511</v>
      </c>
      <c r="M35" s="21">
        <f>lc_detailed!BN35</f>
        <v>4.2544827350411296</v>
      </c>
      <c r="N35" s="21">
        <f>lc_detailed!AV35</f>
        <v>1104.7384879242875</v>
      </c>
      <c r="O35" s="21">
        <f t="shared" ref="O35:O66" si="2">N35/$S$2</f>
        <v>24.226721226409811</v>
      </c>
      <c r="P35" s="21">
        <f t="shared" ref="P35:P65" si="3">SUM(B35:L35)</f>
        <v>24.226721226409811</v>
      </c>
    </row>
    <row r="36" spans="1:16" x14ac:dyDescent="0.2">
      <c r="A36" t="str">
        <f>lc_detailed!AQ36</f>
        <v>MIDAT_TSC:H2</v>
      </c>
      <c r="B36" s="21">
        <f>lc_detailed!AY36/$S$2</f>
        <v>0</v>
      </c>
      <c r="C36" s="21">
        <f>lc_detailed!AZ36/$S$2</f>
        <v>-0.4972580335263439</v>
      </c>
      <c r="D36" s="21">
        <f>lc_detailed!BA36/$S$2</f>
        <v>0</v>
      </c>
      <c r="E36" s="21">
        <f>lc_detailed!BB36/$S$2</f>
        <v>9.079842636033753</v>
      </c>
      <c r="F36" s="21">
        <f>lc_detailed!BC36/$S$2</f>
        <v>0.29441317699699121</v>
      </c>
      <c r="G36" s="21">
        <f>lc_detailed!BD36/$S$2</f>
        <v>0</v>
      </c>
      <c r="H36" s="21">
        <f>lc_detailed!BE36/$S$2</f>
        <v>5.1922874272807658</v>
      </c>
      <c r="I36" s="21">
        <f>lc_detailed!BF36/$S$2</f>
        <v>2.8418047707297904</v>
      </c>
      <c r="J36" s="21">
        <f>lc_detailed!BG36/$S$2</f>
        <v>0.69221423897216883</v>
      </c>
      <c r="K36" s="21">
        <f>lc_detailed!BO36/$S$2</f>
        <v>0</v>
      </c>
      <c r="L36" s="21">
        <f>lc_detailed!BP36/$S$2</f>
        <v>7.4794843534732518</v>
      </c>
      <c r="M36" s="21">
        <f>lc_detailed!BN36</f>
        <v>4.6265579669780523</v>
      </c>
      <c r="N36" s="21">
        <f>lc_detailed!AV36</f>
        <v>1143.7751587901932</v>
      </c>
      <c r="O36" s="21">
        <f t="shared" si="2"/>
        <v>25.082788569960378</v>
      </c>
      <c r="P36" s="21">
        <f t="shared" si="3"/>
        <v>25.082788569960378</v>
      </c>
    </row>
    <row r="37" spans="1:16" x14ac:dyDescent="0.2">
      <c r="A37" t="str">
        <f>lc_detailed!AQ37</f>
        <v>MIDAT_TSC+CC90:H2</v>
      </c>
      <c r="B37" s="21">
        <f>lc_detailed!AY37/$S$2</f>
        <v>0</v>
      </c>
      <c r="C37" s="21">
        <f>lc_detailed!AZ37/$S$2</f>
        <v>-0.4972580335263439</v>
      </c>
      <c r="D37" s="21">
        <f>lc_detailed!BA37/$S$2</f>
        <v>8.3365301069330711E-2</v>
      </c>
      <c r="E37" s="21">
        <f>lc_detailed!BB37/$S$2</f>
        <v>9.079842636033753</v>
      </c>
      <c r="F37" s="21">
        <f>lc_detailed!BC37/$S$2</f>
        <v>0.29441317699699121</v>
      </c>
      <c r="G37" s="21">
        <f>lc_detailed!BD37/$S$2</f>
        <v>0</v>
      </c>
      <c r="H37" s="21">
        <f>lc_detailed!BE37/$S$2</f>
        <v>5.5996407631099441</v>
      </c>
      <c r="I37" s="21">
        <f>lc_detailed!BF37/$S$2</f>
        <v>3.0648553418449445</v>
      </c>
      <c r="J37" s="21">
        <f>lc_detailed!BG37/$S$2</f>
        <v>0.74652089667940558</v>
      </c>
      <c r="K37" s="21">
        <f>lc_detailed!BO37/$S$2</f>
        <v>-1.6846069643847388</v>
      </c>
      <c r="L37" s="21">
        <f>lc_detailed!BP37/$S$2</f>
        <v>7.4794843534732509</v>
      </c>
      <c r="M37" s="21">
        <f>lc_detailed!BN37</f>
        <v>4.6265579669780514</v>
      </c>
      <c r="N37" s="21">
        <f>lc_detailed!AV37</f>
        <v>1101.9813406911221</v>
      </c>
      <c r="O37" s="21">
        <f t="shared" si="2"/>
        <v>24.166257471296536</v>
      </c>
      <c r="P37" s="21">
        <f t="shared" si="3"/>
        <v>24.166257471296539</v>
      </c>
    </row>
    <row r="38" spans="1:16" x14ac:dyDescent="0.2">
      <c r="A38" t="str">
        <f>lc_detailed!AQ38</f>
        <v>MIDAT_TSC+H2in</v>
      </c>
      <c r="B38" s="21">
        <f>lc_detailed!AY38/$S$2</f>
        <v>6.9264618219121221E-2</v>
      </c>
      <c r="C38" s="21">
        <f>lc_detailed!AZ38/$S$2</f>
        <v>0</v>
      </c>
      <c r="D38" s="21">
        <f>lc_detailed!BA38/$S$2</f>
        <v>0</v>
      </c>
      <c r="E38" s="21">
        <f>lc_detailed!BB38/$S$2</f>
        <v>9.079842636033753</v>
      </c>
      <c r="F38" s="21">
        <f>lc_detailed!BC38/$S$2</f>
        <v>0</v>
      </c>
      <c r="G38" s="21">
        <f>lc_detailed!BD38/$S$2</f>
        <v>0</v>
      </c>
      <c r="H38" s="21">
        <f>lc_detailed!BE38/$S$2</f>
        <v>5.1922874272807658</v>
      </c>
      <c r="I38" s="21">
        <f>lc_detailed!BF38/$S$2</f>
        <v>2.8418047707297904</v>
      </c>
      <c r="J38" s="21">
        <f>lc_detailed!BG38/$S$2</f>
        <v>0.69221423897216883</v>
      </c>
      <c r="K38" s="21">
        <f>lc_detailed!BO38/$S$2</f>
        <v>0</v>
      </c>
      <c r="L38" s="21">
        <f>lc_detailed!BP38/$S$2</f>
        <v>6.7528436827544986</v>
      </c>
      <c r="M38" s="21">
        <f>lc_detailed!BN38</f>
        <v>4.1770824382695819</v>
      </c>
      <c r="N38" s="21">
        <f>lc_detailed!AV38</f>
        <v>1123.0485362539487</v>
      </c>
      <c r="O38" s="21">
        <f t="shared" si="2"/>
        <v>24.628257373990103</v>
      </c>
      <c r="P38" s="21">
        <f t="shared" si="3"/>
        <v>24.628257373990099</v>
      </c>
    </row>
    <row r="39" spans="1:16" x14ac:dyDescent="0.2">
      <c r="A39" t="str">
        <f>lc_detailed!AQ39</f>
        <v>MIDAT_TSC+H2in:CH4</v>
      </c>
      <c r="B39" s="21">
        <f>lc_detailed!AY39/$S$2</f>
        <v>0.42799341552497294</v>
      </c>
      <c r="C39" s="21">
        <f>lc_detailed!AZ39/$S$2</f>
        <v>0</v>
      </c>
      <c r="D39" s="21">
        <f>lc_detailed!BA39/$S$2</f>
        <v>0</v>
      </c>
      <c r="E39" s="21">
        <f>lc_detailed!BB39/$S$2</f>
        <v>9.079842636033753</v>
      </c>
      <c r="F39" s="21">
        <f>lc_detailed!BC39/$S$2</f>
        <v>0</v>
      </c>
      <c r="G39" s="21">
        <f>lc_detailed!BD39/$S$2</f>
        <v>-0.26384058749270484</v>
      </c>
      <c r="H39" s="21">
        <f>lc_detailed!BE39/$S$2</f>
        <v>5.1922874272807658</v>
      </c>
      <c r="I39" s="21">
        <f>lc_detailed!BF39/$S$2</f>
        <v>2.8418047707297904</v>
      </c>
      <c r="J39" s="21">
        <f>lc_detailed!BG39/$S$2</f>
        <v>0.69221423897216883</v>
      </c>
      <c r="K39" s="21">
        <f>lc_detailed!BO39/$S$2</f>
        <v>0</v>
      </c>
      <c r="L39" s="21">
        <f>lc_detailed!BP39/$S$2</f>
        <v>6.7528436827544986</v>
      </c>
      <c r="M39" s="21">
        <f>lc_detailed!BN39</f>
        <v>4.1770824382695819</v>
      </c>
      <c r="N39" s="21">
        <f>lc_detailed!AV39</f>
        <v>1127.3754386214282</v>
      </c>
      <c r="O39" s="21">
        <f t="shared" si="2"/>
        <v>24.723145583803248</v>
      </c>
      <c r="P39" s="21">
        <f t="shared" si="3"/>
        <v>24.723145583803245</v>
      </c>
    </row>
    <row r="40" spans="1:16" x14ac:dyDescent="0.2">
      <c r="A40" t="str">
        <f>lc_detailed!AQ40</f>
        <v>NE_TSC+CC90</v>
      </c>
      <c r="B40" s="21">
        <f>lc_detailed!AY40/$S$2</f>
        <v>0</v>
      </c>
      <c r="C40" s="21">
        <f>lc_detailed!AZ40/$S$2</f>
        <v>0</v>
      </c>
      <c r="D40" s="21">
        <f>lc_detailed!BA40/$S$2</f>
        <v>6.9140944799479381E-2</v>
      </c>
      <c r="E40" s="21">
        <f>lc_detailed!BB40/$S$2</f>
        <v>9.079842636033753</v>
      </c>
      <c r="F40" s="21">
        <f>lc_detailed!BC40/$S$2</f>
        <v>8.4006615992815642E-2</v>
      </c>
      <c r="G40" s="21">
        <f>lc_detailed!BD40/$S$2</f>
        <v>0</v>
      </c>
      <c r="H40" s="21">
        <f>lc_detailed!BE40/$S$2</f>
        <v>5.5982890881479141</v>
      </c>
      <c r="I40" s="21">
        <f>lc_detailed!BF40/$S$2</f>
        <v>3.0641325531920858</v>
      </c>
      <c r="J40" s="21">
        <f>lc_detailed!BG40/$S$2</f>
        <v>0.74634069943059123</v>
      </c>
      <c r="K40" s="21">
        <f>lc_detailed!BO40/$S$2</f>
        <v>-1.1063804837500948</v>
      </c>
      <c r="L40" s="21">
        <f>lc_detailed!BP40/$S$2</f>
        <v>6.8779721935802511</v>
      </c>
      <c r="M40" s="21">
        <f>lc_detailed!BN40</f>
        <v>4.2544827350411296</v>
      </c>
      <c r="N40" s="21">
        <f>lc_detailed!AV40</f>
        <v>1113.248497682662</v>
      </c>
      <c r="O40" s="21">
        <f t="shared" si="2"/>
        <v>24.413344247426796</v>
      </c>
      <c r="P40" s="21">
        <f t="shared" si="3"/>
        <v>24.413344247426796</v>
      </c>
    </row>
    <row r="41" spans="1:16" x14ac:dyDescent="0.2">
      <c r="A41" t="str">
        <f>lc_detailed!AQ41</f>
        <v>NE_TSC:H2</v>
      </c>
      <c r="B41" s="21">
        <f>lc_detailed!AY41/$S$2</f>
        <v>0</v>
      </c>
      <c r="C41" s="21">
        <f>lc_detailed!AZ41/$S$2</f>
        <v>-0.60707775334165937</v>
      </c>
      <c r="D41" s="21">
        <f>lc_detailed!BA41/$S$2</f>
        <v>0</v>
      </c>
      <c r="E41" s="21">
        <f>lc_detailed!BB41/$S$2</f>
        <v>9.079842636033753</v>
      </c>
      <c r="F41" s="21">
        <f>lc_detailed!BC41/$S$2</f>
        <v>0.48783944911514571</v>
      </c>
      <c r="G41" s="21">
        <f>lc_detailed!BD41/$S$2</f>
        <v>0</v>
      </c>
      <c r="H41" s="21">
        <f>lc_detailed!BE41/$S$2</f>
        <v>5.1922874272807658</v>
      </c>
      <c r="I41" s="21">
        <f>lc_detailed!BF41/$S$2</f>
        <v>2.8418047707297904</v>
      </c>
      <c r="J41" s="21">
        <f>lc_detailed!BG41/$S$2</f>
        <v>0.69221423897216883</v>
      </c>
      <c r="K41" s="21">
        <f>lc_detailed!BO41/$S$2</f>
        <v>0</v>
      </c>
      <c r="L41" s="21">
        <f>lc_detailed!BP41/$S$2</f>
        <v>7.4794843534732518</v>
      </c>
      <c r="M41" s="21">
        <f>lc_detailed!BN41</f>
        <v>4.6265579669780523</v>
      </c>
      <c r="N41" s="21">
        <f>lc_detailed!AV41</f>
        <v>1147.5876175752028</v>
      </c>
      <c r="O41" s="21">
        <f t="shared" si="2"/>
        <v>25.166395122263218</v>
      </c>
      <c r="P41" s="21">
        <f t="shared" si="3"/>
        <v>25.166395122263218</v>
      </c>
    </row>
    <row r="42" spans="1:16" x14ac:dyDescent="0.2">
      <c r="A42" t="str">
        <f>lc_detailed!AQ42</f>
        <v>NE_TSC+CC90:H2</v>
      </c>
      <c r="B42" s="21">
        <f>lc_detailed!AY42/$S$2</f>
        <v>0</v>
      </c>
      <c r="C42" s="21">
        <f>lc_detailed!AZ42/$S$2</f>
        <v>-0.60707775334165937</v>
      </c>
      <c r="D42" s="21">
        <f>lc_detailed!BA42/$S$2</f>
        <v>8.0609565527319307E-2</v>
      </c>
      <c r="E42" s="21">
        <f>lc_detailed!BB42/$S$2</f>
        <v>9.079842636033753</v>
      </c>
      <c r="F42" s="21">
        <f>lc_detailed!BC42/$S$2</f>
        <v>0.48783944911514571</v>
      </c>
      <c r="G42" s="21">
        <f>lc_detailed!BD42/$S$2</f>
        <v>0</v>
      </c>
      <c r="H42" s="21">
        <f>lc_detailed!BE42/$S$2</f>
        <v>5.5996407631099441</v>
      </c>
      <c r="I42" s="21">
        <f>lc_detailed!BF42/$S$2</f>
        <v>3.0648553418449445</v>
      </c>
      <c r="J42" s="21">
        <f>lc_detailed!BG42/$S$2</f>
        <v>0.74652089667940558</v>
      </c>
      <c r="K42" s="21">
        <f>lc_detailed!BO42/$S$2</f>
        <v>-1.4768060834282746</v>
      </c>
      <c r="L42" s="21">
        <f>lc_detailed!BP42/$S$2</f>
        <v>7.4794843534732509</v>
      </c>
      <c r="M42" s="21">
        <f>lc_detailed!BN42</f>
        <v>4.6265579669780514</v>
      </c>
      <c r="N42" s="21">
        <f>lc_detailed!AV42</f>
        <v>1115.1438581070306</v>
      </c>
      <c r="O42" s="21">
        <f t="shared" si="2"/>
        <v>24.454909169013828</v>
      </c>
      <c r="P42" s="21">
        <f t="shared" si="3"/>
        <v>24.454909169013828</v>
      </c>
    </row>
    <row r="43" spans="1:16" x14ac:dyDescent="0.2">
      <c r="A43" t="str">
        <f>lc_detailed!AQ43</f>
        <v>NE_TSC+H2in</v>
      </c>
      <c r="B43" s="21">
        <f>lc_detailed!AY43/$S$2</f>
        <v>8.4561748588229083E-2</v>
      </c>
      <c r="C43" s="21">
        <f>lc_detailed!AZ43/$S$2</f>
        <v>0</v>
      </c>
      <c r="D43" s="21">
        <f>lc_detailed!BA43/$S$2</f>
        <v>0</v>
      </c>
      <c r="E43" s="21">
        <f>lc_detailed!BB43/$S$2</f>
        <v>9.079842636033753</v>
      </c>
      <c r="F43" s="21">
        <f>lc_detailed!BC43/$S$2</f>
        <v>0</v>
      </c>
      <c r="G43" s="21">
        <f>lc_detailed!BD43/$S$2</f>
        <v>0</v>
      </c>
      <c r="H43" s="21">
        <f>lc_detailed!BE43/$S$2</f>
        <v>5.1922874272807658</v>
      </c>
      <c r="I43" s="21">
        <f>lc_detailed!BF43/$S$2</f>
        <v>2.8418047707297904</v>
      </c>
      <c r="J43" s="21">
        <f>lc_detailed!BG43/$S$2</f>
        <v>0.69221423897216883</v>
      </c>
      <c r="K43" s="21">
        <f>lc_detailed!BO43/$S$2</f>
        <v>0</v>
      </c>
      <c r="L43" s="21">
        <f>lc_detailed!BP43/$S$2</f>
        <v>6.7528436827544986</v>
      </c>
      <c r="M43" s="21">
        <f>lc_detailed!BN43</f>
        <v>4.1770824382695819</v>
      </c>
      <c r="N43" s="21">
        <f>lc_detailed!AV43</f>
        <v>1123.74608539878</v>
      </c>
      <c r="O43" s="21">
        <f t="shared" si="2"/>
        <v>24.643554504359209</v>
      </c>
      <c r="P43" s="21">
        <f t="shared" si="3"/>
        <v>24.643554504359205</v>
      </c>
    </row>
    <row r="44" spans="1:16" x14ac:dyDescent="0.2">
      <c r="A44" t="str">
        <f>lc_detailed!AQ44</f>
        <v>NE_TSC+H2in:CH4</v>
      </c>
      <c r="B44" s="21">
        <f>lc_detailed!AY44/$S$2</f>
        <v>0.52251600501927076</v>
      </c>
      <c r="C44" s="21">
        <f>lc_detailed!AZ44/$S$2</f>
        <v>0</v>
      </c>
      <c r="D44" s="21">
        <f>lc_detailed!BA44/$S$2</f>
        <v>0</v>
      </c>
      <c r="E44" s="21">
        <f>lc_detailed!BB44/$S$2</f>
        <v>9.079842636033753</v>
      </c>
      <c r="F44" s="21">
        <f>lc_detailed!BC44/$S$2</f>
        <v>0</v>
      </c>
      <c r="G44" s="21">
        <f>lc_detailed!BD44/$S$2</f>
        <v>-0.43718099906232427</v>
      </c>
      <c r="H44" s="21">
        <f>lc_detailed!BE44/$S$2</f>
        <v>5.1922874272807658</v>
      </c>
      <c r="I44" s="21">
        <f>lc_detailed!BF44/$S$2</f>
        <v>2.8418047707297904</v>
      </c>
      <c r="J44" s="21">
        <f>lc_detailed!BG44/$S$2</f>
        <v>0.69221423897216883</v>
      </c>
      <c r="K44" s="21">
        <f>lc_detailed!BO44/$S$2</f>
        <v>0</v>
      </c>
      <c r="L44" s="21">
        <f>lc_detailed!BP44/$S$2</f>
        <v>6.7528436827544986</v>
      </c>
      <c r="M44" s="21">
        <f>lc_detailed!BN44</f>
        <v>4.1770824382695819</v>
      </c>
      <c r="N44" s="21">
        <f>lc_detailed!AV44</f>
        <v>1123.7813459347933</v>
      </c>
      <c r="O44" s="21">
        <f t="shared" si="2"/>
        <v>24.644327761727922</v>
      </c>
      <c r="P44" s="21">
        <f t="shared" si="3"/>
        <v>24.644327761727922</v>
      </c>
    </row>
    <row r="45" spans="1:16" x14ac:dyDescent="0.2">
      <c r="A45" t="str">
        <f>lc_detailed!AQ45</f>
        <v>SW_ESC</v>
      </c>
      <c r="B45" s="21">
        <f>lc_detailed!AY45/$S$2</f>
        <v>0</v>
      </c>
      <c r="C45" s="21">
        <f>lc_detailed!AZ45/$S$2</f>
        <v>-0.59704919785701938</v>
      </c>
      <c r="D45" s="21">
        <f>lc_detailed!BA45/$S$2</f>
        <v>1.6614680709300209</v>
      </c>
      <c r="E45" s="21">
        <f>lc_detailed!BB45/$S$2</f>
        <v>9.079842636033753</v>
      </c>
      <c r="F45" s="21">
        <f>lc_detailed!BC45/$S$2</f>
        <v>0</v>
      </c>
      <c r="G45" s="21">
        <f>lc_detailed!BD45/$S$2</f>
        <v>-0.50356727823257053</v>
      </c>
      <c r="H45" s="21">
        <f>lc_detailed!BE45/$S$2</f>
        <v>6.8789631956535189</v>
      </c>
      <c r="I45" s="21">
        <f>lc_detailed!BF45/$S$2</f>
        <v>3.7649438231017713</v>
      </c>
      <c r="J45" s="21">
        <f>lc_detailed!BG45/$S$2</f>
        <v>0.91707486414789374</v>
      </c>
      <c r="K45" s="21">
        <f>lc_detailed!BO45/$S$2</f>
        <v>0</v>
      </c>
      <c r="L45" s="21">
        <f>lc_detailed!BP45/$S$2</f>
        <v>6.7528436827544986</v>
      </c>
      <c r="M45" s="21">
        <f>lc_detailed!BN45</f>
        <v>4.1770824382695819</v>
      </c>
      <c r="N45" s="21">
        <f>lc_detailed!AV45</f>
        <v>1274.7261027218533</v>
      </c>
      <c r="O45" s="21">
        <f t="shared" si="2"/>
        <v>27.954519796531869</v>
      </c>
      <c r="P45" s="21">
        <f t="shared" si="3"/>
        <v>27.954519796531866</v>
      </c>
    </row>
    <row r="46" spans="1:16" x14ac:dyDescent="0.2">
      <c r="A46" t="str">
        <f>lc_detailed!AQ46</f>
        <v>TX_ESC</v>
      </c>
      <c r="B46" s="21">
        <f>lc_detailed!AY46/$S$2</f>
        <v>0</v>
      </c>
      <c r="C46" s="21">
        <f>lc_detailed!AZ46/$S$2</f>
        <v>-0.49830589848242174</v>
      </c>
      <c r="D46" s="21">
        <f>lc_detailed!BA46/$S$2</f>
        <v>1.6880451403996672</v>
      </c>
      <c r="E46" s="21">
        <f>lc_detailed!BB46/$S$2</f>
        <v>9.079842636033753</v>
      </c>
      <c r="F46" s="21">
        <f>lc_detailed!BC46/$S$2</f>
        <v>0</v>
      </c>
      <c r="G46" s="21">
        <f>lc_detailed!BD46/$S$2</f>
        <v>-0.41967834925042591</v>
      </c>
      <c r="H46" s="21">
        <f>lc_detailed!BE46/$S$2</f>
        <v>6.8789631956535189</v>
      </c>
      <c r="I46" s="21">
        <f>lc_detailed!BF46/$S$2</f>
        <v>3.7649438231017713</v>
      </c>
      <c r="J46" s="21">
        <f>lc_detailed!BG46/$S$2</f>
        <v>0.91707486414789374</v>
      </c>
      <c r="K46" s="21">
        <f>lc_detailed!BO46/$S$2</f>
        <v>0</v>
      </c>
      <c r="L46" s="21">
        <f>lc_detailed!BP46/$S$2</f>
        <v>6.7528436827544986</v>
      </c>
      <c r="M46" s="21">
        <f>lc_detailed!BN46</f>
        <v>4.1770824382695819</v>
      </c>
      <c r="N46" s="21">
        <f>lc_detailed!AV46</f>
        <v>1284.2660467027367</v>
      </c>
      <c r="O46" s="21">
        <f t="shared" si="2"/>
        <v>28.16372909435826</v>
      </c>
      <c r="P46" s="21">
        <f t="shared" si="3"/>
        <v>28.163729094358253</v>
      </c>
    </row>
    <row r="47" spans="1:16" x14ac:dyDescent="0.2">
      <c r="A47" t="str">
        <f>lc_detailed!AQ47</f>
        <v>NCEN_ESC</v>
      </c>
      <c r="B47" s="21">
        <f>lc_detailed!AY47/$S$2</f>
        <v>0</v>
      </c>
      <c r="C47" s="21">
        <f>lc_detailed!AZ47/$S$2</f>
        <v>-0.87121141516951806</v>
      </c>
      <c r="D47" s="21">
        <f>lc_detailed!BA47/$S$2</f>
        <v>1.810465889644866</v>
      </c>
      <c r="E47" s="21">
        <f>lc_detailed!BB47/$S$2</f>
        <v>9.079842636033753</v>
      </c>
      <c r="F47" s="21">
        <f>lc_detailed!BC47/$S$2</f>
        <v>0</v>
      </c>
      <c r="G47" s="21">
        <f>lc_detailed!BD47/$S$2</f>
        <v>-0.72960045594744538</v>
      </c>
      <c r="H47" s="21">
        <f>lc_detailed!BE47/$S$2</f>
        <v>6.8789631956535189</v>
      </c>
      <c r="I47" s="21">
        <f>lc_detailed!BF47/$S$2</f>
        <v>3.7649438231017713</v>
      </c>
      <c r="J47" s="21">
        <f>lc_detailed!BG47/$S$2</f>
        <v>0.91707486414789374</v>
      </c>
      <c r="K47" s="21">
        <f>lc_detailed!BO47/$S$2</f>
        <v>0</v>
      </c>
      <c r="L47" s="21">
        <f>lc_detailed!BP47/$S$2</f>
        <v>6.7528436827544986</v>
      </c>
      <c r="M47" s="21">
        <f>lc_detailed!BN47</f>
        <v>4.1770824382695819</v>
      </c>
      <c r="N47" s="21">
        <f>lc_detailed!AV47</f>
        <v>1258.7114932420018</v>
      </c>
      <c r="O47" s="21">
        <f t="shared" si="2"/>
        <v>27.603322220219336</v>
      </c>
      <c r="P47" s="21">
        <f t="shared" si="3"/>
        <v>27.603322220219336</v>
      </c>
    </row>
    <row r="48" spans="1:16" x14ac:dyDescent="0.2">
      <c r="A48" t="str">
        <f>lc_detailed!AQ48</f>
        <v>CEN_ESC</v>
      </c>
      <c r="B48" s="21">
        <f>lc_detailed!AY48/$S$2</f>
        <v>0</v>
      </c>
      <c r="C48" s="21">
        <f>lc_detailed!AZ48/$S$2</f>
        <v>-0.8770585451947005</v>
      </c>
      <c r="D48" s="21">
        <f>lc_detailed!BA48/$S$2</f>
        <v>1.7755674563644175</v>
      </c>
      <c r="E48" s="21">
        <f>lc_detailed!BB48/$S$2</f>
        <v>9.079842636033753</v>
      </c>
      <c r="F48" s="21">
        <f>lc_detailed!BC48/$S$2</f>
        <v>0</v>
      </c>
      <c r="G48" s="21">
        <f>lc_detailed!BD48/$S$2</f>
        <v>-0.7341316366849302</v>
      </c>
      <c r="H48" s="21">
        <f>lc_detailed!BE48/$S$2</f>
        <v>6.8789631956535189</v>
      </c>
      <c r="I48" s="21">
        <f>lc_detailed!BF48/$S$2</f>
        <v>3.7649438231017713</v>
      </c>
      <c r="J48" s="21">
        <f>lc_detailed!BG48/$S$2</f>
        <v>0.91707486414789374</v>
      </c>
      <c r="K48" s="21">
        <f>lc_detailed!BO48/$S$2</f>
        <v>0</v>
      </c>
      <c r="L48" s="21">
        <f>lc_detailed!BP48/$S$2</f>
        <v>6.7528436827544986</v>
      </c>
      <c r="M48" s="21">
        <f>lc_detailed!BN48</f>
        <v>4.1770824382695819</v>
      </c>
      <c r="N48" s="21">
        <f>lc_detailed!AV48</f>
        <v>1256.6468737136361</v>
      </c>
      <c r="O48" s="21">
        <f t="shared" si="2"/>
        <v>27.558045476176229</v>
      </c>
      <c r="P48" s="21">
        <f t="shared" si="3"/>
        <v>27.558045476176218</v>
      </c>
    </row>
    <row r="49" spans="1:16" x14ac:dyDescent="0.2">
      <c r="A49" t="str">
        <f>lc_detailed!AQ49</f>
        <v>SE_ESC</v>
      </c>
      <c r="B49" s="21">
        <f>lc_detailed!AY49/$S$2</f>
        <v>0</v>
      </c>
      <c r="C49" s="21">
        <f>lc_detailed!AZ49/$S$2</f>
        <v>-0.47978648791142342</v>
      </c>
      <c r="D49" s="21">
        <f>lc_detailed!BA49/$S$2</f>
        <v>1.6808104501989212</v>
      </c>
      <c r="E49" s="21">
        <f>lc_detailed!BB49/$S$2</f>
        <v>9.079842636033753</v>
      </c>
      <c r="F49" s="21">
        <f>lc_detailed!BC49/$S$2</f>
        <v>0</v>
      </c>
      <c r="G49" s="21">
        <f>lc_detailed!BD49/$S$2</f>
        <v>-0.38854346671639006</v>
      </c>
      <c r="H49" s="21">
        <f>lc_detailed!BE49/$S$2</f>
        <v>6.8789631956535189</v>
      </c>
      <c r="I49" s="21">
        <f>lc_detailed!BF49/$S$2</f>
        <v>3.7649438231017713</v>
      </c>
      <c r="J49" s="21">
        <f>lc_detailed!BG49/$S$2</f>
        <v>0.91707486414789374</v>
      </c>
      <c r="K49" s="21">
        <f>lc_detailed!BO49/$S$2</f>
        <v>0</v>
      </c>
      <c r="L49" s="21">
        <f>lc_detailed!BP49/$S$2</f>
        <v>6.7528436827544986</v>
      </c>
      <c r="M49" s="21">
        <f>lc_detailed!BN49</f>
        <v>4.1770824382695819</v>
      </c>
      <c r="N49" s="21">
        <f>lc_detailed!AV49</f>
        <v>1286.2003805951722</v>
      </c>
      <c r="O49" s="21">
        <f t="shared" si="2"/>
        <v>28.206148697262549</v>
      </c>
      <c r="P49" s="21">
        <f t="shared" si="3"/>
        <v>28.206148697262542</v>
      </c>
    </row>
    <row r="50" spans="1:16" x14ac:dyDescent="0.2">
      <c r="A50" t="str">
        <f>lc_detailed!AQ50</f>
        <v>MIDAT_ESC</v>
      </c>
      <c r="B50" s="21">
        <f>lc_detailed!AY50/$S$2</f>
        <v>0</v>
      </c>
      <c r="C50" s="21">
        <f>lc_detailed!AZ50/$S$2</f>
        <v>-0.4972580335263439</v>
      </c>
      <c r="D50" s="21">
        <f>lc_detailed!BA50/$S$2</f>
        <v>1.699343020913844</v>
      </c>
      <c r="E50" s="21">
        <f>lc_detailed!BB50/$S$2</f>
        <v>9.079842636033753</v>
      </c>
      <c r="F50" s="21">
        <f>lc_detailed!BC50/$S$2</f>
        <v>0</v>
      </c>
      <c r="G50" s="21">
        <f>lc_detailed!BD50/$S$2</f>
        <v>-0.26384058749270484</v>
      </c>
      <c r="H50" s="21">
        <f>lc_detailed!BE50/$S$2</f>
        <v>6.8789631956535189</v>
      </c>
      <c r="I50" s="21">
        <f>lc_detailed!BF50/$S$2</f>
        <v>3.7649438231017713</v>
      </c>
      <c r="J50" s="21">
        <f>lc_detailed!BG50/$S$2</f>
        <v>0.91707486414789374</v>
      </c>
      <c r="K50" s="21">
        <f>lc_detailed!BO50/$S$2</f>
        <v>0</v>
      </c>
      <c r="L50" s="21">
        <f>lc_detailed!BP50/$S$2</f>
        <v>6.7528436827544986</v>
      </c>
      <c r="M50" s="21">
        <f>lc_detailed!BN50</f>
        <v>4.1770824382695819</v>
      </c>
      <c r="N50" s="21">
        <f>lc_detailed!AV50</f>
        <v>1291.9352146323322</v>
      </c>
      <c r="O50" s="21">
        <f t="shared" si="2"/>
        <v>28.331912601586232</v>
      </c>
      <c r="P50" s="21">
        <f t="shared" si="3"/>
        <v>28.331912601586229</v>
      </c>
    </row>
    <row r="51" spans="1:16" x14ac:dyDescent="0.2">
      <c r="A51" t="str">
        <f>lc_detailed!AQ51</f>
        <v>NE_ESC</v>
      </c>
      <c r="B51" s="21">
        <f>lc_detailed!AY51/$S$2</f>
        <v>0</v>
      </c>
      <c r="C51" s="21">
        <f>lc_detailed!AZ51/$S$2</f>
        <v>-0.60707775334165937</v>
      </c>
      <c r="D51" s="21">
        <f>lc_detailed!BA51/$S$2</f>
        <v>1.643169290348093</v>
      </c>
      <c r="E51" s="21">
        <f>lc_detailed!BB51/$S$2</f>
        <v>9.079842636033753</v>
      </c>
      <c r="F51" s="21">
        <f>lc_detailed!BC51/$S$2</f>
        <v>0</v>
      </c>
      <c r="G51" s="21">
        <f>lc_detailed!BD51/$S$2</f>
        <v>-0.43718099906232427</v>
      </c>
      <c r="H51" s="21">
        <f>lc_detailed!BE51/$S$2</f>
        <v>6.8789631956535189</v>
      </c>
      <c r="I51" s="21">
        <f>lc_detailed!BF51/$S$2</f>
        <v>3.7649438231017713</v>
      </c>
      <c r="J51" s="21">
        <f>lc_detailed!BG51/$S$2</f>
        <v>0.91707486414789374</v>
      </c>
      <c r="K51" s="21">
        <f>lc_detailed!BO51/$S$2</f>
        <v>0</v>
      </c>
      <c r="L51" s="21">
        <f>lc_detailed!BP51/$S$2</f>
        <v>6.7528436827544986</v>
      </c>
      <c r="M51" s="21">
        <f>lc_detailed!BN51</f>
        <v>4.1770824382695819</v>
      </c>
      <c r="N51" s="21">
        <f>lc_detailed!AV51</f>
        <v>1276.4615905273808</v>
      </c>
      <c r="O51" s="21">
        <f t="shared" si="2"/>
        <v>27.992578739635544</v>
      </c>
      <c r="P51" s="21">
        <f t="shared" si="3"/>
        <v>27.99257873963554</v>
      </c>
    </row>
    <row r="52" spans="1:16" x14ac:dyDescent="0.2">
      <c r="A52">
        <f>lc_detailed!AQ52</f>
        <v>0</v>
      </c>
      <c r="B52" s="21" t="e">
        <f>lc_detailed!AY52/$S$2</f>
        <v>#DIV/0!</v>
      </c>
      <c r="C52" s="21" t="e">
        <f>lc_detailed!AZ52/$S$2</f>
        <v>#DIV/0!</v>
      </c>
      <c r="D52" s="21" t="e">
        <f>lc_detailed!BA52/$S$2</f>
        <v>#DIV/0!</v>
      </c>
      <c r="E52" s="21" t="e">
        <f>lc_detailed!BB52/$S$2</f>
        <v>#DIV/0!</v>
      </c>
      <c r="F52" s="21" t="e">
        <f>lc_detailed!BC52/$S$2</f>
        <v>#DIV/0!</v>
      </c>
      <c r="G52" s="21" t="e">
        <f>lc_detailed!BD52/$S$2</f>
        <v>#DIV/0!</v>
      </c>
      <c r="H52" s="21" t="e">
        <f>lc_detailed!BE52/$S$2</f>
        <v>#DIV/0!</v>
      </c>
      <c r="I52" s="21" t="e">
        <f>lc_detailed!BF52/$S$2</f>
        <v>#DIV/0!</v>
      </c>
      <c r="J52" s="21" t="e">
        <f>lc_detailed!BG52/$S$2</f>
        <v>#DIV/0!</v>
      </c>
      <c r="K52" s="21" t="e">
        <f>lc_detailed!BO52/$S$2</f>
        <v>#DIV/0!</v>
      </c>
      <c r="L52" s="21" t="e">
        <f>lc_detailed!BP52/$S$2</f>
        <v>#DIV/0!</v>
      </c>
      <c r="M52" s="21" t="e">
        <f>lc_detailed!BN52</f>
        <v>#DIV/0!</v>
      </c>
      <c r="N52" s="21" t="e">
        <f>lc_detailed!AV52</f>
        <v>#DIV/0!</v>
      </c>
      <c r="O52" s="21" t="e">
        <f t="shared" si="2"/>
        <v>#DIV/0!</v>
      </c>
      <c r="P52" s="21" t="e">
        <f t="shared" si="3"/>
        <v>#DIV/0!</v>
      </c>
    </row>
    <row r="53" spans="1:16" x14ac:dyDescent="0.2">
      <c r="A53">
        <f>lc_detailed!AQ53</f>
        <v>0</v>
      </c>
      <c r="B53" s="21" t="e">
        <f>lc_detailed!AY53/$S$2</f>
        <v>#DIV/0!</v>
      </c>
      <c r="C53" s="21" t="e">
        <f>lc_detailed!AZ53/$S$2</f>
        <v>#DIV/0!</v>
      </c>
      <c r="D53" s="21" t="e">
        <f>lc_detailed!BA53/$S$2</f>
        <v>#DIV/0!</v>
      </c>
      <c r="E53" s="21" t="e">
        <f>lc_detailed!BB53/$S$2</f>
        <v>#DIV/0!</v>
      </c>
      <c r="F53" s="21" t="e">
        <f>lc_detailed!BC53/$S$2</f>
        <v>#DIV/0!</v>
      </c>
      <c r="G53" s="21" t="e">
        <f>lc_detailed!BD53/$S$2</f>
        <v>#DIV/0!</v>
      </c>
      <c r="H53" s="21" t="e">
        <f>lc_detailed!BE53/$S$2</f>
        <v>#DIV/0!</v>
      </c>
      <c r="I53" s="21" t="e">
        <f>lc_detailed!BF53/$S$2</f>
        <v>#DIV/0!</v>
      </c>
      <c r="J53" s="21" t="e">
        <f>lc_detailed!BG53/$S$2</f>
        <v>#DIV/0!</v>
      </c>
      <c r="K53" s="21" t="e">
        <f>lc_detailed!BO53/$S$2</f>
        <v>#DIV/0!</v>
      </c>
      <c r="L53" s="21" t="e">
        <f>lc_detailed!BP53/$S$2</f>
        <v>#DIV/0!</v>
      </c>
      <c r="M53" s="21" t="e">
        <f>lc_detailed!BN53</f>
        <v>#DIV/0!</v>
      </c>
      <c r="N53" s="21" t="e">
        <f>lc_detailed!AV53</f>
        <v>#DIV/0!</v>
      </c>
      <c r="O53" s="21" t="e">
        <f t="shared" si="2"/>
        <v>#DIV/0!</v>
      </c>
      <c r="P53" s="21" t="e">
        <f t="shared" si="3"/>
        <v>#DIV/0!</v>
      </c>
    </row>
    <row r="54" spans="1:16" x14ac:dyDescent="0.2">
      <c r="A54">
        <f>lc_detailed!AQ54</f>
        <v>0</v>
      </c>
      <c r="B54" s="21" t="e">
        <f>lc_detailed!AY54/$S$2</f>
        <v>#DIV/0!</v>
      </c>
      <c r="C54" s="21" t="e">
        <f>lc_detailed!AZ54/$S$2</f>
        <v>#DIV/0!</v>
      </c>
      <c r="D54" s="21" t="e">
        <f>lc_detailed!BA54/$S$2</f>
        <v>#DIV/0!</v>
      </c>
      <c r="E54" s="21" t="e">
        <f>lc_detailed!BB54/$S$2</f>
        <v>#DIV/0!</v>
      </c>
      <c r="F54" s="21" t="e">
        <f>lc_detailed!BC54/$S$2</f>
        <v>#DIV/0!</v>
      </c>
      <c r="G54" s="21" t="e">
        <f>lc_detailed!BD54/$S$2</f>
        <v>#DIV/0!</v>
      </c>
      <c r="H54" s="21" t="e">
        <f>lc_detailed!BE54/$S$2</f>
        <v>#DIV/0!</v>
      </c>
      <c r="I54" s="21" t="e">
        <f>lc_detailed!BF54/$S$2</f>
        <v>#DIV/0!</v>
      </c>
      <c r="J54" s="21" t="e">
        <f>lc_detailed!BG54/$S$2</f>
        <v>#DIV/0!</v>
      </c>
      <c r="K54" s="21" t="e">
        <f>lc_detailed!BO54/$S$2</f>
        <v>#DIV/0!</v>
      </c>
      <c r="L54" s="21" t="e">
        <f>lc_detailed!BP54/$S$2</f>
        <v>#DIV/0!</v>
      </c>
      <c r="M54" s="21" t="e">
        <f>lc_detailed!BN54</f>
        <v>#DIV/0!</v>
      </c>
      <c r="N54" s="21" t="e">
        <f>lc_detailed!AV54</f>
        <v>#DIV/0!</v>
      </c>
      <c r="O54" s="21" t="e">
        <f t="shared" si="2"/>
        <v>#DIV/0!</v>
      </c>
      <c r="P54" s="21" t="e">
        <f t="shared" si="3"/>
        <v>#DIV/0!</v>
      </c>
    </row>
    <row r="55" spans="1:16" x14ac:dyDescent="0.2">
      <c r="A55">
        <f>lc_detailed!AQ55</f>
        <v>0</v>
      </c>
      <c r="B55" s="21" t="e">
        <f>lc_detailed!AY55/$S$2</f>
        <v>#DIV/0!</v>
      </c>
      <c r="C55" s="21" t="e">
        <f>lc_detailed!AZ55/$S$2</f>
        <v>#DIV/0!</v>
      </c>
      <c r="D55" s="21" t="e">
        <f>lc_detailed!BA55/$S$2</f>
        <v>#DIV/0!</v>
      </c>
      <c r="E55" s="21" t="e">
        <f>lc_detailed!BB55/$S$2</f>
        <v>#DIV/0!</v>
      </c>
      <c r="F55" s="21" t="e">
        <f>lc_detailed!BC55/$S$2</f>
        <v>#DIV/0!</v>
      </c>
      <c r="G55" s="21" t="e">
        <f>lc_detailed!BD55/$S$2</f>
        <v>#DIV/0!</v>
      </c>
      <c r="H55" s="21" t="e">
        <f>lc_detailed!BE55/$S$2</f>
        <v>#DIV/0!</v>
      </c>
      <c r="I55" s="21" t="e">
        <f>lc_detailed!BF55/$S$2</f>
        <v>#DIV/0!</v>
      </c>
      <c r="J55" s="21" t="e">
        <f>lc_detailed!BG55/$S$2</f>
        <v>#DIV/0!</v>
      </c>
      <c r="K55" s="21" t="e">
        <f>lc_detailed!BO55/$S$2</f>
        <v>#DIV/0!</v>
      </c>
      <c r="L55" s="21" t="e">
        <f>lc_detailed!BP55/$S$2</f>
        <v>#DIV/0!</v>
      </c>
      <c r="M55" s="21" t="e">
        <f>lc_detailed!BN55</f>
        <v>#DIV/0!</v>
      </c>
      <c r="N55" s="21" t="e">
        <f>lc_detailed!AV55</f>
        <v>#DIV/0!</v>
      </c>
      <c r="O55" s="21" t="e">
        <f t="shared" si="2"/>
        <v>#DIV/0!</v>
      </c>
      <c r="P55" s="21" t="e">
        <f t="shared" si="3"/>
        <v>#DIV/0!</v>
      </c>
    </row>
    <row r="56" spans="1:16" x14ac:dyDescent="0.2">
      <c r="A56">
        <f>lc_detailed!AQ56</f>
        <v>0</v>
      </c>
      <c r="B56" s="21" t="e">
        <f>lc_detailed!AY56/$S$2</f>
        <v>#DIV/0!</v>
      </c>
      <c r="C56" s="21" t="e">
        <f>lc_detailed!AZ56/$S$2</f>
        <v>#DIV/0!</v>
      </c>
      <c r="D56" s="21" t="e">
        <f>lc_detailed!BA56/$S$2</f>
        <v>#DIV/0!</v>
      </c>
      <c r="E56" s="21" t="e">
        <f>lc_detailed!BB56/$S$2</f>
        <v>#DIV/0!</v>
      </c>
      <c r="F56" s="21" t="e">
        <f>lc_detailed!BC56/$S$2</f>
        <v>#DIV/0!</v>
      </c>
      <c r="G56" s="21" t="e">
        <f>lc_detailed!BD56/$S$2</f>
        <v>#DIV/0!</v>
      </c>
      <c r="H56" s="21" t="e">
        <f>lc_detailed!BE56/$S$2</f>
        <v>#DIV/0!</v>
      </c>
      <c r="I56" s="21" t="e">
        <f>lc_detailed!BF56/$S$2</f>
        <v>#DIV/0!</v>
      </c>
      <c r="J56" s="21" t="e">
        <f>lc_detailed!BG56/$S$2</f>
        <v>#DIV/0!</v>
      </c>
      <c r="K56" s="21" t="e">
        <f>lc_detailed!BO56/$S$2</f>
        <v>#DIV/0!</v>
      </c>
      <c r="L56" s="21" t="e">
        <f>lc_detailed!BP56/$S$2</f>
        <v>#DIV/0!</v>
      </c>
      <c r="M56" s="21" t="e">
        <f>lc_detailed!BN56</f>
        <v>#DIV/0!</v>
      </c>
      <c r="N56" s="21" t="e">
        <f>lc_detailed!AV56</f>
        <v>#DIV/0!</v>
      </c>
      <c r="O56" s="21" t="e">
        <f t="shared" si="2"/>
        <v>#DIV/0!</v>
      </c>
      <c r="P56" s="21" t="e">
        <f t="shared" si="3"/>
        <v>#DIV/0!</v>
      </c>
    </row>
    <row r="57" spans="1:16" x14ac:dyDescent="0.2">
      <c r="A57">
        <f>lc_detailed!AQ57</f>
        <v>0</v>
      </c>
      <c r="B57" s="21" t="e">
        <f>lc_detailed!AY57/$S$2</f>
        <v>#DIV/0!</v>
      </c>
      <c r="C57" s="21" t="e">
        <f>lc_detailed!AZ57/$S$2</f>
        <v>#DIV/0!</v>
      </c>
      <c r="D57" s="21" t="e">
        <f>lc_detailed!BA57/$S$2</f>
        <v>#DIV/0!</v>
      </c>
      <c r="E57" s="21" t="e">
        <f>lc_detailed!BB57/$S$2</f>
        <v>#DIV/0!</v>
      </c>
      <c r="F57" s="21" t="e">
        <f>lc_detailed!BC57/$S$2</f>
        <v>#DIV/0!</v>
      </c>
      <c r="G57" s="21" t="e">
        <f>lc_detailed!BD57/$S$2</f>
        <v>#DIV/0!</v>
      </c>
      <c r="H57" s="21" t="e">
        <f>lc_detailed!BE57/$S$2</f>
        <v>#DIV/0!</v>
      </c>
      <c r="I57" s="21" t="e">
        <f>lc_detailed!BF57/$S$2</f>
        <v>#DIV/0!</v>
      </c>
      <c r="J57" s="21" t="e">
        <f>lc_detailed!BG57/$S$2</f>
        <v>#DIV/0!</v>
      </c>
      <c r="K57" s="21" t="e">
        <f>lc_detailed!BO57/$S$2</f>
        <v>#DIV/0!</v>
      </c>
      <c r="L57" s="21" t="e">
        <f>lc_detailed!BP57/$S$2</f>
        <v>#DIV/0!</v>
      </c>
      <c r="M57" s="21" t="e">
        <f>lc_detailed!BN57</f>
        <v>#DIV/0!</v>
      </c>
      <c r="N57" s="21" t="e">
        <f>lc_detailed!AV57</f>
        <v>#DIV/0!</v>
      </c>
      <c r="O57" s="21" t="e">
        <f t="shared" si="2"/>
        <v>#DIV/0!</v>
      </c>
      <c r="P57" s="21" t="e">
        <f t="shared" si="3"/>
        <v>#DIV/0!</v>
      </c>
    </row>
    <row r="58" spans="1:16" x14ac:dyDescent="0.2">
      <c r="A58">
        <f>lc_detailed!AQ58</f>
        <v>0</v>
      </c>
      <c r="B58" s="21" t="e">
        <f>lc_detailed!AY58/$S$2</f>
        <v>#DIV/0!</v>
      </c>
      <c r="C58" s="21" t="e">
        <f>lc_detailed!AZ58/$S$2</f>
        <v>#DIV/0!</v>
      </c>
      <c r="D58" s="21" t="e">
        <f>lc_detailed!BA58/$S$2</f>
        <v>#DIV/0!</v>
      </c>
      <c r="E58" s="21" t="e">
        <f>lc_detailed!BB58/$S$2</f>
        <v>#DIV/0!</v>
      </c>
      <c r="F58" s="21" t="e">
        <f>lc_detailed!BC58/$S$2</f>
        <v>#DIV/0!</v>
      </c>
      <c r="G58" s="21" t="e">
        <f>lc_detailed!BD58/$S$2</f>
        <v>#DIV/0!</v>
      </c>
      <c r="H58" s="21" t="e">
        <f>lc_detailed!BE58/$S$2</f>
        <v>#DIV/0!</v>
      </c>
      <c r="I58" s="21" t="e">
        <f>lc_detailed!BF58/$S$2</f>
        <v>#DIV/0!</v>
      </c>
      <c r="J58" s="21" t="e">
        <f>lc_detailed!BG58/$S$2</f>
        <v>#DIV/0!</v>
      </c>
      <c r="K58" s="21" t="e">
        <f>lc_detailed!BO58/$S$2</f>
        <v>#DIV/0!</v>
      </c>
      <c r="L58" s="21" t="e">
        <f>lc_detailed!BP58/$S$2</f>
        <v>#DIV/0!</v>
      </c>
      <c r="M58" s="21" t="e">
        <f>lc_detailed!BN58</f>
        <v>#DIV/0!</v>
      </c>
      <c r="N58" s="21" t="e">
        <f>lc_detailed!AV58</f>
        <v>#DIV/0!</v>
      </c>
      <c r="O58" s="21" t="e">
        <f t="shared" si="2"/>
        <v>#DIV/0!</v>
      </c>
      <c r="P58" s="21" t="e">
        <f t="shared" si="3"/>
        <v>#DIV/0!</v>
      </c>
    </row>
    <row r="59" spans="1:16" x14ac:dyDescent="0.2">
      <c r="A59">
        <f>lc_detailed!AQ59</f>
        <v>0</v>
      </c>
      <c r="B59" s="21" t="e">
        <f>lc_detailed!AY59/$S$2</f>
        <v>#DIV/0!</v>
      </c>
      <c r="C59" s="21" t="e">
        <f>lc_detailed!AZ59/$S$2</f>
        <v>#DIV/0!</v>
      </c>
      <c r="D59" s="21" t="e">
        <f>lc_detailed!BA59/$S$2</f>
        <v>#DIV/0!</v>
      </c>
      <c r="E59" s="21" t="e">
        <f>lc_detailed!BB59/$S$2</f>
        <v>#DIV/0!</v>
      </c>
      <c r="F59" s="21" t="e">
        <f>lc_detailed!BC59/$S$2</f>
        <v>#DIV/0!</v>
      </c>
      <c r="G59" s="21" t="e">
        <f>lc_detailed!BD59/$S$2</f>
        <v>#DIV/0!</v>
      </c>
      <c r="H59" s="21" t="e">
        <f>lc_detailed!BE59/$S$2</f>
        <v>#DIV/0!</v>
      </c>
      <c r="I59" s="21" t="e">
        <f>lc_detailed!BF59/$S$2</f>
        <v>#DIV/0!</v>
      </c>
      <c r="J59" s="21" t="e">
        <f>lc_detailed!BG59/$S$2</f>
        <v>#DIV/0!</v>
      </c>
      <c r="K59" s="21" t="e">
        <f>lc_detailed!BO59/$S$2</f>
        <v>#DIV/0!</v>
      </c>
      <c r="L59" s="21" t="e">
        <f>lc_detailed!BP59/$S$2</f>
        <v>#DIV/0!</v>
      </c>
      <c r="M59" s="21" t="e">
        <f>lc_detailed!BN59</f>
        <v>#DIV/0!</v>
      </c>
      <c r="N59" s="21" t="e">
        <f>lc_detailed!AV59</f>
        <v>#DIV/0!</v>
      </c>
      <c r="O59" s="21" t="e">
        <f t="shared" si="2"/>
        <v>#DIV/0!</v>
      </c>
      <c r="P59" s="21" t="e">
        <f t="shared" si="3"/>
        <v>#DIV/0!</v>
      </c>
    </row>
    <row r="60" spans="1:16" x14ac:dyDescent="0.2">
      <c r="A60">
        <f>lc_detailed!AQ60</f>
        <v>0</v>
      </c>
      <c r="B60" s="21" t="e">
        <f>lc_detailed!AY60/$S$2</f>
        <v>#DIV/0!</v>
      </c>
      <c r="C60" s="21" t="e">
        <f>lc_detailed!AZ60/$S$2</f>
        <v>#DIV/0!</v>
      </c>
      <c r="D60" s="21" t="e">
        <f>lc_detailed!BA60/$S$2</f>
        <v>#DIV/0!</v>
      </c>
      <c r="E60" s="21" t="e">
        <f>lc_detailed!BB60/$S$2</f>
        <v>#DIV/0!</v>
      </c>
      <c r="F60" s="21" t="e">
        <f>lc_detailed!BC60/$S$2</f>
        <v>#DIV/0!</v>
      </c>
      <c r="G60" s="21" t="e">
        <f>lc_detailed!BD60/$S$2</f>
        <v>#DIV/0!</v>
      </c>
      <c r="H60" s="21" t="e">
        <f>lc_detailed!BE60/$S$2</f>
        <v>#DIV/0!</v>
      </c>
      <c r="I60" s="21" t="e">
        <f>lc_detailed!BF60/$S$2</f>
        <v>#DIV/0!</v>
      </c>
      <c r="J60" s="21" t="e">
        <f>lc_detailed!BG60/$S$2</f>
        <v>#DIV/0!</v>
      </c>
      <c r="K60" s="21" t="e">
        <f>lc_detailed!BO60/$S$2</f>
        <v>#DIV/0!</v>
      </c>
      <c r="L60" s="21" t="e">
        <f>lc_detailed!BP60/$S$2</f>
        <v>#DIV/0!</v>
      </c>
      <c r="M60" s="21" t="e">
        <f>lc_detailed!BN60</f>
        <v>#DIV/0!</v>
      </c>
      <c r="N60" s="21" t="e">
        <f>lc_detailed!AV60</f>
        <v>#DIV/0!</v>
      </c>
      <c r="O60" s="21" t="e">
        <f t="shared" si="2"/>
        <v>#DIV/0!</v>
      </c>
      <c r="P60" s="21" t="e">
        <f t="shared" si="3"/>
        <v>#DIV/0!</v>
      </c>
    </row>
    <row r="61" spans="1:16" x14ac:dyDescent="0.2">
      <c r="A61">
        <f>lc_detailed!AQ61</f>
        <v>0</v>
      </c>
      <c r="B61" s="21" t="e">
        <f>lc_detailed!AY61/$S$2</f>
        <v>#DIV/0!</v>
      </c>
      <c r="C61" s="21" t="e">
        <f>lc_detailed!AZ61/$S$2</f>
        <v>#DIV/0!</v>
      </c>
      <c r="D61" s="21" t="e">
        <f>lc_detailed!BA61/$S$2</f>
        <v>#DIV/0!</v>
      </c>
      <c r="E61" s="21" t="e">
        <f>lc_detailed!BB61/$S$2</f>
        <v>#DIV/0!</v>
      </c>
      <c r="F61" s="21" t="e">
        <f>lc_detailed!BC61/$S$2</f>
        <v>#DIV/0!</v>
      </c>
      <c r="G61" s="21" t="e">
        <f>lc_detailed!BD61/$S$2</f>
        <v>#DIV/0!</v>
      </c>
      <c r="H61" s="21" t="e">
        <f>lc_detailed!BE61/$S$2</f>
        <v>#DIV/0!</v>
      </c>
      <c r="I61" s="21" t="e">
        <f>lc_detailed!BF61/$S$2</f>
        <v>#DIV/0!</v>
      </c>
      <c r="J61" s="21" t="e">
        <f>lc_detailed!BG61/$S$2</f>
        <v>#DIV/0!</v>
      </c>
      <c r="K61" s="21" t="e">
        <f>lc_detailed!BO61/$S$2</f>
        <v>#DIV/0!</v>
      </c>
      <c r="L61" s="21" t="e">
        <f>lc_detailed!BP61/$S$2</f>
        <v>#DIV/0!</v>
      </c>
      <c r="M61" s="21" t="e">
        <f>lc_detailed!BN61</f>
        <v>#DIV/0!</v>
      </c>
      <c r="N61" s="21" t="e">
        <f>lc_detailed!AV61</f>
        <v>#DIV/0!</v>
      </c>
      <c r="O61" s="21" t="e">
        <f t="shared" si="2"/>
        <v>#DIV/0!</v>
      </c>
      <c r="P61" s="21" t="e">
        <f t="shared" si="3"/>
        <v>#DIV/0!</v>
      </c>
    </row>
    <row r="62" spans="1:16" x14ac:dyDescent="0.2">
      <c r="A62">
        <f>lc_detailed!AQ62</f>
        <v>0</v>
      </c>
      <c r="B62" s="21" t="e">
        <f>lc_detailed!AY62/$S$2</f>
        <v>#DIV/0!</v>
      </c>
      <c r="C62" s="21" t="e">
        <f>lc_detailed!AZ62/$S$2</f>
        <v>#DIV/0!</v>
      </c>
      <c r="D62" s="21" t="e">
        <f>lc_detailed!BA62/$S$2</f>
        <v>#DIV/0!</v>
      </c>
      <c r="E62" s="21" t="e">
        <f>lc_detailed!BB62/$S$2</f>
        <v>#DIV/0!</v>
      </c>
      <c r="F62" s="21" t="e">
        <f>lc_detailed!BC62/$S$2</f>
        <v>#DIV/0!</v>
      </c>
      <c r="G62" s="21" t="e">
        <f>lc_detailed!BD62/$S$2</f>
        <v>#DIV/0!</v>
      </c>
      <c r="H62" s="21" t="e">
        <f>lc_detailed!BE62/$S$2</f>
        <v>#DIV/0!</v>
      </c>
      <c r="I62" s="21" t="e">
        <f>lc_detailed!BF62/$S$2</f>
        <v>#DIV/0!</v>
      </c>
      <c r="J62" s="21" t="e">
        <f>lc_detailed!BG62/$S$2</f>
        <v>#DIV/0!</v>
      </c>
      <c r="K62" s="21" t="e">
        <f>lc_detailed!BO62/$S$2</f>
        <v>#DIV/0!</v>
      </c>
      <c r="L62" s="21" t="e">
        <f>lc_detailed!BP62/$S$2</f>
        <v>#DIV/0!</v>
      </c>
      <c r="M62" s="21" t="e">
        <f>lc_detailed!BN62</f>
        <v>#DIV/0!</v>
      </c>
      <c r="N62" s="21" t="e">
        <f>lc_detailed!AV62</f>
        <v>#DIV/0!</v>
      </c>
      <c r="O62" s="21" t="e">
        <f t="shared" si="2"/>
        <v>#DIV/0!</v>
      </c>
      <c r="P62" s="21" t="e">
        <f t="shared" si="3"/>
        <v>#DIV/0!</v>
      </c>
    </row>
    <row r="63" spans="1:16" x14ac:dyDescent="0.2">
      <c r="A63">
        <f>lc_detailed!AQ63</f>
        <v>0</v>
      </c>
      <c r="B63" s="21" t="e">
        <f>lc_detailed!AY63/$S$2</f>
        <v>#DIV/0!</v>
      </c>
      <c r="C63" s="21" t="e">
        <f>lc_detailed!AZ63/$S$2</f>
        <v>#DIV/0!</v>
      </c>
      <c r="D63" s="21" t="e">
        <f>lc_detailed!BA63/$S$2</f>
        <v>#DIV/0!</v>
      </c>
      <c r="E63" s="21" t="e">
        <f>lc_detailed!BB63/$S$2</f>
        <v>#DIV/0!</v>
      </c>
      <c r="F63" s="21" t="e">
        <f>lc_detailed!BC63/$S$2</f>
        <v>#DIV/0!</v>
      </c>
      <c r="G63" s="21" t="e">
        <f>lc_detailed!BD63/$S$2</f>
        <v>#DIV/0!</v>
      </c>
      <c r="H63" s="21" t="e">
        <f>lc_detailed!BE63/$S$2</f>
        <v>#DIV/0!</v>
      </c>
      <c r="I63" s="21" t="e">
        <f>lc_detailed!BF63/$S$2</f>
        <v>#DIV/0!</v>
      </c>
      <c r="J63" s="21" t="e">
        <f>lc_detailed!BG63/$S$2</f>
        <v>#DIV/0!</v>
      </c>
      <c r="K63" s="21" t="e">
        <f>lc_detailed!BO63/$S$2</f>
        <v>#DIV/0!</v>
      </c>
      <c r="L63" s="21" t="e">
        <f>lc_detailed!BP63/$S$2</f>
        <v>#DIV/0!</v>
      </c>
      <c r="M63" s="21" t="e">
        <f>lc_detailed!BN63</f>
        <v>#DIV/0!</v>
      </c>
      <c r="N63" s="21" t="e">
        <f>lc_detailed!AV63</f>
        <v>#DIV/0!</v>
      </c>
      <c r="O63" s="21" t="e">
        <f t="shared" si="2"/>
        <v>#DIV/0!</v>
      </c>
      <c r="P63" s="21" t="e">
        <f t="shared" si="3"/>
        <v>#DIV/0!</v>
      </c>
    </row>
    <row r="64" spans="1:16" x14ac:dyDescent="0.2">
      <c r="A64">
        <f>lc_detailed!AQ64</f>
        <v>0</v>
      </c>
      <c r="B64" s="21" t="e">
        <f>lc_detailed!AY64/$S$2</f>
        <v>#DIV/0!</v>
      </c>
      <c r="C64" s="21" t="e">
        <f>lc_detailed!AZ64/$S$2</f>
        <v>#DIV/0!</v>
      </c>
      <c r="D64" s="21" t="e">
        <f>lc_detailed!BA64/$S$2</f>
        <v>#DIV/0!</v>
      </c>
      <c r="E64" s="21" t="e">
        <f>lc_detailed!BB64/$S$2</f>
        <v>#DIV/0!</v>
      </c>
      <c r="F64" s="21" t="e">
        <f>lc_detailed!BC64/$S$2</f>
        <v>#DIV/0!</v>
      </c>
      <c r="G64" s="21" t="e">
        <f>lc_detailed!BD64/$S$2</f>
        <v>#DIV/0!</v>
      </c>
      <c r="H64" s="21" t="e">
        <f>lc_detailed!BE64/$S$2</f>
        <v>#DIV/0!</v>
      </c>
      <c r="I64" s="21" t="e">
        <f>lc_detailed!BF64/$S$2</f>
        <v>#DIV/0!</v>
      </c>
      <c r="J64" s="21" t="e">
        <f>lc_detailed!BG64/$S$2</f>
        <v>#DIV/0!</v>
      </c>
      <c r="K64" s="21" t="e">
        <f>lc_detailed!BO64/$S$2</f>
        <v>#DIV/0!</v>
      </c>
      <c r="L64" s="21" t="e">
        <f>lc_detailed!BP64/$S$2</f>
        <v>#DIV/0!</v>
      </c>
      <c r="M64" s="21" t="e">
        <f>lc_detailed!BN64</f>
        <v>#DIV/0!</v>
      </c>
      <c r="N64" s="21" t="e">
        <f>lc_detailed!AV64</f>
        <v>#DIV/0!</v>
      </c>
      <c r="O64" s="21" t="e">
        <f t="shared" si="2"/>
        <v>#DIV/0!</v>
      </c>
      <c r="P64" s="21" t="e">
        <f t="shared" si="3"/>
        <v>#DIV/0!</v>
      </c>
    </row>
    <row r="65" spans="1:16" x14ac:dyDescent="0.2">
      <c r="A65">
        <f>lc_detailed!AQ65</f>
        <v>0</v>
      </c>
      <c r="B65" s="21" t="e">
        <f>lc_detailed!AY65/$S$2</f>
        <v>#DIV/0!</v>
      </c>
      <c r="C65" s="21" t="e">
        <f>lc_detailed!AZ65/$S$2</f>
        <v>#DIV/0!</v>
      </c>
      <c r="D65" s="21" t="e">
        <f>lc_detailed!BA65/$S$2</f>
        <v>#DIV/0!</v>
      </c>
      <c r="E65" s="21" t="e">
        <f>lc_detailed!BB65/$S$2</f>
        <v>#DIV/0!</v>
      </c>
      <c r="F65" s="21" t="e">
        <f>lc_detailed!BC65/$S$2</f>
        <v>#DIV/0!</v>
      </c>
      <c r="G65" s="21" t="e">
        <f>lc_detailed!BD65/$S$2</f>
        <v>#DIV/0!</v>
      </c>
      <c r="H65" s="21" t="e">
        <f>lc_detailed!BE65/$S$2</f>
        <v>#DIV/0!</v>
      </c>
      <c r="I65" s="21" t="e">
        <f>lc_detailed!BF65/$S$2</f>
        <v>#DIV/0!</v>
      </c>
      <c r="J65" s="21" t="e">
        <f>lc_detailed!BG65/$S$2</f>
        <v>#DIV/0!</v>
      </c>
      <c r="K65" s="21" t="e">
        <f>lc_detailed!BO65/$S$2</f>
        <v>#DIV/0!</v>
      </c>
      <c r="L65" s="21" t="e">
        <f>lc_detailed!BP65/$S$2</f>
        <v>#DIV/0!</v>
      </c>
      <c r="M65" s="21" t="e">
        <f>lc_detailed!BN65</f>
        <v>#DIV/0!</v>
      </c>
      <c r="N65" s="21" t="e">
        <f>lc_detailed!AV65</f>
        <v>#DIV/0!</v>
      </c>
      <c r="O65" s="21" t="e">
        <f t="shared" si="2"/>
        <v>#DIV/0!</v>
      </c>
      <c r="P65" s="21" t="e">
        <f t="shared" si="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lc_detailed</vt:lpstr>
      <vt:lpstr>lc_summary_seq</vt:lpstr>
      <vt:lpstr>lc_summary_noseq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2026-04-13T20:13:36Z</dcterms:modified>
</cp:coreProperties>
</file>