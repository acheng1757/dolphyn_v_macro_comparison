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sc_esc_ethylene_lcoe/"/>
    </mc:Choice>
  </mc:AlternateContent>
  <xr:revisionPtr revIDLastSave="0" documentId="13_ncr:1_{AECD59FF-1D50-EB4F-AE70-CC6DF3B424B7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80" i="1" l="1"/>
  <c r="BF80" i="1"/>
  <c r="BE80" i="1"/>
  <c r="AR80" i="1" s="1"/>
  <c r="AT80" i="1" s="1"/>
  <c r="BD80" i="1"/>
  <c r="BA80" i="1"/>
  <c r="AZ80" i="1"/>
  <c r="AV80" i="1"/>
  <c r="AS80" i="1"/>
  <c r="AP80" i="1"/>
  <c r="AN80" i="1"/>
  <c r="AM80" i="1"/>
  <c r="AL80" i="1"/>
  <c r="AK80" i="1"/>
  <c r="AJ80" i="1"/>
  <c r="AI80" i="1"/>
  <c r="AH80" i="1"/>
  <c r="AG80" i="1"/>
  <c r="AF80" i="1"/>
  <c r="AB80" i="1"/>
  <c r="AA80" i="1"/>
  <c r="BG79" i="1"/>
  <c r="AO79" i="1" s="1"/>
  <c r="AQ79" i="1" s="1"/>
  <c r="AC79" i="1" s="1"/>
  <c r="AE79" i="1" s="1"/>
  <c r="BF79" i="1"/>
  <c r="AR79" i="1" s="1"/>
  <c r="BE79" i="1"/>
  <c r="BB79" i="1"/>
  <c r="BA79" i="1"/>
  <c r="AZ79" i="1"/>
  <c r="AV79" i="1"/>
  <c r="BD79" i="1" s="1"/>
  <c r="BH79" i="1" s="1"/>
  <c r="AT79" i="1"/>
  <c r="AS79" i="1"/>
  <c r="AD79" i="1" s="1"/>
  <c r="AP79" i="1"/>
  <c r="AN79" i="1"/>
  <c r="AM79" i="1"/>
  <c r="AL79" i="1"/>
  <c r="AK79" i="1"/>
  <c r="AJ79" i="1"/>
  <c r="AI79" i="1"/>
  <c r="AH79" i="1"/>
  <c r="AG79" i="1"/>
  <c r="AF79" i="1"/>
  <c r="AB79" i="1"/>
  <c r="AA79" i="1"/>
  <c r="BG78" i="1"/>
  <c r="BF78" i="1"/>
  <c r="BE78" i="1"/>
  <c r="AR78" i="1" s="1"/>
  <c r="AT78" i="1" s="1"/>
  <c r="BD78" i="1"/>
  <c r="BH78" i="1" s="1"/>
  <c r="BA78" i="1"/>
  <c r="AZ78" i="1"/>
  <c r="AV78" i="1"/>
  <c r="AS78" i="1"/>
  <c r="AP78" i="1"/>
  <c r="AO78" i="1"/>
  <c r="AQ78" i="1" s="1"/>
  <c r="AN78" i="1"/>
  <c r="AM78" i="1"/>
  <c r="AL78" i="1"/>
  <c r="AK78" i="1"/>
  <c r="AJ78" i="1"/>
  <c r="AI78" i="1"/>
  <c r="AH78" i="1"/>
  <c r="AG78" i="1"/>
  <c r="AF78" i="1"/>
  <c r="AB78" i="1"/>
  <c r="AA78" i="1"/>
  <c r="BG77" i="1"/>
  <c r="BF77" i="1"/>
  <c r="BE77" i="1"/>
  <c r="BD77" i="1"/>
  <c r="BH77" i="1" s="1"/>
  <c r="BB77" i="1"/>
  <c r="BA77" i="1"/>
  <c r="AZ77" i="1"/>
  <c r="AV77" i="1"/>
  <c r="AS77" i="1"/>
  <c r="AP77" i="1"/>
  <c r="AN77" i="1"/>
  <c r="AM77" i="1"/>
  <c r="AL77" i="1"/>
  <c r="AK77" i="1"/>
  <c r="AJ77" i="1"/>
  <c r="AI77" i="1"/>
  <c r="AH77" i="1"/>
  <c r="AG77" i="1"/>
  <c r="AF77" i="1"/>
  <c r="AB77" i="1"/>
  <c r="AA77" i="1"/>
  <c r="BG76" i="1"/>
  <c r="BF76" i="1"/>
  <c r="BE76" i="1"/>
  <c r="BD76" i="1"/>
  <c r="BH76" i="1" s="1"/>
  <c r="BA76" i="1"/>
  <c r="AZ76" i="1"/>
  <c r="BB76" i="1" s="1"/>
  <c r="BJ76" i="1" s="1"/>
  <c r="AV76" i="1"/>
  <c r="AS76" i="1"/>
  <c r="AR76" i="1"/>
  <c r="AT76" i="1" s="1"/>
  <c r="AP76" i="1"/>
  <c r="AO76" i="1"/>
  <c r="AQ76" i="1" s="1"/>
  <c r="AC76" i="1" s="1"/>
  <c r="AN76" i="1"/>
  <c r="AM76" i="1"/>
  <c r="AL76" i="1"/>
  <c r="AK76" i="1"/>
  <c r="AJ76" i="1"/>
  <c r="AI76" i="1"/>
  <c r="AH76" i="1"/>
  <c r="AG76" i="1"/>
  <c r="AF76" i="1"/>
  <c r="AB76" i="1"/>
  <c r="AA76" i="1"/>
  <c r="BG75" i="1"/>
  <c r="BF75" i="1"/>
  <c r="BE75" i="1"/>
  <c r="BD75" i="1"/>
  <c r="BH75" i="1" s="1"/>
  <c r="BA75" i="1"/>
  <c r="BB75" i="1" s="1"/>
  <c r="AZ75" i="1"/>
  <c r="AV75" i="1"/>
  <c r="AS75" i="1"/>
  <c r="AP75" i="1"/>
  <c r="AN75" i="1"/>
  <c r="AM75" i="1"/>
  <c r="AL75" i="1"/>
  <c r="AK75" i="1"/>
  <c r="AJ75" i="1"/>
  <c r="AI75" i="1"/>
  <c r="AH75" i="1"/>
  <c r="AG75" i="1"/>
  <c r="AF75" i="1"/>
  <c r="AB75" i="1"/>
  <c r="AA75" i="1"/>
  <c r="BJ74" i="1"/>
  <c r="BG74" i="1"/>
  <c r="BF74" i="1"/>
  <c r="AO74" i="1" s="1"/>
  <c r="AQ74" i="1" s="1"/>
  <c r="AC74" i="1" s="1"/>
  <c r="BE74" i="1"/>
  <c r="BA74" i="1"/>
  <c r="AZ74" i="1"/>
  <c r="BB74" i="1" s="1"/>
  <c r="AV74" i="1"/>
  <c r="BD74" i="1" s="1"/>
  <c r="BH74" i="1" s="1"/>
  <c r="AS74" i="1"/>
  <c r="AR74" i="1"/>
  <c r="AT74" i="1" s="1"/>
  <c r="AP74" i="1"/>
  <c r="AN74" i="1"/>
  <c r="AM74" i="1"/>
  <c r="AL74" i="1"/>
  <c r="AK74" i="1"/>
  <c r="AJ74" i="1"/>
  <c r="AI74" i="1"/>
  <c r="AH74" i="1"/>
  <c r="AG74" i="1"/>
  <c r="AF74" i="1"/>
  <c r="AB74" i="1"/>
  <c r="AA74" i="1"/>
  <c r="BG73" i="1"/>
  <c r="BF73" i="1"/>
  <c r="AR73" i="1" s="1"/>
  <c r="AT73" i="1" s="1"/>
  <c r="BE73" i="1"/>
  <c r="BD73" i="1"/>
  <c r="BH73" i="1" s="1"/>
  <c r="BB73" i="1"/>
  <c r="BJ73" i="1" s="1"/>
  <c r="BA73" i="1"/>
  <c r="AZ73" i="1"/>
  <c r="AV73" i="1"/>
  <c r="AS73" i="1"/>
  <c r="AP73" i="1"/>
  <c r="AO73" i="1"/>
  <c r="AQ73" i="1" s="1"/>
  <c r="AN73" i="1"/>
  <c r="AM73" i="1"/>
  <c r="AL73" i="1"/>
  <c r="AK73" i="1"/>
  <c r="AJ73" i="1"/>
  <c r="AI73" i="1"/>
  <c r="AH73" i="1"/>
  <c r="AG73" i="1"/>
  <c r="AF73" i="1"/>
  <c r="AB73" i="1"/>
  <c r="AA73" i="1"/>
  <c r="BG72" i="1"/>
  <c r="BF72" i="1"/>
  <c r="BE72" i="1"/>
  <c r="AO72" i="1" s="1"/>
  <c r="AQ72" i="1" s="1"/>
  <c r="BA72" i="1"/>
  <c r="AZ72" i="1"/>
  <c r="AV72" i="1"/>
  <c r="BD72" i="1" s="1"/>
  <c r="BH72" i="1" s="1"/>
  <c r="AS72" i="1"/>
  <c r="AR72" i="1"/>
  <c r="AT72" i="1" s="1"/>
  <c r="AP72" i="1"/>
  <c r="AN72" i="1"/>
  <c r="AM72" i="1"/>
  <c r="AL72" i="1"/>
  <c r="AK72" i="1"/>
  <c r="AJ72" i="1"/>
  <c r="AI72" i="1"/>
  <c r="AH72" i="1"/>
  <c r="AG72" i="1"/>
  <c r="AF72" i="1"/>
  <c r="AC72" i="1" s="1"/>
  <c r="AB72" i="1"/>
  <c r="AA72" i="1"/>
  <c r="BG71" i="1"/>
  <c r="BF71" i="1"/>
  <c r="BE71" i="1"/>
  <c r="BD71" i="1"/>
  <c r="BH71" i="1" s="1"/>
  <c r="BA71" i="1"/>
  <c r="AZ71" i="1"/>
  <c r="BB71" i="1" s="1"/>
  <c r="AV71" i="1"/>
  <c r="AS71" i="1"/>
  <c r="AP71" i="1"/>
  <c r="AN71" i="1"/>
  <c r="AM71" i="1"/>
  <c r="AL71" i="1"/>
  <c r="AK71" i="1"/>
  <c r="AJ71" i="1"/>
  <c r="AI71" i="1"/>
  <c r="AH71" i="1"/>
  <c r="AG71" i="1"/>
  <c r="AF71" i="1"/>
  <c r="AB71" i="1"/>
  <c r="AA71" i="1"/>
  <c r="BG70" i="1"/>
  <c r="BF70" i="1"/>
  <c r="AR70" i="1" s="1"/>
  <c r="BE70" i="1"/>
  <c r="BA70" i="1"/>
  <c r="AZ70" i="1"/>
  <c r="BB70" i="1" s="1"/>
  <c r="BJ70" i="1" s="1"/>
  <c r="AV70" i="1"/>
  <c r="BD70" i="1" s="1"/>
  <c r="BH70" i="1" s="1"/>
  <c r="AT70" i="1"/>
  <c r="AD70" i="1" s="1"/>
  <c r="AS70" i="1"/>
  <c r="AP70" i="1"/>
  <c r="AO70" i="1"/>
  <c r="AQ70" i="1" s="1"/>
  <c r="AN70" i="1"/>
  <c r="AM70" i="1"/>
  <c r="AL70" i="1"/>
  <c r="AK70" i="1"/>
  <c r="AJ70" i="1"/>
  <c r="AI70" i="1"/>
  <c r="AH70" i="1"/>
  <c r="AG70" i="1"/>
  <c r="AF70" i="1"/>
  <c r="AB70" i="1"/>
  <c r="AA70" i="1"/>
  <c r="BG69" i="1"/>
  <c r="BF69" i="1"/>
  <c r="BE69" i="1"/>
  <c r="AO69" i="1" s="1"/>
  <c r="AQ69" i="1" s="1"/>
  <c r="AC69" i="1" s="1"/>
  <c r="BA69" i="1"/>
  <c r="AZ69" i="1"/>
  <c r="BB69" i="1" s="1"/>
  <c r="AV69" i="1"/>
  <c r="BD69" i="1" s="1"/>
  <c r="BH69" i="1" s="1"/>
  <c r="AS69" i="1"/>
  <c r="AP69" i="1"/>
  <c r="AN69" i="1"/>
  <c r="AM69" i="1"/>
  <c r="AL69" i="1"/>
  <c r="AK69" i="1"/>
  <c r="AJ69" i="1"/>
  <c r="AI69" i="1"/>
  <c r="AH69" i="1"/>
  <c r="AG69" i="1"/>
  <c r="AF69" i="1"/>
  <c r="AB69" i="1"/>
  <c r="AA69" i="1"/>
  <c r="BG68" i="1"/>
  <c r="BF68" i="1"/>
  <c r="BE68" i="1"/>
  <c r="BD68" i="1"/>
  <c r="BB68" i="1"/>
  <c r="BA68" i="1"/>
  <c r="AZ68" i="1"/>
  <c r="AV68" i="1"/>
  <c r="AS68" i="1"/>
  <c r="AR68" i="1"/>
  <c r="AT68" i="1" s="1"/>
  <c r="AD68" i="1" s="1"/>
  <c r="AP68" i="1"/>
  <c r="AO68" i="1"/>
  <c r="AQ68" i="1" s="1"/>
  <c r="AC68" i="1" s="1"/>
  <c r="AE68" i="1" s="1"/>
  <c r="AN68" i="1"/>
  <c r="AM68" i="1"/>
  <c r="AL68" i="1"/>
  <c r="AK68" i="1"/>
  <c r="AJ68" i="1"/>
  <c r="AI68" i="1"/>
  <c r="AH68" i="1"/>
  <c r="AG68" i="1"/>
  <c r="AF68" i="1"/>
  <c r="AB68" i="1"/>
  <c r="AA68" i="1"/>
  <c r="BG67" i="1"/>
  <c r="BF67" i="1"/>
  <c r="BE67" i="1"/>
  <c r="AO67" i="1" s="1"/>
  <c r="BD67" i="1"/>
  <c r="BH67" i="1" s="1"/>
  <c r="BA67" i="1"/>
  <c r="AZ67" i="1"/>
  <c r="BB67" i="1" s="1"/>
  <c r="BJ67" i="1" s="1"/>
  <c r="AV67" i="1"/>
  <c r="AS67" i="1"/>
  <c r="AQ67" i="1"/>
  <c r="AP67" i="1"/>
  <c r="AN67" i="1"/>
  <c r="AM67" i="1"/>
  <c r="AL67" i="1"/>
  <c r="AK67" i="1"/>
  <c r="AJ67" i="1"/>
  <c r="AI67" i="1"/>
  <c r="AH67" i="1"/>
  <c r="AG67" i="1"/>
  <c r="AF67" i="1"/>
  <c r="AB67" i="1"/>
  <c r="AA67" i="1"/>
  <c r="BG66" i="1"/>
  <c r="BF66" i="1"/>
  <c r="AR66" i="1" s="1"/>
  <c r="BE66" i="1"/>
  <c r="BA66" i="1"/>
  <c r="AZ66" i="1"/>
  <c r="BB66" i="1" s="1"/>
  <c r="AV66" i="1"/>
  <c r="BD66" i="1" s="1"/>
  <c r="AT66" i="1"/>
  <c r="AS66" i="1"/>
  <c r="AD66" i="1" s="1"/>
  <c r="AP66" i="1"/>
  <c r="K65" i="2" s="1"/>
  <c r="AN66" i="1"/>
  <c r="J65" i="2" s="1"/>
  <c r="AM66" i="1"/>
  <c r="I65" i="2" s="1"/>
  <c r="AL66" i="1"/>
  <c r="H65" i="2" s="1"/>
  <c r="AK66" i="1"/>
  <c r="G65" i="2" s="1"/>
  <c r="AJ66" i="1"/>
  <c r="F65" i="2" s="1"/>
  <c r="AI66" i="1"/>
  <c r="E65" i="2" s="1"/>
  <c r="AH66" i="1"/>
  <c r="D65" i="2" s="1"/>
  <c r="AG66" i="1"/>
  <c r="C65" i="2" s="1"/>
  <c r="AF66" i="1"/>
  <c r="B65" i="2" s="1"/>
  <c r="AB66" i="1"/>
  <c r="AA66" i="1"/>
  <c r="A65" i="2" s="1"/>
  <c r="BG65" i="1"/>
  <c r="BF65" i="1"/>
  <c r="BE65" i="1"/>
  <c r="AR65" i="1" s="1"/>
  <c r="AT65" i="1" s="1"/>
  <c r="AD65" i="1" s="1"/>
  <c r="BD65" i="1"/>
  <c r="BH65" i="1" s="1"/>
  <c r="BA65" i="1"/>
  <c r="AZ65" i="1"/>
  <c r="BB65" i="1" s="1"/>
  <c r="BJ65" i="1" s="1"/>
  <c r="AV65" i="1"/>
  <c r="AS65" i="1"/>
  <c r="AP65" i="1"/>
  <c r="K64" i="2" s="1"/>
  <c r="AN65" i="1"/>
  <c r="J64" i="2" s="1"/>
  <c r="AM65" i="1"/>
  <c r="I64" i="2" s="1"/>
  <c r="AL65" i="1"/>
  <c r="H64" i="2" s="1"/>
  <c r="AK65" i="1"/>
  <c r="G64" i="2" s="1"/>
  <c r="AJ65" i="1"/>
  <c r="F64" i="2" s="1"/>
  <c r="AI65" i="1"/>
  <c r="E64" i="2" s="1"/>
  <c r="AH65" i="1"/>
  <c r="D64" i="2" s="1"/>
  <c r="AG65" i="1"/>
  <c r="C64" i="2" s="1"/>
  <c r="AF65" i="1"/>
  <c r="B64" i="2" s="1"/>
  <c r="AB65" i="1"/>
  <c r="AA65" i="1"/>
  <c r="A64" i="2" s="1"/>
  <c r="BG64" i="1"/>
  <c r="BF64" i="1"/>
  <c r="BE64" i="1"/>
  <c r="AR64" i="1" s="1"/>
  <c r="AT64" i="1" s="1"/>
  <c r="AD64" i="1" s="1"/>
  <c r="BA64" i="1"/>
  <c r="BB64" i="1" s="1"/>
  <c r="AZ64" i="1"/>
  <c r="AV64" i="1"/>
  <c r="BD64" i="1" s="1"/>
  <c r="AS64" i="1"/>
  <c r="AP64" i="1"/>
  <c r="K63" i="2" s="1"/>
  <c r="AO64" i="1"/>
  <c r="AQ64" i="1" s="1"/>
  <c r="L63" i="2" s="1"/>
  <c r="AN64" i="1"/>
  <c r="J63" i="2" s="1"/>
  <c r="AM64" i="1"/>
  <c r="I63" i="2" s="1"/>
  <c r="AL64" i="1"/>
  <c r="H63" i="2" s="1"/>
  <c r="AK64" i="1"/>
  <c r="G63" i="2" s="1"/>
  <c r="AJ64" i="1"/>
  <c r="F63" i="2" s="1"/>
  <c r="AI64" i="1"/>
  <c r="E63" i="2" s="1"/>
  <c r="AH64" i="1"/>
  <c r="D63" i="2" s="1"/>
  <c r="AG64" i="1"/>
  <c r="C63" i="2" s="1"/>
  <c r="AF64" i="1"/>
  <c r="B63" i="2" s="1"/>
  <c r="AB64" i="1"/>
  <c r="AA64" i="1"/>
  <c r="A63" i="2" s="1"/>
  <c r="BG63" i="1"/>
  <c r="BF63" i="1"/>
  <c r="AO63" i="1" s="1"/>
  <c r="AQ63" i="1" s="1"/>
  <c r="BE63" i="1"/>
  <c r="BA63" i="1"/>
  <c r="AZ63" i="1"/>
  <c r="BB63" i="1" s="1"/>
  <c r="AV63" i="1"/>
  <c r="BD63" i="1" s="1"/>
  <c r="BH63" i="1" s="1"/>
  <c r="AS63" i="1"/>
  <c r="AR63" i="1"/>
  <c r="AT63" i="1" s="1"/>
  <c r="AP63" i="1"/>
  <c r="K62" i="2" s="1"/>
  <c r="AN63" i="1"/>
  <c r="J62" i="2" s="1"/>
  <c r="AM63" i="1"/>
  <c r="I62" i="2" s="1"/>
  <c r="AL63" i="1"/>
  <c r="H62" i="2" s="1"/>
  <c r="AK63" i="1"/>
  <c r="G62" i="2" s="1"/>
  <c r="AJ63" i="1"/>
  <c r="F62" i="2" s="1"/>
  <c r="AI63" i="1"/>
  <c r="E62" i="2" s="1"/>
  <c r="AH63" i="1"/>
  <c r="D62" i="2" s="1"/>
  <c r="AG63" i="1"/>
  <c r="C62" i="2" s="1"/>
  <c r="AF63" i="1"/>
  <c r="B62" i="2" s="1"/>
  <c r="AB63" i="1"/>
  <c r="AA63" i="1"/>
  <c r="A62" i="2" s="1"/>
  <c r="BG62" i="1"/>
  <c r="BF62" i="1"/>
  <c r="AR62" i="1" s="1"/>
  <c r="BE62" i="1"/>
  <c r="BD62" i="1"/>
  <c r="BH62" i="1" s="1"/>
  <c r="BB62" i="1"/>
  <c r="BA62" i="1"/>
  <c r="AZ62" i="1"/>
  <c r="AV62" i="1"/>
  <c r="AT62" i="1"/>
  <c r="AD62" i="1" s="1"/>
  <c r="AS62" i="1"/>
  <c r="AP62" i="1"/>
  <c r="K61" i="2" s="1"/>
  <c r="AO62" i="1"/>
  <c r="AQ62" i="1" s="1"/>
  <c r="L61" i="2" s="1"/>
  <c r="AN62" i="1"/>
  <c r="J61" i="2" s="1"/>
  <c r="AM62" i="1"/>
  <c r="I61" i="2" s="1"/>
  <c r="AL62" i="1"/>
  <c r="H61" i="2" s="1"/>
  <c r="AK62" i="1"/>
  <c r="G61" i="2" s="1"/>
  <c r="AJ62" i="1"/>
  <c r="F61" i="2" s="1"/>
  <c r="AI62" i="1"/>
  <c r="E61" i="2" s="1"/>
  <c r="AH62" i="1"/>
  <c r="D61" i="2" s="1"/>
  <c r="AG62" i="1"/>
  <c r="C61" i="2" s="1"/>
  <c r="AF62" i="1"/>
  <c r="B61" i="2" s="1"/>
  <c r="AB62" i="1"/>
  <c r="AA62" i="1"/>
  <c r="A61" i="2" s="1"/>
  <c r="BG61" i="1"/>
  <c r="BF61" i="1"/>
  <c r="BE61" i="1"/>
  <c r="AO61" i="1" s="1"/>
  <c r="AQ61" i="1" s="1"/>
  <c r="BA61" i="1"/>
  <c r="AZ61" i="1"/>
  <c r="BB61" i="1" s="1"/>
  <c r="AV61" i="1"/>
  <c r="BD61" i="1" s="1"/>
  <c r="BH61" i="1" s="1"/>
  <c r="BJ61" i="1" s="1"/>
  <c r="AT61" i="1"/>
  <c r="AS61" i="1"/>
  <c r="AR61" i="1"/>
  <c r="AP61" i="1"/>
  <c r="K60" i="2" s="1"/>
  <c r="AN61" i="1"/>
  <c r="J60" i="2" s="1"/>
  <c r="AM61" i="1"/>
  <c r="I60" i="2" s="1"/>
  <c r="AL61" i="1"/>
  <c r="H60" i="2" s="1"/>
  <c r="AK61" i="1"/>
  <c r="G60" i="2" s="1"/>
  <c r="AJ61" i="1"/>
  <c r="F60" i="2" s="1"/>
  <c r="AI61" i="1"/>
  <c r="E60" i="2" s="1"/>
  <c r="AH61" i="1"/>
  <c r="D60" i="2" s="1"/>
  <c r="AG61" i="1"/>
  <c r="C60" i="2" s="1"/>
  <c r="AF61" i="1"/>
  <c r="B60" i="2" s="1"/>
  <c r="AD61" i="1"/>
  <c r="AB61" i="1"/>
  <c r="AA61" i="1"/>
  <c r="A60" i="2" s="1"/>
  <c r="BG60" i="1"/>
  <c r="BF60" i="1"/>
  <c r="BE60" i="1"/>
  <c r="AO60" i="1" s="1"/>
  <c r="AQ60" i="1" s="1"/>
  <c r="BD60" i="1"/>
  <c r="BH60" i="1" s="1"/>
  <c r="BB60" i="1"/>
  <c r="BA60" i="1"/>
  <c r="AZ60" i="1"/>
  <c r="AV60" i="1"/>
  <c r="AS60" i="1"/>
  <c r="AR60" i="1"/>
  <c r="AT60" i="1" s="1"/>
  <c r="AP60" i="1"/>
  <c r="K59" i="2" s="1"/>
  <c r="AN60" i="1"/>
  <c r="J59" i="2" s="1"/>
  <c r="AM60" i="1"/>
  <c r="I59" i="2" s="1"/>
  <c r="AL60" i="1"/>
  <c r="H59" i="2" s="1"/>
  <c r="AK60" i="1"/>
  <c r="G59" i="2" s="1"/>
  <c r="AJ60" i="1"/>
  <c r="F59" i="2" s="1"/>
  <c r="AI60" i="1"/>
  <c r="E59" i="2" s="1"/>
  <c r="AH60" i="1"/>
  <c r="D59" i="2" s="1"/>
  <c r="AG60" i="1"/>
  <c r="C59" i="2" s="1"/>
  <c r="AF60" i="1"/>
  <c r="B59" i="2" s="1"/>
  <c r="AB60" i="1"/>
  <c r="AA60" i="1"/>
  <c r="A59" i="2" s="1"/>
  <c r="BG59" i="1"/>
  <c r="BF59" i="1"/>
  <c r="BE59" i="1"/>
  <c r="BD59" i="1"/>
  <c r="BH59" i="1" s="1"/>
  <c r="BB59" i="1"/>
  <c r="BA59" i="1"/>
  <c r="AZ59" i="1"/>
  <c r="AV59" i="1"/>
  <c r="AS59" i="1"/>
  <c r="AR59" i="1"/>
  <c r="AT59" i="1" s="1"/>
  <c r="AD59" i="1" s="1"/>
  <c r="AP59" i="1"/>
  <c r="K58" i="2" s="1"/>
  <c r="AO59" i="1"/>
  <c r="AQ59" i="1" s="1"/>
  <c r="L58" i="2" s="1"/>
  <c r="AN59" i="1"/>
  <c r="J58" i="2" s="1"/>
  <c r="AM59" i="1"/>
  <c r="I58" i="2" s="1"/>
  <c r="AL59" i="1"/>
  <c r="H58" i="2" s="1"/>
  <c r="AK59" i="1"/>
  <c r="G58" i="2" s="1"/>
  <c r="AJ59" i="1"/>
  <c r="F58" i="2" s="1"/>
  <c r="AI59" i="1"/>
  <c r="E58" i="2" s="1"/>
  <c r="AH59" i="1"/>
  <c r="D58" i="2" s="1"/>
  <c r="AG59" i="1"/>
  <c r="C58" i="2" s="1"/>
  <c r="AF59" i="1"/>
  <c r="B58" i="2" s="1"/>
  <c r="AB59" i="1"/>
  <c r="AA59" i="1"/>
  <c r="A58" i="2" s="1"/>
  <c r="BG58" i="1"/>
  <c r="BF58" i="1"/>
  <c r="AR58" i="1" s="1"/>
  <c r="AT58" i="1" s="1"/>
  <c r="AD58" i="1" s="1"/>
  <c r="BE58" i="1"/>
  <c r="AO58" i="1" s="1"/>
  <c r="AQ58" i="1" s="1"/>
  <c r="BA58" i="1"/>
  <c r="AZ58" i="1"/>
  <c r="BB58" i="1" s="1"/>
  <c r="BJ58" i="1" s="1"/>
  <c r="AV58" i="1"/>
  <c r="BD58" i="1" s="1"/>
  <c r="BH58" i="1" s="1"/>
  <c r="AS58" i="1"/>
  <c r="AP58" i="1"/>
  <c r="K57" i="2" s="1"/>
  <c r="AN58" i="1"/>
  <c r="J57" i="2" s="1"/>
  <c r="AM58" i="1"/>
  <c r="I57" i="2" s="1"/>
  <c r="AL58" i="1"/>
  <c r="H57" i="2" s="1"/>
  <c r="AK58" i="1"/>
  <c r="G57" i="2" s="1"/>
  <c r="AJ58" i="1"/>
  <c r="F57" i="2" s="1"/>
  <c r="AI58" i="1"/>
  <c r="E57" i="2" s="1"/>
  <c r="AH58" i="1"/>
  <c r="D57" i="2" s="1"/>
  <c r="AG58" i="1"/>
  <c r="C57" i="2" s="1"/>
  <c r="AF58" i="1"/>
  <c r="B57" i="2" s="1"/>
  <c r="AB58" i="1"/>
  <c r="AA58" i="1"/>
  <c r="A57" i="2" s="1"/>
  <c r="BG57" i="1"/>
  <c r="BF57" i="1"/>
  <c r="AR57" i="1" s="1"/>
  <c r="AT57" i="1" s="1"/>
  <c r="AD57" i="1" s="1"/>
  <c r="BE57" i="1"/>
  <c r="AO57" i="1" s="1"/>
  <c r="AQ57" i="1" s="1"/>
  <c r="BD57" i="1"/>
  <c r="BH57" i="1" s="1"/>
  <c r="BA57" i="1"/>
  <c r="AZ57" i="1"/>
  <c r="BB57" i="1" s="1"/>
  <c r="AV57" i="1"/>
  <c r="AS57" i="1"/>
  <c r="AP57" i="1"/>
  <c r="K56" i="2" s="1"/>
  <c r="AN57" i="1"/>
  <c r="J56" i="2" s="1"/>
  <c r="AM57" i="1"/>
  <c r="I56" i="2" s="1"/>
  <c r="AL57" i="1"/>
  <c r="H56" i="2" s="1"/>
  <c r="AK57" i="1"/>
  <c r="G56" i="2" s="1"/>
  <c r="AJ57" i="1"/>
  <c r="F56" i="2" s="1"/>
  <c r="AI57" i="1"/>
  <c r="E56" i="2" s="1"/>
  <c r="AH57" i="1"/>
  <c r="D56" i="2" s="1"/>
  <c r="AG57" i="1"/>
  <c r="C56" i="2" s="1"/>
  <c r="AF57" i="1"/>
  <c r="B56" i="2" s="1"/>
  <c r="AB57" i="1"/>
  <c r="AA57" i="1"/>
  <c r="A56" i="2" s="1"/>
  <c r="BG56" i="1"/>
  <c r="BF56" i="1"/>
  <c r="BE56" i="1"/>
  <c r="AO56" i="1" s="1"/>
  <c r="AQ56" i="1" s="1"/>
  <c r="L55" i="2" s="1"/>
  <c r="BD56" i="1"/>
  <c r="BH56" i="1" s="1"/>
  <c r="BA56" i="1"/>
  <c r="BB56" i="1" s="1"/>
  <c r="BJ56" i="1" s="1"/>
  <c r="AZ56" i="1"/>
  <c r="AV56" i="1"/>
  <c r="AS56" i="1"/>
  <c r="AR56" i="1"/>
  <c r="AT56" i="1" s="1"/>
  <c r="AD56" i="1" s="1"/>
  <c r="AP56" i="1"/>
  <c r="K55" i="2" s="1"/>
  <c r="AN56" i="1"/>
  <c r="J55" i="2" s="1"/>
  <c r="AM56" i="1"/>
  <c r="I55" i="2" s="1"/>
  <c r="AL56" i="1"/>
  <c r="H55" i="2" s="1"/>
  <c r="AK56" i="1"/>
  <c r="G55" i="2" s="1"/>
  <c r="AJ56" i="1"/>
  <c r="F55" i="2" s="1"/>
  <c r="AI56" i="1"/>
  <c r="E55" i="2" s="1"/>
  <c r="AH56" i="1"/>
  <c r="D55" i="2" s="1"/>
  <c r="AG56" i="1"/>
  <c r="C55" i="2" s="1"/>
  <c r="AF56" i="1"/>
  <c r="B55" i="2" s="1"/>
  <c r="AB56" i="1"/>
  <c r="AA56" i="1"/>
  <c r="A55" i="2" s="1"/>
  <c r="BG55" i="1"/>
  <c r="BF55" i="1"/>
  <c r="BE55" i="1"/>
  <c r="AO55" i="1" s="1"/>
  <c r="AQ55" i="1" s="1"/>
  <c r="L54" i="2" s="1"/>
  <c r="BA55" i="1"/>
  <c r="BB55" i="1" s="1"/>
  <c r="BJ55" i="1" s="1"/>
  <c r="AZ55" i="1"/>
  <c r="AV55" i="1"/>
  <c r="BD55" i="1" s="1"/>
  <c r="BH55" i="1" s="1"/>
  <c r="AS55" i="1"/>
  <c r="AR55" i="1"/>
  <c r="AT55" i="1" s="1"/>
  <c r="AP55" i="1"/>
  <c r="K54" i="2" s="1"/>
  <c r="AN55" i="1"/>
  <c r="J54" i="2" s="1"/>
  <c r="AM55" i="1"/>
  <c r="I54" i="2" s="1"/>
  <c r="AL55" i="1"/>
  <c r="H54" i="2" s="1"/>
  <c r="AK55" i="1"/>
  <c r="G54" i="2" s="1"/>
  <c r="AJ55" i="1"/>
  <c r="F54" i="2" s="1"/>
  <c r="AI55" i="1"/>
  <c r="E54" i="2" s="1"/>
  <c r="AH55" i="1"/>
  <c r="D54" i="2" s="1"/>
  <c r="AG55" i="1"/>
  <c r="C54" i="2" s="1"/>
  <c r="AF55" i="1"/>
  <c r="B54" i="2" s="1"/>
  <c r="AB55" i="1"/>
  <c r="AA55" i="1"/>
  <c r="A54" i="2" s="1"/>
  <c r="BG54" i="1"/>
  <c r="BF54" i="1"/>
  <c r="AR54" i="1" s="1"/>
  <c r="AT54" i="1" s="1"/>
  <c r="BE54" i="1"/>
  <c r="AO54" i="1" s="1"/>
  <c r="AQ54" i="1" s="1"/>
  <c r="L53" i="2" s="1"/>
  <c r="BA54" i="1"/>
  <c r="AZ54" i="1"/>
  <c r="BB54" i="1" s="1"/>
  <c r="BJ54" i="1" s="1"/>
  <c r="AV54" i="1"/>
  <c r="BD54" i="1" s="1"/>
  <c r="BH54" i="1" s="1"/>
  <c r="AS54" i="1"/>
  <c r="AD54" i="1" s="1"/>
  <c r="AP54" i="1"/>
  <c r="K53" i="2" s="1"/>
  <c r="AN54" i="1"/>
  <c r="J53" i="2" s="1"/>
  <c r="AM54" i="1"/>
  <c r="I53" i="2" s="1"/>
  <c r="AL54" i="1"/>
  <c r="H53" i="2" s="1"/>
  <c r="AK54" i="1"/>
  <c r="G53" i="2" s="1"/>
  <c r="AJ54" i="1"/>
  <c r="F53" i="2" s="1"/>
  <c r="AI54" i="1"/>
  <c r="E53" i="2" s="1"/>
  <c r="AH54" i="1"/>
  <c r="D53" i="2" s="1"/>
  <c r="AG54" i="1"/>
  <c r="C53" i="2" s="1"/>
  <c r="AF54" i="1"/>
  <c r="B53" i="2" s="1"/>
  <c r="AB54" i="1"/>
  <c r="AA54" i="1"/>
  <c r="A53" i="2" s="1"/>
  <c r="BG53" i="1"/>
  <c r="BF53" i="1"/>
  <c r="AR53" i="1" s="1"/>
  <c r="AT53" i="1" s="1"/>
  <c r="AD53" i="1" s="1"/>
  <c r="BE53" i="1"/>
  <c r="AO53" i="1" s="1"/>
  <c r="AQ53" i="1" s="1"/>
  <c r="BD53" i="1"/>
  <c r="BH53" i="1" s="1"/>
  <c r="BA53" i="1"/>
  <c r="AZ53" i="1"/>
  <c r="BB53" i="1" s="1"/>
  <c r="AV53" i="1"/>
  <c r="AS53" i="1"/>
  <c r="AP53" i="1"/>
  <c r="K52" i="2" s="1"/>
  <c r="AN53" i="1"/>
  <c r="J52" i="2" s="1"/>
  <c r="AM53" i="1"/>
  <c r="I52" i="2" s="1"/>
  <c r="AL53" i="1"/>
  <c r="H52" i="2" s="1"/>
  <c r="AK53" i="1"/>
  <c r="G52" i="2" s="1"/>
  <c r="AJ53" i="1"/>
  <c r="F52" i="2" s="1"/>
  <c r="AI53" i="1"/>
  <c r="E52" i="2" s="1"/>
  <c r="AH53" i="1"/>
  <c r="D52" i="2" s="1"/>
  <c r="AG53" i="1"/>
  <c r="C52" i="2" s="1"/>
  <c r="AF53" i="1"/>
  <c r="B52" i="2" s="1"/>
  <c r="AB53" i="1"/>
  <c r="AA53" i="1"/>
  <c r="A52" i="2" s="1"/>
  <c r="BG52" i="1"/>
  <c r="BF52" i="1"/>
  <c r="BE52" i="1"/>
  <c r="AO52" i="1" s="1"/>
  <c r="AQ52" i="1" s="1"/>
  <c r="L51" i="2" s="1"/>
  <c r="BD52" i="1"/>
  <c r="BH52" i="1" s="1"/>
  <c r="BA52" i="1"/>
  <c r="BB52" i="1" s="1"/>
  <c r="BJ52" i="1" s="1"/>
  <c r="AZ52" i="1"/>
  <c r="AV52" i="1"/>
  <c r="AS52" i="1"/>
  <c r="AR52" i="1"/>
  <c r="AT52" i="1" s="1"/>
  <c r="AD52" i="1" s="1"/>
  <c r="AP52" i="1"/>
  <c r="K51" i="2" s="1"/>
  <c r="AN52" i="1"/>
  <c r="J51" i="2" s="1"/>
  <c r="AM52" i="1"/>
  <c r="I51" i="2" s="1"/>
  <c r="AL52" i="1"/>
  <c r="H51" i="2" s="1"/>
  <c r="AK52" i="1"/>
  <c r="G51" i="2" s="1"/>
  <c r="AJ52" i="1"/>
  <c r="F51" i="2" s="1"/>
  <c r="AI52" i="1"/>
  <c r="E51" i="2" s="1"/>
  <c r="AH52" i="1"/>
  <c r="D51" i="2" s="1"/>
  <c r="AG52" i="1"/>
  <c r="C51" i="2" s="1"/>
  <c r="AF52" i="1"/>
  <c r="B51" i="2" s="1"/>
  <c r="AB52" i="1"/>
  <c r="AA52" i="1"/>
  <c r="A51" i="2" s="1"/>
  <c r="BG51" i="1"/>
  <c r="BF51" i="1"/>
  <c r="BE51" i="1"/>
  <c r="BA51" i="1"/>
  <c r="BB51" i="1" s="1"/>
  <c r="BJ51" i="1" s="1"/>
  <c r="AZ51" i="1"/>
  <c r="AV51" i="1"/>
  <c r="BD51" i="1" s="1"/>
  <c r="BH51" i="1" s="1"/>
  <c r="AS51" i="1"/>
  <c r="AR51" i="1"/>
  <c r="AT51" i="1" s="1"/>
  <c r="AP51" i="1"/>
  <c r="K50" i="2" s="1"/>
  <c r="AO51" i="1"/>
  <c r="AQ51" i="1" s="1"/>
  <c r="L50" i="2" s="1"/>
  <c r="AN51" i="1"/>
  <c r="J50" i="2" s="1"/>
  <c r="AM51" i="1"/>
  <c r="I50" i="2" s="1"/>
  <c r="AL51" i="1"/>
  <c r="H50" i="2" s="1"/>
  <c r="AK51" i="1"/>
  <c r="G50" i="2" s="1"/>
  <c r="AJ51" i="1"/>
  <c r="F50" i="2" s="1"/>
  <c r="AI51" i="1"/>
  <c r="E50" i="2" s="1"/>
  <c r="AH51" i="1"/>
  <c r="D50" i="2" s="1"/>
  <c r="AG51" i="1"/>
  <c r="C50" i="2" s="1"/>
  <c r="AF51" i="1"/>
  <c r="B50" i="2" s="1"/>
  <c r="AB51" i="1"/>
  <c r="AA51" i="1"/>
  <c r="A50" i="2" s="1"/>
  <c r="BG50" i="1"/>
  <c r="BF50" i="1"/>
  <c r="AR50" i="1" s="1"/>
  <c r="AT50" i="1" s="1"/>
  <c r="BE50" i="1"/>
  <c r="AO50" i="1" s="1"/>
  <c r="AQ50" i="1" s="1"/>
  <c r="L49" i="2" s="1"/>
  <c r="BA50" i="1"/>
  <c r="AZ50" i="1"/>
  <c r="BB50" i="1" s="1"/>
  <c r="AV50" i="1"/>
  <c r="BD50" i="1" s="1"/>
  <c r="BH50" i="1" s="1"/>
  <c r="AS50" i="1"/>
  <c r="AP50" i="1"/>
  <c r="K49" i="2" s="1"/>
  <c r="AN50" i="1"/>
  <c r="J49" i="2" s="1"/>
  <c r="AM50" i="1"/>
  <c r="I49" i="2" s="1"/>
  <c r="AL50" i="1"/>
  <c r="H49" i="2" s="1"/>
  <c r="AK50" i="1"/>
  <c r="G49" i="2" s="1"/>
  <c r="AJ50" i="1"/>
  <c r="F49" i="2" s="1"/>
  <c r="AI50" i="1"/>
  <c r="E49" i="2" s="1"/>
  <c r="AH50" i="1"/>
  <c r="D49" i="2" s="1"/>
  <c r="AG50" i="1"/>
  <c r="C49" i="2" s="1"/>
  <c r="AF50" i="1"/>
  <c r="B49" i="2" s="1"/>
  <c r="AB50" i="1"/>
  <c r="AA50" i="1"/>
  <c r="A49" i="2" s="1"/>
  <c r="BG49" i="1"/>
  <c r="BF49" i="1"/>
  <c r="AR49" i="1" s="1"/>
  <c r="BE49" i="1"/>
  <c r="BD49" i="1"/>
  <c r="BA49" i="1"/>
  <c r="AZ49" i="1"/>
  <c r="BB49" i="1" s="1"/>
  <c r="AV49" i="1"/>
  <c r="AT49" i="1"/>
  <c r="AD49" i="1" s="1"/>
  <c r="AS49" i="1"/>
  <c r="AP49" i="1"/>
  <c r="K48" i="2" s="1"/>
  <c r="AN49" i="1"/>
  <c r="J48" i="2" s="1"/>
  <c r="AM49" i="1"/>
  <c r="I48" i="2" s="1"/>
  <c r="AL49" i="1"/>
  <c r="H48" i="2" s="1"/>
  <c r="AK49" i="1"/>
  <c r="G48" i="2" s="1"/>
  <c r="AJ49" i="1"/>
  <c r="F48" i="2" s="1"/>
  <c r="AI49" i="1"/>
  <c r="E48" i="2" s="1"/>
  <c r="AH49" i="1"/>
  <c r="D48" i="2" s="1"/>
  <c r="AG49" i="1"/>
  <c r="C48" i="2" s="1"/>
  <c r="AF49" i="1"/>
  <c r="B48" i="2" s="1"/>
  <c r="AB49" i="1"/>
  <c r="AA49" i="1"/>
  <c r="A48" i="2" s="1"/>
  <c r="BG48" i="1"/>
  <c r="BF48" i="1"/>
  <c r="BE48" i="1"/>
  <c r="BD48" i="1"/>
  <c r="BA48" i="1"/>
  <c r="BB48" i="1" s="1"/>
  <c r="AZ48" i="1"/>
  <c r="AV48" i="1"/>
  <c r="AS48" i="1"/>
  <c r="AP48" i="1"/>
  <c r="K47" i="2" s="1"/>
  <c r="AN48" i="1"/>
  <c r="J47" i="2" s="1"/>
  <c r="AM48" i="1"/>
  <c r="I47" i="2" s="1"/>
  <c r="AL48" i="1"/>
  <c r="H47" i="2" s="1"/>
  <c r="AK48" i="1"/>
  <c r="G47" i="2" s="1"/>
  <c r="AJ48" i="1"/>
  <c r="F47" i="2" s="1"/>
  <c r="AI48" i="1"/>
  <c r="E47" i="2" s="1"/>
  <c r="AH48" i="1"/>
  <c r="D47" i="2" s="1"/>
  <c r="AG48" i="1"/>
  <c r="C47" i="2" s="1"/>
  <c r="AF48" i="1"/>
  <c r="B47" i="2" s="1"/>
  <c r="AB48" i="1"/>
  <c r="AA48" i="1"/>
  <c r="A47" i="2" s="1"/>
  <c r="BG47" i="1"/>
  <c r="BF47" i="1"/>
  <c r="BE47" i="1"/>
  <c r="BA47" i="1"/>
  <c r="BB47" i="1" s="1"/>
  <c r="BJ47" i="1" s="1"/>
  <c r="AZ47" i="1"/>
  <c r="AV47" i="1"/>
  <c r="BD47" i="1" s="1"/>
  <c r="BH47" i="1" s="1"/>
  <c r="AS47" i="1"/>
  <c r="AR47" i="1"/>
  <c r="AT47" i="1" s="1"/>
  <c r="AP47" i="1"/>
  <c r="AO47" i="1"/>
  <c r="AQ47" i="1" s="1"/>
  <c r="L46" i="2" s="1"/>
  <c r="AN47" i="1"/>
  <c r="J46" i="2" s="1"/>
  <c r="AM47" i="1"/>
  <c r="I46" i="2" s="1"/>
  <c r="AL47" i="1"/>
  <c r="H46" i="2" s="1"/>
  <c r="AK47" i="1"/>
  <c r="G46" i="2" s="1"/>
  <c r="AJ47" i="1"/>
  <c r="F46" i="2" s="1"/>
  <c r="AI47" i="1"/>
  <c r="E46" i="2" s="1"/>
  <c r="AH47" i="1"/>
  <c r="D46" i="2" s="1"/>
  <c r="AG47" i="1"/>
  <c r="C46" i="2" s="1"/>
  <c r="AF47" i="1"/>
  <c r="B46" i="2" s="1"/>
  <c r="AB47" i="1"/>
  <c r="AA47" i="1"/>
  <c r="A46" i="2" s="1"/>
  <c r="BH46" i="1"/>
  <c r="BG46" i="1"/>
  <c r="BF46" i="1"/>
  <c r="AR46" i="1" s="1"/>
  <c r="AT46" i="1" s="1"/>
  <c r="BE46" i="1"/>
  <c r="AO46" i="1" s="1"/>
  <c r="AQ46" i="1" s="1"/>
  <c r="L45" i="2" s="1"/>
  <c r="BA46" i="1"/>
  <c r="AZ46" i="1"/>
  <c r="BB46" i="1" s="1"/>
  <c r="BJ46" i="1" s="1"/>
  <c r="AV46" i="1"/>
  <c r="BD46" i="1" s="1"/>
  <c r="AS46" i="1"/>
  <c r="AP46" i="1"/>
  <c r="AN46" i="1"/>
  <c r="J45" i="2" s="1"/>
  <c r="AM46" i="1"/>
  <c r="I45" i="2" s="1"/>
  <c r="AL46" i="1"/>
  <c r="H45" i="2" s="1"/>
  <c r="AK46" i="1"/>
  <c r="G45" i="2" s="1"/>
  <c r="AJ46" i="1"/>
  <c r="F45" i="2" s="1"/>
  <c r="AI46" i="1"/>
  <c r="E45" i="2" s="1"/>
  <c r="AH46" i="1"/>
  <c r="D45" i="2" s="1"/>
  <c r="AG46" i="1"/>
  <c r="C45" i="2" s="1"/>
  <c r="AF46" i="1"/>
  <c r="B45" i="2" s="1"/>
  <c r="AB46" i="1"/>
  <c r="AA46" i="1"/>
  <c r="A45" i="2" s="1"/>
  <c r="BG45" i="1"/>
  <c r="BF45" i="1"/>
  <c r="AR45" i="1" s="1"/>
  <c r="AT45" i="1" s="1"/>
  <c r="BE45" i="1"/>
  <c r="BD45" i="1"/>
  <c r="BA45" i="1"/>
  <c r="AZ45" i="1"/>
  <c r="BB45" i="1" s="1"/>
  <c r="AV45" i="1"/>
  <c r="AS45" i="1"/>
  <c r="AD45" i="1" s="1"/>
  <c r="AP45" i="1"/>
  <c r="K44" i="2" s="1"/>
  <c r="AN45" i="1"/>
  <c r="J44" i="2" s="1"/>
  <c r="AM45" i="1"/>
  <c r="I44" i="2" s="1"/>
  <c r="AL45" i="1"/>
  <c r="H44" i="2" s="1"/>
  <c r="AK45" i="1"/>
  <c r="G44" i="2" s="1"/>
  <c r="AJ45" i="1"/>
  <c r="F44" i="2" s="1"/>
  <c r="AI45" i="1"/>
  <c r="E44" i="2" s="1"/>
  <c r="AH45" i="1"/>
  <c r="D44" i="2" s="1"/>
  <c r="AG45" i="1"/>
  <c r="C44" i="2" s="1"/>
  <c r="AF45" i="1"/>
  <c r="B44" i="2" s="1"/>
  <c r="AB45" i="1"/>
  <c r="AA45" i="1"/>
  <c r="A44" i="2" s="1"/>
  <c r="BG44" i="1"/>
  <c r="BF44" i="1"/>
  <c r="BE44" i="1"/>
  <c r="AO44" i="1" s="1"/>
  <c r="BD44" i="1"/>
  <c r="BA44" i="1"/>
  <c r="BB44" i="1" s="1"/>
  <c r="AZ44" i="1"/>
  <c r="AV44" i="1"/>
  <c r="AS44" i="1"/>
  <c r="AQ44" i="1"/>
  <c r="L43" i="2" s="1"/>
  <c r="AP44" i="1"/>
  <c r="K43" i="2" s="1"/>
  <c r="AN44" i="1"/>
  <c r="J43" i="2" s="1"/>
  <c r="AM44" i="1"/>
  <c r="I43" i="2" s="1"/>
  <c r="AL44" i="1"/>
  <c r="H43" i="2" s="1"/>
  <c r="AK44" i="1"/>
  <c r="G43" i="2" s="1"/>
  <c r="AJ44" i="1"/>
  <c r="F43" i="2" s="1"/>
  <c r="AI44" i="1"/>
  <c r="E43" i="2" s="1"/>
  <c r="AH44" i="1"/>
  <c r="D43" i="2" s="1"/>
  <c r="AG44" i="1"/>
  <c r="C43" i="2" s="1"/>
  <c r="AF44" i="1"/>
  <c r="B43" i="2" s="1"/>
  <c r="AB44" i="1"/>
  <c r="AA44" i="1"/>
  <c r="A43" i="2" s="1"/>
  <c r="BG43" i="1"/>
  <c r="BF43" i="1"/>
  <c r="BE43" i="1"/>
  <c r="AR43" i="1" s="1"/>
  <c r="AT43" i="1" s="1"/>
  <c r="BB43" i="1"/>
  <c r="BA43" i="1"/>
  <c r="AZ43" i="1"/>
  <c r="AV43" i="1"/>
  <c r="BD43" i="1" s="1"/>
  <c r="AS43" i="1"/>
  <c r="AP43" i="1"/>
  <c r="AO43" i="1"/>
  <c r="AQ43" i="1" s="1"/>
  <c r="L42" i="2" s="1"/>
  <c r="AN43" i="1"/>
  <c r="J42" i="2" s="1"/>
  <c r="AM43" i="1"/>
  <c r="I42" i="2" s="1"/>
  <c r="AL43" i="1"/>
  <c r="H42" i="2" s="1"/>
  <c r="AK43" i="1"/>
  <c r="G42" i="2" s="1"/>
  <c r="AJ43" i="1"/>
  <c r="F42" i="2" s="1"/>
  <c r="AI43" i="1"/>
  <c r="E42" i="2" s="1"/>
  <c r="AH43" i="1"/>
  <c r="D42" i="2" s="1"/>
  <c r="AG43" i="1"/>
  <c r="C42" i="2" s="1"/>
  <c r="AF43" i="1"/>
  <c r="B42" i="2" s="1"/>
  <c r="AB43" i="1"/>
  <c r="AA43" i="1"/>
  <c r="A42" i="2" s="1"/>
  <c r="BH42" i="1"/>
  <c r="BG42" i="1"/>
  <c r="BF42" i="1"/>
  <c r="AR42" i="1" s="1"/>
  <c r="AT42" i="1" s="1"/>
  <c r="BE42" i="1"/>
  <c r="AO42" i="1" s="1"/>
  <c r="AQ42" i="1" s="1"/>
  <c r="L41" i="2" s="1"/>
  <c r="BB42" i="1"/>
  <c r="BJ42" i="1" s="1"/>
  <c r="BA42" i="1"/>
  <c r="AZ42" i="1"/>
  <c r="AV42" i="1"/>
  <c r="BD42" i="1" s="1"/>
  <c r="AS42" i="1"/>
  <c r="AP42" i="1"/>
  <c r="AN42" i="1"/>
  <c r="J41" i="2" s="1"/>
  <c r="AM42" i="1"/>
  <c r="I41" i="2" s="1"/>
  <c r="AL42" i="1"/>
  <c r="H41" i="2" s="1"/>
  <c r="AK42" i="1"/>
  <c r="G41" i="2" s="1"/>
  <c r="AJ42" i="1"/>
  <c r="F41" i="2" s="1"/>
  <c r="AI42" i="1"/>
  <c r="E41" i="2" s="1"/>
  <c r="AH42" i="1"/>
  <c r="D41" i="2" s="1"/>
  <c r="AG42" i="1"/>
  <c r="C41" i="2" s="1"/>
  <c r="AF42" i="1"/>
  <c r="B41" i="2" s="1"/>
  <c r="AB42" i="1"/>
  <c r="AA42" i="1"/>
  <c r="A41" i="2" s="1"/>
  <c r="BG41" i="1"/>
  <c r="BF41" i="1"/>
  <c r="AR41" i="1" s="1"/>
  <c r="BE41" i="1"/>
  <c r="AO41" i="1" s="1"/>
  <c r="AQ41" i="1" s="1"/>
  <c r="L40" i="2" s="1"/>
  <c r="BD41" i="1"/>
  <c r="BH41" i="1" s="1"/>
  <c r="BA41" i="1"/>
  <c r="AZ41" i="1"/>
  <c r="BB41" i="1" s="1"/>
  <c r="BJ41" i="1" s="1"/>
  <c r="AV41" i="1"/>
  <c r="AT41" i="1"/>
  <c r="AS41" i="1"/>
  <c r="AP41" i="1"/>
  <c r="K40" i="2" s="1"/>
  <c r="AN41" i="1"/>
  <c r="J40" i="2" s="1"/>
  <c r="AM41" i="1"/>
  <c r="I40" i="2" s="1"/>
  <c r="AL41" i="1"/>
  <c r="H40" i="2" s="1"/>
  <c r="AK41" i="1"/>
  <c r="G40" i="2" s="1"/>
  <c r="AJ41" i="1"/>
  <c r="F40" i="2" s="1"/>
  <c r="AI41" i="1"/>
  <c r="E40" i="2" s="1"/>
  <c r="AH41" i="1"/>
  <c r="D40" i="2" s="1"/>
  <c r="AG41" i="1"/>
  <c r="C40" i="2" s="1"/>
  <c r="AF41" i="1"/>
  <c r="B40" i="2" s="1"/>
  <c r="AD41" i="1"/>
  <c r="AC41" i="1"/>
  <c r="AB41" i="1"/>
  <c r="AA41" i="1"/>
  <c r="A40" i="2" s="1"/>
  <c r="BG40" i="1"/>
  <c r="BF40" i="1"/>
  <c r="BE40" i="1"/>
  <c r="BD40" i="1"/>
  <c r="BH40" i="1" s="1"/>
  <c r="BA40" i="1"/>
  <c r="BB40" i="1" s="1"/>
  <c r="BJ40" i="1" s="1"/>
  <c r="AZ40" i="1"/>
  <c r="AV40" i="1"/>
  <c r="AS40" i="1"/>
  <c r="AP40" i="1"/>
  <c r="K39" i="2" s="1"/>
  <c r="AN40" i="1"/>
  <c r="J39" i="2" s="1"/>
  <c r="AM40" i="1"/>
  <c r="I39" i="2" s="1"/>
  <c r="AL40" i="1"/>
  <c r="H39" i="2" s="1"/>
  <c r="AK40" i="1"/>
  <c r="G39" i="2" s="1"/>
  <c r="AJ40" i="1"/>
  <c r="F39" i="2" s="1"/>
  <c r="AI40" i="1"/>
  <c r="E39" i="2" s="1"/>
  <c r="AH40" i="1"/>
  <c r="D39" i="2" s="1"/>
  <c r="AG40" i="1"/>
  <c r="C39" i="2" s="1"/>
  <c r="AF40" i="1"/>
  <c r="B39" i="2" s="1"/>
  <c r="AB40" i="1"/>
  <c r="AA40" i="1"/>
  <c r="A39" i="2" s="1"/>
  <c r="BG39" i="1"/>
  <c r="BF39" i="1"/>
  <c r="BE39" i="1"/>
  <c r="BA39" i="1"/>
  <c r="BB39" i="1" s="1"/>
  <c r="BJ39" i="1" s="1"/>
  <c r="AZ39" i="1"/>
  <c r="AV39" i="1"/>
  <c r="BD39" i="1" s="1"/>
  <c r="BH39" i="1" s="1"/>
  <c r="AS39" i="1"/>
  <c r="AR39" i="1"/>
  <c r="AT39" i="1" s="1"/>
  <c r="AD39" i="1" s="1"/>
  <c r="AP39" i="1"/>
  <c r="AO39" i="1"/>
  <c r="AQ39" i="1" s="1"/>
  <c r="L38" i="2" s="1"/>
  <c r="AN39" i="1"/>
  <c r="J38" i="2" s="1"/>
  <c r="AM39" i="1"/>
  <c r="I38" i="2" s="1"/>
  <c r="AL39" i="1"/>
  <c r="H38" i="2" s="1"/>
  <c r="AK39" i="1"/>
  <c r="G38" i="2" s="1"/>
  <c r="AJ39" i="1"/>
  <c r="F38" i="2" s="1"/>
  <c r="AI39" i="1"/>
  <c r="E38" i="2" s="1"/>
  <c r="AH39" i="1"/>
  <c r="D38" i="2" s="1"/>
  <c r="AG39" i="1"/>
  <c r="C38" i="2" s="1"/>
  <c r="AF39" i="1"/>
  <c r="B38" i="2" s="1"/>
  <c r="AB39" i="1"/>
  <c r="AA39" i="1"/>
  <c r="A38" i="2" s="1"/>
  <c r="BG38" i="1"/>
  <c r="BF38" i="1"/>
  <c r="AO38" i="1" s="1"/>
  <c r="AQ38" i="1" s="1"/>
  <c r="L37" i="2" s="1"/>
  <c r="BE38" i="1"/>
  <c r="BB38" i="1"/>
  <c r="BJ38" i="1" s="1"/>
  <c r="BA38" i="1"/>
  <c r="AZ38" i="1"/>
  <c r="AV38" i="1"/>
  <c r="BD38" i="1" s="1"/>
  <c r="BH38" i="1" s="1"/>
  <c r="AS38" i="1"/>
  <c r="AP38" i="1"/>
  <c r="AN38" i="1"/>
  <c r="J37" i="2" s="1"/>
  <c r="AM38" i="1"/>
  <c r="I37" i="2" s="1"/>
  <c r="AL38" i="1"/>
  <c r="H37" i="2" s="1"/>
  <c r="AK38" i="1"/>
  <c r="G37" i="2" s="1"/>
  <c r="AJ38" i="1"/>
  <c r="F37" i="2" s="1"/>
  <c r="AI38" i="1"/>
  <c r="E37" i="2" s="1"/>
  <c r="AH38" i="1"/>
  <c r="D37" i="2" s="1"/>
  <c r="AG38" i="1"/>
  <c r="C37" i="2" s="1"/>
  <c r="AF38" i="1"/>
  <c r="B37" i="2" s="1"/>
  <c r="AB38" i="1"/>
  <c r="AA38" i="1"/>
  <c r="A37" i="2" s="1"/>
  <c r="BG37" i="1"/>
  <c r="BF37" i="1"/>
  <c r="AR37" i="1" s="1"/>
  <c r="BE37" i="1"/>
  <c r="BD37" i="1"/>
  <c r="BA37" i="1"/>
  <c r="AZ37" i="1"/>
  <c r="BB37" i="1" s="1"/>
  <c r="AV37" i="1"/>
  <c r="AT37" i="1"/>
  <c r="AS37" i="1"/>
  <c r="AD37" i="1" s="1"/>
  <c r="AP37" i="1"/>
  <c r="K36" i="2" s="1"/>
  <c r="AN37" i="1"/>
  <c r="J36" i="2" s="1"/>
  <c r="AM37" i="1"/>
  <c r="I36" i="2" s="1"/>
  <c r="AL37" i="1"/>
  <c r="H36" i="2" s="1"/>
  <c r="AK37" i="1"/>
  <c r="G36" i="2" s="1"/>
  <c r="AJ37" i="1"/>
  <c r="F36" i="2" s="1"/>
  <c r="AI37" i="1"/>
  <c r="E36" i="2" s="1"/>
  <c r="AH37" i="1"/>
  <c r="D36" i="2" s="1"/>
  <c r="AG37" i="1"/>
  <c r="C36" i="2" s="1"/>
  <c r="AF37" i="1"/>
  <c r="B36" i="2" s="1"/>
  <c r="AB37" i="1"/>
  <c r="AA37" i="1"/>
  <c r="A36" i="2" s="1"/>
  <c r="BG36" i="1"/>
  <c r="BF36" i="1"/>
  <c r="BE36" i="1"/>
  <c r="BD36" i="1"/>
  <c r="BA36" i="1"/>
  <c r="BB36" i="1" s="1"/>
  <c r="AZ36" i="1"/>
  <c r="AV36" i="1"/>
  <c r="AT36" i="1"/>
  <c r="AD36" i="1" s="1"/>
  <c r="AS36" i="1"/>
  <c r="AR36" i="1"/>
  <c r="AP36" i="1"/>
  <c r="K35" i="2" s="1"/>
  <c r="AN36" i="1"/>
  <c r="J35" i="2" s="1"/>
  <c r="AM36" i="1"/>
  <c r="I35" i="2" s="1"/>
  <c r="AL36" i="1"/>
  <c r="H35" i="2" s="1"/>
  <c r="AK36" i="1"/>
  <c r="G35" i="2" s="1"/>
  <c r="AJ36" i="1"/>
  <c r="F35" i="2" s="1"/>
  <c r="AI36" i="1"/>
  <c r="E35" i="2" s="1"/>
  <c r="AH36" i="1"/>
  <c r="D35" i="2" s="1"/>
  <c r="AG36" i="1"/>
  <c r="C35" i="2" s="1"/>
  <c r="AF36" i="1"/>
  <c r="B35" i="2" s="1"/>
  <c r="AB36" i="1"/>
  <c r="AA36" i="1"/>
  <c r="A35" i="2" s="1"/>
  <c r="BG35" i="1"/>
  <c r="BF35" i="1"/>
  <c r="BE35" i="1"/>
  <c r="BB35" i="1"/>
  <c r="BA35" i="1"/>
  <c r="AZ35" i="1"/>
  <c r="AV35" i="1"/>
  <c r="BD35" i="1" s="1"/>
  <c r="BH35" i="1" s="1"/>
  <c r="AS35" i="1"/>
  <c r="AR35" i="1"/>
  <c r="AT35" i="1" s="1"/>
  <c r="AP35" i="1"/>
  <c r="AO35" i="1"/>
  <c r="AQ35" i="1" s="1"/>
  <c r="L34" i="2" s="1"/>
  <c r="AN35" i="1"/>
  <c r="J34" i="2" s="1"/>
  <c r="AM35" i="1"/>
  <c r="I34" i="2" s="1"/>
  <c r="AL35" i="1"/>
  <c r="H34" i="2" s="1"/>
  <c r="AK35" i="1"/>
  <c r="G34" i="2" s="1"/>
  <c r="AJ35" i="1"/>
  <c r="F34" i="2" s="1"/>
  <c r="AI35" i="1"/>
  <c r="E34" i="2" s="1"/>
  <c r="AH35" i="1"/>
  <c r="D34" i="2" s="1"/>
  <c r="AG35" i="1"/>
  <c r="C34" i="2" s="1"/>
  <c r="AF35" i="1"/>
  <c r="B34" i="2" s="1"/>
  <c r="AB35" i="1"/>
  <c r="AA35" i="1"/>
  <c r="A34" i="2" s="1"/>
  <c r="BH34" i="1"/>
  <c r="BJ34" i="1" s="1"/>
  <c r="BG34" i="1"/>
  <c r="BF34" i="1"/>
  <c r="AR34" i="1" s="1"/>
  <c r="BE34" i="1"/>
  <c r="BB34" i="1"/>
  <c r="BA34" i="1"/>
  <c r="AZ34" i="1"/>
  <c r="AV34" i="1"/>
  <c r="BD34" i="1" s="1"/>
  <c r="AT34" i="1"/>
  <c r="AD34" i="1" s="1"/>
  <c r="AS34" i="1"/>
  <c r="AP34" i="1"/>
  <c r="AN34" i="1"/>
  <c r="J33" i="2" s="1"/>
  <c r="AM34" i="1"/>
  <c r="I33" i="2" s="1"/>
  <c r="AL34" i="1"/>
  <c r="H33" i="2" s="1"/>
  <c r="AK34" i="1"/>
  <c r="G33" i="2" s="1"/>
  <c r="AJ34" i="1"/>
  <c r="F33" i="2" s="1"/>
  <c r="AI34" i="1"/>
  <c r="E33" i="2" s="1"/>
  <c r="AH34" i="1"/>
  <c r="D33" i="2" s="1"/>
  <c r="AG34" i="1"/>
  <c r="C33" i="2" s="1"/>
  <c r="AF34" i="1"/>
  <c r="B33" i="2" s="1"/>
  <c r="AB34" i="1"/>
  <c r="AA34" i="1"/>
  <c r="A33" i="2" s="1"/>
  <c r="BG33" i="1"/>
  <c r="BF33" i="1"/>
  <c r="BE33" i="1"/>
  <c r="BD33" i="1"/>
  <c r="BA33" i="1"/>
  <c r="AZ33" i="1"/>
  <c r="BB33" i="1" s="1"/>
  <c r="AV33" i="1"/>
  <c r="AT33" i="1"/>
  <c r="AS33" i="1"/>
  <c r="AD33" i="1" s="1"/>
  <c r="AR33" i="1"/>
  <c r="AP33" i="1"/>
  <c r="K32" i="2" s="1"/>
  <c r="AN33" i="1"/>
  <c r="J32" i="2" s="1"/>
  <c r="AM33" i="1"/>
  <c r="I32" i="2" s="1"/>
  <c r="AL33" i="1"/>
  <c r="H32" i="2" s="1"/>
  <c r="AK33" i="1"/>
  <c r="G32" i="2" s="1"/>
  <c r="AJ33" i="1"/>
  <c r="F32" i="2" s="1"/>
  <c r="AI33" i="1"/>
  <c r="E32" i="2" s="1"/>
  <c r="AH33" i="1"/>
  <c r="D32" i="2" s="1"/>
  <c r="AG33" i="1"/>
  <c r="C32" i="2" s="1"/>
  <c r="AF33" i="1"/>
  <c r="B32" i="2" s="1"/>
  <c r="AB33" i="1"/>
  <c r="AA33" i="1"/>
  <c r="A32" i="2" s="1"/>
  <c r="BG32" i="1"/>
  <c r="BF32" i="1"/>
  <c r="BE32" i="1"/>
  <c r="BD32" i="1"/>
  <c r="BB32" i="1"/>
  <c r="BA32" i="1"/>
  <c r="AZ32" i="1"/>
  <c r="AV32" i="1"/>
  <c r="AT32" i="1"/>
  <c r="AD32" i="1" s="1"/>
  <c r="AS32" i="1"/>
  <c r="AR32" i="1"/>
  <c r="AP32" i="1"/>
  <c r="AN32" i="1"/>
  <c r="J31" i="2" s="1"/>
  <c r="AM32" i="1"/>
  <c r="I31" i="2" s="1"/>
  <c r="AL32" i="1"/>
  <c r="H31" i="2" s="1"/>
  <c r="AK32" i="1"/>
  <c r="G31" i="2" s="1"/>
  <c r="AJ32" i="1"/>
  <c r="F31" i="2" s="1"/>
  <c r="AI32" i="1"/>
  <c r="E31" i="2" s="1"/>
  <c r="AH32" i="1"/>
  <c r="D31" i="2" s="1"/>
  <c r="AG32" i="1"/>
  <c r="C31" i="2" s="1"/>
  <c r="AF32" i="1"/>
  <c r="B31" i="2" s="1"/>
  <c r="AB32" i="1"/>
  <c r="AA32" i="1"/>
  <c r="A31" i="2" s="1"/>
  <c r="BG31" i="1"/>
  <c r="BF31" i="1"/>
  <c r="BE31" i="1"/>
  <c r="BA31" i="1"/>
  <c r="AZ31" i="1"/>
  <c r="BB31" i="1" s="1"/>
  <c r="BJ31" i="1" s="1"/>
  <c r="AV31" i="1"/>
  <c r="BD31" i="1" s="1"/>
  <c r="BH31" i="1" s="1"/>
  <c r="AS31" i="1"/>
  <c r="AR31" i="1"/>
  <c r="AT31" i="1" s="1"/>
  <c r="AP31" i="1"/>
  <c r="AO31" i="1"/>
  <c r="AQ31" i="1" s="1"/>
  <c r="L30" i="2" s="1"/>
  <c r="AN31" i="1"/>
  <c r="J30" i="2" s="1"/>
  <c r="AM31" i="1"/>
  <c r="I30" i="2" s="1"/>
  <c r="AL31" i="1"/>
  <c r="H30" i="2" s="1"/>
  <c r="AK31" i="1"/>
  <c r="G30" i="2" s="1"/>
  <c r="AJ31" i="1"/>
  <c r="F30" i="2" s="1"/>
  <c r="AI31" i="1"/>
  <c r="E30" i="2" s="1"/>
  <c r="AH31" i="1"/>
  <c r="D30" i="2" s="1"/>
  <c r="AG31" i="1"/>
  <c r="C30" i="2" s="1"/>
  <c r="AF31" i="1"/>
  <c r="B30" i="2" s="1"/>
  <c r="AB31" i="1"/>
  <c r="AA31" i="1"/>
  <c r="A30" i="2" s="1"/>
  <c r="BG30" i="1"/>
  <c r="BF30" i="1"/>
  <c r="AR30" i="1" s="1"/>
  <c r="BE30" i="1"/>
  <c r="AO30" i="1" s="1"/>
  <c r="AQ30" i="1" s="1"/>
  <c r="L29" i="2" s="1"/>
  <c r="BA30" i="1"/>
  <c r="AZ30" i="1"/>
  <c r="BB30" i="1" s="1"/>
  <c r="AV30" i="1"/>
  <c r="BD30" i="1" s="1"/>
  <c r="BH30" i="1" s="1"/>
  <c r="AT30" i="1"/>
  <c r="AS30" i="1"/>
  <c r="AP30" i="1"/>
  <c r="AN30" i="1"/>
  <c r="J29" i="2" s="1"/>
  <c r="AM30" i="1"/>
  <c r="I29" i="2" s="1"/>
  <c r="AL30" i="1"/>
  <c r="H29" i="2" s="1"/>
  <c r="AK30" i="1"/>
  <c r="G29" i="2" s="1"/>
  <c r="AJ30" i="1"/>
  <c r="F29" i="2" s="1"/>
  <c r="AI30" i="1"/>
  <c r="E29" i="2" s="1"/>
  <c r="AH30" i="1"/>
  <c r="D29" i="2" s="1"/>
  <c r="AG30" i="1"/>
  <c r="C29" i="2" s="1"/>
  <c r="AF30" i="1"/>
  <c r="B29" i="2" s="1"/>
  <c r="AD30" i="1"/>
  <c r="AB30" i="1"/>
  <c r="AA30" i="1"/>
  <c r="A29" i="2" s="1"/>
  <c r="BG29" i="1"/>
  <c r="BF29" i="1"/>
  <c r="BE29" i="1"/>
  <c r="BD29" i="1"/>
  <c r="BA29" i="1"/>
  <c r="AZ29" i="1"/>
  <c r="BB29" i="1" s="1"/>
  <c r="AV29" i="1"/>
  <c r="AT29" i="1"/>
  <c r="AS29" i="1"/>
  <c r="AR29" i="1"/>
  <c r="AP29" i="1"/>
  <c r="K28" i="2" s="1"/>
  <c r="AN29" i="1"/>
  <c r="J28" i="2" s="1"/>
  <c r="AM29" i="1"/>
  <c r="I28" i="2" s="1"/>
  <c r="AL29" i="1"/>
  <c r="H28" i="2" s="1"/>
  <c r="AK29" i="1"/>
  <c r="G28" i="2" s="1"/>
  <c r="AJ29" i="1"/>
  <c r="F28" i="2" s="1"/>
  <c r="AI29" i="1"/>
  <c r="E28" i="2" s="1"/>
  <c r="AH29" i="1"/>
  <c r="D28" i="2" s="1"/>
  <c r="AG29" i="1"/>
  <c r="C28" i="2" s="1"/>
  <c r="AF29" i="1"/>
  <c r="B28" i="2" s="1"/>
  <c r="AB29" i="1"/>
  <c r="AA29" i="1"/>
  <c r="A28" i="2" s="1"/>
  <c r="BG28" i="1"/>
  <c r="BF28" i="1"/>
  <c r="BE28" i="1"/>
  <c r="AO28" i="1" s="1"/>
  <c r="BD28" i="1"/>
  <c r="BH28" i="1" s="1"/>
  <c r="BB28" i="1"/>
  <c r="BJ28" i="1" s="1"/>
  <c r="BA28" i="1"/>
  <c r="AZ28" i="1"/>
  <c r="AV28" i="1"/>
  <c r="AS28" i="1"/>
  <c r="AR28" i="1"/>
  <c r="AT28" i="1" s="1"/>
  <c r="AD28" i="1" s="1"/>
  <c r="AQ28" i="1"/>
  <c r="L27" i="2" s="1"/>
  <c r="AP28" i="1"/>
  <c r="AN28" i="1"/>
  <c r="J27" i="2" s="1"/>
  <c r="AM28" i="1"/>
  <c r="I27" i="2" s="1"/>
  <c r="AL28" i="1"/>
  <c r="H27" i="2" s="1"/>
  <c r="AK28" i="1"/>
  <c r="G27" i="2" s="1"/>
  <c r="AJ28" i="1"/>
  <c r="F27" i="2" s="1"/>
  <c r="AI28" i="1"/>
  <c r="E27" i="2" s="1"/>
  <c r="AH28" i="1"/>
  <c r="D27" i="2" s="1"/>
  <c r="AG28" i="1"/>
  <c r="C27" i="2" s="1"/>
  <c r="AF28" i="1"/>
  <c r="B27" i="2" s="1"/>
  <c r="AB28" i="1"/>
  <c r="AA28" i="1"/>
  <c r="A27" i="2" s="1"/>
  <c r="BG27" i="1"/>
  <c r="BF27" i="1"/>
  <c r="BE27" i="1"/>
  <c r="AR27" i="1" s="1"/>
  <c r="AT27" i="1" s="1"/>
  <c r="AD27" i="1" s="1"/>
  <c r="BB27" i="1"/>
  <c r="BA27" i="1"/>
  <c r="AZ27" i="1"/>
  <c r="AV27" i="1"/>
  <c r="BD27" i="1" s="1"/>
  <c r="AS27" i="1"/>
  <c r="AP27" i="1"/>
  <c r="AO27" i="1"/>
  <c r="AQ27" i="1" s="1"/>
  <c r="L26" i="2" s="1"/>
  <c r="AN27" i="1"/>
  <c r="J26" i="2" s="1"/>
  <c r="AM27" i="1"/>
  <c r="I26" i="2" s="1"/>
  <c r="AL27" i="1"/>
  <c r="H26" i="2" s="1"/>
  <c r="AK27" i="1"/>
  <c r="G26" i="2" s="1"/>
  <c r="AJ27" i="1"/>
  <c r="F26" i="2" s="1"/>
  <c r="AI27" i="1"/>
  <c r="E26" i="2" s="1"/>
  <c r="AH27" i="1"/>
  <c r="D26" i="2" s="1"/>
  <c r="AG27" i="1"/>
  <c r="C26" i="2" s="1"/>
  <c r="AF27" i="1"/>
  <c r="B26" i="2" s="1"/>
  <c r="AB27" i="1"/>
  <c r="AA27" i="1"/>
  <c r="A26" i="2" s="1"/>
  <c r="BG26" i="1"/>
  <c r="BF26" i="1"/>
  <c r="BE26" i="1"/>
  <c r="AR26" i="1" s="1"/>
  <c r="AT26" i="1" s="1"/>
  <c r="AD26" i="1" s="1"/>
  <c r="BB26" i="1"/>
  <c r="BJ26" i="1" s="1"/>
  <c r="BA26" i="1"/>
  <c r="AZ26" i="1"/>
  <c r="AV26" i="1"/>
  <c r="BD26" i="1" s="1"/>
  <c r="BH26" i="1" s="1"/>
  <c r="AS26" i="1"/>
  <c r="AP26" i="1"/>
  <c r="AN26" i="1"/>
  <c r="J25" i="2" s="1"/>
  <c r="AM26" i="1"/>
  <c r="I25" i="2" s="1"/>
  <c r="AL26" i="1"/>
  <c r="H25" i="2" s="1"/>
  <c r="AK26" i="1"/>
  <c r="G25" i="2" s="1"/>
  <c r="AJ26" i="1"/>
  <c r="F25" i="2" s="1"/>
  <c r="AI26" i="1"/>
  <c r="E25" i="2" s="1"/>
  <c r="AH26" i="1"/>
  <c r="D25" i="2" s="1"/>
  <c r="AG26" i="1"/>
  <c r="C25" i="2" s="1"/>
  <c r="AF26" i="1"/>
  <c r="B25" i="2" s="1"/>
  <c r="AB26" i="1"/>
  <c r="AA26" i="1"/>
  <c r="A25" i="2" s="1"/>
  <c r="BH25" i="1"/>
  <c r="BG25" i="1"/>
  <c r="BF25" i="1"/>
  <c r="BE25" i="1"/>
  <c r="BA25" i="1"/>
  <c r="AZ25" i="1"/>
  <c r="BB25" i="1" s="1"/>
  <c r="BJ25" i="1" s="1"/>
  <c r="AV25" i="1"/>
  <c r="BD25" i="1" s="1"/>
  <c r="AT25" i="1"/>
  <c r="AS25" i="1"/>
  <c r="AD25" i="1" s="1"/>
  <c r="AR25" i="1"/>
  <c r="AP25" i="1"/>
  <c r="K24" i="2" s="1"/>
  <c r="AN25" i="1"/>
  <c r="J24" i="2" s="1"/>
  <c r="AM25" i="1"/>
  <c r="I24" i="2" s="1"/>
  <c r="AL25" i="1"/>
  <c r="H24" i="2" s="1"/>
  <c r="AK25" i="1"/>
  <c r="G24" i="2" s="1"/>
  <c r="AJ25" i="1"/>
  <c r="F24" i="2" s="1"/>
  <c r="AI25" i="1"/>
  <c r="E24" i="2" s="1"/>
  <c r="AH25" i="1"/>
  <c r="D24" i="2" s="1"/>
  <c r="AG25" i="1"/>
  <c r="C24" i="2" s="1"/>
  <c r="AF25" i="1"/>
  <c r="B24" i="2" s="1"/>
  <c r="AB25" i="1"/>
  <c r="AA25" i="1"/>
  <c r="A24" i="2" s="1"/>
  <c r="BG24" i="1"/>
  <c r="BF24" i="1"/>
  <c r="AR24" i="1" s="1"/>
  <c r="AT24" i="1" s="1"/>
  <c r="AD24" i="1" s="1"/>
  <c r="BE24" i="1"/>
  <c r="BD24" i="1"/>
  <c r="BH24" i="1" s="1"/>
  <c r="BA24" i="1"/>
  <c r="BB24" i="1" s="1"/>
  <c r="BJ24" i="1" s="1"/>
  <c r="AZ24" i="1"/>
  <c r="AV24" i="1"/>
  <c r="AS24" i="1"/>
  <c r="AP24" i="1"/>
  <c r="K23" i="2" s="1"/>
  <c r="AO24" i="1"/>
  <c r="AQ24" i="1" s="1"/>
  <c r="L23" i="2" s="1"/>
  <c r="AN24" i="1"/>
  <c r="J23" i="2" s="1"/>
  <c r="AM24" i="1"/>
  <c r="I23" i="2" s="1"/>
  <c r="AL24" i="1"/>
  <c r="H23" i="2" s="1"/>
  <c r="AK24" i="1"/>
  <c r="G23" i="2" s="1"/>
  <c r="AJ24" i="1"/>
  <c r="F23" i="2" s="1"/>
  <c r="AI24" i="1"/>
  <c r="E23" i="2" s="1"/>
  <c r="AH24" i="1"/>
  <c r="D23" i="2" s="1"/>
  <c r="AG24" i="1"/>
  <c r="C23" i="2" s="1"/>
  <c r="AF24" i="1"/>
  <c r="B23" i="2" s="1"/>
  <c r="AB24" i="1"/>
  <c r="AA24" i="1"/>
  <c r="A23" i="2" s="1"/>
  <c r="BG23" i="1"/>
  <c r="BF23" i="1"/>
  <c r="BE23" i="1"/>
  <c r="AO23" i="1" s="1"/>
  <c r="AQ23" i="1" s="1"/>
  <c r="L22" i="2" s="1"/>
  <c r="BA23" i="1"/>
  <c r="AZ23" i="1"/>
  <c r="BB23" i="1" s="1"/>
  <c r="AV23" i="1"/>
  <c r="BD23" i="1" s="1"/>
  <c r="BH23" i="1" s="1"/>
  <c r="AT23" i="1"/>
  <c r="AS23" i="1"/>
  <c r="AR23" i="1"/>
  <c r="AP23" i="1"/>
  <c r="AN23" i="1"/>
  <c r="J22" i="2" s="1"/>
  <c r="AM23" i="1"/>
  <c r="I22" i="2" s="1"/>
  <c r="AL23" i="1"/>
  <c r="H22" i="2" s="1"/>
  <c r="AK23" i="1"/>
  <c r="G22" i="2" s="1"/>
  <c r="AJ23" i="1"/>
  <c r="F22" i="2" s="1"/>
  <c r="AI23" i="1"/>
  <c r="E22" i="2" s="1"/>
  <c r="AH23" i="1"/>
  <c r="D22" i="2" s="1"/>
  <c r="AG23" i="1"/>
  <c r="C22" i="2" s="1"/>
  <c r="AF23" i="1"/>
  <c r="B22" i="2" s="1"/>
  <c r="AD23" i="1"/>
  <c r="AB23" i="1"/>
  <c r="AA23" i="1"/>
  <c r="A22" i="2" s="1"/>
  <c r="BG22" i="1"/>
  <c r="BF22" i="1"/>
  <c r="BE22" i="1"/>
  <c r="AR22" i="1" s="1"/>
  <c r="AT22" i="1" s="1"/>
  <c r="AD22" i="1" s="1"/>
  <c r="BB22" i="1"/>
  <c r="BA22" i="1"/>
  <c r="AZ22" i="1"/>
  <c r="AV22" i="1"/>
  <c r="BD22" i="1" s="1"/>
  <c r="AS22" i="1"/>
  <c r="AP22" i="1"/>
  <c r="K21" i="2" s="1"/>
  <c r="AO22" i="1"/>
  <c r="AQ22" i="1" s="1"/>
  <c r="L21" i="2" s="1"/>
  <c r="AN22" i="1"/>
  <c r="J21" i="2" s="1"/>
  <c r="AM22" i="1"/>
  <c r="I21" i="2" s="1"/>
  <c r="AL22" i="1"/>
  <c r="H21" i="2" s="1"/>
  <c r="AK22" i="1"/>
  <c r="G21" i="2" s="1"/>
  <c r="AJ22" i="1"/>
  <c r="F21" i="2" s="1"/>
  <c r="AI22" i="1"/>
  <c r="E21" i="2" s="1"/>
  <c r="AH22" i="1"/>
  <c r="D21" i="2" s="1"/>
  <c r="AG22" i="1"/>
  <c r="C21" i="2" s="1"/>
  <c r="AF22" i="1"/>
  <c r="B21" i="2" s="1"/>
  <c r="AB22" i="1"/>
  <c r="AA22" i="1"/>
  <c r="A21" i="2" s="1"/>
  <c r="BG21" i="1"/>
  <c r="BF21" i="1"/>
  <c r="AR21" i="1" s="1"/>
  <c r="AT21" i="1" s="1"/>
  <c r="AD21" i="1" s="1"/>
  <c r="BE21" i="1"/>
  <c r="BA21" i="1"/>
  <c r="AZ21" i="1"/>
  <c r="BB21" i="1" s="1"/>
  <c r="AV21" i="1"/>
  <c r="BD21" i="1" s="1"/>
  <c r="BH21" i="1" s="1"/>
  <c r="AS21" i="1"/>
  <c r="AP21" i="1"/>
  <c r="K20" i="2" s="1"/>
  <c r="AN21" i="1"/>
  <c r="J20" i="2" s="1"/>
  <c r="AM21" i="1"/>
  <c r="I20" i="2" s="1"/>
  <c r="AL21" i="1"/>
  <c r="H20" i="2" s="1"/>
  <c r="AK21" i="1"/>
  <c r="G20" i="2" s="1"/>
  <c r="AJ21" i="1"/>
  <c r="F20" i="2" s="1"/>
  <c r="AI21" i="1"/>
  <c r="E20" i="2" s="1"/>
  <c r="AH21" i="1"/>
  <c r="D20" i="2" s="1"/>
  <c r="AG21" i="1"/>
  <c r="C20" i="2" s="1"/>
  <c r="AF21" i="1"/>
  <c r="B20" i="2" s="1"/>
  <c r="AB21" i="1"/>
  <c r="AA21" i="1"/>
  <c r="A20" i="2" s="1"/>
  <c r="BG20" i="1"/>
  <c r="BF20" i="1"/>
  <c r="BE20" i="1"/>
  <c r="AO20" i="1" s="1"/>
  <c r="AQ20" i="1" s="1"/>
  <c r="L19" i="2" s="1"/>
  <c r="BD20" i="1"/>
  <c r="BB20" i="1"/>
  <c r="BA20" i="1"/>
  <c r="AZ20" i="1"/>
  <c r="AV20" i="1"/>
  <c r="AS20" i="1"/>
  <c r="AR20" i="1"/>
  <c r="AT20" i="1" s="1"/>
  <c r="AP20" i="1"/>
  <c r="K19" i="2" s="1"/>
  <c r="AN20" i="1"/>
  <c r="J19" i="2" s="1"/>
  <c r="AM20" i="1"/>
  <c r="I19" i="2" s="1"/>
  <c r="AL20" i="1"/>
  <c r="H19" i="2" s="1"/>
  <c r="AK20" i="1"/>
  <c r="G19" i="2" s="1"/>
  <c r="AJ20" i="1"/>
  <c r="F19" i="2" s="1"/>
  <c r="AI20" i="1"/>
  <c r="E19" i="2" s="1"/>
  <c r="AH20" i="1"/>
  <c r="D19" i="2" s="1"/>
  <c r="AG20" i="1"/>
  <c r="C19" i="2" s="1"/>
  <c r="AF20" i="1"/>
  <c r="B19" i="2" s="1"/>
  <c r="AB20" i="1"/>
  <c r="AA20" i="1"/>
  <c r="A19" i="2" s="1"/>
  <c r="BG19" i="1"/>
  <c r="BF19" i="1"/>
  <c r="BE19" i="1"/>
  <c r="BA19" i="1"/>
  <c r="AZ19" i="1"/>
  <c r="BB19" i="1" s="1"/>
  <c r="AV19" i="1"/>
  <c r="BD19" i="1" s="1"/>
  <c r="BH19" i="1" s="1"/>
  <c r="AT19" i="1"/>
  <c r="AS19" i="1"/>
  <c r="AR19" i="1"/>
  <c r="AP19" i="1"/>
  <c r="AO19" i="1"/>
  <c r="AQ19" i="1" s="1"/>
  <c r="L18" i="2" s="1"/>
  <c r="AN19" i="1"/>
  <c r="J18" i="2" s="1"/>
  <c r="AM19" i="1"/>
  <c r="I18" i="2" s="1"/>
  <c r="AL19" i="1"/>
  <c r="H18" i="2" s="1"/>
  <c r="AK19" i="1"/>
  <c r="G18" i="2" s="1"/>
  <c r="AJ19" i="1"/>
  <c r="F18" i="2" s="1"/>
  <c r="AI19" i="1"/>
  <c r="E18" i="2" s="1"/>
  <c r="AH19" i="1"/>
  <c r="D18" i="2" s="1"/>
  <c r="AG19" i="1"/>
  <c r="C18" i="2" s="1"/>
  <c r="AF19" i="1"/>
  <c r="B18" i="2" s="1"/>
  <c r="AB19" i="1"/>
  <c r="AA19" i="1"/>
  <c r="A18" i="2" s="1"/>
  <c r="BG18" i="1"/>
  <c r="BF18" i="1"/>
  <c r="BE18" i="1"/>
  <c r="BH18" i="1" s="1"/>
  <c r="BB18" i="1"/>
  <c r="BJ18" i="1" s="1"/>
  <c r="BA18" i="1"/>
  <c r="AZ18" i="1"/>
  <c r="AV18" i="1"/>
  <c r="BD18" i="1" s="1"/>
  <c r="AS18" i="1"/>
  <c r="AP18" i="1"/>
  <c r="K17" i="2" s="1"/>
  <c r="AN18" i="1"/>
  <c r="J17" i="2" s="1"/>
  <c r="AM18" i="1"/>
  <c r="I17" i="2" s="1"/>
  <c r="AL18" i="1"/>
  <c r="H17" i="2" s="1"/>
  <c r="AK18" i="1"/>
  <c r="G17" i="2" s="1"/>
  <c r="AJ18" i="1"/>
  <c r="F17" i="2" s="1"/>
  <c r="AI18" i="1"/>
  <c r="E17" i="2" s="1"/>
  <c r="AH18" i="1"/>
  <c r="D17" i="2" s="1"/>
  <c r="AG18" i="1"/>
  <c r="C17" i="2" s="1"/>
  <c r="AF18" i="1"/>
  <c r="B17" i="2" s="1"/>
  <c r="AB18" i="1"/>
  <c r="AA18" i="1"/>
  <c r="A17" i="2" s="1"/>
  <c r="BG17" i="1"/>
  <c r="BF17" i="1"/>
  <c r="AR17" i="1" s="1"/>
  <c r="AT17" i="1" s="1"/>
  <c r="AD17" i="1" s="1"/>
  <c r="BE17" i="1"/>
  <c r="BA17" i="1"/>
  <c r="AZ17" i="1"/>
  <c r="BB17" i="1" s="1"/>
  <c r="BJ17" i="1" s="1"/>
  <c r="AV17" i="1"/>
  <c r="BD17" i="1" s="1"/>
  <c r="BH17" i="1" s="1"/>
  <c r="AS17" i="1"/>
  <c r="AP17" i="1"/>
  <c r="K16" i="2" s="1"/>
  <c r="AN17" i="1"/>
  <c r="J16" i="2" s="1"/>
  <c r="AM17" i="1"/>
  <c r="I16" i="2" s="1"/>
  <c r="AL17" i="1"/>
  <c r="H16" i="2" s="1"/>
  <c r="AK17" i="1"/>
  <c r="G16" i="2" s="1"/>
  <c r="AJ17" i="1"/>
  <c r="F16" i="2" s="1"/>
  <c r="AI17" i="1"/>
  <c r="E16" i="2" s="1"/>
  <c r="AH17" i="1"/>
  <c r="D16" i="2" s="1"/>
  <c r="AG17" i="1"/>
  <c r="C16" i="2" s="1"/>
  <c r="AF17" i="1"/>
  <c r="B16" i="2" s="1"/>
  <c r="AB17" i="1"/>
  <c r="AA17" i="1"/>
  <c r="A16" i="2" s="1"/>
  <c r="BG16" i="1"/>
  <c r="BF16" i="1"/>
  <c r="AR16" i="1" s="1"/>
  <c r="AT16" i="1" s="1"/>
  <c r="BE16" i="1"/>
  <c r="AO16" i="1" s="1"/>
  <c r="AQ16" i="1" s="1"/>
  <c r="BD16" i="1"/>
  <c r="BA16" i="1"/>
  <c r="AZ16" i="1"/>
  <c r="BB16" i="1" s="1"/>
  <c r="AV16" i="1"/>
  <c r="AS16" i="1"/>
  <c r="AP16" i="1"/>
  <c r="K15" i="2" s="1"/>
  <c r="AN16" i="1"/>
  <c r="J15" i="2" s="1"/>
  <c r="AM16" i="1"/>
  <c r="I15" i="2" s="1"/>
  <c r="AL16" i="1"/>
  <c r="H15" i="2" s="1"/>
  <c r="AK16" i="1"/>
  <c r="G15" i="2" s="1"/>
  <c r="AJ16" i="1"/>
  <c r="F15" i="2" s="1"/>
  <c r="AI16" i="1"/>
  <c r="E15" i="2" s="1"/>
  <c r="AH16" i="1"/>
  <c r="D15" i="2" s="1"/>
  <c r="AG16" i="1"/>
  <c r="C15" i="2" s="1"/>
  <c r="AF16" i="1"/>
  <c r="B15" i="2" s="1"/>
  <c r="AB16" i="1"/>
  <c r="AA16" i="1"/>
  <c r="A15" i="2" s="1"/>
  <c r="BG15" i="1"/>
  <c r="BF15" i="1"/>
  <c r="BE15" i="1"/>
  <c r="BD15" i="1"/>
  <c r="BH15" i="1" s="1"/>
  <c r="BA15" i="1"/>
  <c r="BB15" i="1" s="1"/>
  <c r="BJ15" i="1" s="1"/>
  <c r="AZ15" i="1"/>
  <c r="AV15" i="1"/>
  <c r="AS15" i="1"/>
  <c r="AR15" i="1"/>
  <c r="AT15" i="1" s="1"/>
  <c r="AD15" i="1" s="1"/>
  <c r="AP15" i="1"/>
  <c r="AO15" i="1"/>
  <c r="AQ15" i="1" s="1"/>
  <c r="L14" i="2" s="1"/>
  <c r="AN15" i="1"/>
  <c r="J14" i="2" s="1"/>
  <c r="AM15" i="1"/>
  <c r="I14" i="2" s="1"/>
  <c r="AL15" i="1"/>
  <c r="H14" i="2" s="1"/>
  <c r="AK15" i="1"/>
  <c r="G14" i="2" s="1"/>
  <c r="AJ15" i="1"/>
  <c r="F14" i="2" s="1"/>
  <c r="AI15" i="1"/>
  <c r="E14" i="2" s="1"/>
  <c r="AH15" i="1"/>
  <c r="D14" i="2" s="1"/>
  <c r="AG15" i="1"/>
  <c r="C14" i="2" s="1"/>
  <c r="AF15" i="1"/>
  <c r="B14" i="2" s="1"/>
  <c r="AB15" i="1"/>
  <c r="AA15" i="1"/>
  <c r="A14" i="2" s="1"/>
  <c r="BG14" i="1"/>
  <c r="BH14" i="1" s="1"/>
  <c r="BF14" i="1"/>
  <c r="AO14" i="1" s="1"/>
  <c r="AQ14" i="1" s="1"/>
  <c r="BE14" i="1"/>
  <c r="BA14" i="1"/>
  <c r="AZ14" i="1"/>
  <c r="BB14" i="1" s="1"/>
  <c r="BJ14" i="1" s="1"/>
  <c r="AV14" i="1"/>
  <c r="BD14" i="1" s="1"/>
  <c r="AT14" i="1"/>
  <c r="AS14" i="1"/>
  <c r="AD14" i="1" s="1"/>
  <c r="AR14" i="1"/>
  <c r="AP14" i="1"/>
  <c r="K13" i="2" s="1"/>
  <c r="AN14" i="1"/>
  <c r="J13" i="2" s="1"/>
  <c r="AM14" i="1"/>
  <c r="I13" i="2" s="1"/>
  <c r="AL14" i="1"/>
  <c r="H13" i="2" s="1"/>
  <c r="AK14" i="1"/>
  <c r="G13" i="2" s="1"/>
  <c r="AJ14" i="1"/>
  <c r="F13" i="2" s="1"/>
  <c r="AI14" i="1"/>
  <c r="E13" i="2" s="1"/>
  <c r="AH14" i="1"/>
  <c r="D13" i="2" s="1"/>
  <c r="AG14" i="1"/>
  <c r="C13" i="2" s="1"/>
  <c r="AF14" i="1"/>
  <c r="B13" i="2" s="1"/>
  <c r="AB14" i="1"/>
  <c r="AA14" i="1"/>
  <c r="A13" i="2" s="1"/>
  <c r="BG13" i="1"/>
  <c r="BF13" i="1"/>
  <c r="BE13" i="1"/>
  <c r="AO13" i="1" s="1"/>
  <c r="BD13" i="1"/>
  <c r="BH13" i="1" s="1"/>
  <c r="BB13" i="1"/>
  <c r="BJ13" i="1" s="1"/>
  <c r="BA13" i="1"/>
  <c r="AZ13" i="1"/>
  <c r="AV13" i="1"/>
  <c r="AS13" i="1"/>
  <c r="AQ13" i="1"/>
  <c r="L12" i="2" s="1"/>
  <c r="AP13" i="1"/>
  <c r="K12" i="2" s="1"/>
  <c r="AN13" i="1"/>
  <c r="J12" i="2" s="1"/>
  <c r="AM13" i="1"/>
  <c r="I12" i="2" s="1"/>
  <c r="AL13" i="1"/>
  <c r="H12" i="2" s="1"/>
  <c r="AK13" i="1"/>
  <c r="G12" i="2" s="1"/>
  <c r="AJ13" i="1"/>
  <c r="F12" i="2" s="1"/>
  <c r="AI13" i="1"/>
  <c r="E12" i="2" s="1"/>
  <c r="AH13" i="1"/>
  <c r="D12" i="2" s="1"/>
  <c r="AG13" i="1"/>
  <c r="C12" i="2" s="1"/>
  <c r="AF13" i="1"/>
  <c r="B12" i="2" s="1"/>
  <c r="AB13" i="1"/>
  <c r="AA13" i="1"/>
  <c r="A12" i="2" s="1"/>
  <c r="BG12" i="1"/>
  <c r="BF12" i="1"/>
  <c r="AO12" i="1" s="1"/>
  <c r="AQ12" i="1" s="1"/>
  <c r="BE12" i="1"/>
  <c r="BD12" i="1"/>
  <c r="BA12" i="1"/>
  <c r="AZ12" i="1"/>
  <c r="BB12" i="1" s="1"/>
  <c r="AV12" i="1"/>
  <c r="AS12" i="1"/>
  <c r="AP12" i="1"/>
  <c r="K11" i="2" s="1"/>
  <c r="AN12" i="1"/>
  <c r="J11" i="2" s="1"/>
  <c r="AM12" i="1"/>
  <c r="I11" i="2" s="1"/>
  <c r="AL12" i="1"/>
  <c r="H11" i="2" s="1"/>
  <c r="AK12" i="1"/>
  <c r="G11" i="2" s="1"/>
  <c r="AJ12" i="1"/>
  <c r="F11" i="2" s="1"/>
  <c r="AI12" i="1"/>
  <c r="E11" i="2" s="1"/>
  <c r="AH12" i="1"/>
  <c r="D11" i="2" s="1"/>
  <c r="AG12" i="1"/>
  <c r="C11" i="2" s="1"/>
  <c r="AF12" i="1"/>
  <c r="B11" i="2" s="1"/>
  <c r="AB12" i="1"/>
  <c r="AA12" i="1"/>
  <c r="A11" i="2" s="1"/>
  <c r="BG11" i="1"/>
  <c r="BF11" i="1"/>
  <c r="BE11" i="1"/>
  <c r="AO11" i="1" s="1"/>
  <c r="AQ11" i="1" s="1"/>
  <c r="L10" i="2" s="1"/>
  <c r="BD11" i="1"/>
  <c r="BH11" i="1" s="1"/>
  <c r="BB11" i="1"/>
  <c r="BA11" i="1"/>
  <c r="AZ11" i="1"/>
  <c r="AV11" i="1"/>
  <c r="AS11" i="1"/>
  <c r="AD11" i="1" s="1"/>
  <c r="AR11" i="1"/>
  <c r="AT11" i="1" s="1"/>
  <c r="AP11" i="1"/>
  <c r="K10" i="2" s="1"/>
  <c r="AN11" i="1"/>
  <c r="J10" i="2" s="1"/>
  <c r="AM11" i="1"/>
  <c r="I10" i="2" s="1"/>
  <c r="AL11" i="1"/>
  <c r="H10" i="2" s="1"/>
  <c r="AK11" i="1"/>
  <c r="G10" i="2" s="1"/>
  <c r="AJ11" i="1"/>
  <c r="F10" i="2" s="1"/>
  <c r="AI11" i="1"/>
  <c r="E10" i="2" s="1"/>
  <c r="AH11" i="1"/>
  <c r="D10" i="2" s="1"/>
  <c r="AG11" i="1"/>
  <c r="C10" i="2" s="1"/>
  <c r="AF11" i="1"/>
  <c r="B10" i="2" s="1"/>
  <c r="AB11" i="1"/>
  <c r="AA11" i="1"/>
  <c r="A10" i="2" s="1"/>
  <c r="BG10" i="1"/>
  <c r="BF10" i="1"/>
  <c r="BE10" i="1"/>
  <c r="BD10" i="1"/>
  <c r="BH10" i="1" s="1"/>
  <c r="BA10" i="1"/>
  <c r="AZ10" i="1"/>
  <c r="BB10" i="1" s="1"/>
  <c r="BJ10" i="1" s="1"/>
  <c r="AV10" i="1"/>
  <c r="AS10" i="1"/>
  <c r="AR10" i="1"/>
  <c r="AT10" i="1" s="1"/>
  <c r="AP10" i="1"/>
  <c r="K9" i="2" s="1"/>
  <c r="AO10" i="1"/>
  <c r="AQ10" i="1" s="1"/>
  <c r="L9" i="2" s="1"/>
  <c r="AN10" i="1"/>
  <c r="J9" i="2" s="1"/>
  <c r="AM10" i="1"/>
  <c r="I9" i="2" s="1"/>
  <c r="AL10" i="1"/>
  <c r="H9" i="2" s="1"/>
  <c r="AK10" i="1"/>
  <c r="G9" i="2" s="1"/>
  <c r="AJ10" i="1"/>
  <c r="F9" i="2" s="1"/>
  <c r="AI10" i="1"/>
  <c r="E9" i="2" s="1"/>
  <c r="AH10" i="1"/>
  <c r="D9" i="2" s="1"/>
  <c r="AG10" i="1"/>
  <c r="C9" i="2" s="1"/>
  <c r="AF10" i="1"/>
  <c r="B9" i="2" s="1"/>
  <c r="AB10" i="1"/>
  <c r="AA10" i="1"/>
  <c r="A9" i="2" s="1"/>
  <c r="BG9" i="1"/>
  <c r="AO9" i="1" s="1"/>
  <c r="AQ9" i="1" s="1"/>
  <c r="L8" i="2" s="1"/>
  <c r="BF9" i="1"/>
  <c r="AR9" i="1" s="1"/>
  <c r="AT9" i="1" s="1"/>
  <c r="AD9" i="1" s="1"/>
  <c r="BE9" i="1"/>
  <c r="BA9" i="1"/>
  <c r="AZ9" i="1"/>
  <c r="BB9" i="1" s="1"/>
  <c r="BJ9" i="1" s="1"/>
  <c r="AV9" i="1"/>
  <c r="BD9" i="1" s="1"/>
  <c r="BH9" i="1" s="1"/>
  <c r="AS9" i="1"/>
  <c r="AP9" i="1"/>
  <c r="K8" i="2" s="1"/>
  <c r="AN9" i="1"/>
  <c r="J8" i="2" s="1"/>
  <c r="AM9" i="1"/>
  <c r="I8" i="2" s="1"/>
  <c r="AL9" i="1"/>
  <c r="H8" i="2" s="1"/>
  <c r="AK9" i="1"/>
  <c r="G8" i="2" s="1"/>
  <c r="AJ9" i="1"/>
  <c r="F8" i="2" s="1"/>
  <c r="AI9" i="1"/>
  <c r="E8" i="2" s="1"/>
  <c r="AH9" i="1"/>
  <c r="D8" i="2" s="1"/>
  <c r="AG9" i="1"/>
  <c r="C8" i="2" s="1"/>
  <c r="AF9" i="1"/>
  <c r="B8" i="2" s="1"/>
  <c r="AB9" i="1"/>
  <c r="AA9" i="1"/>
  <c r="A8" i="2" s="1"/>
  <c r="BG8" i="1"/>
  <c r="BF8" i="1"/>
  <c r="BE8" i="1"/>
  <c r="AO8" i="1" s="1"/>
  <c r="AQ8" i="1" s="1"/>
  <c r="BA8" i="1"/>
  <c r="AZ8" i="1"/>
  <c r="BB8" i="1" s="1"/>
  <c r="BJ8" i="1" s="1"/>
  <c r="AV8" i="1"/>
  <c r="BD8" i="1" s="1"/>
  <c r="BH8" i="1" s="1"/>
  <c r="AS8" i="1"/>
  <c r="AP8" i="1"/>
  <c r="K7" i="2" s="1"/>
  <c r="AN8" i="1"/>
  <c r="J7" i="2" s="1"/>
  <c r="AM8" i="1"/>
  <c r="I7" i="2" s="1"/>
  <c r="AL8" i="1"/>
  <c r="H7" i="2" s="1"/>
  <c r="AK8" i="1"/>
  <c r="G7" i="2" s="1"/>
  <c r="AJ8" i="1"/>
  <c r="F7" i="2" s="1"/>
  <c r="AI8" i="1"/>
  <c r="E7" i="2" s="1"/>
  <c r="AH8" i="1"/>
  <c r="D7" i="2" s="1"/>
  <c r="AG8" i="1"/>
  <c r="C7" i="2" s="1"/>
  <c r="AF8" i="1"/>
  <c r="B7" i="2" s="1"/>
  <c r="AB8" i="1"/>
  <c r="AA8" i="1"/>
  <c r="A7" i="2" s="1"/>
  <c r="BG7" i="1"/>
  <c r="BF7" i="1"/>
  <c r="BE7" i="1"/>
  <c r="AO7" i="1" s="1"/>
  <c r="AQ7" i="1" s="1"/>
  <c r="L6" i="2" s="1"/>
  <c r="BD7" i="1"/>
  <c r="BH7" i="1" s="1"/>
  <c r="BB7" i="1"/>
  <c r="BJ7" i="1" s="1"/>
  <c r="BA7" i="1"/>
  <c r="AZ7" i="1"/>
  <c r="AV7" i="1"/>
  <c r="AS7" i="1"/>
  <c r="AR7" i="1"/>
  <c r="AT7" i="1" s="1"/>
  <c r="AP7" i="1"/>
  <c r="K6" i="2" s="1"/>
  <c r="AN7" i="1"/>
  <c r="J6" i="2" s="1"/>
  <c r="AM7" i="1"/>
  <c r="I6" i="2" s="1"/>
  <c r="AL7" i="1"/>
  <c r="H6" i="2" s="1"/>
  <c r="AK7" i="1"/>
  <c r="G6" i="2" s="1"/>
  <c r="AJ7" i="1"/>
  <c r="F6" i="2" s="1"/>
  <c r="AI7" i="1"/>
  <c r="E6" i="2" s="1"/>
  <c r="AH7" i="1"/>
  <c r="D6" i="2" s="1"/>
  <c r="AG7" i="1"/>
  <c r="C6" i="2" s="1"/>
  <c r="AF7" i="1"/>
  <c r="B6" i="2" s="1"/>
  <c r="AB7" i="1"/>
  <c r="AA7" i="1"/>
  <c r="A6" i="2" s="1"/>
  <c r="BG6" i="1"/>
  <c r="BF6" i="1"/>
  <c r="BE6" i="1"/>
  <c r="BD6" i="1"/>
  <c r="BH6" i="1" s="1"/>
  <c r="BA6" i="1"/>
  <c r="AZ6" i="1"/>
  <c r="BB6" i="1" s="1"/>
  <c r="AV6" i="1"/>
  <c r="AS6" i="1"/>
  <c r="AR6" i="1"/>
  <c r="AT6" i="1" s="1"/>
  <c r="AD6" i="1" s="1"/>
  <c r="AP6" i="1"/>
  <c r="K5" i="2" s="1"/>
  <c r="AO6" i="1"/>
  <c r="AQ6" i="1" s="1"/>
  <c r="L5" i="2" s="1"/>
  <c r="AN6" i="1"/>
  <c r="J5" i="2" s="1"/>
  <c r="AM6" i="1"/>
  <c r="I5" i="2" s="1"/>
  <c r="AL6" i="1"/>
  <c r="H5" i="2" s="1"/>
  <c r="AK6" i="1"/>
  <c r="G5" i="2" s="1"/>
  <c r="AJ6" i="1"/>
  <c r="F5" i="2" s="1"/>
  <c r="AI6" i="1"/>
  <c r="E5" i="2" s="1"/>
  <c r="AH6" i="1"/>
  <c r="D5" i="2" s="1"/>
  <c r="AG6" i="1"/>
  <c r="C5" i="2" s="1"/>
  <c r="AF6" i="1"/>
  <c r="B5" i="2" s="1"/>
  <c r="AB6" i="1"/>
  <c r="AA6" i="1"/>
  <c r="A5" i="2" s="1"/>
  <c r="BG5" i="1"/>
  <c r="AO5" i="1" s="1"/>
  <c r="AQ5" i="1" s="1"/>
  <c r="L4" i="2" s="1"/>
  <c r="BF5" i="1"/>
  <c r="BE5" i="1"/>
  <c r="BA5" i="1"/>
  <c r="AZ5" i="1"/>
  <c r="BB5" i="1" s="1"/>
  <c r="AV5" i="1"/>
  <c r="BD5" i="1" s="1"/>
  <c r="BH5" i="1" s="1"/>
  <c r="AT5" i="1"/>
  <c r="AS5" i="1"/>
  <c r="AR5" i="1"/>
  <c r="AP5" i="1"/>
  <c r="K4" i="2" s="1"/>
  <c r="AN5" i="1"/>
  <c r="J4" i="2" s="1"/>
  <c r="AM5" i="1"/>
  <c r="I4" i="2" s="1"/>
  <c r="AL5" i="1"/>
  <c r="H4" i="2" s="1"/>
  <c r="AK5" i="1"/>
  <c r="G4" i="2" s="1"/>
  <c r="AJ5" i="1"/>
  <c r="F4" i="2" s="1"/>
  <c r="AI5" i="1"/>
  <c r="E4" i="2" s="1"/>
  <c r="AH5" i="1"/>
  <c r="D4" i="2" s="1"/>
  <c r="AG5" i="1"/>
  <c r="C4" i="2" s="1"/>
  <c r="AF5" i="1"/>
  <c r="B4" i="2" s="1"/>
  <c r="AD5" i="1"/>
  <c r="AB5" i="1"/>
  <c r="AA5" i="1"/>
  <c r="A4" i="2" s="1"/>
  <c r="BG4" i="1"/>
  <c r="BF4" i="1"/>
  <c r="BE4" i="1"/>
  <c r="AO4" i="1" s="1"/>
  <c r="AQ4" i="1" s="1"/>
  <c r="BA4" i="1"/>
  <c r="AZ4" i="1"/>
  <c r="BB4" i="1" s="1"/>
  <c r="BJ4" i="1" s="1"/>
  <c r="AV4" i="1"/>
  <c r="BD4" i="1" s="1"/>
  <c r="BH4" i="1" s="1"/>
  <c r="AS4" i="1"/>
  <c r="AR4" i="1"/>
  <c r="AT4" i="1" s="1"/>
  <c r="AP4" i="1"/>
  <c r="K3" i="2" s="1"/>
  <c r="AN4" i="1"/>
  <c r="J3" i="2" s="1"/>
  <c r="AM4" i="1"/>
  <c r="I3" i="2" s="1"/>
  <c r="AL4" i="1"/>
  <c r="H3" i="2" s="1"/>
  <c r="AK4" i="1"/>
  <c r="G3" i="2" s="1"/>
  <c r="AJ4" i="1"/>
  <c r="F3" i="2" s="1"/>
  <c r="AI4" i="1"/>
  <c r="E3" i="2" s="1"/>
  <c r="AH4" i="1"/>
  <c r="D3" i="2" s="1"/>
  <c r="AG4" i="1"/>
  <c r="C3" i="2" s="1"/>
  <c r="AF4" i="1"/>
  <c r="B3" i="2" s="1"/>
  <c r="AB4" i="1"/>
  <c r="AA4" i="1"/>
  <c r="A3" i="2" s="1"/>
  <c r="AD4" i="1" l="1"/>
  <c r="BJ5" i="1"/>
  <c r="AD7" i="1"/>
  <c r="L13" i="2"/>
  <c r="AC14" i="1"/>
  <c r="BJ23" i="1"/>
  <c r="L7" i="2"/>
  <c r="AC8" i="1"/>
  <c r="L15" i="2"/>
  <c r="AC16" i="1"/>
  <c r="AD16" i="1"/>
  <c r="BJ19" i="1"/>
  <c r="BJ6" i="1"/>
  <c r="AD10" i="1"/>
  <c r="L11" i="2"/>
  <c r="AC12" i="1"/>
  <c r="BJ21" i="1"/>
  <c r="BJ27" i="1"/>
  <c r="BJ50" i="1"/>
  <c r="L3" i="2"/>
  <c r="AC4" i="1"/>
  <c r="AD13" i="1"/>
  <c r="BJ11" i="1"/>
  <c r="AD20" i="1"/>
  <c r="BJ30" i="1"/>
  <c r="BH12" i="1"/>
  <c r="BJ12" i="1" s="1"/>
  <c r="AC22" i="1"/>
  <c r="BH22" i="1"/>
  <c r="BJ22" i="1" s="1"/>
  <c r="K22" i="2"/>
  <c r="AC23" i="1"/>
  <c r="K29" i="2"/>
  <c r="AC30" i="1"/>
  <c r="K30" i="2"/>
  <c r="AC31" i="1"/>
  <c r="BH32" i="1"/>
  <c r="BH33" i="1"/>
  <c r="BJ33" i="1" s="1"/>
  <c r="BJ35" i="1"/>
  <c r="BH36" i="1"/>
  <c r="AO37" i="1"/>
  <c r="AQ37" i="1" s="1"/>
  <c r="K37" i="2"/>
  <c r="AC38" i="1"/>
  <c r="AO48" i="1"/>
  <c r="AQ48" i="1" s="1"/>
  <c r="L47" i="2" s="1"/>
  <c r="AD50" i="1"/>
  <c r="BJ64" i="1"/>
  <c r="AE69" i="1"/>
  <c r="AC5" i="1"/>
  <c r="AC9" i="1"/>
  <c r="AR12" i="1"/>
  <c r="AT12" i="1" s="1"/>
  <c r="AD12" i="1" s="1"/>
  <c r="AO21" i="1"/>
  <c r="AQ21" i="1" s="1"/>
  <c r="AC24" i="1"/>
  <c r="AO25" i="1"/>
  <c r="AQ25" i="1" s="1"/>
  <c r="BH27" i="1"/>
  <c r="AD31" i="1"/>
  <c r="AO32" i="1"/>
  <c r="AQ32" i="1" s="1"/>
  <c r="L31" i="2" s="1"/>
  <c r="AO33" i="1"/>
  <c r="AQ33" i="1" s="1"/>
  <c r="AO34" i="1"/>
  <c r="AQ34" i="1" s="1"/>
  <c r="L33" i="2" s="1"/>
  <c r="AO36" i="1"/>
  <c r="AQ36" i="1" s="1"/>
  <c r="L35" i="2" s="1"/>
  <c r="AD38" i="1"/>
  <c r="BH45" i="1"/>
  <c r="BJ45" i="1" s="1"/>
  <c r="K46" i="2"/>
  <c r="AC47" i="1"/>
  <c r="AR48" i="1"/>
  <c r="AT48" i="1" s="1"/>
  <c r="AD48" i="1" s="1"/>
  <c r="BJ53" i="1"/>
  <c r="BJ57" i="1"/>
  <c r="BH16" i="1"/>
  <c r="BJ16" i="1" s="1"/>
  <c r="AO18" i="1"/>
  <c r="AQ18" i="1" s="1"/>
  <c r="L17" i="2" s="1"/>
  <c r="AD19" i="1"/>
  <c r="K33" i="2"/>
  <c r="K34" i="2"/>
  <c r="AC35" i="1"/>
  <c r="BJ43" i="1"/>
  <c r="BH44" i="1"/>
  <c r="BJ44" i="1" s="1"/>
  <c r="AO45" i="1"/>
  <c r="AQ45" i="1" s="1"/>
  <c r="K45" i="2"/>
  <c r="AC46" i="1"/>
  <c r="L60" i="2"/>
  <c r="AC61" i="1"/>
  <c r="AO26" i="1"/>
  <c r="AQ26" i="1" s="1"/>
  <c r="L25" i="2" s="1"/>
  <c r="AD35" i="1"/>
  <c r="M40" i="2"/>
  <c r="AE41" i="1"/>
  <c r="AD46" i="1"/>
  <c r="AD47" i="1"/>
  <c r="BJ63" i="1"/>
  <c r="K14" i="2"/>
  <c r="AC15" i="1"/>
  <c r="AR18" i="1"/>
  <c r="AT18" i="1" s="1"/>
  <c r="AD18" i="1" s="1"/>
  <c r="BH20" i="1"/>
  <c r="BJ20" i="1" s="1"/>
  <c r="K25" i="2"/>
  <c r="AC26" i="1"/>
  <c r="K42" i="2"/>
  <c r="AC43" i="1"/>
  <c r="AR44" i="1"/>
  <c r="AT44" i="1" s="1"/>
  <c r="AD44" i="1" s="1"/>
  <c r="L52" i="2"/>
  <c r="AC53" i="1"/>
  <c r="L56" i="2"/>
  <c r="AC57" i="1"/>
  <c r="BJ59" i="1"/>
  <c r="L59" i="2"/>
  <c r="AC60" i="1"/>
  <c r="AR8" i="1"/>
  <c r="AT8" i="1" s="1"/>
  <c r="AD8" i="1" s="1"/>
  <c r="K27" i="2"/>
  <c r="AC28" i="1"/>
  <c r="AD29" i="1"/>
  <c r="K41" i="2"/>
  <c r="AC42" i="1"/>
  <c r="K18" i="2"/>
  <c r="AC19" i="1"/>
  <c r="K26" i="2"/>
  <c r="AC27" i="1"/>
  <c r="BH29" i="1"/>
  <c r="BJ29" i="1" s="1"/>
  <c r="AO40" i="1"/>
  <c r="AQ40" i="1" s="1"/>
  <c r="L39" i="2" s="1"/>
  <c r="AD42" i="1"/>
  <c r="AD43" i="1"/>
  <c r="BH49" i="1"/>
  <c r="BJ49" i="1" s="1"/>
  <c r="AD60" i="1"/>
  <c r="L62" i="2"/>
  <c r="AC63" i="1"/>
  <c r="BJ69" i="1"/>
  <c r="AC7" i="1"/>
  <c r="AC11" i="1"/>
  <c r="AR13" i="1"/>
  <c r="AT13" i="1" s="1"/>
  <c r="AC6" i="1"/>
  <c r="AC10" i="1"/>
  <c r="AC13" i="1"/>
  <c r="AO17" i="1"/>
  <c r="AQ17" i="1" s="1"/>
  <c r="L16" i="2" s="1"/>
  <c r="AC20" i="1"/>
  <c r="AO29" i="1"/>
  <c r="AQ29" i="1" s="1"/>
  <c r="K31" i="2"/>
  <c r="AC32" i="1"/>
  <c r="BJ32" i="1"/>
  <c r="BJ36" i="1"/>
  <c r="BH37" i="1"/>
  <c r="BJ37" i="1" s="1"/>
  <c r="K38" i="2"/>
  <c r="AC39" i="1"/>
  <c r="AR40" i="1"/>
  <c r="AT40" i="1" s="1"/>
  <c r="AD40" i="1" s="1"/>
  <c r="BH43" i="1"/>
  <c r="BH48" i="1"/>
  <c r="BJ48" i="1" s="1"/>
  <c r="AO49" i="1"/>
  <c r="AQ49" i="1" s="1"/>
  <c r="AD51" i="1"/>
  <c r="AD55" i="1"/>
  <c r="L57" i="2"/>
  <c r="AC58" i="1"/>
  <c r="BJ62" i="1"/>
  <c r="AC62" i="1"/>
  <c r="AR69" i="1"/>
  <c r="AT69" i="1" s="1"/>
  <c r="AD69" i="1" s="1"/>
  <c r="AC70" i="1"/>
  <c r="AE70" i="1" s="1"/>
  <c r="AD71" i="1"/>
  <c r="AC51" i="1"/>
  <c r="AC55" i="1"/>
  <c r="AC59" i="1"/>
  <c r="AC64" i="1"/>
  <c r="AO66" i="1"/>
  <c r="AQ66" i="1" s="1"/>
  <c r="AC67" i="1"/>
  <c r="BB72" i="1"/>
  <c r="BJ72" i="1" s="1"/>
  <c r="AC75" i="1"/>
  <c r="AR75" i="1"/>
  <c r="AT75" i="1" s="1"/>
  <c r="AD75" i="1" s="1"/>
  <c r="AO75" i="1"/>
  <c r="AQ75" i="1" s="1"/>
  <c r="AR38" i="1"/>
  <c r="AT38" i="1" s="1"/>
  <c r="BH64" i="1"/>
  <c r="BJ71" i="1"/>
  <c r="AC50" i="1"/>
  <c r="AC54" i="1"/>
  <c r="BJ60" i="1"/>
  <c r="AR67" i="1"/>
  <c r="AT67" i="1" s="1"/>
  <c r="AD67" i="1" s="1"/>
  <c r="AC78" i="1"/>
  <c r="AD63" i="1"/>
  <c r="AC73" i="1"/>
  <c r="AE73" i="1" s="1"/>
  <c r="BH66" i="1"/>
  <c r="BJ66" i="1" s="1"/>
  <c r="BH68" i="1"/>
  <c r="BJ68" i="1" s="1"/>
  <c r="AD73" i="1"/>
  <c r="AR71" i="1"/>
  <c r="AT71" i="1" s="1"/>
  <c r="AO71" i="1"/>
  <c r="AQ71" i="1" s="1"/>
  <c r="AC71" i="1" s="1"/>
  <c r="AE71" i="1" s="1"/>
  <c r="BJ75" i="1"/>
  <c r="AR77" i="1"/>
  <c r="AT77" i="1" s="1"/>
  <c r="AO77" i="1"/>
  <c r="AQ77" i="1" s="1"/>
  <c r="AC77" i="1" s="1"/>
  <c r="AE77" i="1" s="1"/>
  <c r="AC36" i="1"/>
  <c r="AC44" i="1"/>
  <c r="AC48" i="1"/>
  <c r="AC52" i="1"/>
  <c r="AC56" i="1"/>
  <c r="AO65" i="1"/>
  <c r="AQ65" i="1" s="1"/>
  <c r="AD77" i="1"/>
  <c r="AD78" i="1"/>
  <c r="BJ79" i="1"/>
  <c r="BB80" i="1"/>
  <c r="AD76" i="1"/>
  <c r="AE76" i="1" s="1"/>
  <c r="BJ77" i="1"/>
  <c r="AD72" i="1"/>
  <c r="AE72" i="1" s="1"/>
  <c r="AD74" i="1"/>
  <c r="AE74" i="1" s="1"/>
  <c r="BB78" i="1"/>
  <c r="BJ78" i="1" s="1"/>
  <c r="AO80" i="1"/>
  <c r="AQ80" i="1" s="1"/>
  <c r="AC80" i="1" s="1"/>
  <c r="AE80" i="1" s="1"/>
  <c r="BH80" i="1"/>
  <c r="AD80" i="1"/>
  <c r="M31" i="2" l="1"/>
  <c r="AE32" i="1"/>
  <c r="M18" i="2"/>
  <c r="AE19" i="1"/>
  <c r="BJ80" i="1"/>
  <c r="M43" i="2"/>
  <c r="AE44" i="1"/>
  <c r="AE78" i="1"/>
  <c r="M58" i="2"/>
  <c r="AE59" i="1"/>
  <c r="L28" i="2"/>
  <c r="AC29" i="1"/>
  <c r="M6" i="2"/>
  <c r="AE7" i="1"/>
  <c r="AC18" i="1"/>
  <c r="M45" i="2"/>
  <c r="AE46" i="1"/>
  <c r="M4" i="2"/>
  <c r="AE5" i="1"/>
  <c r="M29" i="2"/>
  <c r="AE30" i="1"/>
  <c r="M35" i="2"/>
  <c r="AE36" i="1"/>
  <c r="M62" i="2"/>
  <c r="AE63" i="1"/>
  <c r="M13" i="2"/>
  <c r="AE14" i="1"/>
  <c r="M52" i="2"/>
  <c r="AE53" i="1"/>
  <c r="AC40" i="1"/>
  <c r="M54" i="2"/>
  <c r="AE55" i="1"/>
  <c r="M57" i="2"/>
  <c r="AE58" i="1"/>
  <c r="M38" i="2"/>
  <c r="AE39" i="1"/>
  <c r="M19" i="2"/>
  <c r="AE20" i="1"/>
  <c r="M41" i="2"/>
  <c r="AE42" i="1"/>
  <c r="M25" i="2"/>
  <c r="AE26" i="1"/>
  <c r="L36" i="2"/>
  <c r="AC37" i="1"/>
  <c r="M56" i="2"/>
  <c r="AE57" i="1"/>
  <c r="L44" i="2"/>
  <c r="AC45" i="1"/>
  <c r="L24" i="2"/>
  <c r="AC25" i="1"/>
  <c r="M22" i="2"/>
  <c r="AE23" i="1"/>
  <c r="M12" i="2"/>
  <c r="AE13" i="1"/>
  <c r="M23" i="2"/>
  <c r="AE24" i="1"/>
  <c r="L64" i="2"/>
  <c r="AC65" i="1"/>
  <c r="M53" i="2"/>
  <c r="AE54" i="1"/>
  <c r="M27" i="2"/>
  <c r="AE28" i="1"/>
  <c r="L20" i="2"/>
  <c r="AC21" i="1"/>
  <c r="M55" i="2"/>
  <c r="AE56" i="1"/>
  <c r="AE67" i="1"/>
  <c r="L48" i="2"/>
  <c r="AC49" i="1"/>
  <c r="M34" i="2"/>
  <c r="AE35" i="1"/>
  <c r="AC17" i="1"/>
  <c r="M21" i="2"/>
  <c r="AE22" i="1"/>
  <c r="M3" i="2"/>
  <c r="AE4" i="1"/>
  <c r="M11" i="2"/>
  <c r="AE12" i="1"/>
  <c r="M51" i="2"/>
  <c r="AE52" i="1"/>
  <c r="L65" i="2"/>
  <c r="AC66" i="1"/>
  <c r="M61" i="2"/>
  <c r="AE62" i="1"/>
  <c r="M30" i="2"/>
  <c r="AE31" i="1"/>
  <c r="M50" i="2"/>
  <c r="AE51" i="1"/>
  <c r="AE75" i="1"/>
  <c r="M9" i="2"/>
  <c r="AE10" i="1"/>
  <c r="M26" i="2"/>
  <c r="AE27" i="1"/>
  <c r="M15" i="2"/>
  <c r="AE16" i="1"/>
  <c r="M49" i="2"/>
  <c r="AE50" i="1"/>
  <c r="M5" i="2"/>
  <c r="AE6" i="1"/>
  <c r="M14" i="2"/>
  <c r="AE15" i="1"/>
  <c r="M60" i="2"/>
  <c r="AE61" i="1"/>
  <c r="L32" i="2"/>
  <c r="AC33" i="1"/>
  <c r="M47" i="2"/>
  <c r="AE48" i="1"/>
  <c r="M63" i="2"/>
  <c r="AE64" i="1"/>
  <c r="M10" i="2"/>
  <c r="AE11" i="1"/>
  <c r="M59" i="2"/>
  <c r="AE60" i="1"/>
  <c r="M42" i="2"/>
  <c r="AE43" i="1"/>
  <c r="AC34" i="1"/>
  <c r="M46" i="2"/>
  <c r="AE47" i="1"/>
  <c r="M8" i="2"/>
  <c r="AE9" i="1"/>
  <c r="M37" i="2"/>
  <c r="AE38" i="1"/>
  <c r="M7" i="2"/>
  <c r="AE8" i="1"/>
  <c r="M33" i="2" l="1"/>
  <c r="O3" i="2" s="1" a="1"/>
  <c r="AE34" i="1"/>
  <c r="M17" i="2"/>
  <c r="AE18" i="1"/>
  <c r="M16" i="2"/>
  <c r="AE17" i="1"/>
  <c r="M20" i="2"/>
  <c r="AE21" i="1"/>
  <c r="M44" i="2"/>
  <c r="AE45" i="1"/>
  <c r="M39" i="2"/>
  <c r="AE40" i="1"/>
  <c r="M36" i="2"/>
  <c r="AE37" i="1"/>
  <c r="M28" i="2"/>
  <c r="AE29" i="1"/>
  <c r="M48" i="2"/>
  <c r="AE49" i="1"/>
  <c r="M65" i="2"/>
  <c r="AE66" i="1"/>
  <c r="M24" i="2"/>
  <c r="AE25" i="1"/>
  <c r="M64" i="2"/>
  <c r="AE65" i="1"/>
  <c r="M32" i="2"/>
  <c r="AE33" i="1"/>
  <c r="U65" i="2" l="1"/>
  <c r="Z64" i="2"/>
  <c r="R64" i="2"/>
  <c r="W63" i="2"/>
  <c r="O63" i="2"/>
  <c r="T62" i="2"/>
  <c r="Y61" i="2"/>
  <c r="Q61" i="2"/>
  <c r="V60" i="2"/>
  <c r="AA59" i="2"/>
  <c r="S59" i="2"/>
  <c r="X58" i="2"/>
  <c r="P58" i="2"/>
  <c r="U57" i="2"/>
  <c r="Z56" i="2"/>
  <c r="R56" i="2"/>
  <c r="W55" i="2"/>
  <c r="O55" i="2"/>
  <c r="T54" i="2"/>
  <c r="Y53" i="2"/>
  <c r="Q53" i="2"/>
  <c r="V52" i="2"/>
  <c r="AA51" i="2"/>
  <c r="S51" i="2"/>
  <c r="X50" i="2"/>
  <c r="P50" i="2"/>
  <c r="U49" i="2"/>
  <c r="Z48" i="2"/>
  <c r="R48" i="2"/>
  <c r="W47" i="2"/>
  <c r="O47" i="2"/>
  <c r="T46" i="2"/>
  <c r="Y45" i="2"/>
  <c r="Q45" i="2"/>
  <c r="V44" i="2"/>
  <c r="AA43" i="2"/>
  <c r="T65" i="2"/>
  <c r="Y64" i="2"/>
  <c r="Q64" i="2"/>
  <c r="V63" i="2"/>
  <c r="AA62" i="2"/>
  <c r="S62" i="2"/>
  <c r="X61" i="2"/>
  <c r="P61" i="2"/>
  <c r="U60" i="2"/>
  <c r="Z59" i="2"/>
  <c r="R59" i="2"/>
  <c r="W58" i="2"/>
  <c r="O58" i="2"/>
  <c r="T57" i="2"/>
  <c r="Y56" i="2"/>
  <c r="Q56" i="2"/>
  <c r="V55" i="2"/>
  <c r="AA54" i="2"/>
  <c r="S54" i="2"/>
  <c r="X53" i="2"/>
  <c r="P53" i="2"/>
  <c r="U52" i="2"/>
  <c r="Z51" i="2"/>
  <c r="R51" i="2"/>
  <c r="W50" i="2"/>
  <c r="O50" i="2"/>
  <c r="T49" i="2"/>
  <c r="Y48" i="2"/>
  <c r="Q48" i="2"/>
  <c r="V47" i="2"/>
  <c r="AA46" i="2"/>
  <c r="S46" i="2"/>
  <c r="X45" i="2"/>
  <c r="P45" i="2"/>
  <c r="X65" i="2"/>
  <c r="P65" i="2"/>
  <c r="U64" i="2"/>
  <c r="Z63" i="2"/>
  <c r="R63" i="2"/>
  <c r="W62" i="2"/>
  <c r="O62" i="2"/>
  <c r="T61" i="2"/>
  <c r="Y60" i="2"/>
  <c r="Q60" i="2"/>
  <c r="V59" i="2"/>
  <c r="AA58" i="2"/>
  <c r="S58" i="2"/>
  <c r="X57" i="2"/>
  <c r="R65" i="2"/>
  <c r="S64" i="2"/>
  <c r="S63" i="2"/>
  <c r="R62" i="2"/>
  <c r="S61" i="2"/>
  <c r="S60" i="2"/>
  <c r="T59" i="2"/>
  <c r="T58" i="2"/>
  <c r="S57" i="2"/>
  <c r="V56" i="2"/>
  <c r="Y55" i="2"/>
  <c r="Z54" i="2"/>
  <c r="P54" i="2"/>
  <c r="S53" i="2"/>
  <c r="T52" i="2"/>
  <c r="W51" i="2"/>
  <c r="Z50" i="2"/>
  <c r="AA49" i="2"/>
  <c r="Q49" i="2"/>
  <c r="T48" i="2"/>
  <c r="U47" i="2"/>
  <c r="X46" i="2"/>
  <c r="AA45" i="2"/>
  <c r="O45" i="2"/>
  <c r="S44" i="2"/>
  <c r="W43" i="2"/>
  <c r="O43" i="2"/>
  <c r="T42" i="2"/>
  <c r="Y41" i="2"/>
  <c r="Q41" i="2"/>
  <c r="V40" i="2"/>
  <c r="AA39" i="2"/>
  <c r="S39" i="2"/>
  <c r="X38" i="2"/>
  <c r="P38" i="2"/>
  <c r="U37" i="2"/>
  <c r="Z36" i="2"/>
  <c r="R36" i="2"/>
  <c r="W35" i="2"/>
  <c r="O35" i="2"/>
  <c r="T34" i="2"/>
  <c r="Y33" i="2"/>
  <c r="Q33" i="2"/>
  <c r="V32" i="2"/>
  <c r="AA31" i="2"/>
  <c r="S31" i="2"/>
  <c r="X30" i="2"/>
  <c r="P30" i="2"/>
  <c r="U29" i="2"/>
  <c r="Z28" i="2"/>
  <c r="R28" i="2"/>
  <c r="W27" i="2"/>
  <c r="O27" i="2"/>
  <c r="T26" i="2"/>
  <c r="Y25" i="2"/>
  <c r="Q25" i="2"/>
  <c r="V24" i="2"/>
  <c r="AA23" i="2"/>
  <c r="S23" i="2"/>
  <c r="X22" i="2"/>
  <c r="P22" i="2"/>
  <c r="U21" i="2"/>
  <c r="Z20" i="2"/>
  <c r="R20" i="2"/>
  <c r="W19" i="2"/>
  <c r="O19" i="2"/>
  <c r="T18" i="2"/>
  <c r="Y17" i="2"/>
  <c r="Q17" i="2"/>
  <c r="V16" i="2"/>
  <c r="AA15" i="2"/>
  <c r="S15" i="2"/>
  <c r="X14" i="2"/>
  <c r="P14" i="2"/>
  <c r="U13" i="2"/>
  <c r="Z12" i="2"/>
  <c r="R12" i="2"/>
  <c r="W11" i="2"/>
  <c r="O11" i="2"/>
  <c r="T10" i="2"/>
  <c r="Y9" i="2"/>
  <c r="Q9" i="2"/>
  <c r="V8" i="2"/>
  <c r="AA7" i="2"/>
  <c r="S7" i="2"/>
  <c r="X6" i="2"/>
  <c r="P6" i="2"/>
  <c r="U5" i="2"/>
  <c r="Z4" i="2"/>
  <c r="R4" i="2"/>
  <c r="W3" i="2"/>
  <c r="Q65" i="2"/>
  <c r="P64" i="2"/>
  <c r="Q63" i="2"/>
  <c r="Q62" i="2"/>
  <c r="R61" i="2"/>
  <c r="R60" i="2"/>
  <c r="Q59" i="2"/>
  <c r="R58" i="2"/>
  <c r="R57" i="2"/>
  <c r="U56" i="2"/>
  <c r="X55" i="2"/>
  <c r="Y54" i="2"/>
  <c r="O54" i="2"/>
  <c r="R53" i="2"/>
  <c r="S52" i="2"/>
  <c r="V51" i="2"/>
  <c r="Y50" i="2"/>
  <c r="Z49" i="2"/>
  <c r="P49" i="2"/>
  <c r="S48" i="2"/>
  <c r="T47" i="2"/>
  <c r="W46" i="2"/>
  <c r="Z45" i="2"/>
  <c r="AA44" i="2"/>
  <c r="R44" i="2"/>
  <c r="V43" i="2"/>
  <c r="AA42" i="2"/>
  <c r="S42" i="2"/>
  <c r="X41" i="2"/>
  <c r="P41" i="2"/>
  <c r="U40" i="2"/>
  <c r="Z39" i="2"/>
  <c r="R39" i="2"/>
  <c r="W38" i="2"/>
  <c r="O38" i="2"/>
  <c r="T37" i="2"/>
  <c r="Y36" i="2"/>
  <c r="Q36" i="2"/>
  <c r="V35" i="2"/>
  <c r="AA34" i="2"/>
  <c r="S34" i="2"/>
  <c r="X33" i="2"/>
  <c r="P33" i="2"/>
  <c r="U32" i="2"/>
  <c r="Z31" i="2"/>
  <c r="R31" i="2"/>
  <c r="W30" i="2"/>
  <c r="O30" i="2"/>
  <c r="T29" i="2"/>
  <c r="Y28" i="2"/>
  <c r="Q28" i="2"/>
  <c r="V27" i="2"/>
  <c r="AA26" i="2"/>
  <c r="S26" i="2"/>
  <c r="X25" i="2"/>
  <c r="P25" i="2"/>
  <c r="U24" i="2"/>
  <c r="Z23" i="2"/>
  <c r="R23" i="2"/>
  <c r="W22" i="2"/>
  <c r="O22" i="2"/>
  <c r="T21" i="2"/>
  <c r="Y20" i="2"/>
  <c r="Q20" i="2"/>
  <c r="V19" i="2"/>
  <c r="AA18" i="2"/>
  <c r="S18" i="2"/>
  <c r="X17" i="2"/>
  <c r="P17" i="2"/>
  <c r="U16" i="2"/>
  <c r="Z15" i="2"/>
  <c r="R15" i="2"/>
  <c r="W14" i="2"/>
  <c r="O14" i="2"/>
  <c r="T13" i="2"/>
  <c r="Y12" i="2"/>
  <c r="Q12" i="2"/>
  <c r="V11" i="2"/>
  <c r="AA10" i="2"/>
  <c r="S10" i="2"/>
  <c r="X9" i="2"/>
  <c r="P9" i="2"/>
  <c r="U8" i="2"/>
  <c r="Z7" i="2"/>
  <c r="R7" i="2"/>
  <c r="W6" i="2"/>
  <c r="O6" i="2"/>
  <c r="T5" i="2"/>
  <c r="Y4" i="2"/>
  <c r="Q4" i="2"/>
  <c r="V3" i="2"/>
  <c r="O3" i="2"/>
  <c r="AA65" i="2"/>
  <c r="O65" i="2"/>
  <c r="O64" i="2"/>
  <c r="P63" i="2"/>
  <c r="P62" i="2"/>
  <c r="O61" i="2"/>
  <c r="P60" i="2"/>
  <c r="P59" i="2"/>
  <c r="Q58" i="2"/>
  <c r="Q57" i="2"/>
  <c r="T56" i="2"/>
  <c r="U55" i="2"/>
  <c r="X54" i="2"/>
  <c r="AA53" i="2"/>
  <c r="O53" i="2"/>
  <c r="R52" i="2"/>
  <c r="U51" i="2"/>
  <c r="V50" i="2"/>
  <c r="Y49" i="2"/>
  <c r="O49" i="2"/>
  <c r="P48" i="2"/>
  <c r="S47" i="2"/>
  <c r="V46" i="2"/>
  <c r="W45" i="2"/>
  <c r="Z44" i="2"/>
  <c r="Q44" i="2"/>
  <c r="U43" i="2"/>
  <c r="Z42" i="2"/>
  <c r="R42" i="2"/>
  <c r="W41" i="2"/>
  <c r="O41" i="2"/>
  <c r="T40" i="2"/>
  <c r="Y39" i="2"/>
  <c r="Q39" i="2"/>
  <c r="V38" i="2"/>
  <c r="AA37" i="2"/>
  <c r="S37" i="2"/>
  <c r="X36" i="2"/>
  <c r="P36" i="2"/>
  <c r="U35" i="2"/>
  <c r="Z34" i="2"/>
  <c r="R34" i="2"/>
  <c r="W33" i="2"/>
  <c r="O33" i="2"/>
  <c r="T32" i="2"/>
  <c r="Y31" i="2"/>
  <c r="Q31" i="2"/>
  <c r="W65" i="2"/>
  <c r="W64" i="2"/>
  <c r="X63" i="2"/>
  <c r="X62" i="2"/>
  <c r="W61" i="2"/>
  <c r="X60" i="2"/>
  <c r="X59" i="2"/>
  <c r="Y58" i="2"/>
  <c r="Y57" i="2"/>
  <c r="AA56" i="2"/>
  <c r="O56" i="2"/>
  <c r="R55" i="2"/>
  <c r="U54" i="2"/>
  <c r="V53" i="2"/>
  <c r="Y52" i="2"/>
  <c r="O52" i="2"/>
  <c r="P51" i="2"/>
  <c r="S50" i="2"/>
  <c r="V49" i="2"/>
  <c r="W48" i="2"/>
  <c r="Z47" i="2"/>
  <c r="P47" i="2"/>
  <c r="Q46" i="2"/>
  <c r="T45" i="2"/>
  <c r="W44" i="2"/>
  <c r="Z43" i="2"/>
  <c r="R43" i="2"/>
  <c r="W42" i="2"/>
  <c r="O42" i="2"/>
  <c r="T41" i="2"/>
  <c r="Y40" i="2"/>
  <c r="Q40" i="2"/>
  <c r="V39" i="2"/>
  <c r="AA38" i="2"/>
  <c r="S38" i="2"/>
  <c r="X37" i="2"/>
  <c r="P37" i="2"/>
  <c r="U36" i="2"/>
  <c r="Z35" i="2"/>
  <c r="R35" i="2"/>
  <c r="W34" i="2"/>
  <c r="O34" i="2"/>
  <c r="T33" i="2"/>
  <c r="Y32" i="2"/>
  <c r="Q32" i="2"/>
  <c r="V31" i="2"/>
  <c r="AA30" i="2"/>
  <c r="S30" i="2"/>
  <c r="X29" i="2"/>
  <c r="P29" i="2"/>
  <c r="U28" i="2"/>
  <c r="Z27" i="2"/>
  <c r="R27" i="2"/>
  <c r="W26" i="2"/>
  <c r="O26" i="2"/>
  <c r="T25" i="2"/>
  <c r="Y24" i="2"/>
  <c r="Q24" i="2"/>
  <c r="V23" i="2"/>
  <c r="AA22" i="2"/>
  <c r="S22" i="2"/>
  <c r="X21" i="2"/>
  <c r="P21" i="2"/>
  <c r="U20" i="2"/>
  <c r="Z19" i="2"/>
  <c r="R19" i="2"/>
  <c r="W18" i="2"/>
  <c r="O18" i="2"/>
  <c r="T17" i="2"/>
  <c r="Y16" i="2"/>
  <c r="Q16" i="2"/>
  <c r="V15" i="2"/>
  <c r="AA14" i="2"/>
  <c r="S14" i="2"/>
  <c r="X13" i="2"/>
  <c r="P13" i="2"/>
  <c r="U12" i="2"/>
  <c r="Z11" i="2"/>
  <c r="R11" i="2"/>
  <c r="W10" i="2"/>
  <c r="O10" i="2"/>
  <c r="T9" i="2"/>
  <c r="Y8" i="2"/>
  <c r="Q8" i="2"/>
  <c r="V7" i="2"/>
  <c r="AA6" i="2"/>
  <c r="S6" i="2"/>
  <c r="X5" i="2"/>
  <c r="P5" i="2"/>
  <c r="U4" i="2"/>
  <c r="Z3" i="2"/>
  <c r="R3" i="2"/>
  <c r="X64" i="2"/>
  <c r="Y62" i="2"/>
  <c r="Z60" i="2"/>
  <c r="Z58" i="2"/>
  <c r="O57" i="2"/>
  <c r="S55" i="2"/>
  <c r="W53" i="2"/>
  <c r="P52" i="2"/>
  <c r="T50" i="2"/>
  <c r="X48" i="2"/>
  <c r="Q47" i="2"/>
  <c r="U45" i="2"/>
  <c r="O44" i="2"/>
  <c r="X42" i="2"/>
  <c r="U41" i="2"/>
  <c r="R40" i="2"/>
  <c r="O39" i="2"/>
  <c r="Y37" i="2"/>
  <c r="V36" i="2"/>
  <c r="S35" i="2"/>
  <c r="P34" i="2"/>
  <c r="Z32" i="2"/>
  <c r="W31" i="2"/>
  <c r="U30" i="2"/>
  <c r="V29" i="2"/>
  <c r="V28" i="2"/>
  <c r="U27" i="2"/>
  <c r="V26" i="2"/>
  <c r="V25" i="2"/>
  <c r="W24" i="2"/>
  <c r="W23" i="2"/>
  <c r="V22" i="2"/>
  <c r="W21" i="2"/>
  <c r="W20" i="2"/>
  <c r="X19" i="2"/>
  <c r="X18" i="2"/>
  <c r="W17" i="2"/>
  <c r="X16" i="2"/>
  <c r="X15" i="2"/>
  <c r="Y14" i="2"/>
  <c r="Y13" i="2"/>
  <c r="X12" i="2"/>
  <c r="Y11" i="2"/>
  <c r="Y10" i="2"/>
  <c r="Z9" i="2"/>
  <c r="Z8" i="2"/>
  <c r="Y7" i="2"/>
  <c r="Z6" i="2"/>
  <c r="Z5" i="2"/>
  <c r="AA4" i="2"/>
  <c r="AA3" i="2"/>
  <c r="V64" i="2"/>
  <c r="V62" i="2"/>
  <c r="W60" i="2"/>
  <c r="V58" i="2"/>
  <c r="X56" i="2"/>
  <c r="Q55" i="2"/>
  <c r="U53" i="2"/>
  <c r="Y51" i="2"/>
  <c r="R50" i="2"/>
  <c r="V48" i="2"/>
  <c r="Z46" i="2"/>
  <c r="S45" i="2"/>
  <c r="Y43" i="2"/>
  <c r="V42" i="2"/>
  <c r="S41" i="2"/>
  <c r="P40" i="2"/>
  <c r="Z38" i="2"/>
  <c r="W37" i="2"/>
  <c r="T36" i="2"/>
  <c r="Q35" i="2"/>
  <c r="AA33" i="2"/>
  <c r="X32" i="2"/>
  <c r="U31" i="2"/>
  <c r="T30" i="2"/>
  <c r="S29" i="2"/>
  <c r="T28" i="2"/>
  <c r="T27" i="2"/>
  <c r="U26" i="2"/>
  <c r="U25" i="2"/>
  <c r="T24" i="2"/>
  <c r="U23" i="2"/>
  <c r="U22" i="2"/>
  <c r="V21" i="2"/>
  <c r="V20" i="2"/>
  <c r="U19" i="2"/>
  <c r="V18" i="2"/>
  <c r="V17" i="2"/>
  <c r="W16" i="2"/>
  <c r="W15" i="2"/>
  <c r="V14" i="2"/>
  <c r="W13" i="2"/>
  <c r="W12" i="2"/>
  <c r="X11" i="2"/>
  <c r="X10" i="2"/>
  <c r="W9" i="2"/>
  <c r="X8" i="2"/>
  <c r="X7" i="2"/>
  <c r="Y6" i="2"/>
  <c r="Y5" i="2"/>
  <c r="X4" i="2"/>
  <c r="Y3" i="2"/>
  <c r="T64" i="2"/>
  <c r="U62" i="2"/>
  <c r="T60" i="2"/>
  <c r="U58" i="2"/>
  <c r="W56" i="2"/>
  <c r="P55" i="2"/>
  <c r="T53" i="2"/>
  <c r="X51" i="2"/>
  <c r="Q50" i="2"/>
  <c r="U48" i="2"/>
  <c r="Y46" i="2"/>
  <c r="R45" i="2"/>
  <c r="X43" i="2"/>
  <c r="U42" i="2"/>
  <c r="R41" i="2"/>
  <c r="O40" i="2"/>
  <c r="Y38" i="2"/>
  <c r="V37" i="2"/>
  <c r="S36" i="2"/>
  <c r="P35" i="2"/>
  <c r="Z33" i="2"/>
  <c r="W32" i="2"/>
  <c r="T31" i="2"/>
  <c r="R30" i="2"/>
  <c r="R29" i="2"/>
  <c r="S28" i="2"/>
  <c r="S27" i="2"/>
  <c r="R26" i="2"/>
  <c r="S25" i="2"/>
  <c r="S24" i="2"/>
  <c r="T23" i="2"/>
  <c r="T22" i="2"/>
  <c r="S21" i="2"/>
  <c r="T20" i="2"/>
  <c r="T19" i="2"/>
  <c r="U18" i="2"/>
  <c r="U17" i="2"/>
  <c r="T16" i="2"/>
  <c r="U15" i="2"/>
  <c r="U14" i="2"/>
  <c r="V13" i="2"/>
  <c r="V12" i="2"/>
  <c r="U11" i="2"/>
  <c r="V10" i="2"/>
  <c r="V9" i="2"/>
  <c r="W8" i="2"/>
  <c r="W7" i="2"/>
  <c r="V6" i="2"/>
  <c r="W5" i="2"/>
  <c r="W4" i="2"/>
  <c r="X3" i="2"/>
  <c r="Z65" i="2"/>
  <c r="AA63" i="2"/>
  <c r="AA61" i="2"/>
  <c r="O60" i="2"/>
  <c r="AA57" i="2"/>
  <c r="S56" i="2"/>
  <c r="W54" i="2"/>
  <c r="AA52" i="2"/>
  <c r="T51" i="2"/>
  <c r="X49" i="2"/>
  <c r="O48" i="2"/>
  <c r="U46" i="2"/>
  <c r="Y44" i="2"/>
  <c r="T43" i="2"/>
  <c r="Q42" i="2"/>
  <c r="AA40" i="2"/>
  <c r="X39" i="2"/>
  <c r="U38" i="2"/>
  <c r="R37" i="2"/>
  <c r="O36" i="2"/>
  <c r="Y34" i="2"/>
  <c r="V33" i="2"/>
  <c r="S32" i="2"/>
  <c r="P31" i="2"/>
  <c r="Q30" i="2"/>
  <c r="Q29" i="2"/>
  <c r="P28" i="2"/>
  <c r="Q27" i="2"/>
  <c r="Q26" i="2"/>
  <c r="R25" i="2"/>
  <c r="R24" i="2"/>
  <c r="Q23" i="2"/>
  <c r="R22" i="2"/>
  <c r="R21" i="2"/>
  <c r="S20" i="2"/>
  <c r="S19" i="2"/>
  <c r="R18" i="2"/>
  <c r="S17" i="2"/>
  <c r="S16" i="2"/>
  <c r="T15" i="2"/>
  <c r="T14" i="2"/>
  <c r="S13" i="2"/>
  <c r="T12" i="2"/>
  <c r="T11" i="2"/>
  <c r="U10" i="2"/>
  <c r="U9" i="2"/>
  <c r="T8" i="2"/>
  <c r="U7" i="2"/>
  <c r="U6" i="2"/>
  <c r="V5" i="2"/>
  <c r="V4" i="2"/>
  <c r="U3" i="2"/>
  <c r="Y65" i="2"/>
  <c r="Y63" i="2"/>
  <c r="Z61" i="2"/>
  <c r="Y59" i="2"/>
  <c r="Z57" i="2"/>
  <c r="P56" i="2"/>
  <c r="V54" i="2"/>
  <c r="Z52" i="2"/>
  <c r="Q51" i="2"/>
  <c r="W49" i="2"/>
  <c r="AA47" i="2"/>
  <c r="R46" i="2"/>
  <c r="X44" i="2"/>
  <c r="S43" i="2"/>
  <c r="P42" i="2"/>
  <c r="Z40" i="2"/>
  <c r="W39" i="2"/>
  <c r="T38" i="2"/>
  <c r="Q37" i="2"/>
  <c r="AA35" i="2"/>
  <c r="X34" i="2"/>
  <c r="U33" i="2"/>
  <c r="R32" i="2"/>
  <c r="O31" i="2"/>
  <c r="AA29" i="2"/>
  <c r="O29" i="2"/>
  <c r="O28" i="2"/>
  <c r="P27" i="2"/>
  <c r="P26" i="2"/>
  <c r="O25" i="2"/>
  <c r="P24" i="2"/>
  <c r="P23" i="2"/>
  <c r="Q22" i="2"/>
  <c r="Q21" i="2"/>
  <c r="P20" i="2"/>
  <c r="Q19" i="2"/>
  <c r="Q18" i="2"/>
  <c r="R17" i="2"/>
  <c r="R16" i="2"/>
  <c r="Q15" i="2"/>
  <c r="R14" i="2"/>
  <c r="R13" i="2"/>
  <c r="S12" i="2"/>
  <c r="S11" i="2"/>
  <c r="R10" i="2"/>
  <c r="S9" i="2"/>
  <c r="S8" i="2"/>
  <c r="T7" i="2"/>
  <c r="T6" i="2"/>
  <c r="S5" i="2"/>
  <c r="T4" i="2"/>
  <c r="T3" i="2"/>
  <c r="V65" i="2"/>
  <c r="U63" i="2"/>
  <c r="V61" i="2"/>
  <c r="W59" i="2"/>
  <c r="W57" i="2"/>
  <c r="AA55" i="2"/>
  <c r="R54" i="2"/>
  <c r="X52" i="2"/>
  <c r="O51" i="2"/>
  <c r="S49" i="2"/>
  <c r="Y47" i="2"/>
  <c r="P46" i="2"/>
  <c r="U44" i="2"/>
  <c r="Q43" i="2"/>
  <c r="AA41" i="2"/>
  <c r="X40" i="2"/>
  <c r="U39" i="2"/>
  <c r="R38" i="2"/>
  <c r="O37" i="2"/>
  <c r="Y35" i="2"/>
  <c r="V34" i="2"/>
  <c r="S33" i="2"/>
  <c r="P32" i="2"/>
  <c r="Z30" i="2"/>
  <c r="Z29" i="2"/>
  <c r="AA28" i="2"/>
  <c r="AA27" i="2"/>
  <c r="Z26" i="2"/>
  <c r="AA25" i="2"/>
  <c r="AA24" i="2"/>
  <c r="O24" i="2"/>
  <c r="O23" i="2"/>
  <c r="AA21" i="2"/>
  <c r="O21" i="2"/>
  <c r="O20" i="2"/>
  <c r="P19" i="2"/>
  <c r="P18" i="2"/>
  <c r="O17" i="2"/>
  <c r="P16" i="2"/>
  <c r="P15" i="2"/>
  <c r="Q14" i="2"/>
  <c r="Q13" i="2"/>
  <c r="P12" i="2"/>
  <c r="Q11" i="2"/>
  <c r="Q10" i="2"/>
  <c r="R9" i="2"/>
  <c r="R8" i="2"/>
  <c r="Q7" i="2"/>
  <c r="R6" i="2"/>
  <c r="R5" i="2"/>
  <c r="S4" i="2"/>
  <c r="S3" i="2"/>
  <c r="S65" i="2"/>
  <c r="T63" i="2"/>
  <c r="U61" i="2"/>
  <c r="U59" i="2"/>
  <c r="V57" i="2"/>
  <c r="Z55" i="2"/>
  <c r="Q54" i="2"/>
  <c r="W52" i="2"/>
  <c r="AA50" i="2"/>
  <c r="R49" i="2"/>
  <c r="X47" i="2"/>
  <c r="O46" i="2"/>
  <c r="T44" i="2"/>
  <c r="P43" i="2"/>
  <c r="Z41" i="2"/>
  <c r="W40" i="2"/>
  <c r="T39" i="2"/>
  <c r="Q38" i="2"/>
  <c r="AA36" i="2"/>
  <c r="X35" i="2"/>
  <c r="U34" i="2"/>
  <c r="R33" i="2"/>
  <c r="O32" i="2"/>
  <c r="Y30" i="2"/>
  <c r="Y29" i="2"/>
  <c r="X28" i="2"/>
  <c r="Y27" i="2"/>
  <c r="Y26" i="2"/>
  <c r="Z25" i="2"/>
  <c r="Z24" i="2"/>
  <c r="Y23" i="2"/>
  <c r="Z22" i="2"/>
  <c r="Z21" i="2"/>
  <c r="AA20" i="2"/>
  <c r="AA19" i="2"/>
  <c r="Z18" i="2"/>
  <c r="AA17" i="2"/>
  <c r="AA16" i="2"/>
  <c r="O16" i="2"/>
  <c r="O15" i="2"/>
  <c r="AA13" i="2"/>
  <c r="O13" i="2"/>
  <c r="O12" i="2"/>
  <c r="P11" i="2"/>
  <c r="P10" i="2"/>
  <c r="O9" i="2"/>
  <c r="P8" i="2"/>
  <c r="P7" i="2"/>
  <c r="Q6" i="2"/>
  <c r="Q5" i="2"/>
  <c r="P4" i="2"/>
  <c r="Q3" i="2"/>
  <c r="AA64" i="2"/>
  <c r="Z62" i="2"/>
  <c r="AA60" i="2"/>
  <c r="O59" i="2"/>
  <c r="P57" i="2"/>
  <c r="T55" i="2"/>
  <c r="Z53" i="2"/>
  <c r="Q52" i="2"/>
  <c r="U50" i="2"/>
  <c r="AA48" i="2"/>
  <c r="R47" i="2"/>
  <c r="V45" i="2"/>
  <c r="P44" i="2"/>
  <c r="Y42" i="2"/>
  <c r="V41" i="2"/>
  <c r="S40" i="2"/>
  <c r="P39" i="2"/>
  <c r="Z37" i="2"/>
  <c r="W36" i="2"/>
  <c r="T35" i="2"/>
  <c r="Q34" i="2"/>
  <c r="AA32" i="2"/>
  <c r="X31" i="2"/>
  <c r="V30" i="2"/>
  <c r="W29" i="2"/>
  <c r="W28" i="2"/>
  <c r="X27" i="2"/>
  <c r="X26" i="2"/>
  <c r="W25" i="2"/>
  <c r="X24" i="2"/>
  <c r="X23" i="2"/>
  <c r="Y22" i="2"/>
  <c r="Y21" i="2"/>
  <c r="X20" i="2"/>
  <c r="Y19" i="2"/>
  <c r="Y18" i="2"/>
  <c r="Z17" i="2"/>
  <c r="Z16" i="2"/>
  <c r="Y15" i="2"/>
  <c r="Z14" i="2"/>
  <c r="Z13" i="2"/>
  <c r="AA12" i="2"/>
  <c r="AA11" i="2"/>
  <c r="Z10" i="2"/>
  <c r="AA9" i="2"/>
  <c r="AA8" i="2"/>
  <c r="O8" i="2"/>
  <c r="O7" i="2"/>
  <c r="AA5" i="2"/>
  <c r="O5" i="2"/>
  <c r="O4" i="2"/>
  <c r="P3" i="2"/>
</calcChain>
</file>

<file path=xl/sharedStrings.xml><?xml version="1.0" encoding="utf-8"?>
<sst xmlns="http://schemas.openxmlformats.org/spreadsheetml/2006/main" count="237" uniqueCount="133">
  <si>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</si>
  <si>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</si>
  <si>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</si>
  <si>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</si>
  <si>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</si>
  <si>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</si>
  <si>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</si>
  <si>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</si>
  <si>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</si>
  <si>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</si>
  <si>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</si>
  <si>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</si>
  <si>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</si>
  <si>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</si>
  <si>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</si>
  <si>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</si>
  <si>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</si>
  <si>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</si>
  <si>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</si>
  <si>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</si>
  <si>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</si>
  <si>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</si>
  <si>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</si>
  <si>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</si>
  <si>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</si>
  <si>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</si>
  <si>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</si>
  <si>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</si>
  <si>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</si>
  <si>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</si>
  <si>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</si>
  <si>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</si>
  <si>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</si>
  <si>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</si>
  <si>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</si>
  <si>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</si>
  <si>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</si>
  <si>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</si>
  <si>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</si>
  <si>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</si>
  <si>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</si>
  <si>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</si>
  <si>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</si>
  <si>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</si>
  <si>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</si>
  <si>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</si>
  <si>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</si>
  <si>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</si>
  <si>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</si>
  <si>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</si>
  <si>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</si>
  <si>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</si>
  <si>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</si>
  <si>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Total input (t-CO2/t-ethylene)</t>
  </si>
  <si>
    <t>Methane (t-CO2/t-ethylene)</t>
  </si>
  <si>
    <t>Emissions (t-CO2/t-ethylene)</t>
  </si>
  <si>
    <t>Captured (t-CO2/t-ethylene)</t>
  </si>
  <si>
    <t>Total Output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</si>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</sst>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J108"/>
  <sheetViews>
    <sheetView topLeftCell="A14" zoomScale="59" zoomScaleNormal="157" workbookViewId="0">
      <selection activeCell="B85" sqref="B85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15.83203125" style="1" customWidth="1"/>
    <col min="18" max="18" width="3" style="1" customWidth="1"/>
    <col min="19" max="19" width="11.5" style="1" bestFit="1" customWidth="1"/>
    <col min="20" max="20" width="15.33203125" style="1" bestFit="1" customWidth="1"/>
    <col min="21" max="21" width="19.5" style="1" bestFit="1" customWidth="1"/>
    <col min="22" max="22" width="18.6640625" style="1" bestFit="1" customWidth="1"/>
    <col min="23" max="23" width="17.33203125" style="1" bestFit="1" customWidth="1"/>
    <col min="24" max="24" width="21.5" style="1" bestFit="1" customWidth="1"/>
    <col min="25" max="25" width="17.1640625" style="1" bestFit="1" customWidth="1"/>
    <col min="26" max="26" width="3.33203125" customWidth="1"/>
    <col min="27" max="27" width="18.83203125" style="1" customWidth="1"/>
    <col min="28" max="28" width="19.83203125" style="1" customWidth="1"/>
    <col min="29" max="29" width="15.6640625" style="1" bestFit="1" customWidth="1"/>
    <col min="30" max="30" width="15.6640625" style="1" customWidth="1"/>
    <col min="31" max="31" width="18.33203125" style="1" bestFit="1" customWidth="1"/>
    <col min="32" max="32" width="14.1640625" style="1" bestFit="1" customWidth="1"/>
    <col min="33" max="33" width="12.6640625" style="1" bestFit="1" customWidth="1"/>
    <col min="34" max="34" width="15.1640625" style="1" bestFit="1" customWidth="1"/>
    <col min="35" max="35" width="17.33203125" style="1" bestFit="1" customWidth="1"/>
    <col min="36" max="36" width="17.1640625" style="1" bestFit="1" customWidth="1"/>
    <col min="37" max="37" width="15.5" style="1" customWidth="1"/>
    <col min="38" max="38" width="13.6640625" style="1" bestFit="1" customWidth="1"/>
    <col min="39" max="39" width="12.1640625" style="1" bestFit="1" customWidth="1"/>
    <col min="40" max="40" width="14.5" style="1" bestFit="1" customWidth="1"/>
    <col min="41" max="41" width="10.5" style="1" customWidth="1"/>
    <col min="42" max="42" width="17.83203125" style="1" bestFit="1" customWidth="1"/>
    <col min="43" max="43" width="19.6640625" style="1" bestFit="1" customWidth="1"/>
    <col min="44" max="44" width="12.1640625" style="1" customWidth="1"/>
    <col min="45" max="45" width="17.83203125" style="1" bestFit="1" customWidth="1"/>
    <col min="46" max="46" width="19.33203125" style="1" bestFit="1" customWidth="1"/>
    <col min="47" max="47" width="3.33203125" style="1" customWidth="1"/>
    <col min="48" max="48" width="12.83203125" style="1" customWidth="1"/>
    <col min="49" max="49" width="23.33203125" style="1" bestFit="1" customWidth="1"/>
    <col min="50" max="50" width="19.1640625" style="1" bestFit="1" customWidth="1"/>
    <col min="51" max="51" width="3.6640625" style="1" customWidth="1"/>
    <col min="52" max="52" width="21.6640625" style="1" bestFit="1" customWidth="1"/>
    <col min="53" max="53" width="18.33203125" style="1" bestFit="1" customWidth="1"/>
    <col min="54" max="54" width="24.33203125" style="1" bestFit="1" customWidth="1"/>
    <col min="55" max="55" width="3.33203125" style="1" customWidth="1"/>
    <col min="56" max="56" width="23" style="1" bestFit="1" customWidth="1"/>
    <col min="57" max="57" width="22.1640625" style="1" bestFit="1" customWidth="1"/>
    <col min="58" max="58" width="23.6640625" style="1" bestFit="1" customWidth="1"/>
    <col min="59" max="59" width="23.1640625" style="1" bestFit="1" customWidth="1"/>
    <col min="60" max="60" width="26" style="1" bestFit="1" customWidth="1"/>
    <col min="61" max="61" width="3" style="1" customWidth="1"/>
    <col min="62" max="62" width="43.5" style="1" bestFit="1" customWidth="1"/>
    <col min="63" max="83" width="10.83203125" style="1" customWidth="1"/>
    <col min="84" max="16384" width="10.83203125" style="1"/>
  </cols>
  <sheetData>
    <row r="2" spans="2:62" x14ac:dyDescent="0.2">
      <c r="B2" s="1" t="s">
        <v>0</v>
      </c>
      <c r="S2" s="1" t="s">
        <v>1</v>
      </c>
      <c r="AA2" s="1" t="s">
        <v>2</v>
      </c>
      <c r="AC2" s="1" t="s">
        <v>3</v>
      </c>
      <c r="AD2" s="1" t="s">
        <v>4</v>
      </c>
      <c r="AO2" s="1" t="s">
        <v>5</v>
      </c>
      <c r="AR2" s="1" t="s">
        <v>4</v>
      </c>
      <c r="AV2" s="1" t="s">
        <v>6</v>
      </c>
      <c r="AZ2" s="1" t="s">
        <v>7</v>
      </c>
      <c r="BD2" s="1" t="s">
        <v>8</v>
      </c>
      <c r="BJ2" s="1" t="s">
        <v>9</v>
      </c>
    </row>
    <row r="3" spans="2:62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S3" s="14" t="s">
        <v>26</v>
      </c>
      <c r="T3" s="14" t="s">
        <v>27</v>
      </c>
      <c r="U3" s="22" t="s">
        <v>28</v>
      </c>
      <c r="V3" s="14" t="s">
        <v>29</v>
      </c>
      <c r="W3" s="14" t="s">
        <v>30</v>
      </c>
      <c r="X3" s="14" t="s">
        <v>31</v>
      </c>
      <c r="Y3" s="14" t="s">
        <v>32</v>
      </c>
      <c r="AA3" s="4" t="s">
        <v>33</v>
      </c>
      <c r="AB3" s="4" t="s">
        <v>34</v>
      </c>
      <c r="AC3" s="3" t="s">
        <v>35</v>
      </c>
      <c r="AD3" s="6" t="s">
        <v>35</v>
      </c>
      <c r="AE3" s="7" t="s">
        <v>36</v>
      </c>
      <c r="AF3" s="4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3" t="s">
        <v>3</v>
      </c>
      <c r="AP3" s="3" t="s">
        <v>46</v>
      </c>
      <c r="AQ3" s="3" t="s">
        <v>47</v>
      </c>
      <c r="AR3" s="6" t="s">
        <v>3</v>
      </c>
      <c r="AS3" s="6" t="s">
        <v>46</v>
      </c>
      <c r="AT3" s="6" t="s">
        <v>47</v>
      </c>
      <c r="AV3" s="7" t="s">
        <v>48</v>
      </c>
      <c r="AW3" s="7" t="s">
        <v>49</v>
      </c>
      <c r="AX3" s="7" t="s">
        <v>50</v>
      </c>
      <c r="AZ3" s="7" t="s">
        <v>51</v>
      </c>
      <c r="BA3" s="7" t="s">
        <v>52</v>
      </c>
      <c r="BB3" s="7" t="s">
        <v>53</v>
      </c>
      <c r="BD3" s="7" t="s">
        <v>48</v>
      </c>
      <c r="BE3" s="7" t="s">
        <v>54</v>
      </c>
      <c r="BF3" s="7" t="s">
        <v>55</v>
      </c>
      <c r="BG3" s="7" t="s">
        <v>56</v>
      </c>
      <c r="BH3" s="7" t="s">
        <v>57</v>
      </c>
      <c r="BJ3" s="7" t="s">
        <v>58</v>
      </c>
    </row>
    <row r="4" spans="2:62" x14ac:dyDescent="0.2">
      <c r="B4" s="13" t="s">
        <v>59</v>
      </c>
      <c r="C4" s="12" t="s">
        <v>60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S4" s="15">
        <v>73.71884</v>
      </c>
      <c r="T4" s="15">
        <v>-4.302149</v>
      </c>
      <c r="U4" s="21">
        <v>21.986353300000001</v>
      </c>
      <c r="V4" s="15">
        <v>21.021514</v>
      </c>
      <c r="W4" s="15">
        <v>9.0440679999999993</v>
      </c>
      <c r="X4" s="16">
        <v>-126.225199</v>
      </c>
      <c r="Y4" s="15">
        <v>10.321106</v>
      </c>
      <c r="AA4" s="1" t="str">
        <f t="shared" ref="AA4:AA35" si="0">B4</f>
        <v>CA_F-NGin-H2out</v>
      </c>
      <c r="AB4" s="1" t="str">
        <f t="shared" ref="AB4:AB35" si="1">C4</f>
        <v>Ethane</v>
      </c>
      <c r="AC4" s="11">
        <f t="shared" ref="AC4:AC35" si="2">SUM(AF4:AN4)+AP4+AQ4</f>
        <v>852.90239771920119</v>
      </c>
      <c r="AD4" s="11">
        <f t="shared" ref="AD4:AD35" si="3">SUM(AF4:AN4)+AS4+AT4</f>
        <v>852.90239771920119</v>
      </c>
      <c r="AE4" s="5">
        <f t="shared" ref="AE4:AE35" si="4">AC4-AD4</f>
        <v>0</v>
      </c>
      <c r="AF4" s="5">
        <f t="shared" ref="AF4:AF35" si="5">E4/H4*W4</f>
        <v>0</v>
      </c>
      <c r="AG4" s="1">
        <f t="shared" ref="AG4:AG35" si="6">F4/H4*W4*-1</f>
        <v>-28.958094954547988</v>
      </c>
      <c r="AH4" s="1">
        <f t="shared" ref="AH4:AH35" si="7">G4/H4*V4</f>
        <v>0</v>
      </c>
      <c r="AI4" s="1">
        <f t="shared" ref="AI4:AI35" si="8">1/H4*U4</f>
        <v>452.54756324196904</v>
      </c>
      <c r="AJ4" s="1">
        <f t="shared" ref="AJ4:AJ35" si="9">I4/H4*Y4</f>
        <v>35.71607505566368</v>
      </c>
      <c r="AK4" s="1">
        <f t="shared" ref="AK4:AK35" si="10">J4/H4*Y4*-1</f>
        <v>0</v>
      </c>
      <c r="AL4" s="1">
        <f t="shared" ref="AL4:AL35" si="11">O4/H4/(0.9*8760)</f>
        <v>236.76830702877979</v>
      </c>
      <c r="AM4" s="1">
        <f t="shared" ref="AM4:AM35" si="12">P4/H4/(0.9*8760)</f>
        <v>129.5862977462161</v>
      </c>
      <c r="AN4" s="1">
        <f t="shared" ref="AN4:AN35" si="13">Q4/H4</f>
        <v>-49.262240069007916</v>
      </c>
      <c r="AO4" s="1">
        <f t="shared" ref="AO4:AO35" si="14">BE4+BF4+BG4</f>
        <v>1.037787486484167</v>
      </c>
      <c r="AP4" s="1">
        <f t="shared" ref="AP4:AP35" si="15">(S4+T4)*-1*(K4+M4)/H4</f>
        <v>0</v>
      </c>
      <c r="AQ4" s="1">
        <f t="shared" ref="AQ4:AQ35" si="16">AO4*S4</f>
        <v>76.504489670128464</v>
      </c>
      <c r="AR4" s="1">
        <f t="shared" ref="AR4:AR35" si="17">BE4+BF4</f>
        <v>1.037787486484167</v>
      </c>
      <c r="AS4" s="1">
        <f t="shared" ref="AS4:AS35" si="18">T4*(K4+M4)*-1/H4</f>
        <v>0</v>
      </c>
      <c r="AT4" s="1">
        <f t="shared" ref="AT4:AT35" si="19">AR4*S4</f>
        <v>76.504489670128464</v>
      </c>
      <c r="AV4" s="9">
        <f t="shared" ref="AV4:AV35" si="20">22/7</f>
        <v>3.1428571428571428</v>
      </c>
      <c r="AW4" s="10">
        <v>0.20320575112912201</v>
      </c>
      <c r="AX4" s="9">
        <v>0.182890835326593</v>
      </c>
      <c r="AZ4" s="10">
        <f t="shared" ref="AZ4:AZ35" si="21">1/H4*AW4</f>
        <v>4.1826066494727963</v>
      </c>
      <c r="BA4" s="10">
        <f t="shared" ref="BA4:BA35" si="22">I4/H4*AX4</f>
        <v>0.63289174643857182</v>
      </c>
      <c r="BB4" s="10">
        <f t="shared" ref="BB4:BB35" si="23">AZ4+BA4</f>
        <v>4.8154983959113684</v>
      </c>
      <c r="BD4" s="10">
        <f t="shared" ref="BD4:BD35" si="24">AV4</f>
        <v>3.1428571428571428</v>
      </c>
      <c r="BE4" s="10">
        <f t="shared" ref="BE4:BE35" si="25">J4/H4*AX4</f>
        <v>0</v>
      </c>
      <c r="BF4" s="10">
        <f t="shared" ref="BF4:BF35" si="26">(L4+N4)/H4</f>
        <v>1.037787486484167</v>
      </c>
      <c r="BG4" s="10">
        <f t="shared" ref="BG4:BG35" si="27">(K4+M4)/H4</f>
        <v>0</v>
      </c>
      <c r="BH4" s="10">
        <f t="shared" ref="BH4:BH35" si="28">SUM(BD4:BG4)</f>
        <v>4.1806446293413098</v>
      </c>
      <c r="BJ4" s="1">
        <f t="shared" ref="BJ4:BJ35" si="29">BB4-BH4</f>
        <v>0.63485376657005865</v>
      </c>
    </row>
    <row r="5" spans="2:62" x14ac:dyDescent="0.2">
      <c r="B5" s="13" t="s">
        <v>61</v>
      </c>
      <c r="C5" s="12" t="s">
        <v>60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S5" s="15">
        <v>73.71884</v>
      </c>
      <c r="T5" s="15">
        <v>-5.0000840000000002</v>
      </c>
      <c r="U5" s="21">
        <v>21.986353300000001</v>
      </c>
      <c r="V5" s="15">
        <v>21.357776999999999</v>
      </c>
      <c r="W5" s="15">
        <v>7.5483099999999999</v>
      </c>
      <c r="X5" s="16">
        <v>-126.782873</v>
      </c>
      <c r="Y5" s="15">
        <v>8.6017200000000003</v>
      </c>
      <c r="AA5" s="1" t="str">
        <f t="shared" si="0"/>
        <v>NW_F-NGin-H2out</v>
      </c>
      <c r="AB5" s="1" t="str">
        <f t="shared" si="1"/>
        <v>Ethane</v>
      </c>
      <c r="AC5" s="11">
        <f t="shared" si="2"/>
        <v>851.74173111444577</v>
      </c>
      <c r="AD5" s="11">
        <f t="shared" si="3"/>
        <v>851.74173111444577</v>
      </c>
      <c r="AE5" s="5">
        <f t="shared" si="4"/>
        <v>0</v>
      </c>
      <c r="AF5" s="5">
        <f t="shared" si="5"/>
        <v>0</v>
      </c>
      <c r="AG5" s="1">
        <f t="shared" si="6"/>
        <v>-24.168845007176433</v>
      </c>
      <c r="AH5" s="1">
        <f t="shared" si="7"/>
        <v>0</v>
      </c>
      <c r="AI5" s="1">
        <f t="shared" si="8"/>
        <v>452.54756324196904</v>
      </c>
      <c r="AJ5" s="1">
        <f t="shared" si="9"/>
        <v>29.766158503536676</v>
      </c>
      <c r="AK5" s="1">
        <f t="shared" si="10"/>
        <v>0</v>
      </c>
      <c r="AL5" s="1">
        <f t="shared" si="11"/>
        <v>236.76830702877979</v>
      </c>
      <c r="AM5" s="1">
        <f t="shared" si="12"/>
        <v>129.5862977462161</v>
      </c>
      <c r="AN5" s="1">
        <f t="shared" si="13"/>
        <v>-49.262240069007916</v>
      </c>
      <c r="AO5" s="1">
        <f t="shared" si="14"/>
        <v>1.037787486484167</v>
      </c>
      <c r="AP5" s="1">
        <f t="shared" si="15"/>
        <v>0</v>
      </c>
      <c r="AQ5" s="1">
        <f t="shared" si="16"/>
        <v>76.504489670128464</v>
      </c>
      <c r="AR5" s="1">
        <f t="shared" si="17"/>
        <v>1.037787486484167</v>
      </c>
      <c r="AS5" s="1">
        <f t="shared" si="18"/>
        <v>0</v>
      </c>
      <c r="AT5" s="1">
        <f t="shared" si="19"/>
        <v>76.504489670128464</v>
      </c>
      <c r="AV5" s="9">
        <f t="shared" si="20"/>
        <v>3.1428571428571428</v>
      </c>
      <c r="AW5" s="10">
        <v>0.20320575112912201</v>
      </c>
      <c r="AX5" s="9">
        <v>0.182890835326593</v>
      </c>
      <c r="AZ5" s="10">
        <f t="shared" si="21"/>
        <v>4.1826066494727963</v>
      </c>
      <c r="BA5" s="10">
        <f t="shared" si="22"/>
        <v>0.63289174643857182</v>
      </c>
      <c r="BB5" s="10">
        <f t="shared" si="23"/>
        <v>4.8154983959113684</v>
      </c>
      <c r="BD5" s="10">
        <f t="shared" si="24"/>
        <v>3.1428571428571428</v>
      </c>
      <c r="BE5" s="10">
        <f t="shared" si="25"/>
        <v>0</v>
      </c>
      <c r="BF5" s="10">
        <f t="shared" si="26"/>
        <v>1.037787486484167</v>
      </c>
      <c r="BG5" s="10">
        <f t="shared" si="27"/>
        <v>0</v>
      </c>
      <c r="BH5" s="10">
        <f t="shared" si="28"/>
        <v>4.1806446293413098</v>
      </c>
      <c r="BJ5" s="1">
        <f t="shared" si="29"/>
        <v>0.63485376657005865</v>
      </c>
    </row>
    <row r="6" spans="2:62" x14ac:dyDescent="0.2">
      <c r="B6" s="13" t="s">
        <v>62</v>
      </c>
      <c r="C6" s="12" t="s">
        <v>60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S6" s="15">
        <v>73.71884</v>
      </c>
      <c r="T6" s="15">
        <v>-6.0973139999999999</v>
      </c>
      <c r="U6" s="21">
        <v>21.986353300000001</v>
      </c>
      <c r="V6" s="15">
        <v>22.906690000000001</v>
      </c>
      <c r="W6" s="15">
        <v>13.197062000000001</v>
      </c>
      <c r="X6" s="16">
        <v>-129.528977</v>
      </c>
      <c r="Y6" s="15">
        <v>14.953878</v>
      </c>
      <c r="AA6" s="1" t="str">
        <f t="shared" si="0"/>
        <v>SW_F-NGin-H2out</v>
      </c>
      <c r="AB6" s="1" t="str">
        <f t="shared" si="1"/>
        <v>Ethane</v>
      </c>
      <c r="AC6" s="11">
        <f t="shared" si="2"/>
        <v>855.6366321950801</v>
      </c>
      <c r="AD6" s="11">
        <f t="shared" si="3"/>
        <v>855.6366321950801</v>
      </c>
      <c r="AE6" s="5">
        <f t="shared" si="4"/>
        <v>0</v>
      </c>
      <c r="AF6" s="5">
        <f t="shared" si="5"/>
        <v>0</v>
      </c>
      <c r="AG6" s="1">
        <f t="shared" si="6"/>
        <v>-42.255517596402086</v>
      </c>
      <c r="AH6" s="1">
        <f t="shared" si="7"/>
        <v>0</v>
      </c>
      <c r="AI6" s="1">
        <f t="shared" si="8"/>
        <v>452.54756324196904</v>
      </c>
      <c r="AJ6" s="1">
        <f t="shared" si="9"/>
        <v>51.747732173396713</v>
      </c>
      <c r="AK6" s="1">
        <f t="shared" si="10"/>
        <v>0</v>
      </c>
      <c r="AL6" s="1">
        <f t="shared" si="11"/>
        <v>236.76830702877979</v>
      </c>
      <c r="AM6" s="1">
        <f t="shared" si="12"/>
        <v>129.5862977462161</v>
      </c>
      <c r="AN6" s="1">
        <f t="shared" si="13"/>
        <v>-49.262240069007916</v>
      </c>
      <c r="AO6" s="1">
        <f t="shared" si="14"/>
        <v>1.037787486484167</v>
      </c>
      <c r="AP6" s="1">
        <f t="shared" si="15"/>
        <v>0</v>
      </c>
      <c r="AQ6" s="1">
        <f t="shared" si="16"/>
        <v>76.504489670128464</v>
      </c>
      <c r="AR6" s="1">
        <f t="shared" si="17"/>
        <v>1.037787486484167</v>
      </c>
      <c r="AS6" s="1">
        <f t="shared" si="18"/>
        <v>0</v>
      </c>
      <c r="AT6" s="1">
        <f t="shared" si="19"/>
        <v>76.504489670128464</v>
      </c>
      <c r="AV6" s="9">
        <f t="shared" si="20"/>
        <v>3.1428571428571428</v>
      </c>
      <c r="AW6" s="10">
        <v>0.20320575112912201</v>
      </c>
      <c r="AX6" s="9">
        <v>0.182890835326593</v>
      </c>
      <c r="AZ6" s="10">
        <f t="shared" si="21"/>
        <v>4.1826066494727963</v>
      </c>
      <c r="BA6" s="10">
        <f t="shared" si="22"/>
        <v>0.63289174643857182</v>
      </c>
      <c r="BB6" s="10">
        <f t="shared" si="23"/>
        <v>4.8154983959113684</v>
      </c>
      <c r="BD6" s="10">
        <f t="shared" si="24"/>
        <v>3.1428571428571428</v>
      </c>
      <c r="BE6" s="10">
        <f t="shared" si="25"/>
        <v>0</v>
      </c>
      <c r="BF6" s="10">
        <f t="shared" si="26"/>
        <v>1.037787486484167</v>
      </c>
      <c r="BG6" s="10">
        <f t="shared" si="27"/>
        <v>0</v>
      </c>
      <c r="BH6" s="10">
        <f t="shared" si="28"/>
        <v>4.1806446293413098</v>
      </c>
      <c r="BJ6" s="1">
        <f t="shared" si="29"/>
        <v>0.63485376657005865</v>
      </c>
    </row>
    <row r="7" spans="2:62" x14ac:dyDescent="0.2">
      <c r="B7" s="13" t="s">
        <v>63</v>
      </c>
      <c r="C7" s="12" t="s">
        <v>60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S7" s="15">
        <v>73.71884</v>
      </c>
      <c r="T7" s="15">
        <v>-6.1992539999999998</v>
      </c>
      <c r="U7" s="21">
        <v>21.986353300000001</v>
      </c>
      <c r="V7" s="15">
        <v>22.465142</v>
      </c>
      <c r="W7" s="15">
        <v>13.285634</v>
      </c>
      <c r="X7" s="16">
        <v>-129.68144799999999</v>
      </c>
      <c r="Y7" s="15">
        <v>15.046749</v>
      </c>
      <c r="AA7" s="1" t="str">
        <f t="shared" si="0"/>
        <v>TX_F-NGin-H2out</v>
      </c>
      <c r="AB7" s="1" t="str">
        <f t="shared" si="1"/>
        <v>Ethane</v>
      </c>
      <c r="AC7" s="11">
        <f t="shared" si="2"/>
        <v>855.67441363543776</v>
      </c>
      <c r="AD7" s="11">
        <f t="shared" si="3"/>
        <v>855.67441363543776</v>
      </c>
      <c r="AE7" s="5">
        <f t="shared" si="4"/>
        <v>0</v>
      </c>
      <c r="AF7" s="5">
        <f t="shared" si="5"/>
        <v>0</v>
      </c>
      <c r="AG7" s="1">
        <f t="shared" si="6"/>
        <v>-42.539115241434637</v>
      </c>
      <c r="AH7" s="1">
        <f t="shared" si="7"/>
        <v>0</v>
      </c>
      <c r="AI7" s="1">
        <f t="shared" si="8"/>
        <v>452.54756324196904</v>
      </c>
      <c r="AJ7" s="1">
        <f t="shared" si="9"/>
        <v>52.06911125878684</v>
      </c>
      <c r="AK7" s="1">
        <f t="shared" si="10"/>
        <v>0</v>
      </c>
      <c r="AL7" s="1">
        <f t="shared" si="11"/>
        <v>236.76830702877979</v>
      </c>
      <c r="AM7" s="1">
        <f t="shared" si="12"/>
        <v>129.5862977462161</v>
      </c>
      <c r="AN7" s="1">
        <f t="shared" si="13"/>
        <v>-49.262240069007916</v>
      </c>
      <c r="AO7" s="1">
        <f t="shared" si="14"/>
        <v>1.037787486484167</v>
      </c>
      <c r="AP7" s="1">
        <f t="shared" si="15"/>
        <v>0</v>
      </c>
      <c r="AQ7" s="1">
        <f t="shared" si="16"/>
        <v>76.504489670128464</v>
      </c>
      <c r="AR7" s="1">
        <f t="shared" si="17"/>
        <v>1.037787486484167</v>
      </c>
      <c r="AS7" s="1">
        <f t="shared" si="18"/>
        <v>0</v>
      </c>
      <c r="AT7" s="1">
        <f t="shared" si="19"/>
        <v>76.504489670128464</v>
      </c>
      <c r="AV7" s="9">
        <f t="shared" si="20"/>
        <v>3.1428571428571428</v>
      </c>
      <c r="AW7" s="10">
        <v>0.20320575112912201</v>
      </c>
      <c r="AX7" s="9">
        <v>0.182890835326593</v>
      </c>
      <c r="AZ7" s="10">
        <f t="shared" si="21"/>
        <v>4.1826066494727963</v>
      </c>
      <c r="BA7" s="10">
        <f t="shared" si="22"/>
        <v>0.63289174643857182</v>
      </c>
      <c r="BB7" s="10">
        <f t="shared" si="23"/>
        <v>4.8154983959113684</v>
      </c>
      <c r="BD7" s="10">
        <f t="shared" si="24"/>
        <v>3.1428571428571428</v>
      </c>
      <c r="BE7" s="10">
        <f t="shared" si="25"/>
        <v>0</v>
      </c>
      <c r="BF7" s="10">
        <f t="shared" si="26"/>
        <v>1.037787486484167</v>
      </c>
      <c r="BG7" s="10">
        <f t="shared" si="27"/>
        <v>0</v>
      </c>
      <c r="BH7" s="10">
        <f t="shared" si="28"/>
        <v>4.1806446293413098</v>
      </c>
      <c r="BJ7" s="1">
        <f t="shared" si="29"/>
        <v>0.63485376657005865</v>
      </c>
    </row>
    <row r="8" spans="2:62" x14ac:dyDescent="0.2">
      <c r="B8" s="13" t="s">
        <v>64</v>
      </c>
      <c r="C8" s="12" t="s">
        <v>60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S8" s="15">
        <v>73.71884</v>
      </c>
      <c r="T8" s="15">
        <v>-6.0910019999999996</v>
      </c>
      <c r="U8" s="21">
        <v>21.986353300000001</v>
      </c>
      <c r="V8" s="15">
        <v>21.266241000000001</v>
      </c>
      <c r="W8" s="15">
        <v>7.267779</v>
      </c>
      <c r="X8" s="16">
        <v>-128.077631</v>
      </c>
      <c r="Y8" s="15">
        <v>7.9635800000000003</v>
      </c>
      <c r="AA8" s="1" t="str">
        <f t="shared" si="0"/>
        <v>NCEN_F-NGin-H2out</v>
      </c>
      <c r="AB8" s="1" t="str">
        <f t="shared" si="1"/>
        <v>Ethane</v>
      </c>
      <c r="AC8" s="11">
        <f t="shared" si="2"/>
        <v>850.43168349451105</v>
      </c>
      <c r="AD8" s="11">
        <f t="shared" si="3"/>
        <v>850.43168349451105</v>
      </c>
      <c r="AE8" s="5">
        <f t="shared" si="4"/>
        <v>0</v>
      </c>
      <c r="AF8" s="5">
        <f t="shared" si="5"/>
        <v>0</v>
      </c>
      <c r="AG8" s="1">
        <f t="shared" si="6"/>
        <v>-23.270616097830075</v>
      </c>
      <c r="AH8" s="1">
        <f t="shared" si="7"/>
        <v>0</v>
      </c>
      <c r="AI8" s="1">
        <f t="shared" si="8"/>
        <v>452.54756324196904</v>
      </c>
      <c r="AJ8" s="1">
        <f t="shared" si="9"/>
        <v>27.557881974255686</v>
      </c>
      <c r="AK8" s="1">
        <f t="shared" si="10"/>
        <v>0</v>
      </c>
      <c r="AL8" s="1">
        <f t="shared" si="11"/>
        <v>236.76830702877979</v>
      </c>
      <c r="AM8" s="1">
        <f t="shared" si="12"/>
        <v>129.5862977462161</v>
      </c>
      <c r="AN8" s="1">
        <f t="shared" si="13"/>
        <v>-49.262240069007916</v>
      </c>
      <c r="AO8" s="1">
        <f t="shared" si="14"/>
        <v>1.037787486484167</v>
      </c>
      <c r="AP8" s="1">
        <f t="shared" si="15"/>
        <v>0</v>
      </c>
      <c r="AQ8" s="1">
        <f t="shared" si="16"/>
        <v>76.504489670128464</v>
      </c>
      <c r="AR8" s="1">
        <f t="shared" si="17"/>
        <v>1.037787486484167</v>
      </c>
      <c r="AS8" s="1">
        <f t="shared" si="18"/>
        <v>0</v>
      </c>
      <c r="AT8" s="1">
        <f t="shared" si="19"/>
        <v>76.504489670128464</v>
      </c>
      <c r="AV8" s="9">
        <f t="shared" si="20"/>
        <v>3.1428571428571428</v>
      </c>
      <c r="AW8" s="10">
        <v>0.20320575112912201</v>
      </c>
      <c r="AX8" s="9">
        <v>0.182890835326593</v>
      </c>
      <c r="AZ8" s="10">
        <f t="shared" si="21"/>
        <v>4.1826066494727963</v>
      </c>
      <c r="BA8" s="10">
        <f t="shared" si="22"/>
        <v>0.63289174643857182</v>
      </c>
      <c r="BB8" s="10">
        <f t="shared" si="23"/>
        <v>4.8154983959113684</v>
      </c>
      <c r="BD8" s="10">
        <f t="shared" si="24"/>
        <v>3.1428571428571428</v>
      </c>
      <c r="BE8" s="10">
        <f t="shared" si="25"/>
        <v>0</v>
      </c>
      <c r="BF8" s="10">
        <f t="shared" si="26"/>
        <v>1.037787486484167</v>
      </c>
      <c r="BG8" s="10">
        <f t="shared" si="27"/>
        <v>0</v>
      </c>
      <c r="BH8" s="10">
        <f t="shared" si="28"/>
        <v>4.1806446293413098</v>
      </c>
      <c r="BJ8" s="1">
        <f t="shared" si="29"/>
        <v>0.63485376657005865</v>
      </c>
    </row>
    <row r="9" spans="2:62" x14ac:dyDescent="0.2">
      <c r="B9" s="13" t="s">
        <v>65</v>
      </c>
      <c r="C9" s="12" t="s">
        <v>60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S9" s="15">
        <v>73.71884</v>
      </c>
      <c r="T9" s="15">
        <v>-16.179127999999999</v>
      </c>
      <c r="U9" s="21">
        <v>21.986353300000001</v>
      </c>
      <c r="V9" s="15">
        <v>21.500722</v>
      </c>
      <c r="W9" s="15">
        <v>7.5324369999999998</v>
      </c>
      <c r="X9" s="16">
        <v>-140.74133399999999</v>
      </c>
      <c r="Y9" s="15">
        <v>5.4076719999999998</v>
      </c>
      <c r="AA9" s="1" t="str">
        <f t="shared" si="0"/>
        <v>CEN_F-NGin-H2out</v>
      </c>
      <c r="AB9" s="1" t="str">
        <f t="shared" si="1"/>
        <v>Ethane</v>
      </c>
      <c r="AC9" s="11">
        <f t="shared" si="2"/>
        <v>840.7395863224599</v>
      </c>
      <c r="AD9" s="11">
        <f t="shared" si="3"/>
        <v>840.7395863224599</v>
      </c>
      <c r="AE9" s="5">
        <f t="shared" si="4"/>
        <v>0</v>
      </c>
      <c r="AF9" s="5">
        <f t="shared" si="5"/>
        <v>0</v>
      </c>
      <c r="AG9" s="1">
        <f t="shared" si="6"/>
        <v>-24.118021435171716</v>
      </c>
      <c r="AH9" s="1">
        <f t="shared" si="7"/>
        <v>0</v>
      </c>
      <c r="AI9" s="1">
        <f t="shared" si="8"/>
        <v>452.54756324196904</v>
      </c>
      <c r="AJ9" s="1">
        <f t="shared" si="9"/>
        <v>18.713190139546182</v>
      </c>
      <c r="AK9" s="1">
        <f t="shared" si="10"/>
        <v>0</v>
      </c>
      <c r="AL9" s="1">
        <f t="shared" si="11"/>
        <v>236.76830702877979</v>
      </c>
      <c r="AM9" s="1">
        <f t="shared" si="12"/>
        <v>129.5862977462161</v>
      </c>
      <c r="AN9" s="1">
        <f t="shared" si="13"/>
        <v>-49.262240069007916</v>
      </c>
      <c r="AO9" s="1">
        <f t="shared" si="14"/>
        <v>1.037787486484167</v>
      </c>
      <c r="AP9" s="1">
        <f t="shared" si="15"/>
        <v>0</v>
      </c>
      <c r="AQ9" s="1">
        <f t="shared" si="16"/>
        <v>76.504489670128464</v>
      </c>
      <c r="AR9" s="1">
        <f t="shared" si="17"/>
        <v>1.037787486484167</v>
      </c>
      <c r="AS9" s="1">
        <f t="shared" si="18"/>
        <v>0</v>
      </c>
      <c r="AT9" s="1">
        <f t="shared" si="19"/>
        <v>76.504489670128464</v>
      </c>
      <c r="AV9" s="9">
        <f t="shared" si="20"/>
        <v>3.1428571428571428</v>
      </c>
      <c r="AW9" s="10">
        <v>0.20320575112912201</v>
      </c>
      <c r="AX9" s="9">
        <v>0.182890835326593</v>
      </c>
      <c r="AZ9" s="10">
        <f t="shared" si="21"/>
        <v>4.1826066494727963</v>
      </c>
      <c r="BA9" s="10">
        <f t="shared" si="22"/>
        <v>0.63289174643857182</v>
      </c>
      <c r="BB9" s="10">
        <f t="shared" si="23"/>
        <v>4.8154983959113684</v>
      </c>
      <c r="BD9" s="10">
        <f t="shared" si="24"/>
        <v>3.1428571428571428</v>
      </c>
      <c r="BE9" s="10">
        <f t="shared" si="25"/>
        <v>0</v>
      </c>
      <c r="BF9" s="10">
        <f t="shared" si="26"/>
        <v>1.037787486484167</v>
      </c>
      <c r="BG9" s="10">
        <f t="shared" si="27"/>
        <v>0</v>
      </c>
      <c r="BH9" s="10">
        <f t="shared" si="28"/>
        <v>4.1806446293413098</v>
      </c>
      <c r="BJ9" s="1">
        <f t="shared" si="29"/>
        <v>0.63485376657005865</v>
      </c>
    </row>
    <row r="10" spans="2:62" x14ac:dyDescent="0.2">
      <c r="B10" s="13" t="s">
        <v>66</v>
      </c>
      <c r="C10" s="12" t="s">
        <v>60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S10" s="15">
        <v>73.71884</v>
      </c>
      <c r="T10" s="15">
        <v>-23.276809</v>
      </c>
      <c r="U10" s="21">
        <v>21.986353300000001</v>
      </c>
      <c r="V10" s="15">
        <v>20.789991000000001</v>
      </c>
      <c r="W10" s="15">
        <v>9.1959800000000005</v>
      </c>
      <c r="X10" s="16">
        <v>-150.75578899999999</v>
      </c>
      <c r="Y10" s="15">
        <v>8.9604540000000004</v>
      </c>
      <c r="AA10" s="1" t="str">
        <f t="shared" si="0"/>
        <v>SE_F-NGin-H2out</v>
      </c>
      <c r="AB10" s="1" t="str">
        <f t="shared" si="1"/>
        <v>Ethane</v>
      </c>
      <c r="AC10" s="11">
        <f t="shared" si="2"/>
        <v>847.7074710262707</v>
      </c>
      <c r="AD10" s="11">
        <f t="shared" si="3"/>
        <v>847.7074710262707</v>
      </c>
      <c r="AE10" s="5">
        <f t="shared" si="4"/>
        <v>0</v>
      </c>
      <c r="AF10" s="5">
        <f t="shared" si="5"/>
        <v>0</v>
      </c>
      <c r="AG10" s="1">
        <f t="shared" si="6"/>
        <v>-29.444500200587196</v>
      </c>
      <c r="AH10" s="1">
        <f t="shared" si="7"/>
        <v>0</v>
      </c>
      <c r="AI10" s="1">
        <f t="shared" si="8"/>
        <v>452.54756324196904</v>
      </c>
      <c r="AJ10" s="1">
        <f t="shared" si="9"/>
        <v>31.007553608772341</v>
      </c>
      <c r="AK10" s="1">
        <f t="shared" si="10"/>
        <v>0</v>
      </c>
      <c r="AL10" s="1">
        <f t="shared" si="11"/>
        <v>236.76830702877979</v>
      </c>
      <c r="AM10" s="1">
        <f t="shared" si="12"/>
        <v>129.5862977462161</v>
      </c>
      <c r="AN10" s="1">
        <f t="shared" si="13"/>
        <v>-49.262240069007916</v>
      </c>
      <c r="AO10" s="1">
        <f t="shared" si="14"/>
        <v>1.037787486484167</v>
      </c>
      <c r="AP10" s="1">
        <f t="shared" si="15"/>
        <v>0</v>
      </c>
      <c r="AQ10" s="1">
        <f t="shared" si="16"/>
        <v>76.504489670128464</v>
      </c>
      <c r="AR10" s="1">
        <f t="shared" si="17"/>
        <v>1.037787486484167</v>
      </c>
      <c r="AS10" s="1">
        <f t="shared" si="18"/>
        <v>0</v>
      </c>
      <c r="AT10" s="1">
        <f t="shared" si="19"/>
        <v>76.504489670128464</v>
      </c>
      <c r="AV10" s="9">
        <f t="shared" si="20"/>
        <v>3.1428571428571428</v>
      </c>
      <c r="AW10" s="10">
        <v>0.20320575112912201</v>
      </c>
      <c r="AX10" s="9">
        <v>0.182890835326593</v>
      </c>
      <c r="AZ10" s="10">
        <f t="shared" si="21"/>
        <v>4.1826066494727963</v>
      </c>
      <c r="BA10" s="10">
        <f t="shared" si="22"/>
        <v>0.63289174643857182</v>
      </c>
      <c r="BB10" s="10">
        <f t="shared" si="23"/>
        <v>4.8154983959113684</v>
      </c>
      <c r="BD10" s="10">
        <f t="shared" si="24"/>
        <v>3.1428571428571428</v>
      </c>
      <c r="BE10" s="10">
        <f t="shared" si="25"/>
        <v>0</v>
      </c>
      <c r="BF10" s="10">
        <f t="shared" si="26"/>
        <v>1.037787486484167</v>
      </c>
      <c r="BG10" s="10">
        <f t="shared" si="27"/>
        <v>0</v>
      </c>
      <c r="BH10" s="10">
        <f t="shared" si="28"/>
        <v>4.1806446293413098</v>
      </c>
      <c r="BJ10" s="1">
        <f t="shared" si="29"/>
        <v>0.63485376657005865</v>
      </c>
    </row>
    <row r="11" spans="2:62" x14ac:dyDescent="0.2">
      <c r="B11" s="13" t="s">
        <v>67</v>
      </c>
      <c r="C11" s="12" t="s">
        <v>60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S11" s="15">
        <v>73.71884</v>
      </c>
      <c r="T11" s="15">
        <v>-4.302149</v>
      </c>
      <c r="U11" s="21">
        <v>21.986353300000001</v>
      </c>
      <c r="V11" s="15">
        <v>21.021514</v>
      </c>
      <c r="W11" s="15">
        <v>9.0440679999999993</v>
      </c>
      <c r="X11" s="16">
        <v>-126.225199</v>
      </c>
      <c r="Y11" s="15">
        <v>10.321106</v>
      </c>
      <c r="AA11" s="1" t="str">
        <f t="shared" si="0"/>
        <v>MIDAT_F-NGin-H2out</v>
      </c>
      <c r="AB11" s="1" t="str">
        <f t="shared" si="1"/>
        <v>Ethane</v>
      </c>
      <c r="AC11" s="11">
        <f t="shared" si="2"/>
        <v>852.90239771920119</v>
      </c>
      <c r="AD11" s="11">
        <f t="shared" si="3"/>
        <v>852.90239771920119</v>
      </c>
      <c r="AE11" s="5">
        <f t="shared" si="4"/>
        <v>0</v>
      </c>
      <c r="AF11" s="5">
        <f t="shared" si="5"/>
        <v>0</v>
      </c>
      <c r="AG11" s="1">
        <f t="shared" si="6"/>
        <v>-28.958094954547988</v>
      </c>
      <c r="AH11" s="1">
        <f t="shared" si="7"/>
        <v>0</v>
      </c>
      <c r="AI11" s="1">
        <f t="shared" si="8"/>
        <v>452.54756324196904</v>
      </c>
      <c r="AJ11" s="1">
        <f t="shared" si="9"/>
        <v>35.71607505566368</v>
      </c>
      <c r="AK11" s="1">
        <f t="shared" si="10"/>
        <v>0</v>
      </c>
      <c r="AL11" s="1">
        <f t="shared" si="11"/>
        <v>236.76830702877979</v>
      </c>
      <c r="AM11" s="1">
        <f t="shared" si="12"/>
        <v>129.5862977462161</v>
      </c>
      <c r="AN11" s="1">
        <f t="shared" si="13"/>
        <v>-49.262240069007916</v>
      </c>
      <c r="AO11" s="1">
        <f t="shared" si="14"/>
        <v>1.037787486484167</v>
      </c>
      <c r="AP11" s="1">
        <f t="shared" si="15"/>
        <v>0</v>
      </c>
      <c r="AQ11" s="1">
        <f t="shared" si="16"/>
        <v>76.504489670128464</v>
      </c>
      <c r="AR11" s="1">
        <f t="shared" si="17"/>
        <v>1.037787486484167</v>
      </c>
      <c r="AS11" s="1">
        <f t="shared" si="18"/>
        <v>0</v>
      </c>
      <c r="AT11" s="1">
        <f t="shared" si="19"/>
        <v>76.504489670128464</v>
      </c>
      <c r="AV11" s="9">
        <f t="shared" si="20"/>
        <v>3.1428571428571428</v>
      </c>
      <c r="AW11" s="10">
        <v>0.20320575112912201</v>
      </c>
      <c r="AX11" s="9">
        <v>0.182890835326593</v>
      </c>
      <c r="AZ11" s="10">
        <f t="shared" si="21"/>
        <v>4.1826066494727963</v>
      </c>
      <c r="BA11" s="10">
        <f t="shared" si="22"/>
        <v>0.63289174643857182</v>
      </c>
      <c r="BB11" s="10">
        <f t="shared" si="23"/>
        <v>4.8154983959113684</v>
      </c>
      <c r="BD11" s="10">
        <f t="shared" si="24"/>
        <v>3.1428571428571428</v>
      </c>
      <c r="BE11" s="10">
        <f t="shared" si="25"/>
        <v>0</v>
      </c>
      <c r="BF11" s="10">
        <f t="shared" si="26"/>
        <v>1.037787486484167</v>
      </c>
      <c r="BG11" s="10">
        <f t="shared" si="27"/>
        <v>0</v>
      </c>
      <c r="BH11" s="10">
        <f t="shared" si="28"/>
        <v>4.1806446293413098</v>
      </c>
      <c r="BJ11" s="1">
        <f t="shared" si="29"/>
        <v>0.63485376657005865</v>
      </c>
    </row>
    <row r="12" spans="2:62" x14ac:dyDescent="0.2">
      <c r="B12" s="13" t="s">
        <v>68</v>
      </c>
      <c r="C12" s="12" t="s">
        <v>60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S12" s="15">
        <v>73.71884</v>
      </c>
      <c r="T12" s="15">
        <v>-4.302149</v>
      </c>
      <c r="U12" s="21">
        <v>21.986353300000001</v>
      </c>
      <c r="V12" s="15">
        <v>21.021514</v>
      </c>
      <c r="W12" s="15">
        <v>9.0440679999999993</v>
      </c>
      <c r="X12" s="16">
        <v>-126.225199</v>
      </c>
      <c r="Y12" s="15">
        <v>10.321106</v>
      </c>
      <c r="AA12" s="1" t="str">
        <f t="shared" si="0"/>
        <v>NE_F-NGin-H2out</v>
      </c>
      <c r="AB12" s="1" t="str">
        <f t="shared" si="1"/>
        <v>Ethane</v>
      </c>
      <c r="AC12" s="11">
        <f t="shared" si="2"/>
        <v>852.90239771920119</v>
      </c>
      <c r="AD12" s="11">
        <f t="shared" si="3"/>
        <v>852.90239771920119</v>
      </c>
      <c r="AE12" s="5">
        <f t="shared" si="4"/>
        <v>0</v>
      </c>
      <c r="AF12" s="5">
        <f t="shared" si="5"/>
        <v>0</v>
      </c>
      <c r="AG12" s="1">
        <f t="shared" si="6"/>
        <v>-28.958094954547988</v>
      </c>
      <c r="AH12" s="1">
        <f t="shared" si="7"/>
        <v>0</v>
      </c>
      <c r="AI12" s="1">
        <f t="shared" si="8"/>
        <v>452.54756324196904</v>
      </c>
      <c r="AJ12" s="1">
        <f t="shared" si="9"/>
        <v>35.71607505566368</v>
      </c>
      <c r="AK12" s="1">
        <f t="shared" si="10"/>
        <v>0</v>
      </c>
      <c r="AL12" s="1">
        <f t="shared" si="11"/>
        <v>236.76830702877979</v>
      </c>
      <c r="AM12" s="1">
        <f t="shared" si="12"/>
        <v>129.5862977462161</v>
      </c>
      <c r="AN12" s="1">
        <f t="shared" si="13"/>
        <v>-49.262240069007916</v>
      </c>
      <c r="AO12" s="1">
        <f t="shared" si="14"/>
        <v>1.037787486484167</v>
      </c>
      <c r="AP12" s="1">
        <f t="shared" si="15"/>
        <v>0</v>
      </c>
      <c r="AQ12" s="1">
        <f t="shared" si="16"/>
        <v>76.504489670128464</v>
      </c>
      <c r="AR12" s="1">
        <f t="shared" si="17"/>
        <v>1.037787486484167</v>
      </c>
      <c r="AS12" s="1">
        <f t="shared" si="18"/>
        <v>0</v>
      </c>
      <c r="AT12" s="1">
        <f t="shared" si="19"/>
        <v>76.504489670128464</v>
      </c>
      <c r="AV12" s="9">
        <f t="shared" si="20"/>
        <v>3.1428571428571428</v>
      </c>
      <c r="AW12" s="10">
        <v>0.20320575112912201</v>
      </c>
      <c r="AX12" s="9">
        <v>0.182890835326593</v>
      </c>
      <c r="AZ12" s="10">
        <f t="shared" si="21"/>
        <v>4.1826066494727963</v>
      </c>
      <c r="BA12" s="10">
        <f t="shared" si="22"/>
        <v>0.63289174643857182</v>
      </c>
      <c r="BB12" s="10">
        <f t="shared" si="23"/>
        <v>4.8154983959113684</v>
      </c>
      <c r="BD12" s="10">
        <f t="shared" si="24"/>
        <v>3.1428571428571428</v>
      </c>
      <c r="BE12" s="10">
        <f t="shared" si="25"/>
        <v>0</v>
      </c>
      <c r="BF12" s="10">
        <f t="shared" si="26"/>
        <v>1.037787486484167</v>
      </c>
      <c r="BG12" s="10">
        <f t="shared" si="27"/>
        <v>0</v>
      </c>
      <c r="BH12" s="10">
        <f t="shared" si="28"/>
        <v>4.1806446293413098</v>
      </c>
      <c r="BJ12" s="1">
        <f t="shared" si="29"/>
        <v>0.63485376657005865</v>
      </c>
    </row>
    <row r="13" spans="2:62" x14ac:dyDescent="0.2">
      <c r="B13" s="13" t="s">
        <v>69</v>
      </c>
      <c r="C13" s="12" t="s">
        <v>60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S13" s="15">
        <v>73.71884</v>
      </c>
      <c r="T13" s="15">
        <v>-4.302149</v>
      </c>
      <c r="U13" s="21">
        <v>21.986353300000001</v>
      </c>
      <c r="V13" s="15">
        <v>21.021514</v>
      </c>
      <c r="W13" s="15">
        <v>9.0440679999999993</v>
      </c>
      <c r="X13" s="16">
        <v>-126.225199</v>
      </c>
      <c r="Y13" s="15">
        <v>10.321106</v>
      </c>
      <c r="AA13" s="1" t="str">
        <f t="shared" si="0"/>
        <v>CA_F-NGin</v>
      </c>
      <c r="AB13" s="1" t="str">
        <f t="shared" si="1"/>
        <v>Ethane</v>
      </c>
      <c r="AC13" s="11">
        <f t="shared" si="2"/>
        <v>805.44365349163616</v>
      </c>
      <c r="AD13" s="11">
        <f t="shared" si="3"/>
        <v>805.44365349163616</v>
      </c>
      <c r="AE13" s="5">
        <f t="shared" si="4"/>
        <v>0</v>
      </c>
      <c r="AF13" s="5">
        <f t="shared" si="5"/>
        <v>0</v>
      </c>
      <c r="AG13" s="1">
        <f t="shared" si="6"/>
        <v>0</v>
      </c>
      <c r="AH13" s="1">
        <f t="shared" si="7"/>
        <v>0</v>
      </c>
      <c r="AI13" s="1">
        <f t="shared" si="8"/>
        <v>452.54756324196904</v>
      </c>
      <c r="AJ13" s="1">
        <f t="shared" si="9"/>
        <v>2.5800212044412296</v>
      </c>
      <c r="AK13" s="1">
        <f t="shared" si="10"/>
        <v>0</v>
      </c>
      <c r="AL13" s="1">
        <f t="shared" si="11"/>
        <v>236.76830652142303</v>
      </c>
      <c r="AM13" s="1">
        <f t="shared" si="12"/>
        <v>129.58629749253777</v>
      </c>
      <c r="AN13" s="1">
        <f t="shared" si="13"/>
        <v>-49.257270809000964</v>
      </c>
      <c r="AO13" s="1">
        <f t="shared" si="14"/>
        <v>0.45061392501924863</v>
      </c>
      <c r="AP13" s="1">
        <f t="shared" si="15"/>
        <v>0</v>
      </c>
      <c r="AQ13" s="1">
        <f t="shared" si="16"/>
        <v>33.218735840265985</v>
      </c>
      <c r="AR13" s="1">
        <f t="shared" si="17"/>
        <v>0.45061392501924863</v>
      </c>
      <c r="AS13" s="1">
        <f t="shared" si="18"/>
        <v>0</v>
      </c>
      <c r="AT13" s="1">
        <f t="shared" si="19"/>
        <v>33.218735840265985</v>
      </c>
      <c r="AV13" s="9">
        <f t="shared" si="20"/>
        <v>3.1428571428571428</v>
      </c>
      <c r="AW13" s="10">
        <v>0.20320575112912201</v>
      </c>
      <c r="AX13" s="9">
        <v>0.182890835326593</v>
      </c>
      <c r="AZ13" s="10">
        <f t="shared" si="21"/>
        <v>4.1826066494727963</v>
      </c>
      <c r="BA13" s="10">
        <f t="shared" si="22"/>
        <v>4.5718184973643237E-2</v>
      </c>
      <c r="BB13" s="10">
        <f t="shared" si="23"/>
        <v>4.2283248344464397</v>
      </c>
      <c r="BD13" s="10">
        <f t="shared" si="24"/>
        <v>3.1428571428571428</v>
      </c>
      <c r="BE13" s="10">
        <f t="shared" si="25"/>
        <v>0</v>
      </c>
      <c r="BF13" s="10">
        <f t="shared" si="26"/>
        <v>0.45061392501924863</v>
      </c>
      <c r="BG13" s="10">
        <f t="shared" si="27"/>
        <v>0</v>
      </c>
      <c r="BH13" s="10">
        <f t="shared" si="28"/>
        <v>3.5934710678763913</v>
      </c>
      <c r="BJ13" s="1">
        <f t="shared" si="29"/>
        <v>0.63485376657004844</v>
      </c>
    </row>
    <row r="14" spans="2:62" x14ac:dyDescent="0.2">
      <c r="B14" s="13" t="s">
        <v>70</v>
      </c>
      <c r="C14" s="12" t="s">
        <v>60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S14" s="15">
        <v>73.71884</v>
      </c>
      <c r="T14" s="15">
        <v>-4.302149</v>
      </c>
      <c r="U14" s="21">
        <v>21.986353300000001</v>
      </c>
      <c r="V14" s="15">
        <v>21.021514</v>
      </c>
      <c r="W14" s="15">
        <v>9.0440679999999993</v>
      </c>
      <c r="X14" s="16">
        <v>-126.225199</v>
      </c>
      <c r="Y14" s="15">
        <v>10.321106</v>
      </c>
      <c r="AA14" s="1" t="str">
        <f t="shared" si="0"/>
        <v>NW_F-NGin</v>
      </c>
      <c r="AB14" s="1" t="str">
        <f t="shared" si="1"/>
        <v>Ethane</v>
      </c>
      <c r="AC14" s="11">
        <f t="shared" si="2"/>
        <v>805.44365349163616</v>
      </c>
      <c r="AD14" s="11">
        <f t="shared" si="3"/>
        <v>805.44365349163616</v>
      </c>
      <c r="AE14" s="5">
        <f t="shared" si="4"/>
        <v>0</v>
      </c>
      <c r="AF14" s="5">
        <f t="shared" si="5"/>
        <v>0</v>
      </c>
      <c r="AG14" s="1">
        <f t="shared" si="6"/>
        <v>0</v>
      </c>
      <c r="AH14" s="1">
        <f t="shared" si="7"/>
        <v>0</v>
      </c>
      <c r="AI14" s="1">
        <f t="shared" si="8"/>
        <v>452.54756324196904</v>
      </c>
      <c r="AJ14" s="1">
        <f t="shared" si="9"/>
        <v>2.5800212044412296</v>
      </c>
      <c r="AK14" s="1">
        <f t="shared" si="10"/>
        <v>0</v>
      </c>
      <c r="AL14" s="1">
        <f t="shared" si="11"/>
        <v>236.76830652142303</v>
      </c>
      <c r="AM14" s="1">
        <f t="shared" si="12"/>
        <v>129.58629749253777</v>
      </c>
      <c r="AN14" s="1">
        <f t="shared" si="13"/>
        <v>-49.257270809000964</v>
      </c>
      <c r="AO14" s="1">
        <f t="shared" si="14"/>
        <v>0.45061392501924863</v>
      </c>
      <c r="AP14" s="1">
        <f t="shared" si="15"/>
        <v>0</v>
      </c>
      <c r="AQ14" s="1">
        <f t="shared" si="16"/>
        <v>33.218735840265985</v>
      </c>
      <c r="AR14" s="1">
        <f t="shared" si="17"/>
        <v>0.45061392501924863</v>
      </c>
      <c r="AS14" s="1">
        <f t="shared" si="18"/>
        <v>0</v>
      </c>
      <c r="AT14" s="1">
        <f t="shared" si="19"/>
        <v>33.218735840265985</v>
      </c>
      <c r="AV14" s="9">
        <f t="shared" si="20"/>
        <v>3.1428571428571428</v>
      </c>
      <c r="AW14" s="10">
        <v>0.20320575112912201</v>
      </c>
      <c r="AX14" s="9">
        <v>0.182890835326593</v>
      </c>
      <c r="AZ14" s="10">
        <f t="shared" si="21"/>
        <v>4.1826066494727963</v>
      </c>
      <c r="BA14" s="10">
        <f t="shared" si="22"/>
        <v>4.5718184973643237E-2</v>
      </c>
      <c r="BB14" s="10">
        <f t="shared" si="23"/>
        <v>4.2283248344464397</v>
      </c>
      <c r="BD14" s="10">
        <f t="shared" si="24"/>
        <v>3.1428571428571428</v>
      </c>
      <c r="BE14" s="10">
        <f t="shared" si="25"/>
        <v>0</v>
      </c>
      <c r="BF14" s="10">
        <f t="shared" si="26"/>
        <v>0.45061392501924863</v>
      </c>
      <c r="BG14" s="10">
        <f t="shared" si="27"/>
        <v>0</v>
      </c>
      <c r="BH14" s="10">
        <f t="shared" si="28"/>
        <v>3.5934710678763913</v>
      </c>
      <c r="BJ14" s="1">
        <f t="shared" si="29"/>
        <v>0.63485376657004844</v>
      </c>
    </row>
    <row r="15" spans="2:62" x14ac:dyDescent="0.2">
      <c r="B15" s="13" t="s">
        <v>71</v>
      </c>
      <c r="C15" s="12" t="s">
        <v>60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S15" s="15">
        <v>73.71884</v>
      </c>
      <c r="T15" s="15">
        <v>-4.302149</v>
      </c>
      <c r="U15" s="21">
        <v>21.986353300000001</v>
      </c>
      <c r="V15" s="15">
        <v>21.021514</v>
      </c>
      <c r="W15" s="15">
        <v>9.0440679999999993</v>
      </c>
      <c r="X15" s="16">
        <v>-126.225199</v>
      </c>
      <c r="Y15" s="15">
        <v>10.321106</v>
      </c>
      <c r="AA15" s="1" t="str">
        <f t="shared" si="0"/>
        <v>SW_F-NGin</v>
      </c>
      <c r="AB15" s="1" t="str">
        <f t="shared" si="1"/>
        <v>Ethane</v>
      </c>
      <c r="AC15" s="11">
        <f t="shared" si="2"/>
        <v>805.44365349163616</v>
      </c>
      <c r="AD15" s="11">
        <f t="shared" si="3"/>
        <v>805.44365349163616</v>
      </c>
      <c r="AE15" s="5">
        <f t="shared" si="4"/>
        <v>0</v>
      </c>
      <c r="AF15" s="5">
        <f t="shared" si="5"/>
        <v>0</v>
      </c>
      <c r="AG15" s="1">
        <f t="shared" si="6"/>
        <v>0</v>
      </c>
      <c r="AH15" s="1">
        <f t="shared" si="7"/>
        <v>0</v>
      </c>
      <c r="AI15" s="1">
        <f t="shared" si="8"/>
        <v>452.54756324196904</v>
      </c>
      <c r="AJ15" s="1">
        <f t="shared" si="9"/>
        <v>2.5800212044412296</v>
      </c>
      <c r="AK15" s="1">
        <f t="shared" si="10"/>
        <v>0</v>
      </c>
      <c r="AL15" s="1">
        <f t="shared" si="11"/>
        <v>236.76830652142303</v>
      </c>
      <c r="AM15" s="1">
        <f t="shared" si="12"/>
        <v>129.58629749253777</v>
      </c>
      <c r="AN15" s="1">
        <f t="shared" si="13"/>
        <v>-49.257270809000964</v>
      </c>
      <c r="AO15" s="1">
        <f t="shared" si="14"/>
        <v>0.45061392501924863</v>
      </c>
      <c r="AP15" s="1">
        <f t="shared" si="15"/>
        <v>0</v>
      </c>
      <c r="AQ15" s="1">
        <f t="shared" si="16"/>
        <v>33.218735840265985</v>
      </c>
      <c r="AR15" s="1">
        <f t="shared" si="17"/>
        <v>0.45061392501924863</v>
      </c>
      <c r="AS15" s="1">
        <f t="shared" si="18"/>
        <v>0</v>
      </c>
      <c r="AT15" s="1">
        <f t="shared" si="19"/>
        <v>33.218735840265985</v>
      </c>
      <c r="AV15" s="9">
        <f t="shared" si="20"/>
        <v>3.1428571428571428</v>
      </c>
      <c r="AW15" s="10">
        <v>0.20320575112912201</v>
      </c>
      <c r="AX15" s="9">
        <v>0.182890835326593</v>
      </c>
      <c r="AZ15" s="10">
        <f t="shared" si="21"/>
        <v>4.1826066494727963</v>
      </c>
      <c r="BA15" s="10">
        <f t="shared" si="22"/>
        <v>4.5718184973643237E-2</v>
      </c>
      <c r="BB15" s="10">
        <f t="shared" si="23"/>
        <v>4.2283248344464397</v>
      </c>
      <c r="BD15" s="10">
        <f t="shared" si="24"/>
        <v>3.1428571428571428</v>
      </c>
      <c r="BE15" s="10">
        <f t="shared" si="25"/>
        <v>0</v>
      </c>
      <c r="BF15" s="10">
        <f t="shared" si="26"/>
        <v>0.45061392501924863</v>
      </c>
      <c r="BG15" s="10">
        <f t="shared" si="27"/>
        <v>0</v>
      </c>
      <c r="BH15" s="10">
        <f t="shared" si="28"/>
        <v>3.5934710678763913</v>
      </c>
      <c r="BJ15" s="1">
        <f t="shared" si="29"/>
        <v>0.63485376657004844</v>
      </c>
    </row>
    <row r="16" spans="2:62" x14ac:dyDescent="0.2">
      <c r="B16" s="13" t="s">
        <v>72</v>
      </c>
      <c r="C16" s="12" t="s">
        <v>60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S16" s="15">
        <v>73.71884</v>
      </c>
      <c r="T16" s="15">
        <v>-5.0000840000000002</v>
      </c>
      <c r="U16" s="21">
        <v>21.986353300000001</v>
      </c>
      <c r="V16" s="15">
        <v>21.357776999999999</v>
      </c>
      <c r="W16" s="15">
        <v>7.5483099999999999</v>
      </c>
      <c r="X16" s="16">
        <v>-126.782873</v>
      </c>
      <c r="Y16" s="15">
        <v>8.6017200000000003</v>
      </c>
      <c r="AA16" s="1" t="str">
        <f t="shared" si="0"/>
        <v>TX_F-NGin</v>
      </c>
      <c r="AB16" s="1" t="str">
        <f t="shared" si="1"/>
        <v>Ethane</v>
      </c>
      <c r="AC16" s="11">
        <f t="shared" si="2"/>
        <v>805.01384952114893</v>
      </c>
      <c r="AD16" s="11">
        <f t="shared" si="3"/>
        <v>805.01384952114893</v>
      </c>
      <c r="AE16" s="5">
        <f t="shared" si="4"/>
        <v>0</v>
      </c>
      <c r="AF16" s="5">
        <f t="shared" si="5"/>
        <v>0</v>
      </c>
      <c r="AG16" s="1">
        <f t="shared" si="6"/>
        <v>0</v>
      </c>
      <c r="AH16" s="1">
        <f t="shared" si="7"/>
        <v>0</v>
      </c>
      <c r="AI16" s="1">
        <f t="shared" si="8"/>
        <v>452.54756324196904</v>
      </c>
      <c r="AJ16" s="1">
        <f t="shared" si="9"/>
        <v>2.1502172339540175</v>
      </c>
      <c r="AK16" s="1">
        <f t="shared" si="10"/>
        <v>0</v>
      </c>
      <c r="AL16" s="1">
        <f t="shared" si="11"/>
        <v>236.76830652142303</v>
      </c>
      <c r="AM16" s="1">
        <f t="shared" si="12"/>
        <v>129.58629749253777</v>
      </c>
      <c r="AN16" s="1">
        <f t="shared" si="13"/>
        <v>-49.257270809000964</v>
      </c>
      <c r="AO16" s="1">
        <f t="shared" si="14"/>
        <v>0.45061392501924863</v>
      </c>
      <c r="AP16" s="1">
        <f t="shared" si="15"/>
        <v>0</v>
      </c>
      <c r="AQ16" s="1">
        <f t="shared" si="16"/>
        <v>33.218735840265985</v>
      </c>
      <c r="AR16" s="1">
        <f t="shared" si="17"/>
        <v>0.45061392501924863</v>
      </c>
      <c r="AS16" s="1">
        <f t="shared" si="18"/>
        <v>0</v>
      </c>
      <c r="AT16" s="1">
        <f t="shared" si="19"/>
        <v>33.218735840265985</v>
      </c>
      <c r="AV16" s="9">
        <f t="shared" si="20"/>
        <v>3.1428571428571428</v>
      </c>
      <c r="AW16" s="10">
        <v>0.20320575112912201</v>
      </c>
      <c r="AX16" s="9">
        <v>0.182890835326593</v>
      </c>
      <c r="AZ16" s="10">
        <f t="shared" si="21"/>
        <v>4.1826066494727963</v>
      </c>
      <c r="BA16" s="10">
        <f t="shared" si="22"/>
        <v>4.5718184973643237E-2</v>
      </c>
      <c r="BB16" s="10">
        <f t="shared" si="23"/>
        <v>4.2283248344464397</v>
      </c>
      <c r="BD16" s="10">
        <f t="shared" si="24"/>
        <v>3.1428571428571428</v>
      </c>
      <c r="BE16" s="10">
        <f t="shared" si="25"/>
        <v>0</v>
      </c>
      <c r="BF16" s="10">
        <f t="shared" si="26"/>
        <v>0.45061392501924863</v>
      </c>
      <c r="BG16" s="10">
        <f t="shared" si="27"/>
        <v>0</v>
      </c>
      <c r="BH16" s="10">
        <f t="shared" si="28"/>
        <v>3.5934710678763913</v>
      </c>
      <c r="BJ16" s="1">
        <f t="shared" si="29"/>
        <v>0.63485376657004844</v>
      </c>
    </row>
    <row r="17" spans="2:62" ht="17" customHeight="1" x14ac:dyDescent="0.2">
      <c r="B17" s="13" t="s">
        <v>73</v>
      </c>
      <c r="C17" s="12" t="s">
        <v>60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S17" s="15">
        <v>73.71884</v>
      </c>
      <c r="T17" s="15">
        <v>-5.0000840000000002</v>
      </c>
      <c r="U17" s="21">
        <v>21.986353300000001</v>
      </c>
      <c r="V17" s="15">
        <v>21.357776999999999</v>
      </c>
      <c r="W17" s="15">
        <v>7.5483099999999999</v>
      </c>
      <c r="X17" s="16">
        <v>-126.782873</v>
      </c>
      <c r="Y17" s="15">
        <v>8.6017200000000003</v>
      </c>
      <c r="AA17" s="1" t="str">
        <f t="shared" si="0"/>
        <v>NCEN_F-NGin</v>
      </c>
      <c r="AB17" s="1" t="str">
        <f t="shared" si="1"/>
        <v>Ethane</v>
      </c>
      <c r="AC17" s="11">
        <f t="shared" si="2"/>
        <v>805.01384952114893</v>
      </c>
      <c r="AD17" s="11">
        <f t="shared" si="3"/>
        <v>805.01384952114893</v>
      </c>
      <c r="AE17" s="5">
        <f t="shared" si="4"/>
        <v>0</v>
      </c>
      <c r="AF17" s="5">
        <f t="shared" si="5"/>
        <v>0</v>
      </c>
      <c r="AG17" s="1">
        <f t="shared" si="6"/>
        <v>0</v>
      </c>
      <c r="AH17" s="1">
        <f t="shared" si="7"/>
        <v>0</v>
      </c>
      <c r="AI17" s="1">
        <f t="shared" si="8"/>
        <v>452.54756324196904</v>
      </c>
      <c r="AJ17" s="1">
        <f t="shared" si="9"/>
        <v>2.1502172339540175</v>
      </c>
      <c r="AK17" s="1">
        <f t="shared" si="10"/>
        <v>0</v>
      </c>
      <c r="AL17" s="1">
        <f t="shared" si="11"/>
        <v>236.76830652142303</v>
      </c>
      <c r="AM17" s="1">
        <f t="shared" si="12"/>
        <v>129.58629749253777</v>
      </c>
      <c r="AN17" s="1">
        <f t="shared" si="13"/>
        <v>-49.257270809000964</v>
      </c>
      <c r="AO17" s="1">
        <f t="shared" si="14"/>
        <v>0.45061392501924863</v>
      </c>
      <c r="AP17" s="1">
        <f t="shared" si="15"/>
        <v>0</v>
      </c>
      <c r="AQ17" s="1">
        <f t="shared" si="16"/>
        <v>33.218735840265985</v>
      </c>
      <c r="AR17" s="1">
        <f t="shared" si="17"/>
        <v>0.45061392501924863</v>
      </c>
      <c r="AS17" s="1">
        <f t="shared" si="18"/>
        <v>0</v>
      </c>
      <c r="AT17" s="1">
        <f t="shared" si="19"/>
        <v>33.218735840265985</v>
      </c>
      <c r="AV17" s="9">
        <f t="shared" si="20"/>
        <v>3.1428571428571428</v>
      </c>
      <c r="AW17" s="10">
        <v>0.20320575112912201</v>
      </c>
      <c r="AX17" s="9">
        <v>0.182890835326593</v>
      </c>
      <c r="AZ17" s="10">
        <f t="shared" si="21"/>
        <v>4.1826066494727963</v>
      </c>
      <c r="BA17" s="10">
        <f t="shared" si="22"/>
        <v>4.5718184973643237E-2</v>
      </c>
      <c r="BB17" s="10">
        <f t="shared" si="23"/>
        <v>4.2283248344464397</v>
      </c>
      <c r="BD17" s="10">
        <f t="shared" si="24"/>
        <v>3.1428571428571428</v>
      </c>
      <c r="BE17" s="10">
        <f t="shared" si="25"/>
        <v>0</v>
      </c>
      <c r="BF17" s="10">
        <f t="shared" si="26"/>
        <v>0.45061392501924863</v>
      </c>
      <c r="BG17" s="10">
        <f t="shared" si="27"/>
        <v>0</v>
      </c>
      <c r="BH17" s="10">
        <f t="shared" si="28"/>
        <v>3.5934710678763913</v>
      </c>
      <c r="BJ17" s="1">
        <f t="shared" si="29"/>
        <v>0.63485376657004844</v>
      </c>
    </row>
    <row r="18" spans="2:62" ht="16" customHeight="1" x14ac:dyDescent="0.2">
      <c r="B18" s="13" t="s">
        <v>74</v>
      </c>
      <c r="C18" s="12" t="s">
        <v>60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S18" s="15">
        <v>73.71884</v>
      </c>
      <c r="T18" s="15">
        <v>-5.0000840000000002</v>
      </c>
      <c r="U18" s="21">
        <v>21.986353300000001</v>
      </c>
      <c r="V18" s="15">
        <v>21.357776999999999</v>
      </c>
      <c r="W18" s="15">
        <v>7.5483099999999999</v>
      </c>
      <c r="X18" s="16">
        <v>-126.782873</v>
      </c>
      <c r="Y18" s="15">
        <v>8.6017200000000003</v>
      </c>
      <c r="AA18" s="1" t="str">
        <f t="shared" si="0"/>
        <v>CEN_F-NGin</v>
      </c>
      <c r="AB18" s="1" t="str">
        <f t="shared" si="1"/>
        <v>Ethane</v>
      </c>
      <c r="AC18" s="11">
        <f t="shared" si="2"/>
        <v>805.01384952114893</v>
      </c>
      <c r="AD18" s="11">
        <f t="shared" si="3"/>
        <v>805.01384952114893</v>
      </c>
      <c r="AE18" s="5">
        <f t="shared" si="4"/>
        <v>0</v>
      </c>
      <c r="AF18" s="5">
        <f t="shared" si="5"/>
        <v>0</v>
      </c>
      <c r="AG18" s="1">
        <f t="shared" si="6"/>
        <v>0</v>
      </c>
      <c r="AH18" s="1">
        <f t="shared" si="7"/>
        <v>0</v>
      </c>
      <c r="AI18" s="1">
        <f t="shared" si="8"/>
        <v>452.54756324196904</v>
      </c>
      <c r="AJ18" s="1">
        <f t="shared" si="9"/>
        <v>2.1502172339540175</v>
      </c>
      <c r="AK18" s="1">
        <f t="shared" si="10"/>
        <v>0</v>
      </c>
      <c r="AL18" s="1">
        <f t="shared" si="11"/>
        <v>236.76830652142303</v>
      </c>
      <c r="AM18" s="1">
        <f t="shared" si="12"/>
        <v>129.58629749253777</v>
      </c>
      <c r="AN18" s="1">
        <f t="shared" si="13"/>
        <v>-49.257270809000964</v>
      </c>
      <c r="AO18" s="1">
        <f t="shared" si="14"/>
        <v>0.45061392501924863</v>
      </c>
      <c r="AP18" s="1">
        <f t="shared" si="15"/>
        <v>0</v>
      </c>
      <c r="AQ18" s="1">
        <f t="shared" si="16"/>
        <v>33.218735840265985</v>
      </c>
      <c r="AR18" s="1">
        <f t="shared" si="17"/>
        <v>0.45061392501924863</v>
      </c>
      <c r="AS18" s="1">
        <f t="shared" si="18"/>
        <v>0</v>
      </c>
      <c r="AT18" s="1">
        <f t="shared" si="19"/>
        <v>33.218735840265985</v>
      </c>
      <c r="AV18" s="9">
        <f t="shared" si="20"/>
        <v>3.1428571428571428</v>
      </c>
      <c r="AW18" s="10">
        <v>0.20320575112912201</v>
      </c>
      <c r="AX18" s="9">
        <v>0.182890835326593</v>
      </c>
      <c r="AZ18" s="10">
        <f t="shared" si="21"/>
        <v>4.1826066494727963</v>
      </c>
      <c r="BA18" s="10">
        <f t="shared" si="22"/>
        <v>4.5718184973643237E-2</v>
      </c>
      <c r="BB18" s="10">
        <f t="shared" si="23"/>
        <v>4.2283248344464397</v>
      </c>
      <c r="BD18" s="10">
        <f t="shared" si="24"/>
        <v>3.1428571428571428</v>
      </c>
      <c r="BE18" s="10">
        <f t="shared" si="25"/>
        <v>0</v>
      </c>
      <c r="BF18" s="10">
        <f t="shared" si="26"/>
        <v>0.45061392501924863</v>
      </c>
      <c r="BG18" s="10">
        <f t="shared" si="27"/>
        <v>0</v>
      </c>
      <c r="BH18" s="10">
        <f t="shared" si="28"/>
        <v>3.5934710678763913</v>
      </c>
      <c r="BJ18" s="1">
        <f t="shared" si="29"/>
        <v>0.63485376657004844</v>
      </c>
    </row>
    <row r="19" spans="2:62" x14ac:dyDescent="0.2">
      <c r="B19" s="13" t="s">
        <v>75</v>
      </c>
      <c r="C19" s="12" t="s">
        <v>60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S19" s="15">
        <v>73.71884</v>
      </c>
      <c r="T19" s="15">
        <v>-5.0000840000000002</v>
      </c>
      <c r="U19" s="21">
        <v>21.986353300000001</v>
      </c>
      <c r="V19" s="15">
        <v>21.357776999999999</v>
      </c>
      <c r="W19" s="15">
        <v>7.5483099999999999</v>
      </c>
      <c r="X19" s="16">
        <v>-126.782873</v>
      </c>
      <c r="Y19" s="15">
        <v>8.6017200000000003</v>
      </c>
      <c r="AA19" s="1" t="str">
        <f t="shared" si="0"/>
        <v>SE_F-NGin</v>
      </c>
      <c r="AB19" s="1" t="str">
        <f t="shared" si="1"/>
        <v>Ethane</v>
      </c>
      <c r="AC19" s="11">
        <f t="shared" si="2"/>
        <v>805.01384952114893</v>
      </c>
      <c r="AD19" s="11">
        <f t="shared" si="3"/>
        <v>805.01384952114893</v>
      </c>
      <c r="AE19" s="5">
        <f t="shared" si="4"/>
        <v>0</v>
      </c>
      <c r="AF19" s="5">
        <f t="shared" si="5"/>
        <v>0</v>
      </c>
      <c r="AG19" s="1">
        <f t="shared" si="6"/>
        <v>0</v>
      </c>
      <c r="AH19" s="1">
        <f t="shared" si="7"/>
        <v>0</v>
      </c>
      <c r="AI19" s="1">
        <f t="shared" si="8"/>
        <v>452.54756324196904</v>
      </c>
      <c r="AJ19" s="1">
        <f t="shared" si="9"/>
        <v>2.1502172339540175</v>
      </c>
      <c r="AK19" s="1">
        <f t="shared" si="10"/>
        <v>0</v>
      </c>
      <c r="AL19" s="1">
        <f t="shared" si="11"/>
        <v>236.76830652142303</v>
      </c>
      <c r="AM19" s="1">
        <f t="shared" si="12"/>
        <v>129.58629749253777</v>
      </c>
      <c r="AN19" s="1">
        <f t="shared" si="13"/>
        <v>-49.257270809000964</v>
      </c>
      <c r="AO19" s="1">
        <f t="shared" si="14"/>
        <v>0.45061392501924863</v>
      </c>
      <c r="AP19" s="1">
        <f t="shared" si="15"/>
        <v>0</v>
      </c>
      <c r="AQ19" s="1">
        <f t="shared" si="16"/>
        <v>33.218735840265985</v>
      </c>
      <c r="AR19" s="1">
        <f t="shared" si="17"/>
        <v>0.45061392501924863</v>
      </c>
      <c r="AS19" s="1">
        <f t="shared" si="18"/>
        <v>0</v>
      </c>
      <c r="AT19" s="1">
        <f t="shared" si="19"/>
        <v>33.218735840265985</v>
      </c>
      <c r="AV19" s="9">
        <f t="shared" si="20"/>
        <v>3.1428571428571428</v>
      </c>
      <c r="AW19" s="10">
        <v>0.20320575112912201</v>
      </c>
      <c r="AX19" s="9">
        <v>0.182890835326593</v>
      </c>
      <c r="AZ19" s="10">
        <f t="shared" si="21"/>
        <v>4.1826066494727963</v>
      </c>
      <c r="BA19" s="10">
        <f t="shared" si="22"/>
        <v>4.5718184973643237E-2</v>
      </c>
      <c r="BB19" s="10">
        <f t="shared" si="23"/>
        <v>4.2283248344464397</v>
      </c>
      <c r="BD19" s="10">
        <f t="shared" si="24"/>
        <v>3.1428571428571428</v>
      </c>
      <c r="BE19" s="10">
        <f t="shared" si="25"/>
        <v>0</v>
      </c>
      <c r="BF19" s="10">
        <f t="shared" si="26"/>
        <v>0.45061392501924863</v>
      </c>
      <c r="BG19" s="10">
        <f t="shared" si="27"/>
        <v>0</v>
      </c>
      <c r="BH19" s="10">
        <f t="shared" si="28"/>
        <v>3.5934710678763913</v>
      </c>
      <c r="BJ19" s="1">
        <f t="shared" si="29"/>
        <v>0.63485376657004844</v>
      </c>
    </row>
    <row r="20" spans="2:62" x14ac:dyDescent="0.2">
      <c r="B20" s="13" t="s">
        <v>76</v>
      </c>
      <c r="C20" s="12" t="s">
        <v>60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S20" s="15">
        <v>73.71884</v>
      </c>
      <c r="T20" s="15">
        <v>-5.0000840000000002</v>
      </c>
      <c r="U20" s="21">
        <v>21.986353300000001</v>
      </c>
      <c r="V20" s="15">
        <v>21.357776999999999</v>
      </c>
      <c r="W20" s="15">
        <v>7.5483099999999999</v>
      </c>
      <c r="X20" s="16">
        <v>-126.782873</v>
      </c>
      <c r="Y20" s="15">
        <v>8.6017200000000003</v>
      </c>
      <c r="AA20" s="1" t="str">
        <f t="shared" si="0"/>
        <v>MIDAT_F-NGin</v>
      </c>
      <c r="AB20" s="1" t="str">
        <f t="shared" si="1"/>
        <v>Ethane</v>
      </c>
      <c r="AC20" s="11">
        <f t="shared" si="2"/>
        <v>805.01384952114893</v>
      </c>
      <c r="AD20" s="11">
        <f t="shared" si="3"/>
        <v>805.01384952114893</v>
      </c>
      <c r="AE20" s="5">
        <f t="shared" si="4"/>
        <v>0</v>
      </c>
      <c r="AF20" s="5">
        <f t="shared" si="5"/>
        <v>0</v>
      </c>
      <c r="AG20" s="1">
        <f t="shared" si="6"/>
        <v>0</v>
      </c>
      <c r="AH20" s="1">
        <f t="shared" si="7"/>
        <v>0</v>
      </c>
      <c r="AI20" s="1">
        <f t="shared" si="8"/>
        <v>452.54756324196904</v>
      </c>
      <c r="AJ20" s="1">
        <f t="shared" si="9"/>
        <v>2.1502172339540175</v>
      </c>
      <c r="AK20" s="1">
        <f t="shared" si="10"/>
        <v>0</v>
      </c>
      <c r="AL20" s="1">
        <f t="shared" si="11"/>
        <v>236.76830652142303</v>
      </c>
      <c r="AM20" s="1">
        <f t="shared" si="12"/>
        <v>129.58629749253777</v>
      </c>
      <c r="AN20" s="1">
        <f t="shared" si="13"/>
        <v>-49.257270809000964</v>
      </c>
      <c r="AO20" s="1">
        <f t="shared" si="14"/>
        <v>0.45061392501924863</v>
      </c>
      <c r="AP20" s="1">
        <f t="shared" si="15"/>
        <v>0</v>
      </c>
      <c r="AQ20" s="1">
        <f t="shared" si="16"/>
        <v>33.218735840265985</v>
      </c>
      <c r="AR20" s="1">
        <f t="shared" si="17"/>
        <v>0.45061392501924863</v>
      </c>
      <c r="AS20" s="1">
        <f t="shared" si="18"/>
        <v>0</v>
      </c>
      <c r="AT20" s="1">
        <f t="shared" si="19"/>
        <v>33.218735840265985</v>
      </c>
      <c r="AV20" s="9">
        <f t="shared" si="20"/>
        <v>3.1428571428571428</v>
      </c>
      <c r="AW20" s="10">
        <v>0.20320575112912201</v>
      </c>
      <c r="AX20" s="9">
        <v>0.182890835326593</v>
      </c>
      <c r="AZ20" s="10">
        <f t="shared" si="21"/>
        <v>4.1826066494727963</v>
      </c>
      <c r="BA20" s="10">
        <f t="shared" si="22"/>
        <v>4.5718184973643237E-2</v>
      </c>
      <c r="BB20" s="10">
        <f t="shared" si="23"/>
        <v>4.2283248344464397</v>
      </c>
      <c r="BD20" s="10">
        <f t="shared" si="24"/>
        <v>3.1428571428571428</v>
      </c>
      <c r="BE20" s="10">
        <f t="shared" si="25"/>
        <v>0</v>
      </c>
      <c r="BF20" s="10">
        <f t="shared" si="26"/>
        <v>0.45061392501924863</v>
      </c>
      <c r="BG20" s="10">
        <f t="shared" si="27"/>
        <v>0</v>
      </c>
      <c r="BH20" s="10">
        <f t="shared" si="28"/>
        <v>3.5934710678763913</v>
      </c>
      <c r="BJ20" s="1">
        <f t="shared" si="29"/>
        <v>0.63485376657004844</v>
      </c>
    </row>
    <row r="21" spans="2:62" x14ac:dyDescent="0.2">
      <c r="B21" s="13" t="s">
        <v>77</v>
      </c>
      <c r="C21" s="12" t="s">
        <v>60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S21" s="15">
        <v>73.71884</v>
      </c>
      <c r="T21" s="15">
        <v>-6.0973139999999999</v>
      </c>
      <c r="U21" s="21">
        <v>21.986353300000001</v>
      </c>
      <c r="V21" s="15">
        <v>22.906690000000001</v>
      </c>
      <c r="W21" s="15">
        <v>13.197062000000001</v>
      </c>
      <c r="X21" s="16">
        <v>-129.528977</v>
      </c>
      <c r="Y21" s="15">
        <v>14.953878</v>
      </c>
      <c r="AA21" s="1" t="str">
        <f t="shared" si="0"/>
        <v>NE_F-NGin</v>
      </c>
      <c r="AB21" s="1" t="str">
        <f t="shared" si="1"/>
        <v>Ethane</v>
      </c>
      <c r="AC21" s="11">
        <f t="shared" si="2"/>
        <v>806.60173189867317</v>
      </c>
      <c r="AD21" s="11">
        <f t="shared" si="3"/>
        <v>806.60173189867317</v>
      </c>
      <c r="AE21" s="5">
        <f t="shared" si="4"/>
        <v>0</v>
      </c>
      <c r="AF21" s="5">
        <f t="shared" si="5"/>
        <v>0</v>
      </c>
      <c r="AG21" s="1">
        <f t="shared" si="6"/>
        <v>0</v>
      </c>
      <c r="AH21" s="1">
        <f t="shared" si="7"/>
        <v>0</v>
      </c>
      <c r="AI21" s="1">
        <f t="shared" si="8"/>
        <v>452.54756324196904</v>
      </c>
      <c r="AJ21" s="1">
        <f t="shared" si="9"/>
        <v>3.7380996114783827</v>
      </c>
      <c r="AK21" s="1">
        <f t="shared" si="10"/>
        <v>0</v>
      </c>
      <c r="AL21" s="1">
        <f t="shared" si="11"/>
        <v>236.76830652142303</v>
      </c>
      <c r="AM21" s="1">
        <f t="shared" si="12"/>
        <v>129.58629749253777</v>
      </c>
      <c r="AN21" s="1">
        <f t="shared" si="13"/>
        <v>-49.257270809000964</v>
      </c>
      <c r="AO21" s="1">
        <f t="shared" si="14"/>
        <v>0.45061392501924863</v>
      </c>
      <c r="AP21" s="1">
        <f t="shared" si="15"/>
        <v>0</v>
      </c>
      <c r="AQ21" s="1">
        <f t="shared" si="16"/>
        <v>33.218735840265985</v>
      </c>
      <c r="AR21" s="1">
        <f t="shared" si="17"/>
        <v>0.45061392501924863</v>
      </c>
      <c r="AS21" s="1">
        <f t="shared" si="18"/>
        <v>0</v>
      </c>
      <c r="AT21" s="1">
        <f t="shared" si="19"/>
        <v>33.218735840265985</v>
      </c>
      <c r="AV21" s="9">
        <f t="shared" si="20"/>
        <v>3.1428571428571428</v>
      </c>
      <c r="AW21" s="10">
        <v>0.20320575112912201</v>
      </c>
      <c r="AX21" s="9">
        <v>0.182890835326593</v>
      </c>
      <c r="AZ21" s="10">
        <f t="shared" si="21"/>
        <v>4.1826066494727963</v>
      </c>
      <c r="BA21" s="10">
        <f t="shared" si="22"/>
        <v>4.5718184973643237E-2</v>
      </c>
      <c r="BB21" s="10">
        <f t="shared" si="23"/>
        <v>4.2283248344464397</v>
      </c>
      <c r="BD21" s="10">
        <f t="shared" si="24"/>
        <v>3.1428571428571428</v>
      </c>
      <c r="BE21" s="10">
        <f t="shared" si="25"/>
        <v>0</v>
      </c>
      <c r="BF21" s="10">
        <f t="shared" si="26"/>
        <v>0.45061392501924863</v>
      </c>
      <c r="BG21" s="10">
        <f t="shared" si="27"/>
        <v>0</v>
      </c>
      <c r="BH21" s="10">
        <f t="shared" si="28"/>
        <v>3.5934710678763913</v>
      </c>
      <c r="BJ21" s="1">
        <f t="shared" si="29"/>
        <v>0.63485376657004844</v>
      </c>
    </row>
    <row r="22" spans="2:62" x14ac:dyDescent="0.2">
      <c r="B22" s="13" t="s">
        <v>78</v>
      </c>
      <c r="C22" s="12" t="s">
        <v>60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S22" s="15">
        <v>73.71884</v>
      </c>
      <c r="T22" s="15">
        <v>-6.0973139999999999</v>
      </c>
      <c r="U22" s="21">
        <v>21.986353300000001</v>
      </c>
      <c r="V22" s="15">
        <v>22.906690000000001</v>
      </c>
      <c r="W22" s="15">
        <v>13.197062000000001</v>
      </c>
      <c r="X22" s="16">
        <v>-129.528977</v>
      </c>
      <c r="Y22" s="15">
        <v>14.953878</v>
      </c>
      <c r="AA22" s="1" t="str">
        <f t="shared" si="0"/>
        <v>CA_F-CC90-NGin</v>
      </c>
      <c r="AB22" s="1" t="str">
        <f t="shared" si="1"/>
        <v>Ethane</v>
      </c>
      <c r="AC22" s="11">
        <f t="shared" si="2"/>
        <v>818.32972081229411</v>
      </c>
      <c r="AD22" s="11">
        <f t="shared" si="3"/>
        <v>818.32972081229411</v>
      </c>
      <c r="AE22" s="5">
        <f t="shared" si="4"/>
        <v>0</v>
      </c>
      <c r="AF22" s="5">
        <f t="shared" si="5"/>
        <v>0</v>
      </c>
      <c r="AG22" s="1">
        <f t="shared" si="6"/>
        <v>0</v>
      </c>
      <c r="AH22" s="1">
        <f t="shared" si="7"/>
        <v>3.4738269168607738</v>
      </c>
      <c r="AI22" s="1">
        <f t="shared" si="8"/>
        <v>452.54756324196904</v>
      </c>
      <c r="AJ22" s="1">
        <f t="shared" si="9"/>
        <v>3.7380996114783827</v>
      </c>
      <c r="AK22" s="1">
        <f t="shared" si="10"/>
        <v>0</v>
      </c>
      <c r="AL22" s="1">
        <f t="shared" si="11"/>
        <v>258.23340091983289</v>
      </c>
      <c r="AM22" s="1">
        <f t="shared" si="12"/>
        <v>141.334415469421</v>
      </c>
      <c r="AN22" s="1">
        <f t="shared" si="13"/>
        <v>-46.79224006554788</v>
      </c>
      <c r="AO22" s="1">
        <f t="shared" si="14"/>
        <v>0.45061392501924658</v>
      </c>
      <c r="AP22" s="1">
        <f t="shared" si="15"/>
        <v>-27.424081121985996</v>
      </c>
      <c r="AQ22" s="1">
        <f t="shared" si="16"/>
        <v>33.218735840265836</v>
      </c>
      <c r="AR22" s="1">
        <f t="shared" si="17"/>
        <v>4.5061392501923626E-2</v>
      </c>
      <c r="AS22" s="1">
        <f t="shared" si="18"/>
        <v>2.4727811342533284</v>
      </c>
      <c r="AT22" s="1">
        <f t="shared" si="19"/>
        <v>3.3218735840265077</v>
      </c>
      <c r="AV22" s="9">
        <f t="shared" si="20"/>
        <v>3.1428571428571428</v>
      </c>
      <c r="AW22" s="10">
        <v>0.20320575112912201</v>
      </c>
      <c r="AX22" s="9">
        <v>0.182890835326593</v>
      </c>
      <c r="AZ22" s="10">
        <f t="shared" si="21"/>
        <v>4.1826066494727963</v>
      </c>
      <c r="BA22" s="10">
        <f t="shared" si="22"/>
        <v>4.5718184973643237E-2</v>
      </c>
      <c r="BB22" s="10">
        <f t="shared" si="23"/>
        <v>4.2283248344464397</v>
      </c>
      <c r="BD22" s="10">
        <f t="shared" si="24"/>
        <v>3.1428571428571428</v>
      </c>
      <c r="BE22" s="10">
        <f t="shared" si="25"/>
        <v>0</v>
      </c>
      <c r="BF22" s="10">
        <f t="shared" si="26"/>
        <v>4.5061392501923626E-2</v>
      </c>
      <c r="BG22" s="10">
        <f t="shared" si="27"/>
        <v>0.40555253251732293</v>
      </c>
      <c r="BH22" s="10">
        <f t="shared" si="28"/>
        <v>3.593471067876389</v>
      </c>
      <c r="BJ22" s="1">
        <f t="shared" si="29"/>
        <v>0.63485376657005066</v>
      </c>
    </row>
    <row r="23" spans="2:62" x14ac:dyDescent="0.2">
      <c r="B23" s="13" t="s">
        <v>79</v>
      </c>
      <c r="C23" s="12" t="s">
        <v>60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S23" s="15">
        <v>73.71884</v>
      </c>
      <c r="T23" s="15">
        <v>-6.0973139999999999</v>
      </c>
      <c r="U23" s="21">
        <v>21.986353300000001</v>
      </c>
      <c r="V23" s="15">
        <v>22.906690000000001</v>
      </c>
      <c r="W23" s="15">
        <v>13.197062000000001</v>
      </c>
      <c r="X23" s="16">
        <v>-129.528977</v>
      </c>
      <c r="Y23" s="15">
        <v>14.953878</v>
      </c>
      <c r="AA23" s="1" t="str">
        <f t="shared" si="0"/>
        <v>NW_F-CC90-NGin</v>
      </c>
      <c r="AB23" s="1" t="str">
        <f t="shared" si="1"/>
        <v>Ethane</v>
      </c>
      <c r="AC23" s="11">
        <f t="shared" si="2"/>
        <v>818.32972081229411</v>
      </c>
      <c r="AD23" s="11">
        <f t="shared" si="3"/>
        <v>818.32972081229411</v>
      </c>
      <c r="AE23" s="5">
        <f t="shared" si="4"/>
        <v>0</v>
      </c>
      <c r="AF23" s="5">
        <f t="shared" si="5"/>
        <v>0</v>
      </c>
      <c r="AG23" s="1">
        <f t="shared" si="6"/>
        <v>0</v>
      </c>
      <c r="AH23" s="1">
        <f t="shared" si="7"/>
        <v>3.4738269168607738</v>
      </c>
      <c r="AI23" s="1">
        <f t="shared" si="8"/>
        <v>452.54756324196904</v>
      </c>
      <c r="AJ23" s="1">
        <f t="shared" si="9"/>
        <v>3.7380996114783827</v>
      </c>
      <c r="AK23" s="1">
        <f t="shared" si="10"/>
        <v>0</v>
      </c>
      <c r="AL23" s="1">
        <f t="shared" si="11"/>
        <v>258.23340091983289</v>
      </c>
      <c r="AM23" s="1">
        <f t="shared" si="12"/>
        <v>141.334415469421</v>
      </c>
      <c r="AN23" s="1">
        <f t="shared" si="13"/>
        <v>-46.79224006554788</v>
      </c>
      <c r="AO23" s="1">
        <f t="shared" si="14"/>
        <v>0.45061392501924658</v>
      </c>
      <c r="AP23" s="1">
        <f t="shared" si="15"/>
        <v>-27.424081121985996</v>
      </c>
      <c r="AQ23" s="1">
        <f t="shared" si="16"/>
        <v>33.218735840265836</v>
      </c>
      <c r="AR23" s="1">
        <f t="shared" si="17"/>
        <v>4.5061392501923626E-2</v>
      </c>
      <c r="AS23" s="1">
        <f t="shared" si="18"/>
        <v>2.4727811342533284</v>
      </c>
      <c r="AT23" s="1">
        <f t="shared" si="19"/>
        <v>3.3218735840265077</v>
      </c>
      <c r="AV23" s="9">
        <f t="shared" si="20"/>
        <v>3.1428571428571428</v>
      </c>
      <c r="AW23" s="10">
        <v>0.20320575112912201</v>
      </c>
      <c r="AX23" s="9">
        <v>0.182890835326593</v>
      </c>
      <c r="AZ23" s="10">
        <f t="shared" si="21"/>
        <v>4.1826066494727963</v>
      </c>
      <c r="BA23" s="10">
        <f t="shared" si="22"/>
        <v>4.5718184973643237E-2</v>
      </c>
      <c r="BB23" s="10">
        <f t="shared" si="23"/>
        <v>4.2283248344464397</v>
      </c>
      <c r="BD23" s="10">
        <f t="shared" si="24"/>
        <v>3.1428571428571428</v>
      </c>
      <c r="BE23" s="10">
        <f t="shared" si="25"/>
        <v>0</v>
      </c>
      <c r="BF23" s="10">
        <f t="shared" si="26"/>
        <v>4.5061392501923626E-2</v>
      </c>
      <c r="BG23" s="10">
        <f t="shared" si="27"/>
        <v>0.40555253251732293</v>
      </c>
      <c r="BH23" s="10">
        <f t="shared" si="28"/>
        <v>3.593471067876389</v>
      </c>
      <c r="BJ23" s="1">
        <f t="shared" si="29"/>
        <v>0.63485376657005066</v>
      </c>
    </row>
    <row r="24" spans="2:62" x14ac:dyDescent="0.2">
      <c r="B24" s="13" t="s">
        <v>80</v>
      </c>
      <c r="C24" s="12" t="s">
        <v>60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S24" s="15">
        <v>73.71884</v>
      </c>
      <c r="T24" s="15">
        <v>-6.0973139999999999</v>
      </c>
      <c r="U24" s="21">
        <v>21.986353300000001</v>
      </c>
      <c r="V24" s="15">
        <v>22.906690000000001</v>
      </c>
      <c r="W24" s="15">
        <v>13.197062000000001</v>
      </c>
      <c r="X24" s="16">
        <v>-129.528977</v>
      </c>
      <c r="Y24" s="15">
        <v>14.953878</v>
      </c>
      <c r="AA24" s="1" t="str">
        <f t="shared" si="0"/>
        <v>SW_F-CC90-NGin</v>
      </c>
      <c r="AB24" s="1" t="str">
        <f t="shared" si="1"/>
        <v>Ethane</v>
      </c>
      <c r="AC24" s="11">
        <f t="shared" si="2"/>
        <v>818.32972081229411</v>
      </c>
      <c r="AD24" s="11">
        <f t="shared" si="3"/>
        <v>818.32972081229411</v>
      </c>
      <c r="AE24" s="5">
        <f t="shared" si="4"/>
        <v>0</v>
      </c>
      <c r="AF24" s="5">
        <f t="shared" si="5"/>
        <v>0</v>
      </c>
      <c r="AG24" s="1">
        <f t="shared" si="6"/>
        <v>0</v>
      </c>
      <c r="AH24" s="1">
        <f t="shared" si="7"/>
        <v>3.4738269168607738</v>
      </c>
      <c r="AI24" s="1">
        <f t="shared" si="8"/>
        <v>452.54756324196904</v>
      </c>
      <c r="AJ24" s="1">
        <f t="shared" si="9"/>
        <v>3.7380996114783827</v>
      </c>
      <c r="AK24" s="1">
        <f t="shared" si="10"/>
        <v>0</v>
      </c>
      <c r="AL24" s="1">
        <f t="shared" si="11"/>
        <v>258.23340091983289</v>
      </c>
      <c r="AM24" s="1">
        <f t="shared" si="12"/>
        <v>141.334415469421</v>
      </c>
      <c r="AN24" s="1">
        <f t="shared" si="13"/>
        <v>-46.79224006554788</v>
      </c>
      <c r="AO24" s="1">
        <f t="shared" si="14"/>
        <v>0.45061392501924658</v>
      </c>
      <c r="AP24" s="1">
        <f t="shared" si="15"/>
        <v>-27.424081121985996</v>
      </c>
      <c r="AQ24" s="1">
        <f t="shared" si="16"/>
        <v>33.218735840265836</v>
      </c>
      <c r="AR24" s="1">
        <f t="shared" si="17"/>
        <v>4.5061392501923626E-2</v>
      </c>
      <c r="AS24" s="1">
        <f t="shared" si="18"/>
        <v>2.4727811342533284</v>
      </c>
      <c r="AT24" s="1">
        <f t="shared" si="19"/>
        <v>3.3218735840265077</v>
      </c>
      <c r="AV24" s="9">
        <f t="shared" si="20"/>
        <v>3.1428571428571428</v>
      </c>
      <c r="AW24" s="10">
        <v>0.20320575112912201</v>
      </c>
      <c r="AX24" s="9">
        <v>0.182890835326593</v>
      </c>
      <c r="AZ24" s="10">
        <f t="shared" si="21"/>
        <v>4.1826066494727963</v>
      </c>
      <c r="BA24" s="10">
        <f t="shared" si="22"/>
        <v>4.5718184973643237E-2</v>
      </c>
      <c r="BB24" s="10">
        <f t="shared" si="23"/>
        <v>4.2283248344464397</v>
      </c>
      <c r="BD24" s="10">
        <f t="shared" si="24"/>
        <v>3.1428571428571428</v>
      </c>
      <c r="BE24" s="10">
        <f t="shared" si="25"/>
        <v>0</v>
      </c>
      <c r="BF24" s="10">
        <f t="shared" si="26"/>
        <v>4.5061392501923626E-2</v>
      </c>
      <c r="BG24" s="10">
        <f t="shared" si="27"/>
        <v>0.40555253251732293</v>
      </c>
      <c r="BH24" s="10">
        <f t="shared" si="28"/>
        <v>3.593471067876389</v>
      </c>
      <c r="BJ24" s="1">
        <f t="shared" si="29"/>
        <v>0.63485376657005066</v>
      </c>
    </row>
    <row r="25" spans="2:62" x14ac:dyDescent="0.2">
      <c r="B25" s="13" t="s">
        <v>81</v>
      </c>
      <c r="C25" s="12" t="s">
        <v>60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S25" s="15">
        <v>73.71884</v>
      </c>
      <c r="T25" s="15">
        <v>-6.0973139999999999</v>
      </c>
      <c r="U25" s="21">
        <v>21.986353300000001</v>
      </c>
      <c r="V25" s="15">
        <v>22.906690000000001</v>
      </c>
      <c r="W25" s="15">
        <v>13.197062000000001</v>
      </c>
      <c r="X25" s="16">
        <v>-129.528977</v>
      </c>
      <c r="Y25" s="15">
        <v>14.953878</v>
      </c>
      <c r="AA25" s="1" t="str">
        <f t="shared" si="0"/>
        <v>TX_F-CC90-NGin</v>
      </c>
      <c r="AB25" s="1" t="str">
        <f t="shared" si="1"/>
        <v>Ethane</v>
      </c>
      <c r="AC25" s="11">
        <f t="shared" si="2"/>
        <v>818.32972081229411</v>
      </c>
      <c r="AD25" s="11">
        <f t="shared" si="3"/>
        <v>818.32972081229411</v>
      </c>
      <c r="AE25" s="5">
        <f t="shared" si="4"/>
        <v>0</v>
      </c>
      <c r="AF25" s="5">
        <f t="shared" si="5"/>
        <v>0</v>
      </c>
      <c r="AG25" s="1">
        <f t="shared" si="6"/>
        <v>0</v>
      </c>
      <c r="AH25" s="1">
        <f t="shared" si="7"/>
        <v>3.4738269168607738</v>
      </c>
      <c r="AI25" s="1">
        <f t="shared" si="8"/>
        <v>452.54756324196904</v>
      </c>
      <c r="AJ25" s="1">
        <f t="shared" si="9"/>
        <v>3.7380996114783827</v>
      </c>
      <c r="AK25" s="1">
        <f t="shared" si="10"/>
        <v>0</v>
      </c>
      <c r="AL25" s="1">
        <f t="shared" si="11"/>
        <v>258.23340091983289</v>
      </c>
      <c r="AM25" s="1">
        <f t="shared" si="12"/>
        <v>141.334415469421</v>
      </c>
      <c r="AN25" s="1">
        <f t="shared" si="13"/>
        <v>-46.79224006554788</v>
      </c>
      <c r="AO25" s="1">
        <f t="shared" si="14"/>
        <v>0.45061392501924658</v>
      </c>
      <c r="AP25" s="1">
        <f t="shared" si="15"/>
        <v>-27.424081121985996</v>
      </c>
      <c r="AQ25" s="1">
        <f t="shared" si="16"/>
        <v>33.218735840265836</v>
      </c>
      <c r="AR25" s="1">
        <f t="shared" si="17"/>
        <v>4.5061392501923626E-2</v>
      </c>
      <c r="AS25" s="1">
        <f t="shared" si="18"/>
        <v>2.4727811342533284</v>
      </c>
      <c r="AT25" s="1">
        <f t="shared" si="19"/>
        <v>3.3218735840265077</v>
      </c>
      <c r="AV25" s="9">
        <f t="shared" si="20"/>
        <v>3.1428571428571428</v>
      </c>
      <c r="AW25" s="10">
        <v>0.20320575112912201</v>
      </c>
      <c r="AX25" s="9">
        <v>0.182890835326593</v>
      </c>
      <c r="AZ25" s="10">
        <f t="shared" si="21"/>
        <v>4.1826066494727963</v>
      </c>
      <c r="BA25" s="10">
        <f t="shared" si="22"/>
        <v>4.5718184973643237E-2</v>
      </c>
      <c r="BB25" s="10">
        <f t="shared" si="23"/>
        <v>4.2283248344464397</v>
      </c>
      <c r="BD25" s="10">
        <f t="shared" si="24"/>
        <v>3.1428571428571428</v>
      </c>
      <c r="BE25" s="10">
        <f t="shared" si="25"/>
        <v>0</v>
      </c>
      <c r="BF25" s="10">
        <f t="shared" si="26"/>
        <v>4.5061392501923626E-2</v>
      </c>
      <c r="BG25" s="10">
        <f t="shared" si="27"/>
        <v>0.40555253251732293</v>
      </c>
      <c r="BH25" s="10">
        <f t="shared" si="28"/>
        <v>3.593471067876389</v>
      </c>
      <c r="BJ25" s="1">
        <f t="shared" si="29"/>
        <v>0.63485376657005066</v>
      </c>
    </row>
    <row r="26" spans="2:62" x14ac:dyDescent="0.2">
      <c r="B26" s="13" t="s">
        <v>82</v>
      </c>
      <c r="C26" s="12" t="s">
        <v>60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S26" s="15">
        <v>73.71884</v>
      </c>
      <c r="T26" s="15">
        <v>-6.1992539999999998</v>
      </c>
      <c r="U26" s="21">
        <v>21.986353300000001</v>
      </c>
      <c r="V26" s="15">
        <v>22.465142</v>
      </c>
      <c r="W26" s="15">
        <v>13.285634</v>
      </c>
      <c r="X26" s="16">
        <v>-129.68144799999999</v>
      </c>
      <c r="Y26" s="15">
        <v>15.046749</v>
      </c>
      <c r="AA26" s="1" t="str">
        <f t="shared" si="0"/>
        <v>NCEN_F-CC90-NGin</v>
      </c>
      <c r="AB26" s="1" t="str">
        <f t="shared" si="1"/>
        <v>Ethane</v>
      </c>
      <c r="AC26" s="11">
        <f t="shared" si="2"/>
        <v>818.32731700832403</v>
      </c>
      <c r="AD26" s="11">
        <f t="shared" si="3"/>
        <v>818.32731700832403</v>
      </c>
      <c r="AE26" s="5">
        <f t="shared" si="4"/>
        <v>0</v>
      </c>
      <c r="AF26" s="5">
        <f t="shared" si="5"/>
        <v>0</v>
      </c>
      <c r="AG26" s="1">
        <f t="shared" si="6"/>
        <v>0</v>
      </c>
      <c r="AH26" s="1">
        <f t="shared" si="7"/>
        <v>3.4068656349171125</v>
      </c>
      <c r="AI26" s="1">
        <f t="shared" si="8"/>
        <v>452.54756324196904</v>
      </c>
      <c r="AJ26" s="1">
        <f t="shared" si="9"/>
        <v>3.7613150642871864</v>
      </c>
      <c r="AK26" s="1">
        <f t="shared" si="10"/>
        <v>0</v>
      </c>
      <c r="AL26" s="1">
        <f t="shared" si="11"/>
        <v>258.23340091983289</v>
      </c>
      <c r="AM26" s="1">
        <f t="shared" si="12"/>
        <v>141.334415469421</v>
      </c>
      <c r="AN26" s="1">
        <f t="shared" si="13"/>
        <v>-46.79224006554788</v>
      </c>
      <c r="AO26" s="1">
        <f t="shared" si="14"/>
        <v>0.45061392501924658</v>
      </c>
      <c r="AP26" s="1">
        <f t="shared" si="15"/>
        <v>-27.382739096821183</v>
      </c>
      <c r="AQ26" s="1">
        <f t="shared" si="16"/>
        <v>33.218735840265836</v>
      </c>
      <c r="AR26" s="1">
        <f t="shared" si="17"/>
        <v>4.5061392501923626E-2</v>
      </c>
      <c r="AS26" s="1">
        <f t="shared" si="18"/>
        <v>2.5141231594181437</v>
      </c>
      <c r="AT26" s="1">
        <f t="shared" si="19"/>
        <v>3.3218735840265077</v>
      </c>
      <c r="AV26" s="9">
        <f t="shared" si="20"/>
        <v>3.1428571428571428</v>
      </c>
      <c r="AW26" s="10">
        <v>0.20320575112912201</v>
      </c>
      <c r="AX26" s="9">
        <v>0.182890835326593</v>
      </c>
      <c r="AZ26" s="10">
        <f t="shared" si="21"/>
        <v>4.1826066494727963</v>
      </c>
      <c r="BA26" s="10">
        <f t="shared" si="22"/>
        <v>4.5718184973643237E-2</v>
      </c>
      <c r="BB26" s="10">
        <f t="shared" si="23"/>
        <v>4.2283248344464397</v>
      </c>
      <c r="BD26" s="10">
        <f t="shared" si="24"/>
        <v>3.1428571428571428</v>
      </c>
      <c r="BE26" s="10">
        <f t="shared" si="25"/>
        <v>0</v>
      </c>
      <c r="BF26" s="10">
        <f t="shared" si="26"/>
        <v>4.5061392501923626E-2</v>
      </c>
      <c r="BG26" s="10">
        <f t="shared" si="27"/>
        <v>0.40555253251732293</v>
      </c>
      <c r="BH26" s="10">
        <f t="shared" si="28"/>
        <v>3.593471067876389</v>
      </c>
      <c r="BJ26" s="1">
        <f t="shared" si="29"/>
        <v>0.63485376657005066</v>
      </c>
    </row>
    <row r="27" spans="2:62" x14ac:dyDescent="0.2">
      <c r="B27" s="13" t="s">
        <v>83</v>
      </c>
      <c r="C27" s="12" t="s">
        <v>60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S27" s="15">
        <v>73.71884</v>
      </c>
      <c r="T27" s="15">
        <v>-6.1992539999999998</v>
      </c>
      <c r="U27" s="21">
        <v>21.986353300000001</v>
      </c>
      <c r="V27" s="15">
        <v>22.465142</v>
      </c>
      <c r="W27" s="15">
        <v>13.285634</v>
      </c>
      <c r="X27" s="16">
        <v>-129.68144799999999</v>
      </c>
      <c r="Y27" s="15">
        <v>15.046749</v>
      </c>
      <c r="AA27" s="1" t="str">
        <f t="shared" si="0"/>
        <v>CEN_F-CC90-NGin</v>
      </c>
      <c r="AB27" s="1" t="str">
        <f t="shared" si="1"/>
        <v>Ethane</v>
      </c>
      <c r="AC27" s="11">
        <f t="shared" si="2"/>
        <v>818.32731700832403</v>
      </c>
      <c r="AD27" s="11">
        <f t="shared" si="3"/>
        <v>818.32731700832403</v>
      </c>
      <c r="AE27" s="5">
        <f t="shared" si="4"/>
        <v>0</v>
      </c>
      <c r="AF27" s="5">
        <f t="shared" si="5"/>
        <v>0</v>
      </c>
      <c r="AG27" s="1">
        <f t="shared" si="6"/>
        <v>0</v>
      </c>
      <c r="AH27" s="1">
        <f t="shared" si="7"/>
        <v>3.4068656349171125</v>
      </c>
      <c r="AI27" s="1">
        <f t="shared" si="8"/>
        <v>452.54756324196904</v>
      </c>
      <c r="AJ27" s="1">
        <f t="shared" si="9"/>
        <v>3.7613150642871864</v>
      </c>
      <c r="AK27" s="1">
        <f t="shared" si="10"/>
        <v>0</v>
      </c>
      <c r="AL27" s="1">
        <f t="shared" si="11"/>
        <v>258.23340091983289</v>
      </c>
      <c r="AM27" s="1">
        <f t="shared" si="12"/>
        <v>141.334415469421</v>
      </c>
      <c r="AN27" s="1">
        <f t="shared" si="13"/>
        <v>-46.79224006554788</v>
      </c>
      <c r="AO27" s="1">
        <f t="shared" si="14"/>
        <v>0.45061392501924658</v>
      </c>
      <c r="AP27" s="1">
        <f t="shared" si="15"/>
        <v>-27.382739096821183</v>
      </c>
      <c r="AQ27" s="1">
        <f t="shared" si="16"/>
        <v>33.218735840265836</v>
      </c>
      <c r="AR27" s="1">
        <f t="shared" si="17"/>
        <v>4.5061392501923626E-2</v>
      </c>
      <c r="AS27" s="1">
        <f t="shared" si="18"/>
        <v>2.5141231594181437</v>
      </c>
      <c r="AT27" s="1">
        <f t="shared" si="19"/>
        <v>3.3218735840265077</v>
      </c>
      <c r="AV27" s="9">
        <f t="shared" si="20"/>
        <v>3.1428571428571428</v>
      </c>
      <c r="AW27" s="10">
        <v>0.20320575112912201</v>
      </c>
      <c r="AX27" s="9">
        <v>0.182890835326593</v>
      </c>
      <c r="AZ27" s="10">
        <f t="shared" si="21"/>
        <v>4.1826066494727963</v>
      </c>
      <c r="BA27" s="10">
        <f t="shared" si="22"/>
        <v>4.5718184973643237E-2</v>
      </c>
      <c r="BB27" s="10">
        <f t="shared" si="23"/>
        <v>4.2283248344464397</v>
      </c>
      <c r="BD27" s="10">
        <f t="shared" si="24"/>
        <v>3.1428571428571428</v>
      </c>
      <c r="BE27" s="10">
        <f t="shared" si="25"/>
        <v>0</v>
      </c>
      <c r="BF27" s="10">
        <f t="shared" si="26"/>
        <v>4.5061392501923626E-2</v>
      </c>
      <c r="BG27" s="10">
        <f t="shared" si="27"/>
        <v>0.40555253251732293</v>
      </c>
      <c r="BH27" s="10">
        <f t="shared" si="28"/>
        <v>3.593471067876389</v>
      </c>
      <c r="BJ27" s="1">
        <f t="shared" si="29"/>
        <v>0.63485376657005066</v>
      </c>
    </row>
    <row r="28" spans="2:62" x14ac:dyDescent="0.2">
      <c r="B28" s="13" t="s">
        <v>84</v>
      </c>
      <c r="C28" s="12" t="s">
        <v>60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S28" s="15">
        <v>73.71884</v>
      </c>
      <c r="T28" s="15">
        <v>-6.1992539999999998</v>
      </c>
      <c r="U28" s="21">
        <v>21.986353300000001</v>
      </c>
      <c r="V28" s="15">
        <v>22.465142</v>
      </c>
      <c r="W28" s="15">
        <v>13.285634</v>
      </c>
      <c r="X28" s="16">
        <v>-129.68144799999999</v>
      </c>
      <c r="Y28" s="15">
        <v>15.046749</v>
      </c>
      <c r="AA28" s="1" t="str">
        <f t="shared" si="0"/>
        <v>SE_F-CC90-NGin</v>
      </c>
      <c r="AB28" s="1" t="str">
        <f t="shared" si="1"/>
        <v>Ethane</v>
      </c>
      <c r="AC28" s="11">
        <f t="shared" si="2"/>
        <v>818.32731700832403</v>
      </c>
      <c r="AD28" s="11">
        <f t="shared" si="3"/>
        <v>818.32731700832403</v>
      </c>
      <c r="AE28" s="5">
        <f t="shared" si="4"/>
        <v>0</v>
      </c>
      <c r="AF28" s="5">
        <f t="shared" si="5"/>
        <v>0</v>
      </c>
      <c r="AG28" s="1">
        <f t="shared" si="6"/>
        <v>0</v>
      </c>
      <c r="AH28" s="1">
        <f t="shared" si="7"/>
        <v>3.4068656349171125</v>
      </c>
      <c r="AI28" s="1">
        <f t="shared" si="8"/>
        <v>452.54756324196904</v>
      </c>
      <c r="AJ28" s="1">
        <f t="shared" si="9"/>
        <v>3.7613150642871864</v>
      </c>
      <c r="AK28" s="1">
        <f t="shared" si="10"/>
        <v>0</v>
      </c>
      <c r="AL28" s="1">
        <f t="shared" si="11"/>
        <v>258.23340091983289</v>
      </c>
      <c r="AM28" s="1">
        <f t="shared" si="12"/>
        <v>141.334415469421</v>
      </c>
      <c r="AN28" s="1">
        <f t="shared" si="13"/>
        <v>-46.79224006554788</v>
      </c>
      <c r="AO28" s="1">
        <f t="shared" si="14"/>
        <v>0.45061392501924658</v>
      </c>
      <c r="AP28" s="1">
        <f t="shared" si="15"/>
        <v>-27.382739096821183</v>
      </c>
      <c r="AQ28" s="1">
        <f t="shared" si="16"/>
        <v>33.218735840265836</v>
      </c>
      <c r="AR28" s="1">
        <f t="shared" si="17"/>
        <v>4.5061392501923626E-2</v>
      </c>
      <c r="AS28" s="1">
        <f t="shared" si="18"/>
        <v>2.5141231594181437</v>
      </c>
      <c r="AT28" s="1">
        <f t="shared" si="19"/>
        <v>3.3218735840265077</v>
      </c>
      <c r="AV28" s="9">
        <f t="shared" si="20"/>
        <v>3.1428571428571428</v>
      </c>
      <c r="AW28" s="10">
        <v>0.20320575112912201</v>
      </c>
      <c r="AX28" s="9">
        <v>0.182890835326593</v>
      </c>
      <c r="AZ28" s="10">
        <f t="shared" si="21"/>
        <v>4.1826066494727963</v>
      </c>
      <c r="BA28" s="10">
        <f t="shared" si="22"/>
        <v>4.5718184973643237E-2</v>
      </c>
      <c r="BB28" s="10">
        <f t="shared" si="23"/>
        <v>4.2283248344464397</v>
      </c>
      <c r="BD28" s="10">
        <f t="shared" si="24"/>
        <v>3.1428571428571428</v>
      </c>
      <c r="BE28" s="10">
        <f t="shared" si="25"/>
        <v>0</v>
      </c>
      <c r="BF28" s="10">
        <f t="shared" si="26"/>
        <v>4.5061392501923626E-2</v>
      </c>
      <c r="BG28" s="10">
        <f t="shared" si="27"/>
        <v>0.40555253251732293</v>
      </c>
      <c r="BH28" s="10">
        <f t="shared" si="28"/>
        <v>3.593471067876389</v>
      </c>
      <c r="BJ28" s="1">
        <f t="shared" si="29"/>
        <v>0.63485376657005066</v>
      </c>
    </row>
    <row r="29" spans="2:62" x14ac:dyDescent="0.2">
      <c r="B29" s="13" t="s">
        <v>85</v>
      </c>
      <c r="C29" s="12" t="s">
        <v>60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S29" s="15">
        <v>73.71884</v>
      </c>
      <c r="T29" s="15">
        <v>-6.1992539999999998</v>
      </c>
      <c r="U29" s="21">
        <v>21.986353300000001</v>
      </c>
      <c r="V29" s="15">
        <v>22.465142</v>
      </c>
      <c r="W29" s="15">
        <v>13.285634</v>
      </c>
      <c r="X29" s="16">
        <v>-129.68144799999999</v>
      </c>
      <c r="Y29" s="15">
        <v>15.046749</v>
      </c>
      <c r="AA29" s="1" t="str">
        <f t="shared" si="0"/>
        <v>MIDAT_F-CC90-NGin</v>
      </c>
      <c r="AB29" s="1" t="str">
        <f t="shared" si="1"/>
        <v>Ethane</v>
      </c>
      <c r="AC29" s="11">
        <f t="shared" si="2"/>
        <v>818.32731700832403</v>
      </c>
      <c r="AD29" s="11">
        <f t="shared" si="3"/>
        <v>818.32731700832403</v>
      </c>
      <c r="AE29" s="5">
        <f t="shared" si="4"/>
        <v>0</v>
      </c>
      <c r="AF29" s="5">
        <f t="shared" si="5"/>
        <v>0</v>
      </c>
      <c r="AG29" s="1">
        <f t="shared" si="6"/>
        <v>0</v>
      </c>
      <c r="AH29" s="1">
        <f t="shared" si="7"/>
        <v>3.4068656349171125</v>
      </c>
      <c r="AI29" s="1">
        <f t="shared" si="8"/>
        <v>452.54756324196904</v>
      </c>
      <c r="AJ29" s="1">
        <f t="shared" si="9"/>
        <v>3.7613150642871864</v>
      </c>
      <c r="AK29" s="1">
        <f t="shared" si="10"/>
        <v>0</v>
      </c>
      <c r="AL29" s="1">
        <f t="shared" si="11"/>
        <v>258.23340091983289</v>
      </c>
      <c r="AM29" s="1">
        <f t="shared" si="12"/>
        <v>141.334415469421</v>
      </c>
      <c r="AN29" s="1">
        <f t="shared" si="13"/>
        <v>-46.79224006554788</v>
      </c>
      <c r="AO29" s="1">
        <f t="shared" si="14"/>
        <v>0.45061392501924658</v>
      </c>
      <c r="AP29" s="1">
        <f t="shared" si="15"/>
        <v>-27.382739096821183</v>
      </c>
      <c r="AQ29" s="1">
        <f t="shared" si="16"/>
        <v>33.218735840265836</v>
      </c>
      <c r="AR29" s="1">
        <f t="shared" si="17"/>
        <v>4.5061392501923626E-2</v>
      </c>
      <c r="AS29" s="1">
        <f t="shared" si="18"/>
        <v>2.5141231594181437</v>
      </c>
      <c r="AT29" s="1">
        <f t="shared" si="19"/>
        <v>3.3218735840265077</v>
      </c>
      <c r="AV29" s="9">
        <f t="shared" si="20"/>
        <v>3.1428571428571428</v>
      </c>
      <c r="AW29" s="10">
        <v>0.20320575112912201</v>
      </c>
      <c r="AX29" s="9">
        <v>0.182890835326593</v>
      </c>
      <c r="AZ29" s="10">
        <f t="shared" si="21"/>
        <v>4.1826066494727963</v>
      </c>
      <c r="BA29" s="10">
        <f t="shared" si="22"/>
        <v>4.5718184973643237E-2</v>
      </c>
      <c r="BB29" s="10">
        <f t="shared" si="23"/>
        <v>4.2283248344464397</v>
      </c>
      <c r="BD29" s="10">
        <f t="shared" si="24"/>
        <v>3.1428571428571428</v>
      </c>
      <c r="BE29" s="10">
        <f t="shared" si="25"/>
        <v>0</v>
      </c>
      <c r="BF29" s="10">
        <f t="shared" si="26"/>
        <v>4.5061392501923626E-2</v>
      </c>
      <c r="BG29" s="10">
        <f t="shared" si="27"/>
        <v>0.40555253251732293</v>
      </c>
      <c r="BH29" s="10">
        <f t="shared" si="28"/>
        <v>3.593471067876389</v>
      </c>
      <c r="BJ29" s="1">
        <f t="shared" si="29"/>
        <v>0.63485376657005066</v>
      </c>
    </row>
    <row r="30" spans="2:62" x14ac:dyDescent="0.2">
      <c r="B30" s="13" t="s">
        <v>86</v>
      </c>
      <c r="C30" s="12" t="s">
        <v>60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S30" s="15">
        <v>73.71884</v>
      </c>
      <c r="T30" s="15">
        <v>-6.1992539999999998</v>
      </c>
      <c r="U30" s="21">
        <v>21.986353300000001</v>
      </c>
      <c r="V30" s="15">
        <v>22.465142</v>
      </c>
      <c r="W30" s="15">
        <v>13.285634</v>
      </c>
      <c r="X30" s="16">
        <v>-129.68144799999999</v>
      </c>
      <c r="Y30" s="15">
        <v>15.046749</v>
      </c>
      <c r="AA30" s="1" t="str">
        <f t="shared" si="0"/>
        <v>NE_F-CC90-NGin</v>
      </c>
      <c r="AB30" s="1" t="str">
        <f t="shared" si="1"/>
        <v>Ethane</v>
      </c>
      <c r="AC30" s="11">
        <f t="shared" si="2"/>
        <v>818.32731700832403</v>
      </c>
      <c r="AD30" s="11">
        <f t="shared" si="3"/>
        <v>818.32731700832403</v>
      </c>
      <c r="AE30" s="5">
        <f t="shared" si="4"/>
        <v>0</v>
      </c>
      <c r="AF30" s="5">
        <f t="shared" si="5"/>
        <v>0</v>
      </c>
      <c r="AG30" s="1">
        <f t="shared" si="6"/>
        <v>0</v>
      </c>
      <c r="AH30" s="1">
        <f t="shared" si="7"/>
        <v>3.4068656349171125</v>
      </c>
      <c r="AI30" s="1">
        <f t="shared" si="8"/>
        <v>452.54756324196904</v>
      </c>
      <c r="AJ30" s="1">
        <f t="shared" si="9"/>
        <v>3.7613150642871864</v>
      </c>
      <c r="AK30" s="1">
        <f t="shared" si="10"/>
        <v>0</v>
      </c>
      <c r="AL30" s="1">
        <f t="shared" si="11"/>
        <v>258.23340091983289</v>
      </c>
      <c r="AM30" s="1">
        <f t="shared" si="12"/>
        <v>141.334415469421</v>
      </c>
      <c r="AN30" s="1">
        <f t="shared" si="13"/>
        <v>-46.79224006554788</v>
      </c>
      <c r="AO30" s="1">
        <f t="shared" si="14"/>
        <v>0.45061392501924658</v>
      </c>
      <c r="AP30" s="1">
        <f t="shared" si="15"/>
        <v>-27.382739096821183</v>
      </c>
      <c r="AQ30" s="1">
        <f t="shared" si="16"/>
        <v>33.218735840265836</v>
      </c>
      <c r="AR30" s="1">
        <f t="shared" si="17"/>
        <v>4.5061392501923626E-2</v>
      </c>
      <c r="AS30" s="1">
        <f t="shared" si="18"/>
        <v>2.5141231594181437</v>
      </c>
      <c r="AT30" s="1">
        <f t="shared" si="19"/>
        <v>3.3218735840265077</v>
      </c>
      <c r="AV30" s="9">
        <f t="shared" si="20"/>
        <v>3.1428571428571428</v>
      </c>
      <c r="AW30" s="10">
        <v>0.20320575112912201</v>
      </c>
      <c r="AX30" s="9">
        <v>0.182890835326593</v>
      </c>
      <c r="AZ30" s="10">
        <f t="shared" si="21"/>
        <v>4.1826066494727963</v>
      </c>
      <c r="BA30" s="10">
        <f t="shared" si="22"/>
        <v>4.5718184973643237E-2</v>
      </c>
      <c r="BB30" s="10">
        <f t="shared" si="23"/>
        <v>4.2283248344464397</v>
      </c>
      <c r="BD30" s="10">
        <f t="shared" si="24"/>
        <v>3.1428571428571428</v>
      </c>
      <c r="BE30" s="10">
        <f t="shared" si="25"/>
        <v>0</v>
      </c>
      <c r="BF30" s="10">
        <f t="shared" si="26"/>
        <v>4.5061392501923626E-2</v>
      </c>
      <c r="BG30" s="10">
        <f t="shared" si="27"/>
        <v>0.40555253251732293</v>
      </c>
      <c r="BH30" s="10">
        <f t="shared" si="28"/>
        <v>3.593471067876389</v>
      </c>
      <c r="BJ30" s="1">
        <f t="shared" si="29"/>
        <v>0.63485376657005066</v>
      </c>
    </row>
    <row r="31" spans="2:62" x14ac:dyDescent="0.2">
      <c r="B31" s="13" t="s">
        <v>87</v>
      </c>
      <c r="C31" s="12" t="s">
        <v>60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S31" s="15">
        <v>73.71884</v>
      </c>
      <c r="T31" s="15">
        <v>-6.0910019999999996</v>
      </c>
      <c r="U31" s="21">
        <v>21.986353300000001</v>
      </c>
      <c r="V31" s="15">
        <v>21.266241000000001</v>
      </c>
      <c r="W31" s="15">
        <v>7.267779</v>
      </c>
      <c r="X31" s="16">
        <v>-128.077631</v>
      </c>
      <c r="Y31" s="15">
        <v>7.9635800000000003</v>
      </c>
      <c r="AA31" s="1" t="str">
        <f t="shared" si="0"/>
        <v>CA_F-CC90-NGin-H2out</v>
      </c>
      <c r="AB31" s="1" t="str">
        <f t="shared" si="1"/>
        <v>Ethane</v>
      </c>
      <c r="AC31" s="11">
        <f t="shared" si="2"/>
        <v>862.23274748106496</v>
      </c>
      <c r="AD31" s="11">
        <f t="shared" si="3"/>
        <v>862.23274748106485</v>
      </c>
      <c r="AE31" s="5">
        <f t="shared" si="4"/>
        <v>0</v>
      </c>
      <c r="AF31" s="5">
        <f t="shared" si="5"/>
        <v>0</v>
      </c>
      <c r="AG31" s="1">
        <f t="shared" si="6"/>
        <v>-23.270616097830075</v>
      </c>
      <c r="AH31" s="1">
        <f t="shared" si="7"/>
        <v>3.9633893407219944</v>
      </c>
      <c r="AI31" s="1">
        <f t="shared" si="8"/>
        <v>452.54756324196904</v>
      </c>
      <c r="AJ31" s="1">
        <f t="shared" si="9"/>
        <v>27.557881974255686</v>
      </c>
      <c r="AK31" s="1">
        <f t="shared" si="10"/>
        <v>0</v>
      </c>
      <c r="AL31" s="1">
        <f t="shared" si="11"/>
        <v>280.92664042397126</v>
      </c>
      <c r="AM31" s="1">
        <f t="shared" si="12"/>
        <v>153.76063060605685</v>
      </c>
      <c r="AN31" s="1">
        <f t="shared" si="13"/>
        <v>-46.592240065267717</v>
      </c>
      <c r="AO31" s="1">
        <f t="shared" si="14"/>
        <v>1.037787486484165</v>
      </c>
      <c r="AP31" s="1">
        <f t="shared" si="15"/>
        <v>-63.164991612940547</v>
      </c>
      <c r="AQ31" s="1">
        <f t="shared" si="16"/>
        <v>76.504489670128322</v>
      </c>
      <c r="AR31" s="1">
        <f t="shared" si="17"/>
        <v>0.10377874864841526</v>
      </c>
      <c r="AS31" s="1">
        <f t="shared" si="18"/>
        <v>5.6890490901750255</v>
      </c>
      <c r="AT31" s="1">
        <f t="shared" si="19"/>
        <v>7.6504489670127409</v>
      </c>
      <c r="AV31" s="9">
        <f t="shared" si="20"/>
        <v>3.1428571428571428</v>
      </c>
      <c r="AW31" s="10">
        <v>0.20320575112912201</v>
      </c>
      <c r="AX31" s="9">
        <v>0.182890835326593</v>
      </c>
      <c r="AZ31" s="10">
        <f t="shared" si="21"/>
        <v>4.1826066494727963</v>
      </c>
      <c r="BA31" s="10">
        <f t="shared" si="22"/>
        <v>0.63289174643857182</v>
      </c>
      <c r="BB31" s="10">
        <f t="shared" si="23"/>
        <v>4.8154983959113684</v>
      </c>
      <c r="BD31" s="10">
        <f t="shared" si="24"/>
        <v>3.1428571428571428</v>
      </c>
      <c r="BE31" s="10">
        <f t="shared" si="25"/>
        <v>0</v>
      </c>
      <c r="BF31" s="10">
        <f t="shared" si="26"/>
        <v>0.10377874864841526</v>
      </c>
      <c r="BG31" s="10">
        <f t="shared" si="27"/>
        <v>0.93400873783574967</v>
      </c>
      <c r="BH31" s="10">
        <f t="shared" si="28"/>
        <v>4.180644629341308</v>
      </c>
      <c r="BJ31" s="1">
        <f t="shared" si="29"/>
        <v>0.63485376657006043</v>
      </c>
    </row>
    <row r="32" spans="2:62" x14ac:dyDescent="0.2">
      <c r="B32" s="13" t="s">
        <v>88</v>
      </c>
      <c r="C32" s="12" t="s">
        <v>60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S32" s="15">
        <v>73.71884</v>
      </c>
      <c r="T32" s="15">
        <v>-6.0910019999999996</v>
      </c>
      <c r="U32" s="21">
        <v>21.986353300000001</v>
      </c>
      <c r="V32" s="15">
        <v>21.266241000000001</v>
      </c>
      <c r="W32" s="15">
        <v>7.267779</v>
      </c>
      <c r="X32" s="16">
        <v>-128.077631</v>
      </c>
      <c r="Y32" s="15">
        <v>7.9635800000000003</v>
      </c>
      <c r="AA32" s="1" t="str">
        <f t="shared" si="0"/>
        <v>NW_F-CC90-NGin-H2out</v>
      </c>
      <c r="AB32" s="1" t="str">
        <f t="shared" si="1"/>
        <v>Ethane</v>
      </c>
      <c r="AC32" s="11">
        <f t="shared" si="2"/>
        <v>862.23274748106496</v>
      </c>
      <c r="AD32" s="11">
        <f t="shared" si="3"/>
        <v>862.23274748106485</v>
      </c>
      <c r="AE32" s="5">
        <f t="shared" si="4"/>
        <v>0</v>
      </c>
      <c r="AF32" s="5">
        <f t="shared" si="5"/>
        <v>0</v>
      </c>
      <c r="AG32" s="1">
        <f t="shared" si="6"/>
        <v>-23.270616097830075</v>
      </c>
      <c r="AH32" s="1">
        <f t="shared" si="7"/>
        <v>3.9633893407219944</v>
      </c>
      <c r="AI32" s="1">
        <f t="shared" si="8"/>
        <v>452.54756324196904</v>
      </c>
      <c r="AJ32" s="1">
        <f t="shared" si="9"/>
        <v>27.557881974255686</v>
      </c>
      <c r="AK32" s="1">
        <f t="shared" si="10"/>
        <v>0</v>
      </c>
      <c r="AL32" s="1">
        <f t="shared" si="11"/>
        <v>280.92664042397126</v>
      </c>
      <c r="AM32" s="1">
        <f t="shared" si="12"/>
        <v>153.76063060605685</v>
      </c>
      <c r="AN32" s="1">
        <f t="shared" si="13"/>
        <v>-46.592240065267717</v>
      </c>
      <c r="AO32" s="1">
        <f t="shared" si="14"/>
        <v>1.037787486484165</v>
      </c>
      <c r="AP32" s="1">
        <f t="shared" si="15"/>
        <v>-63.164991612940547</v>
      </c>
      <c r="AQ32" s="1">
        <f t="shared" si="16"/>
        <v>76.504489670128322</v>
      </c>
      <c r="AR32" s="1">
        <f t="shared" si="17"/>
        <v>0.10377874864841526</v>
      </c>
      <c r="AS32" s="1">
        <f t="shared" si="18"/>
        <v>5.6890490901750255</v>
      </c>
      <c r="AT32" s="1">
        <f t="shared" si="19"/>
        <v>7.6504489670127409</v>
      </c>
      <c r="AV32" s="9">
        <f t="shared" si="20"/>
        <v>3.1428571428571428</v>
      </c>
      <c r="AW32" s="10">
        <v>0.20320575112912201</v>
      </c>
      <c r="AX32" s="9">
        <v>0.182890835326593</v>
      </c>
      <c r="AZ32" s="10">
        <f t="shared" si="21"/>
        <v>4.1826066494727963</v>
      </c>
      <c r="BA32" s="10">
        <f t="shared" si="22"/>
        <v>0.63289174643857182</v>
      </c>
      <c r="BB32" s="10">
        <f t="shared" si="23"/>
        <v>4.8154983959113684</v>
      </c>
      <c r="BD32" s="10">
        <f t="shared" si="24"/>
        <v>3.1428571428571428</v>
      </c>
      <c r="BE32" s="10">
        <f t="shared" si="25"/>
        <v>0</v>
      </c>
      <c r="BF32" s="10">
        <f t="shared" si="26"/>
        <v>0.10377874864841526</v>
      </c>
      <c r="BG32" s="10">
        <f t="shared" si="27"/>
        <v>0.93400873783574967</v>
      </c>
      <c r="BH32" s="10">
        <f t="shared" si="28"/>
        <v>4.180644629341308</v>
      </c>
      <c r="BJ32" s="1">
        <f t="shared" si="29"/>
        <v>0.63485376657006043</v>
      </c>
    </row>
    <row r="33" spans="2:62" x14ac:dyDescent="0.2">
      <c r="B33" s="13" t="s">
        <v>89</v>
      </c>
      <c r="C33" s="12" t="s">
        <v>60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S33" s="15">
        <v>73.71884</v>
      </c>
      <c r="T33" s="15">
        <v>-6.0910019999999996</v>
      </c>
      <c r="U33" s="21">
        <v>21.986353300000001</v>
      </c>
      <c r="V33" s="15">
        <v>21.266241000000001</v>
      </c>
      <c r="W33" s="15">
        <v>7.267779</v>
      </c>
      <c r="X33" s="16">
        <v>-128.077631</v>
      </c>
      <c r="Y33" s="15">
        <v>7.9635800000000003</v>
      </c>
      <c r="AA33" s="1" t="str">
        <f t="shared" si="0"/>
        <v>SW_F-CC90-NGin-H2out</v>
      </c>
      <c r="AB33" s="1" t="str">
        <f t="shared" si="1"/>
        <v>Ethane</v>
      </c>
      <c r="AC33" s="11">
        <f t="shared" si="2"/>
        <v>862.23274748106496</v>
      </c>
      <c r="AD33" s="11">
        <f t="shared" si="3"/>
        <v>862.23274748106485</v>
      </c>
      <c r="AE33" s="5">
        <f t="shared" si="4"/>
        <v>0</v>
      </c>
      <c r="AF33" s="5">
        <f t="shared" si="5"/>
        <v>0</v>
      </c>
      <c r="AG33" s="1">
        <f t="shared" si="6"/>
        <v>-23.270616097830075</v>
      </c>
      <c r="AH33" s="1">
        <f t="shared" si="7"/>
        <v>3.9633893407219944</v>
      </c>
      <c r="AI33" s="1">
        <f t="shared" si="8"/>
        <v>452.54756324196904</v>
      </c>
      <c r="AJ33" s="1">
        <f t="shared" si="9"/>
        <v>27.557881974255686</v>
      </c>
      <c r="AK33" s="1">
        <f t="shared" si="10"/>
        <v>0</v>
      </c>
      <c r="AL33" s="1">
        <f t="shared" si="11"/>
        <v>280.92664042397126</v>
      </c>
      <c r="AM33" s="1">
        <f t="shared" si="12"/>
        <v>153.76063060605685</v>
      </c>
      <c r="AN33" s="1">
        <f t="shared" si="13"/>
        <v>-46.592240065267717</v>
      </c>
      <c r="AO33" s="1">
        <f t="shared" si="14"/>
        <v>1.037787486484165</v>
      </c>
      <c r="AP33" s="1">
        <f t="shared" si="15"/>
        <v>-63.164991612940547</v>
      </c>
      <c r="AQ33" s="1">
        <f t="shared" si="16"/>
        <v>76.504489670128322</v>
      </c>
      <c r="AR33" s="1">
        <f t="shared" si="17"/>
        <v>0.10377874864841526</v>
      </c>
      <c r="AS33" s="1">
        <f t="shared" si="18"/>
        <v>5.6890490901750255</v>
      </c>
      <c r="AT33" s="1">
        <f t="shared" si="19"/>
        <v>7.6504489670127409</v>
      </c>
      <c r="AV33" s="9">
        <f t="shared" si="20"/>
        <v>3.1428571428571428</v>
      </c>
      <c r="AW33" s="10">
        <v>0.20320575112912201</v>
      </c>
      <c r="AX33" s="9">
        <v>0.182890835326593</v>
      </c>
      <c r="AZ33" s="10">
        <f t="shared" si="21"/>
        <v>4.1826066494727963</v>
      </c>
      <c r="BA33" s="10">
        <f t="shared" si="22"/>
        <v>0.63289174643857182</v>
      </c>
      <c r="BB33" s="10">
        <f t="shared" si="23"/>
        <v>4.8154983959113684</v>
      </c>
      <c r="BD33" s="10">
        <f t="shared" si="24"/>
        <v>3.1428571428571428</v>
      </c>
      <c r="BE33" s="10">
        <f t="shared" si="25"/>
        <v>0</v>
      </c>
      <c r="BF33" s="10">
        <f t="shared" si="26"/>
        <v>0.10377874864841526</v>
      </c>
      <c r="BG33" s="10">
        <f t="shared" si="27"/>
        <v>0.93400873783574967</v>
      </c>
      <c r="BH33" s="10">
        <f t="shared" si="28"/>
        <v>4.180644629341308</v>
      </c>
      <c r="BJ33" s="1">
        <f t="shared" si="29"/>
        <v>0.63485376657006043</v>
      </c>
    </row>
    <row r="34" spans="2:62" x14ac:dyDescent="0.2">
      <c r="B34" s="13" t="s">
        <v>90</v>
      </c>
      <c r="C34" s="12" t="s">
        <v>60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S34" s="15">
        <v>73.71884</v>
      </c>
      <c r="T34" s="15">
        <v>-6.0910019999999996</v>
      </c>
      <c r="U34" s="21">
        <v>21.986353300000001</v>
      </c>
      <c r="V34" s="15">
        <v>21.266241000000001</v>
      </c>
      <c r="W34" s="15">
        <v>7.267779</v>
      </c>
      <c r="X34" s="16">
        <v>-128.077631</v>
      </c>
      <c r="Y34" s="15">
        <v>7.9635800000000003</v>
      </c>
      <c r="AA34" s="1" t="str">
        <f t="shared" si="0"/>
        <v>TX_F-CC90-NGin-H2out</v>
      </c>
      <c r="AB34" s="1" t="str">
        <f t="shared" si="1"/>
        <v>Ethane</v>
      </c>
      <c r="AC34" s="11">
        <f t="shared" si="2"/>
        <v>862.23274748106496</v>
      </c>
      <c r="AD34" s="11">
        <f t="shared" si="3"/>
        <v>862.23274748106485</v>
      </c>
      <c r="AE34" s="5">
        <f t="shared" si="4"/>
        <v>0</v>
      </c>
      <c r="AF34" s="5">
        <f t="shared" si="5"/>
        <v>0</v>
      </c>
      <c r="AG34" s="1">
        <f t="shared" si="6"/>
        <v>-23.270616097830075</v>
      </c>
      <c r="AH34" s="1">
        <f t="shared" si="7"/>
        <v>3.9633893407219944</v>
      </c>
      <c r="AI34" s="1">
        <f t="shared" si="8"/>
        <v>452.54756324196904</v>
      </c>
      <c r="AJ34" s="1">
        <f t="shared" si="9"/>
        <v>27.557881974255686</v>
      </c>
      <c r="AK34" s="1">
        <f t="shared" si="10"/>
        <v>0</v>
      </c>
      <c r="AL34" s="1">
        <f t="shared" si="11"/>
        <v>280.92664042397126</v>
      </c>
      <c r="AM34" s="1">
        <f t="shared" si="12"/>
        <v>153.76063060605685</v>
      </c>
      <c r="AN34" s="1">
        <f t="shared" si="13"/>
        <v>-46.592240065267717</v>
      </c>
      <c r="AO34" s="1">
        <f t="shared" si="14"/>
        <v>1.037787486484165</v>
      </c>
      <c r="AP34" s="1">
        <f t="shared" si="15"/>
        <v>-63.164991612940547</v>
      </c>
      <c r="AQ34" s="1">
        <f t="shared" si="16"/>
        <v>76.504489670128322</v>
      </c>
      <c r="AR34" s="1">
        <f t="shared" si="17"/>
        <v>0.10377874864841526</v>
      </c>
      <c r="AS34" s="1">
        <f t="shared" si="18"/>
        <v>5.6890490901750255</v>
      </c>
      <c r="AT34" s="1">
        <f t="shared" si="19"/>
        <v>7.6504489670127409</v>
      </c>
      <c r="AV34" s="9">
        <f t="shared" si="20"/>
        <v>3.1428571428571428</v>
      </c>
      <c r="AW34" s="10">
        <v>0.20320575112912201</v>
      </c>
      <c r="AX34" s="9">
        <v>0.182890835326593</v>
      </c>
      <c r="AZ34" s="10">
        <f t="shared" si="21"/>
        <v>4.1826066494727963</v>
      </c>
      <c r="BA34" s="10">
        <f t="shared" si="22"/>
        <v>0.63289174643857182</v>
      </c>
      <c r="BB34" s="10">
        <f t="shared" si="23"/>
        <v>4.8154983959113684</v>
      </c>
      <c r="BD34" s="10">
        <f t="shared" si="24"/>
        <v>3.1428571428571428</v>
      </c>
      <c r="BE34" s="10">
        <f t="shared" si="25"/>
        <v>0</v>
      </c>
      <c r="BF34" s="10">
        <f t="shared" si="26"/>
        <v>0.10377874864841526</v>
      </c>
      <c r="BG34" s="10">
        <f t="shared" si="27"/>
        <v>0.93400873783574967</v>
      </c>
      <c r="BH34" s="10">
        <f t="shared" si="28"/>
        <v>4.180644629341308</v>
      </c>
      <c r="BJ34" s="1">
        <f t="shared" si="29"/>
        <v>0.63485376657006043</v>
      </c>
    </row>
    <row r="35" spans="2:62" x14ac:dyDescent="0.2">
      <c r="B35" s="13" t="s">
        <v>91</v>
      </c>
      <c r="C35" s="12" t="s">
        <v>60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S35" s="15">
        <v>73.71884</v>
      </c>
      <c r="T35" s="15">
        <v>-6.0910019999999996</v>
      </c>
      <c r="U35" s="21">
        <v>21.986353300000001</v>
      </c>
      <c r="V35" s="15">
        <v>21.266241000000001</v>
      </c>
      <c r="W35" s="15">
        <v>7.267779</v>
      </c>
      <c r="X35" s="16">
        <v>-128.077631</v>
      </c>
      <c r="Y35" s="15">
        <v>7.9635800000000003</v>
      </c>
      <c r="AA35" s="1" t="str">
        <f t="shared" si="0"/>
        <v>NCEN_F-CC90-NGin-H2out</v>
      </c>
      <c r="AB35" s="1" t="str">
        <f t="shared" si="1"/>
        <v>Ethane</v>
      </c>
      <c r="AC35" s="11">
        <f t="shared" si="2"/>
        <v>862.23274748106496</v>
      </c>
      <c r="AD35" s="11">
        <f t="shared" si="3"/>
        <v>862.23274748106485</v>
      </c>
      <c r="AE35" s="5">
        <f t="shared" si="4"/>
        <v>0</v>
      </c>
      <c r="AF35" s="5">
        <f t="shared" si="5"/>
        <v>0</v>
      </c>
      <c r="AG35" s="1">
        <f t="shared" si="6"/>
        <v>-23.270616097830075</v>
      </c>
      <c r="AH35" s="1">
        <f t="shared" si="7"/>
        <v>3.9633893407219944</v>
      </c>
      <c r="AI35" s="1">
        <f t="shared" si="8"/>
        <v>452.54756324196904</v>
      </c>
      <c r="AJ35" s="1">
        <f t="shared" si="9"/>
        <v>27.557881974255686</v>
      </c>
      <c r="AK35" s="1">
        <f t="shared" si="10"/>
        <v>0</v>
      </c>
      <c r="AL35" s="1">
        <f t="shared" si="11"/>
        <v>280.92664042397126</v>
      </c>
      <c r="AM35" s="1">
        <f t="shared" si="12"/>
        <v>153.76063060605685</v>
      </c>
      <c r="AN35" s="1">
        <f t="shared" si="13"/>
        <v>-46.592240065267717</v>
      </c>
      <c r="AO35" s="1">
        <f t="shared" si="14"/>
        <v>1.037787486484165</v>
      </c>
      <c r="AP35" s="1">
        <f t="shared" si="15"/>
        <v>-63.164991612940547</v>
      </c>
      <c r="AQ35" s="1">
        <f t="shared" si="16"/>
        <v>76.504489670128322</v>
      </c>
      <c r="AR35" s="1">
        <f t="shared" si="17"/>
        <v>0.10377874864841526</v>
      </c>
      <c r="AS35" s="1">
        <f t="shared" si="18"/>
        <v>5.6890490901750255</v>
      </c>
      <c r="AT35" s="1">
        <f t="shared" si="19"/>
        <v>7.6504489670127409</v>
      </c>
      <c r="AV35" s="9">
        <f t="shared" si="20"/>
        <v>3.1428571428571428</v>
      </c>
      <c r="AW35" s="10">
        <v>0.20320575112912201</v>
      </c>
      <c r="AX35" s="9">
        <v>0.182890835326593</v>
      </c>
      <c r="AZ35" s="10">
        <f t="shared" si="21"/>
        <v>4.1826066494727963</v>
      </c>
      <c r="BA35" s="10">
        <f t="shared" si="22"/>
        <v>0.63289174643857182</v>
      </c>
      <c r="BB35" s="10">
        <f t="shared" si="23"/>
        <v>4.8154983959113684</v>
      </c>
      <c r="BD35" s="10">
        <f t="shared" si="24"/>
        <v>3.1428571428571428</v>
      </c>
      <c r="BE35" s="10">
        <f t="shared" si="25"/>
        <v>0</v>
      </c>
      <c r="BF35" s="10">
        <f t="shared" si="26"/>
        <v>0.10377874864841526</v>
      </c>
      <c r="BG35" s="10">
        <f t="shared" si="27"/>
        <v>0.93400873783574967</v>
      </c>
      <c r="BH35" s="10">
        <f t="shared" si="28"/>
        <v>4.180644629341308</v>
      </c>
      <c r="BJ35" s="1">
        <f t="shared" si="29"/>
        <v>0.63485376657006043</v>
      </c>
    </row>
    <row r="36" spans="2:62" x14ac:dyDescent="0.2">
      <c r="B36" s="13" t="s">
        <v>92</v>
      </c>
      <c r="C36" s="12" t="s">
        <v>60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S36" s="15">
        <v>73.71884</v>
      </c>
      <c r="T36" s="15">
        <v>-16.179127999999999</v>
      </c>
      <c r="U36" s="21">
        <v>21.986353300000001</v>
      </c>
      <c r="V36" s="15">
        <v>21.500722</v>
      </c>
      <c r="W36" s="15">
        <v>7.5324369999999998</v>
      </c>
      <c r="X36" s="16">
        <v>-140.74133399999999</v>
      </c>
      <c r="Y36" s="15">
        <v>5.4076719999999998</v>
      </c>
      <c r="AA36" s="1" t="str">
        <f t="shared" ref="AA36:AA67" si="30">B36</f>
        <v>CEN_F-CC90-NGin-H2out</v>
      </c>
      <c r="AB36" s="1" t="str">
        <f t="shared" ref="AB36:AB67" si="31">C36</f>
        <v>Ethane</v>
      </c>
      <c r="AC36" s="11">
        <f t="shared" ref="AC36:AC67" si="32">SUM(AF36:AN36)+AP36+AQ36</f>
        <v>862.00674836543294</v>
      </c>
      <c r="AD36" s="11">
        <f t="shared" ref="AD36:AD67" si="33">SUM(AF36:AN36)+AS36+AT36</f>
        <v>862.00674836543283</v>
      </c>
      <c r="AE36" s="5">
        <f t="shared" ref="AE36:AE67" si="34">AC36-AD36</f>
        <v>0</v>
      </c>
      <c r="AF36" s="5">
        <f t="shared" ref="AF36:AF67" si="35">E36/H36*W36</f>
        <v>0</v>
      </c>
      <c r="AG36" s="1">
        <f t="shared" ref="AG36:AG67" si="36">F36/H36*W36*-1</f>
        <v>-24.118021435171716</v>
      </c>
      <c r="AH36" s="1">
        <f t="shared" ref="AH36:AH67" si="37">G36/H36*V36</f>
        <v>4.0070895647532101</v>
      </c>
      <c r="AI36" s="1">
        <f t="shared" ref="AI36:AI67" si="38">1/H36*U36</f>
        <v>452.54756324196904</v>
      </c>
      <c r="AJ36" s="1">
        <f t="shared" ref="AJ36:AJ67" si="39">I36/H36*Y36</f>
        <v>18.713190139546182</v>
      </c>
      <c r="AK36" s="1">
        <f t="shared" ref="AK36:AK67" si="40">J36/H36*Y36*-1</f>
        <v>0</v>
      </c>
      <c r="AL36" s="1">
        <f t="shared" ref="AL36:AL67" si="41">O36/H36/(0.9*8760)</f>
        <v>280.92664042397126</v>
      </c>
      <c r="AM36" s="1">
        <f t="shared" ref="AM36:AM67" si="42">P36/H36/(0.9*8760)</f>
        <v>153.76063060605685</v>
      </c>
      <c r="AN36" s="1">
        <f t="shared" ref="AN36:AN67" si="43">Q36/H36</f>
        <v>-46.592240065267717</v>
      </c>
      <c r="AO36" s="1">
        <f t="shared" ref="AO36:AO67" si="44">BE36+BF36+BG36</f>
        <v>1.037787486484165</v>
      </c>
      <c r="AP36" s="1">
        <f t="shared" ref="AP36:AP67" si="45">(S36+T36)*-1*(K36+M36)/H36</f>
        <v>-53.742593780552539</v>
      </c>
      <c r="AQ36" s="1">
        <f t="shared" ref="AQ36:AQ67" si="46">AO36*S36</f>
        <v>76.504489670128322</v>
      </c>
      <c r="AR36" s="1">
        <f t="shared" ref="AR36:AR67" si="47">BE36+BF36</f>
        <v>0.10377874864841526</v>
      </c>
      <c r="AS36" s="1">
        <f t="shared" ref="AS36:AS67" si="48">T36*(K36+M36)*-1/H36</f>
        <v>15.111446922563035</v>
      </c>
      <c r="AT36" s="1">
        <f t="shared" ref="AT36:AT67" si="49">AR36*S36</f>
        <v>7.6504489670127409</v>
      </c>
      <c r="AV36" s="9">
        <f t="shared" ref="AV36:AV67" si="50">22/7</f>
        <v>3.1428571428571428</v>
      </c>
      <c r="AW36" s="10">
        <v>0.20320575112912201</v>
      </c>
      <c r="AX36" s="9">
        <v>0.182890835326593</v>
      </c>
      <c r="AZ36" s="10">
        <f t="shared" ref="AZ36:AZ67" si="51">1/H36*AW36</f>
        <v>4.1826066494727963</v>
      </c>
      <c r="BA36" s="10">
        <f t="shared" ref="BA36:BA67" si="52">I36/H36*AX36</f>
        <v>0.63289174643857182</v>
      </c>
      <c r="BB36" s="10">
        <f t="shared" ref="BB36:BB67" si="53">AZ36+BA36</f>
        <v>4.8154983959113684</v>
      </c>
      <c r="BD36" s="10">
        <f t="shared" ref="BD36:BD67" si="54">AV36</f>
        <v>3.1428571428571428</v>
      </c>
      <c r="BE36" s="10">
        <f t="shared" ref="BE36:BE67" si="55">J36/H36*AX36</f>
        <v>0</v>
      </c>
      <c r="BF36" s="10">
        <f t="shared" ref="BF36:BF67" si="56">(L36+N36)/H36</f>
        <v>0.10377874864841526</v>
      </c>
      <c r="BG36" s="10">
        <f t="shared" ref="BG36:BG67" si="57">(K36+M36)/H36</f>
        <v>0.93400873783574967</v>
      </c>
      <c r="BH36" s="10">
        <f t="shared" ref="BH36:BH67" si="58">SUM(BD36:BG36)</f>
        <v>4.180644629341308</v>
      </c>
      <c r="BJ36" s="1">
        <f t="shared" ref="BJ36:BJ67" si="59">BB36-BH36</f>
        <v>0.63485376657006043</v>
      </c>
    </row>
    <row r="37" spans="2:62" x14ac:dyDescent="0.2">
      <c r="B37" s="13" t="s">
        <v>93</v>
      </c>
      <c r="C37" s="12" t="s">
        <v>60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S37" s="15">
        <v>73.71884</v>
      </c>
      <c r="T37" s="15">
        <v>-16.179127999999999</v>
      </c>
      <c r="U37" s="21">
        <v>21.986353300000001</v>
      </c>
      <c r="V37" s="15">
        <v>21.500722</v>
      </c>
      <c r="W37" s="15">
        <v>7.5324369999999998</v>
      </c>
      <c r="X37" s="16">
        <v>-140.74133399999999</v>
      </c>
      <c r="Y37" s="15">
        <v>5.4076719999999998</v>
      </c>
      <c r="AA37" s="1" t="str">
        <f t="shared" si="30"/>
        <v>SE_F-CC90-NGin-H2out</v>
      </c>
      <c r="AB37" s="1" t="str">
        <f t="shared" si="31"/>
        <v>Ethane</v>
      </c>
      <c r="AC37" s="11">
        <f t="shared" si="32"/>
        <v>862.00674836543294</v>
      </c>
      <c r="AD37" s="11">
        <f t="shared" si="33"/>
        <v>862.00674836543283</v>
      </c>
      <c r="AE37" s="5">
        <f t="shared" si="34"/>
        <v>0</v>
      </c>
      <c r="AF37" s="5">
        <f t="shared" si="35"/>
        <v>0</v>
      </c>
      <c r="AG37" s="1">
        <f t="shared" si="36"/>
        <v>-24.118021435171716</v>
      </c>
      <c r="AH37" s="1">
        <f t="shared" si="37"/>
        <v>4.0070895647532101</v>
      </c>
      <c r="AI37" s="1">
        <f t="shared" si="38"/>
        <v>452.54756324196904</v>
      </c>
      <c r="AJ37" s="1">
        <f t="shared" si="39"/>
        <v>18.713190139546182</v>
      </c>
      <c r="AK37" s="1">
        <f t="shared" si="40"/>
        <v>0</v>
      </c>
      <c r="AL37" s="1">
        <f t="shared" si="41"/>
        <v>280.92664042397126</v>
      </c>
      <c r="AM37" s="1">
        <f t="shared" si="42"/>
        <v>153.76063060605685</v>
      </c>
      <c r="AN37" s="1">
        <f t="shared" si="43"/>
        <v>-46.592240065267717</v>
      </c>
      <c r="AO37" s="1">
        <f t="shared" si="44"/>
        <v>1.037787486484165</v>
      </c>
      <c r="AP37" s="1">
        <f t="shared" si="45"/>
        <v>-53.742593780552539</v>
      </c>
      <c r="AQ37" s="1">
        <f t="shared" si="46"/>
        <v>76.504489670128322</v>
      </c>
      <c r="AR37" s="1">
        <f t="shared" si="47"/>
        <v>0.10377874864841526</v>
      </c>
      <c r="AS37" s="1">
        <f t="shared" si="48"/>
        <v>15.111446922563035</v>
      </c>
      <c r="AT37" s="1">
        <f t="shared" si="49"/>
        <v>7.6504489670127409</v>
      </c>
      <c r="AV37" s="9">
        <f t="shared" si="50"/>
        <v>3.1428571428571428</v>
      </c>
      <c r="AW37" s="10">
        <v>0.20320575112912201</v>
      </c>
      <c r="AX37" s="9">
        <v>0.182890835326593</v>
      </c>
      <c r="AZ37" s="10">
        <f t="shared" si="51"/>
        <v>4.1826066494727963</v>
      </c>
      <c r="BA37" s="10">
        <f t="shared" si="52"/>
        <v>0.63289174643857182</v>
      </c>
      <c r="BB37" s="10">
        <f t="shared" si="53"/>
        <v>4.8154983959113684</v>
      </c>
      <c r="BD37" s="10">
        <f t="shared" si="54"/>
        <v>3.1428571428571428</v>
      </c>
      <c r="BE37" s="10">
        <f t="shared" si="55"/>
        <v>0</v>
      </c>
      <c r="BF37" s="10">
        <f t="shared" si="56"/>
        <v>0.10377874864841526</v>
      </c>
      <c r="BG37" s="10">
        <f t="shared" si="57"/>
        <v>0.93400873783574967</v>
      </c>
      <c r="BH37" s="10">
        <f t="shared" si="58"/>
        <v>4.180644629341308</v>
      </c>
      <c r="BJ37" s="1">
        <f t="shared" si="59"/>
        <v>0.63485376657006043</v>
      </c>
    </row>
    <row r="38" spans="2:62" x14ac:dyDescent="0.2">
      <c r="B38" s="13" t="s">
        <v>94</v>
      </c>
      <c r="C38" s="12" t="s">
        <v>60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S38" s="15">
        <v>73.71884</v>
      </c>
      <c r="T38" s="15">
        <v>-16.179127999999999</v>
      </c>
      <c r="U38" s="21">
        <v>21.986353300000001</v>
      </c>
      <c r="V38" s="15">
        <v>21.500722</v>
      </c>
      <c r="W38" s="15">
        <v>7.5324369999999998</v>
      </c>
      <c r="X38" s="16">
        <v>-140.74133399999999</v>
      </c>
      <c r="Y38" s="15">
        <v>5.4076719999999998</v>
      </c>
      <c r="AA38" s="1" t="str">
        <f t="shared" si="30"/>
        <v>MIDAT_F-CC90-NGin-H2out</v>
      </c>
      <c r="AB38" s="1" t="str">
        <f t="shared" si="31"/>
        <v>Ethane</v>
      </c>
      <c r="AC38" s="11">
        <f t="shared" si="32"/>
        <v>862.00674836543294</v>
      </c>
      <c r="AD38" s="11">
        <f t="shared" si="33"/>
        <v>862.00674836543283</v>
      </c>
      <c r="AE38" s="5">
        <f t="shared" si="34"/>
        <v>0</v>
      </c>
      <c r="AF38" s="5">
        <f t="shared" si="35"/>
        <v>0</v>
      </c>
      <c r="AG38" s="1">
        <f t="shared" si="36"/>
        <v>-24.118021435171716</v>
      </c>
      <c r="AH38" s="1">
        <f t="shared" si="37"/>
        <v>4.0070895647532101</v>
      </c>
      <c r="AI38" s="1">
        <f t="shared" si="38"/>
        <v>452.54756324196904</v>
      </c>
      <c r="AJ38" s="1">
        <f t="shared" si="39"/>
        <v>18.713190139546182</v>
      </c>
      <c r="AK38" s="1">
        <f t="shared" si="40"/>
        <v>0</v>
      </c>
      <c r="AL38" s="1">
        <f t="shared" si="41"/>
        <v>280.92664042397126</v>
      </c>
      <c r="AM38" s="1">
        <f t="shared" si="42"/>
        <v>153.76063060605685</v>
      </c>
      <c r="AN38" s="1">
        <f t="shared" si="43"/>
        <v>-46.592240065267717</v>
      </c>
      <c r="AO38" s="1">
        <f t="shared" si="44"/>
        <v>1.037787486484165</v>
      </c>
      <c r="AP38" s="1">
        <f t="shared" si="45"/>
        <v>-53.742593780552539</v>
      </c>
      <c r="AQ38" s="1">
        <f t="shared" si="46"/>
        <v>76.504489670128322</v>
      </c>
      <c r="AR38" s="1">
        <f t="shared" si="47"/>
        <v>0.10377874864841526</v>
      </c>
      <c r="AS38" s="1">
        <f t="shared" si="48"/>
        <v>15.111446922563035</v>
      </c>
      <c r="AT38" s="1">
        <f t="shared" si="49"/>
        <v>7.6504489670127409</v>
      </c>
      <c r="AV38" s="9">
        <f t="shared" si="50"/>
        <v>3.1428571428571428</v>
      </c>
      <c r="AW38" s="10">
        <v>0.20320575112912201</v>
      </c>
      <c r="AX38" s="9">
        <v>0.182890835326593</v>
      </c>
      <c r="AZ38" s="10">
        <f t="shared" si="51"/>
        <v>4.1826066494727963</v>
      </c>
      <c r="BA38" s="10">
        <f t="shared" si="52"/>
        <v>0.63289174643857182</v>
      </c>
      <c r="BB38" s="10">
        <f t="shared" si="53"/>
        <v>4.8154983959113684</v>
      </c>
      <c r="BD38" s="10">
        <f t="shared" si="54"/>
        <v>3.1428571428571428</v>
      </c>
      <c r="BE38" s="10">
        <f t="shared" si="55"/>
        <v>0</v>
      </c>
      <c r="BF38" s="10">
        <f t="shared" si="56"/>
        <v>0.10377874864841526</v>
      </c>
      <c r="BG38" s="10">
        <f t="shared" si="57"/>
        <v>0.93400873783574967</v>
      </c>
      <c r="BH38" s="10">
        <f t="shared" si="58"/>
        <v>4.180644629341308</v>
      </c>
      <c r="BJ38" s="1">
        <f t="shared" si="59"/>
        <v>0.63485376657006043</v>
      </c>
    </row>
    <row r="39" spans="2:62" x14ac:dyDescent="0.2">
      <c r="B39" s="13" t="s">
        <v>95</v>
      </c>
      <c r="C39" s="12" t="s">
        <v>60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S39" s="15">
        <v>73.71884</v>
      </c>
      <c r="T39" s="15">
        <v>-16.179127999999999</v>
      </c>
      <c r="U39" s="21">
        <v>21.986353300000001</v>
      </c>
      <c r="V39" s="15">
        <v>21.500722</v>
      </c>
      <c r="W39" s="15">
        <v>7.5324369999999998</v>
      </c>
      <c r="X39" s="16">
        <v>-140.74133399999999</v>
      </c>
      <c r="Y39" s="15">
        <v>5.4076719999999998</v>
      </c>
      <c r="AA39" s="1" t="str">
        <f t="shared" si="30"/>
        <v>NE_F-CC90-NGin-H2out</v>
      </c>
      <c r="AB39" s="1" t="str">
        <f t="shared" si="31"/>
        <v>Ethane</v>
      </c>
      <c r="AC39" s="11">
        <f t="shared" si="32"/>
        <v>862.00674836543294</v>
      </c>
      <c r="AD39" s="11">
        <f t="shared" si="33"/>
        <v>862.00674836543283</v>
      </c>
      <c r="AE39" s="5">
        <f t="shared" si="34"/>
        <v>0</v>
      </c>
      <c r="AF39" s="5">
        <f t="shared" si="35"/>
        <v>0</v>
      </c>
      <c r="AG39" s="1">
        <f t="shared" si="36"/>
        <v>-24.118021435171716</v>
      </c>
      <c r="AH39" s="1">
        <f t="shared" si="37"/>
        <v>4.0070895647532101</v>
      </c>
      <c r="AI39" s="1">
        <f t="shared" si="38"/>
        <v>452.54756324196904</v>
      </c>
      <c r="AJ39" s="1">
        <f t="shared" si="39"/>
        <v>18.713190139546182</v>
      </c>
      <c r="AK39" s="1">
        <f t="shared" si="40"/>
        <v>0</v>
      </c>
      <c r="AL39" s="1">
        <f t="shared" si="41"/>
        <v>280.92664042397126</v>
      </c>
      <c r="AM39" s="1">
        <f t="shared" si="42"/>
        <v>153.76063060605685</v>
      </c>
      <c r="AN39" s="1">
        <f t="shared" si="43"/>
        <v>-46.592240065267717</v>
      </c>
      <c r="AO39" s="1">
        <f t="shared" si="44"/>
        <v>1.037787486484165</v>
      </c>
      <c r="AP39" s="1">
        <f t="shared" si="45"/>
        <v>-53.742593780552539</v>
      </c>
      <c r="AQ39" s="1">
        <f t="shared" si="46"/>
        <v>76.504489670128322</v>
      </c>
      <c r="AR39" s="1">
        <f t="shared" si="47"/>
        <v>0.10377874864841526</v>
      </c>
      <c r="AS39" s="1">
        <f t="shared" si="48"/>
        <v>15.111446922563035</v>
      </c>
      <c r="AT39" s="1">
        <f t="shared" si="49"/>
        <v>7.6504489670127409</v>
      </c>
      <c r="AV39" s="9">
        <f t="shared" si="50"/>
        <v>3.1428571428571428</v>
      </c>
      <c r="AW39" s="10">
        <v>0.20320575112912201</v>
      </c>
      <c r="AX39" s="9">
        <v>0.182890835326593</v>
      </c>
      <c r="AZ39" s="10">
        <f t="shared" si="51"/>
        <v>4.1826066494727963</v>
      </c>
      <c r="BA39" s="10">
        <f t="shared" si="52"/>
        <v>0.63289174643857182</v>
      </c>
      <c r="BB39" s="10">
        <f t="shared" si="53"/>
        <v>4.8154983959113684</v>
      </c>
      <c r="BD39" s="10">
        <f t="shared" si="54"/>
        <v>3.1428571428571428</v>
      </c>
      <c r="BE39" s="10">
        <f t="shared" si="55"/>
        <v>0</v>
      </c>
      <c r="BF39" s="10">
        <f t="shared" si="56"/>
        <v>0.10377874864841526</v>
      </c>
      <c r="BG39" s="10">
        <f t="shared" si="57"/>
        <v>0.93400873783574967</v>
      </c>
      <c r="BH39" s="10">
        <f t="shared" si="58"/>
        <v>4.180644629341308</v>
      </c>
      <c r="BJ39" s="1">
        <f t="shared" si="59"/>
        <v>0.63485376657006043</v>
      </c>
    </row>
    <row r="40" spans="2:62" x14ac:dyDescent="0.2">
      <c r="B40" s="13" t="s">
        <v>96</v>
      </c>
      <c r="C40" s="12" t="s">
        <v>60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S40" s="15">
        <v>73.71884</v>
      </c>
      <c r="T40" s="15">
        <v>-16.179127999999999</v>
      </c>
      <c r="U40" s="21">
        <v>21.986353300000001</v>
      </c>
      <c r="V40" s="15">
        <v>21.500722</v>
      </c>
      <c r="W40" s="15">
        <v>7.5324369999999998</v>
      </c>
      <c r="X40" s="16">
        <v>-140.74133399999999</v>
      </c>
      <c r="Y40" s="15">
        <v>5.4076719999999998</v>
      </c>
      <c r="AA40" s="1" t="str">
        <f t="shared" si="30"/>
        <v>CA_F-H2in</v>
      </c>
      <c r="AB40" s="1" t="str">
        <f t="shared" si="31"/>
        <v>Ethane</v>
      </c>
      <c r="AC40" s="11">
        <f t="shared" si="32"/>
        <v>801.37120471067794</v>
      </c>
      <c r="AD40" s="11">
        <f t="shared" si="33"/>
        <v>801.37120471067794</v>
      </c>
      <c r="AE40" s="5">
        <f t="shared" si="34"/>
        <v>0</v>
      </c>
      <c r="AF40" s="5">
        <f t="shared" si="35"/>
        <v>1.8778639866453066</v>
      </c>
      <c r="AG40" s="1">
        <f t="shared" si="36"/>
        <v>0</v>
      </c>
      <c r="AH40" s="1">
        <f t="shared" si="37"/>
        <v>0</v>
      </c>
      <c r="AI40" s="1">
        <f t="shared" si="38"/>
        <v>452.54756324196904</v>
      </c>
      <c r="AJ40" s="1">
        <f t="shared" si="39"/>
        <v>0</v>
      </c>
      <c r="AK40" s="1">
        <f t="shared" si="40"/>
        <v>0</v>
      </c>
      <c r="AL40" s="1">
        <f t="shared" si="41"/>
        <v>236.76830652142303</v>
      </c>
      <c r="AM40" s="1">
        <f t="shared" si="42"/>
        <v>129.58629749253777</v>
      </c>
      <c r="AN40" s="1">
        <f t="shared" si="43"/>
        <v>-49.257270809000964</v>
      </c>
      <c r="AO40" s="1">
        <f t="shared" si="44"/>
        <v>0.40489574004560669</v>
      </c>
      <c r="AP40" s="1">
        <f t="shared" si="45"/>
        <v>0</v>
      </c>
      <c r="AQ40" s="1">
        <f t="shared" si="46"/>
        <v>29.848444277103674</v>
      </c>
      <c r="AR40" s="1">
        <f t="shared" si="47"/>
        <v>0.40489574004560669</v>
      </c>
      <c r="AS40" s="1">
        <f t="shared" si="48"/>
        <v>0</v>
      </c>
      <c r="AT40" s="1">
        <f t="shared" si="49"/>
        <v>29.848444277103674</v>
      </c>
      <c r="AV40" s="9">
        <f t="shared" si="50"/>
        <v>3.1428571428571428</v>
      </c>
      <c r="AW40" s="10">
        <v>0.20320575112912201</v>
      </c>
      <c r="AX40" s="9">
        <v>0.182890835326593</v>
      </c>
      <c r="AZ40" s="10">
        <f t="shared" si="51"/>
        <v>4.1826066494727963</v>
      </c>
      <c r="BA40" s="10">
        <f t="shared" si="52"/>
        <v>0</v>
      </c>
      <c r="BB40" s="10">
        <f t="shared" si="53"/>
        <v>4.1826066494727963</v>
      </c>
      <c r="BD40" s="10">
        <f t="shared" si="54"/>
        <v>3.1428571428571428</v>
      </c>
      <c r="BE40" s="10">
        <f t="shared" si="55"/>
        <v>0</v>
      </c>
      <c r="BF40" s="10">
        <f t="shared" si="56"/>
        <v>0.40489574004560669</v>
      </c>
      <c r="BG40" s="10">
        <f t="shared" si="57"/>
        <v>0</v>
      </c>
      <c r="BH40" s="10">
        <f t="shared" si="58"/>
        <v>3.5477528829027496</v>
      </c>
      <c r="BJ40" s="1">
        <f t="shared" si="59"/>
        <v>0.63485376657004666</v>
      </c>
    </row>
    <row r="41" spans="2:62" x14ac:dyDescent="0.2">
      <c r="B41" s="13" t="s">
        <v>97</v>
      </c>
      <c r="C41" s="12" t="s">
        <v>60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S41" s="15">
        <v>73.71884</v>
      </c>
      <c r="T41" s="15">
        <v>-23.276809</v>
      </c>
      <c r="U41" s="21">
        <v>21.986353300000001</v>
      </c>
      <c r="V41" s="15">
        <v>20.789991000000001</v>
      </c>
      <c r="W41" s="15">
        <v>9.1959800000000005</v>
      </c>
      <c r="X41" s="16">
        <v>-150.75578899999999</v>
      </c>
      <c r="Y41" s="15">
        <v>8.9604540000000004</v>
      </c>
      <c r="AA41" s="1" t="str">
        <f t="shared" si="30"/>
        <v>NW_F-H2in</v>
      </c>
      <c r="AB41" s="1" t="str">
        <f t="shared" si="31"/>
        <v>Ethane</v>
      </c>
      <c r="AC41" s="11">
        <f t="shared" si="32"/>
        <v>801.78593204127958</v>
      </c>
      <c r="AD41" s="11">
        <f t="shared" si="33"/>
        <v>801.78593204127958</v>
      </c>
      <c r="AE41" s="5">
        <f t="shared" si="34"/>
        <v>0</v>
      </c>
      <c r="AF41" s="5">
        <f t="shared" si="35"/>
        <v>2.2925913172470622</v>
      </c>
      <c r="AG41" s="1">
        <f t="shared" si="36"/>
        <v>0</v>
      </c>
      <c r="AH41" s="1">
        <f t="shared" si="37"/>
        <v>0</v>
      </c>
      <c r="AI41" s="1">
        <f t="shared" si="38"/>
        <v>452.54756324196904</v>
      </c>
      <c r="AJ41" s="1">
        <f t="shared" si="39"/>
        <v>0</v>
      </c>
      <c r="AK41" s="1">
        <f t="shared" si="40"/>
        <v>0</v>
      </c>
      <c r="AL41" s="1">
        <f t="shared" si="41"/>
        <v>236.76830652142303</v>
      </c>
      <c r="AM41" s="1">
        <f t="shared" si="42"/>
        <v>129.58629749253777</v>
      </c>
      <c r="AN41" s="1">
        <f t="shared" si="43"/>
        <v>-49.257270809000964</v>
      </c>
      <c r="AO41" s="1">
        <f t="shared" si="44"/>
        <v>0.40489574004560669</v>
      </c>
      <c r="AP41" s="1">
        <f t="shared" si="45"/>
        <v>0</v>
      </c>
      <c r="AQ41" s="1">
        <f t="shared" si="46"/>
        <v>29.848444277103674</v>
      </c>
      <c r="AR41" s="1">
        <f t="shared" si="47"/>
        <v>0.40489574004560669</v>
      </c>
      <c r="AS41" s="1">
        <f t="shared" si="48"/>
        <v>0</v>
      </c>
      <c r="AT41" s="1">
        <f t="shared" si="49"/>
        <v>29.848444277103674</v>
      </c>
      <c r="AV41" s="9">
        <f t="shared" si="50"/>
        <v>3.1428571428571428</v>
      </c>
      <c r="AW41" s="10">
        <v>0.20320575112912201</v>
      </c>
      <c r="AX41" s="9">
        <v>0.182890835326593</v>
      </c>
      <c r="AZ41" s="10">
        <f t="shared" si="51"/>
        <v>4.1826066494727963</v>
      </c>
      <c r="BA41" s="10">
        <f t="shared" si="52"/>
        <v>0</v>
      </c>
      <c r="BB41" s="10">
        <f t="shared" si="53"/>
        <v>4.1826066494727963</v>
      </c>
      <c r="BD41" s="10">
        <f t="shared" si="54"/>
        <v>3.1428571428571428</v>
      </c>
      <c r="BE41" s="10">
        <f t="shared" si="55"/>
        <v>0</v>
      </c>
      <c r="BF41" s="10">
        <f t="shared" si="56"/>
        <v>0.40489574004560669</v>
      </c>
      <c r="BG41" s="10">
        <f t="shared" si="57"/>
        <v>0</v>
      </c>
      <c r="BH41" s="10">
        <f t="shared" si="58"/>
        <v>3.5477528829027496</v>
      </c>
      <c r="BJ41" s="1">
        <f t="shared" si="59"/>
        <v>0.63485376657004666</v>
      </c>
    </row>
    <row r="42" spans="2:62" x14ac:dyDescent="0.2">
      <c r="B42" s="13" t="s">
        <v>98</v>
      </c>
      <c r="C42" s="12" t="s">
        <v>60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S42" s="15">
        <v>73.71884</v>
      </c>
      <c r="T42" s="15">
        <v>-23.276809</v>
      </c>
      <c r="U42" s="21">
        <v>21.986353300000001</v>
      </c>
      <c r="V42" s="15">
        <v>20.789991000000001</v>
      </c>
      <c r="W42" s="15">
        <v>9.1959800000000005</v>
      </c>
      <c r="X42" s="16">
        <v>-150.75578899999999</v>
      </c>
      <c r="Y42" s="15">
        <v>8.9604540000000004</v>
      </c>
      <c r="AA42" s="1" t="str">
        <f t="shared" si="30"/>
        <v>SW_F-H2in</v>
      </c>
      <c r="AB42" s="1" t="str">
        <f t="shared" si="31"/>
        <v>Ethane</v>
      </c>
      <c r="AC42" s="11">
        <f t="shared" si="32"/>
        <v>801.78593204127958</v>
      </c>
      <c r="AD42" s="11">
        <f t="shared" si="33"/>
        <v>801.78593204127958</v>
      </c>
      <c r="AE42" s="5">
        <f t="shared" si="34"/>
        <v>0</v>
      </c>
      <c r="AF42" s="5">
        <f t="shared" si="35"/>
        <v>2.2925913172470622</v>
      </c>
      <c r="AG42" s="1">
        <f t="shared" si="36"/>
        <v>0</v>
      </c>
      <c r="AH42" s="1">
        <f t="shared" si="37"/>
        <v>0</v>
      </c>
      <c r="AI42" s="1">
        <f t="shared" si="38"/>
        <v>452.54756324196904</v>
      </c>
      <c r="AJ42" s="1">
        <f t="shared" si="39"/>
        <v>0</v>
      </c>
      <c r="AK42" s="1">
        <f t="shared" si="40"/>
        <v>0</v>
      </c>
      <c r="AL42" s="1">
        <f t="shared" si="41"/>
        <v>236.76830652142303</v>
      </c>
      <c r="AM42" s="1">
        <f t="shared" si="42"/>
        <v>129.58629749253777</v>
      </c>
      <c r="AN42" s="1">
        <f t="shared" si="43"/>
        <v>-49.257270809000964</v>
      </c>
      <c r="AO42" s="1">
        <f t="shared" si="44"/>
        <v>0.40489574004560669</v>
      </c>
      <c r="AP42" s="1">
        <f t="shared" si="45"/>
        <v>0</v>
      </c>
      <c r="AQ42" s="1">
        <f t="shared" si="46"/>
        <v>29.848444277103674</v>
      </c>
      <c r="AR42" s="1">
        <f t="shared" si="47"/>
        <v>0.40489574004560669</v>
      </c>
      <c r="AS42" s="1">
        <f t="shared" si="48"/>
        <v>0</v>
      </c>
      <c r="AT42" s="1">
        <f t="shared" si="49"/>
        <v>29.848444277103674</v>
      </c>
      <c r="AV42" s="9">
        <f t="shared" si="50"/>
        <v>3.1428571428571428</v>
      </c>
      <c r="AW42" s="10">
        <v>0.20320575112912201</v>
      </c>
      <c r="AX42" s="9">
        <v>0.182890835326593</v>
      </c>
      <c r="AZ42" s="10">
        <f t="shared" si="51"/>
        <v>4.1826066494727963</v>
      </c>
      <c r="BA42" s="10">
        <f t="shared" si="52"/>
        <v>0</v>
      </c>
      <c r="BB42" s="10">
        <f t="shared" si="53"/>
        <v>4.1826066494727963</v>
      </c>
      <c r="BD42" s="10">
        <f t="shared" si="54"/>
        <v>3.1428571428571428</v>
      </c>
      <c r="BE42" s="10">
        <f t="shared" si="55"/>
        <v>0</v>
      </c>
      <c r="BF42" s="10">
        <f t="shared" si="56"/>
        <v>0.40489574004560669</v>
      </c>
      <c r="BG42" s="10">
        <f t="shared" si="57"/>
        <v>0</v>
      </c>
      <c r="BH42" s="10">
        <f t="shared" si="58"/>
        <v>3.5477528829027496</v>
      </c>
      <c r="BJ42" s="1">
        <f t="shared" si="59"/>
        <v>0.63485376657004666</v>
      </c>
    </row>
    <row r="43" spans="2:62" x14ac:dyDescent="0.2">
      <c r="B43" s="13" t="s">
        <v>99</v>
      </c>
      <c r="C43" s="12" t="s">
        <v>60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S43" s="15">
        <v>73.71884</v>
      </c>
      <c r="T43" s="15">
        <v>-23.276809</v>
      </c>
      <c r="U43" s="21">
        <v>21.986353300000001</v>
      </c>
      <c r="V43" s="15">
        <v>20.789991000000001</v>
      </c>
      <c r="W43" s="15">
        <v>9.1959800000000005</v>
      </c>
      <c r="X43" s="16">
        <v>-150.75578899999999</v>
      </c>
      <c r="Y43" s="15">
        <v>8.9604540000000004</v>
      </c>
      <c r="AA43" s="1" t="str">
        <f t="shared" si="30"/>
        <v>TX_F-H2in</v>
      </c>
      <c r="AB43" s="1" t="str">
        <f t="shared" si="31"/>
        <v>Ethane</v>
      </c>
      <c r="AC43" s="11">
        <f t="shared" si="32"/>
        <v>801.78593204127958</v>
      </c>
      <c r="AD43" s="11">
        <f t="shared" si="33"/>
        <v>801.78593204127958</v>
      </c>
      <c r="AE43" s="5">
        <f t="shared" si="34"/>
        <v>0</v>
      </c>
      <c r="AF43" s="5">
        <f t="shared" si="35"/>
        <v>2.2925913172470622</v>
      </c>
      <c r="AG43" s="1">
        <f t="shared" si="36"/>
        <v>0</v>
      </c>
      <c r="AH43" s="1">
        <f t="shared" si="37"/>
        <v>0</v>
      </c>
      <c r="AI43" s="1">
        <f t="shared" si="38"/>
        <v>452.54756324196904</v>
      </c>
      <c r="AJ43" s="1">
        <f t="shared" si="39"/>
        <v>0</v>
      </c>
      <c r="AK43" s="1">
        <f t="shared" si="40"/>
        <v>0</v>
      </c>
      <c r="AL43" s="1">
        <f t="shared" si="41"/>
        <v>236.76830652142303</v>
      </c>
      <c r="AM43" s="1">
        <f t="shared" si="42"/>
        <v>129.58629749253777</v>
      </c>
      <c r="AN43" s="1">
        <f t="shared" si="43"/>
        <v>-49.257270809000964</v>
      </c>
      <c r="AO43" s="1">
        <f t="shared" si="44"/>
        <v>0.40489574004560669</v>
      </c>
      <c r="AP43" s="1">
        <f t="shared" si="45"/>
        <v>0</v>
      </c>
      <c r="AQ43" s="1">
        <f t="shared" si="46"/>
        <v>29.848444277103674</v>
      </c>
      <c r="AR43" s="1">
        <f t="shared" si="47"/>
        <v>0.40489574004560669</v>
      </c>
      <c r="AS43" s="1">
        <f t="shared" si="48"/>
        <v>0</v>
      </c>
      <c r="AT43" s="1">
        <f t="shared" si="49"/>
        <v>29.848444277103674</v>
      </c>
      <c r="AV43" s="9">
        <f t="shared" si="50"/>
        <v>3.1428571428571428</v>
      </c>
      <c r="AW43" s="10">
        <v>0.20320575112912201</v>
      </c>
      <c r="AX43" s="9">
        <v>0.182890835326593</v>
      </c>
      <c r="AZ43" s="10">
        <f t="shared" si="51"/>
        <v>4.1826066494727963</v>
      </c>
      <c r="BA43" s="10">
        <f t="shared" si="52"/>
        <v>0</v>
      </c>
      <c r="BB43" s="10">
        <f t="shared" si="53"/>
        <v>4.1826066494727963</v>
      </c>
      <c r="BD43" s="10">
        <f t="shared" si="54"/>
        <v>3.1428571428571428</v>
      </c>
      <c r="BE43" s="10">
        <f t="shared" si="55"/>
        <v>0</v>
      </c>
      <c r="BF43" s="10">
        <f t="shared" si="56"/>
        <v>0.40489574004560669</v>
      </c>
      <c r="BG43" s="10">
        <f t="shared" si="57"/>
        <v>0</v>
      </c>
      <c r="BH43" s="10">
        <f t="shared" si="58"/>
        <v>3.5477528829027496</v>
      </c>
      <c r="BJ43" s="1">
        <f t="shared" si="59"/>
        <v>0.63485376657004666</v>
      </c>
    </row>
    <row r="44" spans="2:62" x14ac:dyDescent="0.2">
      <c r="B44" s="13" t="s">
        <v>100</v>
      </c>
      <c r="C44" s="12" t="s">
        <v>60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S44" s="15">
        <v>73.71884</v>
      </c>
      <c r="T44" s="15">
        <v>-23.276809</v>
      </c>
      <c r="U44" s="21">
        <v>21.986353300000001</v>
      </c>
      <c r="V44" s="15">
        <v>20.789991000000001</v>
      </c>
      <c r="W44" s="15">
        <v>9.1959800000000005</v>
      </c>
      <c r="X44" s="16">
        <v>-150.75578899999999</v>
      </c>
      <c r="Y44" s="15">
        <v>8.9604540000000004</v>
      </c>
      <c r="AA44" s="1" t="str">
        <f t="shared" si="30"/>
        <v>NCEN_F-H2in</v>
      </c>
      <c r="AB44" s="1" t="str">
        <f t="shared" si="31"/>
        <v>Ethane</v>
      </c>
      <c r="AC44" s="11">
        <f t="shared" si="32"/>
        <v>801.78593204127958</v>
      </c>
      <c r="AD44" s="11">
        <f t="shared" si="33"/>
        <v>801.78593204127958</v>
      </c>
      <c r="AE44" s="5">
        <f t="shared" si="34"/>
        <v>0</v>
      </c>
      <c r="AF44" s="5">
        <f t="shared" si="35"/>
        <v>2.2925913172470622</v>
      </c>
      <c r="AG44" s="1">
        <f t="shared" si="36"/>
        <v>0</v>
      </c>
      <c r="AH44" s="1">
        <f t="shared" si="37"/>
        <v>0</v>
      </c>
      <c r="AI44" s="1">
        <f t="shared" si="38"/>
        <v>452.54756324196904</v>
      </c>
      <c r="AJ44" s="1">
        <f t="shared" si="39"/>
        <v>0</v>
      </c>
      <c r="AK44" s="1">
        <f t="shared" si="40"/>
        <v>0</v>
      </c>
      <c r="AL44" s="1">
        <f t="shared" si="41"/>
        <v>236.76830652142303</v>
      </c>
      <c r="AM44" s="1">
        <f t="shared" si="42"/>
        <v>129.58629749253777</v>
      </c>
      <c r="AN44" s="1">
        <f t="shared" si="43"/>
        <v>-49.257270809000964</v>
      </c>
      <c r="AO44" s="1">
        <f t="shared" si="44"/>
        <v>0.40489574004560669</v>
      </c>
      <c r="AP44" s="1">
        <f t="shared" si="45"/>
        <v>0</v>
      </c>
      <c r="AQ44" s="1">
        <f t="shared" si="46"/>
        <v>29.848444277103674</v>
      </c>
      <c r="AR44" s="1">
        <f t="shared" si="47"/>
        <v>0.40489574004560669</v>
      </c>
      <c r="AS44" s="1">
        <f t="shared" si="48"/>
        <v>0</v>
      </c>
      <c r="AT44" s="1">
        <f t="shared" si="49"/>
        <v>29.848444277103674</v>
      </c>
      <c r="AV44" s="9">
        <f t="shared" si="50"/>
        <v>3.1428571428571428</v>
      </c>
      <c r="AW44" s="10">
        <v>0.20320575112912201</v>
      </c>
      <c r="AX44" s="9">
        <v>0.182890835326593</v>
      </c>
      <c r="AZ44" s="10">
        <f t="shared" si="51"/>
        <v>4.1826066494727963</v>
      </c>
      <c r="BA44" s="10">
        <f t="shared" si="52"/>
        <v>0</v>
      </c>
      <c r="BB44" s="10">
        <f t="shared" si="53"/>
        <v>4.1826066494727963</v>
      </c>
      <c r="BD44" s="10">
        <f t="shared" si="54"/>
        <v>3.1428571428571428</v>
      </c>
      <c r="BE44" s="10">
        <f t="shared" si="55"/>
        <v>0</v>
      </c>
      <c r="BF44" s="10">
        <f t="shared" si="56"/>
        <v>0.40489574004560669</v>
      </c>
      <c r="BG44" s="10">
        <f t="shared" si="57"/>
        <v>0</v>
      </c>
      <c r="BH44" s="10">
        <f t="shared" si="58"/>
        <v>3.5477528829027496</v>
      </c>
      <c r="BJ44" s="1">
        <f t="shared" si="59"/>
        <v>0.63485376657004666</v>
      </c>
    </row>
    <row r="45" spans="2:62" x14ac:dyDescent="0.2">
      <c r="B45" s="13" t="s">
        <v>101</v>
      </c>
      <c r="C45" s="12" t="s">
        <v>60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S45" s="15">
        <v>73.71884</v>
      </c>
      <c r="T45" s="15">
        <v>-23.276809</v>
      </c>
      <c r="U45" s="21">
        <v>21.986353300000001</v>
      </c>
      <c r="V45" s="15">
        <v>20.789991000000001</v>
      </c>
      <c r="W45" s="15">
        <v>9.1959800000000005</v>
      </c>
      <c r="X45" s="16">
        <v>-150.75578899999999</v>
      </c>
      <c r="Y45" s="15">
        <v>8.9604540000000004</v>
      </c>
      <c r="AA45" s="1" t="str">
        <f t="shared" si="30"/>
        <v>CEN_F-H2in</v>
      </c>
      <c r="AB45" s="1" t="str">
        <f t="shared" si="31"/>
        <v>Ethane</v>
      </c>
      <c r="AC45" s="11">
        <f t="shared" si="32"/>
        <v>801.78593204127958</v>
      </c>
      <c r="AD45" s="11">
        <f t="shared" si="33"/>
        <v>801.78593204127958</v>
      </c>
      <c r="AE45" s="5">
        <f t="shared" si="34"/>
        <v>0</v>
      </c>
      <c r="AF45" s="5">
        <f t="shared" si="35"/>
        <v>2.2925913172470622</v>
      </c>
      <c r="AG45" s="1">
        <f t="shared" si="36"/>
        <v>0</v>
      </c>
      <c r="AH45" s="1">
        <f t="shared" si="37"/>
        <v>0</v>
      </c>
      <c r="AI45" s="1">
        <f t="shared" si="38"/>
        <v>452.54756324196904</v>
      </c>
      <c r="AJ45" s="1">
        <f t="shared" si="39"/>
        <v>0</v>
      </c>
      <c r="AK45" s="1">
        <f t="shared" si="40"/>
        <v>0</v>
      </c>
      <c r="AL45" s="1">
        <f t="shared" si="41"/>
        <v>236.76830652142303</v>
      </c>
      <c r="AM45" s="1">
        <f t="shared" si="42"/>
        <v>129.58629749253777</v>
      </c>
      <c r="AN45" s="1">
        <f t="shared" si="43"/>
        <v>-49.257270809000964</v>
      </c>
      <c r="AO45" s="1">
        <f t="shared" si="44"/>
        <v>0.40489574004560669</v>
      </c>
      <c r="AP45" s="1">
        <f t="shared" si="45"/>
        <v>0</v>
      </c>
      <c r="AQ45" s="1">
        <f t="shared" si="46"/>
        <v>29.848444277103674</v>
      </c>
      <c r="AR45" s="1">
        <f t="shared" si="47"/>
        <v>0.40489574004560669</v>
      </c>
      <c r="AS45" s="1">
        <f t="shared" si="48"/>
        <v>0</v>
      </c>
      <c r="AT45" s="1">
        <f t="shared" si="49"/>
        <v>29.848444277103674</v>
      </c>
      <c r="AV45" s="9">
        <f t="shared" si="50"/>
        <v>3.1428571428571428</v>
      </c>
      <c r="AW45" s="10">
        <v>0.20320575112912201</v>
      </c>
      <c r="AX45" s="9">
        <v>0.182890835326593</v>
      </c>
      <c r="AZ45" s="10">
        <f t="shared" si="51"/>
        <v>4.1826066494727963</v>
      </c>
      <c r="BA45" s="10">
        <f t="shared" si="52"/>
        <v>0</v>
      </c>
      <c r="BB45" s="10">
        <f t="shared" si="53"/>
        <v>4.1826066494727963</v>
      </c>
      <c r="BD45" s="10">
        <f t="shared" si="54"/>
        <v>3.1428571428571428</v>
      </c>
      <c r="BE45" s="10">
        <f t="shared" si="55"/>
        <v>0</v>
      </c>
      <c r="BF45" s="10">
        <f t="shared" si="56"/>
        <v>0.40489574004560669</v>
      </c>
      <c r="BG45" s="10">
        <f t="shared" si="57"/>
        <v>0</v>
      </c>
      <c r="BH45" s="10">
        <f t="shared" si="58"/>
        <v>3.5477528829027496</v>
      </c>
      <c r="BJ45" s="1">
        <f t="shared" si="59"/>
        <v>0.63485376657004666</v>
      </c>
    </row>
    <row r="46" spans="2:62" x14ac:dyDescent="0.2">
      <c r="B46" s="13" t="s">
        <v>102</v>
      </c>
      <c r="C46" s="12" t="s">
        <v>60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S46" s="15">
        <v>73.71884</v>
      </c>
      <c r="T46" s="15">
        <v>-4.302149</v>
      </c>
      <c r="U46" s="21">
        <v>21.986353300000001</v>
      </c>
      <c r="V46" s="15">
        <v>21.021514</v>
      </c>
      <c r="W46" s="15">
        <v>9.0440679999999993</v>
      </c>
      <c r="X46" s="16">
        <v>-126.225199</v>
      </c>
      <c r="Y46" s="15">
        <v>10.321106</v>
      </c>
      <c r="AA46" s="1" t="str">
        <f t="shared" si="30"/>
        <v>SE_F-H2in</v>
      </c>
      <c r="AB46" s="1" t="str">
        <f t="shared" si="31"/>
        <v>Ethane</v>
      </c>
      <c r="AC46" s="11">
        <f t="shared" si="32"/>
        <v>801.74805982622649</v>
      </c>
      <c r="AD46" s="11">
        <f t="shared" si="33"/>
        <v>801.74805982622649</v>
      </c>
      <c r="AE46" s="5">
        <f t="shared" si="34"/>
        <v>0</v>
      </c>
      <c r="AF46" s="5">
        <f t="shared" si="35"/>
        <v>2.2547191021937847</v>
      </c>
      <c r="AG46" s="1">
        <f t="shared" si="36"/>
        <v>0</v>
      </c>
      <c r="AH46" s="1">
        <f t="shared" si="37"/>
        <v>0</v>
      </c>
      <c r="AI46" s="1">
        <f t="shared" si="38"/>
        <v>452.54756324196904</v>
      </c>
      <c r="AJ46" s="1">
        <f t="shared" si="39"/>
        <v>0</v>
      </c>
      <c r="AK46" s="1">
        <f t="shared" si="40"/>
        <v>0</v>
      </c>
      <c r="AL46" s="1">
        <f t="shared" si="41"/>
        <v>236.76830652142303</v>
      </c>
      <c r="AM46" s="1">
        <f t="shared" si="42"/>
        <v>129.58629749253777</v>
      </c>
      <c r="AN46" s="1">
        <f t="shared" si="43"/>
        <v>-49.257270809000964</v>
      </c>
      <c r="AO46" s="1">
        <f t="shared" si="44"/>
        <v>0.40489574004560669</v>
      </c>
      <c r="AP46" s="1">
        <f t="shared" si="45"/>
        <v>0</v>
      </c>
      <c r="AQ46" s="1">
        <f t="shared" si="46"/>
        <v>29.848444277103674</v>
      </c>
      <c r="AR46" s="1">
        <f t="shared" si="47"/>
        <v>0.40489574004560669</v>
      </c>
      <c r="AS46" s="1">
        <f t="shared" si="48"/>
        <v>0</v>
      </c>
      <c r="AT46" s="1">
        <f t="shared" si="49"/>
        <v>29.848444277103674</v>
      </c>
      <c r="AV46" s="9">
        <f t="shared" si="50"/>
        <v>3.1428571428571428</v>
      </c>
      <c r="AW46" s="10">
        <v>0.20320575112912201</v>
      </c>
      <c r="AX46" s="9">
        <v>0.182890835326593</v>
      </c>
      <c r="AZ46" s="10">
        <f t="shared" si="51"/>
        <v>4.1826066494727963</v>
      </c>
      <c r="BA46" s="10">
        <f t="shared" si="52"/>
        <v>0</v>
      </c>
      <c r="BB46" s="10">
        <f t="shared" si="53"/>
        <v>4.1826066494727963</v>
      </c>
      <c r="BD46" s="10">
        <f t="shared" si="54"/>
        <v>3.1428571428571428</v>
      </c>
      <c r="BE46" s="10">
        <f t="shared" si="55"/>
        <v>0</v>
      </c>
      <c r="BF46" s="10">
        <f t="shared" si="56"/>
        <v>0.40489574004560669</v>
      </c>
      <c r="BG46" s="10">
        <f t="shared" si="57"/>
        <v>0</v>
      </c>
      <c r="BH46" s="10">
        <f t="shared" si="58"/>
        <v>3.5477528829027496</v>
      </c>
      <c r="BJ46" s="1">
        <f t="shared" si="59"/>
        <v>0.63485376657004666</v>
      </c>
    </row>
    <row r="47" spans="2:62" x14ac:dyDescent="0.2">
      <c r="B47" s="13" t="s">
        <v>103</v>
      </c>
      <c r="C47" s="12" t="s">
        <v>60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S47" s="15">
        <v>73.71884</v>
      </c>
      <c r="T47" s="15">
        <v>-5.0000840000000002</v>
      </c>
      <c r="U47" s="21">
        <v>21.986353300000001</v>
      </c>
      <c r="V47" s="15">
        <v>21.357776999999999</v>
      </c>
      <c r="W47" s="15">
        <v>7.5483099999999999</v>
      </c>
      <c r="X47" s="16">
        <v>-126.782873</v>
      </c>
      <c r="Y47" s="15">
        <v>8.6017200000000003</v>
      </c>
      <c r="AA47" s="1" t="str">
        <f t="shared" si="30"/>
        <v>MIDAT_F-H2in</v>
      </c>
      <c r="AB47" s="1" t="str">
        <f t="shared" si="31"/>
        <v>Ethane</v>
      </c>
      <c r="AC47" s="11">
        <f t="shared" si="32"/>
        <v>801.37516190740723</v>
      </c>
      <c r="AD47" s="11">
        <f t="shared" si="33"/>
        <v>801.37516190740723</v>
      </c>
      <c r="AE47" s="5">
        <f t="shared" si="34"/>
        <v>0</v>
      </c>
      <c r="AF47" s="5">
        <f t="shared" si="35"/>
        <v>1.8818211833746017</v>
      </c>
      <c r="AG47" s="1">
        <f t="shared" si="36"/>
        <v>0</v>
      </c>
      <c r="AH47" s="1">
        <f t="shared" si="37"/>
        <v>0</v>
      </c>
      <c r="AI47" s="1">
        <f t="shared" si="38"/>
        <v>452.54756324196904</v>
      </c>
      <c r="AJ47" s="1">
        <f t="shared" si="39"/>
        <v>0</v>
      </c>
      <c r="AK47" s="1">
        <f t="shared" si="40"/>
        <v>0</v>
      </c>
      <c r="AL47" s="1">
        <f t="shared" si="41"/>
        <v>236.76830652142303</v>
      </c>
      <c r="AM47" s="1">
        <f t="shared" si="42"/>
        <v>129.58629749253777</v>
      </c>
      <c r="AN47" s="1">
        <f t="shared" si="43"/>
        <v>-49.257270809000964</v>
      </c>
      <c r="AO47" s="1">
        <f t="shared" si="44"/>
        <v>0.40489574004560669</v>
      </c>
      <c r="AP47" s="1">
        <f t="shared" si="45"/>
        <v>0</v>
      </c>
      <c r="AQ47" s="1">
        <f t="shared" si="46"/>
        <v>29.848444277103674</v>
      </c>
      <c r="AR47" s="1">
        <f t="shared" si="47"/>
        <v>0.40489574004560669</v>
      </c>
      <c r="AS47" s="1">
        <f t="shared" si="48"/>
        <v>0</v>
      </c>
      <c r="AT47" s="1">
        <f t="shared" si="49"/>
        <v>29.848444277103674</v>
      </c>
      <c r="AV47" s="9">
        <f t="shared" si="50"/>
        <v>3.1428571428571428</v>
      </c>
      <c r="AW47" s="10">
        <v>0.20320575112912201</v>
      </c>
      <c r="AX47" s="9">
        <v>0.182890835326593</v>
      </c>
      <c r="AZ47" s="10">
        <f t="shared" si="51"/>
        <v>4.1826066494727963</v>
      </c>
      <c r="BA47" s="10">
        <f t="shared" si="52"/>
        <v>0</v>
      </c>
      <c r="BB47" s="10">
        <f t="shared" si="53"/>
        <v>4.1826066494727963</v>
      </c>
      <c r="BD47" s="10">
        <f t="shared" si="54"/>
        <v>3.1428571428571428</v>
      </c>
      <c r="BE47" s="10">
        <f t="shared" si="55"/>
        <v>0</v>
      </c>
      <c r="BF47" s="10">
        <f t="shared" si="56"/>
        <v>0.40489574004560669</v>
      </c>
      <c r="BG47" s="10">
        <f t="shared" si="57"/>
        <v>0</v>
      </c>
      <c r="BH47" s="10">
        <f t="shared" si="58"/>
        <v>3.5477528829027496</v>
      </c>
      <c r="BJ47" s="1">
        <f t="shared" si="59"/>
        <v>0.63485376657004666</v>
      </c>
    </row>
    <row r="48" spans="2:62" x14ac:dyDescent="0.2">
      <c r="B48" s="13" t="s">
        <v>104</v>
      </c>
      <c r="C48" s="12" t="s">
        <v>60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S48" s="15">
        <v>73.71884</v>
      </c>
      <c r="T48" s="15">
        <v>-6.0973139999999999</v>
      </c>
      <c r="U48" s="21">
        <v>21.986353300000001</v>
      </c>
      <c r="V48" s="15">
        <v>22.906690000000001</v>
      </c>
      <c r="W48" s="15">
        <v>13.197062000000001</v>
      </c>
      <c r="X48" s="16">
        <v>-129.528977</v>
      </c>
      <c r="Y48" s="15">
        <v>14.953878</v>
      </c>
      <c r="AA48" s="1" t="str">
        <f t="shared" si="30"/>
        <v>NE_F-H2in</v>
      </c>
      <c r="AB48" s="1" t="str">
        <f t="shared" si="31"/>
        <v>Ethane</v>
      </c>
      <c r="AC48" s="11">
        <f t="shared" si="32"/>
        <v>802.78341636081848</v>
      </c>
      <c r="AD48" s="11">
        <f t="shared" si="33"/>
        <v>802.78341636081848</v>
      </c>
      <c r="AE48" s="5">
        <f t="shared" si="34"/>
        <v>0</v>
      </c>
      <c r="AF48" s="5">
        <f t="shared" si="35"/>
        <v>3.2900756367859811</v>
      </c>
      <c r="AG48" s="1">
        <f t="shared" si="36"/>
        <v>0</v>
      </c>
      <c r="AH48" s="1">
        <f t="shared" si="37"/>
        <v>0</v>
      </c>
      <c r="AI48" s="1">
        <f t="shared" si="38"/>
        <v>452.54756324196904</v>
      </c>
      <c r="AJ48" s="1">
        <f t="shared" si="39"/>
        <v>0</v>
      </c>
      <c r="AK48" s="1">
        <f t="shared" si="40"/>
        <v>0</v>
      </c>
      <c r="AL48" s="1">
        <f t="shared" si="41"/>
        <v>236.76830652142303</v>
      </c>
      <c r="AM48" s="1">
        <f t="shared" si="42"/>
        <v>129.58629749253777</v>
      </c>
      <c r="AN48" s="1">
        <f t="shared" si="43"/>
        <v>-49.257270809000964</v>
      </c>
      <c r="AO48" s="1">
        <f t="shared" si="44"/>
        <v>0.40489574004560669</v>
      </c>
      <c r="AP48" s="1">
        <f t="shared" si="45"/>
        <v>0</v>
      </c>
      <c r="AQ48" s="1">
        <f t="shared" si="46"/>
        <v>29.848444277103674</v>
      </c>
      <c r="AR48" s="1">
        <f t="shared" si="47"/>
        <v>0.40489574004560669</v>
      </c>
      <c r="AS48" s="1">
        <f t="shared" si="48"/>
        <v>0</v>
      </c>
      <c r="AT48" s="1">
        <f t="shared" si="49"/>
        <v>29.848444277103674</v>
      </c>
      <c r="AV48" s="9">
        <f t="shared" si="50"/>
        <v>3.1428571428571428</v>
      </c>
      <c r="AW48" s="10">
        <v>0.20320575112912201</v>
      </c>
      <c r="AX48" s="9">
        <v>0.182890835326593</v>
      </c>
      <c r="AZ48" s="10">
        <f t="shared" si="51"/>
        <v>4.1826066494727963</v>
      </c>
      <c r="BA48" s="10">
        <f t="shared" si="52"/>
        <v>0</v>
      </c>
      <c r="BB48" s="10">
        <f t="shared" si="53"/>
        <v>4.1826066494727963</v>
      </c>
      <c r="BD48" s="10">
        <f t="shared" si="54"/>
        <v>3.1428571428571428</v>
      </c>
      <c r="BE48" s="10">
        <f t="shared" si="55"/>
        <v>0</v>
      </c>
      <c r="BF48" s="10">
        <f t="shared" si="56"/>
        <v>0.40489574004560669</v>
      </c>
      <c r="BG48" s="10">
        <f t="shared" si="57"/>
        <v>0</v>
      </c>
      <c r="BH48" s="10">
        <f t="shared" si="58"/>
        <v>3.5477528829027496</v>
      </c>
      <c r="BJ48" s="1">
        <f t="shared" si="59"/>
        <v>0.63485376657004666</v>
      </c>
    </row>
    <row r="49" spans="2:62" x14ac:dyDescent="0.2">
      <c r="B49" s="13" t="s">
        <v>105</v>
      </c>
      <c r="C49" s="12" t="s">
        <v>60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S49" s="15">
        <v>73.71884</v>
      </c>
      <c r="T49" s="15">
        <v>-6.1992539999999998</v>
      </c>
      <c r="U49" s="21">
        <v>21.986353300000001</v>
      </c>
      <c r="V49" s="15">
        <v>22.465142</v>
      </c>
      <c r="W49" s="15">
        <v>13.285634</v>
      </c>
      <c r="X49" s="16">
        <v>-129.68144799999999</v>
      </c>
      <c r="Y49" s="15">
        <v>15.046749</v>
      </c>
      <c r="AA49" s="1" t="str">
        <f t="shared" si="30"/>
        <v>CA_F-H2in-CH4out</v>
      </c>
      <c r="AB49" s="1" t="str">
        <f t="shared" si="31"/>
        <v>Ethane</v>
      </c>
      <c r="AC49" s="11">
        <f t="shared" si="32"/>
        <v>798.6292793213679</v>
      </c>
      <c r="AD49" s="11">
        <f t="shared" si="33"/>
        <v>798.6292793213679</v>
      </c>
      <c r="AE49" s="5">
        <f t="shared" si="34"/>
        <v>0</v>
      </c>
      <c r="AF49" s="5">
        <f t="shared" si="35"/>
        <v>32.430710348845878</v>
      </c>
      <c r="AG49" s="1">
        <f t="shared" si="36"/>
        <v>0</v>
      </c>
      <c r="AH49" s="1">
        <f t="shared" si="37"/>
        <v>0</v>
      </c>
      <c r="AI49" s="1">
        <f t="shared" si="38"/>
        <v>452.54756324196904</v>
      </c>
      <c r="AJ49" s="1">
        <f t="shared" si="39"/>
        <v>0</v>
      </c>
      <c r="AK49" s="1">
        <f t="shared" si="40"/>
        <v>-33.294771751511149</v>
      </c>
      <c r="AL49" s="1">
        <f t="shared" si="41"/>
        <v>236.76830652142303</v>
      </c>
      <c r="AM49" s="1">
        <f t="shared" si="42"/>
        <v>129.58629749253777</v>
      </c>
      <c r="AN49" s="1">
        <f t="shared" si="43"/>
        <v>-49.257270809000964</v>
      </c>
      <c r="AO49" s="1">
        <f t="shared" si="44"/>
        <v>0.40489574004561379</v>
      </c>
      <c r="AP49" s="1">
        <f t="shared" si="45"/>
        <v>0</v>
      </c>
      <c r="AQ49" s="1">
        <f t="shared" si="46"/>
        <v>29.848444277104196</v>
      </c>
      <c r="AR49" s="1">
        <f t="shared" si="47"/>
        <v>0.40489574004561379</v>
      </c>
      <c r="AS49" s="1">
        <f t="shared" si="48"/>
        <v>0</v>
      </c>
      <c r="AT49" s="1">
        <f t="shared" si="49"/>
        <v>29.848444277104196</v>
      </c>
      <c r="AV49" s="9">
        <f t="shared" si="50"/>
        <v>3.1428571428571428</v>
      </c>
      <c r="AW49" s="10">
        <v>0.20320575112912201</v>
      </c>
      <c r="AX49" s="9">
        <v>0.182890835326593</v>
      </c>
      <c r="AZ49" s="10">
        <f t="shared" si="51"/>
        <v>4.1826066494727963</v>
      </c>
      <c r="BA49" s="10">
        <f t="shared" si="52"/>
        <v>0</v>
      </c>
      <c r="BB49" s="10">
        <f t="shared" si="53"/>
        <v>4.1826066494727963</v>
      </c>
      <c r="BD49" s="10">
        <f t="shared" si="54"/>
        <v>3.1428571428571428</v>
      </c>
      <c r="BE49" s="10">
        <f t="shared" si="55"/>
        <v>0.4046926427524063</v>
      </c>
      <c r="BF49" s="10">
        <f t="shared" si="56"/>
        <v>2.0309729320747166E-4</v>
      </c>
      <c r="BG49" s="10">
        <f t="shared" si="57"/>
        <v>0</v>
      </c>
      <c r="BH49" s="10">
        <f t="shared" si="58"/>
        <v>3.5477528829027567</v>
      </c>
      <c r="BJ49" s="1">
        <f t="shared" si="59"/>
        <v>0.63485376657003956</v>
      </c>
    </row>
    <row r="50" spans="2:62" x14ac:dyDescent="0.2">
      <c r="B50" s="13" t="s">
        <v>106</v>
      </c>
      <c r="C50" s="12" t="s">
        <v>60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S50" s="15">
        <v>73.71884</v>
      </c>
      <c r="T50" s="15">
        <v>-6.0910019999999996</v>
      </c>
      <c r="U50" s="21">
        <v>21.986353300000001</v>
      </c>
      <c r="V50" s="15">
        <v>21.266241000000001</v>
      </c>
      <c r="W50" s="15">
        <v>7.267779</v>
      </c>
      <c r="X50" s="16">
        <v>-128.077631</v>
      </c>
      <c r="Y50" s="15">
        <v>7.9635800000000003</v>
      </c>
      <c r="AA50" s="1" t="str">
        <f t="shared" si="30"/>
        <v>NW_F-H2in-CH4out</v>
      </c>
      <c r="AB50" s="1" t="str">
        <f t="shared" si="31"/>
        <v>Ethane</v>
      </c>
      <c r="AC50" s="11">
        <f t="shared" si="32"/>
        <v>799.61279773928868</v>
      </c>
      <c r="AD50" s="11">
        <f t="shared" si="33"/>
        <v>799.61279773928868</v>
      </c>
      <c r="AE50" s="5">
        <f t="shared" si="34"/>
        <v>0</v>
      </c>
      <c r="AF50" s="5">
        <f t="shared" si="35"/>
        <v>17.740909890218617</v>
      </c>
      <c r="AG50" s="1">
        <f t="shared" si="36"/>
        <v>0</v>
      </c>
      <c r="AH50" s="1">
        <f t="shared" si="37"/>
        <v>0</v>
      </c>
      <c r="AI50" s="1">
        <f t="shared" si="38"/>
        <v>452.54756324196904</v>
      </c>
      <c r="AJ50" s="1">
        <f t="shared" si="39"/>
        <v>0</v>
      </c>
      <c r="AK50" s="1">
        <f t="shared" si="40"/>
        <v>-17.621452874963168</v>
      </c>
      <c r="AL50" s="1">
        <f t="shared" si="41"/>
        <v>236.76830652142303</v>
      </c>
      <c r="AM50" s="1">
        <f t="shared" si="42"/>
        <v>129.58629749253777</v>
      </c>
      <c r="AN50" s="1">
        <f t="shared" si="43"/>
        <v>-49.257270809000964</v>
      </c>
      <c r="AO50" s="1">
        <f t="shared" si="44"/>
        <v>0.40489574004561379</v>
      </c>
      <c r="AP50" s="1">
        <f t="shared" si="45"/>
        <v>0</v>
      </c>
      <c r="AQ50" s="1">
        <f t="shared" si="46"/>
        <v>29.848444277104196</v>
      </c>
      <c r="AR50" s="1">
        <f t="shared" si="47"/>
        <v>0.40489574004561379</v>
      </c>
      <c r="AS50" s="1">
        <f t="shared" si="48"/>
        <v>0</v>
      </c>
      <c r="AT50" s="1">
        <f t="shared" si="49"/>
        <v>29.848444277104196</v>
      </c>
      <c r="AV50" s="9">
        <f t="shared" si="50"/>
        <v>3.1428571428571428</v>
      </c>
      <c r="AW50" s="10">
        <v>0.20320575112912201</v>
      </c>
      <c r="AX50" s="9">
        <v>0.182890835326593</v>
      </c>
      <c r="AZ50" s="10">
        <f t="shared" si="51"/>
        <v>4.1826066494727963</v>
      </c>
      <c r="BA50" s="10">
        <f t="shared" si="52"/>
        <v>0</v>
      </c>
      <c r="BB50" s="10">
        <f t="shared" si="53"/>
        <v>4.1826066494727963</v>
      </c>
      <c r="BD50" s="10">
        <f t="shared" si="54"/>
        <v>3.1428571428571428</v>
      </c>
      <c r="BE50" s="10">
        <f t="shared" si="55"/>
        <v>0.4046926427524063</v>
      </c>
      <c r="BF50" s="10">
        <f t="shared" si="56"/>
        <v>2.0309729320747166E-4</v>
      </c>
      <c r="BG50" s="10">
        <f t="shared" si="57"/>
        <v>0</v>
      </c>
      <c r="BH50" s="10">
        <f t="shared" si="58"/>
        <v>3.5477528829027567</v>
      </c>
      <c r="BJ50" s="1">
        <f t="shared" si="59"/>
        <v>0.63485376657003956</v>
      </c>
    </row>
    <row r="51" spans="2:62" x14ac:dyDescent="0.2">
      <c r="B51" s="13" t="s">
        <v>107</v>
      </c>
      <c r="C51" s="12" t="s">
        <v>60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S51" s="15">
        <v>73.71884</v>
      </c>
      <c r="T51" s="15">
        <v>-16.179127999999999</v>
      </c>
      <c r="U51" s="21">
        <v>21.986353300000001</v>
      </c>
      <c r="V51" s="15">
        <v>21.500722</v>
      </c>
      <c r="W51" s="15">
        <v>7.5324369999999998</v>
      </c>
      <c r="X51" s="16">
        <v>-140.74133399999999</v>
      </c>
      <c r="Y51" s="15">
        <v>5.4076719999999998</v>
      </c>
      <c r="AA51" s="1" t="str">
        <f t="shared" si="30"/>
        <v>SW_F-H2in-CH4out</v>
      </c>
      <c r="AB51" s="1" t="str">
        <f t="shared" si="31"/>
        <v>Ethane</v>
      </c>
      <c r="AC51" s="11">
        <f t="shared" si="32"/>
        <v>805.91443609420003</v>
      </c>
      <c r="AD51" s="11">
        <f t="shared" si="33"/>
        <v>805.91443609420003</v>
      </c>
      <c r="AE51" s="5">
        <f t="shared" si="34"/>
        <v>0</v>
      </c>
      <c r="AF51" s="5">
        <f t="shared" si="35"/>
        <v>18.386949585388969</v>
      </c>
      <c r="AG51" s="1">
        <f t="shared" si="36"/>
        <v>0</v>
      </c>
      <c r="AH51" s="1">
        <f t="shared" si="37"/>
        <v>0</v>
      </c>
      <c r="AI51" s="1">
        <f t="shared" si="38"/>
        <v>452.54756324196904</v>
      </c>
      <c r="AJ51" s="1">
        <f t="shared" si="39"/>
        <v>0</v>
      </c>
      <c r="AK51" s="1">
        <f t="shared" si="40"/>
        <v>-11.965854215222025</v>
      </c>
      <c r="AL51" s="1">
        <f t="shared" si="41"/>
        <v>236.76830652142303</v>
      </c>
      <c r="AM51" s="1">
        <f t="shared" si="42"/>
        <v>129.58629749253777</v>
      </c>
      <c r="AN51" s="1">
        <f t="shared" si="43"/>
        <v>-49.257270809000964</v>
      </c>
      <c r="AO51" s="1">
        <f t="shared" si="44"/>
        <v>0.40489574004561379</v>
      </c>
      <c r="AP51" s="1">
        <f t="shared" si="45"/>
        <v>0</v>
      </c>
      <c r="AQ51" s="1">
        <f t="shared" si="46"/>
        <v>29.848444277104196</v>
      </c>
      <c r="AR51" s="1">
        <f t="shared" si="47"/>
        <v>0.40489574004561379</v>
      </c>
      <c r="AS51" s="1">
        <f t="shared" si="48"/>
        <v>0</v>
      </c>
      <c r="AT51" s="1">
        <f t="shared" si="49"/>
        <v>29.848444277104196</v>
      </c>
      <c r="AV51" s="9">
        <f t="shared" si="50"/>
        <v>3.1428571428571428</v>
      </c>
      <c r="AW51" s="10">
        <v>0.20320575112912201</v>
      </c>
      <c r="AX51" s="9">
        <v>0.182890835326593</v>
      </c>
      <c r="AZ51" s="10">
        <f t="shared" si="51"/>
        <v>4.1826066494727963</v>
      </c>
      <c r="BA51" s="10">
        <f t="shared" si="52"/>
        <v>0</v>
      </c>
      <c r="BB51" s="10">
        <f t="shared" si="53"/>
        <v>4.1826066494727963</v>
      </c>
      <c r="BD51" s="10">
        <f t="shared" si="54"/>
        <v>3.1428571428571428</v>
      </c>
      <c r="BE51" s="10">
        <f t="shared" si="55"/>
        <v>0.4046926427524063</v>
      </c>
      <c r="BF51" s="10">
        <f t="shared" si="56"/>
        <v>2.0309729320747166E-4</v>
      </c>
      <c r="BG51" s="10">
        <f t="shared" si="57"/>
        <v>0</v>
      </c>
      <c r="BH51" s="10">
        <f t="shared" si="58"/>
        <v>3.5477528829027567</v>
      </c>
      <c r="BJ51" s="1">
        <f t="shared" si="59"/>
        <v>0.63485376657003956</v>
      </c>
    </row>
    <row r="52" spans="2:62" x14ac:dyDescent="0.2">
      <c r="B52" s="13" t="s">
        <v>108</v>
      </c>
      <c r="C52" s="12" t="s">
        <v>60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S52" s="15">
        <v>73.71884</v>
      </c>
      <c r="T52" s="15">
        <v>-23.276809</v>
      </c>
      <c r="U52" s="21">
        <v>21.986353300000001</v>
      </c>
      <c r="V52" s="15">
        <v>20.789991000000001</v>
      </c>
      <c r="W52" s="15">
        <v>9.1959800000000005</v>
      </c>
      <c r="X52" s="16">
        <v>-150.75578899999999</v>
      </c>
      <c r="Y52" s="15">
        <v>8.9604540000000004</v>
      </c>
      <c r="AA52" s="1" t="str">
        <f t="shared" si="30"/>
        <v>TX_F-H2in-CH4out</v>
      </c>
      <c r="AB52" s="1" t="str">
        <f t="shared" si="31"/>
        <v>Ethane</v>
      </c>
      <c r="AC52" s="11">
        <f t="shared" si="32"/>
        <v>802.11376761426595</v>
      </c>
      <c r="AD52" s="11">
        <f t="shared" si="33"/>
        <v>802.11376761426595</v>
      </c>
      <c r="AE52" s="5">
        <f t="shared" si="34"/>
        <v>0</v>
      </c>
      <c r="AF52" s="5">
        <f t="shared" si="35"/>
        <v>22.447717869826889</v>
      </c>
      <c r="AG52" s="1">
        <f t="shared" si="36"/>
        <v>0</v>
      </c>
      <c r="AH52" s="1">
        <f t="shared" si="37"/>
        <v>0</v>
      </c>
      <c r="AI52" s="1">
        <f t="shared" si="38"/>
        <v>452.54756324196904</v>
      </c>
      <c r="AJ52" s="1">
        <f t="shared" si="39"/>
        <v>0</v>
      </c>
      <c r="AK52" s="1">
        <f t="shared" si="40"/>
        <v>-19.827290979594004</v>
      </c>
      <c r="AL52" s="1">
        <f t="shared" si="41"/>
        <v>236.76830652142303</v>
      </c>
      <c r="AM52" s="1">
        <f t="shared" si="42"/>
        <v>129.58629749253777</v>
      </c>
      <c r="AN52" s="1">
        <f t="shared" si="43"/>
        <v>-49.257270809000964</v>
      </c>
      <c r="AO52" s="1">
        <f t="shared" si="44"/>
        <v>0.40489574004561379</v>
      </c>
      <c r="AP52" s="1">
        <f t="shared" si="45"/>
        <v>0</v>
      </c>
      <c r="AQ52" s="1">
        <f t="shared" si="46"/>
        <v>29.848444277104196</v>
      </c>
      <c r="AR52" s="1">
        <f t="shared" si="47"/>
        <v>0.40489574004561379</v>
      </c>
      <c r="AS52" s="1">
        <f t="shared" si="48"/>
        <v>0</v>
      </c>
      <c r="AT52" s="1">
        <f t="shared" si="49"/>
        <v>29.848444277104196</v>
      </c>
      <c r="AV52" s="9">
        <f t="shared" si="50"/>
        <v>3.1428571428571428</v>
      </c>
      <c r="AW52" s="10">
        <v>0.20320575112912201</v>
      </c>
      <c r="AX52" s="9">
        <v>0.182890835326593</v>
      </c>
      <c r="AZ52" s="10">
        <f t="shared" si="51"/>
        <v>4.1826066494727963</v>
      </c>
      <c r="BA52" s="10">
        <f t="shared" si="52"/>
        <v>0</v>
      </c>
      <c r="BB52" s="10">
        <f t="shared" si="53"/>
        <v>4.1826066494727963</v>
      </c>
      <c r="BD52" s="10">
        <f t="shared" si="54"/>
        <v>3.1428571428571428</v>
      </c>
      <c r="BE52" s="10">
        <f t="shared" si="55"/>
        <v>0.4046926427524063</v>
      </c>
      <c r="BF52" s="10">
        <f t="shared" si="56"/>
        <v>2.0309729320747166E-4</v>
      </c>
      <c r="BG52" s="10">
        <f t="shared" si="57"/>
        <v>0</v>
      </c>
      <c r="BH52" s="10">
        <f t="shared" si="58"/>
        <v>3.5477528829027567</v>
      </c>
      <c r="BJ52" s="1">
        <f t="shared" si="59"/>
        <v>0.63485376657003956</v>
      </c>
    </row>
    <row r="53" spans="2:62" x14ac:dyDescent="0.2">
      <c r="B53" s="13" t="s">
        <v>109</v>
      </c>
      <c r="C53" s="12" t="s">
        <v>60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S53" s="15">
        <v>73.71884</v>
      </c>
      <c r="T53" s="15">
        <v>-23.276809</v>
      </c>
      <c r="U53" s="21">
        <v>21.986353300000001</v>
      </c>
      <c r="V53" s="15">
        <v>20.789991000000001</v>
      </c>
      <c r="W53" s="15">
        <v>9.1959800000000005</v>
      </c>
      <c r="X53" s="16">
        <v>-150.75578899999999</v>
      </c>
      <c r="Y53" s="15">
        <v>8.9604540000000004</v>
      </c>
      <c r="AA53" s="1" t="str">
        <f t="shared" si="30"/>
        <v>NCEN_F-H2in-CH4out</v>
      </c>
      <c r="AB53" s="1" t="str">
        <f t="shared" si="31"/>
        <v>Ethane</v>
      </c>
      <c r="AC53" s="11">
        <f t="shared" si="32"/>
        <v>802.11376761426595</v>
      </c>
      <c r="AD53" s="11">
        <f t="shared" si="33"/>
        <v>802.11376761426595</v>
      </c>
      <c r="AE53" s="5">
        <f t="shared" si="34"/>
        <v>0</v>
      </c>
      <c r="AF53" s="5">
        <f t="shared" si="35"/>
        <v>22.447717869826889</v>
      </c>
      <c r="AG53" s="1">
        <f t="shared" si="36"/>
        <v>0</v>
      </c>
      <c r="AH53" s="1">
        <f t="shared" si="37"/>
        <v>0</v>
      </c>
      <c r="AI53" s="1">
        <f t="shared" si="38"/>
        <v>452.54756324196904</v>
      </c>
      <c r="AJ53" s="1">
        <f t="shared" si="39"/>
        <v>0</v>
      </c>
      <c r="AK53" s="1">
        <f t="shared" si="40"/>
        <v>-19.827290979594004</v>
      </c>
      <c r="AL53" s="1">
        <f t="shared" si="41"/>
        <v>236.76830652142303</v>
      </c>
      <c r="AM53" s="1">
        <f t="shared" si="42"/>
        <v>129.58629749253777</v>
      </c>
      <c r="AN53" s="1">
        <f t="shared" si="43"/>
        <v>-49.257270809000964</v>
      </c>
      <c r="AO53" s="1">
        <f t="shared" si="44"/>
        <v>0.40489574004561379</v>
      </c>
      <c r="AP53" s="1">
        <f t="shared" si="45"/>
        <v>0</v>
      </c>
      <c r="AQ53" s="1">
        <f t="shared" si="46"/>
        <v>29.848444277104196</v>
      </c>
      <c r="AR53" s="1">
        <f t="shared" si="47"/>
        <v>0.40489574004561379</v>
      </c>
      <c r="AS53" s="1">
        <f t="shared" si="48"/>
        <v>0</v>
      </c>
      <c r="AT53" s="1">
        <f t="shared" si="49"/>
        <v>29.848444277104196</v>
      </c>
      <c r="AV53" s="9">
        <f t="shared" si="50"/>
        <v>3.1428571428571428</v>
      </c>
      <c r="AW53" s="10">
        <v>0.20320575112912201</v>
      </c>
      <c r="AX53" s="9">
        <v>0.182890835326593</v>
      </c>
      <c r="AZ53" s="10">
        <f t="shared" si="51"/>
        <v>4.1826066494727963</v>
      </c>
      <c r="BA53" s="10">
        <f t="shared" si="52"/>
        <v>0</v>
      </c>
      <c r="BB53" s="10">
        <f t="shared" si="53"/>
        <v>4.1826066494727963</v>
      </c>
      <c r="BD53" s="10">
        <f t="shared" si="54"/>
        <v>3.1428571428571428</v>
      </c>
      <c r="BE53" s="10">
        <f t="shared" si="55"/>
        <v>0.4046926427524063</v>
      </c>
      <c r="BF53" s="10">
        <f t="shared" si="56"/>
        <v>2.0309729320747166E-4</v>
      </c>
      <c r="BG53" s="10">
        <f t="shared" si="57"/>
        <v>0</v>
      </c>
      <c r="BH53" s="10">
        <f t="shared" si="58"/>
        <v>3.5477528829027567</v>
      </c>
      <c r="BJ53" s="1">
        <f t="shared" si="59"/>
        <v>0.63485376657003956</v>
      </c>
    </row>
    <row r="54" spans="2:62" x14ac:dyDescent="0.2">
      <c r="B54" s="13" t="s">
        <v>110</v>
      </c>
      <c r="C54" s="12" t="s">
        <v>60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S54" s="15">
        <v>73.71884</v>
      </c>
      <c r="T54" s="15">
        <v>-23.276809</v>
      </c>
      <c r="U54" s="21">
        <v>21.986353300000001</v>
      </c>
      <c r="V54" s="15">
        <v>20.789991000000001</v>
      </c>
      <c r="W54" s="15">
        <v>9.1959800000000005</v>
      </c>
      <c r="X54" s="16">
        <v>-150.75578899999999</v>
      </c>
      <c r="Y54" s="15">
        <v>8.9604540000000004</v>
      </c>
      <c r="AA54" s="1" t="str">
        <f t="shared" si="30"/>
        <v>CEN_F-H2in-CH4out</v>
      </c>
      <c r="AB54" s="1" t="str">
        <f t="shared" si="31"/>
        <v>Ethane</v>
      </c>
      <c r="AC54" s="11">
        <f t="shared" si="32"/>
        <v>802.11376761426595</v>
      </c>
      <c r="AD54" s="11">
        <f t="shared" si="33"/>
        <v>802.11376761426595</v>
      </c>
      <c r="AE54" s="5">
        <f t="shared" si="34"/>
        <v>0</v>
      </c>
      <c r="AF54" s="5">
        <f t="shared" si="35"/>
        <v>22.447717869826889</v>
      </c>
      <c r="AG54" s="1">
        <f t="shared" si="36"/>
        <v>0</v>
      </c>
      <c r="AH54" s="1">
        <f t="shared" si="37"/>
        <v>0</v>
      </c>
      <c r="AI54" s="1">
        <f t="shared" si="38"/>
        <v>452.54756324196904</v>
      </c>
      <c r="AJ54" s="1">
        <f t="shared" si="39"/>
        <v>0</v>
      </c>
      <c r="AK54" s="1">
        <f t="shared" si="40"/>
        <v>-19.827290979594004</v>
      </c>
      <c r="AL54" s="1">
        <f t="shared" si="41"/>
        <v>236.76830652142303</v>
      </c>
      <c r="AM54" s="1">
        <f t="shared" si="42"/>
        <v>129.58629749253777</v>
      </c>
      <c r="AN54" s="1">
        <f t="shared" si="43"/>
        <v>-49.257270809000964</v>
      </c>
      <c r="AO54" s="1">
        <f t="shared" si="44"/>
        <v>0.40489574004561379</v>
      </c>
      <c r="AP54" s="1">
        <f t="shared" si="45"/>
        <v>0</v>
      </c>
      <c r="AQ54" s="1">
        <f t="shared" si="46"/>
        <v>29.848444277104196</v>
      </c>
      <c r="AR54" s="1">
        <f t="shared" si="47"/>
        <v>0.40489574004561379</v>
      </c>
      <c r="AS54" s="1">
        <f t="shared" si="48"/>
        <v>0</v>
      </c>
      <c r="AT54" s="1">
        <f t="shared" si="49"/>
        <v>29.848444277104196</v>
      </c>
      <c r="AV54" s="9">
        <f t="shared" si="50"/>
        <v>3.1428571428571428</v>
      </c>
      <c r="AW54" s="10">
        <v>0.20320575112912201</v>
      </c>
      <c r="AX54" s="9">
        <v>0.182890835326593</v>
      </c>
      <c r="AZ54" s="10">
        <f t="shared" si="51"/>
        <v>4.1826066494727963</v>
      </c>
      <c r="BA54" s="10">
        <f t="shared" si="52"/>
        <v>0</v>
      </c>
      <c r="BB54" s="10">
        <f t="shared" si="53"/>
        <v>4.1826066494727963</v>
      </c>
      <c r="BD54" s="10">
        <f t="shared" si="54"/>
        <v>3.1428571428571428</v>
      </c>
      <c r="BE54" s="10">
        <f t="shared" si="55"/>
        <v>0.4046926427524063</v>
      </c>
      <c r="BF54" s="10">
        <f t="shared" si="56"/>
        <v>2.0309729320747166E-4</v>
      </c>
      <c r="BG54" s="10">
        <f t="shared" si="57"/>
        <v>0</v>
      </c>
      <c r="BH54" s="10">
        <f t="shared" si="58"/>
        <v>3.5477528829027567</v>
      </c>
      <c r="BJ54" s="1">
        <f t="shared" si="59"/>
        <v>0.63485376657003956</v>
      </c>
    </row>
    <row r="55" spans="2:62" x14ac:dyDescent="0.2">
      <c r="B55" s="13" t="s">
        <v>111</v>
      </c>
      <c r="C55" s="12" t="s">
        <v>60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S55" s="15">
        <v>73.71884</v>
      </c>
      <c r="T55" s="15">
        <v>-23.276809</v>
      </c>
      <c r="U55" s="21">
        <v>21.986353300000001</v>
      </c>
      <c r="V55" s="15">
        <v>20.789991000000001</v>
      </c>
      <c r="W55" s="15">
        <v>9.1959800000000005</v>
      </c>
      <c r="X55" s="16">
        <v>-150.75578899999999</v>
      </c>
      <c r="Y55" s="15">
        <v>8.9604540000000004</v>
      </c>
      <c r="AA55" s="1" t="str">
        <f t="shared" si="30"/>
        <v>SE_F-H2in-CH4out</v>
      </c>
      <c r="AB55" s="1" t="str">
        <f t="shared" si="31"/>
        <v>Ethane</v>
      </c>
      <c r="AC55" s="11">
        <f t="shared" si="32"/>
        <v>802.11376761426595</v>
      </c>
      <c r="AD55" s="11">
        <f t="shared" si="33"/>
        <v>802.11376761426595</v>
      </c>
      <c r="AE55" s="5">
        <f t="shared" si="34"/>
        <v>0</v>
      </c>
      <c r="AF55" s="5">
        <f t="shared" si="35"/>
        <v>22.447717869826889</v>
      </c>
      <c r="AG55" s="1">
        <f t="shared" si="36"/>
        <v>0</v>
      </c>
      <c r="AH55" s="1">
        <f t="shared" si="37"/>
        <v>0</v>
      </c>
      <c r="AI55" s="1">
        <f t="shared" si="38"/>
        <v>452.54756324196904</v>
      </c>
      <c r="AJ55" s="1">
        <f t="shared" si="39"/>
        <v>0</v>
      </c>
      <c r="AK55" s="1">
        <f t="shared" si="40"/>
        <v>-19.827290979594004</v>
      </c>
      <c r="AL55" s="1">
        <f t="shared" si="41"/>
        <v>236.76830652142303</v>
      </c>
      <c r="AM55" s="1">
        <f t="shared" si="42"/>
        <v>129.58629749253777</v>
      </c>
      <c r="AN55" s="1">
        <f t="shared" si="43"/>
        <v>-49.257270809000964</v>
      </c>
      <c r="AO55" s="1">
        <f t="shared" si="44"/>
        <v>0.40489574004561379</v>
      </c>
      <c r="AP55" s="1">
        <f t="shared" si="45"/>
        <v>0</v>
      </c>
      <c r="AQ55" s="1">
        <f t="shared" si="46"/>
        <v>29.848444277104196</v>
      </c>
      <c r="AR55" s="1">
        <f t="shared" si="47"/>
        <v>0.40489574004561379</v>
      </c>
      <c r="AS55" s="1">
        <f t="shared" si="48"/>
        <v>0</v>
      </c>
      <c r="AT55" s="1">
        <f t="shared" si="49"/>
        <v>29.848444277104196</v>
      </c>
      <c r="AV55" s="9">
        <f t="shared" si="50"/>
        <v>3.1428571428571428</v>
      </c>
      <c r="AW55" s="10">
        <v>0.20320575112912201</v>
      </c>
      <c r="AX55" s="9">
        <v>0.182890835326593</v>
      </c>
      <c r="AZ55" s="10">
        <f t="shared" si="51"/>
        <v>4.1826066494727963</v>
      </c>
      <c r="BA55" s="10">
        <f t="shared" si="52"/>
        <v>0</v>
      </c>
      <c r="BB55" s="10">
        <f t="shared" si="53"/>
        <v>4.1826066494727963</v>
      </c>
      <c r="BD55" s="10">
        <f t="shared" si="54"/>
        <v>3.1428571428571428</v>
      </c>
      <c r="BE55" s="10">
        <f t="shared" si="55"/>
        <v>0.4046926427524063</v>
      </c>
      <c r="BF55" s="10">
        <f t="shared" si="56"/>
        <v>2.0309729320747166E-4</v>
      </c>
      <c r="BG55" s="10">
        <f t="shared" si="57"/>
        <v>0</v>
      </c>
      <c r="BH55" s="10">
        <f t="shared" si="58"/>
        <v>3.5477528829027567</v>
      </c>
      <c r="BJ55" s="1">
        <f t="shared" si="59"/>
        <v>0.63485376657003956</v>
      </c>
    </row>
    <row r="56" spans="2:62" x14ac:dyDescent="0.2">
      <c r="B56" s="13" t="s">
        <v>112</v>
      </c>
      <c r="C56" s="12" t="s">
        <v>60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S56" s="15">
        <v>73.71884</v>
      </c>
      <c r="T56" s="15">
        <v>-23.276809</v>
      </c>
      <c r="U56" s="21">
        <v>21.986353300000001</v>
      </c>
      <c r="V56" s="15">
        <v>20.789991000000001</v>
      </c>
      <c r="W56" s="15">
        <v>9.1959800000000005</v>
      </c>
      <c r="X56" s="16">
        <v>-150.75578899999999</v>
      </c>
      <c r="Y56" s="15">
        <v>8.9604540000000004</v>
      </c>
      <c r="AA56" s="1" t="str">
        <f t="shared" si="30"/>
        <v>MIDAT_F-H2in-CH4out</v>
      </c>
      <c r="AB56" s="1" t="str">
        <f t="shared" si="31"/>
        <v>Ethane</v>
      </c>
      <c r="AC56" s="11">
        <f t="shared" si="32"/>
        <v>802.11376761426595</v>
      </c>
      <c r="AD56" s="11">
        <f t="shared" si="33"/>
        <v>802.11376761426595</v>
      </c>
      <c r="AE56" s="5">
        <f t="shared" si="34"/>
        <v>0</v>
      </c>
      <c r="AF56" s="5">
        <f t="shared" si="35"/>
        <v>22.447717869826889</v>
      </c>
      <c r="AG56" s="1">
        <f t="shared" si="36"/>
        <v>0</v>
      </c>
      <c r="AH56" s="1">
        <f t="shared" si="37"/>
        <v>0</v>
      </c>
      <c r="AI56" s="1">
        <f t="shared" si="38"/>
        <v>452.54756324196904</v>
      </c>
      <c r="AJ56" s="1">
        <f t="shared" si="39"/>
        <v>0</v>
      </c>
      <c r="AK56" s="1">
        <f t="shared" si="40"/>
        <v>-19.827290979594004</v>
      </c>
      <c r="AL56" s="1">
        <f t="shared" si="41"/>
        <v>236.76830652142303</v>
      </c>
      <c r="AM56" s="1">
        <f t="shared" si="42"/>
        <v>129.58629749253777</v>
      </c>
      <c r="AN56" s="1">
        <f t="shared" si="43"/>
        <v>-49.257270809000964</v>
      </c>
      <c r="AO56" s="1">
        <f t="shared" si="44"/>
        <v>0.40489574004561379</v>
      </c>
      <c r="AP56" s="1">
        <f t="shared" si="45"/>
        <v>0</v>
      </c>
      <c r="AQ56" s="1">
        <f t="shared" si="46"/>
        <v>29.848444277104196</v>
      </c>
      <c r="AR56" s="1">
        <f t="shared" si="47"/>
        <v>0.40489574004561379</v>
      </c>
      <c r="AS56" s="1">
        <f t="shared" si="48"/>
        <v>0</v>
      </c>
      <c r="AT56" s="1">
        <f t="shared" si="49"/>
        <v>29.848444277104196</v>
      </c>
      <c r="AV56" s="9">
        <f t="shared" si="50"/>
        <v>3.1428571428571428</v>
      </c>
      <c r="AW56" s="10">
        <v>0.20320575112912201</v>
      </c>
      <c r="AX56" s="9">
        <v>0.182890835326593</v>
      </c>
      <c r="AZ56" s="10">
        <f t="shared" si="51"/>
        <v>4.1826066494727963</v>
      </c>
      <c r="BA56" s="10">
        <f t="shared" si="52"/>
        <v>0</v>
      </c>
      <c r="BB56" s="10">
        <f t="shared" si="53"/>
        <v>4.1826066494727963</v>
      </c>
      <c r="BD56" s="10">
        <f t="shared" si="54"/>
        <v>3.1428571428571428</v>
      </c>
      <c r="BE56" s="10">
        <f t="shared" si="55"/>
        <v>0.4046926427524063</v>
      </c>
      <c r="BF56" s="10">
        <f t="shared" si="56"/>
        <v>2.0309729320747166E-4</v>
      </c>
      <c r="BG56" s="10">
        <f t="shared" si="57"/>
        <v>0</v>
      </c>
      <c r="BH56" s="10">
        <f t="shared" si="58"/>
        <v>3.5477528829027567</v>
      </c>
      <c r="BJ56" s="1">
        <f t="shared" si="59"/>
        <v>0.63485376657003956</v>
      </c>
    </row>
    <row r="57" spans="2:62" x14ac:dyDescent="0.2">
      <c r="B57" s="13" t="s">
        <v>113</v>
      </c>
      <c r="C57" s="12" t="s">
        <v>60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S57" s="15">
        <v>73.71884</v>
      </c>
      <c r="T57" s="15">
        <v>-23.276809</v>
      </c>
      <c r="U57" s="21">
        <v>21.986353300000001</v>
      </c>
      <c r="V57" s="15">
        <v>20.789991000000001</v>
      </c>
      <c r="W57" s="15">
        <v>9.1959800000000005</v>
      </c>
      <c r="X57" s="16">
        <v>-150.75578899999999</v>
      </c>
      <c r="Y57" s="15">
        <v>8.9604540000000004</v>
      </c>
      <c r="AA57" s="1" t="str">
        <f t="shared" si="30"/>
        <v>NE_F-H2in-CH4out</v>
      </c>
      <c r="AB57" s="1" t="str">
        <f t="shared" si="31"/>
        <v>Ethane</v>
      </c>
      <c r="AC57" s="11">
        <f t="shared" si="32"/>
        <v>802.11376761426595</v>
      </c>
      <c r="AD57" s="11">
        <f t="shared" si="33"/>
        <v>802.11376761426595</v>
      </c>
      <c r="AE57" s="5">
        <f t="shared" si="34"/>
        <v>0</v>
      </c>
      <c r="AF57" s="5">
        <f t="shared" si="35"/>
        <v>22.447717869826889</v>
      </c>
      <c r="AG57" s="1">
        <f t="shared" si="36"/>
        <v>0</v>
      </c>
      <c r="AH57" s="1">
        <f t="shared" si="37"/>
        <v>0</v>
      </c>
      <c r="AI57" s="1">
        <f t="shared" si="38"/>
        <v>452.54756324196904</v>
      </c>
      <c r="AJ57" s="1">
        <f t="shared" si="39"/>
        <v>0</v>
      </c>
      <c r="AK57" s="1">
        <f t="shared" si="40"/>
        <v>-19.827290979594004</v>
      </c>
      <c r="AL57" s="1">
        <f t="shared" si="41"/>
        <v>236.76830652142303</v>
      </c>
      <c r="AM57" s="1">
        <f t="shared" si="42"/>
        <v>129.58629749253777</v>
      </c>
      <c r="AN57" s="1">
        <f t="shared" si="43"/>
        <v>-49.257270809000964</v>
      </c>
      <c r="AO57" s="1">
        <f t="shared" si="44"/>
        <v>0.40489574004561379</v>
      </c>
      <c r="AP57" s="1">
        <f t="shared" si="45"/>
        <v>0</v>
      </c>
      <c r="AQ57" s="1">
        <f t="shared" si="46"/>
        <v>29.848444277104196</v>
      </c>
      <c r="AR57" s="1">
        <f t="shared" si="47"/>
        <v>0.40489574004561379</v>
      </c>
      <c r="AS57" s="1">
        <f t="shared" si="48"/>
        <v>0</v>
      </c>
      <c r="AT57" s="1">
        <f t="shared" si="49"/>
        <v>29.848444277104196</v>
      </c>
      <c r="AV57" s="9">
        <f t="shared" si="50"/>
        <v>3.1428571428571428</v>
      </c>
      <c r="AW57" s="10">
        <v>0.20320575112912201</v>
      </c>
      <c r="AX57" s="9">
        <v>0.182890835326593</v>
      </c>
      <c r="AZ57" s="10">
        <f t="shared" si="51"/>
        <v>4.1826066494727963</v>
      </c>
      <c r="BA57" s="10">
        <f t="shared" si="52"/>
        <v>0</v>
      </c>
      <c r="BB57" s="10">
        <f t="shared" si="53"/>
        <v>4.1826066494727963</v>
      </c>
      <c r="BD57" s="10">
        <f t="shared" si="54"/>
        <v>3.1428571428571428</v>
      </c>
      <c r="BE57" s="10">
        <f t="shared" si="55"/>
        <v>0.4046926427524063</v>
      </c>
      <c r="BF57" s="10">
        <f t="shared" si="56"/>
        <v>2.0309729320747166E-4</v>
      </c>
      <c r="BG57" s="10">
        <f t="shared" si="57"/>
        <v>0</v>
      </c>
      <c r="BH57" s="10">
        <f t="shared" si="58"/>
        <v>3.5477528829027567</v>
      </c>
      <c r="BJ57" s="1">
        <f t="shared" si="59"/>
        <v>0.63485376657003956</v>
      </c>
    </row>
    <row r="58" spans="2:62" x14ac:dyDescent="0.2">
      <c r="B58" s="13" t="s">
        <v>114</v>
      </c>
      <c r="C58" s="12" t="s">
        <v>60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S58" s="15">
        <v>73.71884</v>
      </c>
      <c r="T58" s="15">
        <v>-23.276809</v>
      </c>
      <c r="U58" s="21">
        <v>21.986353300000001</v>
      </c>
      <c r="V58" s="15">
        <v>20.789991000000001</v>
      </c>
      <c r="W58" s="15">
        <v>9.1959800000000005</v>
      </c>
      <c r="X58" s="16">
        <v>-150.75578899999999</v>
      </c>
      <c r="Y58" s="15">
        <v>8.9604540000000004</v>
      </c>
      <c r="AA58" s="1" t="str">
        <f t="shared" si="30"/>
        <v>CA_F-Ein</v>
      </c>
      <c r="AB58" s="1" t="str">
        <f t="shared" si="31"/>
        <v>Ethane</v>
      </c>
      <c r="AC58" s="11">
        <f t="shared" si="32"/>
        <v>950.06218114489332</v>
      </c>
      <c r="AD58" s="11">
        <f t="shared" si="33"/>
        <v>950.06218114489332</v>
      </c>
      <c r="AE58" s="5">
        <f t="shared" si="34"/>
        <v>0</v>
      </c>
      <c r="AF58" s="5">
        <f t="shared" si="35"/>
        <v>0</v>
      </c>
      <c r="AG58" s="1">
        <f t="shared" si="36"/>
        <v>-29.444500200587196</v>
      </c>
      <c r="AH58" s="1">
        <f t="shared" si="37"/>
        <v>70.579430212860558</v>
      </c>
      <c r="AI58" s="1">
        <f t="shared" si="38"/>
        <v>452.54756324196904</v>
      </c>
      <c r="AJ58" s="1">
        <f t="shared" si="39"/>
        <v>0</v>
      </c>
      <c r="AK58" s="1">
        <f t="shared" si="40"/>
        <v>-19.827290979594004</v>
      </c>
      <c r="AL58" s="1">
        <f t="shared" si="41"/>
        <v>313.68072253479579</v>
      </c>
      <c r="AM58" s="1">
        <f t="shared" si="42"/>
        <v>171.68143834298223</v>
      </c>
      <c r="AN58" s="1">
        <f t="shared" si="43"/>
        <v>-39.003626284637384</v>
      </c>
      <c r="AO58" s="1">
        <f t="shared" si="44"/>
        <v>0.40489574004561379</v>
      </c>
      <c r="AP58" s="1">
        <f t="shared" si="45"/>
        <v>0</v>
      </c>
      <c r="AQ58" s="1">
        <f t="shared" si="46"/>
        <v>29.848444277104196</v>
      </c>
      <c r="AR58" s="1">
        <f t="shared" si="47"/>
        <v>0.40489574004561379</v>
      </c>
      <c r="AS58" s="1">
        <f t="shared" si="48"/>
        <v>0</v>
      </c>
      <c r="AT58" s="1">
        <f t="shared" si="49"/>
        <v>29.848444277104196</v>
      </c>
      <c r="AV58" s="9">
        <f t="shared" si="50"/>
        <v>3.1428571428571428</v>
      </c>
      <c r="AW58" s="10">
        <v>0.20320575112912201</v>
      </c>
      <c r="AX58" s="9">
        <v>0.182890835326593</v>
      </c>
      <c r="AZ58" s="10">
        <f t="shared" si="51"/>
        <v>4.1826066494727963</v>
      </c>
      <c r="BA58" s="10">
        <f t="shared" si="52"/>
        <v>0</v>
      </c>
      <c r="BB58" s="10">
        <f t="shared" si="53"/>
        <v>4.1826066494727963</v>
      </c>
      <c r="BD58" s="10">
        <f t="shared" si="54"/>
        <v>3.1428571428571428</v>
      </c>
      <c r="BE58" s="10">
        <f t="shared" si="55"/>
        <v>0.4046926427524063</v>
      </c>
      <c r="BF58" s="10">
        <f t="shared" si="56"/>
        <v>2.0309729320747166E-4</v>
      </c>
      <c r="BG58" s="10">
        <f t="shared" si="57"/>
        <v>0</v>
      </c>
      <c r="BH58" s="10">
        <f t="shared" si="58"/>
        <v>3.5477528829027567</v>
      </c>
      <c r="BJ58" s="1">
        <f t="shared" si="59"/>
        <v>0.63485376657003956</v>
      </c>
    </row>
    <row r="59" spans="2:62" x14ac:dyDescent="0.2">
      <c r="B59" s="13" t="s">
        <v>115</v>
      </c>
      <c r="C59" s="12" t="s">
        <v>60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S59" s="15">
        <v>73.71884</v>
      </c>
      <c r="T59" s="15">
        <v>-23.276809</v>
      </c>
      <c r="U59" s="21">
        <v>21.986353300000001</v>
      </c>
      <c r="V59" s="15">
        <v>20.789991000000001</v>
      </c>
      <c r="W59" s="15">
        <v>9.1959800000000005</v>
      </c>
      <c r="X59" s="16">
        <v>-150.75578899999999</v>
      </c>
      <c r="Y59" s="15">
        <v>8.9604540000000004</v>
      </c>
      <c r="AA59" s="1" t="str">
        <f t="shared" si="30"/>
        <v>NW_F-Ein</v>
      </c>
      <c r="AB59" s="1" t="str">
        <f t="shared" si="31"/>
        <v>Ethane</v>
      </c>
      <c r="AC59" s="11">
        <f t="shared" si="32"/>
        <v>950.06218114489332</v>
      </c>
      <c r="AD59" s="11">
        <f t="shared" si="33"/>
        <v>950.06218114489332</v>
      </c>
      <c r="AE59" s="5">
        <f t="shared" si="34"/>
        <v>0</v>
      </c>
      <c r="AF59" s="5">
        <f t="shared" si="35"/>
        <v>0</v>
      </c>
      <c r="AG59" s="1">
        <f t="shared" si="36"/>
        <v>-29.444500200587196</v>
      </c>
      <c r="AH59" s="1">
        <f t="shared" si="37"/>
        <v>70.579430212860558</v>
      </c>
      <c r="AI59" s="1">
        <f t="shared" si="38"/>
        <v>452.54756324196904</v>
      </c>
      <c r="AJ59" s="1">
        <f t="shared" si="39"/>
        <v>0</v>
      </c>
      <c r="AK59" s="1">
        <f t="shared" si="40"/>
        <v>-19.827290979594004</v>
      </c>
      <c r="AL59" s="1">
        <f t="shared" si="41"/>
        <v>313.68072253479579</v>
      </c>
      <c r="AM59" s="1">
        <f t="shared" si="42"/>
        <v>171.68143834298223</v>
      </c>
      <c r="AN59" s="1">
        <f t="shared" si="43"/>
        <v>-39.003626284637384</v>
      </c>
      <c r="AO59" s="1">
        <f t="shared" si="44"/>
        <v>0.40489574004561379</v>
      </c>
      <c r="AP59" s="1">
        <f t="shared" si="45"/>
        <v>0</v>
      </c>
      <c r="AQ59" s="1">
        <f t="shared" si="46"/>
        <v>29.848444277104196</v>
      </c>
      <c r="AR59" s="1">
        <f t="shared" si="47"/>
        <v>0.40489574004561379</v>
      </c>
      <c r="AS59" s="1">
        <f t="shared" si="48"/>
        <v>0</v>
      </c>
      <c r="AT59" s="1">
        <f t="shared" si="49"/>
        <v>29.848444277104196</v>
      </c>
      <c r="AV59" s="9">
        <f t="shared" si="50"/>
        <v>3.1428571428571428</v>
      </c>
      <c r="AW59" s="10">
        <v>0.20320575112912201</v>
      </c>
      <c r="AX59" s="9">
        <v>0.182890835326593</v>
      </c>
      <c r="AZ59" s="10">
        <f t="shared" si="51"/>
        <v>4.1826066494727963</v>
      </c>
      <c r="BA59" s="10">
        <f t="shared" si="52"/>
        <v>0</v>
      </c>
      <c r="BB59" s="10">
        <f t="shared" si="53"/>
        <v>4.1826066494727963</v>
      </c>
      <c r="BD59" s="10">
        <f t="shared" si="54"/>
        <v>3.1428571428571428</v>
      </c>
      <c r="BE59" s="10">
        <f t="shared" si="55"/>
        <v>0.4046926427524063</v>
      </c>
      <c r="BF59" s="10">
        <f t="shared" si="56"/>
        <v>2.0309729320747166E-4</v>
      </c>
      <c r="BG59" s="10">
        <f t="shared" si="57"/>
        <v>0</v>
      </c>
      <c r="BH59" s="10">
        <f t="shared" si="58"/>
        <v>3.5477528829027567</v>
      </c>
      <c r="BJ59" s="1">
        <f t="shared" si="59"/>
        <v>0.63485376657003956</v>
      </c>
    </row>
    <row r="60" spans="2:62" x14ac:dyDescent="0.2">
      <c r="B60" s="13" t="s">
        <v>116</v>
      </c>
      <c r="C60" s="12" t="s">
        <v>60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S60" s="15">
        <v>73.71884</v>
      </c>
      <c r="T60" s="15">
        <v>-23.276809</v>
      </c>
      <c r="U60" s="21">
        <v>21.986353300000001</v>
      </c>
      <c r="V60" s="15">
        <v>20.789991000000001</v>
      </c>
      <c r="W60" s="15">
        <v>9.1959800000000005</v>
      </c>
      <c r="X60" s="16">
        <v>-150.75578899999999</v>
      </c>
      <c r="Y60" s="15">
        <v>8.9604540000000004</v>
      </c>
      <c r="AA60" s="1" t="str">
        <f t="shared" si="30"/>
        <v>SW_F-Ein</v>
      </c>
      <c r="AB60" s="1" t="str">
        <f t="shared" si="31"/>
        <v>Ethane</v>
      </c>
      <c r="AC60" s="11">
        <f t="shared" si="32"/>
        <v>950.06218114489332</v>
      </c>
      <c r="AD60" s="11">
        <f t="shared" si="33"/>
        <v>950.06218114489332</v>
      </c>
      <c r="AE60" s="5">
        <f t="shared" si="34"/>
        <v>0</v>
      </c>
      <c r="AF60" s="5">
        <f t="shared" si="35"/>
        <v>0</v>
      </c>
      <c r="AG60" s="1">
        <f t="shared" si="36"/>
        <v>-29.444500200587196</v>
      </c>
      <c r="AH60" s="1">
        <f t="shared" si="37"/>
        <v>70.579430212860558</v>
      </c>
      <c r="AI60" s="1">
        <f t="shared" si="38"/>
        <v>452.54756324196904</v>
      </c>
      <c r="AJ60" s="1">
        <f t="shared" si="39"/>
        <v>0</v>
      </c>
      <c r="AK60" s="1">
        <f t="shared" si="40"/>
        <v>-19.827290979594004</v>
      </c>
      <c r="AL60" s="1">
        <f t="shared" si="41"/>
        <v>313.68072253479579</v>
      </c>
      <c r="AM60" s="1">
        <f t="shared" si="42"/>
        <v>171.68143834298223</v>
      </c>
      <c r="AN60" s="1">
        <f t="shared" si="43"/>
        <v>-39.003626284637384</v>
      </c>
      <c r="AO60" s="1">
        <f t="shared" si="44"/>
        <v>0.40489574004561379</v>
      </c>
      <c r="AP60" s="1">
        <f t="shared" si="45"/>
        <v>0</v>
      </c>
      <c r="AQ60" s="1">
        <f t="shared" si="46"/>
        <v>29.848444277104196</v>
      </c>
      <c r="AR60" s="1">
        <f t="shared" si="47"/>
        <v>0.40489574004561379</v>
      </c>
      <c r="AS60" s="1">
        <f t="shared" si="48"/>
        <v>0</v>
      </c>
      <c r="AT60" s="1">
        <f t="shared" si="49"/>
        <v>29.848444277104196</v>
      </c>
      <c r="AV60" s="9">
        <f t="shared" si="50"/>
        <v>3.1428571428571428</v>
      </c>
      <c r="AW60" s="10">
        <v>0.20320575112912201</v>
      </c>
      <c r="AX60" s="9">
        <v>0.182890835326593</v>
      </c>
      <c r="AZ60" s="10">
        <f t="shared" si="51"/>
        <v>4.1826066494727963</v>
      </c>
      <c r="BA60" s="10">
        <f t="shared" si="52"/>
        <v>0</v>
      </c>
      <c r="BB60" s="10">
        <f t="shared" si="53"/>
        <v>4.1826066494727963</v>
      </c>
      <c r="BD60" s="10">
        <f t="shared" si="54"/>
        <v>3.1428571428571428</v>
      </c>
      <c r="BE60" s="10">
        <f t="shared" si="55"/>
        <v>0.4046926427524063</v>
      </c>
      <c r="BF60" s="10">
        <f t="shared" si="56"/>
        <v>2.0309729320747166E-4</v>
      </c>
      <c r="BG60" s="10">
        <f t="shared" si="57"/>
        <v>0</v>
      </c>
      <c r="BH60" s="10">
        <f t="shared" si="58"/>
        <v>3.5477528829027567</v>
      </c>
      <c r="BJ60" s="1">
        <f t="shared" si="59"/>
        <v>0.63485376657003956</v>
      </c>
    </row>
    <row r="61" spans="2:62" x14ac:dyDescent="0.2">
      <c r="B61" s="13" t="s">
        <v>117</v>
      </c>
      <c r="C61" s="12" t="s">
        <v>60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S61" s="15">
        <v>73.71884</v>
      </c>
      <c r="T61" s="15">
        <v>-23.276809</v>
      </c>
      <c r="U61" s="21">
        <v>21.986353300000001</v>
      </c>
      <c r="V61" s="15">
        <v>20.789991000000001</v>
      </c>
      <c r="W61" s="15">
        <v>9.1959800000000005</v>
      </c>
      <c r="X61" s="16">
        <v>-150.75578899999999</v>
      </c>
      <c r="Y61" s="15">
        <v>8.9604540000000004</v>
      </c>
      <c r="AA61" s="1" t="str">
        <f t="shared" si="30"/>
        <v>TX_F-Ein</v>
      </c>
      <c r="AB61" s="1" t="str">
        <f t="shared" si="31"/>
        <v>Ethane</v>
      </c>
      <c r="AC61" s="11">
        <f t="shared" si="32"/>
        <v>950.06218114489332</v>
      </c>
      <c r="AD61" s="11">
        <f t="shared" si="33"/>
        <v>950.06218114489332</v>
      </c>
      <c r="AE61" s="5">
        <f t="shared" si="34"/>
        <v>0</v>
      </c>
      <c r="AF61" s="5">
        <f t="shared" si="35"/>
        <v>0</v>
      </c>
      <c r="AG61" s="1">
        <f t="shared" si="36"/>
        <v>-29.444500200587196</v>
      </c>
      <c r="AH61" s="1">
        <f t="shared" si="37"/>
        <v>70.579430212860558</v>
      </c>
      <c r="AI61" s="1">
        <f t="shared" si="38"/>
        <v>452.54756324196904</v>
      </c>
      <c r="AJ61" s="1">
        <f t="shared" si="39"/>
        <v>0</v>
      </c>
      <c r="AK61" s="1">
        <f t="shared" si="40"/>
        <v>-19.827290979594004</v>
      </c>
      <c r="AL61" s="1">
        <f t="shared" si="41"/>
        <v>313.68072253479579</v>
      </c>
      <c r="AM61" s="1">
        <f t="shared" si="42"/>
        <v>171.68143834298223</v>
      </c>
      <c r="AN61" s="1">
        <f t="shared" si="43"/>
        <v>-39.003626284637384</v>
      </c>
      <c r="AO61" s="1">
        <f t="shared" si="44"/>
        <v>0.40489574004561379</v>
      </c>
      <c r="AP61" s="1">
        <f t="shared" si="45"/>
        <v>0</v>
      </c>
      <c r="AQ61" s="1">
        <f t="shared" si="46"/>
        <v>29.848444277104196</v>
      </c>
      <c r="AR61" s="1">
        <f t="shared" si="47"/>
        <v>0.40489574004561379</v>
      </c>
      <c r="AS61" s="1">
        <f t="shared" si="48"/>
        <v>0</v>
      </c>
      <c r="AT61" s="1">
        <f t="shared" si="49"/>
        <v>29.848444277104196</v>
      </c>
      <c r="AV61" s="9">
        <f t="shared" si="50"/>
        <v>3.1428571428571428</v>
      </c>
      <c r="AW61" s="10">
        <v>0.20320575112912201</v>
      </c>
      <c r="AX61" s="9">
        <v>0.182890835326593</v>
      </c>
      <c r="AZ61" s="10">
        <f t="shared" si="51"/>
        <v>4.1826066494727963</v>
      </c>
      <c r="BA61" s="10">
        <f t="shared" si="52"/>
        <v>0</v>
      </c>
      <c r="BB61" s="10">
        <f t="shared" si="53"/>
        <v>4.1826066494727963</v>
      </c>
      <c r="BD61" s="10">
        <f t="shared" si="54"/>
        <v>3.1428571428571428</v>
      </c>
      <c r="BE61" s="10">
        <f t="shared" si="55"/>
        <v>0.4046926427524063</v>
      </c>
      <c r="BF61" s="10">
        <f t="shared" si="56"/>
        <v>2.0309729320747166E-4</v>
      </c>
      <c r="BG61" s="10">
        <f t="shared" si="57"/>
        <v>0</v>
      </c>
      <c r="BH61" s="10">
        <f t="shared" si="58"/>
        <v>3.5477528829027567</v>
      </c>
      <c r="BJ61" s="1">
        <f t="shared" si="59"/>
        <v>0.63485376657003956</v>
      </c>
    </row>
    <row r="62" spans="2:62" x14ac:dyDescent="0.2">
      <c r="B62" s="13" t="s">
        <v>118</v>
      </c>
      <c r="C62" s="12" t="s">
        <v>60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S62" s="15">
        <v>73.71884</v>
      </c>
      <c r="T62" s="15">
        <v>-23.276809</v>
      </c>
      <c r="U62" s="21">
        <v>21.986353300000001</v>
      </c>
      <c r="V62" s="15">
        <v>20.789991000000001</v>
      </c>
      <c r="W62" s="15">
        <v>9.1959800000000005</v>
      </c>
      <c r="X62" s="16">
        <v>-150.75578899999999</v>
      </c>
      <c r="Y62" s="15">
        <v>8.9604540000000004</v>
      </c>
      <c r="AA62" s="1" t="str">
        <f t="shared" si="30"/>
        <v>NCEN_F-Ein</v>
      </c>
      <c r="AB62" s="1" t="str">
        <f t="shared" si="31"/>
        <v>Ethane</v>
      </c>
      <c r="AC62" s="11">
        <f t="shared" si="32"/>
        <v>950.06218114489332</v>
      </c>
      <c r="AD62" s="11">
        <f t="shared" si="33"/>
        <v>950.06218114489332</v>
      </c>
      <c r="AE62" s="5">
        <f t="shared" si="34"/>
        <v>0</v>
      </c>
      <c r="AF62" s="5">
        <f t="shared" si="35"/>
        <v>0</v>
      </c>
      <c r="AG62" s="1">
        <f t="shared" si="36"/>
        <v>-29.444500200587196</v>
      </c>
      <c r="AH62" s="1">
        <f t="shared" si="37"/>
        <v>70.579430212860558</v>
      </c>
      <c r="AI62" s="1">
        <f t="shared" si="38"/>
        <v>452.54756324196904</v>
      </c>
      <c r="AJ62" s="1">
        <f t="shared" si="39"/>
        <v>0</v>
      </c>
      <c r="AK62" s="1">
        <f t="shared" si="40"/>
        <v>-19.827290979594004</v>
      </c>
      <c r="AL62" s="1">
        <f t="shared" si="41"/>
        <v>313.68072253479579</v>
      </c>
      <c r="AM62" s="1">
        <f t="shared" si="42"/>
        <v>171.68143834298223</v>
      </c>
      <c r="AN62" s="1">
        <f t="shared" si="43"/>
        <v>-39.003626284637384</v>
      </c>
      <c r="AO62" s="1">
        <f t="shared" si="44"/>
        <v>0.40489574004561379</v>
      </c>
      <c r="AP62" s="1">
        <f t="shared" si="45"/>
        <v>0</v>
      </c>
      <c r="AQ62" s="1">
        <f t="shared" si="46"/>
        <v>29.848444277104196</v>
      </c>
      <c r="AR62" s="1">
        <f t="shared" si="47"/>
        <v>0.40489574004561379</v>
      </c>
      <c r="AS62" s="1">
        <f t="shared" si="48"/>
        <v>0</v>
      </c>
      <c r="AT62" s="1">
        <f t="shared" si="49"/>
        <v>29.848444277104196</v>
      </c>
      <c r="AV62" s="9">
        <f t="shared" si="50"/>
        <v>3.1428571428571428</v>
      </c>
      <c r="AW62" s="10">
        <v>0.20320575112912201</v>
      </c>
      <c r="AX62" s="9">
        <v>0.182890835326593</v>
      </c>
      <c r="AZ62" s="10">
        <f t="shared" si="51"/>
        <v>4.1826066494727963</v>
      </c>
      <c r="BA62" s="10">
        <f t="shared" si="52"/>
        <v>0</v>
      </c>
      <c r="BB62" s="10">
        <f t="shared" si="53"/>
        <v>4.1826066494727963</v>
      </c>
      <c r="BD62" s="10">
        <f t="shared" si="54"/>
        <v>3.1428571428571428</v>
      </c>
      <c r="BE62" s="10">
        <f t="shared" si="55"/>
        <v>0.4046926427524063</v>
      </c>
      <c r="BF62" s="10">
        <f t="shared" si="56"/>
        <v>2.0309729320747166E-4</v>
      </c>
      <c r="BG62" s="10">
        <f t="shared" si="57"/>
        <v>0</v>
      </c>
      <c r="BH62" s="10">
        <f t="shared" si="58"/>
        <v>3.5477528829027567</v>
      </c>
      <c r="BJ62" s="1">
        <f t="shared" si="59"/>
        <v>0.63485376657003956</v>
      </c>
    </row>
    <row r="63" spans="2:62" x14ac:dyDescent="0.2">
      <c r="B63" s="13" t="s">
        <v>119</v>
      </c>
      <c r="C63" s="12" t="s">
        <v>60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S63" s="15">
        <v>73.71884</v>
      </c>
      <c r="T63" s="15">
        <v>-23.276809</v>
      </c>
      <c r="U63" s="21">
        <v>21.986353300000001</v>
      </c>
      <c r="V63" s="15">
        <v>20.789991000000001</v>
      </c>
      <c r="W63" s="15">
        <v>9.1959800000000005</v>
      </c>
      <c r="X63" s="16">
        <v>-150.75578899999999</v>
      </c>
      <c r="Y63" s="15">
        <v>8.9604540000000004</v>
      </c>
      <c r="AA63" s="1" t="str">
        <f t="shared" si="30"/>
        <v>CEN_F-Ein</v>
      </c>
      <c r="AB63" s="1" t="str">
        <f t="shared" si="31"/>
        <v>Ethane</v>
      </c>
      <c r="AC63" s="11">
        <f t="shared" si="32"/>
        <v>950.06218114489332</v>
      </c>
      <c r="AD63" s="11">
        <f t="shared" si="33"/>
        <v>950.06218114489332</v>
      </c>
      <c r="AE63" s="5">
        <f t="shared" si="34"/>
        <v>0</v>
      </c>
      <c r="AF63" s="5">
        <f t="shared" si="35"/>
        <v>0</v>
      </c>
      <c r="AG63" s="1">
        <f t="shared" si="36"/>
        <v>-29.444500200587196</v>
      </c>
      <c r="AH63" s="1">
        <f t="shared" si="37"/>
        <v>70.579430212860558</v>
      </c>
      <c r="AI63" s="1">
        <f t="shared" si="38"/>
        <v>452.54756324196904</v>
      </c>
      <c r="AJ63" s="1">
        <f t="shared" si="39"/>
        <v>0</v>
      </c>
      <c r="AK63" s="1">
        <f t="shared" si="40"/>
        <v>-19.827290979594004</v>
      </c>
      <c r="AL63" s="1">
        <f t="shared" si="41"/>
        <v>313.68072253479579</v>
      </c>
      <c r="AM63" s="1">
        <f t="shared" si="42"/>
        <v>171.68143834298223</v>
      </c>
      <c r="AN63" s="1">
        <f t="shared" si="43"/>
        <v>-39.003626284637384</v>
      </c>
      <c r="AO63" s="1">
        <f t="shared" si="44"/>
        <v>0.40489574004561379</v>
      </c>
      <c r="AP63" s="1">
        <f t="shared" si="45"/>
        <v>0</v>
      </c>
      <c r="AQ63" s="1">
        <f t="shared" si="46"/>
        <v>29.848444277104196</v>
      </c>
      <c r="AR63" s="1">
        <f t="shared" si="47"/>
        <v>0.40489574004561379</v>
      </c>
      <c r="AS63" s="1">
        <f t="shared" si="48"/>
        <v>0</v>
      </c>
      <c r="AT63" s="1">
        <f t="shared" si="49"/>
        <v>29.848444277104196</v>
      </c>
      <c r="AV63" s="9">
        <f t="shared" si="50"/>
        <v>3.1428571428571428</v>
      </c>
      <c r="AW63" s="10">
        <v>0.20320575112912201</v>
      </c>
      <c r="AX63" s="9">
        <v>0.182890835326593</v>
      </c>
      <c r="AZ63" s="10">
        <f t="shared" si="51"/>
        <v>4.1826066494727963</v>
      </c>
      <c r="BA63" s="10">
        <f t="shared" si="52"/>
        <v>0</v>
      </c>
      <c r="BB63" s="10">
        <f t="shared" si="53"/>
        <v>4.1826066494727963</v>
      </c>
      <c r="BD63" s="10">
        <f t="shared" si="54"/>
        <v>3.1428571428571428</v>
      </c>
      <c r="BE63" s="10">
        <f t="shared" si="55"/>
        <v>0.4046926427524063</v>
      </c>
      <c r="BF63" s="10">
        <f t="shared" si="56"/>
        <v>2.0309729320747166E-4</v>
      </c>
      <c r="BG63" s="10">
        <f t="shared" si="57"/>
        <v>0</v>
      </c>
      <c r="BH63" s="10">
        <f t="shared" si="58"/>
        <v>3.5477528829027567</v>
      </c>
      <c r="BJ63" s="1">
        <f t="shared" si="59"/>
        <v>0.63485376657003956</v>
      </c>
    </row>
    <row r="64" spans="2:62" x14ac:dyDescent="0.2">
      <c r="B64" s="13" t="s">
        <v>120</v>
      </c>
      <c r="C64" s="12" t="s">
        <v>60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S64" s="15">
        <v>73.71884</v>
      </c>
      <c r="T64" s="15">
        <v>-23.276809</v>
      </c>
      <c r="U64" s="21">
        <v>21.986353300000001</v>
      </c>
      <c r="V64" s="15">
        <v>20.789991000000001</v>
      </c>
      <c r="W64" s="15">
        <v>9.1959800000000005</v>
      </c>
      <c r="X64" s="16">
        <v>-150.75578899999999</v>
      </c>
      <c r="Y64" s="15">
        <v>8.9604540000000004</v>
      </c>
      <c r="AA64" s="1" t="str">
        <f t="shared" si="30"/>
        <v>SE_F-Ein</v>
      </c>
      <c r="AB64" s="1" t="str">
        <f t="shared" si="31"/>
        <v>Ethane</v>
      </c>
      <c r="AC64" s="11">
        <f t="shared" si="32"/>
        <v>950.06218114489332</v>
      </c>
      <c r="AD64" s="11">
        <f t="shared" si="33"/>
        <v>950.06218114489332</v>
      </c>
      <c r="AE64" s="5">
        <f t="shared" si="34"/>
        <v>0</v>
      </c>
      <c r="AF64" s="5">
        <f t="shared" si="35"/>
        <v>0</v>
      </c>
      <c r="AG64" s="1">
        <f t="shared" si="36"/>
        <v>-29.444500200587196</v>
      </c>
      <c r="AH64" s="1">
        <f t="shared" si="37"/>
        <v>70.579430212860558</v>
      </c>
      <c r="AI64" s="1">
        <f t="shared" si="38"/>
        <v>452.54756324196904</v>
      </c>
      <c r="AJ64" s="1">
        <f t="shared" si="39"/>
        <v>0</v>
      </c>
      <c r="AK64" s="1">
        <f t="shared" si="40"/>
        <v>-19.827290979594004</v>
      </c>
      <c r="AL64" s="1">
        <f t="shared" si="41"/>
        <v>313.68072253479579</v>
      </c>
      <c r="AM64" s="1">
        <f t="shared" si="42"/>
        <v>171.68143834298223</v>
      </c>
      <c r="AN64" s="1">
        <f t="shared" si="43"/>
        <v>-39.003626284637384</v>
      </c>
      <c r="AO64" s="1">
        <f t="shared" si="44"/>
        <v>0.40489574004561379</v>
      </c>
      <c r="AP64" s="1">
        <f t="shared" si="45"/>
        <v>0</v>
      </c>
      <c r="AQ64" s="1">
        <f t="shared" si="46"/>
        <v>29.848444277104196</v>
      </c>
      <c r="AR64" s="1">
        <f t="shared" si="47"/>
        <v>0.40489574004561379</v>
      </c>
      <c r="AS64" s="1">
        <f t="shared" si="48"/>
        <v>0</v>
      </c>
      <c r="AT64" s="1">
        <f t="shared" si="49"/>
        <v>29.848444277104196</v>
      </c>
      <c r="AV64" s="9">
        <f t="shared" si="50"/>
        <v>3.1428571428571428</v>
      </c>
      <c r="AW64" s="10">
        <v>0.20320575112912201</v>
      </c>
      <c r="AX64" s="9">
        <v>0.182890835326593</v>
      </c>
      <c r="AZ64" s="10">
        <f t="shared" si="51"/>
        <v>4.1826066494727963</v>
      </c>
      <c r="BA64" s="10">
        <f t="shared" si="52"/>
        <v>0</v>
      </c>
      <c r="BB64" s="10">
        <f t="shared" si="53"/>
        <v>4.1826066494727963</v>
      </c>
      <c r="BD64" s="10">
        <f t="shared" si="54"/>
        <v>3.1428571428571428</v>
      </c>
      <c r="BE64" s="10">
        <f t="shared" si="55"/>
        <v>0.4046926427524063</v>
      </c>
      <c r="BF64" s="10">
        <f t="shared" si="56"/>
        <v>2.0309729320747166E-4</v>
      </c>
      <c r="BG64" s="10">
        <f t="shared" si="57"/>
        <v>0</v>
      </c>
      <c r="BH64" s="10">
        <f t="shared" si="58"/>
        <v>3.5477528829027567</v>
      </c>
      <c r="BJ64" s="1">
        <f t="shared" si="59"/>
        <v>0.63485376657003956</v>
      </c>
    </row>
    <row r="65" spans="2:62" x14ac:dyDescent="0.2">
      <c r="B65" s="13" t="s">
        <v>121</v>
      </c>
      <c r="C65" s="12" t="s">
        <v>60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S65" s="15">
        <v>73.71884</v>
      </c>
      <c r="T65" s="15">
        <v>-23.276809</v>
      </c>
      <c r="U65" s="21">
        <v>21.986353300000001</v>
      </c>
      <c r="V65" s="15">
        <v>20.789991000000001</v>
      </c>
      <c r="W65" s="15">
        <v>9.1959800000000005</v>
      </c>
      <c r="X65" s="16">
        <v>-150.75578899999999</v>
      </c>
      <c r="Y65" s="15">
        <v>8.9604540000000004</v>
      </c>
      <c r="AA65" s="1" t="str">
        <f t="shared" si="30"/>
        <v>MIDAT_F-Ein</v>
      </c>
      <c r="AB65" s="1" t="str">
        <f t="shared" si="31"/>
        <v>Ethane</v>
      </c>
      <c r="AC65" s="11">
        <f t="shared" si="32"/>
        <v>950.06218114489332</v>
      </c>
      <c r="AD65" s="11">
        <f t="shared" si="33"/>
        <v>950.06218114489332</v>
      </c>
      <c r="AE65" s="5">
        <f t="shared" si="34"/>
        <v>0</v>
      </c>
      <c r="AF65" s="5">
        <f t="shared" si="35"/>
        <v>0</v>
      </c>
      <c r="AG65" s="1">
        <f t="shared" si="36"/>
        <v>-29.444500200587196</v>
      </c>
      <c r="AH65" s="1">
        <f t="shared" si="37"/>
        <v>70.579430212860558</v>
      </c>
      <c r="AI65" s="1">
        <f t="shared" si="38"/>
        <v>452.54756324196904</v>
      </c>
      <c r="AJ65" s="1">
        <f t="shared" si="39"/>
        <v>0</v>
      </c>
      <c r="AK65" s="1">
        <f t="shared" si="40"/>
        <v>-19.827290979594004</v>
      </c>
      <c r="AL65" s="1">
        <f t="shared" si="41"/>
        <v>313.68072253479579</v>
      </c>
      <c r="AM65" s="1">
        <f t="shared" si="42"/>
        <v>171.68143834298223</v>
      </c>
      <c r="AN65" s="1">
        <f t="shared" si="43"/>
        <v>-39.003626284637384</v>
      </c>
      <c r="AO65" s="1">
        <f t="shared" si="44"/>
        <v>0.40489574004561379</v>
      </c>
      <c r="AP65" s="1">
        <f t="shared" si="45"/>
        <v>0</v>
      </c>
      <c r="AQ65" s="1">
        <f t="shared" si="46"/>
        <v>29.848444277104196</v>
      </c>
      <c r="AR65" s="1">
        <f t="shared" si="47"/>
        <v>0.40489574004561379</v>
      </c>
      <c r="AS65" s="1">
        <f t="shared" si="48"/>
        <v>0</v>
      </c>
      <c r="AT65" s="1">
        <f t="shared" si="49"/>
        <v>29.848444277104196</v>
      </c>
      <c r="AV65" s="9">
        <f t="shared" si="50"/>
        <v>3.1428571428571428</v>
      </c>
      <c r="AW65" s="10">
        <v>0.20320575112912201</v>
      </c>
      <c r="AX65" s="9">
        <v>0.182890835326593</v>
      </c>
      <c r="AZ65" s="10">
        <f t="shared" si="51"/>
        <v>4.1826066494727963</v>
      </c>
      <c r="BA65" s="10">
        <f t="shared" si="52"/>
        <v>0</v>
      </c>
      <c r="BB65" s="10">
        <f t="shared" si="53"/>
        <v>4.1826066494727963</v>
      </c>
      <c r="BD65" s="10">
        <f t="shared" si="54"/>
        <v>3.1428571428571428</v>
      </c>
      <c r="BE65" s="10">
        <f t="shared" si="55"/>
        <v>0.4046926427524063</v>
      </c>
      <c r="BF65" s="10">
        <f t="shared" si="56"/>
        <v>2.0309729320747166E-4</v>
      </c>
      <c r="BG65" s="10">
        <f t="shared" si="57"/>
        <v>0</v>
      </c>
      <c r="BH65" s="10">
        <f t="shared" si="58"/>
        <v>3.5477528829027567</v>
      </c>
      <c r="BJ65" s="1">
        <f t="shared" si="59"/>
        <v>0.63485376657003956</v>
      </c>
    </row>
    <row r="66" spans="2:62" x14ac:dyDescent="0.2">
      <c r="B66" s="13" t="s">
        <v>122</v>
      </c>
      <c r="C66" s="12" t="s">
        <v>60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S66" s="15">
        <v>73.71884</v>
      </c>
      <c r="T66" s="15">
        <v>-23.276809</v>
      </c>
      <c r="U66" s="21">
        <v>21.986353300000001</v>
      </c>
      <c r="V66" s="15">
        <v>20.789991000000001</v>
      </c>
      <c r="W66" s="15">
        <v>9.1959800000000005</v>
      </c>
      <c r="X66" s="16">
        <v>-150.75578899999999</v>
      </c>
      <c r="Y66" s="15">
        <v>8.9604540000000004</v>
      </c>
      <c r="AA66" s="1" t="str">
        <f t="shared" si="30"/>
        <v>NE_F-Ein</v>
      </c>
      <c r="AB66" s="1" t="str">
        <f t="shared" si="31"/>
        <v>Ethane</v>
      </c>
      <c r="AC66" s="11">
        <f t="shared" si="32"/>
        <v>950.06218114489332</v>
      </c>
      <c r="AD66" s="11">
        <f t="shared" si="33"/>
        <v>950.06218114489332</v>
      </c>
      <c r="AE66" s="5">
        <f t="shared" si="34"/>
        <v>0</v>
      </c>
      <c r="AF66" s="5">
        <f t="shared" si="35"/>
        <v>0</v>
      </c>
      <c r="AG66" s="1">
        <f t="shared" si="36"/>
        <v>-29.444500200587196</v>
      </c>
      <c r="AH66" s="1">
        <f t="shared" si="37"/>
        <v>70.579430212860558</v>
      </c>
      <c r="AI66" s="1">
        <f t="shared" si="38"/>
        <v>452.54756324196904</v>
      </c>
      <c r="AJ66" s="1">
        <f t="shared" si="39"/>
        <v>0</v>
      </c>
      <c r="AK66" s="1">
        <f t="shared" si="40"/>
        <v>-19.827290979594004</v>
      </c>
      <c r="AL66" s="1">
        <f t="shared" si="41"/>
        <v>313.68072253479579</v>
      </c>
      <c r="AM66" s="1">
        <f t="shared" si="42"/>
        <v>171.68143834298223</v>
      </c>
      <c r="AN66" s="1">
        <f t="shared" si="43"/>
        <v>-39.003626284637384</v>
      </c>
      <c r="AO66" s="1">
        <f t="shared" si="44"/>
        <v>0.40489574004561379</v>
      </c>
      <c r="AP66" s="1">
        <f t="shared" si="45"/>
        <v>0</v>
      </c>
      <c r="AQ66" s="1">
        <f t="shared" si="46"/>
        <v>29.848444277104196</v>
      </c>
      <c r="AR66" s="1">
        <f t="shared" si="47"/>
        <v>0.40489574004561379</v>
      </c>
      <c r="AS66" s="1">
        <f t="shared" si="48"/>
        <v>0</v>
      </c>
      <c r="AT66" s="1">
        <f t="shared" si="49"/>
        <v>29.848444277104196</v>
      </c>
      <c r="AV66" s="9">
        <f t="shared" si="50"/>
        <v>3.1428571428571428</v>
      </c>
      <c r="AW66" s="10">
        <v>0.20320575112912201</v>
      </c>
      <c r="AX66" s="9">
        <v>0.182890835326593</v>
      </c>
      <c r="AZ66" s="10">
        <f t="shared" si="51"/>
        <v>4.1826066494727963</v>
      </c>
      <c r="BA66" s="10">
        <f t="shared" si="52"/>
        <v>0</v>
      </c>
      <c r="BB66" s="10">
        <f t="shared" si="53"/>
        <v>4.1826066494727963</v>
      </c>
      <c r="BD66" s="10">
        <f t="shared" si="54"/>
        <v>3.1428571428571428</v>
      </c>
      <c r="BE66" s="10">
        <f t="shared" si="55"/>
        <v>0.4046926427524063</v>
      </c>
      <c r="BF66" s="10">
        <f t="shared" si="56"/>
        <v>2.0309729320747166E-4</v>
      </c>
      <c r="BG66" s="10">
        <f t="shared" si="57"/>
        <v>0</v>
      </c>
      <c r="BH66" s="10">
        <f t="shared" si="58"/>
        <v>3.5477528829027567</v>
      </c>
      <c r="BJ66" s="1">
        <f t="shared" si="59"/>
        <v>0.63485376657003956</v>
      </c>
    </row>
    <row r="67" spans="2:62" x14ac:dyDescent="0.2">
      <c r="B67" s="13" t="s">
        <v>123</v>
      </c>
      <c r="C67" s="12" t="s">
        <v>60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S67" s="15">
        <v>73.71884</v>
      </c>
      <c r="T67" s="15">
        <v>-23.276809</v>
      </c>
      <c r="U67" s="21">
        <v>21.986353300000001</v>
      </c>
      <c r="V67" s="15">
        <v>20.789991000000001</v>
      </c>
      <c r="W67" s="15">
        <v>9.1959800000000005</v>
      </c>
      <c r="X67" s="16">
        <v>-150.75578899999999</v>
      </c>
      <c r="Y67" s="15">
        <v>8.9604540000000004</v>
      </c>
      <c r="AA67" s="1" t="str">
        <f t="shared" si="30"/>
        <v>Existing_CA_F-NGin-H2out</v>
      </c>
      <c r="AB67" s="1" t="str">
        <f t="shared" si="31"/>
        <v>Ethane</v>
      </c>
      <c r="AC67" s="11">
        <f t="shared" si="32"/>
        <v>847.7074710262707</v>
      </c>
      <c r="AD67" s="11">
        <f t="shared" si="33"/>
        <v>847.7074710262707</v>
      </c>
      <c r="AE67" s="5">
        <f t="shared" si="34"/>
        <v>0</v>
      </c>
      <c r="AF67" s="5">
        <f t="shared" si="35"/>
        <v>0</v>
      </c>
      <c r="AG67" s="1">
        <f t="shared" si="36"/>
        <v>-29.444500200587196</v>
      </c>
      <c r="AH67" s="1">
        <f t="shared" si="37"/>
        <v>0</v>
      </c>
      <c r="AI67" s="1">
        <f t="shared" si="38"/>
        <v>452.54756324196904</v>
      </c>
      <c r="AJ67" s="1">
        <f t="shared" si="39"/>
        <v>31.007553608772341</v>
      </c>
      <c r="AK67" s="1">
        <f t="shared" si="40"/>
        <v>0</v>
      </c>
      <c r="AL67" s="1">
        <f t="shared" si="41"/>
        <v>236.76830702877979</v>
      </c>
      <c r="AM67" s="1">
        <f t="shared" si="42"/>
        <v>129.5862977462161</v>
      </c>
      <c r="AN67" s="1">
        <f t="shared" si="43"/>
        <v>-49.262240069007916</v>
      </c>
      <c r="AO67" s="1">
        <f t="shared" si="44"/>
        <v>1.037787486484167</v>
      </c>
      <c r="AP67" s="1">
        <f t="shared" si="45"/>
        <v>0</v>
      </c>
      <c r="AQ67" s="1">
        <f t="shared" si="46"/>
        <v>76.504489670128464</v>
      </c>
      <c r="AR67" s="1">
        <f t="shared" si="47"/>
        <v>1.037787486484167</v>
      </c>
      <c r="AS67" s="1">
        <f t="shared" si="48"/>
        <v>0</v>
      </c>
      <c r="AT67" s="1">
        <f t="shared" si="49"/>
        <v>76.504489670128464</v>
      </c>
      <c r="AV67" s="9">
        <f t="shared" si="50"/>
        <v>3.1428571428571428</v>
      </c>
      <c r="AW67" s="10">
        <v>0.20320575112912201</v>
      </c>
      <c r="AX67" s="9">
        <v>0.182890835326593</v>
      </c>
      <c r="AZ67" s="10">
        <f t="shared" si="51"/>
        <v>4.1826066494727963</v>
      </c>
      <c r="BA67" s="10">
        <f t="shared" si="52"/>
        <v>0.63289174643857182</v>
      </c>
      <c r="BB67" s="10">
        <f t="shared" si="53"/>
        <v>4.8154983959113684</v>
      </c>
      <c r="BD67" s="10">
        <f t="shared" si="54"/>
        <v>3.1428571428571428</v>
      </c>
      <c r="BE67" s="10">
        <f t="shared" si="55"/>
        <v>0</v>
      </c>
      <c r="BF67" s="10">
        <f t="shared" si="56"/>
        <v>1.037787486484167</v>
      </c>
      <c r="BG67" s="10">
        <f t="shared" si="57"/>
        <v>0</v>
      </c>
      <c r="BH67" s="10">
        <f t="shared" si="58"/>
        <v>4.1806446293413098</v>
      </c>
      <c r="BJ67" s="1">
        <f t="shared" si="59"/>
        <v>0.63485376657005865</v>
      </c>
    </row>
    <row r="68" spans="2:62" x14ac:dyDescent="0.2">
      <c r="B68" s="13" t="s">
        <v>124</v>
      </c>
      <c r="C68" s="12" t="s">
        <v>60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S68" s="15">
        <v>73.71884</v>
      </c>
      <c r="T68" s="15">
        <v>-23.276809</v>
      </c>
      <c r="U68" s="21">
        <v>21.986353300000001</v>
      </c>
      <c r="V68" s="15">
        <v>20.789991000000001</v>
      </c>
      <c r="W68" s="15">
        <v>9.1959800000000005</v>
      </c>
      <c r="X68" s="16">
        <v>-150.75578899999999</v>
      </c>
      <c r="Y68" s="15">
        <v>8.9604540000000004</v>
      </c>
      <c r="AA68" s="1" t="str">
        <f t="shared" ref="AA68:AA80" si="60">B68</f>
        <v>Existing_NW_F-NGin-H2out</v>
      </c>
      <c r="AB68" s="1" t="str">
        <f t="shared" ref="AB68:AB80" si="61">C68</f>
        <v>Ethane</v>
      </c>
      <c r="AC68" s="11">
        <f t="shared" ref="AC68:AC80" si="62">SUM(AF68:AN68)+AP68+AQ68</f>
        <v>847.7074710262707</v>
      </c>
      <c r="AD68" s="11">
        <f t="shared" ref="AD68:AD80" si="63">SUM(AF68:AN68)+AS68+AT68</f>
        <v>847.7074710262707</v>
      </c>
      <c r="AE68" s="5">
        <f t="shared" ref="AE68:AE80" si="64">AC68-AD68</f>
        <v>0</v>
      </c>
      <c r="AF68" s="5">
        <f t="shared" ref="AF68:AF80" si="65">E68/H68*W68</f>
        <v>0</v>
      </c>
      <c r="AG68" s="1">
        <f t="shared" ref="AG68:AG80" si="66">F68/H68*W68*-1</f>
        <v>-29.444500200587196</v>
      </c>
      <c r="AH68" s="1">
        <f t="shared" ref="AH68:AH80" si="67">G68/H68*V68</f>
        <v>0</v>
      </c>
      <c r="AI68" s="1">
        <f t="shared" ref="AI68:AI80" si="68">1/H68*U68</f>
        <v>452.54756324196904</v>
      </c>
      <c r="AJ68" s="1">
        <f t="shared" ref="AJ68:AJ80" si="69">I68/H68*Y68</f>
        <v>31.007553608772341</v>
      </c>
      <c r="AK68" s="1">
        <f t="shared" ref="AK68:AK80" si="70">J68/H68*Y68*-1</f>
        <v>0</v>
      </c>
      <c r="AL68" s="1">
        <f t="shared" ref="AL68:AL80" si="71">O68/H68/(0.9*8760)</f>
        <v>236.76830702877979</v>
      </c>
      <c r="AM68" s="1">
        <f t="shared" ref="AM68:AM80" si="72">P68/H68/(0.9*8760)</f>
        <v>129.5862977462161</v>
      </c>
      <c r="AN68" s="1">
        <f t="shared" ref="AN68:AN80" si="73">Q68/H68</f>
        <v>-49.262240069007916</v>
      </c>
      <c r="AO68" s="1">
        <f t="shared" ref="AO68:AO80" si="74">BE68+BF68+BG68</f>
        <v>1.037787486484167</v>
      </c>
      <c r="AP68" s="1">
        <f t="shared" ref="AP68:AP80" si="75">(S68+T68)*-1*(K68+M68)/H68</f>
        <v>0</v>
      </c>
      <c r="AQ68" s="1">
        <f t="shared" ref="AQ68:AQ80" si="76">AO68*S68</f>
        <v>76.504489670128464</v>
      </c>
      <c r="AR68" s="1">
        <f t="shared" ref="AR68:AR80" si="77">BE68+BF68</f>
        <v>1.037787486484167</v>
      </c>
      <c r="AS68" s="1">
        <f t="shared" ref="AS68:AS80" si="78">T68*(K68+M68)*-1/H68</f>
        <v>0</v>
      </c>
      <c r="AT68" s="1">
        <f t="shared" ref="AT68:AT80" si="79">AR68*S68</f>
        <v>76.504489670128464</v>
      </c>
      <c r="AV68" s="9">
        <f t="shared" ref="AV68:AV80" si="80">22/7</f>
        <v>3.1428571428571428</v>
      </c>
      <c r="AW68" s="10">
        <v>0.20320575112912201</v>
      </c>
      <c r="AX68" s="9">
        <v>0.182890835326593</v>
      </c>
      <c r="AZ68" s="10">
        <f t="shared" ref="AZ68:AZ80" si="81">1/H68*AW68</f>
        <v>4.1826066494727963</v>
      </c>
      <c r="BA68" s="10">
        <f t="shared" ref="BA68:BA80" si="82">I68/H68*AX68</f>
        <v>0.63289174643857182</v>
      </c>
      <c r="BB68" s="10">
        <f t="shared" ref="BB68:BB80" si="83">AZ68+BA68</f>
        <v>4.8154983959113684</v>
      </c>
      <c r="BD68" s="10">
        <f t="shared" ref="BD68:BD80" si="84">AV68</f>
        <v>3.1428571428571428</v>
      </c>
      <c r="BE68" s="10">
        <f t="shared" ref="BE68:BE80" si="85">J68/H68*AX68</f>
        <v>0</v>
      </c>
      <c r="BF68" s="10">
        <f t="shared" ref="BF68:BF80" si="86">(L68+N68)/H68</f>
        <v>1.037787486484167</v>
      </c>
      <c r="BG68" s="10">
        <f t="shared" ref="BG68:BG80" si="87">(K68+M68)/H68</f>
        <v>0</v>
      </c>
      <c r="BH68" s="10">
        <f t="shared" ref="BH68:BH80" si="88">SUM(BD68:BG68)</f>
        <v>4.1806446293413098</v>
      </c>
      <c r="BJ68" s="1">
        <f t="shared" ref="BJ68:BJ80" si="89">BB68-BH68</f>
        <v>0.63485376657005865</v>
      </c>
    </row>
    <row r="69" spans="2:62" x14ac:dyDescent="0.2">
      <c r="B69" s="13" t="s">
        <v>125</v>
      </c>
      <c r="C69" s="12" t="s">
        <v>60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S69" s="15">
        <v>73.71884</v>
      </c>
      <c r="T69" s="15">
        <v>-23.276809</v>
      </c>
      <c r="U69" s="21">
        <v>21.986353300000001</v>
      </c>
      <c r="V69" s="15">
        <v>20.789991000000001</v>
      </c>
      <c r="W69" s="15">
        <v>9.1959800000000005</v>
      </c>
      <c r="X69" s="16">
        <v>-150.75578899999999</v>
      </c>
      <c r="Y69" s="15">
        <v>8.9604540000000004</v>
      </c>
      <c r="AA69" s="1" t="str">
        <f t="shared" si="60"/>
        <v>Existing_SW_F-NGin-H2out</v>
      </c>
      <c r="AB69" s="1" t="str">
        <f t="shared" si="61"/>
        <v>Ethane</v>
      </c>
      <c r="AC69" s="11">
        <f t="shared" si="62"/>
        <v>847.7074710262707</v>
      </c>
      <c r="AD69" s="11">
        <f t="shared" si="63"/>
        <v>847.7074710262707</v>
      </c>
      <c r="AE69" s="5">
        <f t="shared" si="64"/>
        <v>0</v>
      </c>
      <c r="AF69" s="5">
        <f t="shared" si="65"/>
        <v>0</v>
      </c>
      <c r="AG69" s="1">
        <f t="shared" si="66"/>
        <v>-29.444500200587196</v>
      </c>
      <c r="AH69" s="1">
        <f t="shared" si="67"/>
        <v>0</v>
      </c>
      <c r="AI69" s="1">
        <f t="shared" si="68"/>
        <v>452.54756324196904</v>
      </c>
      <c r="AJ69" s="1">
        <f t="shared" si="69"/>
        <v>31.007553608772341</v>
      </c>
      <c r="AK69" s="1">
        <f t="shared" si="70"/>
        <v>0</v>
      </c>
      <c r="AL69" s="1">
        <f t="shared" si="71"/>
        <v>236.76830702877979</v>
      </c>
      <c r="AM69" s="1">
        <f t="shared" si="72"/>
        <v>129.5862977462161</v>
      </c>
      <c r="AN69" s="1">
        <f t="shared" si="73"/>
        <v>-49.262240069007916</v>
      </c>
      <c r="AO69" s="1">
        <f t="shared" si="74"/>
        <v>1.037787486484167</v>
      </c>
      <c r="AP69" s="1">
        <f t="shared" si="75"/>
        <v>0</v>
      </c>
      <c r="AQ69" s="1">
        <f t="shared" si="76"/>
        <v>76.504489670128464</v>
      </c>
      <c r="AR69" s="1">
        <f t="shared" si="77"/>
        <v>1.037787486484167</v>
      </c>
      <c r="AS69" s="1">
        <f t="shared" si="78"/>
        <v>0</v>
      </c>
      <c r="AT69" s="1">
        <f t="shared" si="79"/>
        <v>76.504489670128464</v>
      </c>
      <c r="AV69" s="9">
        <f t="shared" si="80"/>
        <v>3.1428571428571428</v>
      </c>
      <c r="AW69" s="10">
        <v>0.20320575112912201</v>
      </c>
      <c r="AX69" s="9">
        <v>0.182890835326593</v>
      </c>
      <c r="AZ69" s="10">
        <f t="shared" si="81"/>
        <v>4.1826066494727963</v>
      </c>
      <c r="BA69" s="10">
        <f t="shared" si="82"/>
        <v>0.63289174643857182</v>
      </c>
      <c r="BB69" s="10">
        <f t="shared" si="83"/>
        <v>4.8154983959113684</v>
      </c>
      <c r="BD69" s="10">
        <f t="shared" si="84"/>
        <v>3.1428571428571428</v>
      </c>
      <c r="BE69" s="10">
        <f t="shared" si="85"/>
        <v>0</v>
      </c>
      <c r="BF69" s="10">
        <f t="shared" si="86"/>
        <v>1.037787486484167</v>
      </c>
      <c r="BG69" s="10">
        <f t="shared" si="87"/>
        <v>0</v>
      </c>
      <c r="BH69" s="10">
        <f t="shared" si="88"/>
        <v>4.1806446293413098</v>
      </c>
      <c r="BJ69" s="1">
        <f t="shared" si="89"/>
        <v>0.63485376657005865</v>
      </c>
    </row>
    <row r="70" spans="2:62" x14ac:dyDescent="0.2">
      <c r="B70" s="13" t="s">
        <v>126</v>
      </c>
      <c r="C70" s="12" t="s">
        <v>60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S70" s="15">
        <v>73.71884</v>
      </c>
      <c r="T70" s="15">
        <v>-23.276809</v>
      </c>
      <c r="U70" s="21">
        <v>21.986353300000001</v>
      </c>
      <c r="V70" s="15">
        <v>20.789991000000001</v>
      </c>
      <c r="W70" s="15">
        <v>9.1959800000000005</v>
      </c>
      <c r="X70" s="16">
        <v>-150.75578899999999</v>
      </c>
      <c r="Y70" s="15">
        <v>8.9604540000000004</v>
      </c>
      <c r="AA70" s="1" t="str">
        <f t="shared" si="60"/>
        <v>Existing_TX_F-NGin-H2out</v>
      </c>
      <c r="AB70" s="1" t="str">
        <f t="shared" si="61"/>
        <v>Ethane</v>
      </c>
      <c r="AC70" s="11">
        <f t="shared" si="62"/>
        <v>847.7074710262707</v>
      </c>
      <c r="AD70" s="11">
        <f t="shared" si="63"/>
        <v>847.7074710262707</v>
      </c>
      <c r="AE70" s="5">
        <f t="shared" si="64"/>
        <v>0</v>
      </c>
      <c r="AF70" s="5">
        <f t="shared" si="65"/>
        <v>0</v>
      </c>
      <c r="AG70" s="1">
        <f t="shared" si="66"/>
        <v>-29.444500200587196</v>
      </c>
      <c r="AH70" s="1">
        <f t="shared" si="67"/>
        <v>0</v>
      </c>
      <c r="AI70" s="1">
        <f t="shared" si="68"/>
        <v>452.54756324196904</v>
      </c>
      <c r="AJ70" s="1">
        <f t="shared" si="69"/>
        <v>31.007553608772341</v>
      </c>
      <c r="AK70" s="1">
        <f t="shared" si="70"/>
        <v>0</v>
      </c>
      <c r="AL70" s="1">
        <f t="shared" si="71"/>
        <v>236.76830702877979</v>
      </c>
      <c r="AM70" s="1">
        <f t="shared" si="72"/>
        <v>129.5862977462161</v>
      </c>
      <c r="AN70" s="1">
        <f t="shared" si="73"/>
        <v>-49.262240069007916</v>
      </c>
      <c r="AO70" s="1">
        <f t="shared" si="74"/>
        <v>1.037787486484167</v>
      </c>
      <c r="AP70" s="1">
        <f t="shared" si="75"/>
        <v>0</v>
      </c>
      <c r="AQ70" s="1">
        <f t="shared" si="76"/>
        <v>76.504489670128464</v>
      </c>
      <c r="AR70" s="1">
        <f t="shared" si="77"/>
        <v>1.037787486484167</v>
      </c>
      <c r="AS70" s="1">
        <f t="shared" si="78"/>
        <v>0</v>
      </c>
      <c r="AT70" s="1">
        <f t="shared" si="79"/>
        <v>76.504489670128464</v>
      </c>
      <c r="AV70" s="9">
        <f t="shared" si="80"/>
        <v>3.1428571428571428</v>
      </c>
      <c r="AW70" s="10">
        <v>0.20320575112912201</v>
      </c>
      <c r="AX70" s="9">
        <v>0.182890835326593</v>
      </c>
      <c r="AZ70" s="10">
        <f t="shared" si="81"/>
        <v>4.1826066494727963</v>
      </c>
      <c r="BA70" s="10">
        <f t="shared" si="82"/>
        <v>0.63289174643857182</v>
      </c>
      <c r="BB70" s="10">
        <f t="shared" si="83"/>
        <v>4.8154983959113684</v>
      </c>
      <c r="BD70" s="10">
        <f t="shared" si="84"/>
        <v>3.1428571428571428</v>
      </c>
      <c r="BE70" s="10">
        <f t="shared" si="85"/>
        <v>0</v>
      </c>
      <c r="BF70" s="10">
        <f t="shared" si="86"/>
        <v>1.037787486484167</v>
      </c>
      <c r="BG70" s="10">
        <f t="shared" si="87"/>
        <v>0</v>
      </c>
      <c r="BH70" s="10">
        <f t="shared" si="88"/>
        <v>4.1806446293413098</v>
      </c>
      <c r="BJ70" s="1">
        <f t="shared" si="89"/>
        <v>0.63485376657005865</v>
      </c>
    </row>
    <row r="71" spans="2:62" x14ac:dyDescent="0.2">
      <c r="B71" s="13" t="s">
        <v>127</v>
      </c>
      <c r="C71" s="12" t="s">
        <v>60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S71" s="15">
        <v>73.71884</v>
      </c>
      <c r="T71" s="15">
        <v>-23.276809</v>
      </c>
      <c r="U71" s="21">
        <v>21.986353300000001</v>
      </c>
      <c r="V71" s="15">
        <v>20.789991000000001</v>
      </c>
      <c r="W71" s="15">
        <v>9.1959800000000005</v>
      </c>
      <c r="X71" s="16">
        <v>-150.75578899999999</v>
      </c>
      <c r="Y71" s="15">
        <v>8.9604540000000004</v>
      </c>
      <c r="AA71" s="1" t="str">
        <f t="shared" si="60"/>
        <v>Existing_NCEN_F-NGin-H2out</v>
      </c>
      <c r="AB71" s="1" t="str">
        <f t="shared" si="61"/>
        <v>Ethane</v>
      </c>
      <c r="AC71" s="11">
        <f t="shared" si="62"/>
        <v>847.7074710262707</v>
      </c>
      <c r="AD71" s="11">
        <f t="shared" si="63"/>
        <v>847.7074710262707</v>
      </c>
      <c r="AE71" s="5">
        <f t="shared" si="64"/>
        <v>0</v>
      </c>
      <c r="AF71" s="5">
        <f t="shared" si="65"/>
        <v>0</v>
      </c>
      <c r="AG71" s="1">
        <f t="shared" si="66"/>
        <v>-29.444500200587196</v>
      </c>
      <c r="AH71" s="1">
        <f t="shared" si="67"/>
        <v>0</v>
      </c>
      <c r="AI71" s="1">
        <f t="shared" si="68"/>
        <v>452.54756324196904</v>
      </c>
      <c r="AJ71" s="1">
        <f t="shared" si="69"/>
        <v>31.007553608772341</v>
      </c>
      <c r="AK71" s="1">
        <f t="shared" si="70"/>
        <v>0</v>
      </c>
      <c r="AL71" s="1">
        <f t="shared" si="71"/>
        <v>236.76830702877979</v>
      </c>
      <c r="AM71" s="1">
        <f t="shared" si="72"/>
        <v>129.5862977462161</v>
      </c>
      <c r="AN71" s="1">
        <f t="shared" si="73"/>
        <v>-49.262240069007916</v>
      </c>
      <c r="AO71" s="1">
        <f t="shared" si="74"/>
        <v>1.037787486484167</v>
      </c>
      <c r="AP71" s="1">
        <f t="shared" si="75"/>
        <v>0</v>
      </c>
      <c r="AQ71" s="1">
        <f t="shared" si="76"/>
        <v>76.504489670128464</v>
      </c>
      <c r="AR71" s="1">
        <f t="shared" si="77"/>
        <v>1.037787486484167</v>
      </c>
      <c r="AS71" s="1">
        <f t="shared" si="78"/>
        <v>0</v>
      </c>
      <c r="AT71" s="1">
        <f t="shared" si="79"/>
        <v>76.504489670128464</v>
      </c>
      <c r="AV71" s="9">
        <f t="shared" si="80"/>
        <v>3.1428571428571428</v>
      </c>
      <c r="AW71" s="10">
        <v>0.20320575112912201</v>
      </c>
      <c r="AX71" s="9">
        <v>0.182890835326593</v>
      </c>
      <c r="AZ71" s="10">
        <f t="shared" si="81"/>
        <v>4.1826066494727963</v>
      </c>
      <c r="BA71" s="10">
        <f t="shared" si="82"/>
        <v>0.63289174643857182</v>
      </c>
      <c r="BB71" s="10">
        <f t="shared" si="83"/>
        <v>4.8154983959113684</v>
      </c>
      <c r="BD71" s="10">
        <f t="shared" si="84"/>
        <v>3.1428571428571428</v>
      </c>
      <c r="BE71" s="10">
        <f t="shared" si="85"/>
        <v>0</v>
      </c>
      <c r="BF71" s="10">
        <f t="shared" si="86"/>
        <v>1.037787486484167</v>
      </c>
      <c r="BG71" s="10">
        <f t="shared" si="87"/>
        <v>0</v>
      </c>
      <c r="BH71" s="10">
        <f t="shared" si="88"/>
        <v>4.1806446293413098</v>
      </c>
      <c r="BJ71" s="1">
        <f t="shared" si="89"/>
        <v>0.63485376657005865</v>
      </c>
    </row>
    <row r="72" spans="2:62" x14ac:dyDescent="0.2">
      <c r="B72" s="13" t="s">
        <v>128</v>
      </c>
      <c r="C72" s="12" t="s">
        <v>60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S72" s="15">
        <v>73.71884</v>
      </c>
      <c r="T72" s="15">
        <v>-23.276809</v>
      </c>
      <c r="U72" s="21">
        <v>21.986353300000001</v>
      </c>
      <c r="V72" s="15">
        <v>20.789991000000001</v>
      </c>
      <c r="W72" s="15">
        <v>9.1959800000000005</v>
      </c>
      <c r="X72" s="16">
        <v>-150.75578899999999</v>
      </c>
      <c r="Y72" s="15">
        <v>8.9604540000000004</v>
      </c>
      <c r="AA72" s="1" t="str">
        <f t="shared" si="60"/>
        <v>Existing_CEN_F-NGin-H2out</v>
      </c>
      <c r="AB72" s="1" t="str">
        <f t="shared" si="61"/>
        <v>Ethane</v>
      </c>
      <c r="AC72" s="11">
        <f t="shared" si="62"/>
        <v>847.7074710262707</v>
      </c>
      <c r="AD72" s="11">
        <f t="shared" si="63"/>
        <v>847.7074710262707</v>
      </c>
      <c r="AE72" s="5">
        <f t="shared" si="64"/>
        <v>0</v>
      </c>
      <c r="AF72" s="5">
        <f t="shared" si="65"/>
        <v>0</v>
      </c>
      <c r="AG72" s="1">
        <f t="shared" si="66"/>
        <v>-29.444500200587196</v>
      </c>
      <c r="AH72" s="1">
        <f t="shared" si="67"/>
        <v>0</v>
      </c>
      <c r="AI72" s="1">
        <f t="shared" si="68"/>
        <v>452.54756324196904</v>
      </c>
      <c r="AJ72" s="1">
        <f t="shared" si="69"/>
        <v>31.007553608772341</v>
      </c>
      <c r="AK72" s="1">
        <f t="shared" si="70"/>
        <v>0</v>
      </c>
      <c r="AL72" s="1">
        <f t="shared" si="71"/>
        <v>236.76830702877979</v>
      </c>
      <c r="AM72" s="1">
        <f t="shared" si="72"/>
        <v>129.5862977462161</v>
      </c>
      <c r="AN72" s="1">
        <f t="shared" si="73"/>
        <v>-49.262240069007916</v>
      </c>
      <c r="AO72" s="1">
        <f t="shared" si="74"/>
        <v>1.037787486484167</v>
      </c>
      <c r="AP72" s="1">
        <f t="shared" si="75"/>
        <v>0</v>
      </c>
      <c r="AQ72" s="1">
        <f t="shared" si="76"/>
        <v>76.504489670128464</v>
      </c>
      <c r="AR72" s="1">
        <f t="shared" si="77"/>
        <v>1.037787486484167</v>
      </c>
      <c r="AS72" s="1">
        <f t="shared" si="78"/>
        <v>0</v>
      </c>
      <c r="AT72" s="1">
        <f t="shared" si="79"/>
        <v>76.504489670128464</v>
      </c>
      <c r="AV72" s="9">
        <f t="shared" si="80"/>
        <v>3.1428571428571428</v>
      </c>
      <c r="AW72" s="10">
        <v>0.20320575112912201</v>
      </c>
      <c r="AX72" s="9">
        <v>0.182890835326593</v>
      </c>
      <c r="AZ72" s="10">
        <f t="shared" si="81"/>
        <v>4.1826066494727963</v>
      </c>
      <c r="BA72" s="10">
        <f t="shared" si="82"/>
        <v>0.63289174643857182</v>
      </c>
      <c r="BB72" s="10">
        <f t="shared" si="83"/>
        <v>4.8154983959113684</v>
      </c>
      <c r="BD72" s="10">
        <f t="shared" si="84"/>
        <v>3.1428571428571428</v>
      </c>
      <c r="BE72" s="10">
        <f t="shared" si="85"/>
        <v>0</v>
      </c>
      <c r="BF72" s="10">
        <f t="shared" si="86"/>
        <v>1.037787486484167</v>
      </c>
      <c r="BG72" s="10">
        <f t="shared" si="87"/>
        <v>0</v>
      </c>
      <c r="BH72" s="10">
        <f t="shared" si="88"/>
        <v>4.1806446293413098</v>
      </c>
      <c r="BJ72" s="1">
        <f t="shared" si="89"/>
        <v>0.63485376657005865</v>
      </c>
    </row>
    <row r="73" spans="2:62" x14ac:dyDescent="0.2">
      <c r="B73" s="13" t="s">
        <v>129</v>
      </c>
      <c r="C73" s="12" t="s">
        <v>60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S73" s="15">
        <v>73.71884</v>
      </c>
      <c r="T73" s="15">
        <v>-23.276809</v>
      </c>
      <c r="U73" s="21">
        <v>21.986353300000001</v>
      </c>
      <c r="V73" s="15">
        <v>20.789991000000001</v>
      </c>
      <c r="W73" s="15">
        <v>9.1959800000000005</v>
      </c>
      <c r="X73" s="16">
        <v>-150.75578899999999</v>
      </c>
      <c r="Y73" s="15">
        <v>8.9604540000000004</v>
      </c>
      <c r="AA73" s="1" t="str">
        <f t="shared" si="60"/>
        <v>Existing_SE_F-NGin-H2out</v>
      </c>
      <c r="AB73" s="1" t="str">
        <f t="shared" si="61"/>
        <v>Ethane</v>
      </c>
      <c r="AC73" s="11">
        <f t="shared" si="62"/>
        <v>847.7074710262707</v>
      </c>
      <c r="AD73" s="11">
        <f t="shared" si="63"/>
        <v>847.7074710262707</v>
      </c>
      <c r="AE73" s="5">
        <f t="shared" si="64"/>
        <v>0</v>
      </c>
      <c r="AF73" s="5">
        <f t="shared" si="65"/>
        <v>0</v>
      </c>
      <c r="AG73" s="1">
        <f t="shared" si="66"/>
        <v>-29.444500200587196</v>
      </c>
      <c r="AH73" s="1">
        <f t="shared" si="67"/>
        <v>0</v>
      </c>
      <c r="AI73" s="1">
        <f t="shared" si="68"/>
        <v>452.54756324196904</v>
      </c>
      <c r="AJ73" s="1">
        <f t="shared" si="69"/>
        <v>31.007553608772341</v>
      </c>
      <c r="AK73" s="1">
        <f t="shared" si="70"/>
        <v>0</v>
      </c>
      <c r="AL73" s="1">
        <f t="shared" si="71"/>
        <v>236.76830702877979</v>
      </c>
      <c r="AM73" s="1">
        <f t="shared" si="72"/>
        <v>129.5862977462161</v>
      </c>
      <c r="AN73" s="1">
        <f t="shared" si="73"/>
        <v>-49.262240069007916</v>
      </c>
      <c r="AO73" s="1">
        <f t="shared" si="74"/>
        <v>1.037787486484167</v>
      </c>
      <c r="AP73" s="1">
        <f t="shared" si="75"/>
        <v>0</v>
      </c>
      <c r="AQ73" s="1">
        <f t="shared" si="76"/>
        <v>76.504489670128464</v>
      </c>
      <c r="AR73" s="1">
        <f t="shared" si="77"/>
        <v>1.037787486484167</v>
      </c>
      <c r="AS73" s="1">
        <f t="shared" si="78"/>
        <v>0</v>
      </c>
      <c r="AT73" s="1">
        <f t="shared" si="79"/>
        <v>76.504489670128464</v>
      </c>
      <c r="AV73" s="9">
        <f t="shared" si="80"/>
        <v>3.1428571428571428</v>
      </c>
      <c r="AW73" s="10">
        <v>0.20320575112912201</v>
      </c>
      <c r="AX73" s="9">
        <v>0.182890835326593</v>
      </c>
      <c r="AZ73" s="10">
        <f t="shared" si="81"/>
        <v>4.1826066494727963</v>
      </c>
      <c r="BA73" s="10">
        <f t="shared" si="82"/>
        <v>0.63289174643857182</v>
      </c>
      <c r="BB73" s="10">
        <f t="shared" si="83"/>
        <v>4.8154983959113684</v>
      </c>
      <c r="BD73" s="10">
        <f t="shared" si="84"/>
        <v>3.1428571428571428</v>
      </c>
      <c r="BE73" s="10">
        <f t="shared" si="85"/>
        <v>0</v>
      </c>
      <c r="BF73" s="10">
        <f t="shared" si="86"/>
        <v>1.037787486484167</v>
      </c>
      <c r="BG73" s="10">
        <f t="shared" si="87"/>
        <v>0</v>
      </c>
      <c r="BH73" s="10">
        <f t="shared" si="88"/>
        <v>4.1806446293413098</v>
      </c>
      <c r="BJ73" s="1">
        <f t="shared" si="89"/>
        <v>0.63485376657005865</v>
      </c>
    </row>
    <row r="74" spans="2:62" x14ac:dyDescent="0.2">
      <c r="B74" s="13" t="s">
        <v>130</v>
      </c>
      <c r="C74" s="12" t="s">
        <v>60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S74" s="15">
        <v>73.71884</v>
      </c>
      <c r="T74" s="15">
        <v>-23.276809</v>
      </c>
      <c r="U74" s="21">
        <v>21.986353300000001</v>
      </c>
      <c r="V74" s="15">
        <v>20.789991000000001</v>
      </c>
      <c r="W74" s="15">
        <v>9.1959800000000005</v>
      </c>
      <c r="X74" s="16">
        <v>-150.75578899999999</v>
      </c>
      <c r="Y74" s="15">
        <v>8.9604540000000004</v>
      </c>
      <c r="AA74" s="1" t="str">
        <f t="shared" si="60"/>
        <v>Existing_MIDAT_F-NGin-H2out</v>
      </c>
      <c r="AB74" s="1" t="str">
        <f t="shared" si="61"/>
        <v>Ethane</v>
      </c>
      <c r="AC74" s="11">
        <f t="shared" si="62"/>
        <v>847.7074710262707</v>
      </c>
      <c r="AD74" s="11">
        <f t="shared" si="63"/>
        <v>847.7074710262707</v>
      </c>
      <c r="AE74" s="5">
        <f t="shared" si="64"/>
        <v>0</v>
      </c>
      <c r="AF74" s="5">
        <f t="shared" si="65"/>
        <v>0</v>
      </c>
      <c r="AG74" s="1">
        <f t="shared" si="66"/>
        <v>-29.444500200587196</v>
      </c>
      <c r="AH74" s="1">
        <f t="shared" si="67"/>
        <v>0</v>
      </c>
      <c r="AI74" s="1">
        <f t="shared" si="68"/>
        <v>452.54756324196904</v>
      </c>
      <c r="AJ74" s="1">
        <f t="shared" si="69"/>
        <v>31.007553608772341</v>
      </c>
      <c r="AK74" s="1">
        <f t="shared" si="70"/>
        <v>0</v>
      </c>
      <c r="AL74" s="1">
        <f t="shared" si="71"/>
        <v>236.76830702877979</v>
      </c>
      <c r="AM74" s="1">
        <f t="shared" si="72"/>
        <v>129.5862977462161</v>
      </c>
      <c r="AN74" s="1">
        <f t="shared" si="73"/>
        <v>-49.262240069007916</v>
      </c>
      <c r="AO74" s="1">
        <f t="shared" si="74"/>
        <v>1.037787486484167</v>
      </c>
      <c r="AP74" s="1">
        <f t="shared" si="75"/>
        <v>0</v>
      </c>
      <c r="AQ74" s="1">
        <f t="shared" si="76"/>
        <v>76.504489670128464</v>
      </c>
      <c r="AR74" s="1">
        <f t="shared" si="77"/>
        <v>1.037787486484167</v>
      </c>
      <c r="AS74" s="1">
        <f t="shared" si="78"/>
        <v>0</v>
      </c>
      <c r="AT74" s="1">
        <f t="shared" si="79"/>
        <v>76.504489670128464</v>
      </c>
      <c r="AV74" s="9">
        <f t="shared" si="80"/>
        <v>3.1428571428571428</v>
      </c>
      <c r="AW74" s="10">
        <v>0.20320575112912201</v>
      </c>
      <c r="AX74" s="9">
        <v>0.182890835326593</v>
      </c>
      <c r="AZ74" s="10">
        <f t="shared" si="81"/>
        <v>4.1826066494727963</v>
      </c>
      <c r="BA74" s="10">
        <f t="shared" si="82"/>
        <v>0.63289174643857182</v>
      </c>
      <c r="BB74" s="10">
        <f t="shared" si="83"/>
        <v>4.8154983959113684</v>
      </c>
      <c r="BD74" s="10">
        <f t="shared" si="84"/>
        <v>3.1428571428571428</v>
      </c>
      <c r="BE74" s="10">
        <f t="shared" si="85"/>
        <v>0</v>
      </c>
      <c r="BF74" s="10">
        <f t="shared" si="86"/>
        <v>1.037787486484167</v>
      </c>
      <c r="BG74" s="10">
        <f t="shared" si="87"/>
        <v>0</v>
      </c>
      <c r="BH74" s="10">
        <f t="shared" si="88"/>
        <v>4.1806446293413098</v>
      </c>
      <c r="BJ74" s="1">
        <f t="shared" si="89"/>
        <v>0.63485376657005865</v>
      </c>
    </row>
    <row r="75" spans="2:62" x14ac:dyDescent="0.2">
      <c r="B75" s="13" t="s">
        <v>131</v>
      </c>
      <c r="C75" s="12" t="s">
        <v>60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S75" s="15">
        <v>73.71884</v>
      </c>
      <c r="T75" s="15">
        <v>-23.276809</v>
      </c>
      <c r="U75" s="21">
        <v>21.986353300000001</v>
      </c>
      <c r="V75" s="15">
        <v>20.789991000000001</v>
      </c>
      <c r="W75" s="15">
        <v>9.1959800000000005</v>
      </c>
      <c r="X75" s="16">
        <v>-150.75578899999999</v>
      </c>
      <c r="Y75" s="15">
        <v>8.9604540000000004</v>
      </c>
      <c r="AA75" s="1" t="str">
        <f t="shared" si="60"/>
        <v>Existing_NE_F-NGin-H2out</v>
      </c>
      <c r="AB75" s="1" t="str">
        <f t="shared" si="61"/>
        <v>Ethane</v>
      </c>
      <c r="AC75" s="11">
        <f t="shared" si="62"/>
        <v>847.7074710262707</v>
      </c>
      <c r="AD75" s="11">
        <f t="shared" si="63"/>
        <v>847.7074710262707</v>
      </c>
      <c r="AE75" s="5">
        <f t="shared" si="64"/>
        <v>0</v>
      </c>
      <c r="AF75" s="5">
        <f t="shared" si="65"/>
        <v>0</v>
      </c>
      <c r="AG75" s="1">
        <f t="shared" si="66"/>
        <v>-29.444500200587196</v>
      </c>
      <c r="AH75" s="1">
        <f t="shared" si="67"/>
        <v>0</v>
      </c>
      <c r="AI75" s="1">
        <f t="shared" si="68"/>
        <v>452.54756324196904</v>
      </c>
      <c r="AJ75" s="1">
        <f t="shared" si="69"/>
        <v>31.007553608772341</v>
      </c>
      <c r="AK75" s="1">
        <f t="shared" si="70"/>
        <v>0</v>
      </c>
      <c r="AL75" s="1">
        <f t="shared" si="71"/>
        <v>236.76830702877979</v>
      </c>
      <c r="AM75" s="1">
        <f t="shared" si="72"/>
        <v>129.5862977462161</v>
      </c>
      <c r="AN75" s="1">
        <f t="shared" si="73"/>
        <v>-49.262240069007916</v>
      </c>
      <c r="AO75" s="1">
        <f t="shared" si="74"/>
        <v>1.037787486484167</v>
      </c>
      <c r="AP75" s="1">
        <f t="shared" si="75"/>
        <v>0</v>
      </c>
      <c r="AQ75" s="1">
        <f t="shared" si="76"/>
        <v>76.504489670128464</v>
      </c>
      <c r="AR75" s="1">
        <f t="shared" si="77"/>
        <v>1.037787486484167</v>
      </c>
      <c r="AS75" s="1">
        <f t="shared" si="78"/>
        <v>0</v>
      </c>
      <c r="AT75" s="1">
        <f t="shared" si="79"/>
        <v>76.504489670128464</v>
      </c>
      <c r="AV75" s="9">
        <f t="shared" si="80"/>
        <v>3.1428571428571428</v>
      </c>
      <c r="AW75" s="10">
        <v>0.20320575112912201</v>
      </c>
      <c r="AX75" s="9">
        <v>0.182890835326593</v>
      </c>
      <c r="AZ75" s="10">
        <f t="shared" si="81"/>
        <v>4.1826066494727963</v>
      </c>
      <c r="BA75" s="10">
        <f t="shared" si="82"/>
        <v>0.63289174643857182</v>
      </c>
      <c r="BB75" s="10">
        <f t="shared" si="83"/>
        <v>4.8154983959113684</v>
      </c>
      <c r="BD75" s="10">
        <f t="shared" si="84"/>
        <v>3.1428571428571428</v>
      </c>
      <c r="BE75" s="10">
        <f t="shared" si="85"/>
        <v>0</v>
      </c>
      <c r="BF75" s="10">
        <f t="shared" si="86"/>
        <v>1.037787486484167</v>
      </c>
      <c r="BG75" s="10">
        <f t="shared" si="87"/>
        <v>0</v>
      </c>
      <c r="BH75" s="10">
        <f t="shared" si="88"/>
        <v>4.1806446293413098</v>
      </c>
      <c r="BJ75" s="1">
        <f t="shared" si="89"/>
        <v>0.63485376657005865</v>
      </c>
    </row>
    <row r="76" spans="2:62" x14ac:dyDescent="0.2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S76" s="15">
        <v>73.71884</v>
      </c>
      <c r="T76" s="15">
        <v>-23.276809</v>
      </c>
      <c r="U76" s="21">
        <v>21.986353300000001</v>
      </c>
      <c r="V76" s="15">
        <v>20.789991000000001</v>
      </c>
      <c r="W76" s="15">
        <v>9.1959800000000005</v>
      </c>
      <c r="X76" s="16">
        <v>-150.75578899999999</v>
      </c>
      <c r="Y76" s="15">
        <v>8.9604540000000004</v>
      </c>
      <c r="AA76" s="1">
        <f t="shared" si="60"/>
        <v>0</v>
      </c>
      <c r="AB76" s="1">
        <f t="shared" si="61"/>
        <v>0</v>
      </c>
      <c r="AC76" s="11" t="e">
        <f t="shared" si="62"/>
        <v>#DIV/0!</v>
      </c>
      <c r="AD76" s="11" t="e">
        <f t="shared" si="63"/>
        <v>#DIV/0!</v>
      </c>
      <c r="AE76" s="5" t="e">
        <f t="shared" si="64"/>
        <v>#DIV/0!</v>
      </c>
      <c r="AF76" s="5" t="e">
        <f t="shared" si="65"/>
        <v>#DIV/0!</v>
      </c>
      <c r="AG76" s="1" t="e">
        <f t="shared" si="66"/>
        <v>#DIV/0!</v>
      </c>
      <c r="AH76" s="1" t="e">
        <f t="shared" si="67"/>
        <v>#DIV/0!</v>
      </c>
      <c r="AI76" s="1" t="e">
        <f t="shared" si="68"/>
        <v>#DIV/0!</v>
      </c>
      <c r="AJ76" s="1" t="e">
        <f t="shared" si="69"/>
        <v>#DIV/0!</v>
      </c>
      <c r="AK76" s="1" t="e">
        <f t="shared" si="70"/>
        <v>#DIV/0!</v>
      </c>
      <c r="AL76" s="1" t="e">
        <f t="shared" si="71"/>
        <v>#DIV/0!</v>
      </c>
      <c r="AM76" s="1" t="e">
        <f t="shared" si="72"/>
        <v>#DIV/0!</v>
      </c>
      <c r="AN76" s="1" t="e">
        <f t="shared" si="73"/>
        <v>#DIV/0!</v>
      </c>
      <c r="AO76" s="1" t="e">
        <f t="shared" si="74"/>
        <v>#DIV/0!</v>
      </c>
      <c r="AP76" s="1" t="e">
        <f t="shared" si="75"/>
        <v>#DIV/0!</v>
      </c>
      <c r="AQ76" s="1" t="e">
        <f t="shared" si="76"/>
        <v>#DIV/0!</v>
      </c>
      <c r="AR76" s="1" t="e">
        <f t="shared" si="77"/>
        <v>#DIV/0!</v>
      </c>
      <c r="AS76" s="1" t="e">
        <f t="shared" si="78"/>
        <v>#DIV/0!</v>
      </c>
      <c r="AT76" s="1" t="e">
        <f t="shared" si="79"/>
        <v>#DIV/0!</v>
      </c>
      <c r="AV76" s="9">
        <f t="shared" si="80"/>
        <v>3.1428571428571428</v>
      </c>
      <c r="AW76" s="10">
        <v>0.20320575112912201</v>
      </c>
      <c r="AX76" s="9">
        <v>0.182890835326593</v>
      </c>
      <c r="AZ76" s="10" t="e">
        <f t="shared" si="81"/>
        <v>#DIV/0!</v>
      </c>
      <c r="BA76" s="10" t="e">
        <f t="shared" si="82"/>
        <v>#DIV/0!</v>
      </c>
      <c r="BB76" s="10" t="e">
        <f t="shared" si="83"/>
        <v>#DIV/0!</v>
      </c>
      <c r="BD76" s="10">
        <f t="shared" si="84"/>
        <v>3.1428571428571428</v>
      </c>
      <c r="BE76" s="10" t="e">
        <f t="shared" si="85"/>
        <v>#DIV/0!</v>
      </c>
      <c r="BF76" s="10" t="e">
        <f t="shared" si="86"/>
        <v>#DIV/0!</v>
      </c>
      <c r="BG76" s="10" t="e">
        <f t="shared" si="87"/>
        <v>#DIV/0!</v>
      </c>
      <c r="BH76" s="10" t="e">
        <f t="shared" si="88"/>
        <v>#DIV/0!</v>
      </c>
      <c r="BJ76" s="1" t="e">
        <f t="shared" si="89"/>
        <v>#DIV/0!</v>
      </c>
    </row>
    <row r="77" spans="2:62" x14ac:dyDescent="0.2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S77" s="15">
        <v>73.71884</v>
      </c>
      <c r="T77" s="15">
        <v>-23.276809</v>
      </c>
      <c r="U77" s="21">
        <v>21.986353300000001</v>
      </c>
      <c r="V77" s="15">
        <v>20.789991000000001</v>
      </c>
      <c r="W77" s="15">
        <v>9.1959800000000005</v>
      </c>
      <c r="X77" s="16">
        <v>-150.75578899999999</v>
      </c>
      <c r="Y77" s="15">
        <v>8.9604540000000004</v>
      </c>
      <c r="AA77" s="1">
        <f t="shared" si="60"/>
        <v>0</v>
      </c>
      <c r="AB77" s="1">
        <f t="shared" si="61"/>
        <v>0</v>
      </c>
      <c r="AC77" s="11" t="e">
        <f t="shared" si="62"/>
        <v>#DIV/0!</v>
      </c>
      <c r="AD77" s="11" t="e">
        <f t="shared" si="63"/>
        <v>#DIV/0!</v>
      </c>
      <c r="AE77" s="5" t="e">
        <f t="shared" si="64"/>
        <v>#DIV/0!</v>
      </c>
      <c r="AF77" s="5" t="e">
        <f t="shared" si="65"/>
        <v>#DIV/0!</v>
      </c>
      <c r="AG77" s="1" t="e">
        <f t="shared" si="66"/>
        <v>#DIV/0!</v>
      </c>
      <c r="AH77" s="1" t="e">
        <f t="shared" si="67"/>
        <v>#DIV/0!</v>
      </c>
      <c r="AI77" s="1" t="e">
        <f t="shared" si="68"/>
        <v>#DIV/0!</v>
      </c>
      <c r="AJ77" s="1" t="e">
        <f t="shared" si="69"/>
        <v>#DIV/0!</v>
      </c>
      <c r="AK77" s="1" t="e">
        <f t="shared" si="70"/>
        <v>#DIV/0!</v>
      </c>
      <c r="AL77" s="1" t="e">
        <f t="shared" si="71"/>
        <v>#DIV/0!</v>
      </c>
      <c r="AM77" s="1" t="e">
        <f t="shared" si="72"/>
        <v>#DIV/0!</v>
      </c>
      <c r="AN77" s="1" t="e">
        <f t="shared" si="73"/>
        <v>#DIV/0!</v>
      </c>
      <c r="AO77" s="1" t="e">
        <f t="shared" si="74"/>
        <v>#DIV/0!</v>
      </c>
      <c r="AP77" s="1" t="e">
        <f t="shared" si="75"/>
        <v>#DIV/0!</v>
      </c>
      <c r="AQ77" s="1" t="e">
        <f t="shared" si="76"/>
        <v>#DIV/0!</v>
      </c>
      <c r="AR77" s="1" t="e">
        <f t="shared" si="77"/>
        <v>#DIV/0!</v>
      </c>
      <c r="AS77" s="1" t="e">
        <f t="shared" si="78"/>
        <v>#DIV/0!</v>
      </c>
      <c r="AT77" s="1" t="e">
        <f t="shared" si="79"/>
        <v>#DIV/0!</v>
      </c>
      <c r="AV77" s="9">
        <f t="shared" si="80"/>
        <v>3.1428571428571428</v>
      </c>
      <c r="AW77" s="10">
        <v>0.20320575112912201</v>
      </c>
      <c r="AX77" s="9">
        <v>0.182890835326593</v>
      </c>
      <c r="AZ77" s="10" t="e">
        <f t="shared" si="81"/>
        <v>#DIV/0!</v>
      </c>
      <c r="BA77" s="10" t="e">
        <f t="shared" si="82"/>
        <v>#DIV/0!</v>
      </c>
      <c r="BB77" s="10" t="e">
        <f t="shared" si="83"/>
        <v>#DIV/0!</v>
      </c>
      <c r="BD77" s="10">
        <f t="shared" si="84"/>
        <v>3.1428571428571428</v>
      </c>
      <c r="BE77" s="10" t="e">
        <f t="shared" si="85"/>
        <v>#DIV/0!</v>
      </c>
      <c r="BF77" s="10" t="e">
        <f t="shared" si="86"/>
        <v>#DIV/0!</v>
      </c>
      <c r="BG77" s="10" t="e">
        <f t="shared" si="87"/>
        <v>#DIV/0!</v>
      </c>
      <c r="BH77" s="10" t="e">
        <f t="shared" si="88"/>
        <v>#DIV/0!</v>
      </c>
      <c r="BJ77" s="1" t="e">
        <f t="shared" si="89"/>
        <v>#DIV/0!</v>
      </c>
    </row>
    <row r="78" spans="2:62" x14ac:dyDescent="0.2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S78" s="15">
        <v>73.71884</v>
      </c>
      <c r="T78" s="15">
        <v>-23.276809</v>
      </c>
      <c r="U78" s="21">
        <v>21.986353300000001</v>
      </c>
      <c r="V78" s="15">
        <v>20.789991000000001</v>
      </c>
      <c r="W78" s="15">
        <v>9.1959800000000005</v>
      </c>
      <c r="X78" s="16">
        <v>-150.75578899999999</v>
      </c>
      <c r="Y78" s="15">
        <v>8.9604540000000004</v>
      </c>
      <c r="AA78" s="1">
        <f t="shared" si="60"/>
        <v>0</v>
      </c>
      <c r="AB78" s="1">
        <f t="shared" si="61"/>
        <v>0</v>
      </c>
      <c r="AC78" s="11" t="e">
        <f t="shared" si="62"/>
        <v>#DIV/0!</v>
      </c>
      <c r="AD78" s="11" t="e">
        <f t="shared" si="63"/>
        <v>#DIV/0!</v>
      </c>
      <c r="AE78" s="5" t="e">
        <f t="shared" si="64"/>
        <v>#DIV/0!</v>
      </c>
      <c r="AF78" s="5" t="e">
        <f t="shared" si="65"/>
        <v>#DIV/0!</v>
      </c>
      <c r="AG78" s="1" t="e">
        <f t="shared" si="66"/>
        <v>#DIV/0!</v>
      </c>
      <c r="AH78" s="1" t="e">
        <f t="shared" si="67"/>
        <v>#DIV/0!</v>
      </c>
      <c r="AI78" s="1" t="e">
        <f t="shared" si="68"/>
        <v>#DIV/0!</v>
      </c>
      <c r="AJ78" s="1" t="e">
        <f t="shared" si="69"/>
        <v>#DIV/0!</v>
      </c>
      <c r="AK78" s="1" t="e">
        <f t="shared" si="70"/>
        <v>#DIV/0!</v>
      </c>
      <c r="AL78" s="1" t="e">
        <f t="shared" si="71"/>
        <v>#DIV/0!</v>
      </c>
      <c r="AM78" s="1" t="e">
        <f t="shared" si="72"/>
        <v>#DIV/0!</v>
      </c>
      <c r="AN78" s="1" t="e">
        <f t="shared" si="73"/>
        <v>#DIV/0!</v>
      </c>
      <c r="AO78" s="1" t="e">
        <f t="shared" si="74"/>
        <v>#DIV/0!</v>
      </c>
      <c r="AP78" s="1" t="e">
        <f t="shared" si="75"/>
        <v>#DIV/0!</v>
      </c>
      <c r="AQ78" s="1" t="e">
        <f t="shared" si="76"/>
        <v>#DIV/0!</v>
      </c>
      <c r="AR78" s="1" t="e">
        <f t="shared" si="77"/>
        <v>#DIV/0!</v>
      </c>
      <c r="AS78" s="1" t="e">
        <f t="shared" si="78"/>
        <v>#DIV/0!</v>
      </c>
      <c r="AT78" s="1" t="e">
        <f t="shared" si="79"/>
        <v>#DIV/0!</v>
      </c>
      <c r="AV78" s="9">
        <f t="shared" si="80"/>
        <v>3.1428571428571428</v>
      </c>
      <c r="AW78" s="10">
        <v>0.20320575112912201</v>
      </c>
      <c r="AX78" s="9">
        <v>0.182890835326593</v>
      </c>
      <c r="AZ78" s="10" t="e">
        <f t="shared" si="81"/>
        <v>#DIV/0!</v>
      </c>
      <c r="BA78" s="10" t="e">
        <f t="shared" si="82"/>
        <v>#DIV/0!</v>
      </c>
      <c r="BB78" s="10" t="e">
        <f t="shared" si="83"/>
        <v>#DIV/0!</v>
      </c>
      <c r="BD78" s="10">
        <f t="shared" si="84"/>
        <v>3.1428571428571428</v>
      </c>
      <c r="BE78" s="10" t="e">
        <f t="shared" si="85"/>
        <v>#DIV/0!</v>
      </c>
      <c r="BF78" s="10" t="e">
        <f t="shared" si="86"/>
        <v>#DIV/0!</v>
      </c>
      <c r="BG78" s="10" t="e">
        <f t="shared" si="87"/>
        <v>#DIV/0!</v>
      </c>
      <c r="BH78" s="10" t="e">
        <f t="shared" si="88"/>
        <v>#DIV/0!</v>
      </c>
      <c r="BJ78" s="1" t="e">
        <f t="shared" si="89"/>
        <v>#DIV/0!</v>
      </c>
    </row>
    <row r="79" spans="2:62" x14ac:dyDescent="0.2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S79" s="15">
        <v>73.71884</v>
      </c>
      <c r="T79" s="15">
        <v>-23.276809</v>
      </c>
      <c r="U79" s="21">
        <v>21.986353300000001</v>
      </c>
      <c r="V79" s="15">
        <v>20.789991000000001</v>
      </c>
      <c r="W79" s="15">
        <v>9.1959800000000005</v>
      </c>
      <c r="X79" s="16">
        <v>-150.75578899999999</v>
      </c>
      <c r="Y79" s="15">
        <v>8.9604540000000004</v>
      </c>
      <c r="AA79" s="1">
        <f t="shared" si="60"/>
        <v>0</v>
      </c>
      <c r="AB79" s="1">
        <f t="shared" si="61"/>
        <v>0</v>
      </c>
      <c r="AC79" s="11" t="e">
        <f t="shared" si="62"/>
        <v>#DIV/0!</v>
      </c>
      <c r="AD79" s="11" t="e">
        <f t="shared" si="63"/>
        <v>#DIV/0!</v>
      </c>
      <c r="AE79" s="5" t="e">
        <f t="shared" si="64"/>
        <v>#DIV/0!</v>
      </c>
      <c r="AF79" s="5" t="e">
        <f t="shared" si="65"/>
        <v>#DIV/0!</v>
      </c>
      <c r="AG79" s="1" t="e">
        <f t="shared" si="66"/>
        <v>#DIV/0!</v>
      </c>
      <c r="AH79" s="1" t="e">
        <f t="shared" si="67"/>
        <v>#DIV/0!</v>
      </c>
      <c r="AI79" s="1" t="e">
        <f t="shared" si="68"/>
        <v>#DIV/0!</v>
      </c>
      <c r="AJ79" s="1" t="e">
        <f t="shared" si="69"/>
        <v>#DIV/0!</v>
      </c>
      <c r="AK79" s="1" t="e">
        <f t="shared" si="70"/>
        <v>#DIV/0!</v>
      </c>
      <c r="AL79" s="1" t="e">
        <f t="shared" si="71"/>
        <v>#DIV/0!</v>
      </c>
      <c r="AM79" s="1" t="e">
        <f t="shared" si="72"/>
        <v>#DIV/0!</v>
      </c>
      <c r="AN79" s="1" t="e">
        <f t="shared" si="73"/>
        <v>#DIV/0!</v>
      </c>
      <c r="AO79" s="1" t="e">
        <f t="shared" si="74"/>
        <v>#DIV/0!</v>
      </c>
      <c r="AP79" s="1" t="e">
        <f t="shared" si="75"/>
        <v>#DIV/0!</v>
      </c>
      <c r="AQ79" s="1" t="e">
        <f t="shared" si="76"/>
        <v>#DIV/0!</v>
      </c>
      <c r="AR79" s="1" t="e">
        <f t="shared" si="77"/>
        <v>#DIV/0!</v>
      </c>
      <c r="AS79" s="1" t="e">
        <f t="shared" si="78"/>
        <v>#DIV/0!</v>
      </c>
      <c r="AT79" s="1" t="e">
        <f t="shared" si="79"/>
        <v>#DIV/0!</v>
      </c>
      <c r="AV79" s="9">
        <f t="shared" si="80"/>
        <v>3.1428571428571428</v>
      </c>
      <c r="AW79" s="10">
        <v>0.20320575112912201</v>
      </c>
      <c r="AX79" s="9">
        <v>0.182890835326593</v>
      </c>
      <c r="AZ79" s="10" t="e">
        <f t="shared" si="81"/>
        <v>#DIV/0!</v>
      </c>
      <c r="BA79" s="10" t="e">
        <f t="shared" si="82"/>
        <v>#DIV/0!</v>
      </c>
      <c r="BB79" s="10" t="e">
        <f t="shared" si="83"/>
        <v>#DIV/0!</v>
      </c>
      <c r="BD79" s="10">
        <f t="shared" si="84"/>
        <v>3.1428571428571428</v>
      </c>
      <c r="BE79" s="10" t="e">
        <f t="shared" si="85"/>
        <v>#DIV/0!</v>
      </c>
      <c r="BF79" s="10" t="e">
        <f t="shared" si="86"/>
        <v>#DIV/0!</v>
      </c>
      <c r="BG79" s="10" t="e">
        <f t="shared" si="87"/>
        <v>#DIV/0!</v>
      </c>
      <c r="BH79" s="10" t="e">
        <f t="shared" si="88"/>
        <v>#DIV/0!</v>
      </c>
      <c r="BJ79" s="1" t="e">
        <f t="shared" si="89"/>
        <v>#DIV/0!</v>
      </c>
    </row>
    <row r="80" spans="2:62" x14ac:dyDescent="0.2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S80" s="15">
        <v>73.71884</v>
      </c>
      <c r="T80" s="15">
        <v>-23.276809</v>
      </c>
      <c r="U80" s="21">
        <v>21.986353300000001</v>
      </c>
      <c r="V80" s="15">
        <v>20.789991000000001</v>
      </c>
      <c r="W80" s="15">
        <v>9.1959800000000005</v>
      </c>
      <c r="X80" s="16">
        <v>-150.75578899999999</v>
      </c>
      <c r="Y80" s="15">
        <v>8.9604540000000004</v>
      </c>
      <c r="AA80" s="1">
        <f t="shared" si="60"/>
        <v>0</v>
      </c>
      <c r="AB80" s="1">
        <f t="shared" si="61"/>
        <v>0</v>
      </c>
      <c r="AC80" s="11" t="e">
        <f t="shared" si="62"/>
        <v>#DIV/0!</v>
      </c>
      <c r="AD80" s="11" t="e">
        <f t="shared" si="63"/>
        <v>#DIV/0!</v>
      </c>
      <c r="AE80" s="5" t="e">
        <f t="shared" si="64"/>
        <v>#DIV/0!</v>
      </c>
      <c r="AF80" s="5" t="e">
        <f t="shared" si="65"/>
        <v>#DIV/0!</v>
      </c>
      <c r="AG80" s="1" t="e">
        <f t="shared" si="66"/>
        <v>#DIV/0!</v>
      </c>
      <c r="AH80" s="1" t="e">
        <f t="shared" si="67"/>
        <v>#DIV/0!</v>
      </c>
      <c r="AI80" s="1" t="e">
        <f t="shared" si="68"/>
        <v>#DIV/0!</v>
      </c>
      <c r="AJ80" s="1" t="e">
        <f t="shared" si="69"/>
        <v>#DIV/0!</v>
      </c>
      <c r="AK80" s="1" t="e">
        <f t="shared" si="70"/>
        <v>#DIV/0!</v>
      </c>
      <c r="AL80" s="1" t="e">
        <f t="shared" si="71"/>
        <v>#DIV/0!</v>
      </c>
      <c r="AM80" s="1" t="e">
        <f t="shared" si="72"/>
        <v>#DIV/0!</v>
      </c>
      <c r="AN80" s="1" t="e">
        <f t="shared" si="73"/>
        <v>#DIV/0!</v>
      </c>
      <c r="AO80" s="1" t="e">
        <f t="shared" si="74"/>
        <v>#DIV/0!</v>
      </c>
      <c r="AP80" s="1" t="e">
        <f t="shared" si="75"/>
        <v>#DIV/0!</v>
      </c>
      <c r="AQ80" s="1" t="e">
        <f t="shared" si="76"/>
        <v>#DIV/0!</v>
      </c>
      <c r="AR80" s="1" t="e">
        <f t="shared" si="77"/>
        <v>#DIV/0!</v>
      </c>
      <c r="AS80" s="1" t="e">
        <f t="shared" si="78"/>
        <v>#DIV/0!</v>
      </c>
      <c r="AT80" s="1" t="e">
        <f t="shared" si="79"/>
        <v>#DIV/0!</v>
      </c>
      <c r="AV80" s="9">
        <f t="shared" si="80"/>
        <v>3.1428571428571428</v>
      </c>
      <c r="AW80" s="10">
        <v>0.20320575112912201</v>
      </c>
      <c r="AX80" s="9">
        <v>0.182890835326593</v>
      </c>
      <c r="AZ80" s="10" t="e">
        <f t="shared" si="81"/>
        <v>#DIV/0!</v>
      </c>
      <c r="BA80" s="10" t="e">
        <f t="shared" si="82"/>
        <v>#DIV/0!</v>
      </c>
      <c r="BB80" s="10" t="e">
        <f t="shared" si="83"/>
        <v>#DIV/0!</v>
      </c>
      <c r="BD80" s="10">
        <f t="shared" si="84"/>
        <v>3.1428571428571428</v>
      </c>
      <c r="BE80" s="10" t="e">
        <f t="shared" si="85"/>
        <v>#DIV/0!</v>
      </c>
      <c r="BF80" s="10" t="e">
        <f t="shared" si="86"/>
        <v>#DIV/0!</v>
      </c>
      <c r="BG80" s="10" t="e">
        <f t="shared" si="87"/>
        <v>#DIV/0!</v>
      </c>
      <c r="BH80" s="10" t="e">
        <f t="shared" si="88"/>
        <v>#DIV/0!</v>
      </c>
      <c r="BJ80" s="1" t="e">
        <f t="shared" si="89"/>
        <v>#DIV/0!</v>
      </c>
    </row>
    <row r="81" spans="29:50" x14ac:dyDescent="0.2">
      <c r="AC81" s="5"/>
      <c r="AD81" s="5"/>
      <c r="AE81" s="5"/>
      <c r="AF81" s="5"/>
      <c r="AV81" s="8"/>
      <c r="AX81" s="8"/>
    </row>
    <row r="82" spans="29:50" x14ac:dyDescent="0.2">
      <c r="AC82" s="5"/>
      <c r="AD82" s="5"/>
      <c r="AE82" s="5"/>
      <c r="AF82" s="5"/>
      <c r="AV82" s="8"/>
      <c r="AX82" s="8"/>
    </row>
    <row r="83" spans="29:50" x14ac:dyDescent="0.2">
      <c r="AC83" s="5"/>
      <c r="AD83" s="5"/>
      <c r="AE83" s="5"/>
      <c r="AF83" s="5"/>
      <c r="AV83" s="8"/>
      <c r="AX83" s="8"/>
    </row>
    <row r="84" spans="29:50" x14ac:dyDescent="0.2">
      <c r="AC84" s="5"/>
      <c r="AD84" s="5"/>
      <c r="AE84" s="5"/>
      <c r="AF84" s="5"/>
      <c r="AV84" s="8"/>
      <c r="AX84" s="8"/>
    </row>
    <row r="85" spans="29:50" x14ac:dyDescent="0.2">
      <c r="AC85" s="5"/>
      <c r="AD85" s="5"/>
      <c r="AE85" s="5"/>
      <c r="AF85" s="5"/>
      <c r="AV85" s="8"/>
      <c r="AX85" s="8"/>
    </row>
    <row r="86" spans="29:50" x14ac:dyDescent="0.2">
      <c r="AC86" s="5"/>
      <c r="AD86" s="5"/>
      <c r="AE86" s="5"/>
      <c r="AF86" s="5"/>
      <c r="AV86" s="8"/>
      <c r="AX86" s="8"/>
    </row>
    <row r="87" spans="29:50" x14ac:dyDescent="0.2">
      <c r="AC87" s="5"/>
      <c r="AD87" s="5"/>
      <c r="AE87" s="5"/>
      <c r="AF87" s="5"/>
      <c r="AV87" s="8"/>
      <c r="AX87" s="8"/>
    </row>
    <row r="88" spans="29:50" x14ac:dyDescent="0.2">
      <c r="AC88" s="5"/>
      <c r="AD88" s="5"/>
      <c r="AE88" s="5"/>
      <c r="AF88" s="5"/>
      <c r="AV88" s="8"/>
      <c r="AX88" s="8"/>
    </row>
    <row r="89" spans="29:50" x14ac:dyDescent="0.2">
      <c r="AC89" s="5"/>
      <c r="AD89" s="5"/>
      <c r="AE89" s="5"/>
      <c r="AF89" s="5"/>
      <c r="AV89" s="8"/>
      <c r="AX89" s="8"/>
    </row>
    <row r="90" spans="29:50" x14ac:dyDescent="0.2">
      <c r="AC90" s="5"/>
      <c r="AD90" s="5"/>
      <c r="AE90" s="5"/>
      <c r="AF90" s="5"/>
      <c r="AV90" s="8"/>
      <c r="AX90" s="8"/>
    </row>
    <row r="91" spans="29:50" x14ac:dyDescent="0.2">
      <c r="AC91" s="5"/>
      <c r="AD91" s="5"/>
      <c r="AE91" s="5"/>
      <c r="AF91" s="5"/>
      <c r="AV91" s="8"/>
      <c r="AX91" s="8"/>
    </row>
    <row r="92" spans="29:50" x14ac:dyDescent="0.2">
      <c r="AC92" s="5"/>
      <c r="AD92" s="5"/>
      <c r="AE92" s="5"/>
      <c r="AF92" s="5"/>
      <c r="AV92" s="8"/>
      <c r="AX92" s="8"/>
    </row>
    <row r="93" spans="29:50" x14ac:dyDescent="0.2">
      <c r="AC93" s="5"/>
      <c r="AD93" s="5"/>
      <c r="AE93" s="5"/>
      <c r="AF93" s="5"/>
      <c r="AV93" s="8"/>
      <c r="AX93" s="8"/>
    </row>
    <row r="94" spans="29:50" x14ac:dyDescent="0.2">
      <c r="AC94" s="5"/>
      <c r="AD94" s="5"/>
      <c r="AE94" s="5"/>
      <c r="AF94" s="5"/>
      <c r="AV94" s="8"/>
      <c r="AX94" s="8"/>
    </row>
    <row r="95" spans="29:50" x14ac:dyDescent="0.2">
      <c r="AC95" s="5"/>
      <c r="AD95" s="5"/>
      <c r="AE95" s="5"/>
      <c r="AF95" s="5"/>
      <c r="AV95" s="8"/>
      <c r="AX95" s="8"/>
    </row>
    <row r="96" spans="29:50" x14ac:dyDescent="0.2">
      <c r="AC96" s="5"/>
      <c r="AD96" s="5"/>
      <c r="AE96" s="5"/>
      <c r="AF96" s="5"/>
      <c r="AV96" s="8"/>
      <c r="AX96" s="8"/>
    </row>
    <row r="97" spans="29:50" x14ac:dyDescent="0.2">
      <c r="AC97" s="5"/>
      <c r="AD97" s="5"/>
      <c r="AE97" s="5"/>
      <c r="AF97" s="5"/>
      <c r="AV97" s="8"/>
      <c r="AX97" s="8"/>
    </row>
    <row r="98" spans="29:50" x14ac:dyDescent="0.2">
      <c r="AC98" s="5"/>
      <c r="AD98" s="5"/>
      <c r="AE98" s="5"/>
      <c r="AF98" s="5"/>
      <c r="AV98" s="8"/>
      <c r="AX98" s="8"/>
    </row>
    <row r="99" spans="29:50" x14ac:dyDescent="0.2">
      <c r="AC99" s="5"/>
      <c r="AD99" s="5"/>
      <c r="AE99" s="5"/>
      <c r="AF99" s="5"/>
      <c r="AV99" s="8"/>
      <c r="AX99" s="8"/>
    </row>
    <row r="100" spans="29:50" x14ac:dyDescent="0.2">
      <c r="AC100" s="5"/>
      <c r="AD100" s="5"/>
      <c r="AE100" s="5"/>
      <c r="AF100" s="5"/>
      <c r="AV100" s="8"/>
      <c r="AX100" s="8"/>
    </row>
    <row r="101" spans="29:50" x14ac:dyDescent="0.2">
      <c r="AC101" s="5"/>
      <c r="AD101" s="5"/>
      <c r="AE101" s="5"/>
      <c r="AF101" s="5"/>
      <c r="AV101" s="8"/>
      <c r="AX101" s="8"/>
    </row>
    <row r="102" spans="29:50" x14ac:dyDescent="0.2">
      <c r="AC102" s="5"/>
      <c r="AD102" s="5"/>
      <c r="AE102" s="5"/>
      <c r="AF102" s="5"/>
      <c r="AV102" s="8"/>
      <c r="AX102" s="8"/>
    </row>
    <row r="103" spans="29:50" x14ac:dyDescent="0.2">
      <c r="AC103" s="5"/>
      <c r="AD103" s="5"/>
      <c r="AE103" s="5"/>
      <c r="AF103" s="5"/>
      <c r="AV103" s="8"/>
      <c r="AX103" s="8"/>
    </row>
    <row r="104" spans="29:50" x14ac:dyDescent="0.2">
      <c r="AC104" s="5"/>
      <c r="AD104" s="5"/>
      <c r="AE104" s="5"/>
      <c r="AF104" s="5"/>
      <c r="AV104" s="8"/>
      <c r="AX104" s="8"/>
    </row>
    <row r="105" spans="29:50" x14ac:dyDescent="0.2">
      <c r="AC105" s="5"/>
      <c r="AD105" s="5"/>
      <c r="AE105" s="5"/>
      <c r="AF105" s="5"/>
    </row>
    <row r="106" spans="29:50" x14ac:dyDescent="0.2">
      <c r="AC106" s="5"/>
      <c r="AD106" s="5"/>
      <c r="AE106" s="5"/>
      <c r="AF106" s="5"/>
    </row>
    <row r="107" spans="29:50" x14ac:dyDescent="0.2">
      <c r="AC107" s="5"/>
      <c r="AD107" s="5"/>
      <c r="AE107" s="5"/>
      <c r="AF107" s="5"/>
    </row>
    <row r="108" spans="29:50" x14ac:dyDescent="0.2">
      <c r="AF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abSelected="1"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132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33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3" t="s">
        <v>46</v>
      </c>
      <c r="L2" s="3" t="s">
        <v>47</v>
      </c>
      <c r="M2" s="19" t="s">
        <v>35</v>
      </c>
      <c r="O2" s="4" t="s">
        <v>33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  <c r="X2" s="4" t="s">
        <v>45</v>
      </c>
      <c r="Y2" s="3" t="s">
        <v>46</v>
      </c>
      <c r="Z2" s="3" t="s">
        <v>47</v>
      </c>
      <c r="AA2" s="19" t="s">
        <v>35</v>
      </c>
      <c r="AB2" s="23"/>
      <c r="AC2" s="23"/>
    </row>
    <row r="3" spans="1:29" x14ac:dyDescent="0.2">
      <c r="A3" t="str">
        <f>lc_detailed!AA4</f>
        <v>CA_F-NGin-H2out</v>
      </c>
      <c r="B3" s="20">
        <f>lc_detailed!AF4</f>
        <v>0</v>
      </c>
      <c r="C3" s="20">
        <f>lc_detailed!AG4</f>
        <v>-28.958094954547988</v>
      </c>
      <c r="D3" s="20">
        <f>lc_detailed!AH4</f>
        <v>0</v>
      </c>
      <c r="E3" s="20">
        <f>lc_detailed!AI4</f>
        <v>452.54756324196904</v>
      </c>
      <c r="F3" s="20">
        <f>lc_detailed!AJ4</f>
        <v>35.71607505566368</v>
      </c>
      <c r="G3" s="20">
        <f>lc_detailed!AK4</f>
        <v>0</v>
      </c>
      <c r="H3" s="20">
        <f>lc_detailed!AL4</f>
        <v>236.76830702877979</v>
      </c>
      <c r="I3" s="20">
        <f>lc_detailed!AM4</f>
        <v>129.5862977462161</v>
      </c>
      <c r="J3" s="20">
        <f>lc_detailed!AN4</f>
        <v>-49.262240069007916</v>
      </c>
      <c r="K3" s="20">
        <f>lc_detailed!AP4</f>
        <v>0</v>
      </c>
      <c r="L3" s="20">
        <f>lc_detailed!AQ4</f>
        <v>76.504489670128464</v>
      </c>
      <c r="M3" s="20">
        <f>lc_detailed!AC4</f>
        <v>852.90239771920119</v>
      </c>
      <c r="O3" t="str">
        <f t="array" ref="O3:AA65">_xlfn._xlws.SORT(A3:M65, 13, 1)</f>
        <v>CA_F-H2in-CH4out</v>
      </c>
      <c r="P3">
        <v>32.430710348845878</v>
      </c>
      <c r="Q3">
        <v>0</v>
      </c>
      <c r="R3">
        <v>0</v>
      </c>
      <c r="S3">
        <v>452.54756324196904</v>
      </c>
      <c r="T3">
        <v>0</v>
      </c>
      <c r="U3">
        <v>-33.294771751511149</v>
      </c>
      <c r="V3">
        <v>236.76830652142303</v>
      </c>
      <c r="W3">
        <v>129.58629749253777</v>
      </c>
      <c r="X3">
        <v>-49.257270809000964</v>
      </c>
      <c r="Y3">
        <v>0</v>
      </c>
      <c r="Z3">
        <v>29.848444277104196</v>
      </c>
      <c r="AA3">
        <v>798.6292793213679</v>
      </c>
    </row>
    <row r="4" spans="1:29" x14ac:dyDescent="0.2">
      <c r="A4" t="str">
        <f>lc_detailed!AA5</f>
        <v>NW_F-NGin-H2out</v>
      </c>
      <c r="B4" s="20">
        <f>lc_detailed!AF5</f>
        <v>0</v>
      </c>
      <c r="C4" s="20">
        <f>lc_detailed!AG5</f>
        <v>-24.168845007176433</v>
      </c>
      <c r="D4" s="20">
        <f>lc_detailed!AH5</f>
        <v>0</v>
      </c>
      <c r="E4" s="20">
        <f>lc_detailed!AI5</f>
        <v>452.54756324196904</v>
      </c>
      <c r="F4" s="20">
        <f>lc_detailed!AJ5</f>
        <v>29.766158503536676</v>
      </c>
      <c r="G4" s="20">
        <f>lc_detailed!AK5</f>
        <v>0</v>
      </c>
      <c r="H4" s="20">
        <f>lc_detailed!AL5</f>
        <v>236.76830702877979</v>
      </c>
      <c r="I4" s="20">
        <f>lc_detailed!AM5</f>
        <v>129.5862977462161</v>
      </c>
      <c r="J4" s="20">
        <f>lc_detailed!AN5</f>
        <v>-49.262240069007916</v>
      </c>
      <c r="K4" s="20">
        <f>lc_detailed!AP5</f>
        <v>0</v>
      </c>
      <c r="L4" s="20">
        <f>lc_detailed!AQ5</f>
        <v>76.504489670128464</v>
      </c>
      <c r="M4" s="20">
        <f>lc_detailed!AC5</f>
        <v>851.74173111444577</v>
      </c>
      <c r="O4" t="str">
        <v>NW_F-H2in-CH4out</v>
      </c>
      <c r="P4">
        <v>17.740909890218617</v>
      </c>
      <c r="Q4">
        <v>0</v>
      </c>
      <c r="R4">
        <v>0</v>
      </c>
      <c r="S4">
        <v>452.54756324196904</v>
      </c>
      <c r="T4">
        <v>0</v>
      </c>
      <c r="U4">
        <v>-17.621452874963168</v>
      </c>
      <c r="V4">
        <v>236.76830652142303</v>
      </c>
      <c r="W4">
        <v>129.58629749253777</v>
      </c>
      <c r="X4">
        <v>-49.257270809000964</v>
      </c>
      <c r="Y4">
        <v>0</v>
      </c>
      <c r="Z4">
        <v>29.848444277104196</v>
      </c>
      <c r="AA4">
        <v>799.61279773928868</v>
      </c>
    </row>
    <row r="5" spans="1:29" x14ac:dyDescent="0.2">
      <c r="A5" t="str">
        <f>lc_detailed!AA6</f>
        <v>SW_F-NGin-H2out</v>
      </c>
      <c r="B5" s="20">
        <f>lc_detailed!AF6</f>
        <v>0</v>
      </c>
      <c r="C5" s="20">
        <f>lc_detailed!AG6</f>
        <v>-42.255517596402086</v>
      </c>
      <c r="D5" s="20">
        <f>lc_detailed!AH6</f>
        <v>0</v>
      </c>
      <c r="E5" s="20">
        <f>lc_detailed!AI6</f>
        <v>452.54756324196904</v>
      </c>
      <c r="F5" s="20">
        <f>lc_detailed!AJ6</f>
        <v>51.747732173396713</v>
      </c>
      <c r="G5" s="20">
        <f>lc_detailed!AK6</f>
        <v>0</v>
      </c>
      <c r="H5" s="20">
        <f>lc_detailed!AL6</f>
        <v>236.76830702877979</v>
      </c>
      <c r="I5" s="20">
        <f>lc_detailed!AM6</f>
        <v>129.5862977462161</v>
      </c>
      <c r="J5" s="20">
        <f>lc_detailed!AN6</f>
        <v>-49.262240069007916</v>
      </c>
      <c r="K5" s="20">
        <f>lc_detailed!AP6</f>
        <v>0</v>
      </c>
      <c r="L5" s="20">
        <f>lc_detailed!AQ6</f>
        <v>76.504489670128464</v>
      </c>
      <c r="M5" s="20">
        <f>lc_detailed!AC6</f>
        <v>855.6366321950801</v>
      </c>
      <c r="O5" t="str">
        <v>CA_F-H2in</v>
      </c>
      <c r="P5">
        <v>1.8778639866453066</v>
      </c>
      <c r="Q5">
        <v>0</v>
      </c>
      <c r="R5">
        <v>0</v>
      </c>
      <c r="S5">
        <v>452.54756324196904</v>
      </c>
      <c r="T5">
        <v>0</v>
      </c>
      <c r="U5">
        <v>0</v>
      </c>
      <c r="V5">
        <v>236.76830652142303</v>
      </c>
      <c r="W5">
        <v>129.58629749253777</v>
      </c>
      <c r="X5">
        <v>-49.257270809000964</v>
      </c>
      <c r="Y5">
        <v>0</v>
      </c>
      <c r="Z5">
        <v>29.848444277103674</v>
      </c>
      <c r="AA5">
        <v>801.37120471067794</v>
      </c>
    </row>
    <row r="6" spans="1:29" x14ac:dyDescent="0.2">
      <c r="A6" t="str">
        <f>lc_detailed!AA7</f>
        <v>TX_F-NGin-H2out</v>
      </c>
      <c r="B6" s="20">
        <f>lc_detailed!AF7</f>
        <v>0</v>
      </c>
      <c r="C6" s="20">
        <f>lc_detailed!AG7</f>
        <v>-42.539115241434637</v>
      </c>
      <c r="D6" s="20">
        <f>lc_detailed!AH7</f>
        <v>0</v>
      </c>
      <c r="E6" s="20">
        <f>lc_detailed!AI7</f>
        <v>452.54756324196904</v>
      </c>
      <c r="F6" s="20">
        <f>lc_detailed!AJ7</f>
        <v>52.06911125878684</v>
      </c>
      <c r="G6" s="20">
        <f>lc_detailed!AK7</f>
        <v>0</v>
      </c>
      <c r="H6" s="20">
        <f>lc_detailed!AL7</f>
        <v>236.76830702877979</v>
      </c>
      <c r="I6" s="20">
        <f>lc_detailed!AM7</f>
        <v>129.5862977462161</v>
      </c>
      <c r="J6" s="20">
        <f>lc_detailed!AN7</f>
        <v>-49.262240069007916</v>
      </c>
      <c r="K6" s="20">
        <f>lc_detailed!AP7</f>
        <v>0</v>
      </c>
      <c r="L6" s="20">
        <f>lc_detailed!AQ7</f>
        <v>76.504489670128464</v>
      </c>
      <c r="M6" s="20">
        <f>lc_detailed!AC7</f>
        <v>855.67441363543776</v>
      </c>
      <c r="O6" t="str">
        <v>MIDAT_F-H2in</v>
      </c>
      <c r="P6">
        <v>1.8818211833746017</v>
      </c>
      <c r="Q6">
        <v>0</v>
      </c>
      <c r="R6">
        <v>0</v>
      </c>
      <c r="S6">
        <v>452.54756324196904</v>
      </c>
      <c r="T6">
        <v>0</v>
      </c>
      <c r="U6">
        <v>0</v>
      </c>
      <c r="V6">
        <v>236.76830652142303</v>
      </c>
      <c r="W6">
        <v>129.58629749253777</v>
      </c>
      <c r="X6">
        <v>-49.257270809000964</v>
      </c>
      <c r="Y6">
        <v>0</v>
      </c>
      <c r="Z6">
        <v>29.848444277103674</v>
      </c>
      <c r="AA6">
        <v>801.37516190740723</v>
      </c>
    </row>
    <row r="7" spans="1:29" x14ac:dyDescent="0.2">
      <c r="A7" t="str">
        <f>lc_detailed!AA8</f>
        <v>NCEN_F-NGin-H2out</v>
      </c>
      <c r="B7" s="20">
        <f>lc_detailed!AF8</f>
        <v>0</v>
      </c>
      <c r="C7" s="20">
        <f>lc_detailed!AG8</f>
        <v>-23.270616097830075</v>
      </c>
      <c r="D7" s="20">
        <f>lc_detailed!AH8</f>
        <v>0</v>
      </c>
      <c r="E7" s="20">
        <f>lc_detailed!AI8</f>
        <v>452.54756324196904</v>
      </c>
      <c r="F7" s="20">
        <f>lc_detailed!AJ8</f>
        <v>27.557881974255686</v>
      </c>
      <c r="G7" s="20">
        <f>lc_detailed!AK8</f>
        <v>0</v>
      </c>
      <c r="H7" s="20">
        <f>lc_detailed!AL8</f>
        <v>236.76830702877979</v>
      </c>
      <c r="I7" s="20">
        <f>lc_detailed!AM8</f>
        <v>129.5862977462161</v>
      </c>
      <c r="J7" s="20">
        <f>lc_detailed!AN8</f>
        <v>-49.262240069007916</v>
      </c>
      <c r="K7" s="20">
        <f>lc_detailed!AP8</f>
        <v>0</v>
      </c>
      <c r="L7" s="20">
        <f>lc_detailed!AQ8</f>
        <v>76.504489670128464</v>
      </c>
      <c r="M7" s="20">
        <f>lc_detailed!AC8</f>
        <v>850.43168349451105</v>
      </c>
      <c r="O7" t="str">
        <v>SE_F-H2in</v>
      </c>
      <c r="P7">
        <v>2.2547191021937847</v>
      </c>
      <c r="Q7">
        <v>0</v>
      </c>
      <c r="R7">
        <v>0</v>
      </c>
      <c r="S7">
        <v>452.54756324196904</v>
      </c>
      <c r="T7">
        <v>0</v>
      </c>
      <c r="U7">
        <v>0</v>
      </c>
      <c r="V7">
        <v>236.76830652142303</v>
      </c>
      <c r="W7">
        <v>129.58629749253777</v>
      </c>
      <c r="X7">
        <v>-49.257270809000964</v>
      </c>
      <c r="Y7">
        <v>0</v>
      </c>
      <c r="Z7">
        <v>29.848444277103674</v>
      </c>
      <c r="AA7">
        <v>801.74805982622649</v>
      </c>
    </row>
    <row r="8" spans="1:29" x14ac:dyDescent="0.2">
      <c r="A8" t="str">
        <f>lc_detailed!AA9</f>
        <v>CEN_F-NGin-H2out</v>
      </c>
      <c r="B8" s="20">
        <f>lc_detailed!AF9</f>
        <v>0</v>
      </c>
      <c r="C8" s="20">
        <f>lc_detailed!AG9</f>
        <v>-24.118021435171716</v>
      </c>
      <c r="D8" s="20">
        <f>lc_detailed!AH9</f>
        <v>0</v>
      </c>
      <c r="E8" s="20">
        <f>lc_detailed!AI9</f>
        <v>452.54756324196904</v>
      </c>
      <c r="F8" s="20">
        <f>lc_detailed!AJ9</f>
        <v>18.713190139546182</v>
      </c>
      <c r="G8" s="20">
        <f>lc_detailed!AK9</f>
        <v>0</v>
      </c>
      <c r="H8" s="20">
        <f>lc_detailed!AL9</f>
        <v>236.76830702877979</v>
      </c>
      <c r="I8" s="20">
        <f>lc_detailed!AM9</f>
        <v>129.5862977462161</v>
      </c>
      <c r="J8" s="20">
        <f>lc_detailed!AN9</f>
        <v>-49.262240069007916</v>
      </c>
      <c r="K8" s="20">
        <f>lc_detailed!AP9</f>
        <v>0</v>
      </c>
      <c r="L8" s="20">
        <f>lc_detailed!AQ9</f>
        <v>76.504489670128464</v>
      </c>
      <c r="M8" s="20">
        <f>lc_detailed!AC9</f>
        <v>840.7395863224599</v>
      </c>
      <c r="O8" t="str">
        <v>NW_F-H2in</v>
      </c>
      <c r="P8">
        <v>2.2925913172470622</v>
      </c>
      <c r="Q8">
        <v>0</v>
      </c>
      <c r="R8">
        <v>0</v>
      </c>
      <c r="S8">
        <v>452.54756324196904</v>
      </c>
      <c r="T8">
        <v>0</v>
      </c>
      <c r="U8">
        <v>0</v>
      </c>
      <c r="V8">
        <v>236.76830652142303</v>
      </c>
      <c r="W8">
        <v>129.58629749253777</v>
      </c>
      <c r="X8">
        <v>-49.257270809000964</v>
      </c>
      <c r="Y8">
        <v>0</v>
      </c>
      <c r="Z8">
        <v>29.848444277103674</v>
      </c>
      <c r="AA8">
        <v>801.78593204127958</v>
      </c>
    </row>
    <row r="9" spans="1:29" x14ac:dyDescent="0.2">
      <c r="A9" t="str">
        <f>lc_detailed!AA10</f>
        <v>SE_F-NGin-H2out</v>
      </c>
      <c r="B9" s="20">
        <f>lc_detailed!AF10</f>
        <v>0</v>
      </c>
      <c r="C9" s="20">
        <f>lc_detailed!AG10</f>
        <v>-29.444500200587196</v>
      </c>
      <c r="D9" s="20">
        <f>lc_detailed!AH10</f>
        <v>0</v>
      </c>
      <c r="E9" s="20">
        <f>lc_detailed!AI10</f>
        <v>452.54756324196904</v>
      </c>
      <c r="F9" s="20">
        <f>lc_detailed!AJ10</f>
        <v>31.007553608772341</v>
      </c>
      <c r="G9" s="20">
        <f>lc_detailed!AK10</f>
        <v>0</v>
      </c>
      <c r="H9" s="20">
        <f>lc_detailed!AL10</f>
        <v>236.76830702877979</v>
      </c>
      <c r="I9" s="20">
        <f>lc_detailed!AM10</f>
        <v>129.5862977462161</v>
      </c>
      <c r="J9" s="20">
        <f>lc_detailed!AN10</f>
        <v>-49.262240069007916</v>
      </c>
      <c r="K9" s="20">
        <f>lc_detailed!AP10</f>
        <v>0</v>
      </c>
      <c r="L9" s="20">
        <f>lc_detailed!AQ10</f>
        <v>76.504489670128464</v>
      </c>
      <c r="M9" s="20">
        <f>lc_detailed!AC10</f>
        <v>847.7074710262707</v>
      </c>
      <c r="O9" t="str">
        <v>SW_F-H2in</v>
      </c>
      <c r="P9">
        <v>2.2925913172470622</v>
      </c>
      <c r="Q9">
        <v>0</v>
      </c>
      <c r="R9">
        <v>0</v>
      </c>
      <c r="S9">
        <v>452.54756324196904</v>
      </c>
      <c r="T9">
        <v>0</v>
      </c>
      <c r="U9">
        <v>0</v>
      </c>
      <c r="V9">
        <v>236.76830652142303</v>
      </c>
      <c r="W9">
        <v>129.58629749253777</v>
      </c>
      <c r="X9">
        <v>-49.257270809000964</v>
      </c>
      <c r="Y9">
        <v>0</v>
      </c>
      <c r="Z9">
        <v>29.848444277103674</v>
      </c>
      <c r="AA9">
        <v>801.78593204127958</v>
      </c>
    </row>
    <row r="10" spans="1:29" x14ac:dyDescent="0.2">
      <c r="A10" t="str">
        <f>lc_detailed!AA11</f>
        <v>MIDAT_F-NGin-H2out</v>
      </c>
      <c r="B10" s="20">
        <f>lc_detailed!AF11</f>
        <v>0</v>
      </c>
      <c r="C10" s="20">
        <f>lc_detailed!AG11</f>
        <v>-28.958094954547988</v>
      </c>
      <c r="D10" s="20">
        <f>lc_detailed!AH11</f>
        <v>0</v>
      </c>
      <c r="E10" s="20">
        <f>lc_detailed!AI11</f>
        <v>452.54756324196904</v>
      </c>
      <c r="F10" s="20">
        <f>lc_detailed!AJ11</f>
        <v>35.71607505566368</v>
      </c>
      <c r="G10" s="20">
        <f>lc_detailed!AK11</f>
        <v>0</v>
      </c>
      <c r="H10" s="20">
        <f>lc_detailed!AL11</f>
        <v>236.76830702877979</v>
      </c>
      <c r="I10" s="20">
        <f>lc_detailed!AM11</f>
        <v>129.5862977462161</v>
      </c>
      <c r="J10" s="20">
        <f>lc_detailed!AN11</f>
        <v>-49.262240069007916</v>
      </c>
      <c r="K10" s="20">
        <f>lc_detailed!AP11</f>
        <v>0</v>
      </c>
      <c r="L10" s="20">
        <f>lc_detailed!AQ11</f>
        <v>76.504489670128464</v>
      </c>
      <c r="M10" s="20">
        <f>lc_detailed!AC11</f>
        <v>852.90239771920119</v>
      </c>
      <c r="O10" t="str">
        <v>TX_F-H2in</v>
      </c>
      <c r="P10">
        <v>2.2925913172470622</v>
      </c>
      <c r="Q10">
        <v>0</v>
      </c>
      <c r="R10">
        <v>0</v>
      </c>
      <c r="S10">
        <v>452.54756324196904</v>
      </c>
      <c r="T10">
        <v>0</v>
      </c>
      <c r="U10">
        <v>0</v>
      </c>
      <c r="V10">
        <v>236.76830652142303</v>
      </c>
      <c r="W10">
        <v>129.58629749253777</v>
      </c>
      <c r="X10">
        <v>-49.257270809000964</v>
      </c>
      <c r="Y10">
        <v>0</v>
      </c>
      <c r="Z10">
        <v>29.848444277103674</v>
      </c>
      <c r="AA10">
        <v>801.78593204127958</v>
      </c>
    </row>
    <row r="11" spans="1:29" x14ac:dyDescent="0.2">
      <c r="A11" t="str">
        <f>lc_detailed!AA12</f>
        <v>NE_F-NGin-H2out</v>
      </c>
      <c r="B11" s="20">
        <f>lc_detailed!AF12</f>
        <v>0</v>
      </c>
      <c r="C11" s="20">
        <f>lc_detailed!AG12</f>
        <v>-28.958094954547988</v>
      </c>
      <c r="D11" s="20">
        <f>lc_detailed!AH12</f>
        <v>0</v>
      </c>
      <c r="E11" s="20">
        <f>lc_detailed!AI12</f>
        <v>452.54756324196904</v>
      </c>
      <c r="F11" s="20">
        <f>lc_detailed!AJ12</f>
        <v>35.71607505566368</v>
      </c>
      <c r="G11" s="20">
        <f>lc_detailed!AK12</f>
        <v>0</v>
      </c>
      <c r="H11" s="20">
        <f>lc_detailed!AL12</f>
        <v>236.76830702877979</v>
      </c>
      <c r="I11" s="20">
        <f>lc_detailed!AM12</f>
        <v>129.5862977462161</v>
      </c>
      <c r="J11" s="20">
        <f>lc_detailed!AN12</f>
        <v>-49.262240069007916</v>
      </c>
      <c r="K11" s="20">
        <f>lc_detailed!AP12</f>
        <v>0</v>
      </c>
      <c r="L11" s="20">
        <f>lc_detailed!AQ12</f>
        <v>76.504489670128464</v>
      </c>
      <c r="M11" s="20">
        <f>lc_detailed!AC12</f>
        <v>852.90239771920119</v>
      </c>
      <c r="O11" t="str">
        <v>NCEN_F-H2in</v>
      </c>
      <c r="P11">
        <v>2.2925913172470622</v>
      </c>
      <c r="Q11">
        <v>0</v>
      </c>
      <c r="R11">
        <v>0</v>
      </c>
      <c r="S11">
        <v>452.54756324196904</v>
      </c>
      <c r="T11">
        <v>0</v>
      </c>
      <c r="U11">
        <v>0</v>
      </c>
      <c r="V11">
        <v>236.76830652142303</v>
      </c>
      <c r="W11">
        <v>129.58629749253777</v>
      </c>
      <c r="X11">
        <v>-49.257270809000964</v>
      </c>
      <c r="Y11">
        <v>0</v>
      </c>
      <c r="Z11">
        <v>29.848444277103674</v>
      </c>
      <c r="AA11">
        <v>801.78593204127958</v>
      </c>
    </row>
    <row r="12" spans="1:29" x14ac:dyDescent="0.2">
      <c r="A12" t="str">
        <f>lc_detailed!AA13</f>
        <v>CA_F-NGin</v>
      </c>
      <c r="B12" s="20">
        <f>lc_detailed!AF13</f>
        <v>0</v>
      </c>
      <c r="C12" s="20">
        <f>lc_detailed!AG13</f>
        <v>0</v>
      </c>
      <c r="D12" s="20">
        <f>lc_detailed!AH13</f>
        <v>0</v>
      </c>
      <c r="E12" s="20">
        <f>lc_detailed!AI13</f>
        <v>452.54756324196904</v>
      </c>
      <c r="F12" s="20">
        <f>lc_detailed!AJ13</f>
        <v>2.5800212044412296</v>
      </c>
      <c r="G12" s="20">
        <f>lc_detailed!AK13</f>
        <v>0</v>
      </c>
      <c r="H12" s="20">
        <f>lc_detailed!AL13</f>
        <v>236.76830652142303</v>
      </c>
      <c r="I12" s="20">
        <f>lc_detailed!AM13</f>
        <v>129.58629749253777</v>
      </c>
      <c r="J12" s="20">
        <f>lc_detailed!AN13</f>
        <v>-49.257270809000964</v>
      </c>
      <c r="K12" s="20">
        <f>lc_detailed!AP13</f>
        <v>0</v>
      </c>
      <c r="L12" s="20">
        <f>lc_detailed!AQ13</f>
        <v>33.218735840265985</v>
      </c>
      <c r="M12" s="20">
        <f>lc_detailed!AC13</f>
        <v>805.44365349163616</v>
      </c>
      <c r="O12" t="str">
        <v>CEN_F-H2in</v>
      </c>
      <c r="P12">
        <v>2.2925913172470622</v>
      </c>
      <c r="Q12">
        <v>0</v>
      </c>
      <c r="R12">
        <v>0</v>
      </c>
      <c r="S12">
        <v>452.54756324196904</v>
      </c>
      <c r="T12">
        <v>0</v>
      </c>
      <c r="U12">
        <v>0</v>
      </c>
      <c r="V12">
        <v>236.76830652142303</v>
      </c>
      <c r="W12">
        <v>129.58629749253777</v>
      </c>
      <c r="X12">
        <v>-49.257270809000964</v>
      </c>
      <c r="Y12">
        <v>0</v>
      </c>
      <c r="Z12">
        <v>29.848444277103674</v>
      </c>
      <c r="AA12">
        <v>801.78593204127958</v>
      </c>
    </row>
    <row r="13" spans="1:29" x14ac:dyDescent="0.2">
      <c r="A13" t="str">
        <f>lc_detailed!AA14</f>
        <v>NW_F-NGin</v>
      </c>
      <c r="B13" s="20">
        <f>lc_detailed!AF14</f>
        <v>0</v>
      </c>
      <c r="C13" s="20">
        <f>lc_detailed!AG14</f>
        <v>0</v>
      </c>
      <c r="D13" s="20">
        <f>lc_detailed!AH14</f>
        <v>0</v>
      </c>
      <c r="E13" s="20">
        <f>lc_detailed!AI14</f>
        <v>452.54756324196904</v>
      </c>
      <c r="F13" s="20">
        <f>lc_detailed!AJ14</f>
        <v>2.5800212044412296</v>
      </c>
      <c r="G13" s="20">
        <f>lc_detailed!AK14</f>
        <v>0</v>
      </c>
      <c r="H13" s="20">
        <f>lc_detailed!AL14</f>
        <v>236.76830652142303</v>
      </c>
      <c r="I13" s="20">
        <f>lc_detailed!AM14</f>
        <v>129.58629749253777</v>
      </c>
      <c r="J13" s="20">
        <f>lc_detailed!AN14</f>
        <v>-49.257270809000964</v>
      </c>
      <c r="K13" s="20">
        <f>lc_detailed!AP14</f>
        <v>0</v>
      </c>
      <c r="L13" s="20">
        <f>lc_detailed!AQ14</f>
        <v>33.218735840265985</v>
      </c>
      <c r="M13" s="20">
        <f>lc_detailed!AC14</f>
        <v>805.44365349163616</v>
      </c>
      <c r="O13" t="str">
        <v>TX_F-H2in-CH4out</v>
      </c>
      <c r="P13">
        <v>22.447717869826889</v>
      </c>
      <c r="Q13">
        <v>0</v>
      </c>
      <c r="R13">
        <v>0</v>
      </c>
      <c r="S13">
        <v>452.54756324196904</v>
      </c>
      <c r="T13">
        <v>0</v>
      </c>
      <c r="U13">
        <v>-19.827290979594004</v>
      </c>
      <c r="V13">
        <v>236.76830652142303</v>
      </c>
      <c r="W13">
        <v>129.58629749253777</v>
      </c>
      <c r="X13">
        <v>-49.257270809000964</v>
      </c>
      <c r="Y13">
        <v>0</v>
      </c>
      <c r="Z13">
        <v>29.848444277104196</v>
      </c>
      <c r="AA13">
        <v>802.11376761426595</v>
      </c>
    </row>
    <row r="14" spans="1:29" x14ac:dyDescent="0.2">
      <c r="A14" t="str">
        <f>lc_detailed!AA15</f>
        <v>SW_F-NGin</v>
      </c>
      <c r="B14" s="20">
        <f>lc_detailed!AF15</f>
        <v>0</v>
      </c>
      <c r="C14" s="20">
        <f>lc_detailed!AG15</f>
        <v>0</v>
      </c>
      <c r="D14" s="20">
        <f>lc_detailed!AH15</f>
        <v>0</v>
      </c>
      <c r="E14" s="20">
        <f>lc_detailed!AI15</f>
        <v>452.54756324196904</v>
      </c>
      <c r="F14" s="20">
        <f>lc_detailed!AJ15</f>
        <v>2.5800212044412296</v>
      </c>
      <c r="G14" s="20">
        <f>lc_detailed!AK15</f>
        <v>0</v>
      </c>
      <c r="H14" s="20">
        <f>lc_detailed!AL15</f>
        <v>236.76830652142303</v>
      </c>
      <c r="I14" s="20">
        <f>lc_detailed!AM15</f>
        <v>129.58629749253777</v>
      </c>
      <c r="J14" s="20">
        <f>lc_detailed!AN15</f>
        <v>-49.257270809000964</v>
      </c>
      <c r="K14" s="20">
        <f>lc_detailed!AP15</f>
        <v>0</v>
      </c>
      <c r="L14" s="20">
        <f>lc_detailed!AQ15</f>
        <v>33.218735840265985</v>
      </c>
      <c r="M14" s="20">
        <f>lc_detailed!AC15</f>
        <v>805.44365349163616</v>
      </c>
      <c r="O14" t="str">
        <v>NCEN_F-H2in-CH4out</v>
      </c>
      <c r="P14">
        <v>22.447717869826889</v>
      </c>
      <c r="Q14">
        <v>0</v>
      </c>
      <c r="R14">
        <v>0</v>
      </c>
      <c r="S14">
        <v>452.54756324196904</v>
      </c>
      <c r="T14">
        <v>0</v>
      </c>
      <c r="U14">
        <v>-19.827290979594004</v>
      </c>
      <c r="V14">
        <v>236.76830652142303</v>
      </c>
      <c r="W14">
        <v>129.58629749253777</v>
      </c>
      <c r="X14">
        <v>-49.257270809000964</v>
      </c>
      <c r="Y14">
        <v>0</v>
      </c>
      <c r="Z14">
        <v>29.848444277104196</v>
      </c>
      <c r="AA14">
        <v>802.11376761426595</v>
      </c>
    </row>
    <row r="15" spans="1:29" x14ac:dyDescent="0.2">
      <c r="A15" t="str">
        <f>lc_detailed!AA16</f>
        <v>TX_F-NGin</v>
      </c>
      <c r="B15" s="20">
        <f>lc_detailed!AF16</f>
        <v>0</v>
      </c>
      <c r="C15" s="20">
        <f>lc_detailed!AG16</f>
        <v>0</v>
      </c>
      <c r="D15" s="20">
        <f>lc_detailed!AH16</f>
        <v>0</v>
      </c>
      <c r="E15" s="20">
        <f>lc_detailed!AI16</f>
        <v>452.54756324196904</v>
      </c>
      <c r="F15" s="20">
        <f>lc_detailed!AJ16</f>
        <v>2.1502172339540175</v>
      </c>
      <c r="G15" s="20">
        <f>lc_detailed!AK16</f>
        <v>0</v>
      </c>
      <c r="H15" s="20">
        <f>lc_detailed!AL16</f>
        <v>236.76830652142303</v>
      </c>
      <c r="I15" s="20">
        <f>lc_detailed!AM16</f>
        <v>129.58629749253777</v>
      </c>
      <c r="J15" s="20">
        <f>lc_detailed!AN16</f>
        <v>-49.257270809000964</v>
      </c>
      <c r="K15" s="20">
        <f>lc_detailed!AP16</f>
        <v>0</v>
      </c>
      <c r="L15" s="20">
        <f>lc_detailed!AQ16</f>
        <v>33.218735840265985</v>
      </c>
      <c r="M15" s="20">
        <f>lc_detailed!AC16</f>
        <v>805.01384952114893</v>
      </c>
      <c r="O15" t="str">
        <v>CEN_F-H2in-CH4out</v>
      </c>
      <c r="P15">
        <v>22.447717869826889</v>
      </c>
      <c r="Q15">
        <v>0</v>
      </c>
      <c r="R15">
        <v>0</v>
      </c>
      <c r="S15">
        <v>452.54756324196904</v>
      </c>
      <c r="T15">
        <v>0</v>
      </c>
      <c r="U15">
        <v>-19.827290979594004</v>
      </c>
      <c r="V15">
        <v>236.76830652142303</v>
      </c>
      <c r="W15">
        <v>129.58629749253777</v>
      </c>
      <c r="X15">
        <v>-49.257270809000964</v>
      </c>
      <c r="Y15">
        <v>0</v>
      </c>
      <c r="Z15">
        <v>29.848444277104196</v>
      </c>
      <c r="AA15">
        <v>802.11376761426595</v>
      </c>
    </row>
    <row r="16" spans="1:29" x14ac:dyDescent="0.2">
      <c r="A16" t="str">
        <f>lc_detailed!AA17</f>
        <v>NCEN_F-NGin</v>
      </c>
      <c r="B16" s="20">
        <f>lc_detailed!AF17</f>
        <v>0</v>
      </c>
      <c r="C16" s="20">
        <f>lc_detailed!AG17</f>
        <v>0</v>
      </c>
      <c r="D16" s="20">
        <f>lc_detailed!AH17</f>
        <v>0</v>
      </c>
      <c r="E16" s="20">
        <f>lc_detailed!AI17</f>
        <v>452.54756324196904</v>
      </c>
      <c r="F16" s="20">
        <f>lc_detailed!AJ17</f>
        <v>2.1502172339540175</v>
      </c>
      <c r="G16" s="20">
        <f>lc_detailed!AK17</f>
        <v>0</v>
      </c>
      <c r="H16" s="20">
        <f>lc_detailed!AL17</f>
        <v>236.76830652142303</v>
      </c>
      <c r="I16" s="20">
        <f>lc_detailed!AM17</f>
        <v>129.58629749253777</v>
      </c>
      <c r="J16" s="20">
        <f>lc_detailed!AN17</f>
        <v>-49.257270809000964</v>
      </c>
      <c r="K16" s="20">
        <f>lc_detailed!AP17</f>
        <v>0</v>
      </c>
      <c r="L16" s="20">
        <f>lc_detailed!AQ17</f>
        <v>33.218735840265985</v>
      </c>
      <c r="M16" s="20">
        <f>lc_detailed!AC17</f>
        <v>805.01384952114893</v>
      </c>
      <c r="O16" t="str">
        <v>SE_F-H2in-CH4out</v>
      </c>
      <c r="P16">
        <v>22.447717869826889</v>
      </c>
      <c r="Q16">
        <v>0</v>
      </c>
      <c r="R16">
        <v>0</v>
      </c>
      <c r="S16">
        <v>452.54756324196904</v>
      </c>
      <c r="T16">
        <v>0</v>
      </c>
      <c r="U16">
        <v>-19.827290979594004</v>
      </c>
      <c r="V16">
        <v>236.76830652142303</v>
      </c>
      <c r="W16">
        <v>129.58629749253777</v>
      </c>
      <c r="X16">
        <v>-49.257270809000964</v>
      </c>
      <c r="Y16">
        <v>0</v>
      </c>
      <c r="Z16">
        <v>29.848444277104196</v>
      </c>
      <c r="AA16">
        <v>802.11376761426595</v>
      </c>
    </row>
    <row r="17" spans="1:27" x14ac:dyDescent="0.2">
      <c r="A17" t="str">
        <f>lc_detailed!AA18</f>
        <v>CEN_F-NGin</v>
      </c>
      <c r="B17" s="20">
        <f>lc_detailed!AF18</f>
        <v>0</v>
      </c>
      <c r="C17" s="20">
        <f>lc_detailed!AG18</f>
        <v>0</v>
      </c>
      <c r="D17" s="20">
        <f>lc_detailed!AH18</f>
        <v>0</v>
      </c>
      <c r="E17" s="20">
        <f>lc_detailed!AI18</f>
        <v>452.54756324196904</v>
      </c>
      <c r="F17" s="20">
        <f>lc_detailed!AJ18</f>
        <v>2.1502172339540175</v>
      </c>
      <c r="G17" s="20">
        <f>lc_detailed!AK18</f>
        <v>0</v>
      </c>
      <c r="H17" s="20">
        <f>lc_detailed!AL18</f>
        <v>236.76830652142303</v>
      </c>
      <c r="I17" s="20">
        <f>lc_detailed!AM18</f>
        <v>129.58629749253777</v>
      </c>
      <c r="J17" s="20">
        <f>lc_detailed!AN18</f>
        <v>-49.257270809000964</v>
      </c>
      <c r="K17" s="20">
        <f>lc_detailed!AP18</f>
        <v>0</v>
      </c>
      <c r="L17" s="20">
        <f>lc_detailed!AQ18</f>
        <v>33.218735840265985</v>
      </c>
      <c r="M17" s="20">
        <f>lc_detailed!AC18</f>
        <v>805.01384952114893</v>
      </c>
      <c r="O17" t="str">
        <v>MIDAT_F-H2in-CH4out</v>
      </c>
      <c r="P17">
        <v>22.447717869826889</v>
      </c>
      <c r="Q17">
        <v>0</v>
      </c>
      <c r="R17">
        <v>0</v>
      </c>
      <c r="S17">
        <v>452.54756324196904</v>
      </c>
      <c r="T17">
        <v>0</v>
      </c>
      <c r="U17">
        <v>-19.827290979594004</v>
      </c>
      <c r="V17">
        <v>236.76830652142303</v>
      </c>
      <c r="W17">
        <v>129.58629749253777</v>
      </c>
      <c r="X17">
        <v>-49.257270809000964</v>
      </c>
      <c r="Y17">
        <v>0</v>
      </c>
      <c r="Z17">
        <v>29.848444277104196</v>
      </c>
      <c r="AA17">
        <v>802.11376761426595</v>
      </c>
    </row>
    <row r="18" spans="1:27" x14ac:dyDescent="0.2">
      <c r="A18" t="str">
        <f>lc_detailed!AA19</f>
        <v>SE_F-NGin</v>
      </c>
      <c r="B18" s="20">
        <f>lc_detailed!AF19</f>
        <v>0</v>
      </c>
      <c r="C18" s="20">
        <f>lc_detailed!AG19</f>
        <v>0</v>
      </c>
      <c r="D18" s="20">
        <f>lc_detailed!AH19</f>
        <v>0</v>
      </c>
      <c r="E18" s="20">
        <f>lc_detailed!AI19</f>
        <v>452.54756324196904</v>
      </c>
      <c r="F18" s="20">
        <f>lc_detailed!AJ19</f>
        <v>2.1502172339540175</v>
      </c>
      <c r="G18" s="20">
        <f>lc_detailed!AK19</f>
        <v>0</v>
      </c>
      <c r="H18" s="20">
        <f>lc_detailed!AL19</f>
        <v>236.76830652142303</v>
      </c>
      <c r="I18" s="20">
        <f>lc_detailed!AM19</f>
        <v>129.58629749253777</v>
      </c>
      <c r="J18" s="20">
        <f>lc_detailed!AN19</f>
        <v>-49.257270809000964</v>
      </c>
      <c r="K18" s="20">
        <f>lc_detailed!AP19</f>
        <v>0</v>
      </c>
      <c r="L18" s="20">
        <f>lc_detailed!AQ19</f>
        <v>33.218735840265985</v>
      </c>
      <c r="M18" s="20">
        <f>lc_detailed!AC19</f>
        <v>805.01384952114893</v>
      </c>
      <c r="O18" t="str">
        <v>NE_F-H2in-CH4out</v>
      </c>
      <c r="P18">
        <v>22.447717869826889</v>
      </c>
      <c r="Q18">
        <v>0</v>
      </c>
      <c r="R18">
        <v>0</v>
      </c>
      <c r="S18">
        <v>452.54756324196904</v>
      </c>
      <c r="T18">
        <v>0</v>
      </c>
      <c r="U18">
        <v>-19.827290979594004</v>
      </c>
      <c r="V18">
        <v>236.76830652142303</v>
      </c>
      <c r="W18">
        <v>129.58629749253777</v>
      </c>
      <c r="X18">
        <v>-49.257270809000964</v>
      </c>
      <c r="Y18">
        <v>0</v>
      </c>
      <c r="Z18">
        <v>29.848444277104196</v>
      </c>
      <c r="AA18">
        <v>802.11376761426595</v>
      </c>
    </row>
    <row r="19" spans="1:27" x14ac:dyDescent="0.2">
      <c r="A19" t="str">
        <f>lc_detailed!AA20</f>
        <v>MIDAT_F-NGin</v>
      </c>
      <c r="B19" s="20">
        <f>lc_detailed!AF20</f>
        <v>0</v>
      </c>
      <c r="C19" s="20">
        <f>lc_detailed!AG20</f>
        <v>0</v>
      </c>
      <c r="D19" s="20">
        <f>lc_detailed!AH20</f>
        <v>0</v>
      </c>
      <c r="E19" s="20">
        <f>lc_detailed!AI20</f>
        <v>452.54756324196904</v>
      </c>
      <c r="F19" s="20">
        <f>lc_detailed!AJ20</f>
        <v>2.1502172339540175</v>
      </c>
      <c r="G19" s="20">
        <f>lc_detailed!AK20</f>
        <v>0</v>
      </c>
      <c r="H19" s="20">
        <f>lc_detailed!AL20</f>
        <v>236.76830652142303</v>
      </c>
      <c r="I19" s="20">
        <f>lc_detailed!AM20</f>
        <v>129.58629749253777</v>
      </c>
      <c r="J19" s="20">
        <f>lc_detailed!AN20</f>
        <v>-49.257270809000964</v>
      </c>
      <c r="K19" s="20">
        <f>lc_detailed!AP20</f>
        <v>0</v>
      </c>
      <c r="L19" s="20">
        <f>lc_detailed!AQ20</f>
        <v>33.218735840265985</v>
      </c>
      <c r="M19" s="20">
        <f>lc_detailed!AC20</f>
        <v>805.01384952114893</v>
      </c>
      <c r="O19" t="str">
        <v>NE_F-H2in</v>
      </c>
      <c r="P19">
        <v>3.2900756367859811</v>
      </c>
      <c r="Q19">
        <v>0</v>
      </c>
      <c r="R19">
        <v>0</v>
      </c>
      <c r="S19">
        <v>452.54756324196904</v>
      </c>
      <c r="T19">
        <v>0</v>
      </c>
      <c r="U19">
        <v>0</v>
      </c>
      <c r="V19">
        <v>236.76830652142303</v>
      </c>
      <c r="W19">
        <v>129.58629749253777</v>
      </c>
      <c r="X19">
        <v>-49.257270809000964</v>
      </c>
      <c r="Y19">
        <v>0</v>
      </c>
      <c r="Z19">
        <v>29.848444277103674</v>
      </c>
      <c r="AA19">
        <v>802.78341636081848</v>
      </c>
    </row>
    <row r="20" spans="1:27" x14ac:dyDescent="0.2">
      <c r="A20" t="str">
        <f>lc_detailed!AA21</f>
        <v>NE_F-NGin</v>
      </c>
      <c r="B20" s="20">
        <f>lc_detailed!AF21</f>
        <v>0</v>
      </c>
      <c r="C20" s="20">
        <f>lc_detailed!AG21</f>
        <v>0</v>
      </c>
      <c r="D20" s="20">
        <f>lc_detailed!AH21</f>
        <v>0</v>
      </c>
      <c r="E20" s="20">
        <f>lc_detailed!AI21</f>
        <v>452.54756324196904</v>
      </c>
      <c r="F20" s="20">
        <f>lc_detailed!AJ21</f>
        <v>3.7380996114783827</v>
      </c>
      <c r="G20" s="20">
        <f>lc_detailed!AK21</f>
        <v>0</v>
      </c>
      <c r="H20" s="20">
        <f>lc_detailed!AL21</f>
        <v>236.76830652142303</v>
      </c>
      <c r="I20" s="20">
        <f>lc_detailed!AM21</f>
        <v>129.58629749253777</v>
      </c>
      <c r="J20" s="20">
        <f>lc_detailed!AN21</f>
        <v>-49.257270809000964</v>
      </c>
      <c r="K20" s="20">
        <f>lc_detailed!AP21</f>
        <v>0</v>
      </c>
      <c r="L20" s="20">
        <f>lc_detailed!AQ21</f>
        <v>33.218735840265985</v>
      </c>
      <c r="M20" s="20">
        <f>lc_detailed!AC21</f>
        <v>806.60173189867317</v>
      </c>
      <c r="O20" t="str">
        <v>TX_F-NGin</v>
      </c>
      <c r="P20">
        <v>0</v>
      </c>
      <c r="Q20">
        <v>0</v>
      </c>
      <c r="R20">
        <v>0</v>
      </c>
      <c r="S20">
        <v>452.54756324196904</v>
      </c>
      <c r="T20">
        <v>2.1502172339540175</v>
      </c>
      <c r="U20">
        <v>0</v>
      </c>
      <c r="V20">
        <v>236.76830652142303</v>
      </c>
      <c r="W20">
        <v>129.58629749253777</v>
      </c>
      <c r="X20">
        <v>-49.257270809000964</v>
      </c>
      <c r="Y20">
        <v>0</v>
      </c>
      <c r="Z20">
        <v>33.218735840265985</v>
      </c>
      <c r="AA20">
        <v>805.01384952114893</v>
      </c>
    </row>
    <row r="21" spans="1:27" x14ac:dyDescent="0.2">
      <c r="A21" t="str">
        <f>lc_detailed!AA22</f>
        <v>CA_F-CC90-NGin</v>
      </c>
      <c r="B21" s="20">
        <f>lc_detailed!AF22</f>
        <v>0</v>
      </c>
      <c r="C21" s="20">
        <f>lc_detailed!AG22</f>
        <v>0</v>
      </c>
      <c r="D21" s="20">
        <f>lc_detailed!AH22</f>
        <v>3.4738269168607738</v>
      </c>
      <c r="E21" s="20">
        <f>lc_detailed!AI22</f>
        <v>452.54756324196904</v>
      </c>
      <c r="F21" s="20">
        <f>lc_detailed!AJ22</f>
        <v>3.7380996114783827</v>
      </c>
      <c r="G21" s="20">
        <f>lc_detailed!AK22</f>
        <v>0</v>
      </c>
      <c r="H21" s="20">
        <f>lc_detailed!AL22</f>
        <v>258.23340091983289</v>
      </c>
      <c r="I21" s="20">
        <f>lc_detailed!AM22</f>
        <v>141.334415469421</v>
      </c>
      <c r="J21" s="20">
        <f>lc_detailed!AN22</f>
        <v>-46.79224006554788</v>
      </c>
      <c r="K21" s="20">
        <f>lc_detailed!AP22</f>
        <v>-27.424081121985996</v>
      </c>
      <c r="L21" s="20">
        <f>lc_detailed!AQ22</f>
        <v>33.218735840265836</v>
      </c>
      <c r="M21" s="20">
        <f>lc_detailed!AC22</f>
        <v>818.32972081229411</v>
      </c>
      <c r="O21" t="str">
        <v>NCEN_F-NGin</v>
      </c>
      <c r="P21">
        <v>0</v>
      </c>
      <c r="Q21">
        <v>0</v>
      </c>
      <c r="R21">
        <v>0</v>
      </c>
      <c r="S21">
        <v>452.54756324196904</v>
      </c>
      <c r="T21">
        <v>2.1502172339540175</v>
      </c>
      <c r="U21">
        <v>0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33.218735840265985</v>
      </c>
      <c r="AA21">
        <v>805.01384952114893</v>
      </c>
    </row>
    <row r="22" spans="1:27" x14ac:dyDescent="0.2">
      <c r="A22" t="str">
        <f>lc_detailed!AA23</f>
        <v>NW_F-CC90-NGin</v>
      </c>
      <c r="B22" s="20">
        <f>lc_detailed!AF23</f>
        <v>0</v>
      </c>
      <c r="C22" s="20">
        <f>lc_detailed!AG23</f>
        <v>0</v>
      </c>
      <c r="D22" s="20">
        <f>lc_detailed!AH23</f>
        <v>3.4738269168607738</v>
      </c>
      <c r="E22" s="20">
        <f>lc_detailed!AI23</f>
        <v>452.54756324196904</v>
      </c>
      <c r="F22" s="20">
        <f>lc_detailed!AJ23</f>
        <v>3.7380996114783827</v>
      </c>
      <c r="G22" s="20">
        <f>lc_detailed!AK23</f>
        <v>0</v>
      </c>
      <c r="H22" s="20">
        <f>lc_detailed!AL23</f>
        <v>258.23340091983289</v>
      </c>
      <c r="I22" s="20">
        <f>lc_detailed!AM23</f>
        <v>141.334415469421</v>
      </c>
      <c r="J22" s="20">
        <f>lc_detailed!AN23</f>
        <v>-46.79224006554788</v>
      </c>
      <c r="K22" s="20">
        <f>lc_detailed!AP23</f>
        <v>-27.424081121985996</v>
      </c>
      <c r="L22" s="20">
        <f>lc_detailed!AQ23</f>
        <v>33.218735840265836</v>
      </c>
      <c r="M22" s="20">
        <f>lc_detailed!AC23</f>
        <v>818.32972081229411</v>
      </c>
      <c r="O22" t="str">
        <v>CEN_F-NGin</v>
      </c>
      <c r="P22">
        <v>0</v>
      </c>
      <c r="Q22">
        <v>0</v>
      </c>
      <c r="R22">
        <v>0</v>
      </c>
      <c r="S22">
        <v>452.54756324196904</v>
      </c>
      <c r="T22">
        <v>2.1502172339540175</v>
      </c>
      <c r="U22">
        <v>0</v>
      </c>
      <c r="V22">
        <v>236.76830652142303</v>
      </c>
      <c r="W22">
        <v>129.58629749253777</v>
      </c>
      <c r="X22">
        <v>-49.257270809000964</v>
      </c>
      <c r="Y22">
        <v>0</v>
      </c>
      <c r="Z22">
        <v>33.218735840265985</v>
      </c>
      <c r="AA22">
        <v>805.01384952114893</v>
      </c>
    </row>
    <row r="23" spans="1:27" x14ac:dyDescent="0.2">
      <c r="A23" t="str">
        <f>lc_detailed!AA24</f>
        <v>SW_F-CC90-NGin</v>
      </c>
      <c r="B23" s="20">
        <f>lc_detailed!AF24</f>
        <v>0</v>
      </c>
      <c r="C23" s="20">
        <f>lc_detailed!AG24</f>
        <v>0</v>
      </c>
      <c r="D23" s="20">
        <f>lc_detailed!AH24</f>
        <v>3.4738269168607738</v>
      </c>
      <c r="E23" s="20">
        <f>lc_detailed!AI24</f>
        <v>452.54756324196904</v>
      </c>
      <c r="F23" s="20">
        <f>lc_detailed!AJ24</f>
        <v>3.7380996114783827</v>
      </c>
      <c r="G23" s="20">
        <f>lc_detailed!AK24</f>
        <v>0</v>
      </c>
      <c r="H23" s="20">
        <f>lc_detailed!AL24</f>
        <v>258.23340091983289</v>
      </c>
      <c r="I23" s="20">
        <f>lc_detailed!AM24</f>
        <v>141.334415469421</v>
      </c>
      <c r="J23" s="20">
        <f>lc_detailed!AN24</f>
        <v>-46.79224006554788</v>
      </c>
      <c r="K23" s="20">
        <f>lc_detailed!AP24</f>
        <v>-27.424081121985996</v>
      </c>
      <c r="L23" s="20">
        <f>lc_detailed!AQ24</f>
        <v>33.218735840265836</v>
      </c>
      <c r="M23" s="20">
        <f>lc_detailed!AC24</f>
        <v>818.32972081229411</v>
      </c>
      <c r="O23" t="str">
        <v>SE_F-NGin</v>
      </c>
      <c r="P23">
        <v>0</v>
      </c>
      <c r="Q23">
        <v>0</v>
      </c>
      <c r="R23">
        <v>0</v>
      </c>
      <c r="S23">
        <v>452.54756324196904</v>
      </c>
      <c r="T23">
        <v>2.1502172339540175</v>
      </c>
      <c r="U23">
        <v>0</v>
      </c>
      <c r="V23">
        <v>236.76830652142303</v>
      </c>
      <c r="W23">
        <v>129.58629749253777</v>
      </c>
      <c r="X23">
        <v>-49.257270809000964</v>
      </c>
      <c r="Y23">
        <v>0</v>
      </c>
      <c r="Z23">
        <v>33.218735840265985</v>
      </c>
      <c r="AA23">
        <v>805.01384952114893</v>
      </c>
    </row>
    <row r="24" spans="1:27" x14ac:dyDescent="0.2">
      <c r="A24" t="str">
        <f>lc_detailed!AA25</f>
        <v>TX_F-CC90-NGin</v>
      </c>
      <c r="B24" s="20">
        <f>lc_detailed!AF25</f>
        <v>0</v>
      </c>
      <c r="C24" s="20">
        <f>lc_detailed!AG25</f>
        <v>0</v>
      </c>
      <c r="D24" s="20">
        <f>lc_detailed!AH25</f>
        <v>3.4738269168607738</v>
      </c>
      <c r="E24" s="20">
        <f>lc_detailed!AI25</f>
        <v>452.54756324196904</v>
      </c>
      <c r="F24" s="20">
        <f>lc_detailed!AJ25</f>
        <v>3.7380996114783827</v>
      </c>
      <c r="G24" s="20">
        <f>lc_detailed!AK25</f>
        <v>0</v>
      </c>
      <c r="H24" s="20">
        <f>lc_detailed!AL25</f>
        <v>258.23340091983289</v>
      </c>
      <c r="I24" s="20">
        <f>lc_detailed!AM25</f>
        <v>141.334415469421</v>
      </c>
      <c r="J24" s="20">
        <f>lc_detailed!AN25</f>
        <v>-46.79224006554788</v>
      </c>
      <c r="K24" s="20">
        <f>lc_detailed!AP25</f>
        <v>-27.424081121985996</v>
      </c>
      <c r="L24" s="20">
        <f>lc_detailed!AQ25</f>
        <v>33.218735840265836</v>
      </c>
      <c r="M24" s="20">
        <f>lc_detailed!AC25</f>
        <v>818.32972081229411</v>
      </c>
      <c r="O24" t="str">
        <v>MIDAT_F-NGin</v>
      </c>
      <c r="P24">
        <v>0</v>
      </c>
      <c r="Q24">
        <v>0</v>
      </c>
      <c r="R24">
        <v>0</v>
      </c>
      <c r="S24">
        <v>452.54756324196904</v>
      </c>
      <c r="T24">
        <v>2.1502172339540175</v>
      </c>
      <c r="U24">
        <v>0</v>
      </c>
      <c r="V24">
        <v>236.76830652142303</v>
      </c>
      <c r="W24">
        <v>129.58629749253777</v>
      </c>
      <c r="X24">
        <v>-49.257270809000964</v>
      </c>
      <c r="Y24">
        <v>0</v>
      </c>
      <c r="Z24">
        <v>33.218735840265985</v>
      </c>
      <c r="AA24">
        <v>805.01384952114893</v>
      </c>
    </row>
    <row r="25" spans="1:27" x14ac:dyDescent="0.2">
      <c r="A25" t="str">
        <f>lc_detailed!AA26</f>
        <v>NCEN_F-CC90-NGin</v>
      </c>
      <c r="B25" s="20">
        <f>lc_detailed!AF26</f>
        <v>0</v>
      </c>
      <c r="C25" s="20">
        <f>lc_detailed!AG26</f>
        <v>0</v>
      </c>
      <c r="D25" s="20">
        <f>lc_detailed!AH26</f>
        <v>3.4068656349171125</v>
      </c>
      <c r="E25" s="20">
        <f>lc_detailed!AI26</f>
        <v>452.54756324196904</v>
      </c>
      <c r="F25" s="20">
        <f>lc_detailed!AJ26</f>
        <v>3.7613150642871864</v>
      </c>
      <c r="G25" s="20">
        <f>lc_detailed!AK26</f>
        <v>0</v>
      </c>
      <c r="H25" s="20">
        <f>lc_detailed!AL26</f>
        <v>258.23340091983289</v>
      </c>
      <c r="I25" s="20">
        <f>lc_detailed!AM26</f>
        <v>141.334415469421</v>
      </c>
      <c r="J25" s="20">
        <f>lc_detailed!AN26</f>
        <v>-46.79224006554788</v>
      </c>
      <c r="K25" s="20">
        <f>lc_detailed!AP26</f>
        <v>-27.382739096821183</v>
      </c>
      <c r="L25" s="20">
        <f>lc_detailed!AQ26</f>
        <v>33.218735840265836</v>
      </c>
      <c r="M25" s="20">
        <f>lc_detailed!AC26</f>
        <v>818.32731700832403</v>
      </c>
      <c r="O25" t="str">
        <v>CA_F-NGin</v>
      </c>
      <c r="P25">
        <v>0</v>
      </c>
      <c r="Q25">
        <v>0</v>
      </c>
      <c r="R25">
        <v>0</v>
      </c>
      <c r="S25">
        <v>452.54756324196904</v>
      </c>
      <c r="T25">
        <v>2.5800212044412296</v>
      </c>
      <c r="U25">
        <v>0</v>
      </c>
      <c r="V25">
        <v>236.76830652142303</v>
      </c>
      <c r="W25">
        <v>129.58629749253777</v>
      </c>
      <c r="X25">
        <v>-49.257270809000964</v>
      </c>
      <c r="Y25">
        <v>0</v>
      </c>
      <c r="Z25">
        <v>33.218735840265985</v>
      </c>
      <c r="AA25">
        <v>805.44365349163616</v>
      </c>
    </row>
    <row r="26" spans="1:27" x14ac:dyDescent="0.2">
      <c r="A26" t="str">
        <f>lc_detailed!AA27</f>
        <v>CEN_F-CC90-NGin</v>
      </c>
      <c r="B26" s="20">
        <f>lc_detailed!AF27</f>
        <v>0</v>
      </c>
      <c r="C26" s="20">
        <f>lc_detailed!AG27</f>
        <v>0</v>
      </c>
      <c r="D26" s="20">
        <f>lc_detailed!AH27</f>
        <v>3.4068656349171125</v>
      </c>
      <c r="E26" s="20">
        <f>lc_detailed!AI27</f>
        <v>452.54756324196904</v>
      </c>
      <c r="F26" s="20">
        <f>lc_detailed!AJ27</f>
        <v>3.7613150642871864</v>
      </c>
      <c r="G26" s="20">
        <f>lc_detailed!AK27</f>
        <v>0</v>
      </c>
      <c r="H26" s="20">
        <f>lc_detailed!AL27</f>
        <v>258.23340091983289</v>
      </c>
      <c r="I26" s="20">
        <f>lc_detailed!AM27</f>
        <v>141.334415469421</v>
      </c>
      <c r="J26" s="20">
        <f>lc_detailed!AN27</f>
        <v>-46.79224006554788</v>
      </c>
      <c r="K26" s="20">
        <f>lc_detailed!AP27</f>
        <v>-27.382739096821183</v>
      </c>
      <c r="L26" s="20">
        <f>lc_detailed!AQ27</f>
        <v>33.218735840265836</v>
      </c>
      <c r="M26" s="20">
        <f>lc_detailed!AC27</f>
        <v>818.32731700832403</v>
      </c>
      <c r="O26" t="str">
        <v>NW_F-NGin</v>
      </c>
      <c r="P26">
        <v>0</v>
      </c>
      <c r="Q26">
        <v>0</v>
      </c>
      <c r="R26">
        <v>0</v>
      </c>
      <c r="S26">
        <v>452.54756324196904</v>
      </c>
      <c r="T26">
        <v>2.5800212044412296</v>
      </c>
      <c r="U26">
        <v>0</v>
      </c>
      <c r="V26">
        <v>236.76830652142303</v>
      </c>
      <c r="W26">
        <v>129.58629749253777</v>
      </c>
      <c r="X26">
        <v>-49.257270809000964</v>
      </c>
      <c r="Y26">
        <v>0</v>
      </c>
      <c r="Z26">
        <v>33.218735840265985</v>
      </c>
      <c r="AA26">
        <v>805.44365349163616</v>
      </c>
    </row>
    <row r="27" spans="1:27" x14ac:dyDescent="0.2">
      <c r="A27" t="str">
        <f>lc_detailed!AA28</f>
        <v>SE_F-CC90-NGin</v>
      </c>
      <c r="B27" s="20">
        <f>lc_detailed!AF28</f>
        <v>0</v>
      </c>
      <c r="C27" s="20">
        <f>lc_detailed!AG28</f>
        <v>0</v>
      </c>
      <c r="D27" s="20">
        <f>lc_detailed!AH28</f>
        <v>3.4068656349171125</v>
      </c>
      <c r="E27" s="20">
        <f>lc_detailed!AI28</f>
        <v>452.54756324196904</v>
      </c>
      <c r="F27" s="20">
        <f>lc_detailed!AJ28</f>
        <v>3.7613150642871864</v>
      </c>
      <c r="G27" s="20">
        <f>lc_detailed!AK28</f>
        <v>0</v>
      </c>
      <c r="H27" s="20">
        <f>lc_detailed!AL28</f>
        <v>258.23340091983289</v>
      </c>
      <c r="I27" s="20">
        <f>lc_detailed!AM28</f>
        <v>141.334415469421</v>
      </c>
      <c r="J27" s="20">
        <f>lc_detailed!AN28</f>
        <v>-46.79224006554788</v>
      </c>
      <c r="K27" s="20">
        <f>lc_detailed!AP28</f>
        <v>-27.382739096821183</v>
      </c>
      <c r="L27" s="20">
        <f>lc_detailed!AQ28</f>
        <v>33.218735840265836</v>
      </c>
      <c r="M27" s="20">
        <f>lc_detailed!AC28</f>
        <v>818.32731700832403</v>
      </c>
      <c r="O27" t="str">
        <v>SW_F-NGin</v>
      </c>
      <c r="P27">
        <v>0</v>
      </c>
      <c r="Q27">
        <v>0</v>
      </c>
      <c r="R27">
        <v>0</v>
      </c>
      <c r="S27">
        <v>452.54756324196904</v>
      </c>
      <c r="T27">
        <v>2.5800212044412296</v>
      </c>
      <c r="U27">
        <v>0</v>
      </c>
      <c r="V27">
        <v>236.76830652142303</v>
      </c>
      <c r="W27">
        <v>129.58629749253777</v>
      </c>
      <c r="X27">
        <v>-49.257270809000964</v>
      </c>
      <c r="Y27">
        <v>0</v>
      </c>
      <c r="Z27">
        <v>33.218735840265985</v>
      </c>
      <c r="AA27">
        <v>805.44365349163616</v>
      </c>
    </row>
    <row r="28" spans="1:27" x14ac:dyDescent="0.2">
      <c r="A28" t="str">
        <f>lc_detailed!AA29</f>
        <v>MIDAT_F-CC90-NGin</v>
      </c>
      <c r="B28" s="20">
        <f>lc_detailed!AF29</f>
        <v>0</v>
      </c>
      <c r="C28" s="20">
        <f>lc_detailed!AG29</f>
        <v>0</v>
      </c>
      <c r="D28" s="20">
        <f>lc_detailed!AH29</f>
        <v>3.4068656349171125</v>
      </c>
      <c r="E28" s="20">
        <f>lc_detailed!AI29</f>
        <v>452.54756324196904</v>
      </c>
      <c r="F28" s="20">
        <f>lc_detailed!AJ29</f>
        <v>3.7613150642871864</v>
      </c>
      <c r="G28" s="20">
        <f>lc_detailed!AK29</f>
        <v>0</v>
      </c>
      <c r="H28" s="20">
        <f>lc_detailed!AL29</f>
        <v>258.23340091983289</v>
      </c>
      <c r="I28" s="20">
        <f>lc_detailed!AM29</f>
        <v>141.334415469421</v>
      </c>
      <c r="J28" s="20">
        <f>lc_detailed!AN29</f>
        <v>-46.79224006554788</v>
      </c>
      <c r="K28" s="20">
        <f>lc_detailed!AP29</f>
        <v>-27.382739096821183</v>
      </c>
      <c r="L28" s="20">
        <f>lc_detailed!AQ29</f>
        <v>33.218735840265836</v>
      </c>
      <c r="M28" s="20">
        <f>lc_detailed!AC29</f>
        <v>818.32731700832403</v>
      </c>
      <c r="O28" t="str">
        <v>SW_F-H2in-CH4out</v>
      </c>
      <c r="P28">
        <v>18.386949585388969</v>
      </c>
      <c r="Q28">
        <v>0</v>
      </c>
      <c r="R28">
        <v>0</v>
      </c>
      <c r="S28">
        <v>452.54756324196904</v>
      </c>
      <c r="T28">
        <v>0</v>
      </c>
      <c r="U28">
        <v>-11.965854215222025</v>
      </c>
      <c r="V28">
        <v>236.76830652142303</v>
      </c>
      <c r="W28">
        <v>129.58629749253777</v>
      </c>
      <c r="X28">
        <v>-49.257270809000964</v>
      </c>
      <c r="Y28">
        <v>0</v>
      </c>
      <c r="Z28">
        <v>29.848444277104196</v>
      </c>
      <c r="AA28">
        <v>805.91443609420003</v>
      </c>
    </row>
    <row r="29" spans="1:27" x14ac:dyDescent="0.2">
      <c r="A29" t="str">
        <f>lc_detailed!AA30</f>
        <v>NE_F-CC90-NGin</v>
      </c>
      <c r="B29" s="20">
        <f>lc_detailed!AF30</f>
        <v>0</v>
      </c>
      <c r="C29" s="20">
        <f>lc_detailed!AG30</f>
        <v>0</v>
      </c>
      <c r="D29" s="20">
        <f>lc_detailed!AH30</f>
        <v>3.4068656349171125</v>
      </c>
      <c r="E29" s="20">
        <f>lc_detailed!AI30</f>
        <v>452.54756324196904</v>
      </c>
      <c r="F29" s="20">
        <f>lc_detailed!AJ30</f>
        <v>3.7613150642871864</v>
      </c>
      <c r="G29" s="20">
        <f>lc_detailed!AK30</f>
        <v>0</v>
      </c>
      <c r="H29" s="20">
        <f>lc_detailed!AL30</f>
        <v>258.23340091983289</v>
      </c>
      <c r="I29" s="20">
        <f>lc_detailed!AM30</f>
        <v>141.334415469421</v>
      </c>
      <c r="J29" s="20">
        <f>lc_detailed!AN30</f>
        <v>-46.79224006554788</v>
      </c>
      <c r="K29" s="20">
        <f>lc_detailed!AP30</f>
        <v>-27.382739096821183</v>
      </c>
      <c r="L29" s="20">
        <f>lc_detailed!AQ30</f>
        <v>33.218735840265836</v>
      </c>
      <c r="M29" s="20">
        <f>lc_detailed!AC30</f>
        <v>818.32731700832403</v>
      </c>
      <c r="O29" t="str">
        <v>NE_F-NGin</v>
      </c>
      <c r="P29">
        <v>0</v>
      </c>
      <c r="Q29">
        <v>0</v>
      </c>
      <c r="R29">
        <v>0</v>
      </c>
      <c r="S29">
        <v>452.54756324196904</v>
      </c>
      <c r="T29">
        <v>3.7380996114783827</v>
      </c>
      <c r="U29">
        <v>0</v>
      </c>
      <c r="V29">
        <v>236.76830652142303</v>
      </c>
      <c r="W29">
        <v>129.58629749253777</v>
      </c>
      <c r="X29">
        <v>-49.257270809000964</v>
      </c>
      <c r="Y29">
        <v>0</v>
      </c>
      <c r="Z29">
        <v>33.218735840265985</v>
      </c>
      <c r="AA29">
        <v>806.60173189867317</v>
      </c>
    </row>
    <row r="30" spans="1:27" x14ac:dyDescent="0.2">
      <c r="A30" t="str">
        <f>lc_detailed!AA31</f>
        <v>CA_F-CC90-NGin-H2out</v>
      </c>
      <c r="B30" s="20">
        <f>lc_detailed!AF31</f>
        <v>0</v>
      </c>
      <c r="C30" s="20">
        <f>lc_detailed!AG31</f>
        <v>-23.270616097830075</v>
      </c>
      <c r="D30" s="20">
        <f>lc_detailed!AH31</f>
        <v>3.9633893407219944</v>
      </c>
      <c r="E30" s="20">
        <f>lc_detailed!AI31</f>
        <v>452.54756324196904</v>
      </c>
      <c r="F30" s="20">
        <f>lc_detailed!AJ31</f>
        <v>27.557881974255686</v>
      </c>
      <c r="G30" s="20">
        <f>lc_detailed!AK31</f>
        <v>0</v>
      </c>
      <c r="H30" s="20">
        <f>lc_detailed!AL31</f>
        <v>280.92664042397126</v>
      </c>
      <c r="I30" s="20">
        <f>lc_detailed!AM31</f>
        <v>153.76063060605685</v>
      </c>
      <c r="J30" s="20">
        <f>lc_detailed!AN31</f>
        <v>-46.592240065267717</v>
      </c>
      <c r="K30" s="20">
        <f>lc_detailed!AP31</f>
        <v>-63.164991612940547</v>
      </c>
      <c r="L30" s="20">
        <f>lc_detailed!AQ31</f>
        <v>76.504489670128322</v>
      </c>
      <c r="M30" s="20">
        <f>lc_detailed!AC31</f>
        <v>862.23274748106496</v>
      </c>
      <c r="O30" t="str">
        <v>NCEN_F-CC90-NGin</v>
      </c>
      <c r="P30">
        <v>0</v>
      </c>
      <c r="Q30">
        <v>0</v>
      </c>
      <c r="R30">
        <v>3.4068656349171125</v>
      </c>
      <c r="S30">
        <v>452.54756324196904</v>
      </c>
      <c r="T30">
        <v>3.7613150642871864</v>
      </c>
      <c r="U30">
        <v>0</v>
      </c>
      <c r="V30">
        <v>258.23340091983289</v>
      </c>
      <c r="W30">
        <v>141.334415469421</v>
      </c>
      <c r="X30">
        <v>-46.79224006554788</v>
      </c>
      <c r="Y30">
        <v>-27.382739096821183</v>
      </c>
      <c r="Z30">
        <v>33.218735840265836</v>
      </c>
      <c r="AA30">
        <v>818.32731700832403</v>
      </c>
    </row>
    <row r="31" spans="1:27" x14ac:dyDescent="0.2">
      <c r="A31" t="str">
        <f>lc_detailed!AA32</f>
        <v>NW_F-CC90-NGin-H2out</v>
      </c>
      <c r="B31" s="20">
        <f>lc_detailed!AF32</f>
        <v>0</v>
      </c>
      <c r="C31" s="20">
        <f>lc_detailed!AG32</f>
        <v>-23.270616097830075</v>
      </c>
      <c r="D31" s="20">
        <f>lc_detailed!AH32</f>
        <v>3.9633893407219944</v>
      </c>
      <c r="E31" s="20">
        <f>lc_detailed!AI32</f>
        <v>452.54756324196904</v>
      </c>
      <c r="F31" s="20">
        <f>lc_detailed!AJ32</f>
        <v>27.557881974255686</v>
      </c>
      <c r="G31" s="20">
        <f>lc_detailed!AK32</f>
        <v>0</v>
      </c>
      <c r="H31" s="20">
        <f>lc_detailed!AL32</f>
        <v>280.92664042397126</v>
      </c>
      <c r="I31" s="20">
        <f>lc_detailed!AM32</f>
        <v>153.76063060605685</v>
      </c>
      <c r="J31" s="20">
        <f>lc_detailed!AN32</f>
        <v>-46.592240065267717</v>
      </c>
      <c r="K31" s="20">
        <f>lc_detailed!AP32</f>
        <v>-63.164991612940547</v>
      </c>
      <c r="L31" s="20">
        <f>lc_detailed!AQ32</f>
        <v>76.504489670128322</v>
      </c>
      <c r="M31" s="20">
        <f>lc_detailed!AC32</f>
        <v>862.23274748106496</v>
      </c>
      <c r="O31" t="str">
        <v>CEN_F-CC90-NGin</v>
      </c>
      <c r="P31">
        <v>0</v>
      </c>
      <c r="Q31">
        <v>0</v>
      </c>
      <c r="R31">
        <v>3.4068656349171125</v>
      </c>
      <c r="S31">
        <v>452.54756324196904</v>
      </c>
      <c r="T31">
        <v>3.7613150642871864</v>
      </c>
      <c r="U31">
        <v>0</v>
      </c>
      <c r="V31">
        <v>258.23340091983289</v>
      </c>
      <c r="W31">
        <v>141.334415469421</v>
      </c>
      <c r="X31">
        <v>-46.79224006554788</v>
      </c>
      <c r="Y31">
        <v>-27.382739096821183</v>
      </c>
      <c r="Z31">
        <v>33.218735840265836</v>
      </c>
      <c r="AA31">
        <v>818.32731700832403</v>
      </c>
    </row>
    <row r="32" spans="1:27" x14ac:dyDescent="0.2">
      <c r="A32" t="str">
        <f>lc_detailed!AA33</f>
        <v>SW_F-CC90-NGin-H2out</v>
      </c>
      <c r="B32" s="20">
        <f>lc_detailed!AF33</f>
        <v>0</v>
      </c>
      <c r="C32" s="20">
        <f>lc_detailed!AG33</f>
        <v>-23.270616097830075</v>
      </c>
      <c r="D32" s="20">
        <f>lc_detailed!AH33</f>
        <v>3.9633893407219944</v>
      </c>
      <c r="E32" s="20">
        <f>lc_detailed!AI33</f>
        <v>452.54756324196904</v>
      </c>
      <c r="F32" s="20">
        <f>lc_detailed!AJ33</f>
        <v>27.557881974255686</v>
      </c>
      <c r="G32" s="20">
        <f>lc_detailed!AK33</f>
        <v>0</v>
      </c>
      <c r="H32" s="20">
        <f>lc_detailed!AL33</f>
        <v>280.92664042397126</v>
      </c>
      <c r="I32" s="20">
        <f>lc_detailed!AM33</f>
        <v>153.76063060605685</v>
      </c>
      <c r="J32" s="20">
        <f>lc_detailed!AN33</f>
        <v>-46.592240065267717</v>
      </c>
      <c r="K32" s="20">
        <f>lc_detailed!AP33</f>
        <v>-63.164991612940547</v>
      </c>
      <c r="L32" s="20">
        <f>lc_detailed!AQ33</f>
        <v>76.504489670128322</v>
      </c>
      <c r="M32" s="20">
        <f>lc_detailed!AC33</f>
        <v>862.23274748106496</v>
      </c>
      <c r="O32" t="str">
        <v>SE_F-CC90-NGin</v>
      </c>
      <c r="P32">
        <v>0</v>
      </c>
      <c r="Q32">
        <v>0</v>
      </c>
      <c r="R32">
        <v>3.4068656349171125</v>
      </c>
      <c r="S32">
        <v>452.54756324196904</v>
      </c>
      <c r="T32">
        <v>3.7613150642871864</v>
      </c>
      <c r="U32">
        <v>0</v>
      </c>
      <c r="V32">
        <v>258.23340091983289</v>
      </c>
      <c r="W32">
        <v>141.334415469421</v>
      </c>
      <c r="X32">
        <v>-46.79224006554788</v>
      </c>
      <c r="Y32">
        <v>-27.382739096821183</v>
      </c>
      <c r="Z32">
        <v>33.218735840265836</v>
      </c>
      <c r="AA32">
        <v>818.32731700832403</v>
      </c>
    </row>
    <row r="33" spans="1:27" x14ac:dyDescent="0.2">
      <c r="A33" t="str">
        <f>lc_detailed!AA34</f>
        <v>TX_F-CC90-NGin-H2out</v>
      </c>
      <c r="B33" s="20">
        <f>lc_detailed!AF34</f>
        <v>0</v>
      </c>
      <c r="C33" s="20">
        <f>lc_detailed!AG34</f>
        <v>-23.270616097830075</v>
      </c>
      <c r="D33" s="20">
        <f>lc_detailed!AH34</f>
        <v>3.9633893407219944</v>
      </c>
      <c r="E33" s="20">
        <f>lc_detailed!AI34</f>
        <v>452.54756324196904</v>
      </c>
      <c r="F33" s="20">
        <f>lc_detailed!AJ34</f>
        <v>27.557881974255686</v>
      </c>
      <c r="G33" s="20">
        <f>lc_detailed!AK34</f>
        <v>0</v>
      </c>
      <c r="H33" s="20">
        <f>lc_detailed!AL34</f>
        <v>280.92664042397126</v>
      </c>
      <c r="I33" s="20">
        <f>lc_detailed!AM34</f>
        <v>153.76063060605685</v>
      </c>
      <c r="J33" s="20">
        <f>lc_detailed!AN34</f>
        <v>-46.592240065267717</v>
      </c>
      <c r="K33" s="20">
        <f>lc_detailed!AP34</f>
        <v>-63.164991612940547</v>
      </c>
      <c r="L33" s="20">
        <f>lc_detailed!AQ34</f>
        <v>76.504489670128322</v>
      </c>
      <c r="M33" s="20">
        <f>lc_detailed!AC34</f>
        <v>862.23274748106496</v>
      </c>
      <c r="O33" t="str">
        <v>MIDAT_F-CC90-NGin</v>
      </c>
      <c r="P33">
        <v>0</v>
      </c>
      <c r="Q33">
        <v>0</v>
      </c>
      <c r="R33">
        <v>3.4068656349171125</v>
      </c>
      <c r="S33">
        <v>452.54756324196904</v>
      </c>
      <c r="T33">
        <v>3.7613150642871864</v>
      </c>
      <c r="U33">
        <v>0</v>
      </c>
      <c r="V33">
        <v>258.23340091983289</v>
      </c>
      <c r="W33">
        <v>141.334415469421</v>
      </c>
      <c r="X33">
        <v>-46.79224006554788</v>
      </c>
      <c r="Y33">
        <v>-27.382739096821183</v>
      </c>
      <c r="Z33">
        <v>33.218735840265836</v>
      </c>
      <c r="AA33">
        <v>818.32731700832403</v>
      </c>
    </row>
    <row r="34" spans="1:27" x14ac:dyDescent="0.2">
      <c r="A34" t="str">
        <f>lc_detailed!AA35</f>
        <v>NCEN_F-CC90-NGin-H2out</v>
      </c>
      <c r="B34" s="20">
        <f>lc_detailed!AF35</f>
        <v>0</v>
      </c>
      <c r="C34" s="20">
        <f>lc_detailed!AG35</f>
        <v>-23.270616097830075</v>
      </c>
      <c r="D34" s="20">
        <f>lc_detailed!AH35</f>
        <v>3.9633893407219944</v>
      </c>
      <c r="E34" s="20">
        <f>lc_detailed!AI35</f>
        <v>452.54756324196904</v>
      </c>
      <c r="F34" s="20">
        <f>lc_detailed!AJ35</f>
        <v>27.557881974255686</v>
      </c>
      <c r="G34" s="20">
        <f>lc_detailed!AK35</f>
        <v>0</v>
      </c>
      <c r="H34" s="20">
        <f>lc_detailed!AL35</f>
        <v>280.92664042397126</v>
      </c>
      <c r="I34" s="20">
        <f>lc_detailed!AM35</f>
        <v>153.76063060605685</v>
      </c>
      <c r="J34" s="20">
        <f>lc_detailed!AN35</f>
        <v>-46.592240065267717</v>
      </c>
      <c r="K34" s="20">
        <f>lc_detailed!AP35</f>
        <v>-63.164991612940547</v>
      </c>
      <c r="L34" s="20">
        <f>lc_detailed!AQ35</f>
        <v>76.504489670128322</v>
      </c>
      <c r="M34" s="20">
        <f>lc_detailed!AC35</f>
        <v>862.23274748106496</v>
      </c>
      <c r="O34" t="str">
        <v>NE_F-CC90-NGin</v>
      </c>
      <c r="P34">
        <v>0</v>
      </c>
      <c r="Q34">
        <v>0</v>
      </c>
      <c r="R34">
        <v>3.4068656349171125</v>
      </c>
      <c r="S34">
        <v>452.54756324196904</v>
      </c>
      <c r="T34">
        <v>3.7613150642871864</v>
      </c>
      <c r="U34">
        <v>0</v>
      </c>
      <c r="V34">
        <v>258.23340091983289</v>
      </c>
      <c r="W34">
        <v>141.334415469421</v>
      </c>
      <c r="X34">
        <v>-46.79224006554788</v>
      </c>
      <c r="Y34">
        <v>-27.382739096821183</v>
      </c>
      <c r="Z34">
        <v>33.218735840265836</v>
      </c>
      <c r="AA34">
        <v>818.32731700832403</v>
      </c>
    </row>
    <row r="35" spans="1:27" x14ac:dyDescent="0.2">
      <c r="A35" t="str">
        <f>lc_detailed!AA36</f>
        <v>CEN_F-CC90-NGin-H2out</v>
      </c>
      <c r="B35" s="20">
        <f>lc_detailed!AF36</f>
        <v>0</v>
      </c>
      <c r="C35" s="20">
        <f>lc_detailed!AG36</f>
        <v>-24.118021435171716</v>
      </c>
      <c r="D35" s="20">
        <f>lc_detailed!AH36</f>
        <v>4.0070895647532101</v>
      </c>
      <c r="E35" s="20">
        <f>lc_detailed!AI36</f>
        <v>452.54756324196904</v>
      </c>
      <c r="F35" s="20">
        <f>lc_detailed!AJ36</f>
        <v>18.713190139546182</v>
      </c>
      <c r="G35" s="20">
        <f>lc_detailed!AK36</f>
        <v>0</v>
      </c>
      <c r="H35" s="20">
        <f>lc_detailed!AL36</f>
        <v>280.92664042397126</v>
      </c>
      <c r="I35" s="20">
        <f>lc_detailed!AM36</f>
        <v>153.76063060605685</v>
      </c>
      <c r="J35" s="20">
        <f>lc_detailed!AN36</f>
        <v>-46.592240065267717</v>
      </c>
      <c r="K35" s="20">
        <f>lc_detailed!AP36</f>
        <v>-53.742593780552539</v>
      </c>
      <c r="L35" s="20">
        <f>lc_detailed!AQ36</f>
        <v>76.504489670128322</v>
      </c>
      <c r="M35" s="20">
        <f>lc_detailed!AC36</f>
        <v>862.00674836543294</v>
      </c>
      <c r="O35" t="str">
        <v>CA_F-CC90-NGin</v>
      </c>
      <c r="P35">
        <v>0</v>
      </c>
      <c r="Q35">
        <v>0</v>
      </c>
      <c r="R35">
        <v>3.4738269168607738</v>
      </c>
      <c r="S35">
        <v>452.54756324196904</v>
      </c>
      <c r="T35">
        <v>3.7380996114783827</v>
      </c>
      <c r="U35">
        <v>0</v>
      </c>
      <c r="V35">
        <v>258.23340091983289</v>
      </c>
      <c r="W35">
        <v>141.334415469421</v>
      </c>
      <c r="X35">
        <v>-46.79224006554788</v>
      </c>
      <c r="Y35">
        <v>-27.424081121985996</v>
      </c>
      <c r="Z35">
        <v>33.218735840265836</v>
      </c>
      <c r="AA35">
        <v>818.32972081229411</v>
      </c>
    </row>
    <row r="36" spans="1:27" x14ac:dyDescent="0.2">
      <c r="A36" t="str">
        <f>lc_detailed!AA37</f>
        <v>SE_F-CC90-NGin-H2out</v>
      </c>
      <c r="B36" s="20">
        <f>lc_detailed!AF37</f>
        <v>0</v>
      </c>
      <c r="C36" s="20">
        <f>lc_detailed!AG37</f>
        <v>-24.118021435171716</v>
      </c>
      <c r="D36" s="20">
        <f>lc_detailed!AH37</f>
        <v>4.0070895647532101</v>
      </c>
      <c r="E36" s="20">
        <f>lc_detailed!AI37</f>
        <v>452.54756324196904</v>
      </c>
      <c r="F36" s="20">
        <f>lc_detailed!AJ37</f>
        <v>18.713190139546182</v>
      </c>
      <c r="G36" s="20">
        <f>lc_detailed!AK37</f>
        <v>0</v>
      </c>
      <c r="H36" s="20">
        <f>lc_detailed!AL37</f>
        <v>280.92664042397126</v>
      </c>
      <c r="I36" s="20">
        <f>lc_detailed!AM37</f>
        <v>153.76063060605685</v>
      </c>
      <c r="J36" s="20">
        <f>lc_detailed!AN37</f>
        <v>-46.592240065267717</v>
      </c>
      <c r="K36" s="20">
        <f>lc_detailed!AP37</f>
        <v>-53.742593780552539</v>
      </c>
      <c r="L36" s="20">
        <f>lc_detailed!AQ37</f>
        <v>76.504489670128322</v>
      </c>
      <c r="M36" s="20">
        <f>lc_detailed!AC37</f>
        <v>862.00674836543294</v>
      </c>
      <c r="O36" t="str">
        <v>NW_F-CC90-NGin</v>
      </c>
      <c r="P36">
        <v>0</v>
      </c>
      <c r="Q36">
        <v>0</v>
      </c>
      <c r="R36">
        <v>3.4738269168607738</v>
      </c>
      <c r="S36">
        <v>452.54756324196904</v>
      </c>
      <c r="T36">
        <v>3.7380996114783827</v>
      </c>
      <c r="U36">
        <v>0</v>
      </c>
      <c r="V36">
        <v>258.23340091983289</v>
      </c>
      <c r="W36">
        <v>141.334415469421</v>
      </c>
      <c r="X36">
        <v>-46.79224006554788</v>
      </c>
      <c r="Y36">
        <v>-27.424081121985996</v>
      </c>
      <c r="Z36">
        <v>33.218735840265836</v>
      </c>
      <c r="AA36">
        <v>818.32972081229411</v>
      </c>
    </row>
    <row r="37" spans="1:27" x14ac:dyDescent="0.2">
      <c r="A37" t="str">
        <f>lc_detailed!AA38</f>
        <v>MIDAT_F-CC90-NGin-H2out</v>
      </c>
      <c r="B37" s="20">
        <f>lc_detailed!AF38</f>
        <v>0</v>
      </c>
      <c r="C37" s="20">
        <f>lc_detailed!AG38</f>
        <v>-24.118021435171716</v>
      </c>
      <c r="D37" s="20">
        <f>lc_detailed!AH38</f>
        <v>4.0070895647532101</v>
      </c>
      <c r="E37" s="20">
        <f>lc_detailed!AI38</f>
        <v>452.54756324196904</v>
      </c>
      <c r="F37" s="20">
        <f>lc_detailed!AJ38</f>
        <v>18.713190139546182</v>
      </c>
      <c r="G37" s="20">
        <f>lc_detailed!AK38</f>
        <v>0</v>
      </c>
      <c r="H37" s="20">
        <f>lc_detailed!AL38</f>
        <v>280.92664042397126</v>
      </c>
      <c r="I37" s="20">
        <f>lc_detailed!AM38</f>
        <v>153.76063060605685</v>
      </c>
      <c r="J37" s="20">
        <f>lc_detailed!AN38</f>
        <v>-46.592240065267717</v>
      </c>
      <c r="K37" s="20">
        <f>lc_detailed!AP38</f>
        <v>-53.742593780552539</v>
      </c>
      <c r="L37" s="20">
        <f>lc_detailed!AQ38</f>
        <v>76.504489670128322</v>
      </c>
      <c r="M37" s="20">
        <f>lc_detailed!AC38</f>
        <v>862.00674836543294</v>
      </c>
      <c r="O37" t="str">
        <v>SW_F-CC90-NGin</v>
      </c>
      <c r="P37">
        <v>0</v>
      </c>
      <c r="Q37">
        <v>0</v>
      </c>
      <c r="R37">
        <v>3.4738269168607738</v>
      </c>
      <c r="S37">
        <v>452.54756324196904</v>
      </c>
      <c r="T37">
        <v>3.7380996114783827</v>
      </c>
      <c r="U37">
        <v>0</v>
      </c>
      <c r="V37">
        <v>258.23340091983289</v>
      </c>
      <c r="W37">
        <v>141.334415469421</v>
      </c>
      <c r="X37">
        <v>-46.79224006554788</v>
      </c>
      <c r="Y37">
        <v>-27.424081121985996</v>
      </c>
      <c r="Z37">
        <v>33.218735840265836</v>
      </c>
      <c r="AA37">
        <v>818.32972081229411</v>
      </c>
    </row>
    <row r="38" spans="1:27" x14ac:dyDescent="0.2">
      <c r="A38" t="str">
        <f>lc_detailed!AA39</f>
        <v>NE_F-CC90-NGin-H2out</v>
      </c>
      <c r="B38" s="20">
        <f>lc_detailed!AF39</f>
        <v>0</v>
      </c>
      <c r="C38" s="20">
        <f>lc_detailed!AG39</f>
        <v>-24.118021435171716</v>
      </c>
      <c r="D38" s="20">
        <f>lc_detailed!AH39</f>
        <v>4.0070895647532101</v>
      </c>
      <c r="E38" s="20">
        <f>lc_detailed!AI39</f>
        <v>452.54756324196904</v>
      </c>
      <c r="F38" s="20">
        <f>lc_detailed!AJ39</f>
        <v>18.713190139546182</v>
      </c>
      <c r="G38" s="20">
        <f>lc_detailed!AK39</f>
        <v>0</v>
      </c>
      <c r="H38" s="20">
        <f>lc_detailed!AL39</f>
        <v>280.92664042397126</v>
      </c>
      <c r="I38" s="20">
        <f>lc_detailed!AM39</f>
        <v>153.76063060605685</v>
      </c>
      <c r="J38" s="20">
        <f>lc_detailed!AN39</f>
        <v>-46.592240065267717</v>
      </c>
      <c r="K38" s="20">
        <f>lc_detailed!AP39</f>
        <v>-53.742593780552539</v>
      </c>
      <c r="L38" s="20">
        <f>lc_detailed!AQ39</f>
        <v>76.504489670128322</v>
      </c>
      <c r="M38" s="20">
        <f>lc_detailed!AC39</f>
        <v>862.00674836543294</v>
      </c>
      <c r="O38" t="str">
        <v>TX_F-CC90-NGin</v>
      </c>
      <c r="P38">
        <v>0</v>
      </c>
      <c r="Q38">
        <v>0</v>
      </c>
      <c r="R38">
        <v>3.4738269168607738</v>
      </c>
      <c r="S38">
        <v>452.54756324196904</v>
      </c>
      <c r="T38">
        <v>3.7380996114783827</v>
      </c>
      <c r="U38">
        <v>0</v>
      </c>
      <c r="V38">
        <v>258.23340091983289</v>
      </c>
      <c r="W38">
        <v>141.334415469421</v>
      </c>
      <c r="X38">
        <v>-46.79224006554788</v>
      </c>
      <c r="Y38">
        <v>-27.424081121985996</v>
      </c>
      <c r="Z38">
        <v>33.218735840265836</v>
      </c>
      <c r="AA38">
        <v>818.32972081229411</v>
      </c>
    </row>
    <row r="39" spans="1:27" x14ac:dyDescent="0.2">
      <c r="A39" t="str">
        <f>lc_detailed!AA40</f>
        <v>CA_F-H2in</v>
      </c>
      <c r="B39" s="20">
        <f>lc_detailed!AF40</f>
        <v>1.8778639866453066</v>
      </c>
      <c r="C39" s="20">
        <f>lc_detailed!AG40</f>
        <v>0</v>
      </c>
      <c r="D39" s="20">
        <f>lc_detailed!AH40</f>
        <v>0</v>
      </c>
      <c r="E39" s="20">
        <f>lc_detailed!AI40</f>
        <v>452.54756324196904</v>
      </c>
      <c r="F39" s="20">
        <f>lc_detailed!AJ40</f>
        <v>0</v>
      </c>
      <c r="G39" s="20">
        <f>lc_detailed!AK40</f>
        <v>0</v>
      </c>
      <c r="H39" s="20">
        <f>lc_detailed!AL40</f>
        <v>236.76830652142303</v>
      </c>
      <c r="I39" s="20">
        <f>lc_detailed!AM40</f>
        <v>129.58629749253777</v>
      </c>
      <c r="J39" s="20">
        <f>lc_detailed!AN40</f>
        <v>-49.257270809000964</v>
      </c>
      <c r="K39" s="20">
        <f>lc_detailed!AP40</f>
        <v>0</v>
      </c>
      <c r="L39" s="20">
        <f>lc_detailed!AQ40</f>
        <v>29.848444277103674</v>
      </c>
      <c r="M39" s="20">
        <f>lc_detailed!AC40</f>
        <v>801.37120471067794</v>
      </c>
      <c r="O39" t="str">
        <v>CEN_F-NGin-H2out</v>
      </c>
      <c r="P39">
        <v>0</v>
      </c>
      <c r="Q39">
        <v>-24.118021435171716</v>
      </c>
      <c r="R39">
        <v>0</v>
      </c>
      <c r="S39">
        <v>452.54756324196904</v>
      </c>
      <c r="T39">
        <v>18.713190139546182</v>
      </c>
      <c r="U39">
        <v>0</v>
      </c>
      <c r="V39">
        <v>236.76830702877979</v>
      </c>
      <c r="W39">
        <v>129.5862977462161</v>
      </c>
      <c r="X39">
        <v>-49.262240069007916</v>
      </c>
      <c r="Y39">
        <v>0</v>
      </c>
      <c r="Z39">
        <v>76.504489670128464</v>
      </c>
      <c r="AA39">
        <v>840.7395863224599</v>
      </c>
    </row>
    <row r="40" spans="1:27" x14ac:dyDescent="0.2">
      <c r="A40" t="str">
        <f>lc_detailed!AA41</f>
        <v>NW_F-H2in</v>
      </c>
      <c r="B40" s="20">
        <f>lc_detailed!AF41</f>
        <v>2.2925913172470622</v>
      </c>
      <c r="C40" s="20">
        <f>lc_detailed!AG41</f>
        <v>0</v>
      </c>
      <c r="D40" s="20">
        <f>lc_detailed!AH41</f>
        <v>0</v>
      </c>
      <c r="E40" s="20">
        <f>lc_detailed!AI41</f>
        <v>452.54756324196904</v>
      </c>
      <c r="F40" s="20">
        <f>lc_detailed!AJ41</f>
        <v>0</v>
      </c>
      <c r="G40" s="20">
        <f>lc_detailed!AK41</f>
        <v>0</v>
      </c>
      <c r="H40" s="20">
        <f>lc_detailed!AL41</f>
        <v>236.76830652142303</v>
      </c>
      <c r="I40" s="20">
        <f>lc_detailed!AM41</f>
        <v>129.58629749253777</v>
      </c>
      <c r="J40" s="20">
        <f>lc_detailed!AN41</f>
        <v>-49.257270809000964</v>
      </c>
      <c r="K40" s="20">
        <f>lc_detailed!AP41</f>
        <v>0</v>
      </c>
      <c r="L40" s="20">
        <f>lc_detailed!AQ41</f>
        <v>29.848444277103674</v>
      </c>
      <c r="M40" s="20">
        <f>lc_detailed!AC41</f>
        <v>801.78593204127958</v>
      </c>
      <c r="O40" t="str">
        <v>SE_F-NGin-H2out</v>
      </c>
      <c r="P40">
        <v>0</v>
      </c>
      <c r="Q40">
        <v>-29.444500200587196</v>
      </c>
      <c r="R40">
        <v>0</v>
      </c>
      <c r="S40">
        <v>452.54756324196904</v>
      </c>
      <c r="T40">
        <v>31.007553608772341</v>
      </c>
      <c r="U40">
        <v>0</v>
      </c>
      <c r="V40">
        <v>236.76830702877979</v>
      </c>
      <c r="W40">
        <v>129.5862977462161</v>
      </c>
      <c r="X40">
        <v>-49.262240069007916</v>
      </c>
      <c r="Y40">
        <v>0</v>
      </c>
      <c r="Z40">
        <v>76.504489670128464</v>
      </c>
      <c r="AA40">
        <v>847.7074710262707</v>
      </c>
    </row>
    <row r="41" spans="1:27" x14ac:dyDescent="0.2">
      <c r="A41" t="str">
        <f>lc_detailed!AA42</f>
        <v>SW_F-H2in</v>
      </c>
      <c r="B41" s="20">
        <f>lc_detailed!AF42</f>
        <v>2.2925913172470622</v>
      </c>
      <c r="C41" s="20">
        <f>lc_detailed!AG42</f>
        <v>0</v>
      </c>
      <c r="D41" s="20">
        <f>lc_detailed!AH42</f>
        <v>0</v>
      </c>
      <c r="E41" s="20">
        <f>lc_detailed!AI42</f>
        <v>452.54756324196904</v>
      </c>
      <c r="F41" s="20">
        <f>lc_detailed!AJ42</f>
        <v>0</v>
      </c>
      <c r="G41" s="20">
        <f>lc_detailed!AK42</f>
        <v>0</v>
      </c>
      <c r="H41" s="20">
        <f>lc_detailed!AL42</f>
        <v>236.76830652142303</v>
      </c>
      <c r="I41" s="20">
        <f>lc_detailed!AM42</f>
        <v>129.58629749253777</v>
      </c>
      <c r="J41" s="20">
        <f>lc_detailed!AN42</f>
        <v>-49.257270809000964</v>
      </c>
      <c r="K41" s="20">
        <f>lc_detailed!AP42</f>
        <v>0</v>
      </c>
      <c r="L41" s="20">
        <f>lc_detailed!AQ42</f>
        <v>29.848444277103674</v>
      </c>
      <c r="M41" s="20">
        <f>lc_detailed!AC42</f>
        <v>801.78593204127958</v>
      </c>
      <c r="O41" t="str">
        <v>NCEN_F-NGin-H2out</v>
      </c>
      <c r="P41">
        <v>0</v>
      </c>
      <c r="Q41">
        <v>-23.270616097830075</v>
      </c>
      <c r="R41">
        <v>0</v>
      </c>
      <c r="S41">
        <v>452.54756324196904</v>
      </c>
      <c r="T41">
        <v>27.557881974255686</v>
      </c>
      <c r="U41">
        <v>0</v>
      </c>
      <c r="V41">
        <v>236.76830702877979</v>
      </c>
      <c r="W41">
        <v>129.5862977462161</v>
      </c>
      <c r="X41">
        <v>-49.262240069007916</v>
      </c>
      <c r="Y41">
        <v>0</v>
      </c>
      <c r="Z41">
        <v>76.504489670128464</v>
      </c>
      <c r="AA41">
        <v>850.43168349451105</v>
      </c>
    </row>
    <row r="42" spans="1:27" x14ac:dyDescent="0.2">
      <c r="A42" t="str">
        <f>lc_detailed!AA43</f>
        <v>TX_F-H2in</v>
      </c>
      <c r="B42" s="20">
        <f>lc_detailed!AF43</f>
        <v>2.2925913172470622</v>
      </c>
      <c r="C42" s="20">
        <f>lc_detailed!AG43</f>
        <v>0</v>
      </c>
      <c r="D42" s="20">
        <f>lc_detailed!AH43</f>
        <v>0</v>
      </c>
      <c r="E42" s="20">
        <f>lc_detailed!AI43</f>
        <v>452.54756324196904</v>
      </c>
      <c r="F42" s="20">
        <f>lc_detailed!AJ43</f>
        <v>0</v>
      </c>
      <c r="G42" s="20">
        <f>lc_detailed!AK43</f>
        <v>0</v>
      </c>
      <c r="H42" s="20">
        <f>lc_detailed!AL43</f>
        <v>236.76830652142303</v>
      </c>
      <c r="I42" s="20">
        <f>lc_detailed!AM43</f>
        <v>129.58629749253777</v>
      </c>
      <c r="J42" s="20">
        <f>lc_detailed!AN43</f>
        <v>-49.257270809000964</v>
      </c>
      <c r="K42" s="20">
        <f>lc_detailed!AP43</f>
        <v>0</v>
      </c>
      <c r="L42" s="20">
        <f>lc_detailed!AQ43</f>
        <v>29.848444277103674</v>
      </c>
      <c r="M42" s="20">
        <f>lc_detailed!AC43</f>
        <v>801.78593204127958</v>
      </c>
      <c r="O42" t="str">
        <v>NW_F-NGin-H2out</v>
      </c>
      <c r="P42">
        <v>0</v>
      </c>
      <c r="Q42">
        <v>-24.168845007176433</v>
      </c>
      <c r="R42">
        <v>0</v>
      </c>
      <c r="S42">
        <v>452.54756324196904</v>
      </c>
      <c r="T42">
        <v>29.766158503536676</v>
      </c>
      <c r="U42">
        <v>0</v>
      </c>
      <c r="V42">
        <v>236.76830702877979</v>
      </c>
      <c r="W42">
        <v>129.5862977462161</v>
      </c>
      <c r="X42">
        <v>-49.262240069007916</v>
      </c>
      <c r="Y42">
        <v>0</v>
      </c>
      <c r="Z42">
        <v>76.504489670128464</v>
      </c>
      <c r="AA42">
        <v>851.74173111444577</v>
      </c>
    </row>
    <row r="43" spans="1:27" x14ac:dyDescent="0.2">
      <c r="A43" t="str">
        <f>lc_detailed!AA44</f>
        <v>NCEN_F-H2in</v>
      </c>
      <c r="B43" s="20">
        <f>lc_detailed!AF44</f>
        <v>2.2925913172470622</v>
      </c>
      <c r="C43" s="20">
        <f>lc_detailed!AG44</f>
        <v>0</v>
      </c>
      <c r="D43" s="20">
        <f>lc_detailed!AH44</f>
        <v>0</v>
      </c>
      <c r="E43" s="20">
        <f>lc_detailed!AI44</f>
        <v>452.54756324196904</v>
      </c>
      <c r="F43" s="20">
        <f>lc_detailed!AJ44</f>
        <v>0</v>
      </c>
      <c r="G43" s="20">
        <f>lc_detailed!AK44</f>
        <v>0</v>
      </c>
      <c r="H43" s="20">
        <f>lc_detailed!AL44</f>
        <v>236.76830652142303</v>
      </c>
      <c r="I43" s="20">
        <f>lc_detailed!AM44</f>
        <v>129.58629749253777</v>
      </c>
      <c r="J43" s="20">
        <f>lc_detailed!AN44</f>
        <v>-49.257270809000964</v>
      </c>
      <c r="K43" s="20">
        <f>lc_detailed!AP44</f>
        <v>0</v>
      </c>
      <c r="L43" s="20">
        <f>lc_detailed!AQ44</f>
        <v>29.848444277103674</v>
      </c>
      <c r="M43" s="20">
        <f>lc_detailed!AC44</f>
        <v>801.78593204127958</v>
      </c>
      <c r="O43" t="str">
        <v>CA_F-NGin-H2out</v>
      </c>
      <c r="P43">
        <v>0</v>
      </c>
      <c r="Q43">
        <v>-28.958094954547988</v>
      </c>
      <c r="R43">
        <v>0</v>
      </c>
      <c r="S43">
        <v>452.54756324196904</v>
      </c>
      <c r="T43">
        <v>35.71607505566368</v>
      </c>
      <c r="U43">
        <v>0</v>
      </c>
      <c r="V43">
        <v>236.76830702877979</v>
      </c>
      <c r="W43">
        <v>129.5862977462161</v>
      </c>
      <c r="X43">
        <v>-49.262240069007916</v>
      </c>
      <c r="Y43">
        <v>0</v>
      </c>
      <c r="Z43">
        <v>76.504489670128464</v>
      </c>
      <c r="AA43">
        <v>852.90239771920119</v>
      </c>
    </row>
    <row r="44" spans="1:27" x14ac:dyDescent="0.2">
      <c r="A44" t="str">
        <f>lc_detailed!AA45</f>
        <v>CEN_F-H2in</v>
      </c>
      <c r="B44" s="20">
        <f>lc_detailed!AF45</f>
        <v>2.2925913172470622</v>
      </c>
      <c r="C44" s="20">
        <f>lc_detailed!AG45</f>
        <v>0</v>
      </c>
      <c r="D44" s="20">
        <f>lc_detailed!AH45</f>
        <v>0</v>
      </c>
      <c r="E44" s="20">
        <f>lc_detailed!AI45</f>
        <v>452.54756324196904</v>
      </c>
      <c r="F44" s="20">
        <f>lc_detailed!AJ45</f>
        <v>0</v>
      </c>
      <c r="G44" s="20">
        <f>lc_detailed!AK45</f>
        <v>0</v>
      </c>
      <c r="H44" s="20">
        <f>lc_detailed!AL45</f>
        <v>236.76830652142303</v>
      </c>
      <c r="I44" s="20">
        <f>lc_detailed!AM45</f>
        <v>129.58629749253777</v>
      </c>
      <c r="J44" s="20">
        <f>lc_detailed!AN45</f>
        <v>-49.257270809000964</v>
      </c>
      <c r="K44" s="20">
        <f>lc_detailed!AP45</f>
        <v>0</v>
      </c>
      <c r="L44" s="20">
        <f>lc_detailed!AQ45</f>
        <v>29.848444277103674</v>
      </c>
      <c r="M44" s="20">
        <f>lc_detailed!AC45</f>
        <v>801.78593204127958</v>
      </c>
      <c r="O44" t="str">
        <v>MIDAT_F-NGin-H2out</v>
      </c>
      <c r="P44">
        <v>0</v>
      </c>
      <c r="Q44">
        <v>-28.958094954547988</v>
      </c>
      <c r="R44">
        <v>0</v>
      </c>
      <c r="S44">
        <v>452.54756324196904</v>
      </c>
      <c r="T44">
        <v>35.71607505566368</v>
      </c>
      <c r="U44">
        <v>0</v>
      </c>
      <c r="V44">
        <v>236.76830702877979</v>
      </c>
      <c r="W44">
        <v>129.5862977462161</v>
      </c>
      <c r="X44">
        <v>-49.262240069007916</v>
      </c>
      <c r="Y44">
        <v>0</v>
      </c>
      <c r="Z44">
        <v>76.504489670128464</v>
      </c>
      <c r="AA44">
        <v>852.90239771920119</v>
      </c>
    </row>
    <row r="45" spans="1:27" x14ac:dyDescent="0.2">
      <c r="A45" t="str">
        <f>lc_detailed!AA46</f>
        <v>SE_F-H2in</v>
      </c>
      <c r="B45" s="20">
        <f>lc_detailed!AF46</f>
        <v>2.2547191021937847</v>
      </c>
      <c r="C45" s="20">
        <f>lc_detailed!AG46</f>
        <v>0</v>
      </c>
      <c r="D45" s="20">
        <f>lc_detailed!AH46</f>
        <v>0</v>
      </c>
      <c r="E45" s="20">
        <f>lc_detailed!AI46</f>
        <v>452.54756324196904</v>
      </c>
      <c r="F45" s="20">
        <f>lc_detailed!AJ46</f>
        <v>0</v>
      </c>
      <c r="G45" s="20">
        <f>lc_detailed!AK46</f>
        <v>0</v>
      </c>
      <c r="H45" s="20">
        <f>lc_detailed!AL46</f>
        <v>236.76830652142303</v>
      </c>
      <c r="I45" s="20">
        <f>lc_detailed!AM46</f>
        <v>129.58629749253777</v>
      </c>
      <c r="J45" s="20">
        <f>lc_detailed!AN46</f>
        <v>-49.257270809000964</v>
      </c>
      <c r="K45" s="20">
        <f>lc_detailed!AP46</f>
        <v>0</v>
      </c>
      <c r="L45" s="20">
        <f>lc_detailed!AQ46</f>
        <v>29.848444277103674</v>
      </c>
      <c r="M45" s="20">
        <f>lc_detailed!AC46</f>
        <v>801.74805982622649</v>
      </c>
      <c r="O45" t="str">
        <v>NE_F-NGin-H2out</v>
      </c>
      <c r="P45">
        <v>0</v>
      </c>
      <c r="Q45">
        <v>-28.958094954547988</v>
      </c>
      <c r="R45">
        <v>0</v>
      </c>
      <c r="S45">
        <v>452.54756324196904</v>
      </c>
      <c r="T45">
        <v>35.71607505566368</v>
      </c>
      <c r="U45">
        <v>0</v>
      </c>
      <c r="V45">
        <v>236.76830702877979</v>
      </c>
      <c r="W45">
        <v>129.5862977462161</v>
      </c>
      <c r="X45">
        <v>-49.262240069007916</v>
      </c>
      <c r="Y45">
        <v>0</v>
      </c>
      <c r="Z45">
        <v>76.504489670128464</v>
      </c>
      <c r="AA45">
        <v>852.90239771920119</v>
      </c>
    </row>
    <row r="46" spans="1:27" x14ac:dyDescent="0.2">
      <c r="A46" t="str">
        <f>lc_detailed!AA47</f>
        <v>MIDAT_F-H2in</v>
      </c>
      <c r="B46" s="20">
        <f>lc_detailed!AF47</f>
        <v>1.8818211833746017</v>
      </c>
      <c r="C46" s="20">
        <f>lc_detailed!AG47</f>
        <v>0</v>
      </c>
      <c r="D46" s="20">
        <f>lc_detailed!AH47</f>
        <v>0</v>
      </c>
      <c r="E46" s="20">
        <f>lc_detailed!AI47</f>
        <v>452.54756324196904</v>
      </c>
      <c r="F46" s="20">
        <f>lc_detailed!AJ47</f>
        <v>0</v>
      </c>
      <c r="G46" s="20">
        <f>lc_detailed!AK47</f>
        <v>0</v>
      </c>
      <c r="H46" s="20">
        <f>lc_detailed!AL47</f>
        <v>236.76830652142303</v>
      </c>
      <c r="I46" s="20">
        <f>lc_detailed!AM47</f>
        <v>129.58629749253777</v>
      </c>
      <c r="J46" s="20">
        <f>lc_detailed!AN47</f>
        <v>-49.257270809000964</v>
      </c>
      <c r="K46" s="20">
        <f>lc_detailed!AP47</f>
        <v>0</v>
      </c>
      <c r="L46" s="20">
        <f>lc_detailed!AQ47</f>
        <v>29.848444277103674</v>
      </c>
      <c r="M46" s="20">
        <f>lc_detailed!AC47</f>
        <v>801.37516190740723</v>
      </c>
      <c r="O46" t="str">
        <v>SW_F-NGin-H2out</v>
      </c>
      <c r="P46">
        <v>0</v>
      </c>
      <c r="Q46">
        <v>-42.255517596402086</v>
      </c>
      <c r="R46">
        <v>0</v>
      </c>
      <c r="S46">
        <v>452.54756324196904</v>
      </c>
      <c r="T46">
        <v>51.747732173396713</v>
      </c>
      <c r="U46">
        <v>0</v>
      </c>
      <c r="V46">
        <v>236.76830702877979</v>
      </c>
      <c r="W46">
        <v>129.5862977462161</v>
      </c>
      <c r="X46">
        <v>-49.262240069007916</v>
      </c>
      <c r="Y46">
        <v>0</v>
      </c>
      <c r="Z46">
        <v>76.504489670128464</v>
      </c>
      <c r="AA46">
        <v>855.6366321950801</v>
      </c>
    </row>
    <row r="47" spans="1:27" x14ac:dyDescent="0.2">
      <c r="A47" t="str">
        <f>lc_detailed!AA48</f>
        <v>NE_F-H2in</v>
      </c>
      <c r="B47" s="20">
        <f>lc_detailed!AF48</f>
        <v>3.2900756367859811</v>
      </c>
      <c r="C47" s="20">
        <f>lc_detailed!AG48</f>
        <v>0</v>
      </c>
      <c r="D47" s="20">
        <f>lc_detailed!AH48</f>
        <v>0</v>
      </c>
      <c r="E47" s="20">
        <f>lc_detailed!AI48</f>
        <v>452.54756324196904</v>
      </c>
      <c r="F47" s="20">
        <f>lc_detailed!AJ48</f>
        <v>0</v>
      </c>
      <c r="G47" s="20">
        <f>lc_detailed!AK48</f>
        <v>0</v>
      </c>
      <c r="H47" s="20">
        <f>lc_detailed!AL48</f>
        <v>236.76830652142303</v>
      </c>
      <c r="I47" s="20">
        <f>lc_detailed!AM48</f>
        <v>129.58629749253777</v>
      </c>
      <c r="J47" s="20">
        <f>lc_detailed!AN48</f>
        <v>-49.257270809000964</v>
      </c>
      <c r="K47" s="20">
        <f>lc_detailed!AP48</f>
        <v>0</v>
      </c>
      <c r="L47" s="20">
        <f>lc_detailed!AQ48</f>
        <v>29.848444277103674</v>
      </c>
      <c r="M47" s="20">
        <f>lc_detailed!AC48</f>
        <v>802.78341636081848</v>
      </c>
      <c r="O47" t="str">
        <v>TX_F-NGin-H2out</v>
      </c>
      <c r="P47">
        <v>0</v>
      </c>
      <c r="Q47">
        <v>-42.539115241434637</v>
      </c>
      <c r="R47">
        <v>0</v>
      </c>
      <c r="S47">
        <v>452.54756324196904</v>
      </c>
      <c r="T47">
        <v>52.06911125878684</v>
      </c>
      <c r="U47">
        <v>0</v>
      </c>
      <c r="V47">
        <v>236.76830702877979</v>
      </c>
      <c r="W47">
        <v>129.5862977462161</v>
      </c>
      <c r="X47">
        <v>-49.262240069007916</v>
      </c>
      <c r="Y47">
        <v>0</v>
      </c>
      <c r="Z47">
        <v>76.504489670128464</v>
      </c>
      <c r="AA47">
        <v>855.67441363543776</v>
      </c>
    </row>
    <row r="48" spans="1:27" x14ac:dyDescent="0.2">
      <c r="A48" t="str">
        <f>lc_detailed!AA49</f>
        <v>CA_F-H2in-CH4out</v>
      </c>
      <c r="B48" s="20">
        <f>lc_detailed!AF49</f>
        <v>32.430710348845878</v>
      </c>
      <c r="C48" s="20">
        <f>lc_detailed!AG49</f>
        <v>0</v>
      </c>
      <c r="D48" s="20">
        <f>lc_detailed!AH49</f>
        <v>0</v>
      </c>
      <c r="E48" s="20">
        <f>lc_detailed!AI49</f>
        <v>452.54756324196904</v>
      </c>
      <c r="F48" s="20">
        <f>lc_detailed!AJ49</f>
        <v>0</v>
      </c>
      <c r="G48" s="20">
        <f>lc_detailed!AK49</f>
        <v>-33.294771751511149</v>
      </c>
      <c r="H48" s="20">
        <f>lc_detailed!AL49</f>
        <v>236.76830652142303</v>
      </c>
      <c r="I48" s="20">
        <f>lc_detailed!AM49</f>
        <v>129.58629749253777</v>
      </c>
      <c r="J48" s="20">
        <f>lc_detailed!AN49</f>
        <v>-49.257270809000964</v>
      </c>
      <c r="K48" s="20">
        <f>lc_detailed!AP49</f>
        <v>0</v>
      </c>
      <c r="L48" s="20">
        <f>lc_detailed!AQ49</f>
        <v>29.848444277104196</v>
      </c>
      <c r="M48" s="20">
        <f>lc_detailed!AC49</f>
        <v>798.6292793213679</v>
      </c>
      <c r="O48" t="str">
        <v>CEN_F-CC90-NGin-H2out</v>
      </c>
      <c r="P48">
        <v>0</v>
      </c>
      <c r="Q48">
        <v>-24.118021435171716</v>
      </c>
      <c r="R48">
        <v>4.0070895647532101</v>
      </c>
      <c r="S48">
        <v>452.54756324196904</v>
      </c>
      <c r="T48">
        <v>18.713190139546182</v>
      </c>
      <c r="U48">
        <v>0</v>
      </c>
      <c r="V48">
        <v>280.92664042397126</v>
      </c>
      <c r="W48">
        <v>153.76063060605685</v>
      </c>
      <c r="X48">
        <v>-46.592240065267717</v>
      </c>
      <c r="Y48">
        <v>-53.742593780552539</v>
      </c>
      <c r="Z48">
        <v>76.504489670128322</v>
      </c>
      <c r="AA48">
        <v>862.00674836543294</v>
      </c>
    </row>
    <row r="49" spans="1:27" x14ac:dyDescent="0.2">
      <c r="A49" t="str">
        <f>lc_detailed!AA50</f>
        <v>NW_F-H2in-CH4out</v>
      </c>
      <c r="B49" s="20">
        <f>lc_detailed!AF50</f>
        <v>17.740909890218617</v>
      </c>
      <c r="C49" s="20">
        <f>lc_detailed!AG50</f>
        <v>0</v>
      </c>
      <c r="D49" s="20">
        <f>lc_detailed!AH50</f>
        <v>0</v>
      </c>
      <c r="E49" s="20">
        <f>lc_detailed!AI50</f>
        <v>452.54756324196904</v>
      </c>
      <c r="F49" s="20">
        <f>lc_detailed!AJ50</f>
        <v>0</v>
      </c>
      <c r="G49" s="20">
        <f>lc_detailed!AK50</f>
        <v>-17.621452874963168</v>
      </c>
      <c r="H49" s="20">
        <f>lc_detailed!AL50</f>
        <v>236.76830652142303</v>
      </c>
      <c r="I49" s="20">
        <f>lc_detailed!AM50</f>
        <v>129.58629749253777</v>
      </c>
      <c r="J49" s="20">
        <f>lc_detailed!AN50</f>
        <v>-49.257270809000964</v>
      </c>
      <c r="K49" s="20">
        <f>lc_detailed!AP50</f>
        <v>0</v>
      </c>
      <c r="L49" s="20">
        <f>lc_detailed!AQ50</f>
        <v>29.848444277104196</v>
      </c>
      <c r="M49" s="20">
        <f>lc_detailed!AC50</f>
        <v>799.61279773928868</v>
      </c>
      <c r="O49" t="str">
        <v>SE_F-CC90-NGin-H2out</v>
      </c>
      <c r="P49">
        <v>0</v>
      </c>
      <c r="Q49">
        <v>-24.118021435171716</v>
      </c>
      <c r="R49">
        <v>4.0070895647532101</v>
      </c>
      <c r="S49">
        <v>452.54756324196904</v>
      </c>
      <c r="T49">
        <v>18.713190139546182</v>
      </c>
      <c r="U49">
        <v>0</v>
      </c>
      <c r="V49">
        <v>280.92664042397126</v>
      </c>
      <c r="W49">
        <v>153.76063060605685</v>
      </c>
      <c r="X49">
        <v>-46.592240065267717</v>
      </c>
      <c r="Y49">
        <v>-53.742593780552539</v>
      </c>
      <c r="Z49">
        <v>76.504489670128322</v>
      </c>
      <c r="AA49">
        <v>862.00674836543294</v>
      </c>
    </row>
    <row r="50" spans="1:27" x14ac:dyDescent="0.2">
      <c r="A50" t="str">
        <f>lc_detailed!AA51</f>
        <v>SW_F-H2in-CH4out</v>
      </c>
      <c r="B50" s="20">
        <f>lc_detailed!AF51</f>
        <v>18.386949585388969</v>
      </c>
      <c r="C50" s="20">
        <f>lc_detailed!AG51</f>
        <v>0</v>
      </c>
      <c r="D50" s="20">
        <f>lc_detailed!AH51</f>
        <v>0</v>
      </c>
      <c r="E50" s="20">
        <f>lc_detailed!AI51</f>
        <v>452.54756324196904</v>
      </c>
      <c r="F50" s="20">
        <f>lc_detailed!AJ51</f>
        <v>0</v>
      </c>
      <c r="G50" s="20">
        <f>lc_detailed!AK51</f>
        <v>-11.965854215222025</v>
      </c>
      <c r="H50" s="20">
        <f>lc_detailed!AL51</f>
        <v>236.76830652142303</v>
      </c>
      <c r="I50" s="20">
        <f>lc_detailed!AM51</f>
        <v>129.58629749253777</v>
      </c>
      <c r="J50" s="20">
        <f>lc_detailed!AN51</f>
        <v>-49.257270809000964</v>
      </c>
      <c r="K50" s="20">
        <f>lc_detailed!AP51</f>
        <v>0</v>
      </c>
      <c r="L50" s="20">
        <f>lc_detailed!AQ51</f>
        <v>29.848444277104196</v>
      </c>
      <c r="M50" s="20">
        <f>lc_detailed!AC51</f>
        <v>805.91443609420003</v>
      </c>
      <c r="O50" t="str">
        <v>MIDAT_F-CC90-NGin-H2out</v>
      </c>
      <c r="P50">
        <v>0</v>
      </c>
      <c r="Q50">
        <v>-24.118021435171716</v>
      </c>
      <c r="R50">
        <v>4.0070895647532101</v>
      </c>
      <c r="S50">
        <v>452.54756324196904</v>
      </c>
      <c r="T50">
        <v>18.713190139546182</v>
      </c>
      <c r="U50">
        <v>0</v>
      </c>
      <c r="V50">
        <v>280.92664042397126</v>
      </c>
      <c r="W50">
        <v>153.76063060605685</v>
      </c>
      <c r="X50">
        <v>-46.592240065267717</v>
      </c>
      <c r="Y50">
        <v>-53.742593780552539</v>
      </c>
      <c r="Z50">
        <v>76.504489670128322</v>
      </c>
      <c r="AA50">
        <v>862.00674836543294</v>
      </c>
    </row>
    <row r="51" spans="1:27" x14ac:dyDescent="0.2">
      <c r="A51" t="str">
        <f>lc_detailed!AA52</f>
        <v>TX_F-H2in-CH4out</v>
      </c>
      <c r="B51" s="20">
        <f>lc_detailed!AF52</f>
        <v>22.447717869826889</v>
      </c>
      <c r="C51" s="20">
        <f>lc_detailed!AG52</f>
        <v>0</v>
      </c>
      <c r="D51" s="20">
        <f>lc_detailed!AH52</f>
        <v>0</v>
      </c>
      <c r="E51" s="20">
        <f>lc_detailed!AI52</f>
        <v>452.54756324196904</v>
      </c>
      <c r="F51" s="20">
        <f>lc_detailed!AJ52</f>
        <v>0</v>
      </c>
      <c r="G51" s="20">
        <f>lc_detailed!AK52</f>
        <v>-19.827290979594004</v>
      </c>
      <c r="H51" s="20">
        <f>lc_detailed!AL52</f>
        <v>236.76830652142303</v>
      </c>
      <c r="I51" s="20">
        <f>lc_detailed!AM52</f>
        <v>129.58629749253777</v>
      </c>
      <c r="J51" s="20">
        <f>lc_detailed!AN52</f>
        <v>-49.257270809000964</v>
      </c>
      <c r="K51" s="20">
        <f>lc_detailed!AP52</f>
        <v>0</v>
      </c>
      <c r="L51" s="20">
        <f>lc_detailed!AQ52</f>
        <v>29.848444277104196</v>
      </c>
      <c r="M51" s="20">
        <f>lc_detailed!AC52</f>
        <v>802.11376761426595</v>
      </c>
      <c r="O51" t="str">
        <v>NE_F-CC90-NGin-H2out</v>
      </c>
      <c r="P51">
        <v>0</v>
      </c>
      <c r="Q51">
        <v>-24.118021435171716</v>
      </c>
      <c r="R51">
        <v>4.0070895647532101</v>
      </c>
      <c r="S51">
        <v>452.54756324196904</v>
      </c>
      <c r="T51">
        <v>18.713190139546182</v>
      </c>
      <c r="U51">
        <v>0</v>
      </c>
      <c r="V51">
        <v>280.92664042397126</v>
      </c>
      <c r="W51">
        <v>153.76063060605685</v>
      </c>
      <c r="X51">
        <v>-46.592240065267717</v>
      </c>
      <c r="Y51">
        <v>-53.742593780552539</v>
      </c>
      <c r="Z51">
        <v>76.504489670128322</v>
      </c>
      <c r="AA51">
        <v>862.00674836543294</v>
      </c>
    </row>
    <row r="52" spans="1:27" x14ac:dyDescent="0.2">
      <c r="A52" t="str">
        <f>lc_detailed!AA53</f>
        <v>NCEN_F-H2in-CH4out</v>
      </c>
      <c r="B52" s="20">
        <f>lc_detailed!AF53</f>
        <v>22.447717869826889</v>
      </c>
      <c r="C52" s="20">
        <f>lc_detailed!AG53</f>
        <v>0</v>
      </c>
      <c r="D52" s="20">
        <f>lc_detailed!AH53</f>
        <v>0</v>
      </c>
      <c r="E52" s="20">
        <f>lc_detailed!AI53</f>
        <v>452.54756324196904</v>
      </c>
      <c r="F52" s="20">
        <f>lc_detailed!AJ53</f>
        <v>0</v>
      </c>
      <c r="G52" s="20">
        <f>lc_detailed!AK53</f>
        <v>-19.827290979594004</v>
      </c>
      <c r="H52" s="20">
        <f>lc_detailed!AL53</f>
        <v>236.76830652142303</v>
      </c>
      <c r="I52" s="20">
        <f>lc_detailed!AM53</f>
        <v>129.58629749253777</v>
      </c>
      <c r="J52" s="20">
        <f>lc_detailed!AN53</f>
        <v>-49.257270809000964</v>
      </c>
      <c r="K52" s="20">
        <f>lc_detailed!AP53</f>
        <v>0</v>
      </c>
      <c r="L52" s="20">
        <f>lc_detailed!AQ53</f>
        <v>29.848444277104196</v>
      </c>
      <c r="M52" s="20">
        <f>lc_detailed!AC53</f>
        <v>802.11376761426595</v>
      </c>
      <c r="O52" t="str">
        <v>CA_F-CC90-NGin-H2out</v>
      </c>
      <c r="P52">
        <v>0</v>
      </c>
      <c r="Q52">
        <v>-23.270616097830075</v>
      </c>
      <c r="R52">
        <v>3.9633893407219944</v>
      </c>
      <c r="S52">
        <v>452.54756324196904</v>
      </c>
      <c r="T52">
        <v>27.557881974255686</v>
      </c>
      <c r="U52">
        <v>0</v>
      </c>
      <c r="V52">
        <v>280.92664042397126</v>
      </c>
      <c r="W52">
        <v>153.76063060605685</v>
      </c>
      <c r="X52">
        <v>-46.592240065267717</v>
      </c>
      <c r="Y52">
        <v>-63.164991612940547</v>
      </c>
      <c r="Z52">
        <v>76.504489670128322</v>
      </c>
      <c r="AA52">
        <v>862.23274748106496</v>
      </c>
    </row>
    <row r="53" spans="1:27" x14ac:dyDescent="0.2">
      <c r="A53" t="str">
        <f>lc_detailed!AA54</f>
        <v>CEN_F-H2in-CH4out</v>
      </c>
      <c r="B53" s="20">
        <f>lc_detailed!AF54</f>
        <v>22.447717869826889</v>
      </c>
      <c r="C53" s="20">
        <f>lc_detailed!AG54</f>
        <v>0</v>
      </c>
      <c r="D53" s="20">
        <f>lc_detailed!AH54</f>
        <v>0</v>
      </c>
      <c r="E53" s="20">
        <f>lc_detailed!AI54</f>
        <v>452.54756324196904</v>
      </c>
      <c r="F53" s="20">
        <f>lc_detailed!AJ54</f>
        <v>0</v>
      </c>
      <c r="G53" s="20">
        <f>lc_detailed!AK54</f>
        <v>-19.827290979594004</v>
      </c>
      <c r="H53" s="20">
        <f>lc_detailed!AL54</f>
        <v>236.76830652142303</v>
      </c>
      <c r="I53" s="20">
        <f>lc_detailed!AM54</f>
        <v>129.58629749253777</v>
      </c>
      <c r="J53" s="20">
        <f>lc_detailed!AN54</f>
        <v>-49.257270809000964</v>
      </c>
      <c r="K53" s="20">
        <f>lc_detailed!AP54</f>
        <v>0</v>
      </c>
      <c r="L53" s="20">
        <f>lc_detailed!AQ54</f>
        <v>29.848444277104196</v>
      </c>
      <c r="M53" s="20">
        <f>lc_detailed!AC54</f>
        <v>802.11376761426595</v>
      </c>
      <c r="O53" t="str">
        <v>NW_F-CC90-NGin-H2out</v>
      </c>
      <c r="P53">
        <v>0</v>
      </c>
      <c r="Q53">
        <v>-23.270616097830075</v>
      </c>
      <c r="R53">
        <v>3.9633893407219944</v>
      </c>
      <c r="S53">
        <v>452.54756324196904</v>
      </c>
      <c r="T53">
        <v>27.557881974255686</v>
      </c>
      <c r="U53">
        <v>0</v>
      </c>
      <c r="V53">
        <v>280.92664042397126</v>
      </c>
      <c r="W53">
        <v>153.76063060605685</v>
      </c>
      <c r="X53">
        <v>-46.592240065267717</v>
      </c>
      <c r="Y53">
        <v>-63.164991612940547</v>
      </c>
      <c r="Z53">
        <v>76.504489670128322</v>
      </c>
      <c r="AA53">
        <v>862.23274748106496</v>
      </c>
    </row>
    <row r="54" spans="1:27" x14ac:dyDescent="0.2">
      <c r="A54" t="str">
        <f>lc_detailed!AA55</f>
        <v>SE_F-H2in-CH4out</v>
      </c>
      <c r="B54" s="20">
        <f>lc_detailed!AF55</f>
        <v>22.447717869826889</v>
      </c>
      <c r="C54" s="20">
        <f>lc_detailed!AG55</f>
        <v>0</v>
      </c>
      <c r="D54" s="20">
        <f>lc_detailed!AH55</f>
        <v>0</v>
      </c>
      <c r="E54" s="20">
        <f>lc_detailed!AI55</f>
        <v>452.54756324196904</v>
      </c>
      <c r="F54" s="20">
        <f>lc_detailed!AJ55</f>
        <v>0</v>
      </c>
      <c r="G54" s="20">
        <f>lc_detailed!AK55</f>
        <v>-19.827290979594004</v>
      </c>
      <c r="H54" s="20">
        <f>lc_detailed!AL55</f>
        <v>236.76830652142303</v>
      </c>
      <c r="I54" s="20">
        <f>lc_detailed!AM55</f>
        <v>129.58629749253777</v>
      </c>
      <c r="J54" s="20">
        <f>lc_detailed!AN55</f>
        <v>-49.257270809000964</v>
      </c>
      <c r="K54" s="20">
        <f>lc_detailed!AP55</f>
        <v>0</v>
      </c>
      <c r="L54" s="20">
        <f>lc_detailed!AQ55</f>
        <v>29.848444277104196</v>
      </c>
      <c r="M54" s="20">
        <f>lc_detailed!AC55</f>
        <v>802.11376761426595</v>
      </c>
      <c r="O54" t="str">
        <v>SW_F-CC90-NGin-H2out</v>
      </c>
      <c r="P54">
        <v>0</v>
      </c>
      <c r="Q54">
        <v>-23.270616097830075</v>
      </c>
      <c r="R54">
        <v>3.9633893407219944</v>
      </c>
      <c r="S54">
        <v>452.54756324196904</v>
      </c>
      <c r="T54">
        <v>27.557881974255686</v>
      </c>
      <c r="U54">
        <v>0</v>
      </c>
      <c r="V54">
        <v>280.92664042397126</v>
      </c>
      <c r="W54">
        <v>153.76063060605685</v>
      </c>
      <c r="X54">
        <v>-46.592240065267717</v>
      </c>
      <c r="Y54">
        <v>-63.164991612940547</v>
      </c>
      <c r="Z54">
        <v>76.504489670128322</v>
      </c>
      <c r="AA54">
        <v>862.23274748106496</v>
      </c>
    </row>
    <row r="55" spans="1:27" x14ac:dyDescent="0.2">
      <c r="A55" t="str">
        <f>lc_detailed!AA56</f>
        <v>MIDAT_F-H2in-CH4out</v>
      </c>
      <c r="B55" s="20">
        <f>lc_detailed!AF56</f>
        <v>22.447717869826889</v>
      </c>
      <c r="C55" s="20">
        <f>lc_detailed!AG56</f>
        <v>0</v>
      </c>
      <c r="D55" s="20">
        <f>lc_detailed!AH56</f>
        <v>0</v>
      </c>
      <c r="E55" s="20">
        <f>lc_detailed!AI56</f>
        <v>452.54756324196904</v>
      </c>
      <c r="F55" s="20">
        <f>lc_detailed!AJ56</f>
        <v>0</v>
      </c>
      <c r="G55" s="20">
        <f>lc_detailed!AK56</f>
        <v>-19.827290979594004</v>
      </c>
      <c r="H55" s="20">
        <f>lc_detailed!AL56</f>
        <v>236.76830652142303</v>
      </c>
      <c r="I55" s="20">
        <f>lc_detailed!AM56</f>
        <v>129.58629749253777</v>
      </c>
      <c r="J55" s="20">
        <f>lc_detailed!AN56</f>
        <v>-49.257270809000964</v>
      </c>
      <c r="K55" s="20">
        <f>lc_detailed!AP56</f>
        <v>0</v>
      </c>
      <c r="L55" s="20">
        <f>lc_detailed!AQ56</f>
        <v>29.848444277104196</v>
      </c>
      <c r="M55" s="20">
        <f>lc_detailed!AC56</f>
        <v>802.11376761426595</v>
      </c>
      <c r="O55" t="str">
        <v>TX_F-CC90-NGin-H2out</v>
      </c>
      <c r="P55">
        <v>0</v>
      </c>
      <c r="Q55">
        <v>-23.270616097830075</v>
      </c>
      <c r="R55">
        <v>3.9633893407219944</v>
      </c>
      <c r="S55">
        <v>452.54756324196904</v>
      </c>
      <c r="T55">
        <v>27.557881974255686</v>
      </c>
      <c r="U55">
        <v>0</v>
      </c>
      <c r="V55">
        <v>280.92664042397126</v>
      </c>
      <c r="W55">
        <v>153.76063060605685</v>
      </c>
      <c r="X55">
        <v>-46.592240065267717</v>
      </c>
      <c r="Y55">
        <v>-63.164991612940547</v>
      </c>
      <c r="Z55">
        <v>76.504489670128322</v>
      </c>
      <c r="AA55">
        <v>862.23274748106496</v>
      </c>
    </row>
    <row r="56" spans="1:27" x14ac:dyDescent="0.2">
      <c r="A56" t="str">
        <f>lc_detailed!AA57</f>
        <v>NE_F-H2in-CH4out</v>
      </c>
      <c r="B56" s="20">
        <f>lc_detailed!AF57</f>
        <v>22.447717869826889</v>
      </c>
      <c r="C56" s="20">
        <f>lc_detailed!AG57</f>
        <v>0</v>
      </c>
      <c r="D56" s="20">
        <f>lc_detailed!AH57</f>
        <v>0</v>
      </c>
      <c r="E56" s="20">
        <f>lc_detailed!AI57</f>
        <v>452.54756324196904</v>
      </c>
      <c r="F56" s="20">
        <f>lc_detailed!AJ57</f>
        <v>0</v>
      </c>
      <c r="G56" s="20">
        <f>lc_detailed!AK57</f>
        <v>-19.827290979594004</v>
      </c>
      <c r="H56" s="20">
        <f>lc_detailed!AL57</f>
        <v>236.76830652142303</v>
      </c>
      <c r="I56" s="20">
        <f>lc_detailed!AM57</f>
        <v>129.58629749253777</v>
      </c>
      <c r="J56" s="20">
        <f>lc_detailed!AN57</f>
        <v>-49.257270809000964</v>
      </c>
      <c r="K56" s="20">
        <f>lc_detailed!AP57</f>
        <v>0</v>
      </c>
      <c r="L56" s="20">
        <f>lc_detailed!AQ57</f>
        <v>29.848444277104196</v>
      </c>
      <c r="M56" s="20">
        <f>lc_detailed!AC57</f>
        <v>802.11376761426595</v>
      </c>
      <c r="O56" t="str">
        <v>NCEN_F-CC90-NGin-H2out</v>
      </c>
      <c r="P56">
        <v>0</v>
      </c>
      <c r="Q56">
        <v>-23.270616097830075</v>
      </c>
      <c r="R56">
        <v>3.9633893407219944</v>
      </c>
      <c r="S56">
        <v>452.54756324196904</v>
      </c>
      <c r="T56">
        <v>27.557881974255686</v>
      </c>
      <c r="U56">
        <v>0</v>
      </c>
      <c r="V56">
        <v>280.92664042397126</v>
      </c>
      <c r="W56">
        <v>153.76063060605685</v>
      </c>
      <c r="X56">
        <v>-46.592240065267717</v>
      </c>
      <c r="Y56">
        <v>-63.164991612940547</v>
      </c>
      <c r="Z56">
        <v>76.504489670128322</v>
      </c>
      <c r="AA56">
        <v>862.23274748106496</v>
      </c>
    </row>
    <row r="57" spans="1:27" x14ac:dyDescent="0.2">
      <c r="A57" t="str">
        <f>lc_detailed!AA58</f>
        <v>CA_F-Ein</v>
      </c>
      <c r="B57" s="20">
        <f>lc_detailed!AF58</f>
        <v>0</v>
      </c>
      <c r="C57" s="20">
        <f>lc_detailed!AG58</f>
        <v>-29.444500200587196</v>
      </c>
      <c r="D57" s="20">
        <f>lc_detailed!AH58</f>
        <v>70.579430212860558</v>
      </c>
      <c r="E57" s="20">
        <f>lc_detailed!AI58</f>
        <v>452.54756324196904</v>
      </c>
      <c r="F57" s="20">
        <f>lc_detailed!AJ58</f>
        <v>0</v>
      </c>
      <c r="G57" s="20">
        <f>lc_detailed!AK58</f>
        <v>-19.827290979594004</v>
      </c>
      <c r="H57" s="20">
        <f>lc_detailed!AL58</f>
        <v>313.68072253479579</v>
      </c>
      <c r="I57" s="20">
        <f>lc_detailed!AM58</f>
        <v>171.68143834298223</v>
      </c>
      <c r="J57" s="20">
        <f>lc_detailed!AN58</f>
        <v>-39.003626284637384</v>
      </c>
      <c r="K57" s="20">
        <f>lc_detailed!AP58</f>
        <v>0</v>
      </c>
      <c r="L57" s="20">
        <f>lc_detailed!AQ58</f>
        <v>29.848444277104196</v>
      </c>
      <c r="M57" s="20">
        <f>lc_detailed!AC58</f>
        <v>950.06218114489332</v>
      </c>
      <c r="O57" t="str">
        <v>CA_F-Ein</v>
      </c>
      <c r="P57">
        <v>0</v>
      </c>
      <c r="Q57">
        <v>-29.444500200587196</v>
      </c>
      <c r="R57">
        <v>70.579430212860558</v>
      </c>
      <c r="S57">
        <v>452.54756324196904</v>
      </c>
      <c r="T57">
        <v>0</v>
      </c>
      <c r="U57">
        <v>-19.827290979594004</v>
      </c>
      <c r="V57">
        <v>313.68072253479579</v>
      </c>
      <c r="W57">
        <v>171.68143834298223</v>
      </c>
      <c r="X57">
        <v>-39.003626284637384</v>
      </c>
      <c r="Y57">
        <v>0</v>
      </c>
      <c r="Z57">
        <v>29.848444277104196</v>
      </c>
      <c r="AA57">
        <v>950.06218114489332</v>
      </c>
    </row>
    <row r="58" spans="1:27" x14ac:dyDescent="0.2">
      <c r="A58" t="str">
        <f>lc_detailed!AA59</f>
        <v>NW_F-Ein</v>
      </c>
      <c r="B58" s="20">
        <f>lc_detailed!AF59</f>
        <v>0</v>
      </c>
      <c r="C58" s="20">
        <f>lc_detailed!AG59</f>
        <v>-29.444500200587196</v>
      </c>
      <c r="D58" s="20">
        <f>lc_detailed!AH59</f>
        <v>70.579430212860558</v>
      </c>
      <c r="E58" s="20">
        <f>lc_detailed!AI59</f>
        <v>452.54756324196904</v>
      </c>
      <c r="F58" s="20">
        <f>lc_detailed!AJ59</f>
        <v>0</v>
      </c>
      <c r="G58" s="20">
        <f>lc_detailed!AK59</f>
        <v>-19.827290979594004</v>
      </c>
      <c r="H58" s="20">
        <f>lc_detailed!AL59</f>
        <v>313.68072253479579</v>
      </c>
      <c r="I58" s="20">
        <f>lc_detailed!AM59</f>
        <v>171.68143834298223</v>
      </c>
      <c r="J58" s="20">
        <f>lc_detailed!AN59</f>
        <v>-39.003626284637384</v>
      </c>
      <c r="K58" s="20">
        <f>lc_detailed!AP59</f>
        <v>0</v>
      </c>
      <c r="L58" s="20">
        <f>lc_detailed!AQ59</f>
        <v>29.848444277104196</v>
      </c>
      <c r="M58" s="20">
        <f>lc_detailed!AC59</f>
        <v>950.06218114489332</v>
      </c>
      <c r="O58" t="str">
        <v>NW_F-Ein</v>
      </c>
      <c r="P58">
        <v>0</v>
      </c>
      <c r="Q58">
        <v>-29.444500200587196</v>
      </c>
      <c r="R58">
        <v>70.579430212860558</v>
      </c>
      <c r="S58">
        <v>452.54756324196904</v>
      </c>
      <c r="T58">
        <v>0</v>
      </c>
      <c r="U58">
        <v>-19.827290979594004</v>
      </c>
      <c r="V58">
        <v>313.68072253479579</v>
      </c>
      <c r="W58">
        <v>171.68143834298223</v>
      </c>
      <c r="X58">
        <v>-39.003626284637384</v>
      </c>
      <c r="Y58">
        <v>0</v>
      </c>
      <c r="Z58">
        <v>29.848444277104196</v>
      </c>
      <c r="AA58">
        <v>950.06218114489332</v>
      </c>
    </row>
    <row r="59" spans="1:27" x14ac:dyDescent="0.2">
      <c r="A59" t="str">
        <f>lc_detailed!AA60</f>
        <v>SW_F-Ein</v>
      </c>
      <c r="B59" s="20">
        <f>lc_detailed!AF60</f>
        <v>0</v>
      </c>
      <c r="C59" s="20">
        <f>lc_detailed!AG60</f>
        <v>-29.444500200587196</v>
      </c>
      <c r="D59" s="20">
        <f>lc_detailed!AH60</f>
        <v>70.579430212860558</v>
      </c>
      <c r="E59" s="20">
        <f>lc_detailed!AI60</f>
        <v>452.54756324196904</v>
      </c>
      <c r="F59" s="20">
        <f>lc_detailed!AJ60</f>
        <v>0</v>
      </c>
      <c r="G59" s="20">
        <f>lc_detailed!AK60</f>
        <v>-19.827290979594004</v>
      </c>
      <c r="H59" s="20">
        <f>lc_detailed!AL60</f>
        <v>313.68072253479579</v>
      </c>
      <c r="I59" s="20">
        <f>lc_detailed!AM60</f>
        <v>171.68143834298223</v>
      </c>
      <c r="J59" s="20">
        <f>lc_detailed!AN60</f>
        <v>-39.003626284637384</v>
      </c>
      <c r="K59" s="20">
        <f>lc_detailed!AP60</f>
        <v>0</v>
      </c>
      <c r="L59" s="20">
        <f>lc_detailed!AQ60</f>
        <v>29.848444277104196</v>
      </c>
      <c r="M59" s="20">
        <f>lc_detailed!AC60</f>
        <v>950.06218114489332</v>
      </c>
      <c r="O59" t="str">
        <v>SW_F-Ein</v>
      </c>
      <c r="P59">
        <v>0</v>
      </c>
      <c r="Q59">
        <v>-29.444500200587196</v>
      </c>
      <c r="R59">
        <v>70.579430212860558</v>
      </c>
      <c r="S59">
        <v>452.54756324196904</v>
      </c>
      <c r="T59">
        <v>0</v>
      </c>
      <c r="U59">
        <v>-19.827290979594004</v>
      </c>
      <c r="V59">
        <v>313.68072253479579</v>
      </c>
      <c r="W59">
        <v>171.68143834298223</v>
      </c>
      <c r="X59">
        <v>-39.003626284637384</v>
      </c>
      <c r="Y59">
        <v>0</v>
      </c>
      <c r="Z59">
        <v>29.848444277104196</v>
      </c>
      <c r="AA59">
        <v>950.06218114489332</v>
      </c>
    </row>
    <row r="60" spans="1:27" x14ac:dyDescent="0.2">
      <c r="A60" t="str">
        <f>lc_detailed!AA61</f>
        <v>TX_F-Ein</v>
      </c>
      <c r="B60" s="20">
        <f>lc_detailed!AF61</f>
        <v>0</v>
      </c>
      <c r="C60" s="20">
        <f>lc_detailed!AG61</f>
        <v>-29.444500200587196</v>
      </c>
      <c r="D60" s="20">
        <f>lc_detailed!AH61</f>
        <v>70.579430212860558</v>
      </c>
      <c r="E60" s="20">
        <f>lc_detailed!AI61</f>
        <v>452.54756324196904</v>
      </c>
      <c r="F60" s="20">
        <f>lc_detailed!AJ61</f>
        <v>0</v>
      </c>
      <c r="G60" s="20">
        <f>lc_detailed!AK61</f>
        <v>-19.827290979594004</v>
      </c>
      <c r="H60" s="20">
        <f>lc_detailed!AL61</f>
        <v>313.68072253479579</v>
      </c>
      <c r="I60" s="20">
        <f>lc_detailed!AM61</f>
        <v>171.68143834298223</v>
      </c>
      <c r="J60" s="20">
        <f>lc_detailed!AN61</f>
        <v>-39.003626284637384</v>
      </c>
      <c r="K60" s="20">
        <f>lc_detailed!AP61</f>
        <v>0</v>
      </c>
      <c r="L60" s="20">
        <f>lc_detailed!AQ61</f>
        <v>29.848444277104196</v>
      </c>
      <c r="M60" s="20">
        <f>lc_detailed!AC61</f>
        <v>950.06218114489332</v>
      </c>
      <c r="O60" t="str">
        <v>TX_F-Ein</v>
      </c>
      <c r="P60">
        <v>0</v>
      </c>
      <c r="Q60">
        <v>-29.444500200587196</v>
      </c>
      <c r="R60">
        <v>70.579430212860558</v>
      </c>
      <c r="S60">
        <v>452.54756324196904</v>
      </c>
      <c r="T60">
        <v>0</v>
      </c>
      <c r="U60">
        <v>-19.827290979594004</v>
      </c>
      <c r="V60">
        <v>313.68072253479579</v>
      </c>
      <c r="W60">
        <v>171.68143834298223</v>
      </c>
      <c r="X60">
        <v>-39.003626284637384</v>
      </c>
      <c r="Y60">
        <v>0</v>
      </c>
      <c r="Z60">
        <v>29.848444277104196</v>
      </c>
      <c r="AA60">
        <v>950.06218114489332</v>
      </c>
    </row>
    <row r="61" spans="1:27" x14ac:dyDescent="0.2">
      <c r="A61" t="str">
        <f>lc_detailed!AA62</f>
        <v>NCEN_F-Ein</v>
      </c>
      <c r="B61" s="20">
        <f>lc_detailed!AF62</f>
        <v>0</v>
      </c>
      <c r="C61" s="20">
        <f>lc_detailed!AG62</f>
        <v>-29.444500200587196</v>
      </c>
      <c r="D61" s="20">
        <f>lc_detailed!AH62</f>
        <v>70.579430212860558</v>
      </c>
      <c r="E61" s="20">
        <f>lc_detailed!AI62</f>
        <v>452.54756324196904</v>
      </c>
      <c r="F61" s="20">
        <f>lc_detailed!AJ62</f>
        <v>0</v>
      </c>
      <c r="G61" s="20">
        <f>lc_detailed!AK62</f>
        <v>-19.827290979594004</v>
      </c>
      <c r="H61" s="20">
        <f>lc_detailed!AL62</f>
        <v>313.68072253479579</v>
      </c>
      <c r="I61" s="20">
        <f>lc_detailed!AM62</f>
        <v>171.68143834298223</v>
      </c>
      <c r="J61" s="20">
        <f>lc_detailed!AN62</f>
        <v>-39.003626284637384</v>
      </c>
      <c r="K61" s="20">
        <f>lc_detailed!AP62</f>
        <v>0</v>
      </c>
      <c r="L61" s="20">
        <f>lc_detailed!AQ62</f>
        <v>29.848444277104196</v>
      </c>
      <c r="M61" s="20">
        <f>lc_detailed!AC62</f>
        <v>950.06218114489332</v>
      </c>
      <c r="O61" t="str">
        <v>NCEN_F-Ein</v>
      </c>
      <c r="P61">
        <v>0</v>
      </c>
      <c r="Q61">
        <v>-29.444500200587196</v>
      </c>
      <c r="R61">
        <v>70.579430212860558</v>
      </c>
      <c r="S61">
        <v>452.54756324196904</v>
      </c>
      <c r="T61">
        <v>0</v>
      </c>
      <c r="U61">
        <v>-19.827290979594004</v>
      </c>
      <c r="V61">
        <v>313.68072253479579</v>
      </c>
      <c r="W61">
        <v>171.68143834298223</v>
      </c>
      <c r="X61">
        <v>-39.003626284637384</v>
      </c>
      <c r="Y61">
        <v>0</v>
      </c>
      <c r="Z61">
        <v>29.848444277104196</v>
      </c>
      <c r="AA61">
        <v>950.06218114489332</v>
      </c>
    </row>
    <row r="62" spans="1:27" x14ac:dyDescent="0.2">
      <c r="A62" t="str">
        <f>lc_detailed!AA63</f>
        <v>CEN_F-Ein</v>
      </c>
      <c r="B62" s="20">
        <f>lc_detailed!AF63</f>
        <v>0</v>
      </c>
      <c r="C62" s="20">
        <f>lc_detailed!AG63</f>
        <v>-29.444500200587196</v>
      </c>
      <c r="D62" s="20">
        <f>lc_detailed!AH63</f>
        <v>70.579430212860558</v>
      </c>
      <c r="E62" s="20">
        <f>lc_detailed!AI63</f>
        <v>452.54756324196904</v>
      </c>
      <c r="F62" s="20">
        <f>lc_detailed!AJ63</f>
        <v>0</v>
      </c>
      <c r="G62" s="20">
        <f>lc_detailed!AK63</f>
        <v>-19.827290979594004</v>
      </c>
      <c r="H62" s="20">
        <f>lc_detailed!AL63</f>
        <v>313.68072253479579</v>
      </c>
      <c r="I62" s="20">
        <f>lc_detailed!AM63</f>
        <v>171.68143834298223</v>
      </c>
      <c r="J62" s="20">
        <f>lc_detailed!AN63</f>
        <v>-39.003626284637384</v>
      </c>
      <c r="K62" s="20">
        <f>lc_detailed!AP63</f>
        <v>0</v>
      </c>
      <c r="L62" s="20">
        <f>lc_detailed!AQ63</f>
        <v>29.848444277104196</v>
      </c>
      <c r="M62" s="20">
        <f>lc_detailed!AC63</f>
        <v>950.06218114489332</v>
      </c>
      <c r="O62" t="str">
        <v>CEN_F-Ein</v>
      </c>
      <c r="P62">
        <v>0</v>
      </c>
      <c r="Q62">
        <v>-29.444500200587196</v>
      </c>
      <c r="R62">
        <v>70.579430212860558</v>
      </c>
      <c r="S62">
        <v>452.54756324196904</v>
      </c>
      <c r="T62">
        <v>0</v>
      </c>
      <c r="U62">
        <v>-19.827290979594004</v>
      </c>
      <c r="V62">
        <v>313.68072253479579</v>
      </c>
      <c r="W62">
        <v>171.68143834298223</v>
      </c>
      <c r="X62">
        <v>-39.003626284637384</v>
      </c>
      <c r="Y62">
        <v>0</v>
      </c>
      <c r="Z62">
        <v>29.848444277104196</v>
      </c>
      <c r="AA62">
        <v>950.06218114489332</v>
      </c>
    </row>
    <row r="63" spans="1:27" x14ac:dyDescent="0.2">
      <c r="A63" t="str">
        <f>lc_detailed!AA64</f>
        <v>SE_F-Ein</v>
      </c>
      <c r="B63" s="20">
        <f>lc_detailed!AF64</f>
        <v>0</v>
      </c>
      <c r="C63" s="20">
        <f>lc_detailed!AG64</f>
        <v>-29.444500200587196</v>
      </c>
      <c r="D63" s="20">
        <f>lc_detailed!AH64</f>
        <v>70.579430212860558</v>
      </c>
      <c r="E63" s="20">
        <f>lc_detailed!AI64</f>
        <v>452.54756324196904</v>
      </c>
      <c r="F63" s="20">
        <f>lc_detailed!AJ64</f>
        <v>0</v>
      </c>
      <c r="G63" s="20">
        <f>lc_detailed!AK64</f>
        <v>-19.827290979594004</v>
      </c>
      <c r="H63" s="20">
        <f>lc_detailed!AL64</f>
        <v>313.68072253479579</v>
      </c>
      <c r="I63" s="20">
        <f>lc_detailed!AM64</f>
        <v>171.68143834298223</v>
      </c>
      <c r="J63" s="20">
        <f>lc_detailed!AN64</f>
        <v>-39.003626284637384</v>
      </c>
      <c r="K63" s="20">
        <f>lc_detailed!AP64</f>
        <v>0</v>
      </c>
      <c r="L63" s="20">
        <f>lc_detailed!AQ64</f>
        <v>29.848444277104196</v>
      </c>
      <c r="M63" s="20">
        <f>lc_detailed!AC64</f>
        <v>950.06218114489332</v>
      </c>
      <c r="O63" t="str">
        <v>SE_F-Ein</v>
      </c>
      <c r="P63">
        <v>0</v>
      </c>
      <c r="Q63">
        <v>-29.444500200587196</v>
      </c>
      <c r="R63">
        <v>70.579430212860558</v>
      </c>
      <c r="S63">
        <v>452.54756324196904</v>
      </c>
      <c r="T63">
        <v>0</v>
      </c>
      <c r="U63">
        <v>-19.827290979594004</v>
      </c>
      <c r="V63">
        <v>313.68072253479579</v>
      </c>
      <c r="W63">
        <v>171.68143834298223</v>
      </c>
      <c r="X63">
        <v>-39.003626284637384</v>
      </c>
      <c r="Y63">
        <v>0</v>
      </c>
      <c r="Z63">
        <v>29.848444277104196</v>
      </c>
      <c r="AA63">
        <v>950.06218114489332</v>
      </c>
    </row>
    <row r="64" spans="1:27" x14ac:dyDescent="0.2">
      <c r="A64" t="str">
        <f>lc_detailed!AA65</f>
        <v>MIDAT_F-Ein</v>
      </c>
      <c r="B64" s="20">
        <f>lc_detailed!AF65</f>
        <v>0</v>
      </c>
      <c r="C64" s="20">
        <f>lc_detailed!AG65</f>
        <v>-29.444500200587196</v>
      </c>
      <c r="D64" s="20">
        <f>lc_detailed!AH65</f>
        <v>70.579430212860558</v>
      </c>
      <c r="E64" s="20">
        <f>lc_detailed!AI65</f>
        <v>452.54756324196904</v>
      </c>
      <c r="F64" s="20">
        <f>lc_detailed!AJ65</f>
        <v>0</v>
      </c>
      <c r="G64" s="20">
        <f>lc_detailed!AK65</f>
        <v>-19.827290979594004</v>
      </c>
      <c r="H64" s="20">
        <f>lc_detailed!AL65</f>
        <v>313.68072253479579</v>
      </c>
      <c r="I64" s="20">
        <f>lc_detailed!AM65</f>
        <v>171.68143834298223</v>
      </c>
      <c r="J64" s="20">
        <f>lc_detailed!AN65</f>
        <v>-39.003626284637384</v>
      </c>
      <c r="K64" s="20">
        <f>lc_detailed!AP65</f>
        <v>0</v>
      </c>
      <c r="L64" s="20">
        <f>lc_detailed!AQ65</f>
        <v>29.848444277104196</v>
      </c>
      <c r="M64" s="20">
        <f>lc_detailed!AC65</f>
        <v>950.06218114489332</v>
      </c>
      <c r="O64" t="str">
        <v>MIDAT_F-Ein</v>
      </c>
      <c r="P64">
        <v>0</v>
      </c>
      <c r="Q64">
        <v>-29.444500200587196</v>
      </c>
      <c r="R64">
        <v>70.579430212860558</v>
      </c>
      <c r="S64">
        <v>452.54756324196904</v>
      </c>
      <c r="T64">
        <v>0</v>
      </c>
      <c r="U64">
        <v>-19.827290979594004</v>
      </c>
      <c r="V64">
        <v>313.68072253479579</v>
      </c>
      <c r="W64">
        <v>171.68143834298223</v>
      </c>
      <c r="X64">
        <v>-39.003626284637384</v>
      </c>
      <c r="Y64">
        <v>0</v>
      </c>
      <c r="Z64">
        <v>29.848444277104196</v>
      </c>
      <c r="AA64">
        <v>950.06218114489332</v>
      </c>
    </row>
    <row r="65" spans="1:27" x14ac:dyDescent="0.2">
      <c r="A65" t="str">
        <f>lc_detailed!AA66</f>
        <v>NE_F-Ein</v>
      </c>
      <c r="B65" s="20">
        <f>lc_detailed!AF66</f>
        <v>0</v>
      </c>
      <c r="C65" s="20">
        <f>lc_detailed!AG66</f>
        <v>-29.444500200587196</v>
      </c>
      <c r="D65" s="20">
        <f>lc_detailed!AH66</f>
        <v>70.579430212860558</v>
      </c>
      <c r="E65" s="20">
        <f>lc_detailed!AI66</f>
        <v>452.54756324196904</v>
      </c>
      <c r="F65" s="20">
        <f>lc_detailed!AJ66</f>
        <v>0</v>
      </c>
      <c r="G65" s="20">
        <f>lc_detailed!AK66</f>
        <v>-19.827290979594004</v>
      </c>
      <c r="H65" s="20">
        <f>lc_detailed!AL66</f>
        <v>313.68072253479579</v>
      </c>
      <c r="I65" s="20">
        <f>lc_detailed!AM66</f>
        <v>171.68143834298223</v>
      </c>
      <c r="J65" s="20">
        <f>lc_detailed!AN66</f>
        <v>-39.003626284637384</v>
      </c>
      <c r="K65" s="20">
        <f>lc_detailed!AP66</f>
        <v>0</v>
      </c>
      <c r="L65" s="20">
        <f>lc_detailed!AQ66</f>
        <v>29.848444277104196</v>
      </c>
      <c r="M65" s="20">
        <f>lc_detailed!AC66</f>
        <v>950.06218114489332</v>
      </c>
      <c r="O65" t="str">
        <v>NE_F-Ein</v>
      </c>
      <c r="P65">
        <v>0</v>
      </c>
      <c r="Q65">
        <v>-29.444500200587196</v>
      </c>
      <c r="R65">
        <v>70.579430212860558</v>
      </c>
      <c r="S65">
        <v>452.54756324196904</v>
      </c>
      <c r="T65">
        <v>0</v>
      </c>
      <c r="U65">
        <v>-19.827290979594004</v>
      </c>
      <c r="V65">
        <v>313.68072253479579</v>
      </c>
      <c r="W65">
        <v>171.68143834298223</v>
      </c>
      <c r="X65">
        <v>-39.003626284637384</v>
      </c>
      <c r="Y65">
        <v>0</v>
      </c>
      <c r="Z65">
        <v>29.848444277104196</v>
      </c>
      <c r="AA65">
        <v>950.06218114489332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2026-06-24T04:26:39Z</dcterms:modified>
</cp:coreProperties>
</file>