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lc_detailed" sheetId="1" state="visible" r:id="rId1"/>
    <sheet xmlns:r="http://schemas.openxmlformats.org/officeDocument/2006/relationships" name="lc_summary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0"/>
  </numFmts>
  <fonts count="9">
    <font>
      <name val="Calibri"/>
      <family val="2"/>
      <color theme="1"/>
      <sz val="12"/>
      <scheme val="minor"/>
    </font>
    <font>
      <name val="Calibri"/>
      <family val="2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sz val="8"/>
      <scheme val="minor"/>
    </font>
    <font>
      <name val="Calibri"/>
      <family val="2"/>
      <color rgb="FF000000"/>
      <sz val="12"/>
      <scheme val="minor"/>
    </font>
    <font>
      <name val="Calibri"/>
      <family val="2"/>
      <color rgb="FFFFFFFF"/>
      <sz val="11"/>
      <scheme val="minor"/>
    </font>
  </fonts>
  <fills count="19">
    <fill>
      <patternFill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7E8FF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ADD8E6"/>
        <bgColor rgb="FFADD8E6"/>
      </patternFill>
    </fill>
    <fill>
      <patternFill patternType="solid">
        <fgColor theme="4" tint="-0.249977111117893"/>
        <bgColor rgb="FFADD8E6"/>
      </patternFill>
    </fill>
    <fill>
      <patternFill patternType="solid">
        <fgColor rgb="FF9E1E14"/>
        <bgColor indexed="64"/>
      </patternFill>
    </fill>
    <fill>
      <patternFill patternType="solid">
        <fgColor rgb="FFF5D3D5"/>
        <bgColor rgb="FFADD8E6"/>
      </patternFill>
    </fill>
    <fill>
      <patternFill patternType="solid">
        <fgColor rgb="FFF7E9FF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ADD8E6"/>
        <bgColor indexed="64"/>
      </patternFill>
    </fill>
    <fill>
      <patternFill patternType="solid">
        <fgColor rgb="FF9E1E13"/>
        <bgColor indexed="64"/>
      </patternFill>
    </fill>
    <fill>
      <patternFill patternType="solid">
        <fgColor rgb="FFEFDFF1"/>
        <bgColor indexed="64"/>
      </patternFill>
    </fill>
    <fill>
      <patternFill patternType="solid">
        <fgColor rgb="FF7030A0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2" fillId="4" borderId="0" pivotButton="0" quotePrefix="0" xfId="0"/>
    <xf numFmtId="164" fontId="1" fillId="0" borderId="0" pivotButton="0" quotePrefix="0" xfId="0"/>
    <xf numFmtId="0" fontId="2" fillId="5" borderId="0" pivotButton="0" quotePrefix="0" xfId="0"/>
    <xf numFmtId="0" fontId="2" fillId="6" borderId="0" pivotButton="0" quotePrefix="0" xfId="0"/>
    <xf numFmtId="0" fontId="3" fillId="0" borderId="0" pivotButton="0" quotePrefix="0" xfId="0"/>
    <xf numFmtId="0" fontId="3" fillId="7" borderId="0" pivotButton="0" quotePrefix="0" xfId="0"/>
    <xf numFmtId="0" fontId="1" fillId="7" borderId="0" pivotButton="0" quotePrefix="0" xfId="0"/>
    <xf numFmtId="164" fontId="1" fillId="8" borderId="0" pivotButton="0" quotePrefix="0" xfId="0"/>
    <xf numFmtId="0" fontId="0" fillId="9" borderId="0" pivotButton="0" quotePrefix="0" xfId="0"/>
    <xf numFmtId="0" fontId="4" fillId="10" borderId="0" pivotButton="0" quotePrefix="0" xfId="0"/>
    <xf numFmtId="0" fontId="2" fillId="11" borderId="0" pivotButton="0" quotePrefix="0" xfId="0"/>
    <xf numFmtId="0" fontId="0" fillId="12" borderId="0" pivotButton="0" quotePrefix="0" xfId="0"/>
    <xf numFmtId="0" fontId="2" fillId="0" borderId="0" pivotButton="0" quotePrefix="0" xfId="0"/>
    <xf numFmtId="0" fontId="1" fillId="13" borderId="0" pivotButton="0" quotePrefix="0" xfId="0"/>
    <xf numFmtId="0" fontId="5" fillId="0" borderId="0" applyAlignment="1" pivotButton="0" quotePrefix="0" xfId="0">
      <alignment horizontal="left"/>
    </xf>
    <xf numFmtId="0" fontId="2" fillId="4" borderId="0" applyAlignment="1" pivotButton="0" quotePrefix="0" xfId="0">
      <alignment horizontal="left" wrapText="1"/>
    </xf>
    <xf numFmtId="0" fontId="2" fillId="3" borderId="0" applyAlignment="1" pivotButton="0" quotePrefix="0" xfId="0">
      <alignment horizontal="left" wrapText="1"/>
    </xf>
    <xf numFmtId="0" fontId="2" fillId="5" borderId="0" applyAlignment="1" pivotButton="0" quotePrefix="0" xfId="0">
      <alignment horizontal="left" wrapText="1"/>
    </xf>
    <xf numFmtId="0" fontId="0" fillId="14" borderId="0" pivotButton="0" quotePrefix="0" xfId="0"/>
    <xf numFmtId="0" fontId="1" fillId="14" borderId="0" pivotButton="0" quotePrefix="0" xfId="0"/>
    <xf numFmtId="2" fontId="0" fillId="0" borderId="0" pivotButton="0" quotePrefix="0" xfId="0"/>
    <xf numFmtId="0" fontId="0" fillId="15" borderId="0" pivotButton="0" quotePrefix="0" xfId="0"/>
    <xf numFmtId="0" fontId="7" fillId="15" borderId="0" pivotButton="0" quotePrefix="0" xfId="0"/>
    <xf numFmtId="0" fontId="2" fillId="16" borderId="0" pivotButton="0" quotePrefix="0" xfId="0"/>
    <xf numFmtId="0" fontId="0" fillId="17" borderId="0" pivotButton="0" quotePrefix="0" xfId="0"/>
    <xf numFmtId="0" fontId="8" fillId="18" borderId="0" pivotButton="0" quotePrefix="0" xfId="0"/>
  </cellXfs>
  <cellStyles count="1">
    <cellStyle name="Normal" xfId="0" builtinId="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H108"/>
  <sheetViews>
    <sheetView tabSelected="1" topLeftCell="BF1" zoomScale="86" zoomScaleNormal="157" workbookViewId="0">
      <selection activeCell="BK14" sqref="BK14"/>
    </sheetView>
  </sheetViews>
  <sheetFormatPr baseColWidth="10" defaultRowHeight="16"/>
  <cols>
    <col width="2.6640625" customWidth="1" style="1" min="1" max="1"/>
    <col width="50.5" bestFit="1" customWidth="1" style="1" min="2" max="2"/>
    <col width="10" bestFit="1" customWidth="1" style="1" min="3" max="3"/>
    <col width="14" customWidth="1" style="1" min="4" max="4"/>
    <col width="27.33203125" bestFit="1" customWidth="1" style="1" min="5" max="5"/>
    <col width="31.33203125" bestFit="1" customWidth="1" style="1" min="6" max="6"/>
    <col width="32.5" customWidth="1" style="1" min="7" max="10"/>
    <col width="38.1640625" bestFit="1" customWidth="1" style="1" min="11" max="11"/>
    <col width="38.1640625" customWidth="1" style="1" min="12" max="12"/>
    <col width="34.83203125" bestFit="1" customWidth="1" style="1" min="13" max="13"/>
    <col width="35.6640625" bestFit="1" customWidth="1" style="1" min="14" max="14"/>
    <col width="31.1640625" bestFit="1" customWidth="1" style="1" min="15" max="15"/>
    <col width="29.6640625" bestFit="1" customWidth="1" style="1" min="16" max="16"/>
    <col width="28.5" bestFit="1" customWidth="1" style="1" min="17" max="17"/>
    <col width="2.83203125" customWidth="1" style="1" min="18" max="18"/>
    <col width="20.83203125" bestFit="1" customWidth="1" style="1" min="19" max="19"/>
    <col width="24.33203125" bestFit="1" customWidth="1" style="1" min="20" max="20"/>
    <col width="23.83203125" bestFit="1" customWidth="1" style="1" min="21" max="21"/>
    <col width="25.33203125" bestFit="1" customWidth="1" style="1" min="22" max="22"/>
    <col width="33.33203125" bestFit="1" customWidth="1" style="1" min="23" max="23"/>
    <col width="27.33203125" bestFit="1" customWidth="1" style="1" min="24" max="24"/>
    <col width="28.33203125" bestFit="1" customWidth="1" style="1" min="25" max="25"/>
    <col width="27.83203125" bestFit="1" customWidth="1" style="1" min="26" max="26"/>
    <col width="28.6640625" bestFit="1" customWidth="1" style="1" min="27" max="27"/>
    <col width="24.83203125" bestFit="1" customWidth="1" style="1" min="28" max="28"/>
    <col width="25.6640625" bestFit="1" customWidth="1" style="1" min="29" max="29"/>
    <col width="27.83203125" bestFit="1" customWidth="1" style="1" min="30" max="30"/>
    <col width="26.1640625" customWidth="1" style="1" min="31" max="31"/>
    <col width="21.5" bestFit="1" customWidth="1" style="1" min="32" max="32"/>
    <col width="3" customWidth="1" style="1" min="33" max="33"/>
    <col width="12.83203125" bestFit="1" customWidth="1" style="1" min="34" max="34"/>
    <col width="11" customWidth="1" style="1" min="35" max="35"/>
    <col width="12.83203125" customWidth="1" style="1" min="36" max="36"/>
    <col width="13.83203125" customWidth="1" style="1" min="37" max="37"/>
    <col width="12" customWidth="1" style="1" min="38" max="38"/>
    <col width="16.83203125" bestFit="1" customWidth="1" style="1" min="39" max="39"/>
    <col width="11" customWidth="1" style="1" min="40" max="40"/>
    <col width="9.33203125" customWidth="1" style="1" min="41" max="41"/>
    <col width="9.6640625" customWidth="1" style="1" min="42" max="42"/>
    <col width="3.33203125" customWidth="1" min="43" max="43"/>
    <col width="44" bestFit="1" customWidth="1" style="1" min="44" max="44"/>
    <col width="19.83203125" customWidth="1" style="1" min="45" max="45"/>
    <col width="15.6640625" bestFit="1" customWidth="1" style="1" min="46" max="46"/>
    <col width="15.6640625" customWidth="1" style="1" min="47" max="47"/>
    <col width="18.33203125" bestFit="1" customWidth="1" style="1" min="48" max="48"/>
    <col width="14.1640625" bestFit="1" customWidth="1" style="1" min="49" max="49"/>
    <col width="15.1640625" bestFit="1" customWidth="1" style="1" min="50" max="50"/>
    <col width="22.5" bestFit="1" customWidth="1" style="1" min="51" max="51"/>
    <col width="22.5" customWidth="1" style="1" min="52" max="52"/>
    <col width="20.83203125" bestFit="1" customWidth="1" style="1" min="53" max="53"/>
    <col width="25.6640625" bestFit="1" customWidth="1" style="1" min="54" max="54"/>
    <col width="24.33203125" bestFit="1" customWidth="1" style="1" min="55" max="55"/>
    <col width="13.6640625" bestFit="1" customWidth="1" style="1" min="56" max="56"/>
    <col width="20.83203125" bestFit="1" customWidth="1" style="1" min="57" max="57"/>
    <col width="12.1640625" bestFit="1" customWidth="1" style="1" min="58" max="58"/>
    <col width="19.33203125" bestFit="1" customWidth="1" style="1" min="59" max="59"/>
    <col width="14.5" bestFit="1" customWidth="1" style="1" min="60" max="60"/>
    <col width="21.83203125" bestFit="1" customWidth="1" style="1" min="61" max="61"/>
    <col width="10.5" customWidth="1" style="1" min="62" max="62"/>
    <col width="17.83203125" bestFit="1" customWidth="1" style="1" min="63" max="63"/>
    <col width="19.6640625" bestFit="1" customWidth="1" style="1" min="64" max="64"/>
    <col width="12.1640625" customWidth="1" style="1" min="65" max="65"/>
    <col width="17.83203125" bestFit="1" customWidth="1" style="1" min="66" max="66"/>
    <col width="19.33203125" bestFit="1" customWidth="1" style="1" min="67" max="67"/>
    <col width="2.83203125" customWidth="1" style="1" min="68" max="68"/>
    <col width="43.5" bestFit="1" customWidth="1" style="1" min="69" max="69"/>
    <col width="13.6640625" bestFit="1" customWidth="1" style="1" min="70" max="70"/>
    <col width="15.1640625" bestFit="1" customWidth="1" style="1" min="71" max="71"/>
    <col width="16.6640625" bestFit="1" customWidth="1" style="1" min="72" max="72"/>
    <col width="17.5" bestFit="1" customWidth="1" style="1" min="73" max="73"/>
    <col width="13.83203125" bestFit="1" customWidth="1" style="1" min="74" max="74"/>
    <col width="12.33203125" bestFit="1" customWidth="1" style="1" min="75" max="75"/>
    <col width="14.5" bestFit="1" customWidth="1" style="1" min="76" max="76"/>
    <col width="2.83203125" customWidth="1" style="1" min="77" max="77"/>
    <col width="28.6640625" bestFit="1" customWidth="1" style="1" min="78" max="78"/>
    <col width="21.5" bestFit="1" customWidth="1" style="1" min="79" max="79"/>
    <col width="22.33203125" customWidth="1" style="1" min="80" max="80"/>
    <col width="27.6640625" bestFit="1" customWidth="1" style="1" min="81" max="81"/>
    <col width="17" bestFit="1" customWidth="1" style="1" min="82" max="82"/>
    <col width="24.1640625" bestFit="1" customWidth="1" style="1" min="83" max="83"/>
    <col width="3.6640625" customWidth="1" style="1" min="84" max="84"/>
    <col width="28.33203125" bestFit="1" customWidth="1" style="1" min="85" max="85"/>
    <col width="20.5" bestFit="1" customWidth="1" style="1" min="86" max="86"/>
    <col width="29.1640625" bestFit="1" customWidth="1" style="1" min="87" max="87"/>
    <col width="3.33203125" customWidth="1" style="1" min="88" max="88"/>
    <col width="23.5" bestFit="1" customWidth="1" style="1" min="89" max="89"/>
    <col width="22.5" bestFit="1" customWidth="1" style="1" min="90" max="90"/>
    <col width="22" bestFit="1" customWidth="1" style="1" min="91" max="91"/>
    <col width="22" customWidth="1" style="1" min="92" max="93"/>
    <col width="22.83203125" bestFit="1" customWidth="1" style="1" min="94" max="94"/>
    <col width="3.5" customWidth="1" style="1" min="95" max="95"/>
    <col width="22.83203125" customWidth="1" style="1" min="96" max="96"/>
    <col width="3.5" customWidth="1" style="1" min="97" max="97"/>
    <col width="23" customWidth="1" style="1" min="98" max="98"/>
    <col width="29.5" bestFit="1" customWidth="1" style="1" min="99" max="99"/>
    <col width="13" bestFit="1" customWidth="1" style="1" min="100" max="100"/>
    <col width="23.83203125" bestFit="1" customWidth="1" style="1" min="101" max="101"/>
    <col width="25.5" bestFit="1" customWidth="1" style="1" min="102" max="102"/>
    <col width="33.33203125" bestFit="1" customWidth="1" style="1" min="103" max="103"/>
    <col width="27.6640625" bestFit="1" customWidth="1" style="1" min="104" max="104"/>
    <col width="28.6640625" bestFit="1" customWidth="1" style="1" min="105" max="105"/>
    <col width="28.6640625" customWidth="1" style="1" min="106" max="107"/>
    <col width="21" bestFit="1" customWidth="1" style="1" min="108" max="108"/>
    <col width="22.1640625" bestFit="1" customWidth="1" style="1" min="109" max="109"/>
    <col width="27.83203125" bestFit="1" customWidth="1" style="1" min="110" max="110"/>
    <col width="26.33203125" bestFit="1" customWidth="1" style="1" min="111" max="111"/>
    <col width="21.5" bestFit="1" customWidth="1" style="1" min="112" max="112"/>
    <col width="10.83203125" customWidth="1" style="1" min="113" max="129"/>
    <col width="10.83203125" customWidth="1" style="1" min="130" max="16384"/>
  </cols>
  <sheetData>
    <row r="2">
      <c r="B2" s="1" t="inlineStr">
        <is>
          <t>Ethanol Upgrade Asset Parameters (normalized by MWh ethanol)</t>
        </is>
      </c>
      <c r="D2" s="1" t="inlineStr">
        <is>
          <t>Ethanol feedstock asset</t>
        </is>
      </c>
      <c r="AH2" s="1" t="inlineStr">
        <is>
          <t>Duals</t>
        </is>
      </c>
      <c r="AR2" s="1" t="inlineStr">
        <is>
          <t>LCOE for assets with ethane capacity ($/t-ethylene)</t>
        </is>
      </c>
      <c r="AT2" s="1" t="inlineStr">
        <is>
          <t>CI</t>
        </is>
      </c>
      <c r="AU2" s="1" t="inlineStr">
        <is>
          <t>CREDIT</t>
        </is>
      </c>
      <c r="BJ2" s="1" t="inlineStr">
        <is>
          <t>CHEM SEQUESTRATION - CARBON INTENSITY</t>
        </is>
      </c>
      <c r="BM2" s="1" t="inlineStr">
        <is>
          <t>CHEM SEQUESTRATION - CREDIT</t>
        </is>
      </c>
      <c r="BQ2" s="1" t="inlineStr">
        <is>
          <t>Ethanol Production LCOE parameters ($/MWh-fuel)</t>
        </is>
      </c>
      <c r="BZ2" s="1" t="inlineStr">
        <is>
          <t>Carbon Content</t>
        </is>
      </c>
      <c r="CG2" s="1" t="inlineStr">
        <is>
          <t>Carbon Inputs - Ethanol Production</t>
        </is>
      </c>
      <c r="CI2" s="1" t="inlineStr">
        <is>
          <t>Carbon Inputs - Ethanol Upgrade</t>
        </is>
      </c>
      <c r="CK2" s="1" t="inlineStr">
        <is>
          <t>Carbon Outputs - Ethanol Production</t>
        </is>
      </c>
      <c r="CM2" s="1" t="inlineStr">
        <is>
          <t>Carbon Outputs - Ethanol Upgrade</t>
        </is>
      </c>
      <c r="CR2" s="1" t="inlineStr">
        <is>
          <t>Sanity Checks</t>
        </is>
      </c>
      <c r="CT2" s="1" t="inlineStr">
        <is>
          <t>Asset Parameters (normalized by commodity feedstock)</t>
        </is>
      </c>
    </row>
    <row r="3">
      <c r="B3" s="2" t="inlineStr">
        <is>
          <t>id</t>
        </is>
      </c>
      <c r="C3" s="2" t="inlineStr">
        <is>
          <t>commodity</t>
        </is>
      </c>
      <c r="D3" s="2" t="inlineStr">
        <is>
          <t>production_asset</t>
        </is>
      </c>
      <c r="E3" s="2" t="inlineStr">
        <is>
          <t>id_name</t>
        </is>
      </c>
      <c r="F3" s="2" t="inlineStr">
        <is>
          <t>h2_consumption (MWh/MWh-ethanol)</t>
        </is>
      </c>
      <c r="G3" s="2" t="inlineStr">
        <is>
          <t>elec_consumption (MWh/MWh-ethanol)</t>
        </is>
      </c>
      <c r="H3" s="2" t="inlineStr">
        <is>
          <t>elec_production (MWh/MWh-ethanol)</t>
        </is>
      </c>
      <c r="I3" s="2" t="inlineStr">
        <is>
          <t>gasoline_production (MWh-gasoline/MWh-ethanol)</t>
        </is>
      </c>
      <c r="J3" s="2" t="inlineStr">
        <is>
          <t>diesel_production (MWh-diesel/MWh-ethanol)</t>
        </is>
      </c>
      <c r="K3" s="2" t="inlineStr">
        <is>
          <t>jetfuel_production (MWh-jetfuel/MWh-ethanol)</t>
        </is>
      </c>
      <c r="L3" s="7" t="inlineStr">
        <is>
          <t>fuel_production (MWh-fuel/MWh-ethanol)</t>
        </is>
      </c>
      <c r="M3" s="2" t="inlineStr">
        <is>
          <t>process_capture_rate (t-CO2/MWh-ethanol)</t>
        </is>
      </c>
      <c r="N3" s="2" t="inlineStr">
        <is>
          <t>process_emission_rate (t-CO2/MWh-ethanol)</t>
        </is>
      </c>
      <c r="O3" s="2" t="inlineStr">
        <is>
          <t>investment_cost ($/yr per MW ethanol)</t>
        </is>
      </c>
      <c r="P3" s="2" t="inlineStr">
        <is>
          <t>fixed_om_cost ($/yr per MW ethanol)</t>
        </is>
      </c>
      <c r="Q3" s="2" t="inlineStr">
        <is>
          <t>variable_om_cost ($/MWh-ethanol)</t>
        </is>
      </c>
      <c r="R3" s="16" t="n"/>
      <c r="S3" s="2" t="inlineStr">
        <is>
          <t>id_ethanol_prod_ref</t>
        </is>
      </c>
      <c r="T3" s="2" t="inlineStr">
        <is>
          <t>commodity_ethanol_prod_ref</t>
        </is>
      </c>
      <c r="U3" s="2" t="inlineStr">
        <is>
          <t>elec_production (MWh/t-bio)</t>
        </is>
      </c>
      <c r="V3" s="2" t="inlineStr">
        <is>
          <t>elec_consumption (MWh/t-bio)</t>
        </is>
      </c>
      <c r="W3" s="2" t="inlineStr">
        <is>
          <t>ethanol_production (MWh-ethanol/t-bio)</t>
        </is>
      </c>
      <c r="X3" s="2" t="inlineStr">
        <is>
          <t>natgas_consumption (MWh/t-bio)</t>
        </is>
      </c>
      <c r="Y3" s="2" t="inlineStr">
        <is>
          <t>co2_biomass_content (t-CO2/t-bio)</t>
        </is>
      </c>
      <c r="Z3" s="2" t="inlineStr">
        <is>
          <t>process_capture_rate (t-CO2/t-bio)</t>
        </is>
      </c>
      <c r="AA3" s="2" t="inlineStr">
        <is>
          <t>process_emission_rate (t-CO2/t-bio)</t>
        </is>
      </c>
      <c r="AB3" s="2" t="inlineStr">
        <is>
          <t>fuel_capture_rate (t-CO2/t-bio)</t>
        </is>
      </c>
      <c r="AC3" s="2" t="inlineStr">
        <is>
          <t>fuel_emission_rate (t-CO2/t-bio)</t>
        </is>
      </c>
      <c r="AD3" s="2" t="inlineStr">
        <is>
          <t>investment_cost ($/yr per t-bio/hr)</t>
        </is>
      </c>
      <c r="AE3" s="2" t="inlineStr">
        <is>
          <t>fixed_om_cost ($/yr per t-bio/hr)</t>
        </is>
      </c>
      <c r="AF3" s="2" t="inlineStr">
        <is>
          <t>variable_om_cost ($/t-bio)</t>
        </is>
      </c>
      <c r="AG3" s="16" t="n"/>
      <c r="AH3" s="14" t="inlineStr">
        <is>
          <t>co2_sink ($/t)</t>
        </is>
      </c>
      <c r="AI3" s="14" t="inlineStr">
        <is>
          <t>co2_captured ($/t)</t>
        </is>
      </c>
      <c r="AJ3" s="14" t="inlineStr">
        <is>
          <t>bioherb_supply ($/t)</t>
        </is>
      </c>
      <c r="AK3" s="14" t="inlineStr">
        <is>
          <t>biowood_supply ($/t)</t>
        </is>
      </c>
      <c r="AL3" s="14" t="inlineStr">
        <is>
          <t>bioagri_supply ($/t)</t>
        </is>
      </c>
      <c r="AM3" s="27" t="inlineStr">
        <is>
          <t>biocorn_supply ($/t)</t>
        </is>
      </c>
      <c r="AN3" s="14" t="inlineStr">
        <is>
          <t>elec_demand ($/MWh)</t>
        </is>
      </c>
      <c r="AO3" s="14" t="inlineStr">
        <is>
          <t>h2_balance ($/MWh)</t>
        </is>
      </c>
      <c r="AP3" s="14" t="inlineStr">
        <is>
          <t>ng_balance ($/MWh)</t>
        </is>
      </c>
      <c r="AR3" s="4" t="inlineStr">
        <is>
          <t>id_LC</t>
        </is>
      </c>
      <c r="AS3" s="4" t="inlineStr">
        <is>
          <t>commodity_LC</t>
        </is>
      </c>
      <c r="AT3" s="3" t="inlineStr">
        <is>
          <t>LCOE ($/t-ethylene)</t>
        </is>
      </c>
      <c r="AU3" s="6" t="inlineStr">
        <is>
          <t>LCOE ($/t-ethylene)</t>
        </is>
      </c>
      <c r="AV3" s="7" t="inlineStr">
        <is>
          <t>Diff. Between Methods</t>
        </is>
      </c>
      <c r="AW3" s="4" t="inlineStr">
        <is>
          <t>h2_consumption</t>
        </is>
      </c>
      <c r="AX3" s="4" t="inlineStr">
        <is>
          <t>elec_consumption</t>
        </is>
      </c>
      <c r="AY3" s="4" t="inlineStr">
        <is>
          <t>elec_consumption - ethanol</t>
        </is>
      </c>
      <c r="AZ3" s="4" t="inlineStr">
        <is>
          <t>elec_production</t>
        </is>
      </c>
      <c r="BA3" s="4" t="inlineStr">
        <is>
          <t>elec_production - ethanol</t>
        </is>
      </c>
      <c r="BB3" s="4" t="inlineStr">
        <is>
          <t>biomass_consumption - ethanol</t>
        </is>
      </c>
      <c r="BC3" s="4" t="inlineStr">
        <is>
          <t>natgas_consumption - ethanol</t>
        </is>
      </c>
      <c r="BD3" s="4" t="inlineStr">
        <is>
          <t>investment_cost</t>
        </is>
      </c>
      <c r="BE3" s="4" t="inlineStr">
        <is>
          <t>investment_cost - ethanol</t>
        </is>
      </c>
      <c r="BF3" s="4" t="inlineStr">
        <is>
          <t>fixed_om_cost</t>
        </is>
      </c>
      <c r="BG3" s="4" t="inlineStr">
        <is>
          <t>fixed_om_cost - ethanol</t>
        </is>
      </c>
      <c r="BH3" s="4" t="inlineStr">
        <is>
          <t>variable_om_cost</t>
        </is>
      </c>
      <c r="BI3" s="4" t="inlineStr">
        <is>
          <t>variable_om_cost - ethanol</t>
        </is>
      </c>
      <c r="BJ3" s="3" t="inlineStr">
        <is>
          <t>CI</t>
        </is>
      </c>
      <c r="BK3" s="3" t="inlineStr">
        <is>
          <t>modified capture cost</t>
        </is>
      </c>
      <c r="BL3" s="3" t="inlineStr">
        <is>
          <t>modified emissions cost</t>
        </is>
      </c>
      <c r="BM3" s="6" t="inlineStr">
        <is>
          <t>CI</t>
        </is>
      </c>
      <c r="BN3" s="6" t="inlineStr">
        <is>
          <t>modified capture cost</t>
        </is>
      </c>
      <c r="BO3" s="6" t="inlineStr">
        <is>
          <t>modified emissions cost</t>
        </is>
      </c>
      <c r="BP3" s="16" t="n"/>
      <c r="BQ3" s="4" t="inlineStr">
        <is>
          <t>id_LC_ethanol</t>
        </is>
      </c>
      <c r="BR3" s="4" t="inlineStr">
        <is>
          <t>elec_production</t>
        </is>
      </c>
      <c r="BS3" s="4" t="inlineStr">
        <is>
          <t>elec_consumption</t>
        </is>
      </c>
      <c r="BT3" s="4" t="inlineStr">
        <is>
          <t>biomass_consumption</t>
        </is>
      </c>
      <c r="BU3" s="4" t="inlineStr">
        <is>
          <t>natgas_consumption</t>
        </is>
      </c>
      <c r="BV3" s="4" t="inlineStr">
        <is>
          <t>investment_cost</t>
        </is>
      </c>
      <c r="BW3" s="4" t="inlineStr">
        <is>
          <t>fixed_om_cost</t>
        </is>
      </c>
      <c r="BX3" s="4" t="inlineStr">
        <is>
          <t>variable_om_cost</t>
        </is>
      </c>
      <c r="BZ3" s="7" t="inlineStr">
        <is>
          <t>Gasoline Avg (t-CO2/MWh-gasoline)</t>
        </is>
      </c>
      <c r="CA3" s="7" t="inlineStr">
        <is>
          <t>Diesel (t-CO2/MWh-diesel)</t>
        </is>
      </c>
      <c r="CB3" s="7" t="inlineStr">
        <is>
          <t>Jetfuel (t-CO2/MWh-jetfuel)</t>
        </is>
      </c>
      <c r="CC3" s="7" t="inlineStr">
        <is>
          <t>Biomass CO2 content (t-CO2/t-bio)</t>
        </is>
      </c>
      <c r="CD3" s="7" t="inlineStr">
        <is>
          <t>NG (t-CO2/MWh-NG)</t>
        </is>
      </c>
      <c r="CE3" s="7" t="inlineStr">
        <is>
          <t>Ethanol (t-CO2/MWh-ethanol)</t>
        </is>
      </c>
      <c r="CG3" s="7" t="inlineStr">
        <is>
          <t>Biomass (t-CO2/MWh-ethanol)</t>
        </is>
      </c>
      <c r="CH3" s="7" t="inlineStr">
        <is>
          <t>NG (t-CO2/MWh-ethanol)</t>
        </is>
      </c>
      <c r="CI3" s="7" t="inlineStr">
        <is>
          <t>Ethanol (t-CO2/MWh-ethanol)</t>
        </is>
      </c>
      <c r="CK3" s="7" t="inlineStr">
        <is>
          <t>Emissions (t-CO2/MWh-ethanol)</t>
        </is>
      </c>
      <c r="CL3" s="7" t="inlineStr">
        <is>
          <t>Captured (t-CO2/MWh-ethanol)</t>
        </is>
      </c>
      <c r="CM3" s="7" t="inlineStr">
        <is>
          <t>Gasoline (t-CO2/MWh-ethanol)</t>
        </is>
      </c>
      <c r="CN3" s="7" t="inlineStr">
        <is>
          <t xml:space="preserve"> Diesel (t-CO2/MWh-ethanol)</t>
        </is>
      </c>
      <c r="CO3" s="29" t="inlineStr">
        <is>
          <t>JetFuel (t-CO2/MWh-ethanol)</t>
        </is>
      </c>
      <c r="CP3" s="7" t="inlineStr">
        <is>
          <t>Emissions (t-CO2/MWh-ethanol)</t>
        </is>
      </c>
      <c r="CR3" s="7" t="inlineStr">
        <is>
          <t>CARBON INPUT - OUTPUT</t>
        </is>
      </c>
      <c r="CT3" s="2" t="inlineStr">
        <is>
          <t>ethanol_production_asset</t>
        </is>
      </c>
      <c r="CU3" s="2" t="inlineStr">
        <is>
          <t>id_ethanol_prod_ref</t>
        </is>
      </c>
      <c r="CV3" s="2" t="inlineStr">
        <is>
          <t>commodity_ethanol_prod_ref</t>
        </is>
      </c>
      <c r="CW3" s="2" t="inlineStr">
        <is>
          <t>elec_production (MWh/t-bio)</t>
        </is>
      </c>
      <c r="CX3" s="2" t="inlineStr">
        <is>
          <t>elec_consumption (MWh/t-bio)</t>
        </is>
      </c>
      <c r="CY3" s="2" t="inlineStr">
        <is>
          <t>ethanol_production (MWh-ethanol/t-bio)</t>
        </is>
      </c>
      <c r="CZ3" s="2" t="inlineStr">
        <is>
          <t>natgas_consumption (MWh/t-bio)</t>
        </is>
      </c>
      <c r="DA3" s="2" t="inlineStr">
        <is>
          <t>co2_biomass_content (t-CO2/t-bio)</t>
        </is>
      </c>
      <c r="DB3" s="2" t="inlineStr">
        <is>
          <t>process_capture_rate (t-CO2/t-bio)</t>
        </is>
      </c>
      <c r="DC3" s="2" t="inlineStr">
        <is>
          <t>process_emission_rate (t-CO2/t-bio)</t>
        </is>
      </c>
      <c r="DD3" s="2" t="inlineStr">
        <is>
          <t>fuel_capture_rate (t-CO2/t-bio)</t>
        </is>
      </c>
      <c r="DE3" s="2" t="inlineStr">
        <is>
          <t>fuel_emission_rate (t-CO2/t-bio)</t>
        </is>
      </c>
      <c r="DF3" s="2" t="inlineStr">
        <is>
          <t>investment_cost ($/yr per t-bio/hr)</t>
        </is>
      </c>
      <c r="DG3" s="2" t="inlineStr">
        <is>
          <t>fixed_om_cost ($/yr per t-bio/hr)</t>
        </is>
      </c>
      <c r="DH3" s="2" t="inlineStr">
        <is>
          <t>variable_om_cost ($/t-bio)</t>
        </is>
      </c>
    </row>
    <row r="4">
      <c r="B4" s="22" t="inlineStr">
        <is>
          <t>CA_Ethanol_to_Gasoline</t>
        </is>
      </c>
      <c r="C4" s="23" t="inlineStr">
        <is>
          <t>Ethanol</t>
        </is>
      </c>
      <c r="D4" s="23" t="n">
        <v>6</v>
      </c>
      <c r="E4" s="23">
        <f>S4</f>
        <v/>
      </c>
      <c r="F4" s="22" t="n">
        <v>0</v>
      </c>
      <c r="G4" s="22" t="n">
        <v>0</v>
      </c>
      <c r="H4" s="22" t="n">
        <v>0</v>
      </c>
      <c r="I4" s="22" t="n">
        <v>0.945257433</v>
      </c>
      <c r="J4" s="22" t="n">
        <v>0</v>
      </c>
      <c r="K4" s="22" t="n">
        <v>0</v>
      </c>
      <c r="L4" s="28">
        <f>SUM(I4:K4)</f>
        <v/>
      </c>
      <c r="M4" s="22" t="n">
        <v>0</v>
      </c>
      <c r="N4" s="22" t="n">
        <v>0.00188639</v>
      </c>
      <c r="O4" s="22" t="n">
        <v>221829.8796</v>
      </c>
      <c r="P4" s="22" t="n">
        <v>121537.9965</v>
      </c>
      <c r="Q4" s="22" t="n">
        <v>5.38</v>
      </c>
      <c r="S4" s="17">
        <f t="array" ref="S4:AF4">_xlfn.XLOOKUP(D4, CT:CT, CU:DH)</f>
        <v/>
      </c>
      <c r="T4" s="17" t="inlineStr">
        <is>
          <t>Biomass_Corn</t>
        </is>
      </c>
      <c r="U4" s="17" t="n">
        <v>0</v>
      </c>
      <c r="V4" s="17" t="n">
        <v>0.085342825</v>
      </c>
      <c r="W4" s="17" t="n">
        <v>3.104337995</v>
      </c>
      <c r="X4" s="17" t="n">
        <v>1.013397519</v>
      </c>
      <c r="Y4" s="17" t="n">
        <v>1.758866658</v>
      </c>
      <c r="Z4" s="17" t="n">
        <v>0.357687672</v>
      </c>
      <c r="AA4" s="17" t="n">
        <v>0.6860173939999999</v>
      </c>
      <c r="AB4" s="17" t="n">
        <v>0.152906423</v>
      </c>
      <c r="AC4" s="17" t="n">
        <v>0.032434696</v>
      </c>
      <c r="AD4" s="17" t="n">
        <v>45179.42</v>
      </c>
      <c r="AE4" s="17" t="n">
        <v>201481.25</v>
      </c>
      <c r="AF4" s="17" t="n">
        <v>-25.28</v>
      </c>
      <c r="AH4" s="15" t="n">
        <v>73.71884</v>
      </c>
      <c r="AI4" s="15" t="n">
        <v>-6.097314</v>
      </c>
      <c r="AJ4" s="15" t="n">
        <v>61.343403</v>
      </c>
      <c r="AK4" s="15" t="n">
        <v>33.004971</v>
      </c>
      <c r="AL4" s="15" t="n">
        <v>42.19561</v>
      </c>
      <c r="AM4" s="15" t="n">
        <v>155</v>
      </c>
      <c r="AN4" s="15" t="n">
        <v>22.90669</v>
      </c>
      <c r="AO4" s="15" t="n">
        <v>13.197062</v>
      </c>
      <c r="AP4" s="15" t="n">
        <v>14.953878</v>
      </c>
      <c r="AR4" s="1">
        <f>B4</f>
        <v/>
      </c>
      <c r="AS4" s="1">
        <f>C4</f>
        <v/>
      </c>
      <c r="AT4" s="11">
        <f>SUM(AW4:BI4)+BK4+BL4</f>
        <v/>
      </c>
      <c r="AU4" s="11">
        <f>SUM(AW4:BI4)+BN4+BO4</f>
        <v/>
      </c>
      <c r="AV4" s="5">
        <f>AT4-AU4</f>
        <v/>
      </c>
      <c r="AW4" s="5">
        <f>F4/L4*AO4</f>
        <v/>
      </c>
      <c r="AX4" s="1">
        <f>G4/L4*AN4</f>
        <v/>
      </c>
      <c r="AY4" s="1">
        <f>BS4</f>
        <v/>
      </c>
      <c r="AZ4" s="1">
        <f>H4/L4</f>
        <v/>
      </c>
      <c r="BA4" s="1">
        <f>BR4</f>
        <v/>
      </c>
      <c r="BB4" s="1">
        <f>BT4</f>
        <v/>
      </c>
      <c r="BC4" s="1">
        <f>BU4</f>
        <v/>
      </c>
      <c r="BD4" s="1">
        <f>O4/L4/(0.9*8760)</f>
        <v/>
      </c>
      <c r="BE4" s="1">
        <f>BV4</f>
        <v/>
      </c>
      <c r="BF4" s="1">
        <f>P4/L4/(0.9*8760)</f>
        <v/>
      </c>
      <c r="BG4" s="1">
        <f>BW4</f>
        <v/>
      </c>
      <c r="BH4" s="1">
        <f>Q4/L4</f>
        <v/>
      </c>
      <c r="BI4" s="1">
        <f>BX4</f>
        <v/>
      </c>
      <c r="BJ4" s="1">
        <f>(SUM(CK4:CP4)-CG4)/L4</f>
        <v/>
      </c>
      <c r="BK4" s="1">
        <f>((AH4+AI4)*-1*CL4)/L4</f>
        <v/>
      </c>
      <c r="BL4" s="1">
        <f>BJ4*AH4</f>
        <v/>
      </c>
      <c r="BM4" s="1">
        <f>(CK4+CM4+CN4+CO4+CP4-CG4)/L4</f>
        <v/>
      </c>
      <c r="BN4" s="1">
        <f>(CL4*AI4*-1)/L4</f>
        <v/>
      </c>
      <c r="BO4" s="1">
        <f>BM4*AH4</f>
        <v/>
      </c>
      <c r="BQ4" s="1">
        <f>S4</f>
        <v/>
      </c>
      <c r="BR4" s="1">
        <f>U4/W4/L4*AN4*-1</f>
        <v/>
      </c>
      <c r="BS4" s="1">
        <f>V4/W4/L4*AN4</f>
        <v/>
      </c>
      <c r="BT4" s="1">
        <f t="array" ref="BT4">_xlfn.IFS(T4="Biomass_Corn", 1/W4/L4*AM4, T4="Biomass_Agri", 1/W4/L4*AL4, T4="Biomass_Wood", 1/W4/L4*AK4, T4="Biomass_Herb", 1/W4/L4*AJ4)</f>
        <v/>
      </c>
      <c r="BU4" s="1">
        <f>X4/W4/L4*AP4</f>
        <v/>
      </c>
      <c r="BV4" s="1">
        <f>AD4/W4/L4/(0.9*8760)</f>
        <v/>
      </c>
      <c r="BW4" s="1">
        <f>AE4/W4/L4/(0.9*8760)</f>
        <v/>
      </c>
      <c r="BX4" s="1">
        <f>AF4/W4/L4</f>
        <v/>
      </c>
      <c r="BZ4" s="9" t="n">
        <v>0.2409589293</v>
      </c>
      <c r="CA4" s="9" t="n">
        <v>0.2418283623</v>
      </c>
      <c r="CB4" s="9" t="n">
        <v>0.2402551414</v>
      </c>
      <c r="CC4" s="17">
        <f>Y4</f>
        <v/>
      </c>
      <c r="CD4" s="10" t="n">
        <v>0.1828908353</v>
      </c>
      <c r="CE4" s="9" t="n">
        <v>0.23037491</v>
      </c>
      <c r="CG4" s="10">
        <f>CC4/W4</f>
        <v/>
      </c>
      <c r="CH4" s="10">
        <f>IF(X4=0, 0, CD4*X4/W4)</f>
        <v/>
      </c>
      <c r="CI4" s="10">
        <f>CE4</f>
        <v/>
      </c>
      <c r="CK4" s="17">
        <f>(AA4+AC4)/W4</f>
        <v/>
      </c>
      <c r="CL4" s="17">
        <f>(Z4+AB4)/W4</f>
        <v/>
      </c>
      <c r="CM4" s="10">
        <f>BZ4*I4</f>
        <v/>
      </c>
      <c r="CN4" s="10">
        <f>CA4*J4</f>
        <v/>
      </c>
      <c r="CO4" s="10">
        <f>CB4*K4</f>
        <v/>
      </c>
      <c r="CP4" s="10">
        <f>(N4)</f>
        <v/>
      </c>
      <c r="CR4" s="1">
        <f>SUM(CG4:CH4)-SUM(CK4:CP4)</f>
        <v/>
      </c>
      <c r="CT4" s="13" t="n">
        <v>1</v>
      </c>
      <c r="CU4" s="13" t="inlineStr">
        <is>
          <t>DryMill_Existing_Non_CCS</t>
        </is>
      </c>
      <c r="CV4" s="12" t="inlineStr">
        <is>
          <t>Biomass_Corn</t>
        </is>
      </c>
      <c r="CW4" s="25" t="n">
        <v>0</v>
      </c>
      <c r="CX4" s="25" t="n">
        <v>0.085342825</v>
      </c>
      <c r="CY4" s="25" t="n">
        <v>3.104337995</v>
      </c>
      <c r="CZ4" s="25" t="n">
        <v>1.013397519</v>
      </c>
      <c r="DA4" s="25" t="n">
        <v>1.758866658</v>
      </c>
      <c r="DB4" s="25" t="n">
        <v>0</v>
      </c>
      <c r="DC4" s="25" t="n">
        <v>1.043705066</v>
      </c>
      <c r="DD4" s="25" t="n">
        <v>0</v>
      </c>
      <c r="DE4" s="25" t="n">
        <v>0.185341119</v>
      </c>
      <c r="DF4" s="25" t="n">
        <v>0</v>
      </c>
      <c r="DG4" s="25" t="n">
        <v>176727.97</v>
      </c>
      <c r="DH4" s="25" t="n">
        <v>-25.41</v>
      </c>
    </row>
    <row r="5">
      <c r="B5" s="22" t="inlineStr">
        <is>
          <t>NW_Ethanol_to_Gasoline</t>
        </is>
      </c>
      <c r="C5" s="23" t="inlineStr">
        <is>
          <t>Ethanol</t>
        </is>
      </c>
      <c r="D5" s="23" t="n">
        <v>6</v>
      </c>
      <c r="E5" s="23">
        <f>S5</f>
        <v/>
      </c>
      <c r="F5" s="22" t="n">
        <v>0</v>
      </c>
      <c r="G5" s="22" t="n">
        <v>0</v>
      </c>
      <c r="H5" s="22" t="n">
        <v>0</v>
      </c>
      <c r="I5" s="22" t="n">
        <v>0.945257433</v>
      </c>
      <c r="J5" s="22" t="n">
        <v>0</v>
      </c>
      <c r="K5" s="22" t="n">
        <v>0</v>
      </c>
      <c r="L5" s="28">
        <f>SUM(I5:K5)</f>
        <v/>
      </c>
      <c r="M5" s="22" t="n">
        <v>0</v>
      </c>
      <c r="N5" s="22" t="n">
        <v>0.00188639</v>
      </c>
      <c r="O5" s="22" t="n">
        <v>221829.8796</v>
      </c>
      <c r="P5" s="22" t="n">
        <v>121537.9965</v>
      </c>
      <c r="Q5" s="22" t="n">
        <v>5.38</v>
      </c>
      <c r="S5" s="17">
        <f t="array" ref="S5:AF5">_xlfn.XLOOKUP(D5, CT:CT, CU:DH)</f>
        <v/>
      </c>
      <c r="T5" s="17" t="inlineStr">
        <is>
          <t>Biomass_Corn</t>
        </is>
      </c>
      <c r="U5" s="17" t="n">
        <v>0</v>
      </c>
      <c r="V5" s="17" t="n">
        <v>0.085342825</v>
      </c>
      <c r="W5" s="17" t="n">
        <v>3.104337995</v>
      </c>
      <c r="X5" s="17" t="n">
        <v>1.013397519</v>
      </c>
      <c r="Y5" s="17" t="n">
        <v>1.758866658</v>
      </c>
      <c r="Z5" s="17" t="n">
        <v>0.357687672</v>
      </c>
      <c r="AA5" s="17" t="n">
        <v>0.6860173939999999</v>
      </c>
      <c r="AB5" s="17" t="n">
        <v>0.152906423</v>
      </c>
      <c r="AC5" s="17" t="n">
        <v>0.032434696</v>
      </c>
      <c r="AD5" s="17" t="n">
        <v>45179.42</v>
      </c>
      <c r="AE5" s="17" t="n">
        <v>201481.25</v>
      </c>
      <c r="AF5" s="17" t="n">
        <v>-25.28</v>
      </c>
      <c r="AH5" s="15" t="n">
        <v>73.71884</v>
      </c>
      <c r="AI5" s="15" t="n">
        <v>-6.097314</v>
      </c>
      <c r="AJ5" s="15" t="n">
        <v>61.343403</v>
      </c>
      <c r="AK5" s="15" t="n">
        <v>33.004971</v>
      </c>
      <c r="AL5" s="15" t="n">
        <v>42.19561</v>
      </c>
      <c r="AM5" s="15" t="n">
        <v>155</v>
      </c>
      <c r="AN5" s="15" t="n">
        <v>22.90669</v>
      </c>
      <c r="AO5" s="15" t="n">
        <v>13.197062</v>
      </c>
      <c r="AP5" s="15" t="n">
        <v>14.953878</v>
      </c>
      <c r="AR5" s="1">
        <f>B5</f>
        <v/>
      </c>
      <c r="AS5" s="1">
        <f>C5</f>
        <v/>
      </c>
      <c r="AT5" s="11">
        <f>SUM(AW5:BI5)+BK5+BL5</f>
        <v/>
      </c>
      <c r="AU5" s="11">
        <f>SUM(AW5:BI5)+BN5+BO5</f>
        <v/>
      </c>
      <c r="AV5" s="5">
        <f>AT5-AU5</f>
        <v/>
      </c>
      <c r="AW5" s="5">
        <f>F5/L5*AO5</f>
        <v/>
      </c>
      <c r="AX5" s="1">
        <f>G5/L5*AN5</f>
        <v/>
      </c>
      <c r="AY5" s="1">
        <f>BS5</f>
        <v/>
      </c>
      <c r="AZ5" s="1">
        <f>H5/L5</f>
        <v/>
      </c>
      <c r="BA5" s="1">
        <f>BR5</f>
        <v/>
      </c>
      <c r="BB5" s="1">
        <f>BT5</f>
        <v/>
      </c>
      <c r="BC5" s="1">
        <f>BU5</f>
        <v/>
      </c>
      <c r="BD5" s="1">
        <f>O5/L5/(0.9*8760)</f>
        <v/>
      </c>
      <c r="BE5" s="1">
        <f>BV5</f>
        <v/>
      </c>
      <c r="BF5" s="1">
        <f>P5/L5/(0.9*8760)</f>
        <v/>
      </c>
      <c r="BG5" s="1">
        <f>BW5</f>
        <v/>
      </c>
      <c r="BH5" s="1">
        <f>Q5/L5</f>
        <v/>
      </c>
      <c r="BI5" s="1">
        <f>BX5</f>
        <v/>
      </c>
      <c r="BJ5" s="1">
        <f>(SUM(CK5:CP5)-CG5)/L5</f>
        <v/>
      </c>
      <c r="BK5" s="1">
        <f>((AH5+AI5)*-1*CL5)/L5</f>
        <v/>
      </c>
      <c r="BL5" s="1">
        <f>BJ5*AH5</f>
        <v/>
      </c>
      <c r="BM5" s="1">
        <f>(CK5+CM5+CN5+CO5+CP5-CG5)/L5</f>
        <v/>
      </c>
      <c r="BN5" s="1">
        <f>(CL5*AI5*-1)/L5</f>
        <v/>
      </c>
      <c r="BO5" s="1">
        <f>BM5*AH5</f>
        <v/>
      </c>
      <c r="BQ5" s="1">
        <f>S5</f>
        <v/>
      </c>
      <c r="BR5" s="1">
        <f>U5/W5/L5*AN5*-1</f>
        <v/>
      </c>
      <c r="BS5" s="1">
        <f>V5/W5/L5*AN5</f>
        <v/>
      </c>
      <c r="BT5" s="1">
        <f t="array" ref="BT5">_xlfn.IFS(T5="Biomass_Corn", 1/W5/L5*AM5, T5="Biomass_Agri", 1/W5/L5*AL5, T5="Biomass_Wood", 1/W5/L5*AK5, T5="Biomass_Herb", 1/W5/L5*AJ5)</f>
        <v/>
      </c>
      <c r="BU5" s="1">
        <f>X5/W5/L5*AP5</f>
        <v/>
      </c>
      <c r="BV5" s="1">
        <f>AD5/W5/L5/(0.9*8760)</f>
        <v/>
      </c>
      <c r="BW5" s="1">
        <f>AE5/W5/L5/(0.9*8760)</f>
        <v/>
      </c>
      <c r="BX5" s="1">
        <f>AF5/W5/L5</f>
        <v/>
      </c>
      <c r="BZ5" s="9" t="n">
        <v>0.2409589293</v>
      </c>
      <c r="CA5" s="9" t="n">
        <v>0.2418283623</v>
      </c>
      <c r="CB5" s="9" t="n">
        <v>0.2402551414</v>
      </c>
      <c r="CC5" s="17">
        <f>Y5</f>
        <v/>
      </c>
      <c r="CD5" s="10" t="n">
        <v>0.1828908353</v>
      </c>
      <c r="CE5" s="9" t="n">
        <v>0.23037491</v>
      </c>
      <c r="CG5" s="10">
        <f>CC5/W5</f>
        <v/>
      </c>
      <c r="CH5" s="10">
        <f>IF(X5=0, 0, CD5*X5/W5)</f>
        <v/>
      </c>
      <c r="CI5" s="10">
        <f>CE5</f>
        <v/>
      </c>
      <c r="CK5" s="17">
        <f>(AA5+AC5)/W5</f>
        <v/>
      </c>
      <c r="CL5" s="17">
        <f>(Z5+AB5)/W5</f>
        <v/>
      </c>
      <c r="CM5" s="10">
        <f>BZ5*I5</f>
        <v/>
      </c>
      <c r="CN5" s="10">
        <f>CA5*J5</f>
        <v/>
      </c>
      <c r="CO5" s="10">
        <f>CB5*K5</f>
        <v/>
      </c>
      <c r="CP5" s="10">
        <f>(N5)</f>
        <v/>
      </c>
      <c r="CR5" s="1">
        <f>SUM(CG5:CH5)-SUM(CK5:CP5)</f>
        <v/>
      </c>
      <c r="CT5" s="13" t="n">
        <v>2</v>
      </c>
      <c r="CU5" s="13" t="inlineStr">
        <is>
          <t>Biochemical_Non_CCS</t>
        </is>
      </c>
      <c r="CV5" s="12" t="inlineStr">
        <is>
          <t>Biomass_Agri</t>
        </is>
      </c>
      <c r="CW5" s="25" t="n">
        <v>0.2142</v>
      </c>
      <c r="CX5" s="25" t="n">
        <v>0</v>
      </c>
      <c r="CY5" s="25" t="n">
        <v>1.9848</v>
      </c>
      <c r="CZ5" s="25" t="n">
        <v>0</v>
      </c>
      <c r="DA5" s="25" t="n">
        <v>1.723</v>
      </c>
      <c r="DB5" s="25" t="n">
        <v>0</v>
      </c>
      <c r="DC5" s="25" t="n">
        <v>1.26576020051355</v>
      </c>
      <c r="DD5" s="25" t="n">
        <v>0</v>
      </c>
      <c r="DE5" s="25" t="n">
        <v>0</v>
      </c>
      <c r="DF5" s="25" t="n">
        <v>273134.22</v>
      </c>
      <c r="DG5" s="25" t="n">
        <v>144062.46</v>
      </c>
      <c r="DH5" s="25" t="n">
        <v>0.45</v>
      </c>
    </row>
    <row r="6">
      <c r="B6" s="22" t="inlineStr">
        <is>
          <t>SW_Ethanol_to_Gasoline</t>
        </is>
      </c>
      <c r="C6" s="23" t="inlineStr">
        <is>
          <t>Ethanol</t>
        </is>
      </c>
      <c r="D6" s="23" t="n">
        <v>6</v>
      </c>
      <c r="E6" s="23">
        <f>S6</f>
        <v/>
      </c>
      <c r="F6" s="22" t="n">
        <v>0</v>
      </c>
      <c r="G6" s="22" t="n">
        <v>0</v>
      </c>
      <c r="H6" s="22" t="n">
        <v>0</v>
      </c>
      <c r="I6" s="22" t="n">
        <v>0.945257433</v>
      </c>
      <c r="J6" s="22" t="n">
        <v>0</v>
      </c>
      <c r="K6" s="22" t="n">
        <v>0</v>
      </c>
      <c r="L6" s="28">
        <f>SUM(I6:K6)</f>
        <v/>
      </c>
      <c r="M6" s="22" t="n">
        <v>0</v>
      </c>
      <c r="N6" s="22" t="n">
        <v>0.00188639</v>
      </c>
      <c r="O6" s="22" t="n">
        <v>221829.8796</v>
      </c>
      <c r="P6" s="22" t="n">
        <v>121537.9965</v>
      </c>
      <c r="Q6" s="22" t="n">
        <v>5.38</v>
      </c>
      <c r="S6" s="17">
        <f t="array" ref="S6:AF6">_xlfn.XLOOKUP(D6, CT:CT, CU:DH)</f>
        <v/>
      </c>
      <c r="T6" s="17" t="inlineStr">
        <is>
          <t>Biomass_Corn</t>
        </is>
      </c>
      <c r="U6" s="17" t="n">
        <v>0</v>
      </c>
      <c r="V6" s="17" t="n">
        <v>0.085342825</v>
      </c>
      <c r="W6" s="17" t="n">
        <v>3.104337995</v>
      </c>
      <c r="X6" s="17" t="n">
        <v>1.013397519</v>
      </c>
      <c r="Y6" s="17" t="n">
        <v>1.758866658</v>
      </c>
      <c r="Z6" s="17" t="n">
        <v>0.357687672</v>
      </c>
      <c r="AA6" s="17" t="n">
        <v>0.6860173939999999</v>
      </c>
      <c r="AB6" s="17" t="n">
        <v>0.152906423</v>
      </c>
      <c r="AC6" s="17" t="n">
        <v>0.032434696</v>
      </c>
      <c r="AD6" s="17" t="n">
        <v>45179.42</v>
      </c>
      <c r="AE6" s="17" t="n">
        <v>201481.25</v>
      </c>
      <c r="AF6" s="17" t="n">
        <v>-25.28</v>
      </c>
      <c r="AH6" s="15" t="n">
        <v>73.71884</v>
      </c>
      <c r="AI6" s="15" t="n">
        <v>-6.097314</v>
      </c>
      <c r="AJ6" s="15" t="n">
        <v>61.343403</v>
      </c>
      <c r="AK6" s="15" t="n">
        <v>33.004971</v>
      </c>
      <c r="AL6" s="15" t="n">
        <v>42.19561</v>
      </c>
      <c r="AM6" s="15" t="n">
        <v>155</v>
      </c>
      <c r="AN6" s="15" t="n">
        <v>22.90669</v>
      </c>
      <c r="AO6" s="15" t="n">
        <v>13.197062</v>
      </c>
      <c r="AP6" s="15" t="n">
        <v>14.953878</v>
      </c>
      <c r="AR6" s="1">
        <f>B6</f>
        <v/>
      </c>
      <c r="AS6" s="1">
        <f>C6</f>
        <v/>
      </c>
      <c r="AT6" s="11">
        <f>SUM(AW6:BI6)+BK6+BL6</f>
        <v/>
      </c>
      <c r="AU6" s="11">
        <f>SUM(AW6:BI6)+BN6+BO6</f>
        <v/>
      </c>
      <c r="AV6" s="5">
        <f>AT6-AU6</f>
        <v/>
      </c>
      <c r="AW6" s="5">
        <f>F6/L6*AO6</f>
        <v/>
      </c>
      <c r="AX6" s="1">
        <f>G6/L6*AN6</f>
        <v/>
      </c>
      <c r="AY6" s="1">
        <f>BS6</f>
        <v/>
      </c>
      <c r="AZ6" s="1">
        <f>H6/L6</f>
        <v/>
      </c>
      <c r="BA6" s="1">
        <f>BR6</f>
        <v/>
      </c>
      <c r="BB6" s="1">
        <f>BT6</f>
        <v/>
      </c>
      <c r="BC6" s="1">
        <f>BU6</f>
        <v/>
      </c>
      <c r="BD6" s="1">
        <f>O6/L6/(0.9*8760)</f>
        <v/>
      </c>
      <c r="BE6" s="1">
        <f>BV6</f>
        <v/>
      </c>
      <c r="BF6" s="1">
        <f>P6/L6/(0.9*8760)</f>
        <v/>
      </c>
      <c r="BG6" s="1">
        <f>BW6</f>
        <v/>
      </c>
      <c r="BH6" s="1">
        <f>Q6/L6</f>
        <v/>
      </c>
      <c r="BI6" s="1">
        <f>BX6</f>
        <v/>
      </c>
      <c r="BJ6" s="1">
        <f>(SUM(CK6:CP6)-CG6)/L6</f>
        <v/>
      </c>
      <c r="BK6" s="1">
        <f>((AH6+AI6)*-1*CL6)/L6</f>
        <v/>
      </c>
      <c r="BL6" s="1">
        <f>BJ6*AH6</f>
        <v/>
      </c>
      <c r="BM6" s="1">
        <f>(CK6+CM6+CN6+CO6+CP6-CG6)/L6</f>
        <v/>
      </c>
      <c r="BN6" s="1">
        <f>(CL6*AI6*-1)/L6</f>
        <v/>
      </c>
      <c r="BO6" s="1">
        <f>BM6*AH6</f>
        <v/>
      </c>
      <c r="BQ6" s="1">
        <f>S6</f>
        <v/>
      </c>
      <c r="BR6" s="1">
        <f>U6/W6/L6*AN6*-1</f>
        <v/>
      </c>
      <c r="BS6" s="1">
        <f>V6/W6/L6*AN6</f>
        <v/>
      </c>
      <c r="BT6" s="1">
        <f t="array" ref="BT6">_xlfn.IFS(T6="Biomass_Corn", 1/W6/L6*AM6, T6="Biomass_Agri", 1/W6/L6*AL6, T6="Biomass_Wood", 1/W6/L6*AK6, T6="Biomass_Herb", 1/W6/L6*AJ6)</f>
        <v/>
      </c>
      <c r="BU6" s="1">
        <f>X6/W6/L6*AP6</f>
        <v/>
      </c>
      <c r="BV6" s="1">
        <f>AD6/W6/L6/(0.9*8760)</f>
        <v/>
      </c>
      <c r="BW6" s="1">
        <f>AE6/W6/L6/(0.9*8760)</f>
        <v/>
      </c>
      <c r="BX6" s="1">
        <f>AF6/W6/L6</f>
        <v/>
      </c>
      <c r="BZ6" s="9" t="n">
        <v>0.2409589293</v>
      </c>
      <c r="CA6" s="9" t="n">
        <v>0.2418283623</v>
      </c>
      <c r="CB6" s="9" t="n">
        <v>0.2402551414</v>
      </c>
      <c r="CC6" s="17">
        <f>Y6</f>
        <v/>
      </c>
      <c r="CD6" s="10" t="n">
        <v>0.1828908353</v>
      </c>
      <c r="CE6" s="9" t="n">
        <v>0.23037491</v>
      </c>
      <c r="CG6" s="10">
        <f>CC6/W6</f>
        <v/>
      </c>
      <c r="CH6" s="10">
        <f>IF(X6=0, 0, CD6*X6/W6)</f>
        <v/>
      </c>
      <c r="CI6" s="10">
        <f>CE6</f>
        <v/>
      </c>
      <c r="CK6" s="17">
        <f>(AA6+AC6)/W6</f>
        <v/>
      </c>
      <c r="CL6" s="17">
        <f>(Z6+AB6)/W6</f>
        <v/>
      </c>
      <c r="CM6" s="10">
        <f>BZ6*I6</f>
        <v/>
      </c>
      <c r="CN6" s="10">
        <f>CA6*J6</f>
        <v/>
      </c>
      <c r="CO6" s="10">
        <f>CB6*K6</f>
        <v/>
      </c>
      <c r="CP6" s="10">
        <f>(N6)</f>
        <v/>
      </c>
      <c r="CR6" s="1">
        <f>SUM(CG6:CH6)-SUM(CK6:CP6)</f>
        <v/>
      </c>
      <c r="CT6" s="13" t="n">
        <v>3</v>
      </c>
      <c r="CU6" s="13" t="inlineStr">
        <is>
          <t>Biochemical_CCS_20</t>
        </is>
      </c>
      <c r="CV6" s="12" t="inlineStr">
        <is>
          <t>Biomass_Agri</t>
        </is>
      </c>
      <c r="CW6" s="25" t="n">
        <v>0</v>
      </c>
      <c r="CX6" s="25" t="n">
        <v>0</v>
      </c>
      <c r="CY6" s="25" t="n">
        <v>1.9848</v>
      </c>
      <c r="CZ6" s="25" t="n">
        <v>0</v>
      </c>
      <c r="DA6" s="25" t="n">
        <v>1.723</v>
      </c>
      <c r="DB6" s="25" t="n">
        <v>0.259126428189443</v>
      </c>
      <c r="DC6" s="25" t="n">
        <v>1.00663377203253</v>
      </c>
      <c r="DD6" s="25" t="n">
        <v>0</v>
      </c>
      <c r="DE6" s="25" t="n">
        <v>0</v>
      </c>
      <c r="DF6" s="25" t="n">
        <v>293026.95</v>
      </c>
      <c r="DG6" s="25" t="n">
        <v>154950.42</v>
      </c>
      <c r="DH6" s="25" t="n">
        <v>0.48</v>
      </c>
    </row>
    <row r="7">
      <c r="B7" s="22" t="inlineStr">
        <is>
          <t>TX_Ethanol_to_Gasoline</t>
        </is>
      </c>
      <c r="C7" s="23" t="inlineStr">
        <is>
          <t>Ethanol</t>
        </is>
      </c>
      <c r="D7" s="23" t="n">
        <v>6</v>
      </c>
      <c r="E7" s="23">
        <f>S7</f>
        <v/>
      </c>
      <c r="F7" s="22" t="n">
        <v>0</v>
      </c>
      <c r="G7" s="22" t="n">
        <v>0</v>
      </c>
      <c r="H7" s="22" t="n">
        <v>0</v>
      </c>
      <c r="I7" s="22" t="n">
        <v>0.945257433</v>
      </c>
      <c r="J7" s="22" t="n">
        <v>0</v>
      </c>
      <c r="K7" s="22" t="n">
        <v>0</v>
      </c>
      <c r="L7" s="28">
        <f>SUM(I7:K7)</f>
        <v/>
      </c>
      <c r="M7" s="22" t="n">
        <v>0</v>
      </c>
      <c r="N7" s="22" t="n">
        <v>0.00188639</v>
      </c>
      <c r="O7" s="22" t="n">
        <v>221829.8796</v>
      </c>
      <c r="P7" s="22" t="n">
        <v>121537.9965</v>
      </c>
      <c r="Q7" s="22" t="n">
        <v>5.38</v>
      </c>
      <c r="S7" s="17">
        <f t="array" ref="S7:AF7">_xlfn.XLOOKUP(D7, CT:CT, CU:DH)</f>
        <v/>
      </c>
      <c r="T7" s="17" t="inlineStr">
        <is>
          <t>Biomass_Corn</t>
        </is>
      </c>
      <c r="U7" s="17" t="n">
        <v>0</v>
      </c>
      <c r="V7" s="17" t="n">
        <v>0.085342825</v>
      </c>
      <c r="W7" s="17" t="n">
        <v>3.104337995</v>
      </c>
      <c r="X7" s="17" t="n">
        <v>1.013397519</v>
      </c>
      <c r="Y7" s="17" t="n">
        <v>1.758866658</v>
      </c>
      <c r="Z7" s="17" t="n">
        <v>0.357687672</v>
      </c>
      <c r="AA7" s="17" t="n">
        <v>0.6860173939999999</v>
      </c>
      <c r="AB7" s="17" t="n">
        <v>0.152906423</v>
      </c>
      <c r="AC7" s="17" t="n">
        <v>0.032434696</v>
      </c>
      <c r="AD7" s="17" t="n">
        <v>45179.42</v>
      </c>
      <c r="AE7" s="17" t="n">
        <v>201481.25</v>
      </c>
      <c r="AF7" s="17" t="n">
        <v>-25.28</v>
      </c>
      <c r="AH7" s="15" t="n">
        <v>73.71884</v>
      </c>
      <c r="AI7" s="15" t="n">
        <v>-6.097314</v>
      </c>
      <c r="AJ7" s="15" t="n">
        <v>61.343403</v>
      </c>
      <c r="AK7" s="15" t="n">
        <v>33.004971</v>
      </c>
      <c r="AL7" s="15" t="n">
        <v>42.19561</v>
      </c>
      <c r="AM7" s="15" t="n">
        <v>155</v>
      </c>
      <c r="AN7" s="15" t="n">
        <v>22.90669</v>
      </c>
      <c r="AO7" s="15" t="n">
        <v>13.197062</v>
      </c>
      <c r="AP7" s="15" t="n">
        <v>14.953878</v>
      </c>
      <c r="AR7" s="1">
        <f>B7</f>
        <v/>
      </c>
      <c r="AS7" s="1">
        <f>C7</f>
        <v/>
      </c>
      <c r="AT7" s="11">
        <f>SUM(AW7:BI7)+BK7+BL7</f>
        <v/>
      </c>
      <c r="AU7" s="11">
        <f>SUM(AW7:BI7)+BN7+BO7</f>
        <v/>
      </c>
      <c r="AV7" s="5">
        <f>AT7-AU7</f>
        <v/>
      </c>
      <c r="AW7" s="5">
        <f>F7/L7*AO7</f>
        <v/>
      </c>
      <c r="AX7" s="1">
        <f>G7/L7*AN7</f>
        <v/>
      </c>
      <c r="AY7" s="1">
        <f>BS7</f>
        <v/>
      </c>
      <c r="AZ7" s="1">
        <f>H7/L7</f>
        <v/>
      </c>
      <c r="BA7" s="1">
        <f>BR7</f>
        <v/>
      </c>
      <c r="BB7" s="1">
        <f>BT7</f>
        <v/>
      </c>
      <c r="BC7" s="1">
        <f>BU7</f>
        <v/>
      </c>
      <c r="BD7" s="1">
        <f>O7/L7/(0.9*8760)</f>
        <v/>
      </c>
      <c r="BE7" s="1">
        <f>BV7</f>
        <v/>
      </c>
      <c r="BF7" s="1">
        <f>P7/L7/(0.9*8760)</f>
        <v/>
      </c>
      <c r="BG7" s="1">
        <f>BW7</f>
        <v/>
      </c>
      <c r="BH7" s="1">
        <f>Q7/L7</f>
        <v/>
      </c>
      <c r="BI7" s="1">
        <f>BX7</f>
        <v/>
      </c>
      <c r="BJ7" s="1">
        <f>(SUM(CK7:CP7)-CG7)/L7</f>
        <v/>
      </c>
      <c r="BK7" s="1">
        <f>((AH7+AI7)*-1*CL7)/L7</f>
        <v/>
      </c>
      <c r="BL7" s="1">
        <f>BJ7*AH7</f>
        <v/>
      </c>
      <c r="BM7" s="1">
        <f>(CK7+CM7+CN7+CO7+CP7-CG7)/L7</f>
        <v/>
      </c>
      <c r="BN7" s="1">
        <f>(CL7*AI7*-1)/L7</f>
        <v/>
      </c>
      <c r="BO7" s="1">
        <f>BM7*AH7</f>
        <v/>
      </c>
      <c r="BQ7" s="1">
        <f>S7</f>
        <v/>
      </c>
      <c r="BR7" s="1">
        <f>U7/W7/L7*AN7*-1</f>
        <v/>
      </c>
      <c r="BS7" s="1">
        <f>V7/W7/L7*AN7</f>
        <v/>
      </c>
      <c r="BT7" s="1">
        <f t="array" ref="BT7">_xlfn.IFS(T7="Biomass_Corn", 1/W7/L7*AM7, T7="Biomass_Agri", 1/W7/L7*AL7, T7="Biomass_Wood", 1/W7/L7*AK7, T7="Biomass_Herb", 1/W7/L7*AJ7)</f>
        <v/>
      </c>
      <c r="BU7" s="1">
        <f>X7/W7/L7*AP7</f>
        <v/>
      </c>
      <c r="BV7" s="1">
        <f>AD7/W7/L7/(0.9*8760)</f>
        <v/>
      </c>
      <c r="BW7" s="1">
        <f>AE7/W7/L7/(0.9*8760)</f>
        <v/>
      </c>
      <c r="BX7" s="1">
        <f>AF7/W7/L7</f>
        <v/>
      </c>
      <c r="BZ7" s="9" t="n">
        <v>0.2409589293</v>
      </c>
      <c r="CA7" s="9" t="n">
        <v>0.2418283623</v>
      </c>
      <c r="CB7" s="9" t="n">
        <v>0.2402551414</v>
      </c>
      <c r="CC7" s="17">
        <f>Y7</f>
        <v/>
      </c>
      <c r="CD7" s="10" t="n">
        <v>0.1828908353</v>
      </c>
      <c r="CE7" s="9" t="n">
        <v>0.23037491</v>
      </c>
      <c r="CG7" s="10">
        <f>CC7/W7</f>
        <v/>
      </c>
      <c r="CH7" s="10">
        <f>IF(X7=0, 0, CD7*X7/W7)</f>
        <v/>
      </c>
      <c r="CI7" s="10">
        <f>CE7</f>
        <v/>
      </c>
      <c r="CK7" s="17">
        <f>(AA7+AC7)/W7</f>
        <v/>
      </c>
      <c r="CL7" s="17">
        <f>(Z7+AB7)/W7</f>
        <v/>
      </c>
      <c r="CM7" s="10">
        <f>BZ7*I7</f>
        <v/>
      </c>
      <c r="CN7" s="10">
        <f>CA7*J7</f>
        <v/>
      </c>
      <c r="CO7" s="10">
        <f>CB7*K7</f>
        <v/>
      </c>
      <c r="CP7" s="10">
        <f>(N7)</f>
        <v/>
      </c>
      <c r="CR7" s="1">
        <f>SUM(CG7:CH7)-SUM(CK7:CP7)</f>
        <v/>
      </c>
      <c r="CT7" s="13" t="n">
        <v>4</v>
      </c>
      <c r="CU7" s="13" t="inlineStr">
        <is>
          <t>Biochemical_CCS_86</t>
        </is>
      </c>
      <c r="CV7" s="12" t="inlineStr">
        <is>
          <t>Biomass_Agri</t>
        </is>
      </c>
      <c r="CW7" s="25" t="n">
        <v>0</v>
      </c>
      <c r="CX7" s="25" t="n">
        <v>0.2632</v>
      </c>
      <c r="CY7" s="25" t="n">
        <v>1.9848</v>
      </c>
      <c r="CZ7" s="25" t="n">
        <v>0</v>
      </c>
      <c r="DA7" s="25" t="n">
        <v>1.723</v>
      </c>
      <c r="DB7" s="25" t="n">
        <v>1.09133844463139</v>
      </c>
      <c r="DC7" s="25" t="n">
        <v>0.174421755590588</v>
      </c>
      <c r="DD7" s="25" t="n">
        <v>0</v>
      </c>
      <c r="DE7" s="25" t="n">
        <v>0</v>
      </c>
      <c r="DF7" s="25" t="n">
        <v>520155.64</v>
      </c>
      <c r="DG7" s="25" t="n">
        <v>279265.62</v>
      </c>
      <c r="DH7" s="25" t="n">
        <v>1.67</v>
      </c>
    </row>
    <row r="8">
      <c r="B8" s="22" t="inlineStr">
        <is>
          <t>NCEN_Ethanol_to_Gasoline</t>
        </is>
      </c>
      <c r="C8" s="23" t="inlineStr">
        <is>
          <t>Ethanol</t>
        </is>
      </c>
      <c r="D8" s="23" t="n">
        <v>6</v>
      </c>
      <c r="E8" s="23">
        <f>S8</f>
        <v/>
      </c>
      <c r="F8" s="22" t="n">
        <v>0</v>
      </c>
      <c r="G8" s="22" t="n">
        <v>0</v>
      </c>
      <c r="H8" s="22" t="n">
        <v>0</v>
      </c>
      <c r="I8" s="22" t="n">
        <v>0.945257433</v>
      </c>
      <c r="J8" s="22" t="n">
        <v>0</v>
      </c>
      <c r="K8" s="22" t="n">
        <v>0</v>
      </c>
      <c r="L8" s="28">
        <f>SUM(I8:K8)</f>
        <v/>
      </c>
      <c r="M8" s="22" t="n">
        <v>0</v>
      </c>
      <c r="N8" s="22" t="n">
        <v>0.00188639</v>
      </c>
      <c r="O8" s="22" t="n">
        <v>221829.8796</v>
      </c>
      <c r="P8" s="22" t="n">
        <v>121537.9965</v>
      </c>
      <c r="Q8" s="22" t="n">
        <v>5.38</v>
      </c>
      <c r="S8" s="17">
        <f t="array" ref="S8:AF8">_xlfn.XLOOKUP(D8, CT:CT, CU:DH)</f>
        <v/>
      </c>
      <c r="T8" s="17" t="inlineStr">
        <is>
          <t>Biomass_Corn</t>
        </is>
      </c>
      <c r="U8" s="17" t="n">
        <v>0</v>
      </c>
      <c r="V8" s="17" t="n">
        <v>0.085342825</v>
      </c>
      <c r="W8" s="17" t="n">
        <v>3.104337995</v>
      </c>
      <c r="X8" s="17" t="n">
        <v>1.013397519</v>
      </c>
      <c r="Y8" s="17" t="n">
        <v>1.758866658</v>
      </c>
      <c r="Z8" s="17" t="n">
        <v>0.357687672</v>
      </c>
      <c r="AA8" s="17" t="n">
        <v>0.6860173939999999</v>
      </c>
      <c r="AB8" s="17" t="n">
        <v>0.152906423</v>
      </c>
      <c r="AC8" s="17" t="n">
        <v>0.032434696</v>
      </c>
      <c r="AD8" s="17" t="n">
        <v>45179.42</v>
      </c>
      <c r="AE8" s="17" t="n">
        <v>201481.25</v>
      </c>
      <c r="AF8" s="17" t="n">
        <v>-25.28</v>
      </c>
      <c r="AH8" s="15" t="n">
        <v>73.71884</v>
      </c>
      <c r="AI8" s="15" t="n">
        <v>-6.097314</v>
      </c>
      <c r="AJ8" s="15" t="n">
        <v>61.343403</v>
      </c>
      <c r="AK8" s="15" t="n">
        <v>33.004971</v>
      </c>
      <c r="AL8" s="15" t="n">
        <v>42.19561</v>
      </c>
      <c r="AM8" s="15" t="n">
        <v>155</v>
      </c>
      <c r="AN8" s="15" t="n">
        <v>22.90669</v>
      </c>
      <c r="AO8" s="15" t="n">
        <v>13.197062</v>
      </c>
      <c r="AP8" s="15" t="n">
        <v>14.953878</v>
      </c>
      <c r="AR8" s="1">
        <f>B8</f>
        <v/>
      </c>
      <c r="AS8" s="1">
        <f>C8</f>
        <v/>
      </c>
      <c r="AT8" s="11">
        <f>SUM(AW8:BI8)+BK8+BL8</f>
        <v/>
      </c>
      <c r="AU8" s="11">
        <f>SUM(AW8:BI8)+BN8+BO8</f>
        <v/>
      </c>
      <c r="AV8" s="5">
        <f>AT8-AU8</f>
        <v/>
      </c>
      <c r="AW8" s="5">
        <f>F8/L8*AO8</f>
        <v/>
      </c>
      <c r="AX8" s="1">
        <f>G8/L8*AN8</f>
        <v/>
      </c>
      <c r="AY8" s="1">
        <f>BS8</f>
        <v/>
      </c>
      <c r="AZ8" s="1">
        <f>H8/L8</f>
        <v/>
      </c>
      <c r="BA8" s="1">
        <f>BR8</f>
        <v/>
      </c>
      <c r="BB8" s="1">
        <f>BT8</f>
        <v/>
      </c>
      <c r="BC8" s="1">
        <f>BU8</f>
        <v/>
      </c>
      <c r="BD8" s="1">
        <f>O8/L8/(0.9*8760)</f>
        <v/>
      </c>
      <c r="BE8" s="1">
        <f>BV8</f>
        <v/>
      </c>
      <c r="BF8" s="1">
        <f>P8/L8/(0.9*8760)</f>
        <v/>
      </c>
      <c r="BG8" s="1">
        <f>BW8</f>
        <v/>
      </c>
      <c r="BH8" s="1">
        <f>Q8/L8</f>
        <v/>
      </c>
      <c r="BI8" s="1">
        <f>BX8</f>
        <v/>
      </c>
      <c r="BJ8" s="1">
        <f>(SUM(CK8:CP8)-CG8)/L8</f>
        <v/>
      </c>
      <c r="BK8" s="1">
        <f>((AH8+AI8)*-1*CL8)/L8</f>
        <v/>
      </c>
      <c r="BL8" s="1">
        <f>BJ8*AH8</f>
        <v/>
      </c>
      <c r="BM8" s="1">
        <f>(CK8+CM8+CN8+CO8+CP8-CG8)/L8</f>
        <v/>
      </c>
      <c r="BN8" s="1">
        <f>(CL8*AI8*-1)/L8</f>
        <v/>
      </c>
      <c r="BO8" s="1">
        <f>BM8*AH8</f>
        <v/>
      </c>
      <c r="BQ8" s="1">
        <f>S8</f>
        <v/>
      </c>
      <c r="BR8" s="1">
        <f>U8/W8/L8*AN8*-1</f>
        <v/>
      </c>
      <c r="BS8" s="1">
        <f>V8/W8/L8*AN8</f>
        <v/>
      </c>
      <c r="BT8" s="1">
        <f t="array" ref="BT8">_xlfn.IFS(T8="Biomass_Corn", 1/W8/L8*AM8, T8="Biomass_Agri", 1/W8/L8*AL8, T8="Biomass_Wood", 1/W8/L8*AK8, T8="Biomass_Herb", 1/W8/L8*AJ8)</f>
        <v/>
      </c>
      <c r="BU8" s="1">
        <f>X8/W8/L8*AP8</f>
        <v/>
      </c>
      <c r="BV8" s="1">
        <f>AD8/W8/L8/(0.9*8760)</f>
        <v/>
      </c>
      <c r="BW8" s="1">
        <f>AE8/W8/L8/(0.9*8760)</f>
        <v/>
      </c>
      <c r="BX8" s="1">
        <f>AF8/W8/L8</f>
        <v/>
      </c>
      <c r="BZ8" s="9" t="n">
        <v>0.2409589293</v>
      </c>
      <c r="CA8" s="9" t="n">
        <v>0.2418283623</v>
      </c>
      <c r="CB8" s="9" t="n">
        <v>0.2402551414</v>
      </c>
      <c r="CC8" s="17">
        <f>Y8</f>
        <v/>
      </c>
      <c r="CD8" s="10" t="n">
        <v>0.1828908353</v>
      </c>
      <c r="CE8" s="9" t="n">
        <v>0.23037491</v>
      </c>
      <c r="CG8" s="10">
        <f>CC8/W8</f>
        <v/>
      </c>
      <c r="CH8" s="10">
        <f>IF(X8=0, 0, CD8*X8/W8)</f>
        <v/>
      </c>
      <c r="CI8" s="10">
        <f>CE8</f>
        <v/>
      </c>
      <c r="CK8" s="17">
        <f>(AA8+AC8)/W8</f>
        <v/>
      </c>
      <c r="CL8" s="17">
        <f>(Z8+AB8)/W8</f>
        <v/>
      </c>
      <c r="CM8" s="10">
        <f>BZ8*I8</f>
        <v/>
      </c>
      <c r="CN8" s="10">
        <f>CA8*J8</f>
        <v/>
      </c>
      <c r="CO8" s="10">
        <f>CB8*K8</f>
        <v/>
      </c>
      <c r="CP8" s="10">
        <f>(N8)</f>
        <v/>
      </c>
      <c r="CR8" s="1">
        <f>SUM(CG8:CH8)-SUM(CK8:CP8)</f>
        <v/>
      </c>
      <c r="CT8" s="13" t="n">
        <v>5</v>
      </c>
      <c r="CU8" s="13" t="inlineStr">
        <is>
          <t>Drymill CCS Fermentation</t>
        </is>
      </c>
      <c r="CV8" s="12" t="inlineStr">
        <is>
          <t>Biomass_Corn</t>
        </is>
      </c>
      <c r="CW8" s="26" t="n">
        <v>0</v>
      </c>
      <c r="CX8" s="26" t="n">
        <v>0.08534282999999999</v>
      </c>
      <c r="CY8" s="26" t="n">
        <v>3.104338</v>
      </c>
      <c r="CZ8" s="26" t="n">
        <v>1.01339752</v>
      </c>
      <c r="DA8" s="26" t="n">
        <v>1.75886666</v>
      </c>
      <c r="DB8" s="26" t="n">
        <v>0.35768767</v>
      </c>
      <c r="DC8" s="26" t="n">
        <v>0.6860173899999999</v>
      </c>
      <c r="DD8" s="26" t="n">
        <v>0</v>
      </c>
      <c r="DE8" s="26" t="n">
        <v>0.18534112</v>
      </c>
      <c r="DF8" s="26" t="n">
        <v>27458.48</v>
      </c>
      <c r="DG8" s="26" t="n">
        <v>191772.15</v>
      </c>
      <c r="DH8" s="26" t="n">
        <v>-25.37</v>
      </c>
    </row>
    <row r="9">
      <c r="B9" s="22" t="inlineStr">
        <is>
          <t>CEN_Ethanol_to_Gasoline</t>
        </is>
      </c>
      <c r="C9" s="23" t="inlineStr">
        <is>
          <t>Ethanol</t>
        </is>
      </c>
      <c r="D9" s="23" t="n">
        <v>6</v>
      </c>
      <c r="E9" s="23">
        <f>S9</f>
        <v/>
      </c>
      <c r="F9" s="22" t="n">
        <v>0</v>
      </c>
      <c r="G9" s="22" t="n">
        <v>0</v>
      </c>
      <c r="H9" s="22" t="n">
        <v>0</v>
      </c>
      <c r="I9" s="22" t="n">
        <v>0.945257433</v>
      </c>
      <c r="J9" s="22" t="n">
        <v>0</v>
      </c>
      <c r="K9" s="22" t="n">
        <v>0</v>
      </c>
      <c r="L9" s="28">
        <f>SUM(I9:K9)</f>
        <v/>
      </c>
      <c r="M9" s="22" t="n">
        <v>0</v>
      </c>
      <c r="N9" s="22" t="n">
        <v>0.00188639</v>
      </c>
      <c r="O9" s="22" t="n">
        <v>221829.8796</v>
      </c>
      <c r="P9" s="22" t="n">
        <v>121537.9965</v>
      </c>
      <c r="Q9" s="22" t="n">
        <v>5.38</v>
      </c>
      <c r="S9" s="17">
        <f t="array" ref="S9:AF9">_xlfn.XLOOKUP(D9, CT:CT, CU:DH)</f>
        <v/>
      </c>
      <c r="T9" s="17" t="inlineStr">
        <is>
          <t>Biomass_Corn</t>
        </is>
      </c>
      <c r="U9" s="17" t="n">
        <v>0</v>
      </c>
      <c r="V9" s="17" t="n">
        <v>0.085342825</v>
      </c>
      <c r="W9" s="17" t="n">
        <v>3.104337995</v>
      </c>
      <c r="X9" s="17" t="n">
        <v>1.013397519</v>
      </c>
      <c r="Y9" s="17" t="n">
        <v>1.758866658</v>
      </c>
      <c r="Z9" s="17" t="n">
        <v>0.357687672</v>
      </c>
      <c r="AA9" s="17" t="n">
        <v>0.6860173939999999</v>
      </c>
      <c r="AB9" s="17" t="n">
        <v>0.152906423</v>
      </c>
      <c r="AC9" s="17" t="n">
        <v>0.032434696</v>
      </c>
      <c r="AD9" s="17" t="n">
        <v>45179.42</v>
      </c>
      <c r="AE9" s="17" t="n">
        <v>201481.25</v>
      </c>
      <c r="AF9" s="17" t="n">
        <v>-25.28</v>
      </c>
      <c r="AH9" s="15" t="n">
        <v>73.71884</v>
      </c>
      <c r="AI9" s="15" t="n">
        <v>-6.097314</v>
      </c>
      <c r="AJ9" s="15" t="n">
        <v>61.343403</v>
      </c>
      <c r="AK9" s="15" t="n">
        <v>33.004971</v>
      </c>
      <c r="AL9" s="15" t="n">
        <v>42.19561</v>
      </c>
      <c r="AM9" s="15" t="n">
        <v>155</v>
      </c>
      <c r="AN9" s="15" t="n">
        <v>22.90669</v>
      </c>
      <c r="AO9" s="15" t="n">
        <v>13.197062</v>
      </c>
      <c r="AP9" s="15" t="n">
        <v>14.953878</v>
      </c>
      <c r="AR9" s="1">
        <f>B9</f>
        <v/>
      </c>
      <c r="AS9" s="1">
        <f>C9</f>
        <v/>
      </c>
      <c r="AT9" s="11">
        <f>SUM(AW9:BI9)+BK9+BL9</f>
        <v/>
      </c>
      <c r="AU9" s="11">
        <f>SUM(AW9:BI9)+BN9+BO9</f>
        <v/>
      </c>
      <c r="AV9" s="5">
        <f>AT9-AU9</f>
        <v/>
      </c>
      <c r="AW9" s="5">
        <f>F9/L9*AO9</f>
        <v/>
      </c>
      <c r="AX9" s="1">
        <f>G9/L9*AN9</f>
        <v/>
      </c>
      <c r="AY9" s="1">
        <f>BS9</f>
        <v/>
      </c>
      <c r="AZ9" s="1">
        <f>H9/L9</f>
        <v/>
      </c>
      <c r="BA9" s="1">
        <f>BR9</f>
        <v/>
      </c>
      <c r="BB9" s="1">
        <f>BT9</f>
        <v/>
      </c>
      <c r="BC9" s="1">
        <f>BU9</f>
        <v/>
      </c>
      <c r="BD9" s="1">
        <f>O9/L9/(0.9*8760)</f>
        <v/>
      </c>
      <c r="BE9" s="1">
        <f>BV9</f>
        <v/>
      </c>
      <c r="BF9" s="1">
        <f>P9/L9/(0.9*8760)</f>
        <v/>
      </c>
      <c r="BG9" s="1">
        <f>BW9</f>
        <v/>
      </c>
      <c r="BH9" s="1">
        <f>Q9/L9</f>
        <v/>
      </c>
      <c r="BI9" s="1">
        <f>BX9</f>
        <v/>
      </c>
      <c r="BJ9" s="1">
        <f>(SUM(CK9:CP9)-CG9)/L9</f>
        <v/>
      </c>
      <c r="BK9" s="1">
        <f>((AH9+AI9)*-1*CL9)/L9</f>
        <v/>
      </c>
      <c r="BL9" s="1">
        <f>BJ9*AH9</f>
        <v/>
      </c>
      <c r="BM9" s="1">
        <f>(CK9+CM9+CN9+CO9+CP9-CG9)/L9</f>
        <v/>
      </c>
      <c r="BN9" s="1">
        <f>(CL9*AI9*-1)/L9</f>
        <v/>
      </c>
      <c r="BO9" s="1">
        <f>BM9*AH9</f>
        <v/>
      </c>
      <c r="BQ9" s="1">
        <f>S9</f>
        <v/>
      </c>
      <c r="BR9" s="1">
        <f>U9/W9/L9*AN9*-1</f>
        <v/>
      </c>
      <c r="BS9" s="1">
        <f>V9/W9/L9*AN9</f>
        <v/>
      </c>
      <c r="BT9" s="1">
        <f t="array" ref="BT9">_xlfn.IFS(T9="Biomass_Corn", 1/W9/L9*AM9, T9="Biomass_Agri", 1/W9/L9*AL9, T9="Biomass_Wood", 1/W9/L9*AK9, T9="Biomass_Herb", 1/W9/L9*AJ9)</f>
        <v/>
      </c>
      <c r="BU9" s="1">
        <f>X9/W9/L9*AP9</f>
        <v/>
      </c>
      <c r="BV9" s="1">
        <f>AD9/W9/L9/(0.9*8760)</f>
        <v/>
      </c>
      <c r="BW9" s="1">
        <f>AE9/W9/L9/(0.9*8760)</f>
        <v/>
      </c>
      <c r="BX9" s="1">
        <f>AF9/W9/L9</f>
        <v/>
      </c>
      <c r="BZ9" s="9" t="n">
        <v>0.2409589293</v>
      </c>
      <c r="CA9" s="9" t="n">
        <v>0.2418283623</v>
      </c>
      <c r="CB9" s="9" t="n">
        <v>0.2402551414</v>
      </c>
      <c r="CC9" s="17">
        <f>Y9</f>
        <v/>
      </c>
      <c r="CD9" s="10" t="n">
        <v>0.1828908353</v>
      </c>
      <c r="CE9" s="9" t="n">
        <v>0.23037491</v>
      </c>
      <c r="CG9" s="10">
        <f>CC9/W9</f>
        <v/>
      </c>
      <c r="CH9" s="10">
        <f>IF(X9=0, 0, CD9*X9/W9)</f>
        <v/>
      </c>
      <c r="CI9" s="10">
        <f>CE9</f>
        <v/>
      </c>
      <c r="CK9" s="17">
        <f>(AA9+AC9)/W9</f>
        <v/>
      </c>
      <c r="CL9" s="17">
        <f>(Z9+AB9)/W9</f>
        <v/>
      </c>
      <c r="CM9" s="10">
        <f>BZ9*I9</f>
        <v/>
      </c>
      <c r="CN9" s="10">
        <f>CA9*J9</f>
        <v/>
      </c>
      <c r="CO9" s="10">
        <f>CB9*K9</f>
        <v/>
      </c>
      <c r="CP9" s="10">
        <f>(N9)</f>
        <v/>
      </c>
      <c r="CR9" s="1">
        <f>SUM(CG9:CH9)-SUM(CK9:CP9)</f>
        <v/>
      </c>
      <c r="CT9" s="13" t="n">
        <v>6</v>
      </c>
      <c r="CU9" s="13" t="inlineStr">
        <is>
          <t>Drymill CCS Fermentation Exhaust</t>
        </is>
      </c>
      <c r="CV9" s="12" t="inlineStr">
        <is>
          <t>Biomass_Corn</t>
        </is>
      </c>
      <c r="CW9" s="25" t="n">
        <v>0</v>
      </c>
      <c r="CX9" s="25" t="n">
        <v>0.085342825</v>
      </c>
      <c r="CY9" s="25" t="n">
        <v>3.104337995</v>
      </c>
      <c r="CZ9" s="25" t="n">
        <v>1.013397519</v>
      </c>
      <c r="DA9" s="25" t="n">
        <v>1.758866658</v>
      </c>
      <c r="DB9" s="25" t="n">
        <v>0.357687672</v>
      </c>
      <c r="DC9" s="25" t="n">
        <v>0.6860173939999999</v>
      </c>
      <c r="DD9" s="25" t="n">
        <v>0.152906423</v>
      </c>
      <c r="DE9" s="25" t="n">
        <v>0.032434696</v>
      </c>
      <c r="DF9" s="25" t="n">
        <v>45179.42</v>
      </c>
      <c r="DG9" s="25" t="n">
        <v>201481.25</v>
      </c>
      <c r="DH9" s="25" t="n">
        <v>-25.28</v>
      </c>
    </row>
    <row r="10">
      <c r="B10" s="22" t="inlineStr">
        <is>
          <t>SE_Ethanol_to_Gasoline</t>
        </is>
      </c>
      <c r="C10" s="23" t="inlineStr">
        <is>
          <t>Ethanol</t>
        </is>
      </c>
      <c r="D10" s="23" t="n">
        <v>6</v>
      </c>
      <c r="E10" s="23">
        <f>S10</f>
        <v/>
      </c>
      <c r="F10" s="22" t="n">
        <v>0</v>
      </c>
      <c r="G10" s="22" t="n">
        <v>0</v>
      </c>
      <c r="H10" s="22" t="n">
        <v>0</v>
      </c>
      <c r="I10" s="22" t="n">
        <v>0.945257433</v>
      </c>
      <c r="J10" s="22" t="n">
        <v>0</v>
      </c>
      <c r="K10" s="22" t="n">
        <v>0</v>
      </c>
      <c r="L10" s="28">
        <f>SUM(I10:K10)</f>
        <v/>
      </c>
      <c r="M10" s="22" t="n">
        <v>0</v>
      </c>
      <c r="N10" s="22" t="n">
        <v>0.00188639</v>
      </c>
      <c r="O10" s="22" t="n">
        <v>221829.8796</v>
      </c>
      <c r="P10" s="22" t="n">
        <v>121537.9965</v>
      </c>
      <c r="Q10" s="22" t="n">
        <v>5.38</v>
      </c>
      <c r="S10" s="17">
        <f t="array" ref="S10:AF10">_xlfn.XLOOKUP(D10, CT:CT, CU:DH)</f>
        <v/>
      </c>
      <c r="T10" s="17" t="inlineStr">
        <is>
          <t>Biomass_Corn</t>
        </is>
      </c>
      <c r="U10" s="17" t="n">
        <v>0</v>
      </c>
      <c r="V10" s="17" t="n">
        <v>0.085342825</v>
      </c>
      <c r="W10" s="17" t="n">
        <v>3.104337995</v>
      </c>
      <c r="X10" s="17" t="n">
        <v>1.013397519</v>
      </c>
      <c r="Y10" s="17" t="n">
        <v>1.758866658</v>
      </c>
      <c r="Z10" s="17" t="n">
        <v>0.357687672</v>
      </c>
      <c r="AA10" s="17" t="n">
        <v>0.6860173939999999</v>
      </c>
      <c r="AB10" s="17" t="n">
        <v>0.152906423</v>
      </c>
      <c r="AC10" s="17" t="n">
        <v>0.032434696</v>
      </c>
      <c r="AD10" s="17" t="n">
        <v>45179.42</v>
      </c>
      <c r="AE10" s="17" t="n">
        <v>201481.25</v>
      </c>
      <c r="AF10" s="17" t="n">
        <v>-25.28</v>
      </c>
      <c r="AH10" s="15" t="n">
        <v>73.71884</v>
      </c>
      <c r="AI10" s="15" t="n">
        <v>-6.097314</v>
      </c>
      <c r="AJ10" s="15" t="n">
        <v>61.343403</v>
      </c>
      <c r="AK10" s="15" t="n">
        <v>33.004971</v>
      </c>
      <c r="AL10" s="15" t="n">
        <v>42.19561</v>
      </c>
      <c r="AM10" s="15" t="n">
        <v>155</v>
      </c>
      <c r="AN10" s="15" t="n">
        <v>22.90669</v>
      </c>
      <c r="AO10" s="15" t="n">
        <v>13.197062</v>
      </c>
      <c r="AP10" s="15" t="n">
        <v>14.953878</v>
      </c>
      <c r="AR10" s="1">
        <f>B10</f>
        <v/>
      </c>
      <c r="AS10" s="1">
        <f>C10</f>
        <v/>
      </c>
      <c r="AT10" s="11">
        <f>SUM(AW10:BI10)+BK10+BL10</f>
        <v/>
      </c>
      <c r="AU10" s="11">
        <f>SUM(AW10:BI10)+BN10+BO10</f>
        <v/>
      </c>
      <c r="AV10" s="5">
        <f>AT10-AU10</f>
        <v/>
      </c>
      <c r="AW10" s="5">
        <f>F10/L10*AO10</f>
        <v/>
      </c>
      <c r="AX10" s="1">
        <f>G10/L10*AN10</f>
        <v/>
      </c>
      <c r="AY10" s="1">
        <f>BS10</f>
        <v/>
      </c>
      <c r="AZ10" s="1">
        <f>H10/L10</f>
        <v/>
      </c>
      <c r="BA10" s="1">
        <f>BR10</f>
        <v/>
      </c>
      <c r="BB10" s="1">
        <f>BT10</f>
        <v/>
      </c>
      <c r="BC10" s="1">
        <f>BU10</f>
        <v/>
      </c>
      <c r="BD10" s="1">
        <f>O10/L10/(0.9*8760)</f>
        <v/>
      </c>
      <c r="BE10" s="1">
        <f>BV10</f>
        <v/>
      </c>
      <c r="BF10" s="1">
        <f>P10/L10/(0.9*8760)</f>
        <v/>
      </c>
      <c r="BG10" s="1">
        <f>BW10</f>
        <v/>
      </c>
      <c r="BH10" s="1">
        <f>Q10/L10</f>
        <v/>
      </c>
      <c r="BI10" s="1">
        <f>BX10</f>
        <v/>
      </c>
      <c r="BJ10" s="1">
        <f>(SUM(CK10:CP10)-CG10)/L10</f>
        <v/>
      </c>
      <c r="BK10" s="1">
        <f>((AH10+AI10)*-1*CL10)/L10</f>
        <v/>
      </c>
      <c r="BL10" s="1">
        <f>BJ10*AH10</f>
        <v/>
      </c>
      <c r="BM10" s="1">
        <f>(CK10+CM10+CN10+CO10+CP10-CG10)/L10</f>
        <v/>
      </c>
      <c r="BN10" s="1">
        <f>(CL10*AI10*-1)/L10</f>
        <v/>
      </c>
      <c r="BO10" s="1">
        <f>BM10*AH10</f>
        <v/>
      </c>
      <c r="BQ10" s="1">
        <f>S10</f>
        <v/>
      </c>
      <c r="BR10" s="1">
        <f>U10/W10/L10*AN10*-1</f>
        <v/>
      </c>
      <c r="BS10" s="1">
        <f>V10/W10/L10*AN10</f>
        <v/>
      </c>
      <c r="BT10" s="1">
        <f t="array" ref="BT10">_xlfn.IFS(T10="Biomass_Corn", 1/W10/L10*AM10, T10="Biomass_Agri", 1/W10/L10*AL10, T10="Biomass_Wood", 1/W10/L10*AK10, T10="Biomass_Herb", 1/W10/L10*AJ10)</f>
        <v/>
      </c>
      <c r="BU10" s="1">
        <f>X10/W10/L10*AP10</f>
        <v/>
      </c>
      <c r="BV10" s="1">
        <f>AD10/W10/L10/(0.9*8760)</f>
        <v/>
      </c>
      <c r="BW10" s="1">
        <f>AE10/W10/L10/(0.9*8760)</f>
        <v/>
      </c>
      <c r="BX10" s="1">
        <f>AF10/W10/L10</f>
        <v/>
      </c>
      <c r="BZ10" s="9" t="n">
        <v>0.2409589293</v>
      </c>
      <c r="CA10" s="9" t="n">
        <v>0.2418283623</v>
      </c>
      <c r="CB10" s="9" t="n">
        <v>0.2402551414</v>
      </c>
      <c r="CC10" s="17">
        <f>Y10</f>
        <v/>
      </c>
      <c r="CD10" s="10" t="n">
        <v>0.1828908353</v>
      </c>
      <c r="CE10" s="9" t="n">
        <v>0.23037491</v>
      </c>
      <c r="CG10" s="10">
        <f>CC10/W10</f>
        <v/>
      </c>
      <c r="CH10" s="10">
        <f>IF(X10=0, 0, CD10*X10/W10)</f>
        <v/>
      </c>
      <c r="CI10" s="10">
        <f>CE10</f>
        <v/>
      </c>
      <c r="CK10" s="17">
        <f>(AA10+AC10)/W10</f>
        <v/>
      </c>
      <c r="CL10" s="17">
        <f>(Z10+AB10)/W10</f>
        <v/>
      </c>
      <c r="CM10" s="10">
        <f>BZ10*I10</f>
        <v/>
      </c>
      <c r="CN10" s="10">
        <f>CA10*J10</f>
        <v/>
      </c>
      <c r="CO10" s="10">
        <f>CB10*K10</f>
        <v/>
      </c>
      <c r="CP10" s="10">
        <f>(N10)</f>
        <v/>
      </c>
      <c r="CR10" s="1">
        <f>SUM(CG10:CH10)-SUM(CK10:CP10)</f>
        <v/>
      </c>
    </row>
    <row r="11">
      <c r="B11" s="22" t="inlineStr">
        <is>
          <t>MIDAT_Ethanol_to_Gasoline</t>
        </is>
      </c>
      <c r="C11" s="23" t="inlineStr">
        <is>
          <t>Ethanol</t>
        </is>
      </c>
      <c r="D11" s="23" t="n">
        <v>6</v>
      </c>
      <c r="E11" s="23">
        <f>S11</f>
        <v/>
      </c>
      <c r="F11" s="22" t="n">
        <v>0</v>
      </c>
      <c r="G11" s="22" t="n">
        <v>0</v>
      </c>
      <c r="H11" s="22" t="n">
        <v>0</v>
      </c>
      <c r="I11" s="22" t="n">
        <v>0.945257433</v>
      </c>
      <c r="J11" s="22" t="n">
        <v>0</v>
      </c>
      <c r="K11" s="22" t="n">
        <v>0</v>
      </c>
      <c r="L11" s="28">
        <f>SUM(I11:K11)</f>
        <v/>
      </c>
      <c r="M11" s="22" t="n">
        <v>0</v>
      </c>
      <c r="N11" s="22" t="n">
        <v>0.00188639</v>
      </c>
      <c r="O11" s="22" t="n">
        <v>221829.8796</v>
      </c>
      <c r="P11" s="22" t="n">
        <v>121537.9965</v>
      </c>
      <c r="Q11" s="22" t="n">
        <v>5.38</v>
      </c>
      <c r="S11" s="17">
        <f t="array" ref="S11:AF11">_xlfn.XLOOKUP(D11, CT:CT, CU:DH)</f>
        <v/>
      </c>
      <c r="T11" s="17" t="inlineStr">
        <is>
          <t>Biomass_Corn</t>
        </is>
      </c>
      <c r="U11" s="17" t="n">
        <v>0</v>
      </c>
      <c r="V11" s="17" t="n">
        <v>0.085342825</v>
      </c>
      <c r="W11" s="17" t="n">
        <v>3.104337995</v>
      </c>
      <c r="X11" s="17" t="n">
        <v>1.013397519</v>
      </c>
      <c r="Y11" s="17" t="n">
        <v>1.758866658</v>
      </c>
      <c r="Z11" s="17" t="n">
        <v>0.357687672</v>
      </c>
      <c r="AA11" s="17" t="n">
        <v>0.6860173939999999</v>
      </c>
      <c r="AB11" s="17" t="n">
        <v>0.152906423</v>
      </c>
      <c r="AC11" s="17" t="n">
        <v>0.032434696</v>
      </c>
      <c r="AD11" s="17" t="n">
        <v>45179.42</v>
      </c>
      <c r="AE11" s="17" t="n">
        <v>201481.25</v>
      </c>
      <c r="AF11" s="17" t="n">
        <v>-25.28</v>
      </c>
      <c r="AH11" s="15" t="n">
        <v>73.71884</v>
      </c>
      <c r="AI11" s="15" t="n">
        <v>-6.097314</v>
      </c>
      <c r="AJ11" s="15" t="n">
        <v>61.343403</v>
      </c>
      <c r="AK11" s="15" t="n">
        <v>33.004971</v>
      </c>
      <c r="AL11" s="15" t="n">
        <v>42.19561</v>
      </c>
      <c r="AM11" s="15" t="n">
        <v>155</v>
      </c>
      <c r="AN11" s="15" t="n">
        <v>22.90669</v>
      </c>
      <c r="AO11" s="15" t="n">
        <v>13.197062</v>
      </c>
      <c r="AP11" s="15" t="n">
        <v>14.953878</v>
      </c>
      <c r="AR11" s="1">
        <f>B11</f>
        <v/>
      </c>
      <c r="AS11" s="1">
        <f>C11</f>
        <v/>
      </c>
      <c r="AT11" s="11">
        <f>SUM(AW11:BI11)+BK11+BL11</f>
        <v/>
      </c>
      <c r="AU11" s="11">
        <f>SUM(AW11:BI11)+BN11+BO11</f>
        <v/>
      </c>
      <c r="AV11" s="5">
        <f>AT11-AU11</f>
        <v/>
      </c>
      <c r="AW11" s="5">
        <f>F11/L11*AO11</f>
        <v/>
      </c>
      <c r="AX11" s="1">
        <f>G11/L11*AN11</f>
        <v/>
      </c>
      <c r="AY11" s="1">
        <f>BS11</f>
        <v/>
      </c>
      <c r="AZ11" s="1">
        <f>H11/L11</f>
        <v/>
      </c>
      <c r="BA11" s="1">
        <f>BR11</f>
        <v/>
      </c>
      <c r="BB11" s="1">
        <f>BT11</f>
        <v/>
      </c>
      <c r="BC11" s="1">
        <f>BU11</f>
        <v/>
      </c>
      <c r="BD11" s="1">
        <f>O11/L11/(0.9*8760)</f>
        <v/>
      </c>
      <c r="BE11" s="1">
        <f>BV11</f>
        <v/>
      </c>
      <c r="BF11" s="1">
        <f>P11/L11/(0.9*8760)</f>
        <v/>
      </c>
      <c r="BG11" s="1">
        <f>BW11</f>
        <v/>
      </c>
      <c r="BH11" s="1">
        <f>Q11/L11</f>
        <v/>
      </c>
      <c r="BI11" s="1">
        <f>BX11</f>
        <v/>
      </c>
      <c r="BJ11" s="1">
        <f>(SUM(CK11:CP11)-CG11)/L11</f>
        <v/>
      </c>
      <c r="BK11" s="1">
        <f>((AH11+AI11)*-1*CL11)/L11</f>
        <v/>
      </c>
      <c r="BL11" s="1">
        <f>BJ11*AH11</f>
        <v/>
      </c>
      <c r="BM11" s="1">
        <f>(CK11+CM11+CN11+CO11+CP11-CG11)/L11</f>
        <v/>
      </c>
      <c r="BN11" s="1">
        <f>(CL11*AI11*-1)/L11</f>
        <v/>
      </c>
      <c r="BO11" s="1">
        <f>BM11*AH11</f>
        <v/>
      </c>
      <c r="BQ11" s="1">
        <f>S11</f>
        <v/>
      </c>
      <c r="BR11" s="1">
        <f>U11/W11/L11*AN11*-1</f>
        <v/>
      </c>
      <c r="BS11" s="1">
        <f>V11/W11/L11*AN11</f>
        <v/>
      </c>
      <c r="BT11" s="1">
        <f t="array" ref="BT11">_xlfn.IFS(T11="Biomass_Corn", 1/W11/L11*AM11, T11="Biomass_Agri", 1/W11/L11*AL11, T11="Biomass_Wood", 1/W11/L11*AK11, T11="Biomass_Herb", 1/W11/L11*AJ11)</f>
        <v/>
      </c>
      <c r="BU11" s="1">
        <f>X11/W11/L11*AP11</f>
        <v/>
      </c>
      <c r="BV11" s="1">
        <f>AD11/W11/L11/(0.9*8760)</f>
        <v/>
      </c>
      <c r="BW11" s="1">
        <f>AE11/W11/L11/(0.9*8760)</f>
        <v/>
      </c>
      <c r="BX11" s="1">
        <f>AF11/W11/L11</f>
        <v/>
      </c>
      <c r="BZ11" s="9" t="n">
        <v>0.2409589293</v>
      </c>
      <c r="CA11" s="9" t="n">
        <v>0.2418283623</v>
      </c>
      <c r="CB11" s="9" t="n">
        <v>0.2402551414</v>
      </c>
      <c r="CC11" s="17">
        <f>Y11</f>
        <v/>
      </c>
      <c r="CD11" s="10" t="n">
        <v>0.1828908353</v>
      </c>
      <c r="CE11" s="9" t="n">
        <v>0.23037491</v>
      </c>
      <c r="CG11" s="10">
        <f>CC11/W11</f>
        <v/>
      </c>
      <c r="CH11" s="10">
        <f>IF(X11=0, 0, CD11*X11/W11)</f>
        <v/>
      </c>
      <c r="CI11" s="10">
        <f>CE11</f>
        <v/>
      </c>
      <c r="CK11" s="17">
        <f>(AA11+AC11)/W11</f>
        <v/>
      </c>
      <c r="CL11" s="17">
        <f>(Z11+AB11)/W11</f>
        <v/>
      </c>
      <c r="CM11" s="10">
        <f>BZ11*I11</f>
        <v/>
      </c>
      <c r="CN11" s="10">
        <f>CA11*J11</f>
        <v/>
      </c>
      <c r="CO11" s="10">
        <f>CB11*K11</f>
        <v/>
      </c>
      <c r="CP11" s="10">
        <f>(N11)</f>
        <v/>
      </c>
      <c r="CR11" s="1">
        <f>SUM(CG11:CH11)-SUM(CK11:CP11)</f>
        <v/>
      </c>
    </row>
    <row r="12">
      <c r="B12" s="22" t="inlineStr">
        <is>
          <t>NE_Ethanol_to_Gasoline</t>
        </is>
      </c>
      <c r="C12" s="23" t="inlineStr">
        <is>
          <t>Ethanol</t>
        </is>
      </c>
      <c r="D12" s="23" t="n">
        <v>6</v>
      </c>
      <c r="E12" s="23">
        <f>S12</f>
        <v/>
      </c>
      <c r="F12" s="22" t="n">
        <v>0</v>
      </c>
      <c r="G12" s="22" t="n">
        <v>0</v>
      </c>
      <c r="H12" s="22" t="n">
        <v>0</v>
      </c>
      <c r="I12" s="22" t="n">
        <v>0.945257433</v>
      </c>
      <c r="J12" s="22" t="n">
        <v>0</v>
      </c>
      <c r="K12" s="22" t="n">
        <v>0</v>
      </c>
      <c r="L12" s="28">
        <f>SUM(I12:K12)</f>
        <v/>
      </c>
      <c r="M12" s="22" t="n">
        <v>0</v>
      </c>
      <c r="N12" s="22" t="n">
        <v>0.00188639</v>
      </c>
      <c r="O12" s="22" t="n">
        <v>221829.8796</v>
      </c>
      <c r="P12" s="22" t="n">
        <v>121537.9965</v>
      </c>
      <c r="Q12" s="22" t="n">
        <v>5.38</v>
      </c>
      <c r="S12" s="17">
        <f t="array" ref="S12:AF12">_xlfn.XLOOKUP(D12, CT:CT, CU:DH)</f>
        <v/>
      </c>
      <c r="T12" s="17" t="inlineStr">
        <is>
          <t>Biomass_Corn</t>
        </is>
      </c>
      <c r="U12" s="17" t="n">
        <v>0</v>
      </c>
      <c r="V12" s="17" t="n">
        <v>0.085342825</v>
      </c>
      <c r="W12" s="17" t="n">
        <v>3.104337995</v>
      </c>
      <c r="X12" s="17" t="n">
        <v>1.013397519</v>
      </c>
      <c r="Y12" s="17" t="n">
        <v>1.758866658</v>
      </c>
      <c r="Z12" s="17" t="n">
        <v>0.357687672</v>
      </c>
      <c r="AA12" s="17" t="n">
        <v>0.6860173939999999</v>
      </c>
      <c r="AB12" s="17" t="n">
        <v>0.152906423</v>
      </c>
      <c r="AC12" s="17" t="n">
        <v>0.032434696</v>
      </c>
      <c r="AD12" s="17" t="n">
        <v>45179.42</v>
      </c>
      <c r="AE12" s="17" t="n">
        <v>201481.25</v>
      </c>
      <c r="AF12" s="17" t="n">
        <v>-25.28</v>
      </c>
      <c r="AH12" s="15" t="n">
        <v>73.71884</v>
      </c>
      <c r="AI12" s="15" t="n">
        <v>-6.097314</v>
      </c>
      <c r="AJ12" s="15" t="n">
        <v>61.343403</v>
      </c>
      <c r="AK12" s="15" t="n">
        <v>33.004971</v>
      </c>
      <c r="AL12" s="15" t="n">
        <v>42.19561</v>
      </c>
      <c r="AM12" s="15" t="n">
        <v>155</v>
      </c>
      <c r="AN12" s="15" t="n">
        <v>22.90669</v>
      </c>
      <c r="AO12" s="15" t="n">
        <v>13.197062</v>
      </c>
      <c r="AP12" s="15" t="n">
        <v>14.953878</v>
      </c>
      <c r="AR12" s="1">
        <f>B12</f>
        <v/>
      </c>
      <c r="AS12" s="1">
        <f>C12</f>
        <v/>
      </c>
      <c r="AT12" s="11">
        <f>SUM(AW12:BI12)+BK12+BL12</f>
        <v/>
      </c>
      <c r="AU12" s="11">
        <f>SUM(AW12:BI12)+BN12+BO12</f>
        <v/>
      </c>
      <c r="AV12" s="5">
        <f>AT12-AU12</f>
        <v/>
      </c>
      <c r="AW12" s="5">
        <f>F12/L12*AO12</f>
        <v/>
      </c>
      <c r="AX12" s="1">
        <f>G12/L12*AN12</f>
        <v/>
      </c>
      <c r="AY12" s="1">
        <f>BS12</f>
        <v/>
      </c>
      <c r="AZ12" s="1">
        <f>H12/L12</f>
        <v/>
      </c>
      <c r="BA12" s="1">
        <f>BR12</f>
        <v/>
      </c>
      <c r="BB12" s="1">
        <f>BT12</f>
        <v/>
      </c>
      <c r="BC12" s="1">
        <f>BU12</f>
        <v/>
      </c>
      <c r="BD12" s="1">
        <f>O12/L12/(0.9*8760)</f>
        <v/>
      </c>
      <c r="BE12" s="1">
        <f>BV12</f>
        <v/>
      </c>
      <c r="BF12" s="1">
        <f>P12/L12/(0.9*8760)</f>
        <v/>
      </c>
      <c r="BG12" s="1">
        <f>BW12</f>
        <v/>
      </c>
      <c r="BH12" s="1">
        <f>Q12/L12</f>
        <v/>
      </c>
      <c r="BI12" s="1">
        <f>BX12</f>
        <v/>
      </c>
      <c r="BJ12" s="1">
        <f>(SUM(CK12:CP12)-CG12)/L12</f>
        <v/>
      </c>
      <c r="BK12" s="1">
        <f>((AH12+AI12)*-1*CL12)/L12</f>
        <v/>
      </c>
      <c r="BL12" s="1">
        <f>BJ12*AH12</f>
        <v/>
      </c>
      <c r="BM12" s="1">
        <f>(CK12+CM12+CN12+CO12+CP12-CG12)/L12</f>
        <v/>
      </c>
      <c r="BN12" s="1">
        <f>(CL12*AI12*-1)/L12</f>
        <v/>
      </c>
      <c r="BO12" s="1">
        <f>BM12*AH12</f>
        <v/>
      </c>
      <c r="BQ12" s="1">
        <f>S12</f>
        <v/>
      </c>
      <c r="BR12" s="1">
        <f>U12/W12/L12*AN12*-1</f>
        <v/>
      </c>
      <c r="BS12" s="1">
        <f>V12/W12/L12*AN12</f>
        <v/>
      </c>
      <c r="BT12" s="1">
        <f t="array" ref="BT12">_xlfn.IFS(T12="Biomass_Corn", 1/W12/L12*AM12, T12="Biomass_Agri", 1/W12/L12*AL12, T12="Biomass_Wood", 1/W12/L12*AK12, T12="Biomass_Herb", 1/W12/L12*AJ12)</f>
        <v/>
      </c>
      <c r="BU12" s="1">
        <f>X12/W12/L12*AP12</f>
        <v/>
      </c>
      <c r="BV12" s="1">
        <f>AD12/W12/L12/(0.9*8760)</f>
        <v/>
      </c>
      <c r="BW12" s="1">
        <f>AE12/W12/L12/(0.9*8760)</f>
        <v/>
      </c>
      <c r="BX12" s="1">
        <f>AF12/W12/L12</f>
        <v/>
      </c>
      <c r="BZ12" s="9" t="n">
        <v>0.2409589293</v>
      </c>
      <c r="CA12" s="9" t="n">
        <v>0.2418283623</v>
      </c>
      <c r="CB12" s="9" t="n">
        <v>0.2402551414</v>
      </c>
      <c r="CC12" s="17">
        <f>Y12</f>
        <v/>
      </c>
      <c r="CD12" s="10" t="n">
        <v>0.1828908353</v>
      </c>
      <c r="CE12" s="9" t="n">
        <v>0.23037491</v>
      </c>
      <c r="CG12" s="10">
        <f>CC12/W12</f>
        <v/>
      </c>
      <c r="CH12" s="10">
        <f>IF(X12=0, 0, CD12*X12/W12)</f>
        <v/>
      </c>
      <c r="CI12" s="10">
        <f>CE12</f>
        <v/>
      </c>
      <c r="CK12" s="17">
        <f>(AA12+AC12)/W12</f>
        <v/>
      </c>
      <c r="CL12" s="17">
        <f>(Z12+AB12)/W12</f>
        <v/>
      </c>
      <c r="CM12" s="10">
        <f>BZ12*I12</f>
        <v/>
      </c>
      <c r="CN12" s="10">
        <f>CA12*J12</f>
        <v/>
      </c>
      <c r="CO12" s="10">
        <f>CB12*K12</f>
        <v/>
      </c>
      <c r="CP12" s="10">
        <f>(N12)</f>
        <v/>
      </c>
      <c r="CR12" s="1">
        <f>SUM(CG12:CH12)-SUM(CK12:CP12)</f>
        <v/>
      </c>
    </row>
    <row r="13">
      <c r="B13" s="22" t="inlineStr">
        <is>
          <t>CA_Ethanol_to_Diesel</t>
        </is>
      </c>
      <c r="C13" s="23" t="inlineStr">
        <is>
          <t>Ethanol</t>
        </is>
      </c>
      <c r="D13" s="23" t="n">
        <v>6</v>
      </c>
      <c r="E13" s="23">
        <f>S13</f>
        <v/>
      </c>
      <c r="F13" s="22" t="n">
        <v>0.014253091</v>
      </c>
      <c r="G13" s="22" t="n">
        <v>0</v>
      </c>
      <c r="H13" s="22" t="n">
        <v>0</v>
      </c>
      <c r="I13" s="22" t="n">
        <v>0</v>
      </c>
      <c r="J13" s="22" t="n">
        <v>0.950466389</v>
      </c>
      <c r="K13" s="22" t="n">
        <v>0</v>
      </c>
      <c r="L13" s="28">
        <f>SUM(I13:K13)</f>
        <v/>
      </c>
      <c r="M13" s="22" t="n">
        <v>0</v>
      </c>
      <c r="N13" s="22" t="n">
        <v>0.0010795</v>
      </c>
      <c r="O13" s="22" t="n">
        <v>246863.8625</v>
      </c>
      <c r="P13" s="22" t="n">
        <v>135253.823</v>
      </c>
      <c r="Q13" s="22" t="n">
        <v>10.05</v>
      </c>
      <c r="S13" s="17">
        <f t="array" ref="S13:AF13">_xlfn.XLOOKUP(D13, CT:CT, CU:DH)</f>
        <v/>
      </c>
      <c r="T13" s="17" t="inlineStr">
        <is>
          <t>Biomass_Corn</t>
        </is>
      </c>
      <c r="U13" s="17" t="n">
        <v>0</v>
      </c>
      <c r="V13" s="17" t="n">
        <v>0.085342825</v>
      </c>
      <c r="W13" s="17" t="n">
        <v>3.104337995</v>
      </c>
      <c r="X13" s="17" t="n">
        <v>1.013397519</v>
      </c>
      <c r="Y13" s="17" t="n">
        <v>1.758866658</v>
      </c>
      <c r="Z13" s="17" t="n">
        <v>0.357687672</v>
      </c>
      <c r="AA13" s="17" t="n">
        <v>0.6860173939999999</v>
      </c>
      <c r="AB13" s="17" t="n">
        <v>0.152906423</v>
      </c>
      <c r="AC13" s="17" t="n">
        <v>0.032434696</v>
      </c>
      <c r="AD13" s="17" t="n">
        <v>45179.42</v>
      </c>
      <c r="AE13" s="17" t="n">
        <v>201481.25</v>
      </c>
      <c r="AF13" s="17" t="n">
        <v>-25.28</v>
      </c>
      <c r="AH13" s="15" t="n">
        <v>73.71884</v>
      </c>
      <c r="AI13" s="15" t="n">
        <v>-6.097314</v>
      </c>
      <c r="AJ13" s="15" t="n">
        <v>61.343403</v>
      </c>
      <c r="AK13" s="15" t="n">
        <v>33.004971</v>
      </c>
      <c r="AL13" s="15" t="n">
        <v>42.19561</v>
      </c>
      <c r="AM13" s="15" t="n">
        <v>155</v>
      </c>
      <c r="AN13" s="15" t="n">
        <v>22.90669</v>
      </c>
      <c r="AO13" s="15" t="n">
        <v>13.197062</v>
      </c>
      <c r="AP13" s="15" t="n">
        <v>14.953878</v>
      </c>
      <c r="AR13" s="1">
        <f>B13</f>
        <v/>
      </c>
      <c r="AS13" s="1">
        <f>C13</f>
        <v/>
      </c>
      <c r="AT13" s="11">
        <f>SUM(AW13:BI13)+BK13+BL13</f>
        <v/>
      </c>
      <c r="AU13" s="11">
        <f>SUM(AW13:BI13)+BN13+BO13</f>
        <v/>
      </c>
      <c r="AV13" s="5">
        <f>AT13-AU13</f>
        <v/>
      </c>
      <c r="AW13" s="5">
        <f>F13/L13*AO13</f>
        <v/>
      </c>
      <c r="AX13" s="1">
        <f>G13/L13*AN13</f>
        <v/>
      </c>
      <c r="AY13" s="1">
        <f>BS13</f>
        <v/>
      </c>
      <c r="AZ13" s="1">
        <f>H13/L13</f>
        <v/>
      </c>
      <c r="BA13" s="1">
        <f>BR13</f>
        <v/>
      </c>
      <c r="BB13" s="1">
        <f>BT13</f>
        <v/>
      </c>
      <c r="BC13" s="1">
        <f>BU13</f>
        <v/>
      </c>
      <c r="BD13" s="1">
        <f>O13/L13/(0.9*8760)</f>
        <v/>
      </c>
      <c r="BE13" s="1">
        <f>BV13</f>
        <v/>
      </c>
      <c r="BF13" s="1">
        <f>P13/L13/(0.9*8760)</f>
        <v/>
      </c>
      <c r="BG13" s="1">
        <f>BW13</f>
        <v/>
      </c>
      <c r="BH13" s="1">
        <f>Q13/L13</f>
        <v/>
      </c>
      <c r="BI13" s="1">
        <f>BX13</f>
        <v/>
      </c>
      <c r="BJ13" s="1">
        <f>(SUM(CK13:CP13)-CG13)/L13</f>
        <v/>
      </c>
      <c r="BK13" s="1">
        <f>((AH13+AI13)*-1*CL13)/L13</f>
        <v/>
      </c>
      <c r="BL13" s="1">
        <f>BJ13*AH13</f>
        <v/>
      </c>
      <c r="BM13" s="1">
        <f>(CK13+CM13+CN13+CO13+CP13-CG13)/L13</f>
        <v/>
      </c>
      <c r="BN13" s="1">
        <f>(CL13*AI13*-1)/L13</f>
        <v/>
      </c>
      <c r="BO13" s="1">
        <f>BM13*AH13</f>
        <v/>
      </c>
      <c r="BQ13" s="1">
        <f>S13</f>
        <v/>
      </c>
      <c r="BR13" s="1">
        <f>U13/W13/L13*AN13*-1</f>
        <v/>
      </c>
      <c r="BS13" s="1">
        <f>V13/W13/L13*AN13</f>
        <v/>
      </c>
      <c r="BT13" s="1">
        <f t="array" ref="BT13">_xlfn.IFS(T13="Biomass_Corn", 1/W13/L13*AM13, T13="Biomass_Agri", 1/W13/L13*AL13, T13="Biomass_Wood", 1/W13/L13*AK13, T13="Biomass_Herb", 1/W13/L13*AJ13)</f>
        <v/>
      </c>
      <c r="BU13" s="1">
        <f>X13/W13/L13*AP13</f>
        <v/>
      </c>
      <c r="BV13" s="1">
        <f>AD13/W13/L13/(0.9*8760)</f>
        <v/>
      </c>
      <c r="BW13" s="1">
        <f>AE13/W13/L13/(0.9*8760)</f>
        <v/>
      </c>
      <c r="BX13" s="1">
        <f>AF13/W13/L13</f>
        <v/>
      </c>
      <c r="BZ13" s="9" t="n">
        <v>0.2409589293</v>
      </c>
      <c r="CA13" s="9" t="n">
        <v>0.2418283623</v>
      </c>
      <c r="CB13" s="9" t="n">
        <v>0.2402551414</v>
      </c>
      <c r="CC13" s="17">
        <f>Y13</f>
        <v/>
      </c>
      <c r="CD13" s="10" t="n">
        <v>0.1828908353</v>
      </c>
      <c r="CE13" s="9" t="n">
        <v>0.23037491</v>
      </c>
      <c r="CG13" s="10">
        <f>CC13/W13</f>
        <v/>
      </c>
      <c r="CH13" s="10">
        <f>IF(X13=0, 0, CD13*X13/W13)</f>
        <v/>
      </c>
      <c r="CI13" s="10">
        <f>CE13</f>
        <v/>
      </c>
      <c r="CK13" s="17">
        <f>(AA13+AC13)/W13</f>
        <v/>
      </c>
      <c r="CL13" s="17">
        <f>(Z13+AB13)/W13</f>
        <v/>
      </c>
      <c r="CM13" s="10">
        <f>BZ13*I13</f>
        <v/>
      </c>
      <c r="CN13" s="10">
        <f>CA13*J13</f>
        <v/>
      </c>
      <c r="CO13" s="10">
        <f>CB13*K13</f>
        <v/>
      </c>
      <c r="CP13" s="10">
        <f>(N13)</f>
        <v/>
      </c>
      <c r="CR13" s="1">
        <f>SUM(CG13:CH13)-SUM(CK13:CP13)</f>
        <v/>
      </c>
    </row>
    <row r="14">
      <c r="B14" s="22" t="inlineStr">
        <is>
          <t>NW_Ethanol_to_Diesel</t>
        </is>
      </c>
      <c r="C14" s="23" t="inlineStr">
        <is>
          <t>Ethanol</t>
        </is>
      </c>
      <c r="D14" s="23" t="n">
        <v>6</v>
      </c>
      <c r="E14" s="23">
        <f>S14</f>
        <v/>
      </c>
      <c r="F14" s="22" t="n">
        <v>0.014253091</v>
      </c>
      <c r="G14" s="22" t="n">
        <v>0</v>
      </c>
      <c r="H14" s="22" t="n">
        <v>0</v>
      </c>
      <c r="I14" s="22" t="n">
        <v>0</v>
      </c>
      <c r="J14" s="22" t="n">
        <v>0.950466389</v>
      </c>
      <c r="K14" s="22" t="n">
        <v>0</v>
      </c>
      <c r="L14" s="28">
        <f>SUM(I14:K14)</f>
        <v/>
      </c>
      <c r="M14" s="22" t="n">
        <v>0</v>
      </c>
      <c r="N14" s="22" t="n">
        <v>0.0010795</v>
      </c>
      <c r="O14" s="22" t="n">
        <v>246863.8625</v>
      </c>
      <c r="P14" s="22" t="n">
        <v>135253.823</v>
      </c>
      <c r="Q14" s="22" t="n">
        <v>10.05</v>
      </c>
      <c r="S14" s="17">
        <f t="array" ref="S14:AF14">_xlfn.XLOOKUP(D14, CT:CT, CU:DH)</f>
        <v/>
      </c>
      <c r="T14" s="17" t="inlineStr">
        <is>
          <t>Biomass_Corn</t>
        </is>
      </c>
      <c r="U14" s="17" t="n">
        <v>0</v>
      </c>
      <c r="V14" s="17" t="n">
        <v>0.085342825</v>
      </c>
      <c r="W14" s="17" t="n">
        <v>3.104337995</v>
      </c>
      <c r="X14" s="17" t="n">
        <v>1.013397519</v>
      </c>
      <c r="Y14" s="17" t="n">
        <v>1.758866658</v>
      </c>
      <c r="Z14" s="17" t="n">
        <v>0.357687672</v>
      </c>
      <c r="AA14" s="17" t="n">
        <v>0.6860173939999999</v>
      </c>
      <c r="AB14" s="17" t="n">
        <v>0.152906423</v>
      </c>
      <c r="AC14" s="17" t="n">
        <v>0.032434696</v>
      </c>
      <c r="AD14" s="17" t="n">
        <v>45179.42</v>
      </c>
      <c r="AE14" s="17" t="n">
        <v>201481.25</v>
      </c>
      <c r="AF14" s="17" t="n">
        <v>-25.28</v>
      </c>
      <c r="AH14" s="15" t="n">
        <v>73.71884</v>
      </c>
      <c r="AI14" s="15" t="n">
        <v>-6.097314</v>
      </c>
      <c r="AJ14" s="15" t="n">
        <v>61.343403</v>
      </c>
      <c r="AK14" s="15" t="n">
        <v>33.004971</v>
      </c>
      <c r="AL14" s="15" t="n">
        <v>42.19561</v>
      </c>
      <c r="AM14" s="15" t="n">
        <v>155</v>
      </c>
      <c r="AN14" s="15" t="n">
        <v>22.90669</v>
      </c>
      <c r="AO14" s="15" t="n">
        <v>13.197062</v>
      </c>
      <c r="AP14" s="15" t="n">
        <v>14.953878</v>
      </c>
      <c r="AR14" s="1">
        <f>B14</f>
        <v/>
      </c>
      <c r="AS14" s="1">
        <f>C14</f>
        <v/>
      </c>
      <c r="AT14" s="11">
        <f>SUM(AW14:BI14)+BK14+BL14</f>
        <v/>
      </c>
      <c r="AU14" s="11">
        <f>SUM(AW14:BI14)+BN14+BO14</f>
        <v/>
      </c>
      <c r="AV14" s="5">
        <f>AT14-AU14</f>
        <v/>
      </c>
      <c r="AW14" s="5">
        <f>F14/L14*AO14</f>
        <v/>
      </c>
      <c r="AX14" s="1">
        <f>G14/L14*AN14</f>
        <v/>
      </c>
      <c r="AY14" s="1">
        <f>BS14</f>
        <v/>
      </c>
      <c r="AZ14" s="1">
        <f>H14/L14</f>
        <v/>
      </c>
      <c r="BA14" s="1">
        <f>BR14</f>
        <v/>
      </c>
      <c r="BB14" s="1">
        <f>BT14</f>
        <v/>
      </c>
      <c r="BC14" s="1">
        <f>BU14</f>
        <v/>
      </c>
      <c r="BD14" s="1">
        <f>O14/L14/(0.9*8760)</f>
        <v/>
      </c>
      <c r="BE14" s="1">
        <f>BV14</f>
        <v/>
      </c>
      <c r="BF14" s="1">
        <f>P14/L14/(0.9*8760)</f>
        <v/>
      </c>
      <c r="BG14" s="1">
        <f>BW14</f>
        <v/>
      </c>
      <c r="BH14" s="1">
        <f>Q14/L14</f>
        <v/>
      </c>
      <c r="BI14" s="1">
        <f>BX14</f>
        <v/>
      </c>
      <c r="BJ14" s="1">
        <f>(SUM(CK14:CP14)-CG14)/L14</f>
        <v/>
      </c>
      <c r="BK14" s="1">
        <f>((AH14+AI14)*-1*CL14)/L14</f>
        <v/>
      </c>
      <c r="BL14" s="1">
        <f>BJ14*AH14</f>
        <v/>
      </c>
      <c r="BM14" s="1">
        <f>(CK14+CM14+CN14+CO14+CP14-CG14)/L14</f>
        <v/>
      </c>
      <c r="BN14" s="1">
        <f>(CL14*AI14*-1)/L14</f>
        <v/>
      </c>
      <c r="BO14" s="1">
        <f>BM14*AH14</f>
        <v/>
      </c>
      <c r="BQ14" s="1">
        <f>S14</f>
        <v/>
      </c>
      <c r="BR14" s="1">
        <f>U14/W14/L14*AN14*-1</f>
        <v/>
      </c>
      <c r="BS14" s="1">
        <f>V14/W14/L14*AN14</f>
        <v/>
      </c>
      <c r="BT14" s="1">
        <f t="array" ref="BT14">_xlfn.IFS(T14="Biomass_Corn", 1/W14/L14*AM14, T14="Biomass_Agri", 1/W14/L14*AL14, T14="Biomass_Wood", 1/W14/L14*AK14, T14="Biomass_Herb", 1/W14/L14*AJ14)</f>
        <v/>
      </c>
      <c r="BU14" s="1">
        <f>X14/W14/L14*AP14</f>
        <v/>
      </c>
      <c r="BV14" s="1">
        <f>AD14/W14/L14/(0.9*8760)</f>
        <v/>
      </c>
      <c r="BW14" s="1">
        <f>AE14/W14/L14/(0.9*8760)</f>
        <v/>
      </c>
      <c r="BX14" s="1">
        <f>AF14/W14/L14</f>
        <v/>
      </c>
      <c r="BZ14" s="9" t="n">
        <v>0.2409589293</v>
      </c>
      <c r="CA14" s="9" t="n">
        <v>0.2418283623</v>
      </c>
      <c r="CB14" s="9" t="n">
        <v>0.2402551414</v>
      </c>
      <c r="CC14" s="17">
        <f>Y14</f>
        <v/>
      </c>
      <c r="CD14" s="10" t="n">
        <v>0.1828908353</v>
      </c>
      <c r="CE14" s="9" t="n">
        <v>0.23037491</v>
      </c>
      <c r="CG14" s="10">
        <f>CC14/W14</f>
        <v/>
      </c>
      <c r="CH14" s="10">
        <f>IF(X14=0, 0, CD14*X14/W14)</f>
        <v/>
      </c>
      <c r="CI14" s="10">
        <f>CE14</f>
        <v/>
      </c>
      <c r="CK14" s="17">
        <f>(AA14+AC14)/W14</f>
        <v/>
      </c>
      <c r="CL14" s="17">
        <f>(Z14+AB14)/W14</f>
        <v/>
      </c>
      <c r="CM14" s="10">
        <f>BZ14*I14</f>
        <v/>
      </c>
      <c r="CN14" s="10">
        <f>CA14*J14</f>
        <v/>
      </c>
      <c r="CO14" s="10">
        <f>CB14*K14</f>
        <v/>
      </c>
      <c r="CP14" s="10">
        <f>(N14)</f>
        <v/>
      </c>
      <c r="CR14" s="1">
        <f>SUM(CG14:CH14)-SUM(CK14:CP14)</f>
        <v/>
      </c>
    </row>
    <row r="15">
      <c r="B15" s="22" t="inlineStr">
        <is>
          <t>SW_Ethanol_to_Diesel</t>
        </is>
      </c>
      <c r="C15" s="23" t="inlineStr">
        <is>
          <t>Ethanol</t>
        </is>
      </c>
      <c r="D15" s="23" t="n">
        <v>6</v>
      </c>
      <c r="E15" s="23">
        <f>S15</f>
        <v/>
      </c>
      <c r="F15" s="22" t="n">
        <v>0.014253091</v>
      </c>
      <c r="G15" s="22" t="n">
        <v>0</v>
      </c>
      <c r="H15" s="22" t="n">
        <v>0</v>
      </c>
      <c r="I15" s="22" t="n">
        <v>0</v>
      </c>
      <c r="J15" s="22" t="n">
        <v>0.950466389</v>
      </c>
      <c r="K15" s="22" t="n">
        <v>0</v>
      </c>
      <c r="L15" s="28">
        <f>SUM(I15:K15)</f>
        <v/>
      </c>
      <c r="M15" s="22" t="n">
        <v>0</v>
      </c>
      <c r="N15" s="22" t="n">
        <v>0.0010795</v>
      </c>
      <c r="O15" s="22" t="n">
        <v>246863.8625</v>
      </c>
      <c r="P15" s="22" t="n">
        <v>135253.823</v>
      </c>
      <c r="Q15" s="22" t="n">
        <v>10.05</v>
      </c>
      <c r="S15" s="17">
        <f t="array" ref="S15:AF15">_xlfn.XLOOKUP(D15, CT:CT, CU:DH)</f>
        <v/>
      </c>
      <c r="T15" s="17" t="inlineStr">
        <is>
          <t>Biomass_Corn</t>
        </is>
      </c>
      <c r="U15" s="17" t="n">
        <v>0</v>
      </c>
      <c r="V15" s="17" t="n">
        <v>0.085342825</v>
      </c>
      <c r="W15" s="17" t="n">
        <v>3.104337995</v>
      </c>
      <c r="X15" s="17" t="n">
        <v>1.013397519</v>
      </c>
      <c r="Y15" s="17" t="n">
        <v>1.758866658</v>
      </c>
      <c r="Z15" s="17" t="n">
        <v>0.357687672</v>
      </c>
      <c r="AA15" s="17" t="n">
        <v>0.6860173939999999</v>
      </c>
      <c r="AB15" s="17" t="n">
        <v>0.152906423</v>
      </c>
      <c r="AC15" s="17" t="n">
        <v>0.032434696</v>
      </c>
      <c r="AD15" s="17" t="n">
        <v>45179.42</v>
      </c>
      <c r="AE15" s="17" t="n">
        <v>201481.25</v>
      </c>
      <c r="AF15" s="17" t="n">
        <v>-25.28</v>
      </c>
      <c r="AH15" s="15" t="n">
        <v>73.71884</v>
      </c>
      <c r="AI15" s="15" t="n">
        <v>-6.097314</v>
      </c>
      <c r="AJ15" s="15" t="n">
        <v>61.343403</v>
      </c>
      <c r="AK15" s="15" t="n">
        <v>33.004971</v>
      </c>
      <c r="AL15" s="15" t="n">
        <v>42.19561</v>
      </c>
      <c r="AM15" s="15" t="n">
        <v>155</v>
      </c>
      <c r="AN15" s="15" t="n">
        <v>22.90669</v>
      </c>
      <c r="AO15" s="15" t="n">
        <v>13.197062</v>
      </c>
      <c r="AP15" s="15" t="n">
        <v>14.953878</v>
      </c>
      <c r="AR15" s="1">
        <f>B15</f>
        <v/>
      </c>
      <c r="AS15" s="1">
        <f>C15</f>
        <v/>
      </c>
      <c r="AT15" s="11">
        <f>SUM(AW15:BI15)+BK15+BL15</f>
        <v/>
      </c>
      <c r="AU15" s="11">
        <f>SUM(AW15:BI15)+BN15+BO15</f>
        <v/>
      </c>
      <c r="AV15" s="5">
        <f>AT15-AU15</f>
        <v/>
      </c>
      <c r="AW15" s="5">
        <f>F15/L15*AO15</f>
        <v/>
      </c>
      <c r="AX15" s="1">
        <f>G15/L15*AN15</f>
        <v/>
      </c>
      <c r="AY15" s="1">
        <f>BS15</f>
        <v/>
      </c>
      <c r="AZ15" s="1">
        <f>H15/L15</f>
        <v/>
      </c>
      <c r="BA15" s="1">
        <f>BR15</f>
        <v/>
      </c>
      <c r="BB15" s="1">
        <f>BT15</f>
        <v/>
      </c>
      <c r="BC15" s="1">
        <f>BU15</f>
        <v/>
      </c>
      <c r="BD15" s="1">
        <f>O15/L15/(0.9*8760)</f>
        <v/>
      </c>
      <c r="BE15" s="1">
        <f>BV15</f>
        <v/>
      </c>
      <c r="BF15" s="1">
        <f>P15/L15/(0.9*8760)</f>
        <v/>
      </c>
      <c r="BG15" s="1">
        <f>BW15</f>
        <v/>
      </c>
      <c r="BH15" s="1">
        <f>Q15/L15</f>
        <v/>
      </c>
      <c r="BI15" s="1">
        <f>BX15</f>
        <v/>
      </c>
      <c r="BJ15" s="1">
        <f>(SUM(CK15:CP15)-CG15)/L15</f>
        <v/>
      </c>
      <c r="BK15" s="1">
        <f>((AH15+AI15)*-1*CL15)/L15</f>
        <v/>
      </c>
      <c r="BL15" s="1">
        <f>BJ15*AH15</f>
        <v/>
      </c>
      <c r="BM15" s="1">
        <f>(CK15+CM15+CN15+CO15+CP15-CG15)/L15</f>
        <v/>
      </c>
      <c r="BN15" s="1">
        <f>(CL15*AI15*-1)/L15</f>
        <v/>
      </c>
      <c r="BO15" s="1">
        <f>BM15*AH15</f>
        <v/>
      </c>
      <c r="BQ15" s="1">
        <f>S15</f>
        <v/>
      </c>
      <c r="BR15" s="1">
        <f>U15/W15/L15*AN15*-1</f>
        <v/>
      </c>
      <c r="BS15" s="1">
        <f>V15/W15/L15*AN15</f>
        <v/>
      </c>
      <c r="BT15" s="1">
        <f t="array" ref="BT15">_xlfn.IFS(T15="Biomass_Corn", 1/W15/L15*AM15, T15="Biomass_Agri", 1/W15/L15*AL15, T15="Biomass_Wood", 1/W15/L15*AK15, T15="Biomass_Herb", 1/W15/L15*AJ15)</f>
        <v/>
      </c>
      <c r="BU15" s="1">
        <f>X15/W15/L15*AP15</f>
        <v/>
      </c>
      <c r="BV15" s="1">
        <f>AD15/W15/L15/(0.9*8760)</f>
        <v/>
      </c>
      <c r="BW15" s="1">
        <f>AE15/W15/L15/(0.9*8760)</f>
        <v/>
      </c>
      <c r="BX15" s="1">
        <f>AF15/W15/L15</f>
        <v/>
      </c>
      <c r="BZ15" s="9" t="n">
        <v>0.2409589293</v>
      </c>
      <c r="CA15" s="9" t="n">
        <v>0.2418283623</v>
      </c>
      <c r="CB15" s="9" t="n">
        <v>0.2402551414</v>
      </c>
      <c r="CC15" s="17">
        <f>Y15</f>
        <v/>
      </c>
      <c r="CD15" s="10" t="n">
        <v>0.1828908353</v>
      </c>
      <c r="CE15" s="9" t="n">
        <v>0.23037491</v>
      </c>
      <c r="CG15" s="10">
        <f>CC15/W15</f>
        <v/>
      </c>
      <c r="CH15" s="10">
        <f>IF(X15=0, 0, CD15*X15/W15)</f>
        <v/>
      </c>
      <c r="CI15" s="10">
        <f>CE15</f>
        <v/>
      </c>
      <c r="CK15" s="17">
        <f>(AA15+AC15)/W15</f>
        <v/>
      </c>
      <c r="CL15" s="17">
        <f>(Z15+AB15)/W15</f>
        <v/>
      </c>
      <c r="CM15" s="10">
        <f>BZ15*I15</f>
        <v/>
      </c>
      <c r="CN15" s="10">
        <f>CA15*J15</f>
        <v/>
      </c>
      <c r="CO15" s="10">
        <f>CB15*K15</f>
        <v/>
      </c>
      <c r="CP15" s="10">
        <f>(N15)</f>
        <v/>
      </c>
      <c r="CR15" s="1">
        <f>SUM(CG15:CH15)-SUM(CK15:CP15)</f>
        <v/>
      </c>
    </row>
    <row r="16">
      <c r="B16" s="22" t="inlineStr">
        <is>
          <t>TX_Ethanol_to_Diesel</t>
        </is>
      </c>
      <c r="C16" s="23" t="inlineStr">
        <is>
          <t>Ethanol</t>
        </is>
      </c>
      <c r="D16" s="23" t="n">
        <v>6</v>
      </c>
      <c r="E16" s="23">
        <f>S16</f>
        <v/>
      </c>
      <c r="F16" s="22" t="n">
        <v>0.014253091</v>
      </c>
      <c r="G16" s="22" t="n">
        <v>0</v>
      </c>
      <c r="H16" s="22" t="n">
        <v>0</v>
      </c>
      <c r="I16" s="22" t="n">
        <v>0</v>
      </c>
      <c r="J16" s="22" t="n">
        <v>0.950466389</v>
      </c>
      <c r="K16" s="22" t="n">
        <v>0</v>
      </c>
      <c r="L16" s="28">
        <f>SUM(I16:K16)</f>
        <v/>
      </c>
      <c r="M16" s="22" t="n">
        <v>0</v>
      </c>
      <c r="N16" s="22" t="n">
        <v>0.0010795</v>
      </c>
      <c r="O16" s="22" t="n">
        <v>246863.8625</v>
      </c>
      <c r="P16" s="22" t="n">
        <v>135253.823</v>
      </c>
      <c r="Q16" s="22" t="n">
        <v>10.05</v>
      </c>
      <c r="S16" s="17">
        <f t="array" ref="S16:AF16">_xlfn.XLOOKUP(D16, CT:CT, CU:DH)</f>
        <v/>
      </c>
      <c r="T16" s="17" t="inlineStr">
        <is>
          <t>Biomass_Corn</t>
        </is>
      </c>
      <c r="U16" s="17" t="n">
        <v>0</v>
      </c>
      <c r="V16" s="17" t="n">
        <v>0.085342825</v>
      </c>
      <c r="W16" s="17" t="n">
        <v>3.104337995</v>
      </c>
      <c r="X16" s="17" t="n">
        <v>1.013397519</v>
      </c>
      <c r="Y16" s="17" t="n">
        <v>1.758866658</v>
      </c>
      <c r="Z16" s="17" t="n">
        <v>0.357687672</v>
      </c>
      <c r="AA16" s="17" t="n">
        <v>0.6860173939999999</v>
      </c>
      <c r="AB16" s="17" t="n">
        <v>0.152906423</v>
      </c>
      <c r="AC16" s="17" t="n">
        <v>0.032434696</v>
      </c>
      <c r="AD16" s="17" t="n">
        <v>45179.42</v>
      </c>
      <c r="AE16" s="17" t="n">
        <v>201481.25</v>
      </c>
      <c r="AF16" s="17" t="n">
        <v>-25.28</v>
      </c>
      <c r="AH16" s="15" t="n">
        <v>73.71884</v>
      </c>
      <c r="AI16" s="15" t="n">
        <v>-6.097314</v>
      </c>
      <c r="AJ16" s="15" t="n">
        <v>61.343403</v>
      </c>
      <c r="AK16" s="15" t="n">
        <v>33.004971</v>
      </c>
      <c r="AL16" s="15" t="n">
        <v>42.19561</v>
      </c>
      <c r="AM16" s="15" t="n">
        <v>155</v>
      </c>
      <c r="AN16" s="15" t="n">
        <v>22.90669</v>
      </c>
      <c r="AO16" s="15" t="n">
        <v>13.197062</v>
      </c>
      <c r="AP16" s="15" t="n">
        <v>14.953878</v>
      </c>
      <c r="AR16" s="1">
        <f>B16</f>
        <v/>
      </c>
      <c r="AS16" s="1">
        <f>C16</f>
        <v/>
      </c>
      <c r="AT16" s="11">
        <f>SUM(AW16:BI16)+BK16+BL16</f>
        <v/>
      </c>
      <c r="AU16" s="11">
        <f>SUM(AW16:BI16)+BN16+BO16</f>
        <v/>
      </c>
      <c r="AV16" s="5">
        <f>AT16-AU16</f>
        <v/>
      </c>
      <c r="AW16" s="5">
        <f>F16/L16*AO16</f>
        <v/>
      </c>
      <c r="AX16" s="1">
        <f>G16/L16*AN16</f>
        <v/>
      </c>
      <c r="AY16" s="1">
        <f>BS16</f>
        <v/>
      </c>
      <c r="AZ16" s="1">
        <f>H16/L16</f>
        <v/>
      </c>
      <c r="BA16" s="1">
        <f>BR16</f>
        <v/>
      </c>
      <c r="BB16" s="1">
        <f>BT16</f>
        <v/>
      </c>
      <c r="BC16" s="1">
        <f>BU16</f>
        <v/>
      </c>
      <c r="BD16" s="1">
        <f>O16/L16/(0.9*8760)</f>
        <v/>
      </c>
      <c r="BE16" s="1">
        <f>BV16</f>
        <v/>
      </c>
      <c r="BF16" s="1">
        <f>P16/L16/(0.9*8760)</f>
        <v/>
      </c>
      <c r="BG16" s="1">
        <f>BW16</f>
        <v/>
      </c>
      <c r="BH16" s="1">
        <f>Q16/L16</f>
        <v/>
      </c>
      <c r="BI16" s="1">
        <f>BX16</f>
        <v/>
      </c>
      <c r="BJ16" s="1">
        <f>(SUM(CK16:CP16)-CG16)/L16</f>
        <v/>
      </c>
      <c r="BK16" s="1">
        <f>((AH16+AI16)*-1*CL16)/L16</f>
        <v/>
      </c>
      <c r="BL16" s="1">
        <f>BJ16*AH16</f>
        <v/>
      </c>
      <c r="BM16" s="1">
        <f>(CK16+CM16+CN16+CO16+CP16-CG16)/L16</f>
        <v/>
      </c>
      <c r="BN16" s="1">
        <f>(CL16*AI16*-1)/L16</f>
        <v/>
      </c>
      <c r="BO16" s="1">
        <f>BM16*AH16</f>
        <v/>
      </c>
      <c r="BQ16" s="1">
        <f>S16</f>
        <v/>
      </c>
      <c r="BR16" s="1">
        <f>U16/W16/L16*AN16*-1</f>
        <v/>
      </c>
      <c r="BS16" s="1">
        <f>V16/W16/L16*AN16</f>
        <v/>
      </c>
      <c r="BT16" s="1">
        <f t="array" ref="BT16">_xlfn.IFS(T16="Biomass_Corn", 1/W16/L16*AM16, T16="Biomass_Agri", 1/W16/L16*AL16, T16="Biomass_Wood", 1/W16/L16*AK16, T16="Biomass_Herb", 1/W16/L16*AJ16)</f>
        <v/>
      </c>
      <c r="BU16" s="1">
        <f>X16/W16/L16*AP16</f>
        <v/>
      </c>
      <c r="BV16" s="1">
        <f>AD16/W16/L16/(0.9*8760)</f>
        <v/>
      </c>
      <c r="BW16" s="1">
        <f>AE16/W16/L16/(0.9*8760)</f>
        <v/>
      </c>
      <c r="BX16" s="1">
        <f>AF16/W16/L16</f>
        <v/>
      </c>
      <c r="BZ16" s="9" t="n">
        <v>0.2409589293</v>
      </c>
      <c r="CA16" s="9" t="n">
        <v>0.2418283623</v>
      </c>
      <c r="CB16" s="9" t="n">
        <v>0.2402551414</v>
      </c>
      <c r="CC16" s="17">
        <f>Y16</f>
        <v/>
      </c>
      <c r="CD16" s="10" t="n">
        <v>0.1828908353</v>
      </c>
      <c r="CE16" s="9" t="n">
        <v>0.23037491</v>
      </c>
      <c r="CG16" s="10">
        <f>CC16/W16</f>
        <v/>
      </c>
      <c r="CH16" s="10">
        <f>IF(X16=0, 0, CD16*X16/W16)</f>
        <v/>
      </c>
      <c r="CI16" s="10">
        <f>CE16</f>
        <v/>
      </c>
      <c r="CK16" s="17">
        <f>(AA16+AC16)/W16</f>
        <v/>
      </c>
      <c r="CL16" s="17">
        <f>(Z16+AB16)/W16</f>
        <v/>
      </c>
      <c r="CM16" s="10">
        <f>BZ16*I16</f>
        <v/>
      </c>
      <c r="CN16" s="10">
        <f>CA16*J16</f>
        <v/>
      </c>
      <c r="CO16" s="10">
        <f>CB16*K16</f>
        <v/>
      </c>
      <c r="CP16" s="10">
        <f>(N16)</f>
        <v/>
      </c>
      <c r="CR16" s="1">
        <f>SUM(CG16:CH16)-SUM(CK16:CP16)</f>
        <v/>
      </c>
    </row>
    <row r="17">
      <c r="B17" s="22" t="inlineStr">
        <is>
          <t>NCEN_Ethanol_to_Diesel</t>
        </is>
      </c>
      <c r="C17" s="23" t="inlineStr">
        <is>
          <t>Ethanol</t>
        </is>
      </c>
      <c r="D17" s="23" t="n">
        <v>6</v>
      </c>
      <c r="E17" s="23">
        <f>S17</f>
        <v/>
      </c>
      <c r="F17" s="22" t="n">
        <v>0.014253091</v>
      </c>
      <c r="G17" s="22" t="n">
        <v>0</v>
      </c>
      <c r="H17" s="22" t="n">
        <v>0</v>
      </c>
      <c r="I17" s="22" t="n">
        <v>0</v>
      </c>
      <c r="J17" s="22" t="n">
        <v>0.950466389</v>
      </c>
      <c r="K17" s="22" t="n">
        <v>0</v>
      </c>
      <c r="L17" s="28">
        <f>SUM(I17:K17)</f>
        <v/>
      </c>
      <c r="M17" s="22" t="n">
        <v>0</v>
      </c>
      <c r="N17" s="22" t="n">
        <v>0.0010795</v>
      </c>
      <c r="O17" s="22" t="n">
        <v>246863.8625</v>
      </c>
      <c r="P17" s="22" t="n">
        <v>135253.823</v>
      </c>
      <c r="Q17" s="22" t="n">
        <v>10.05</v>
      </c>
      <c r="S17" s="17">
        <f t="array" ref="S17:AF17">_xlfn.XLOOKUP(D17, CT:CT, CU:DH)</f>
        <v/>
      </c>
      <c r="T17" s="17" t="inlineStr">
        <is>
          <t>Biomass_Corn</t>
        </is>
      </c>
      <c r="U17" s="17" t="n">
        <v>0</v>
      </c>
      <c r="V17" s="17" t="n">
        <v>0.085342825</v>
      </c>
      <c r="W17" s="17" t="n">
        <v>3.104337995</v>
      </c>
      <c r="X17" s="17" t="n">
        <v>1.013397519</v>
      </c>
      <c r="Y17" s="17" t="n">
        <v>1.758866658</v>
      </c>
      <c r="Z17" s="17" t="n">
        <v>0.357687672</v>
      </c>
      <c r="AA17" s="17" t="n">
        <v>0.6860173939999999</v>
      </c>
      <c r="AB17" s="17" t="n">
        <v>0.152906423</v>
      </c>
      <c r="AC17" s="17" t="n">
        <v>0.032434696</v>
      </c>
      <c r="AD17" s="17" t="n">
        <v>45179.42</v>
      </c>
      <c r="AE17" s="17" t="n">
        <v>201481.25</v>
      </c>
      <c r="AF17" s="17" t="n">
        <v>-25.28</v>
      </c>
      <c r="AH17" s="15" t="n">
        <v>73.71884</v>
      </c>
      <c r="AI17" s="15" t="n">
        <v>-6.097314</v>
      </c>
      <c r="AJ17" s="15" t="n">
        <v>61.343403</v>
      </c>
      <c r="AK17" s="15" t="n">
        <v>33.004971</v>
      </c>
      <c r="AL17" s="15" t="n">
        <v>42.19561</v>
      </c>
      <c r="AM17" s="15" t="n">
        <v>155</v>
      </c>
      <c r="AN17" s="15" t="n">
        <v>22.90669</v>
      </c>
      <c r="AO17" s="15" t="n">
        <v>13.197062</v>
      </c>
      <c r="AP17" s="15" t="n">
        <v>14.953878</v>
      </c>
      <c r="AR17" s="1">
        <f>B17</f>
        <v/>
      </c>
      <c r="AS17" s="1">
        <f>C17</f>
        <v/>
      </c>
      <c r="AT17" s="11">
        <f>SUM(AW17:BI17)+BK17+BL17</f>
        <v/>
      </c>
      <c r="AU17" s="11">
        <f>SUM(AW17:BI17)+BN17+BO17</f>
        <v/>
      </c>
      <c r="AV17" s="5">
        <f>AT17-AU17</f>
        <v/>
      </c>
      <c r="AW17" s="5">
        <f>F17/L17*AO17</f>
        <v/>
      </c>
      <c r="AX17" s="1">
        <f>G17/L17*AN17</f>
        <v/>
      </c>
      <c r="AY17" s="1">
        <f>BS17</f>
        <v/>
      </c>
      <c r="AZ17" s="1">
        <f>H17/L17</f>
        <v/>
      </c>
      <c r="BA17" s="1">
        <f>BR17</f>
        <v/>
      </c>
      <c r="BB17" s="1">
        <f>BT17</f>
        <v/>
      </c>
      <c r="BC17" s="1">
        <f>BU17</f>
        <v/>
      </c>
      <c r="BD17" s="1">
        <f>O17/L17/(0.9*8760)</f>
        <v/>
      </c>
      <c r="BE17" s="1">
        <f>BV17</f>
        <v/>
      </c>
      <c r="BF17" s="1">
        <f>P17/L17/(0.9*8760)</f>
        <v/>
      </c>
      <c r="BG17" s="1">
        <f>BW17</f>
        <v/>
      </c>
      <c r="BH17" s="1">
        <f>Q17/L17</f>
        <v/>
      </c>
      <c r="BI17" s="1">
        <f>BX17</f>
        <v/>
      </c>
      <c r="BJ17" s="1">
        <f>(SUM(CK17:CP17)-CG17)/L17</f>
        <v/>
      </c>
      <c r="BK17" s="1">
        <f>((AH17+AI17)*-1*CL17)/L17</f>
        <v/>
      </c>
      <c r="BL17" s="1">
        <f>BJ17*AH17</f>
        <v/>
      </c>
      <c r="BM17" s="1">
        <f>(CK17+CM17+CN17+CO17+CP17-CG17)/L17</f>
        <v/>
      </c>
      <c r="BN17" s="1">
        <f>(CL17*AI17*-1)/L17</f>
        <v/>
      </c>
      <c r="BO17" s="1">
        <f>BM17*AH17</f>
        <v/>
      </c>
      <c r="BQ17" s="1">
        <f>S17</f>
        <v/>
      </c>
      <c r="BR17" s="1">
        <f>U17/W17/L17*AN17*-1</f>
        <v/>
      </c>
      <c r="BS17" s="1">
        <f>V17/W17/L17*AN17</f>
        <v/>
      </c>
      <c r="BT17" s="1">
        <f t="array" ref="BT17">_xlfn.IFS(T17="Biomass_Corn", 1/W17/L17*AM17, T17="Biomass_Agri", 1/W17/L17*AL17, T17="Biomass_Wood", 1/W17/L17*AK17, T17="Biomass_Herb", 1/W17/L17*AJ17)</f>
        <v/>
      </c>
      <c r="BU17" s="1">
        <f>X17/W17/L17*AP17</f>
        <v/>
      </c>
      <c r="BV17" s="1">
        <f>AD17/W17/L17/(0.9*8760)</f>
        <v/>
      </c>
      <c r="BW17" s="1">
        <f>AE17/W17/L17/(0.9*8760)</f>
        <v/>
      </c>
      <c r="BX17" s="1">
        <f>AF17/W17/L17</f>
        <v/>
      </c>
      <c r="BZ17" s="9" t="n">
        <v>0.2409589293</v>
      </c>
      <c r="CA17" s="9" t="n">
        <v>0.2418283623</v>
      </c>
      <c r="CB17" s="9" t="n">
        <v>0.2402551414</v>
      </c>
      <c r="CC17" s="17">
        <f>Y17</f>
        <v/>
      </c>
      <c r="CD17" s="10" t="n">
        <v>0.1828908353</v>
      </c>
      <c r="CE17" s="9" t="n">
        <v>0.23037491</v>
      </c>
      <c r="CG17" s="10">
        <f>CC17/W17</f>
        <v/>
      </c>
      <c r="CH17" s="10">
        <f>IF(X17=0, 0, CD17*X17/W17)</f>
        <v/>
      </c>
      <c r="CI17" s="10">
        <f>CE17</f>
        <v/>
      </c>
      <c r="CK17" s="17">
        <f>(AA17+AC17)/W17</f>
        <v/>
      </c>
      <c r="CL17" s="17">
        <f>(Z17+AB17)/W17</f>
        <v/>
      </c>
      <c r="CM17" s="10">
        <f>BZ17*I17</f>
        <v/>
      </c>
      <c r="CN17" s="10">
        <f>CA17*J17</f>
        <v/>
      </c>
      <c r="CO17" s="10">
        <f>CB17*K17</f>
        <v/>
      </c>
      <c r="CP17" s="10">
        <f>(N17)</f>
        <v/>
      </c>
      <c r="CR17" s="1">
        <f>SUM(CG17:CH17)-SUM(CK17:CP17)</f>
        <v/>
      </c>
    </row>
    <row r="18">
      <c r="B18" s="22" t="inlineStr">
        <is>
          <t>CEN_Ethanol_to_Diesel</t>
        </is>
      </c>
      <c r="C18" s="23" t="inlineStr">
        <is>
          <t>Ethanol</t>
        </is>
      </c>
      <c r="D18" s="23" t="n">
        <v>6</v>
      </c>
      <c r="E18" s="23">
        <f>S18</f>
        <v/>
      </c>
      <c r="F18" s="22" t="n">
        <v>0.014253091</v>
      </c>
      <c r="G18" s="22" t="n">
        <v>0</v>
      </c>
      <c r="H18" s="22" t="n">
        <v>0</v>
      </c>
      <c r="I18" s="22" t="n">
        <v>0</v>
      </c>
      <c r="J18" s="22" t="n">
        <v>0.950466389</v>
      </c>
      <c r="K18" s="22" t="n">
        <v>0</v>
      </c>
      <c r="L18" s="28">
        <f>SUM(I18:K18)</f>
        <v/>
      </c>
      <c r="M18" s="22" t="n">
        <v>0</v>
      </c>
      <c r="N18" s="22" t="n">
        <v>0.0010795</v>
      </c>
      <c r="O18" s="22" t="n">
        <v>246863.8625</v>
      </c>
      <c r="P18" s="22" t="n">
        <v>135253.823</v>
      </c>
      <c r="Q18" s="22" t="n">
        <v>10.05</v>
      </c>
      <c r="S18" s="17">
        <f t="array" ref="S18:AF18">_xlfn.XLOOKUP(D18, CT:CT, CU:DH)</f>
        <v/>
      </c>
      <c r="T18" s="17" t="inlineStr">
        <is>
          <t>Biomass_Corn</t>
        </is>
      </c>
      <c r="U18" s="17" t="n">
        <v>0</v>
      </c>
      <c r="V18" s="17" t="n">
        <v>0.085342825</v>
      </c>
      <c r="W18" s="17" t="n">
        <v>3.104337995</v>
      </c>
      <c r="X18" s="17" t="n">
        <v>1.013397519</v>
      </c>
      <c r="Y18" s="17" t="n">
        <v>1.758866658</v>
      </c>
      <c r="Z18" s="17" t="n">
        <v>0.357687672</v>
      </c>
      <c r="AA18" s="17" t="n">
        <v>0.6860173939999999</v>
      </c>
      <c r="AB18" s="17" t="n">
        <v>0.152906423</v>
      </c>
      <c r="AC18" s="17" t="n">
        <v>0.032434696</v>
      </c>
      <c r="AD18" s="17" t="n">
        <v>45179.42</v>
      </c>
      <c r="AE18" s="17" t="n">
        <v>201481.25</v>
      </c>
      <c r="AF18" s="17" t="n">
        <v>-25.28</v>
      </c>
      <c r="AH18" s="15" t="n">
        <v>73.71884</v>
      </c>
      <c r="AI18" s="15" t="n">
        <v>-6.097314</v>
      </c>
      <c r="AJ18" s="15" t="n">
        <v>61.343403</v>
      </c>
      <c r="AK18" s="15" t="n">
        <v>33.004971</v>
      </c>
      <c r="AL18" s="15" t="n">
        <v>42.19561</v>
      </c>
      <c r="AM18" s="15" t="n">
        <v>155</v>
      </c>
      <c r="AN18" s="15" t="n">
        <v>22.90669</v>
      </c>
      <c r="AO18" s="15" t="n">
        <v>13.197062</v>
      </c>
      <c r="AP18" s="15" t="n">
        <v>14.953878</v>
      </c>
      <c r="AR18" s="1">
        <f>B18</f>
        <v/>
      </c>
      <c r="AS18" s="1">
        <f>C18</f>
        <v/>
      </c>
      <c r="AT18" s="11">
        <f>SUM(AW18:BI18)+BK18+BL18</f>
        <v/>
      </c>
      <c r="AU18" s="11">
        <f>SUM(AW18:BI18)+BN18+BO18</f>
        <v/>
      </c>
      <c r="AV18" s="5">
        <f>AT18-AU18</f>
        <v/>
      </c>
      <c r="AW18" s="5">
        <f>F18/L18*AO18</f>
        <v/>
      </c>
      <c r="AX18" s="1">
        <f>G18/L18*AN18</f>
        <v/>
      </c>
      <c r="AY18" s="1">
        <f>BS18</f>
        <v/>
      </c>
      <c r="AZ18" s="1">
        <f>H18/L18</f>
        <v/>
      </c>
      <c r="BA18" s="1">
        <f>BR18</f>
        <v/>
      </c>
      <c r="BB18" s="1">
        <f>BT18</f>
        <v/>
      </c>
      <c r="BC18" s="1">
        <f>BU18</f>
        <v/>
      </c>
      <c r="BD18" s="1">
        <f>O18/L18/(0.9*8760)</f>
        <v/>
      </c>
      <c r="BE18" s="1">
        <f>BV18</f>
        <v/>
      </c>
      <c r="BF18" s="1">
        <f>P18/L18/(0.9*8760)</f>
        <v/>
      </c>
      <c r="BG18" s="1">
        <f>BW18</f>
        <v/>
      </c>
      <c r="BH18" s="1">
        <f>Q18/L18</f>
        <v/>
      </c>
      <c r="BI18" s="1">
        <f>BX18</f>
        <v/>
      </c>
      <c r="BJ18" s="1">
        <f>(SUM(CK18:CP18)-CG18)/L18</f>
        <v/>
      </c>
      <c r="BK18" s="1">
        <f>((AH18+AI18)*-1*CL18)/L18</f>
        <v/>
      </c>
      <c r="BL18" s="1">
        <f>BJ18*AH18</f>
        <v/>
      </c>
      <c r="BM18" s="1">
        <f>(CK18+CM18+CN18+CO18+CP18-CG18)/L18</f>
        <v/>
      </c>
      <c r="BN18" s="1">
        <f>(CL18*AI18*-1)/L18</f>
        <v/>
      </c>
      <c r="BO18" s="1">
        <f>BM18*AH18</f>
        <v/>
      </c>
      <c r="BQ18" s="1">
        <f>S18</f>
        <v/>
      </c>
      <c r="BR18" s="1">
        <f>U18/W18/L18*AN18*-1</f>
        <v/>
      </c>
      <c r="BS18" s="1">
        <f>V18/W18/L18*AN18</f>
        <v/>
      </c>
      <c r="BT18" s="1">
        <f t="array" ref="BT18">_xlfn.IFS(T18="Biomass_Corn", 1/W18/L18*AM18, T18="Biomass_Agri", 1/W18/L18*AL18, T18="Biomass_Wood", 1/W18/L18*AK18, T18="Biomass_Herb", 1/W18/L18*AJ18)</f>
        <v/>
      </c>
      <c r="BU18" s="1">
        <f>X18/W18/L18*AP18</f>
        <v/>
      </c>
      <c r="BV18" s="1">
        <f>AD18/W18/L18/(0.9*8760)</f>
        <v/>
      </c>
      <c r="BW18" s="1">
        <f>AE18/W18/L18/(0.9*8760)</f>
        <v/>
      </c>
      <c r="BX18" s="1">
        <f>AF18/W18/L18</f>
        <v/>
      </c>
      <c r="BZ18" s="9" t="n">
        <v>0.2409589293</v>
      </c>
      <c r="CA18" s="9" t="n">
        <v>0.2418283623</v>
      </c>
      <c r="CB18" s="9" t="n">
        <v>0.2402551414</v>
      </c>
      <c r="CC18" s="17">
        <f>Y18</f>
        <v/>
      </c>
      <c r="CD18" s="10" t="n">
        <v>0.1828908353</v>
      </c>
      <c r="CE18" s="9" t="n">
        <v>0.23037491</v>
      </c>
      <c r="CG18" s="10">
        <f>CC18/W18</f>
        <v/>
      </c>
      <c r="CH18" s="10">
        <f>IF(X18=0, 0, CD18*X18/W18)</f>
        <v/>
      </c>
      <c r="CI18" s="10">
        <f>CE18</f>
        <v/>
      </c>
      <c r="CK18" s="17">
        <f>(AA18+AC18)/W18</f>
        <v/>
      </c>
      <c r="CL18" s="17">
        <f>(Z18+AB18)/W18</f>
        <v/>
      </c>
      <c r="CM18" s="10">
        <f>BZ18*I18</f>
        <v/>
      </c>
      <c r="CN18" s="10">
        <f>CA18*J18</f>
        <v/>
      </c>
      <c r="CO18" s="10">
        <f>CB18*K18</f>
        <v/>
      </c>
      <c r="CP18" s="10">
        <f>(N18)</f>
        <v/>
      </c>
      <c r="CR18" s="1">
        <f>SUM(CG18:CH18)-SUM(CK18:CP18)</f>
        <v/>
      </c>
    </row>
    <row r="19">
      <c r="B19" s="22" t="inlineStr">
        <is>
          <t>SE_Ethanol_to_Diesel</t>
        </is>
      </c>
      <c r="C19" s="23" t="inlineStr">
        <is>
          <t>Ethanol</t>
        </is>
      </c>
      <c r="D19" s="23" t="n">
        <v>6</v>
      </c>
      <c r="E19" s="23">
        <f>S19</f>
        <v/>
      </c>
      <c r="F19" s="22" t="n">
        <v>0.014253091</v>
      </c>
      <c r="G19" s="22" t="n">
        <v>0</v>
      </c>
      <c r="H19" s="22" t="n">
        <v>0</v>
      </c>
      <c r="I19" s="22" t="n">
        <v>0</v>
      </c>
      <c r="J19" s="22" t="n">
        <v>0.950466389</v>
      </c>
      <c r="K19" s="22" t="n">
        <v>0</v>
      </c>
      <c r="L19" s="28">
        <f>SUM(I19:K19)</f>
        <v/>
      </c>
      <c r="M19" s="22" t="n">
        <v>0</v>
      </c>
      <c r="N19" s="22" t="n">
        <v>0.0010795</v>
      </c>
      <c r="O19" s="22" t="n">
        <v>246863.8625</v>
      </c>
      <c r="P19" s="22" t="n">
        <v>135253.823</v>
      </c>
      <c r="Q19" s="22" t="n">
        <v>10.05</v>
      </c>
      <c r="S19" s="17">
        <f t="array" ref="S19:AF19">_xlfn.XLOOKUP(D19, CT:CT, CU:DH)</f>
        <v/>
      </c>
      <c r="T19" s="17" t="inlineStr">
        <is>
          <t>Biomass_Corn</t>
        </is>
      </c>
      <c r="U19" s="17" t="n">
        <v>0</v>
      </c>
      <c r="V19" s="17" t="n">
        <v>0.085342825</v>
      </c>
      <c r="W19" s="17" t="n">
        <v>3.104337995</v>
      </c>
      <c r="X19" s="17" t="n">
        <v>1.013397519</v>
      </c>
      <c r="Y19" s="17" t="n">
        <v>1.758866658</v>
      </c>
      <c r="Z19" s="17" t="n">
        <v>0.357687672</v>
      </c>
      <c r="AA19" s="17" t="n">
        <v>0.6860173939999999</v>
      </c>
      <c r="AB19" s="17" t="n">
        <v>0.152906423</v>
      </c>
      <c r="AC19" s="17" t="n">
        <v>0.032434696</v>
      </c>
      <c r="AD19" s="17" t="n">
        <v>45179.42</v>
      </c>
      <c r="AE19" s="17" t="n">
        <v>201481.25</v>
      </c>
      <c r="AF19" s="17" t="n">
        <v>-25.28</v>
      </c>
      <c r="AH19" s="15" t="n">
        <v>73.71884</v>
      </c>
      <c r="AI19" s="15" t="n">
        <v>-6.097314</v>
      </c>
      <c r="AJ19" s="15" t="n">
        <v>61.343403</v>
      </c>
      <c r="AK19" s="15" t="n">
        <v>33.004971</v>
      </c>
      <c r="AL19" s="15" t="n">
        <v>42.19561</v>
      </c>
      <c r="AM19" s="15" t="n">
        <v>155</v>
      </c>
      <c r="AN19" s="15" t="n">
        <v>22.90669</v>
      </c>
      <c r="AO19" s="15" t="n">
        <v>13.197062</v>
      </c>
      <c r="AP19" s="15" t="n">
        <v>14.953878</v>
      </c>
      <c r="AR19" s="1">
        <f>B19</f>
        <v/>
      </c>
      <c r="AS19" s="1">
        <f>C19</f>
        <v/>
      </c>
      <c r="AT19" s="11">
        <f>SUM(AW19:BI19)+BK19+BL19</f>
        <v/>
      </c>
      <c r="AU19" s="11">
        <f>SUM(AW19:BI19)+BN19+BO19</f>
        <v/>
      </c>
      <c r="AV19" s="5">
        <f>AT19-AU19</f>
        <v/>
      </c>
      <c r="AW19" s="5">
        <f>F19/L19*AO19</f>
        <v/>
      </c>
      <c r="AX19" s="1">
        <f>G19/L19*AN19</f>
        <v/>
      </c>
      <c r="AY19" s="1">
        <f>BS19</f>
        <v/>
      </c>
      <c r="AZ19" s="1">
        <f>H19/L19</f>
        <v/>
      </c>
      <c r="BA19" s="1">
        <f>BR19</f>
        <v/>
      </c>
      <c r="BB19" s="1">
        <f>BT19</f>
        <v/>
      </c>
      <c r="BC19" s="1">
        <f>BU19</f>
        <v/>
      </c>
      <c r="BD19" s="1">
        <f>O19/L19/(0.9*8760)</f>
        <v/>
      </c>
      <c r="BE19" s="1">
        <f>BV19</f>
        <v/>
      </c>
      <c r="BF19" s="1">
        <f>P19/L19/(0.9*8760)</f>
        <v/>
      </c>
      <c r="BG19" s="1">
        <f>BW19</f>
        <v/>
      </c>
      <c r="BH19" s="1">
        <f>Q19/L19</f>
        <v/>
      </c>
      <c r="BI19" s="1">
        <f>BX19</f>
        <v/>
      </c>
      <c r="BJ19" s="1">
        <f>(SUM(CK19:CP19)-CG19)/L19</f>
        <v/>
      </c>
      <c r="BK19" s="1">
        <f>((AH19+AI19)*-1*CL19)/L19</f>
        <v/>
      </c>
      <c r="BL19" s="1">
        <f>BJ19*AH19</f>
        <v/>
      </c>
      <c r="BM19" s="1">
        <f>(CK19+CM19+CN19+CO19+CP19-CG19)/L19</f>
        <v/>
      </c>
      <c r="BN19" s="1">
        <f>(CL19*AI19*-1)/L19</f>
        <v/>
      </c>
      <c r="BO19" s="1">
        <f>BM19*AH19</f>
        <v/>
      </c>
      <c r="BQ19" s="1">
        <f>S19</f>
        <v/>
      </c>
      <c r="BR19" s="1">
        <f>U19/W19/L19*AN19*-1</f>
        <v/>
      </c>
      <c r="BS19" s="1">
        <f>V19/W19/L19*AN19</f>
        <v/>
      </c>
      <c r="BT19" s="1">
        <f t="array" ref="BT19">_xlfn.IFS(T19="Biomass_Corn", 1/W19/L19*AM19, T19="Biomass_Agri", 1/W19/L19*AL19, T19="Biomass_Wood", 1/W19/L19*AK19, T19="Biomass_Herb", 1/W19/L19*AJ19)</f>
        <v/>
      </c>
      <c r="BU19" s="1">
        <f>X19/W19/L19*AP19</f>
        <v/>
      </c>
      <c r="BV19" s="1">
        <f>AD19/W19/L19/(0.9*8760)</f>
        <v/>
      </c>
      <c r="BW19" s="1">
        <f>AE19/W19/L19/(0.9*8760)</f>
        <v/>
      </c>
      <c r="BX19" s="1">
        <f>AF19/W19/L19</f>
        <v/>
      </c>
      <c r="BZ19" s="9" t="n">
        <v>0.2409589293</v>
      </c>
      <c r="CA19" s="9" t="n">
        <v>0.2418283623</v>
      </c>
      <c r="CB19" s="9" t="n">
        <v>0.2402551414</v>
      </c>
      <c r="CC19" s="17">
        <f>Y19</f>
        <v/>
      </c>
      <c r="CD19" s="10" t="n">
        <v>0.1828908353</v>
      </c>
      <c r="CE19" s="9" t="n">
        <v>0.23037491</v>
      </c>
      <c r="CG19" s="10">
        <f>CC19/W19</f>
        <v/>
      </c>
      <c r="CH19" s="10">
        <f>IF(X19=0, 0, CD19*X19/W19)</f>
        <v/>
      </c>
      <c r="CI19" s="10">
        <f>CE19</f>
        <v/>
      </c>
      <c r="CK19" s="17">
        <f>(AA19+AC19)/W19</f>
        <v/>
      </c>
      <c r="CL19" s="17">
        <f>(Z19+AB19)/W19</f>
        <v/>
      </c>
      <c r="CM19" s="10">
        <f>BZ19*I19</f>
        <v/>
      </c>
      <c r="CN19" s="10">
        <f>CA19*J19</f>
        <v/>
      </c>
      <c r="CO19" s="10">
        <f>CB19*K19</f>
        <v/>
      </c>
      <c r="CP19" s="10">
        <f>(N19)</f>
        <v/>
      </c>
      <c r="CR19" s="1">
        <f>SUM(CG19:CH19)-SUM(CK19:CP19)</f>
        <v/>
      </c>
    </row>
    <row r="20">
      <c r="B20" s="22" t="inlineStr">
        <is>
          <t>MIDAT_Ethanol_to_Diesel</t>
        </is>
      </c>
      <c r="C20" s="23" t="inlineStr">
        <is>
          <t>Ethanol</t>
        </is>
      </c>
      <c r="D20" s="23" t="n">
        <v>6</v>
      </c>
      <c r="E20" s="23">
        <f>S20</f>
        <v/>
      </c>
      <c r="F20" s="22" t="n">
        <v>0.014253091</v>
      </c>
      <c r="G20" s="22" t="n">
        <v>0</v>
      </c>
      <c r="H20" s="22" t="n">
        <v>0</v>
      </c>
      <c r="I20" s="22" t="n">
        <v>0</v>
      </c>
      <c r="J20" s="22" t="n">
        <v>0.950466389</v>
      </c>
      <c r="K20" s="22" t="n">
        <v>0</v>
      </c>
      <c r="L20" s="28">
        <f>SUM(I20:K20)</f>
        <v/>
      </c>
      <c r="M20" s="22" t="n">
        <v>0</v>
      </c>
      <c r="N20" s="22" t="n">
        <v>0.0010795</v>
      </c>
      <c r="O20" s="22" t="n">
        <v>246863.8625</v>
      </c>
      <c r="P20" s="22" t="n">
        <v>135253.823</v>
      </c>
      <c r="Q20" s="22" t="n">
        <v>10.05</v>
      </c>
      <c r="S20" s="17">
        <f t="array" ref="S20:AF20">_xlfn.XLOOKUP(D20, CT:CT, CU:DH)</f>
        <v/>
      </c>
      <c r="T20" s="17" t="inlineStr">
        <is>
          <t>Biomass_Corn</t>
        </is>
      </c>
      <c r="U20" s="17" t="n">
        <v>0</v>
      </c>
      <c r="V20" s="17" t="n">
        <v>0.085342825</v>
      </c>
      <c r="W20" s="17" t="n">
        <v>3.104337995</v>
      </c>
      <c r="X20" s="17" t="n">
        <v>1.013397519</v>
      </c>
      <c r="Y20" s="17" t="n">
        <v>1.758866658</v>
      </c>
      <c r="Z20" s="17" t="n">
        <v>0.357687672</v>
      </c>
      <c r="AA20" s="17" t="n">
        <v>0.6860173939999999</v>
      </c>
      <c r="AB20" s="17" t="n">
        <v>0.152906423</v>
      </c>
      <c r="AC20" s="17" t="n">
        <v>0.032434696</v>
      </c>
      <c r="AD20" s="17" t="n">
        <v>45179.42</v>
      </c>
      <c r="AE20" s="17" t="n">
        <v>201481.25</v>
      </c>
      <c r="AF20" s="17" t="n">
        <v>-25.28</v>
      </c>
      <c r="AH20" s="15" t="n">
        <v>73.71884</v>
      </c>
      <c r="AI20" s="15" t="n">
        <v>-6.097314</v>
      </c>
      <c r="AJ20" s="15" t="n">
        <v>61.343403</v>
      </c>
      <c r="AK20" s="15" t="n">
        <v>33.004971</v>
      </c>
      <c r="AL20" s="15" t="n">
        <v>42.19561</v>
      </c>
      <c r="AM20" s="15" t="n">
        <v>155</v>
      </c>
      <c r="AN20" s="15" t="n">
        <v>22.90669</v>
      </c>
      <c r="AO20" s="15" t="n">
        <v>13.197062</v>
      </c>
      <c r="AP20" s="15" t="n">
        <v>14.953878</v>
      </c>
      <c r="AR20" s="1">
        <f>B20</f>
        <v/>
      </c>
      <c r="AS20" s="1">
        <f>C20</f>
        <v/>
      </c>
      <c r="AT20" s="11">
        <f>SUM(AW20:BI20)+BK20+BL20</f>
        <v/>
      </c>
      <c r="AU20" s="11">
        <f>SUM(AW20:BI20)+BN20+BO20</f>
        <v/>
      </c>
      <c r="AV20" s="5">
        <f>AT20-AU20</f>
        <v/>
      </c>
      <c r="AW20" s="5">
        <f>F20/L20*AO20</f>
        <v/>
      </c>
      <c r="AX20" s="1">
        <f>G20/L20*AN20</f>
        <v/>
      </c>
      <c r="AY20" s="1">
        <f>BS20</f>
        <v/>
      </c>
      <c r="AZ20" s="1">
        <f>H20/L20</f>
        <v/>
      </c>
      <c r="BA20" s="1">
        <f>BR20</f>
        <v/>
      </c>
      <c r="BB20" s="1">
        <f>BT20</f>
        <v/>
      </c>
      <c r="BC20" s="1">
        <f>BU20</f>
        <v/>
      </c>
      <c r="BD20" s="1">
        <f>O20/L20/(0.9*8760)</f>
        <v/>
      </c>
      <c r="BE20" s="1">
        <f>BV20</f>
        <v/>
      </c>
      <c r="BF20" s="1">
        <f>P20/L20/(0.9*8760)</f>
        <v/>
      </c>
      <c r="BG20" s="1">
        <f>BW20</f>
        <v/>
      </c>
      <c r="BH20" s="1">
        <f>Q20/L20</f>
        <v/>
      </c>
      <c r="BI20" s="1">
        <f>BX20</f>
        <v/>
      </c>
      <c r="BJ20" s="1">
        <f>(SUM(CK20:CP20)-CG20)/L20</f>
        <v/>
      </c>
      <c r="BK20" s="1">
        <f>((AH20+AI20)*-1*CL20)/L20</f>
        <v/>
      </c>
      <c r="BL20" s="1">
        <f>BJ20*AH20</f>
        <v/>
      </c>
      <c r="BM20" s="1">
        <f>(CK20+CM20+CN20+CO20+CP20-CG20)/L20</f>
        <v/>
      </c>
      <c r="BN20" s="1">
        <f>(CL20*AI20*-1)/L20</f>
        <v/>
      </c>
      <c r="BO20" s="1">
        <f>BM20*AH20</f>
        <v/>
      </c>
      <c r="BQ20" s="1">
        <f>S20</f>
        <v/>
      </c>
      <c r="BR20" s="1">
        <f>U20/W20/L20*AN20*-1</f>
        <v/>
      </c>
      <c r="BS20" s="1">
        <f>V20/W20/L20*AN20</f>
        <v/>
      </c>
      <c r="BT20" s="1">
        <f t="array" ref="BT20">_xlfn.IFS(T20="Biomass_Corn", 1/W20/L20*AM20, T20="Biomass_Agri", 1/W20/L20*AL20, T20="Biomass_Wood", 1/W20/L20*AK20, T20="Biomass_Herb", 1/W20/L20*AJ20)</f>
        <v/>
      </c>
      <c r="BU20" s="1">
        <f>X20/W20/L20*AP20</f>
        <v/>
      </c>
      <c r="BV20" s="1">
        <f>AD20/W20/L20/(0.9*8760)</f>
        <v/>
      </c>
      <c r="BW20" s="1">
        <f>AE20/W20/L20/(0.9*8760)</f>
        <v/>
      </c>
      <c r="BX20" s="1">
        <f>AF20/W20/L20</f>
        <v/>
      </c>
      <c r="BZ20" s="9" t="n">
        <v>0.2409589293</v>
      </c>
      <c r="CA20" s="9" t="n">
        <v>0.2418283623</v>
      </c>
      <c r="CB20" s="9" t="n">
        <v>0.2402551414</v>
      </c>
      <c r="CC20" s="17">
        <f>Y20</f>
        <v/>
      </c>
      <c r="CD20" s="10" t="n">
        <v>0.1828908353</v>
      </c>
      <c r="CE20" s="9" t="n">
        <v>0.23037491</v>
      </c>
      <c r="CG20" s="10">
        <f>CC20/W20</f>
        <v/>
      </c>
      <c r="CH20" s="10">
        <f>IF(X20=0, 0, CD20*X20/W20)</f>
        <v/>
      </c>
      <c r="CI20" s="10">
        <f>CE20</f>
        <v/>
      </c>
      <c r="CK20" s="17">
        <f>(AA20+AC20)/W20</f>
        <v/>
      </c>
      <c r="CL20" s="17">
        <f>(Z20+AB20)/W20</f>
        <v/>
      </c>
      <c r="CM20" s="10">
        <f>BZ20*I20</f>
        <v/>
      </c>
      <c r="CN20" s="10">
        <f>CA20*J20</f>
        <v/>
      </c>
      <c r="CO20" s="10">
        <f>CB20*K20</f>
        <v/>
      </c>
      <c r="CP20" s="10">
        <f>(N20)</f>
        <v/>
      </c>
      <c r="CR20" s="1">
        <f>SUM(CG20:CH20)-SUM(CK20:CP20)</f>
        <v/>
      </c>
    </row>
    <row r="21">
      <c r="B21" s="22" t="inlineStr">
        <is>
          <t>NE_Ethanol_to_Diesel</t>
        </is>
      </c>
      <c r="C21" s="23" t="inlineStr">
        <is>
          <t>Ethanol</t>
        </is>
      </c>
      <c r="D21" s="23" t="n">
        <v>6</v>
      </c>
      <c r="E21" s="23">
        <f>S21</f>
        <v/>
      </c>
      <c r="F21" s="22" t="n">
        <v>0.014253091</v>
      </c>
      <c r="G21" s="22" t="n">
        <v>0</v>
      </c>
      <c r="H21" s="22" t="n">
        <v>0</v>
      </c>
      <c r="I21" s="22" t="n">
        <v>0</v>
      </c>
      <c r="J21" s="22" t="n">
        <v>0.950466389</v>
      </c>
      <c r="K21" s="22" t="n">
        <v>0</v>
      </c>
      <c r="L21" s="28">
        <f>SUM(I21:K21)</f>
        <v/>
      </c>
      <c r="M21" s="22" t="n">
        <v>0</v>
      </c>
      <c r="N21" s="22" t="n">
        <v>0.0010795</v>
      </c>
      <c r="O21" s="22" t="n">
        <v>246863.8625</v>
      </c>
      <c r="P21" s="22" t="n">
        <v>135253.823</v>
      </c>
      <c r="Q21" s="22" t="n">
        <v>10.05</v>
      </c>
      <c r="S21" s="17">
        <f t="array" ref="S21:AF21">_xlfn.XLOOKUP(D21, CT:CT, CU:DH)</f>
        <v/>
      </c>
      <c r="T21" s="17" t="inlineStr">
        <is>
          <t>Biomass_Corn</t>
        </is>
      </c>
      <c r="U21" s="17" t="n">
        <v>0</v>
      </c>
      <c r="V21" s="17" t="n">
        <v>0.085342825</v>
      </c>
      <c r="W21" s="17" t="n">
        <v>3.104337995</v>
      </c>
      <c r="X21" s="17" t="n">
        <v>1.013397519</v>
      </c>
      <c r="Y21" s="17" t="n">
        <v>1.758866658</v>
      </c>
      <c r="Z21" s="17" t="n">
        <v>0.357687672</v>
      </c>
      <c r="AA21" s="17" t="n">
        <v>0.6860173939999999</v>
      </c>
      <c r="AB21" s="17" t="n">
        <v>0.152906423</v>
      </c>
      <c r="AC21" s="17" t="n">
        <v>0.032434696</v>
      </c>
      <c r="AD21" s="17" t="n">
        <v>45179.42</v>
      </c>
      <c r="AE21" s="17" t="n">
        <v>201481.25</v>
      </c>
      <c r="AF21" s="17" t="n">
        <v>-25.28</v>
      </c>
      <c r="AH21" s="15" t="n">
        <v>73.71884</v>
      </c>
      <c r="AI21" s="15" t="n">
        <v>-6.097314</v>
      </c>
      <c r="AJ21" s="15" t="n">
        <v>61.343403</v>
      </c>
      <c r="AK21" s="15" t="n">
        <v>33.004971</v>
      </c>
      <c r="AL21" s="15" t="n">
        <v>42.19561</v>
      </c>
      <c r="AM21" s="15" t="n">
        <v>155</v>
      </c>
      <c r="AN21" s="15" t="n">
        <v>22.90669</v>
      </c>
      <c r="AO21" s="15" t="n">
        <v>13.197062</v>
      </c>
      <c r="AP21" s="15" t="n">
        <v>14.953878</v>
      </c>
      <c r="AR21" s="1">
        <f>B21</f>
        <v/>
      </c>
      <c r="AS21" s="1">
        <f>C21</f>
        <v/>
      </c>
      <c r="AT21" s="11">
        <f>SUM(AW21:BI21)+BK21+BL21</f>
        <v/>
      </c>
      <c r="AU21" s="11">
        <f>SUM(AW21:BI21)+BN21+BO21</f>
        <v/>
      </c>
      <c r="AV21" s="5">
        <f>AT21-AU21</f>
        <v/>
      </c>
      <c r="AW21" s="5">
        <f>F21/L21*AO21</f>
        <v/>
      </c>
      <c r="AX21" s="1">
        <f>G21/L21*AN21</f>
        <v/>
      </c>
      <c r="AY21" s="1">
        <f>BS21</f>
        <v/>
      </c>
      <c r="AZ21" s="1">
        <f>H21/L21</f>
        <v/>
      </c>
      <c r="BA21" s="1">
        <f>BR21</f>
        <v/>
      </c>
      <c r="BB21" s="1">
        <f>BT21</f>
        <v/>
      </c>
      <c r="BC21" s="1">
        <f>BU21</f>
        <v/>
      </c>
      <c r="BD21" s="1">
        <f>O21/L21/(0.9*8760)</f>
        <v/>
      </c>
      <c r="BE21" s="1">
        <f>BV21</f>
        <v/>
      </c>
      <c r="BF21" s="1">
        <f>P21/L21/(0.9*8760)</f>
        <v/>
      </c>
      <c r="BG21" s="1">
        <f>BW21</f>
        <v/>
      </c>
      <c r="BH21" s="1">
        <f>Q21/L21</f>
        <v/>
      </c>
      <c r="BI21" s="1">
        <f>BX21</f>
        <v/>
      </c>
      <c r="BJ21" s="1">
        <f>(SUM(CK21:CP21)-CG21)/L21</f>
        <v/>
      </c>
      <c r="BK21" s="1">
        <f>((AH21+AI21)*-1*CL21)/L21</f>
        <v/>
      </c>
      <c r="BL21" s="1">
        <f>BJ21*AH21</f>
        <v/>
      </c>
      <c r="BM21" s="1">
        <f>(CK21+CM21+CN21+CO21+CP21-CG21)/L21</f>
        <v/>
      </c>
      <c r="BN21" s="1">
        <f>(CL21*AI21*-1)/L21</f>
        <v/>
      </c>
      <c r="BO21" s="1">
        <f>BM21*AH21</f>
        <v/>
      </c>
      <c r="BQ21" s="1">
        <f>S21</f>
        <v/>
      </c>
      <c r="BR21" s="1">
        <f>U21/W21/L21*AN21*-1</f>
        <v/>
      </c>
      <c r="BS21" s="1">
        <f>V21/W21/L21*AN21</f>
        <v/>
      </c>
      <c r="BT21" s="1">
        <f t="array" ref="BT21">_xlfn.IFS(T21="Biomass_Corn", 1/W21/L21*AM21, T21="Biomass_Agri", 1/W21/L21*AL21, T21="Biomass_Wood", 1/W21/L21*AK21, T21="Biomass_Herb", 1/W21/L21*AJ21)</f>
        <v/>
      </c>
      <c r="BU21" s="1">
        <f>X21/W21/L21*AP21</f>
        <v/>
      </c>
      <c r="BV21" s="1">
        <f>AD21/W21/L21/(0.9*8760)</f>
        <v/>
      </c>
      <c r="BW21" s="1">
        <f>AE21/W21/L21/(0.9*8760)</f>
        <v/>
      </c>
      <c r="BX21" s="1">
        <f>AF21/W21/L21</f>
        <v/>
      </c>
      <c r="BZ21" s="9" t="n">
        <v>0.2409589293</v>
      </c>
      <c r="CA21" s="9" t="n">
        <v>0.2418283623</v>
      </c>
      <c r="CB21" s="9" t="n">
        <v>0.2402551414</v>
      </c>
      <c r="CC21" s="17">
        <f>Y21</f>
        <v/>
      </c>
      <c r="CD21" s="10" t="n">
        <v>0.1828908353</v>
      </c>
      <c r="CE21" s="9" t="n">
        <v>0.23037491</v>
      </c>
      <c r="CG21" s="10">
        <f>CC21/W21</f>
        <v/>
      </c>
      <c r="CH21" s="10">
        <f>IF(X21=0, 0, CD21*X21/W21)</f>
        <v/>
      </c>
      <c r="CI21" s="10">
        <f>CE21</f>
        <v/>
      </c>
      <c r="CK21" s="17">
        <f>(AA21+AC21)/W21</f>
        <v/>
      </c>
      <c r="CL21" s="17">
        <f>(Z21+AB21)/W21</f>
        <v/>
      </c>
      <c r="CM21" s="10">
        <f>BZ21*I21</f>
        <v/>
      </c>
      <c r="CN21" s="10">
        <f>CA21*J21</f>
        <v/>
      </c>
      <c r="CO21" s="10">
        <f>CB21*K21</f>
        <v/>
      </c>
      <c r="CP21" s="10">
        <f>(N21)</f>
        <v/>
      </c>
      <c r="CR21" s="1">
        <f>SUM(CG21:CH21)-SUM(CK21:CP21)</f>
        <v/>
      </c>
    </row>
    <row r="22">
      <c r="B22" s="22" t="inlineStr">
        <is>
          <t>CA_Ethanol_to_JetFuel</t>
        </is>
      </c>
      <c r="C22" s="23" t="inlineStr">
        <is>
          <t>Ethanol</t>
        </is>
      </c>
      <c r="D22" s="23" t="n">
        <v>6</v>
      </c>
      <c r="E22" s="23">
        <f>S22</f>
        <v/>
      </c>
      <c r="F22" s="22" t="n">
        <v>0.023755151</v>
      </c>
      <c r="G22" s="22" t="n">
        <v>0</v>
      </c>
      <c r="H22" s="22" t="n">
        <v>0</v>
      </c>
      <c r="I22" s="22" t="n">
        <v>0</v>
      </c>
      <c r="J22" s="22" t="n">
        <v>0</v>
      </c>
      <c r="K22" s="22" t="n">
        <v>0.946932606</v>
      </c>
      <c r="L22" s="28">
        <f>SUM(I22:K22)</f>
        <v/>
      </c>
      <c r="M22" s="22" t="n">
        <v>0</v>
      </c>
      <c r="N22" s="22" t="n">
        <v>0.00286948</v>
      </c>
      <c r="O22" s="22" t="n">
        <v>331164.8345</v>
      </c>
      <c r="P22" s="22" t="n">
        <v>181441.3395</v>
      </c>
      <c r="Q22" s="22" t="n">
        <v>13.3</v>
      </c>
      <c r="S22" s="17">
        <f t="array" ref="S22:AF22">_xlfn.XLOOKUP(D22, CT:CT, CU:DH)</f>
        <v/>
      </c>
      <c r="T22" s="17" t="inlineStr">
        <is>
          <t>Biomass_Corn</t>
        </is>
      </c>
      <c r="U22" s="17" t="n">
        <v>0</v>
      </c>
      <c r="V22" s="17" t="n">
        <v>0.085342825</v>
      </c>
      <c r="W22" s="17" t="n">
        <v>3.104337995</v>
      </c>
      <c r="X22" s="17" t="n">
        <v>1.013397519</v>
      </c>
      <c r="Y22" s="17" t="n">
        <v>1.758866658</v>
      </c>
      <c r="Z22" s="17" t="n">
        <v>0.357687672</v>
      </c>
      <c r="AA22" s="17" t="n">
        <v>0.6860173939999999</v>
      </c>
      <c r="AB22" s="17" t="n">
        <v>0.152906423</v>
      </c>
      <c r="AC22" s="17" t="n">
        <v>0.032434696</v>
      </c>
      <c r="AD22" s="17" t="n">
        <v>45179.42</v>
      </c>
      <c r="AE22" s="17" t="n">
        <v>201481.25</v>
      </c>
      <c r="AF22" s="17" t="n">
        <v>-25.28</v>
      </c>
      <c r="AH22" s="15" t="n">
        <v>73.71884</v>
      </c>
      <c r="AI22" s="15" t="n">
        <v>-6.097314</v>
      </c>
      <c r="AJ22" s="15" t="n">
        <v>61.343403</v>
      </c>
      <c r="AK22" s="15" t="n">
        <v>33.004971</v>
      </c>
      <c r="AL22" s="15" t="n">
        <v>42.19561</v>
      </c>
      <c r="AM22" s="15" t="n">
        <v>155</v>
      </c>
      <c r="AN22" s="15" t="n">
        <v>22.90669</v>
      </c>
      <c r="AO22" s="15" t="n">
        <v>13.197062</v>
      </c>
      <c r="AP22" s="15" t="n">
        <v>14.953878</v>
      </c>
      <c r="AR22" s="1">
        <f>B22</f>
        <v/>
      </c>
      <c r="AS22" s="1">
        <f>C22</f>
        <v/>
      </c>
      <c r="AT22" s="11">
        <f>SUM(AW22:BI22)+BK22+BL22</f>
        <v/>
      </c>
      <c r="AU22" s="11">
        <f>SUM(AW22:BI22)+BN22+BO22</f>
        <v/>
      </c>
      <c r="AV22" s="5">
        <f>AT22-AU22</f>
        <v/>
      </c>
      <c r="AW22" s="5">
        <f>F22/L22*AO22</f>
        <v/>
      </c>
      <c r="AX22" s="1">
        <f>G22/L22*AN22</f>
        <v/>
      </c>
      <c r="AY22" s="1">
        <f>BS22</f>
        <v/>
      </c>
      <c r="AZ22" s="1">
        <f>H22/L22</f>
        <v/>
      </c>
      <c r="BA22" s="1">
        <f>BR22</f>
        <v/>
      </c>
      <c r="BB22" s="1">
        <f>BT22</f>
        <v/>
      </c>
      <c r="BC22" s="1">
        <f>BU22</f>
        <v/>
      </c>
      <c r="BD22" s="1">
        <f>O22/L22/(0.9*8760)</f>
        <v/>
      </c>
      <c r="BE22" s="1">
        <f>BV22</f>
        <v/>
      </c>
      <c r="BF22" s="1">
        <f>P22/L22/(0.9*8760)</f>
        <v/>
      </c>
      <c r="BG22" s="1">
        <f>BW22</f>
        <v/>
      </c>
      <c r="BH22" s="1">
        <f>Q22/L22</f>
        <v/>
      </c>
      <c r="BI22" s="1">
        <f>BX22</f>
        <v/>
      </c>
      <c r="BJ22" s="1">
        <f>(SUM(CK22:CP22)-CG22)/L22</f>
        <v/>
      </c>
      <c r="BK22" s="1">
        <f>((AH22+AI22)*-1*CL22)/L22</f>
        <v/>
      </c>
      <c r="BL22" s="1">
        <f>BJ22*AH22</f>
        <v/>
      </c>
      <c r="BM22" s="1">
        <f>(CK22+CM22+CN22+CO22+CP22-CG22)/L22</f>
        <v/>
      </c>
      <c r="BN22" s="1">
        <f>(CL22*AI22*-1)/L22</f>
        <v/>
      </c>
      <c r="BO22" s="1">
        <f>BM22*AH22</f>
        <v/>
      </c>
      <c r="BQ22" s="1">
        <f>S22</f>
        <v/>
      </c>
      <c r="BR22" s="1">
        <f>U22/W22/L22*AN22*-1</f>
        <v/>
      </c>
      <c r="BS22" s="1">
        <f>V22/W22/L22*AN22</f>
        <v/>
      </c>
      <c r="BT22" s="1">
        <f t="array" ref="BT22">_xlfn.IFS(T22="Biomass_Corn", 1/W22/L22*AM22, T22="Biomass_Agri", 1/W22/L22*AL22, T22="Biomass_Wood", 1/W22/L22*AK22, T22="Biomass_Herb", 1/W22/L22*AJ22)</f>
        <v/>
      </c>
      <c r="BU22" s="1">
        <f>X22/W22/L22*AP22</f>
        <v/>
      </c>
      <c r="BV22" s="1">
        <f>AD22/W22/L22/(0.9*8760)</f>
        <v/>
      </c>
      <c r="BW22" s="1">
        <f>AE22/W22/L22/(0.9*8760)</f>
        <v/>
      </c>
      <c r="BX22" s="1">
        <f>AF22/W22/L22</f>
        <v/>
      </c>
      <c r="BZ22" s="9" t="n">
        <v>0.2409589293</v>
      </c>
      <c r="CA22" s="9" t="n">
        <v>0.2418283623</v>
      </c>
      <c r="CB22" s="9" t="n">
        <v>0.2402551414</v>
      </c>
      <c r="CC22" s="17">
        <f>Y22</f>
        <v/>
      </c>
      <c r="CD22" s="10" t="n">
        <v>0.1828908353</v>
      </c>
      <c r="CE22" s="9" t="n">
        <v>0.23037491</v>
      </c>
      <c r="CG22" s="10">
        <f>CC22/W22</f>
        <v/>
      </c>
      <c r="CH22" s="10">
        <f>IF(X22=0, 0, CD22*X22/W22)</f>
        <v/>
      </c>
      <c r="CI22" s="10">
        <f>CE22</f>
        <v/>
      </c>
      <c r="CK22" s="17">
        <f>(AA22+AC22)/W22</f>
        <v/>
      </c>
      <c r="CL22" s="17">
        <f>(Z22+AB22)/W22</f>
        <v/>
      </c>
      <c r="CM22" s="10">
        <f>BZ22*I22</f>
        <v/>
      </c>
      <c r="CN22" s="10">
        <f>CA22*J22</f>
        <v/>
      </c>
      <c r="CO22" s="10">
        <f>CB22*K22</f>
        <v/>
      </c>
      <c r="CP22" s="10">
        <f>(N22)</f>
        <v/>
      </c>
      <c r="CR22" s="1">
        <f>SUM(CG22:CH22)-SUM(CK22:CP22)</f>
        <v/>
      </c>
    </row>
    <row r="23">
      <c r="B23" s="22" t="inlineStr">
        <is>
          <t>NW_Ethanol_to_JetFuel</t>
        </is>
      </c>
      <c r="C23" s="23" t="inlineStr">
        <is>
          <t>Ethanol</t>
        </is>
      </c>
      <c r="D23" s="23" t="n">
        <v>6</v>
      </c>
      <c r="E23" s="23">
        <f>S23</f>
        <v/>
      </c>
      <c r="F23" s="22" t="n">
        <v>0.023755151</v>
      </c>
      <c r="G23" s="22" t="n">
        <v>0</v>
      </c>
      <c r="H23" s="22" t="n">
        <v>0</v>
      </c>
      <c r="I23" s="22" t="n">
        <v>0</v>
      </c>
      <c r="J23" s="22" t="n">
        <v>0</v>
      </c>
      <c r="K23" s="22" t="n">
        <v>0.946932606</v>
      </c>
      <c r="L23" s="28">
        <f>SUM(I23:K23)</f>
        <v/>
      </c>
      <c r="M23" s="22" t="n">
        <v>0</v>
      </c>
      <c r="N23" s="22" t="n">
        <v>0.00286948</v>
      </c>
      <c r="O23" s="22" t="n">
        <v>331164.8345</v>
      </c>
      <c r="P23" s="22" t="n">
        <v>181441.3395</v>
      </c>
      <c r="Q23" s="22" t="n">
        <v>13.3</v>
      </c>
      <c r="S23" s="17">
        <f t="array" ref="S23:AF23">_xlfn.XLOOKUP(D23, CT:CT, CU:DH)</f>
        <v/>
      </c>
      <c r="T23" s="17" t="inlineStr">
        <is>
          <t>Biomass_Corn</t>
        </is>
      </c>
      <c r="U23" s="17" t="n">
        <v>0</v>
      </c>
      <c r="V23" s="17" t="n">
        <v>0.085342825</v>
      </c>
      <c r="W23" s="17" t="n">
        <v>3.104337995</v>
      </c>
      <c r="X23" s="17" t="n">
        <v>1.013397519</v>
      </c>
      <c r="Y23" s="17" t="n">
        <v>1.758866658</v>
      </c>
      <c r="Z23" s="17" t="n">
        <v>0.357687672</v>
      </c>
      <c r="AA23" s="17" t="n">
        <v>0.6860173939999999</v>
      </c>
      <c r="AB23" s="17" t="n">
        <v>0.152906423</v>
      </c>
      <c r="AC23" s="17" t="n">
        <v>0.032434696</v>
      </c>
      <c r="AD23" s="17" t="n">
        <v>45179.42</v>
      </c>
      <c r="AE23" s="17" t="n">
        <v>201481.25</v>
      </c>
      <c r="AF23" s="17" t="n">
        <v>-25.28</v>
      </c>
      <c r="AH23" s="15" t="n">
        <v>73.71884</v>
      </c>
      <c r="AI23" s="15" t="n">
        <v>-6.097314</v>
      </c>
      <c r="AJ23" s="15" t="n">
        <v>61.343403</v>
      </c>
      <c r="AK23" s="15" t="n">
        <v>33.004971</v>
      </c>
      <c r="AL23" s="15" t="n">
        <v>42.19561</v>
      </c>
      <c r="AM23" s="15" t="n">
        <v>155</v>
      </c>
      <c r="AN23" s="15" t="n">
        <v>22.90669</v>
      </c>
      <c r="AO23" s="15" t="n">
        <v>13.197062</v>
      </c>
      <c r="AP23" s="15" t="n">
        <v>14.953878</v>
      </c>
      <c r="AR23" s="1">
        <f>B23</f>
        <v/>
      </c>
      <c r="AS23" s="1">
        <f>C23</f>
        <v/>
      </c>
      <c r="AT23" s="11">
        <f>SUM(AW23:BI23)+BK23+BL23</f>
        <v/>
      </c>
      <c r="AU23" s="11">
        <f>SUM(AW23:BI23)+BN23+BO23</f>
        <v/>
      </c>
      <c r="AV23" s="5">
        <f>AT23-AU23</f>
        <v/>
      </c>
      <c r="AW23" s="5">
        <f>F23/L23*AO23</f>
        <v/>
      </c>
      <c r="AX23" s="1">
        <f>G23/L23*AN23</f>
        <v/>
      </c>
      <c r="AY23" s="1">
        <f>BS23</f>
        <v/>
      </c>
      <c r="AZ23" s="1">
        <f>H23/L23</f>
        <v/>
      </c>
      <c r="BA23" s="1">
        <f>BR23</f>
        <v/>
      </c>
      <c r="BB23" s="1">
        <f>BT23</f>
        <v/>
      </c>
      <c r="BC23" s="1">
        <f>BU23</f>
        <v/>
      </c>
      <c r="BD23" s="1">
        <f>O23/L23/(0.9*8760)</f>
        <v/>
      </c>
      <c r="BE23" s="1">
        <f>BV23</f>
        <v/>
      </c>
      <c r="BF23" s="1">
        <f>P23/L23/(0.9*8760)</f>
        <v/>
      </c>
      <c r="BG23" s="1">
        <f>BW23</f>
        <v/>
      </c>
      <c r="BH23" s="1">
        <f>Q23/L23</f>
        <v/>
      </c>
      <c r="BI23" s="1">
        <f>BX23</f>
        <v/>
      </c>
      <c r="BJ23" s="1">
        <f>(SUM(CK23:CP23)-CG23)/L23</f>
        <v/>
      </c>
      <c r="BK23" s="1">
        <f>((AH23+AI23)*-1*CL23)/L23</f>
        <v/>
      </c>
      <c r="BL23" s="1">
        <f>BJ23*AH23</f>
        <v/>
      </c>
      <c r="BM23" s="1">
        <f>(CK23+CM23+CN23+CO23+CP23-CG23)/L23</f>
        <v/>
      </c>
      <c r="BN23" s="1">
        <f>(CL23*AI23*-1)/L23</f>
        <v/>
      </c>
      <c r="BO23" s="1">
        <f>BM23*AH23</f>
        <v/>
      </c>
      <c r="BQ23" s="1">
        <f>S23</f>
        <v/>
      </c>
      <c r="BR23" s="1">
        <f>U23/W23/L23*AN23*-1</f>
        <v/>
      </c>
      <c r="BS23" s="1">
        <f>V23/W23/L23*AN23</f>
        <v/>
      </c>
      <c r="BT23" s="1">
        <f t="array" ref="BT23">_xlfn.IFS(T23="Biomass_Corn", 1/W23/L23*AM23, T23="Biomass_Agri", 1/W23/L23*AL23, T23="Biomass_Wood", 1/W23/L23*AK23, T23="Biomass_Herb", 1/W23/L23*AJ23)</f>
        <v/>
      </c>
      <c r="BU23" s="1">
        <f>X23/W23/L23*AP23</f>
        <v/>
      </c>
      <c r="BV23" s="1">
        <f>AD23/W23/L23/(0.9*8760)</f>
        <v/>
      </c>
      <c r="BW23" s="1">
        <f>AE23/W23/L23/(0.9*8760)</f>
        <v/>
      </c>
      <c r="BX23" s="1">
        <f>AF23/W23/L23</f>
        <v/>
      </c>
      <c r="BZ23" s="9" t="n">
        <v>0.2409589293</v>
      </c>
      <c r="CA23" s="9" t="n">
        <v>0.2418283623</v>
      </c>
      <c r="CB23" s="9" t="n">
        <v>0.2402551414</v>
      </c>
      <c r="CC23" s="17">
        <f>Y23</f>
        <v/>
      </c>
      <c r="CD23" s="10" t="n">
        <v>0.1828908353</v>
      </c>
      <c r="CE23" s="9" t="n">
        <v>0.23037491</v>
      </c>
      <c r="CG23" s="10">
        <f>CC23/W23</f>
        <v/>
      </c>
      <c r="CH23" s="10">
        <f>IF(X23=0, 0, CD23*X23/W23)</f>
        <v/>
      </c>
      <c r="CI23" s="10">
        <f>CE23</f>
        <v/>
      </c>
      <c r="CK23" s="17">
        <f>(AA23+AC23)/W23</f>
        <v/>
      </c>
      <c r="CL23" s="17">
        <f>(Z23+AB23)/W23</f>
        <v/>
      </c>
      <c r="CM23" s="10">
        <f>BZ23*I23</f>
        <v/>
      </c>
      <c r="CN23" s="10">
        <f>CA23*J23</f>
        <v/>
      </c>
      <c r="CO23" s="10">
        <f>CB23*K23</f>
        <v/>
      </c>
      <c r="CP23" s="10">
        <f>(N23)</f>
        <v/>
      </c>
      <c r="CR23" s="1">
        <f>SUM(CG23:CH23)-SUM(CK23:CP23)</f>
        <v/>
      </c>
    </row>
    <row r="24">
      <c r="B24" s="22" t="inlineStr">
        <is>
          <t>SW_Ethanol_to_JetFuel</t>
        </is>
      </c>
      <c r="C24" s="23" t="inlineStr">
        <is>
          <t>Ethanol</t>
        </is>
      </c>
      <c r="D24" s="23" t="n">
        <v>6</v>
      </c>
      <c r="E24" s="23">
        <f>S24</f>
        <v/>
      </c>
      <c r="F24" s="22" t="n">
        <v>0.023755151</v>
      </c>
      <c r="G24" s="22" t="n">
        <v>0</v>
      </c>
      <c r="H24" s="22" t="n">
        <v>0</v>
      </c>
      <c r="I24" s="22" t="n">
        <v>0</v>
      </c>
      <c r="J24" s="22" t="n">
        <v>0</v>
      </c>
      <c r="K24" s="22" t="n">
        <v>0.946932606</v>
      </c>
      <c r="L24" s="28">
        <f>SUM(I24:K24)</f>
        <v/>
      </c>
      <c r="M24" s="22" t="n">
        <v>0</v>
      </c>
      <c r="N24" s="22" t="n">
        <v>0.00286948</v>
      </c>
      <c r="O24" s="22" t="n">
        <v>331164.8345</v>
      </c>
      <c r="P24" s="22" t="n">
        <v>181441.3395</v>
      </c>
      <c r="Q24" s="22" t="n">
        <v>13.3</v>
      </c>
      <c r="S24" s="17">
        <f t="array" ref="S24:AF24">_xlfn.XLOOKUP(D24, CT:CT, CU:DH)</f>
        <v/>
      </c>
      <c r="T24" s="17" t="inlineStr">
        <is>
          <t>Biomass_Corn</t>
        </is>
      </c>
      <c r="U24" s="17" t="n">
        <v>0</v>
      </c>
      <c r="V24" s="17" t="n">
        <v>0.085342825</v>
      </c>
      <c r="W24" s="17" t="n">
        <v>3.104337995</v>
      </c>
      <c r="X24" s="17" t="n">
        <v>1.013397519</v>
      </c>
      <c r="Y24" s="17" t="n">
        <v>1.758866658</v>
      </c>
      <c r="Z24" s="17" t="n">
        <v>0.357687672</v>
      </c>
      <c r="AA24" s="17" t="n">
        <v>0.6860173939999999</v>
      </c>
      <c r="AB24" s="17" t="n">
        <v>0.152906423</v>
      </c>
      <c r="AC24" s="17" t="n">
        <v>0.032434696</v>
      </c>
      <c r="AD24" s="17" t="n">
        <v>45179.42</v>
      </c>
      <c r="AE24" s="17" t="n">
        <v>201481.25</v>
      </c>
      <c r="AF24" s="17" t="n">
        <v>-25.28</v>
      </c>
      <c r="AH24" s="15" t="n">
        <v>73.71884</v>
      </c>
      <c r="AI24" s="15" t="n">
        <v>-6.097314</v>
      </c>
      <c r="AJ24" s="15" t="n">
        <v>61.343403</v>
      </c>
      <c r="AK24" s="15" t="n">
        <v>33.004971</v>
      </c>
      <c r="AL24" s="15" t="n">
        <v>42.19561</v>
      </c>
      <c r="AM24" s="15" t="n">
        <v>155</v>
      </c>
      <c r="AN24" s="15" t="n">
        <v>22.90669</v>
      </c>
      <c r="AO24" s="15" t="n">
        <v>13.197062</v>
      </c>
      <c r="AP24" s="15" t="n">
        <v>14.953878</v>
      </c>
      <c r="AR24" s="1">
        <f>B24</f>
        <v/>
      </c>
      <c r="AS24" s="1">
        <f>C24</f>
        <v/>
      </c>
      <c r="AT24" s="11">
        <f>SUM(AW24:BI24)+BK24+BL24</f>
        <v/>
      </c>
      <c r="AU24" s="11">
        <f>SUM(AW24:BI24)+BN24+BO24</f>
        <v/>
      </c>
      <c r="AV24" s="5">
        <f>AT24-AU24</f>
        <v/>
      </c>
      <c r="AW24" s="5">
        <f>F24/L24*AO24</f>
        <v/>
      </c>
      <c r="AX24" s="1">
        <f>G24/L24*AN24</f>
        <v/>
      </c>
      <c r="AY24" s="1">
        <f>BS24</f>
        <v/>
      </c>
      <c r="AZ24" s="1">
        <f>H24/L24</f>
        <v/>
      </c>
      <c r="BA24" s="1">
        <f>BR24</f>
        <v/>
      </c>
      <c r="BB24" s="1">
        <f>BT24</f>
        <v/>
      </c>
      <c r="BC24" s="1">
        <f>BU24</f>
        <v/>
      </c>
      <c r="BD24" s="1">
        <f>O24/L24/(0.9*8760)</f>
        <v/>
      </c>
      <c r="BE24" s="1">
        <f>BV24</f>
        <v/>
      </c>
      <c r="BF24" s="1">
        <f>P24/L24/(0.9*8760)</f>
        <v/>
      </c>
      <c r="BG24" s="1">
        <f>BW24</f>
        <v/>
      </c>
      <c r="BH24" s="1">
        <f>Q24/L24</f>
        <v/>
      </c>
      <c r="BI24" s="1">
        <f>BX24</f>
        <v/>
      </c>
      <c r="BJ24" s="1">
        <f>(SUM(CK24:CP24)-CG24)/L24</f>
        <v/>
      </c>
      <c r="BK24" s="1">
        <f>((AH24+AI24)*-1*CL24)/L24</f>
        <v/>
      </c>
      <c r="BL24" s="1">
        <f>BJ24*AH24</f>
        <v/>
      </c>
      <c r="BM24" s="1">
        <f>(CK24+CM24+CN24+CO24+CP24-CG24)/L24</f>
        <v/>
      </c>
      <c r="BN24" s="1">
        <f>(CL24*AI24*-1)/L24</f>
        <v/>
      </c>
      <c r="BO24" s="1">
        <f>BM24*AH24</f>
        <v/>
      </c>
      <c r="BQ24" s="1">
        <f>S24</f>
        <v/>
      </c>
      <c r="BR24" s="1">
        <f>U24/W24/L24*AN24*-1</f>
        <v/>
      </c>
      <c r="BS24" s="1">
        <f>V24/W24/L24*AN24</f>
        <v/>
      </c>
      <c r="BT24" s="1">
        <f t="array" ref="BT24">_xlfn.IFS(T24="Biomass_Corn", 1/W24/L24*AM24, T24="Biomass_Agri", 1/W24/L24*AL24, T24="Biomass_Wood", 1/W24/L24*AK24, T24="Biomass_Herb", 1/W24/L24*AJ24)</f>
        <v/>
      </c>
      <c r="BU24" s="1">
        <f>X24/W24/L24*AP24</f>
        <v/>
      </c>
      <c r="BV24" s="1">
        <f>AD24/W24/L24/(0.9*8760)</f>
        <v/>
      </c>
      <c r="BW24" s="1">
        <f>AE24/W24/L24/(0.9*8760)</f>
        <v/>
      </c>
      <c r="BX24" s="1">
        <f>AF24/W24/L24</f>
        <v/>
      </c>
      <c r="BZ24" s="9" t="n">
        <v>0.2409589293</v>
      </c>
      <c r="CA24" s="9" t="n">
        <v>0.2418283623</v>
      </c>
      <c r="CB24" s="9" t="n">
        <v>0.2402551414</v>
      </c>
      <c r="CC24" s="17">
        <f>Y24</f>
        <v/>
      </c>
      <c r="CD24" s="10" t="n">
        <v>0.1828908353</v>
      </c>
      <c r="CE24" s="9" t="n">
        <v>0.23037491</v>
      </c>
      <c r="CG24" s="10">
        <f>CC24/W24</f>
        <v/>
      </c>
      <c r="CH24" s="10">
        <f>IF(X24=0, 0, CD24*X24/W24)</f>
        <v/>
      </c>
      <c r="CI24" s="10">
        <f>CE24</f>
        <v/>
      </c>
      <c r="CK24" s="17">
        <f>(AA24+AC24)/W24</f>
        <v/>
      </c>
      <c r="CL24" s="17">
        <f>(Z24+AB24)/W24</f>
        <v/>
      </c>
      <c r="CM24" s="10">
        <f>BZ24*I24</f>
        <v/>
      </c>
      <c r="CN24" s="10">
        <f>CA24*J24</f>
        <v/>
      </c>
      <c r="CO24" s="10">
        <f>CB24*K24</f>
        <v/>
      </c>
      <c r="CP24" s="10">
        <f>(N24)</f>
        <v/>
      </c>
      <c r="CR24" s="1">
        <f>SUM(CG24:CH24)-SUM(CK24:CP24)</f>
        <v/>
      </c>
    </row>
    <row r="25">
      <c r="B25" s="22" t="inlineStr">
        <is>
          <t>TX_Ethanol_to_JetFuel</t>
        </is>
      </c>
      <c r="C25" s="23" t="inlineStr">
        <is>
          <t>Ethanol</t>
        </is>
      </c>
      <c r="D25" s="23" t="n">
        <v>6</v>
      </c>
      <c r="E25" s="23">
        <f>S25</f>
        <v/>
      </c>
      <c r="F25" s="22" t="n">
        <v>0.023755151</v>
      </c>
      <c r="G25" s="22" t="n">
        <v>0</v>
      </c>
      <c r="H25" s="22" t="n">
        <v>0</v>
      </c>
      <c r="I25" s="22" t="n">
        <v>0</v>
      </c>
      <c r="J25" s="22" t="n">
        <v>0</v>
      </c>
      <c r="K25" s="22" t="n">
        <v>0.946932606</v>
      </c>
      <c r="L25" s="28">
        <f>SUM(I25:K25)</f>
        <v/>
      </c>
      <c r="M25" s="22" t="n">
        <v>0</v>
      </c>
      <c r="N25" s="22" t="n">
        <v>0.00286948</v>
      </c>
      <c r="O25" s="22" t="n">
        <v>331164.8345</v>
      </c>
      <c r="P25" s="22" t="n">
        <v>181441.3395</v>
      </c>
      <c r="Q25" s="22" t="n">
        <v>13.3</v>
      </c>
      <c r="S25" s="17">
        <f t="array" ref="S25:AF25">_xlfn.XLOOKUP(D25, CT:CT, CU:DH)</f>
        <v/>
      </c>
      <c r="T25" s="17" t="inlineStr">
        <is>
          <t>Biomass_Corn</t>
        </is>
      </c>
      <c r="U25" s="17" t="n">
        <v>0</v>
      </c>
      <c r="V25" s="17" t="n">
        <v>0.085342825</v>
      </c>
      <c r="W25" s="17" t="n">
        <v>3.104337995</v>
      </c>
      <c r="X25" s="17" t="n">
        <v>1.013397519</v>
      </c>
      <c r="Y25" s="17" t="n">
        <v>1.758866658</v>
      </c>
      <c r="Z25" s="17" t="n">
        <v>0.357687672</v>
      </c>
      <c r="AA25" s="17" t="n">
        <v>0.6860173939999999</v>
      </c>
      <c r="AB25" s="17" t="n">
        <v>0.152906423</v>
      </c>
      <c r="AC25" s="17" t="n">
        <v>0.032434696</v>
      </c>
      <c r="AD25" s="17" t="n">
        <v>45179.42</v>
      </c>
      <c r="AE25" s="17" t="n">
        <v>201481.25</v>
      </c>
      <c r="AF25" s="17" t="n">
        <v>-25.28</v>
      </c>
      <c r="AH25" s="15" t="n">
        <v>73.71884</v>
      </c>
      <c r="AI25" s="15" t="n">
        <v>-6.097314</v>
      </c>
      <c r="AJ25" s="15" t="n">
        <v>61.343403</v>
      </c>
      <c r="AK25" s="15" t="n">
        <v>33.004971</v>
      </c>
      <c r="AL25" s="15" t="n">
        <v>42.19561</v>
      </c>
      <c r="AM25" s="15" t="n">
        <v>155</v>
      </c>
      <c r="AN25" s="15" t="n">
        <v>22.90669</v>
      </c>
      <c r="AO25" s="15" t="n">
        <v>13.197062</v>
      </c>
      <c r="AP25" s="15" t="n">
        <v>14.953878</v>
      </c>
      <c r="AR25" s="1">
        <f>B25</f>
        <v/>
      </c>
      <c r="AS25" s="1">
        <f>C25</f>
        <v/>
      </c>
      <c r="AT25" s="11">
        <f>SUM(AW25:BI25)+BK25+BL25</f>
        <v/>
      </c>
      <c r="AU25" s="11">
        <f>SUM(AW25:BI25)+BN25+BO25</f>
        <v/>
      </c>
      <c r="AV25" s="5">
        <f>AT25-AU25</f>
        <v/>
      </c>
      <c r="AW25" s="5">
        <f>F25/L25*AO25</f>
        <v/>
      </c>
      <c r="AX25" s="1">
        <f>G25/L25*AN25</f>
        <v/>
      </c>
      <c r="AY25" s="1">
        <f>BS25</f>
        <v/>
      </c>
      <c r="AZ25" s="1">
        <f>H25/L25</f>
        <v/>
      </c>
      <c r="BA25" s="1">
        <f>BR25</f>
        <v/>
      </c>
      <c r="BB25" s="1">
        <f>BT25</f>
        <v/>
      </c>
      <c r="BC25" s="1">
        <f>BU25</f>
        <v/>
      </c>
      <c r="BD25" s="1">
        <f>O25/L25/(0.9*8760)</f>
        <v/>
      </c>
      <c r="BE25" s="1">
        <f>BV25</f>
        <v/>
      </c>
      <c r="BF25" s="1">
        <f>P25/L25/(0.9*8760)</f>
        <v/>
      </c>
      <c r="BG25" s="1">
        <f>BW25</f>
        <v/>
      </c>
      <c r="BH25" s="1">
        <f>Q25/L25</f>
        <v/>
      </c>
      <c r="BI25" s="1">
        <f>BX25</f>
        <v/>
      </c>
      <c r="BJ25" s="1">
        <f>(SUM(CK25:CP25)-CG25)/L25</f>
        <v/>
      </c>
      <c r="BK25" s="1">
        <f>((AH25+AI25)*-1*CL25)/L25</f>
        <v/>
      </c>
      <c r="BL25" s="1">
        <f>BJ25*AH25</f>
        <v/>
      </c>
      <c r="BM25" s="1">
        <f>(CK25+CM25+CN25+CO25+CP25-CG25)/L25</f>
        <v/>
      </c>
      <c r="BN25" s="1">
        <f>(CL25*AI25*-1)/L25</f>
        <v/>
      </c>
      <c r="BO25" s="1">
        <f>BM25*AH25</f>
        <v/>
      </c>
      <c r="BQ25" s="1">
        <f>S25</f>
        <v/>
      </c>
      <c r="BR25" s="1">
        <f>U25/W25/L25*AN25*-1</f>
        <v/>
      </c>
      <c r="BS25" s="1">
        <f>V25/W25/L25*AN25</f>
        <v/>
      </c>
      <c r="BT25" s="1">
        <f t="array" ref="BT25">_xlfn.IFS(T25="Biomass_Corn", 1/W25/L25*AM25, T25="Biomass_Agri", 1/W25/L25*AL25, T25="Biomass_Wood", 1/W25/L25*AK25, T25="Biomass_Herb", 1/W25/L25*AJ25)</f>
        <v/>
      </c>
      <c r="BU25" s="1">
        <f>X25/W25/L25*AP25</f>
        <v/>
      </c>
      <c r="BV25" s="1">
        <f>AD25/W25/L25/(0.9*8760)</f>
        <v/>
      </c>
      <c r="BW25" s="1">
        <f>AE25/W25/L25/(0.9*8760)</f>
        <v/>
      </c>
      <c r="BX25" s="1">
        <f>AF25/W25/L25</f>
        <v/>
      </c>
      <c r="BZ25" s="9" t="n">
        <v>0.2409589293</v>
      </c>
      <c r="CA25" s="9" t="n">
        <v>0.2418283623</v>
      </c>
      <c r="CB25" s="9" t="n">
        <v>0.2402551414</v>
      </c>
      <c r="CC25" s="17">
        <f>Y25</f>
        <v/>
      </c>
      <c r="CD25" s="10" t="n">
        <v>0.1828908353</v>
      </c>
      <c r="CE25" s="9" t="n">
        <v>0.23037491</v>
      </c>
      <c r="CG25" s="10">
        <f>CC25/W25</f>
        <v/>
      </c>
      <c r="CH25" s="10">
        <f>IF(X25=0, 0, CD25*X25/W25)</f>
        <v/>
      </c>
      <c r="CI25" s="10">
        <f>CE25</f>
        <v/>
      </c>
      <c r="CK25" s="17">
        <f>(AA25+AC25)/W25</f>
        <v/>
      </c>
      <c r="CL25" s="17">
        <f>(Z25+AB25)/W25</f>
        <v/>
      </c>
      <c r="CM25" s="10">
        <f>BZ25*I25</f>
        <v/>
      </c>
      <c r="CN25" s="10">
        <f>CA25*J25</f>
        <v/>
      </c>
      <c r="CO25" s="10">
        <f>CB25*K25</f>
        <v/>
      </c>
      <c r="CP25" s="10">
        <f>(N25)</f>
        <v/>
      </c>
      <c r="CR25" s="1">
        <f>SUM(CG25:CH25)-SUM(CK25:CP25)</f>
        <v/>
      </c>
    </row>
    <row r="26">
      <c r="B26" s="22" t="inlineStr">
        <is>
          <t>NCEN_Ethanol_to_JetFuel</t>
        </is>
      </c>
      <c r="C26" s="23" t="inlineStr">
        <is>
          <t>Ethanol</t>
        </is>
      </c>
      <c r="D26" s="23" t="n">
        <v>6</v>
      </c>
      <c r="E26" s="23">
        <f>S26</f>
        <v/>
      </c>
      <c r="F26" s="22" t="n">
        <v>0.023755151</v>
      </c>
      <c r="G26" s="22" t="n">
        <v>0</v>
      </c>
      <c r="H26" s="22" t="n">
        <v>0</v>
      </c>
      <c r="I26" s="22" t="n">
        <v>0</v>
      </c>
      <c r="J26" s="22" t="n">
        <v>0</v>
      </c>
      <c r="K26" s="22" t="n">
        <v>0.946932606</v>
      </c>
      <c r="L26" s="28">
        <f>SUM(I26:K26)</f>
        <v/>
      </c>
      <c r="M26" s="22" t="n">
        <v>0</v>
      </c>
      <c r="N26" s="22" t="n">
        <v>0.00286948</v>
      </c>
      <c r="O26" s="22" t="n">
        <v>331164.8345</v>
      </c>
      <c r="P26" s="22" t="n">
        <v>181441.3395</v>
      </c>
      <c r="Q26" s="22" t="n">
        <v>13.3</v>
      </c>
      <c r="S26" s="17">
        <f t="array" ref="S26:AF26">_xlfn.XLOOKUP(D26, CT:CT, CU:DH)</f>
        <v/>
      </c>
      <c r="T26" s="17" t="inlineStr">
        <is>
          <t>Biomass_Corn</t>
        </is>
      </c>
      <c r="U26" s="17" t="n">
        <v>0</v>
      </c>
      <c r="V26" s="17" t="n">
        <v>0.085342825</v>
      </c>
      <c r="W26" s="17" t="n">
        <v>3.104337995</v>
      </c>
      <c r="X26" s="17" t="n">
        <v>1.013397519</v>
      </c>
      <c r="Y26" s="17" t="n">
        <v>1.758866658</v>
      </c>
      <c r="Z26" s="17" t="n">
        <v>0.357687672</v>
      </c>
      <c r="AA26" s="17" t="n">
        <v>0.6860173939999999</v>
      </c>
      <c r="AB26" s="17" t="n">
        <v>0.152906423</v>
      </c>
      <c r="AC26" s="17" t="n">
        <v>0.032434696</v>
      </c>
      <c r="AD26" s="17" t="n">
        <v>45179.42</v>
      </c>
      <c r="AE26" s="17" t="n">
        <v>201481.25</v>
      </c>
      <c r="AF26" s="17" t="n">
        <v>-25.28</v>
      </c>
      <c r="AH26" s="15" t="n">
        <v>73.71884</v>
      </c>
      <c r="AI26" s="15" t="n">
        <v>-6.097314</v>
      </c>
      <c r="AJ26" s="15" t="n">
        <v>61.343403</v>
      </c>
      <c r="AK26" s="15" t="n">
        <v>33.004971</v>
      </c>
      <c r="AL26" s="15" t="n">
        <v>42.19561</v>
      </c>
      <c r="AM26" s="15" t="n">
        <v>155</v>
      </c>
      <c r="AN26" s="15" t="n">
        <v>22.90669</v>
      </c>
      <c r="AO26" s="15" t="n">
        <v>13.197062</v>
      </c>
      <c r="AP26" s="15" t="n">
        <v>14.953878</v>
      </c>
      <c r="AR26" s="1">
        <f>B26</f>
        <v/>
      </c>
      <c r="AS26" s="1">
        <f>C26</f>
        <v/>
      </c>
      <c r="AT26" s="11">
        <f>SUM(AW26:BI26)+BK26+BL26</f>
        <v/>
      </c>
      <c r="AU26" s="11">
        <f>SUM(AW26:BI26)+BN26+BO26</f>
        <v/>
      </c>
      <c r="AV26" s="5">
        <f>AT26-AU26</f>
        <v/>
      </c>
      <c r="AW26" s="5">
        <f>F26/L26*AO26</f>
        <v/>
      </c>
      <c r="AX26" s="1">
        <f>G26/L26*AN26</f>
        <v/>
      </c>
      <c r="AY26" s="1">
        <f>BS26</f>
        <v/>
      </c>
      <c r="AZ26" s="1">
        <f>H26/L26</f>
        <v/>
      </c>
      <c r="BA26" s="1">
        <f>BR26</f>
        <v/>
      </c>
      <c r="BB26" s="1">
        <f>BT26</f>
        <v/>
      </c>
      <c r="BC26" s="1">
        <f>BU26</f>
        <v/>
      </c>
      <c r="BD26" s="1">
        <f>O26/L26/(0.9*8760)</f>
        <v/>
      </c>
      <c r="BE26" s="1">
        <f>BV26</f>
        <v/>
      </c>
      <c r="BF26" s="1">
        <f>P26/L26/(0.9*8760)</f>
        <v/>
      </c>
      <c r="BG26" s="1">
        <f>BW26</f>
        <v/>
      </c>
      <c r="BH26" s="1">
        <f>Q26/L26</f>
        <v/>
      </c>
      <c r="BI26" s="1">
        <f>BX26</f>
        <v/>
      </c>
      <c r="BJ26" s="1">
        <f>(SUM(CK26:CP26)-CG26)/L26</f>
        <v/>
      </c>
      <c r="BK26" s="1">
        <f>((AH26+AI26)*-1*CL26)/L26</f>
        <v/>
      </c>
      <c r="BL26" s="1">
        <f>BJ26*AH26</f>
        <v/>
      </c>
      <c r="BM26" s="1">
        <f>(CK26+CM26+CN26+CO26+CP26-CG26)/L26</f>
        <v/>
      </c>
      <c r="BN26" s="1">
        <f>(CL26*AI26*-1)/L26</f>
        <v/>
      </c>
      <c r="BO26" s="1">
        <f>BM26*AH26</f>
        <v/>
      </c>
      <c r="BP26" s="16" t="n"/>
      <c r="BQ26" s="1">
        <f>S26</f>
        <v/>
      </c>
      <c r="BR26" s="1">
        <f>U26/W26/L26*AN26*-1</f>
        <v/>
      </c>
      <c r="BS26" s="1">
        <f>V26/W26/L26*AN26</f>
        <v/>
      </c>
      <c r="BT26" s="1">
        <f t="array" ref="BT26">_xlfn.IFS(T26="Biomass_Corn", 1/W26/L26*AM26, T26="Biomass_Agri", 1/W26/L26*AL26, T26="Biomass_Wood", 1/W26/L26*AK26, T26="Biomass_Herb", 1/W26/L26*AJ26)</f>
        <v/>
      </c>
      <c r="BU26" s="1">
        <f>X26/W26/L26*AP26</f>
        <v/>
      </c>
      <c r="BV26" s="1">
        <f>AD26/W26/L26/(0.9*8760)</f>
        <v/>
      </c>
      <c r="BW26" s="1">
        <f>AE26/W26/L26/(0.9*8760)</f>
        <v/>
      </c>
      <c r="BX26" s="1">
        <f>AF26/W26/L26</f>
        <v/>
      </c>
      <c r="BZ26" s="9" t="n">
        <v>0.2409589293</v>
      </c>
      <c r="CA26" s="9" t="n">
        <v>0.2418283623</v>
      </c>
      <c r="CB26" s="9" t="n">
        <v>0.2402551414</v>
      </c>
      <c r="CC26" s="17">
        <f>Y26</f>
        <v/>
      </c>
      <c r="CD26" s="10" t="n">
        <v>0.1828908353</v>
      </c>
      <c r="CE26" s="9" t="n">
        <v>0.23037491</v>
      </c>
      <c r="CG26" s="10">
        <f>CC26/W26</f>
        <v/>
      </c>
      <c r="CH26" s="10">
        <f>IF(X26=0, 0, CD26*X26/W26)</f>
        <v/>
      </c>
      <c r="CI26" s="10">
        <f>CE26</f>
        <v/>
      </c>
      <c r="CK26" s="17">
        <f>(AA26+AC26)/W26</f>
        <v/>
      </c>
      <c r="CL26" s="17">
        <f>(Z26+AB26)/W26</f>
        <v/>
      </c>
      <c r="CM26" s="10">
        <f>BZ26*I26</f>
        <v/>
      </c>
      <c r="CN26" s="10">
        <f>CA26*J26</f>
        <v/>
      </c>
      <c r="CO26" s="10">
        <f>CB26*K26</f>
        <v/>
      </c>
      <c r="CP26" s="10">
        <f>(N26)</f>
        <v/>
      </c>
      <c r="CR26" s="1">
        <f>SUM(CG26:CH26)-SUM(CK26:CP26)</f>
        <v/>
      </c>
    </row>
    <row r="27">
      <c r="B27" s="22" t="inlineStr">
        <is>
          <t>CEN_Ethanol_to_JetFuel</t>
        </is>
      </c>
      <c r="C27" s="23" t="inlineStr">
        <is>
          <t>Ethanol</t>
        </is>
      </c>
      <c r="D27" s="23" t="n">
        <v>6</v>
      </c>
      <c r="E27" s="23">
        <f>S27</f>
        <v/>
      </c>
      <c r="F27" s="22" t="n">
        <v>0.023755151</v>
      </c>
      <c r="G27" s="22" t="n">
        <v>0</v>
      </c>
      <c r="H27" s="22" t="n">
        <v>0</v>
      </c>
      <c r="I27" s="22" t="n">
        <v>0</v>
      </c>
      <c r="J27" s="22" t="n">
        <v>0</v>
      </c>
      <c r="K27" s="22" t="n">
        <v>0.946932606</v>
      </c>
      <c r="L27" s="28">
        <f>SUM(I27:K27)</f>
        <v/>
      </c>
      <c r="M27" s="22" t="n">
        <v>0</v>
      </c>
      <c r="N27" s="22" t="n">
        <v>0.00286948</v>
      </c>
      <c r="O27" s="22" t="n">
        <v>331164.8345</v>
      </c>
      <c r="P27" s="22" t="n">
        <v>181441.3395</v>
      </c>
      <c r="Q27" s="22" t="n">
        <v>13.3</v>
      </c>
      <c r="S27" s="17">
        <f t="array" ref="S27:AF27">_xlfn.XLOOKUP(D27, CT:CT, CU:DH)</f>
        <v/>
      </c>
      <c r="T27" s="17" t="inlineStr">
        <is>
          <t>Biomass_Corn</t>
        </is>
      </c>
      <c r="U27" s="17" t="n">
        <v>0</v>
      </c>
      <c r="V27" s="17" t="n">
        <v>0.085342825</v>
      </c>
      <c r="W27" s="17" t="n">
        <v>3.104337995</v>
      </c>
      <c r="X27" s="17" t="n">
        <v>1.013397519</v>
      </c>
      <c r="Y27" s="17" t="n">
        <v>1.758866658</v>
      </c>
      <c r="Z27" s="17" t="n">
        <v>0.357687672</v>
      </c>
      <c r="AA27" s="17" t="n">
        <v>0.6860173939999999</v>
      </c>
      <c r="AB27" s="17" t="n">
        <v>0.152906423</v>
      </c>
      <c r="AC27" s="17" t="n">
        <v>0.032434696</v>
      </c>
      <c r="AD27" s="17" t="n">
        <v>45179.42</v>
      </c>
      <c r="AE27" s="17" t="n">
        <v>201481.25</v>
      </c>
      <c r="AF27" s="17" t="n">
        <v>-25.28</v>
      </c>
      <c r="AH27" s="15" t="n">
        <v>73.71884</v>
      </c>
      <c r="AI27" s="15" t="n">
        <v>-6.097314</v>
      </c>
      <c r="AJ27" s="15" t="n">
        <v>61.343403</v>
      </c>
      <c r="AK27" s="15" t="n">
        <v>33.004971</v>
      </c>
      <c r="AL27" s="15" t="n">
        <v>42.19561</v>
      </c>
      <c r="AM27" s="15" t="n">
        <v>155</v>
      </c>
      <c r="AN27" s="15" t="n">
        <v>22.90669</v>
      </c>
      <c r="AO27" s="15" t="n">
        <v>13.197062</v>
      </c>
      <c r="AP27" s="15" t="n">
        <v>14.953878</v>
      </c>
      <c r="AR27" s="1">
        <f>B27</f>
        <v/>
      </c>
      <c r="AS27" s="1">
        <f>C27</f>
        <v/>
      </c>
      <c r="AT27" s="11">
        <f>SUM(AW27:BI27)+BK27+BL27</f>
        <v/>
      </c>
      <c r="AU27" s="11">
        <f>SUM(AW27:BI27)+BN27+BO27</f>
        <v/>
      </c>
      <c r="AV27" s="5">
        <f>AT27-AU27</f>
        <v/>
      </c>
      <c r="AW27" s="5">
        <f>F27/L27*AO27</f>
        <v/>
      </c>
      <c r="AX27" s="1">
        <f>G27/L27*AN27</f>
        <v/>
      </c>
      <c r="AY27" s="1">
        <f>BS27</f>
        <v/>
      </c>
      <c r="AZ27" s="1">
        <f>H27/L27</f>
        <v/>
      </c>
      <c r="BA27" s="1">
        <f>BR27</f>
        <v/>
      </c>
      <c r="BB27" s="1">
        <f>BT27</f>
        <v/>
      </c>
      <c r="BC27" s="1">
        <f>BU27</f>
        <v/>
      </c>
      <c r="BD27" s="1">
        <f>O27/L27/(0.9*8760)</f>
        <v/>
      </c>
      <c r="BE27" s="1">
        <f>BV27</f>
        <v/>
      </c>
      <c r="BF27" s="1">
        <f>P27/L27/(0.9*8760)</f>
        <v/>
      </c>
      <c r="BG27" s="1">
        <f>BW27</f>
        <v/>
      </c>
      <c r="BH27" s="1">
        <f>Q27/L27</f>
        <v/>
      </c>
      <c r="BI27" s="1">
        <f>BX27</f>
        <v/>
      </c>
      <c r="BJ27" s="1">
        <f>(SUM(CK27:CP27)-CG27)/L27</f>
        <v/>
      </c>
      <c r="BK27" s="1">
        <f>((AH27+AI27)*-1*CL27)/L27</f>
        <v/>
      </c>
      <c r="BL27" s="1">
        <f>BJ27*AH27</f>
        <v/>
      </c>
      <c r="BM27" s="1">
        <f>(CK27+CM27+CN27+CO27+CP27-CG27)/L27</f>
        <v/>
      </c>
      <c r="BN27" s="1">
        <f>(CL27*AI27*-1)/L27</f>
        <v/>
      </c>
      <c r="BO27" s="1">
        <f>BM27*AH27</f>
        <v/>
      </c>
      <c r="BQ27" s="1">
        <f>S27</f>
        <v/>
      </c>
      <c r="BR27" s="1">
        <f>U27/W27/L27*AN27*-1</f>
        <v/>
      </c>
      <c r="BS27" s="1">
        <f>V27/W27/L27*AN27</f>
        <v/>
      </c>
      <c r="BT27" s="1">
        <f t="array" ref="BT27">_xlfn.IFS(T27="Biomass_Corn", 1/W27/L27*AM27, T27="Biomass_Agri", 1/W27/L27*AL27, T27="Biomass_Wood", 1/W27/L27*AK27, T27="Biomass_Herb", 1/W27/L27*AJ27)</f>
        <v/>
      </c>
      <c r="BU27" s="1">
        <f>X27/W27/L27*AP27</f>
        <v/>
      </c>
      <c r="BV27" s="1">
        <f>AD27/W27/L27/(0.9*8760)</f>
        <v/>
      </c>
      <c r="BW27" s="1">
        <f>AE27/W27/L27/(0.9*8760)</f>
        <v/>
      </c>
      <c r="BX27" s="1">
        <f>AF27/W27/L27</f>
        <v/>
      </c>
      <c r="BZ27" s="9" t="n">
        <v>0.2409589293</v>
      </c>
      <c r="CA27" s="9" t="n">
        <v>0.2418283623</v>
      </c>
      <c r="CB27" s="9" t="n">
        <v>0.2402551414</v>
      </c>
      <c r="CC27" s="17">
        <f>Y27</f>
        <v/>
      </c>
      <c r="CD27" s="10" t="n">
        <v>0.1828908353</v>
      </c>
      <c r="CE27" s="9" t="n">
        <v>0.23037491</v>
      </c>
      <c r="CG27" s="10">
        <f>CC27/W27</f>
        <v/>
      </c>
      <c r="CH27" s="10">
        <f>IF(X27=0, 0, CD27*X27/W27)</f>
        <v/>
      </c>
      <c r="CI27" s="10">
        <f>CE27</f>
        <v/>
      </c>
      <c r="CK27" s="17">
        <f>(AA27+AC27)/W27</f>
        <v/>
      </c>
      <c r="CL27" s="17">
        <f>(Z27+AB27)/W27</f>
        <v/>
      </c>
      <c r="CM27" s="10">
        <f>BZ27*I27</f>
        <v/>
      </c>
      <c r="CN27" s="10">
        <f>CA27*J27</f>
        <v/>
      </c>
      <c r="CO27" s="10">
        <f>CB27*K27</f>
        <v/>
      </c>
      <c r="CP27" s="10">
        <f>(N27)</f>
        <v/>
      </c>
      <c r="CR27" s="1">
        <f>SUM(CG27:CH27)-SUM(CK27:CP27)</f>
        <v/>
      </c>
    </row>
    <row r="28">
      <c r="B28" s="22" t="inlineStr">
        <is>
          <t>SE_Ethanol_to_JetFuel</t>
        </is>
      </c>
      <c r="C28" s="23" t="inlineStr">
        <is>
          <t>Ethanol</t>
        </is>
      </c>
      <c r="D28" s="23" t="n">
        <v>6</v>
      </c>
      <c r="E28" s="23">
        <f>S28</f>
        <v/>
      </c>
      <c r="F28" s="22" t="n">
        <v>0.023755151</v>
      </c>
      <c r="G28" s="22" t="n">
        <v>0</v>
      </c>
      <c r="H28" s="22" t="n">
        <v>0</v>
      </c>
      <c r="I28" s="22" t="n">
        <v>0</v>
      </c>
      <c r="J28" s="22" t="n">
        <v>0</v>
      </c>
      <c r="K28" s="22" t="n">
        <v>0.946932606</v>
      </c>
      <c r="L28" s="28">
        <f>SUM(I28:K28)</f>
        <v/>
      </c>
      <c r="M28" s="22" t="n">
        <v>0</v>
      </c>
      <c r="N28" s="22" t="n">
        <v>0.00286948</v>
      </c>
      <c r="O28" s="22" t="n">
        <v>331164.8345</v>
      </c>
      <c r="P28" s="22" t="n">
        <v>181441.3395</v>
      </c>
      <c r="Q28" s="22" t="n">
        <v>13.3</v>
      </c>
      <c r="S28" s="17">
        <f t="array" ref="S28:AF28">_xlfn.XLOOKUP(D28, CT:CT, CU:DH)</f>
        <v/>
      </c>
      <c r="T28" s="17" t="inlineStr">
        <is>
          <t>Biomass_Corn</t>
        </is>
      </c>
      <c r="U28" s="17" t="n">
        <v>0</v>
      </c>
      <c r="V28" s="17" t="n">
        <v>0.085342825</v>
      </c>
      <c r="W28" s="17" t="n">
        <v>3.104337995</v>
      </c>
      <c r="X28" s="17" t="n">
        <v>1.013397519</v>
      </c>
      <c r="Y28" s="17" t="n">
        <v>1.758866658</v>
      </c>
      <c r="Z28" s="17" t="n">
        <v>0.357687672</v>
      </c>
      <c r="AA28" s="17" t="n">
        <v>0.6860173939999999</v>
      </c>
      <c r="AB28" s="17" t="n">
        <v>0.152906423</v>
      </c>
      <c r="AC28" s="17" t="n">
        <v>0.032434696</v>
      </c>
      <c r="AD28" s="17" t="n">
        <v>45179.42</v>
      </c>
      <c r="AE28" s="17" t="n">
        <v>201481.25</v>
      </c>
      <c r="AF28" s="17" t="n">
        <v>-25.28</v>
      </c>
      <c r="AH28" s="15" t="n">
        <v>73.71884</v>
      </c>
      <c r="AI28" s="15" t="n">
        <v>-6.097314</v>
      </c>
      <c r="AJ28" s="15" t="n">
        <v>61.343403</v>
      </c>
      <c r="AK28" s="15" t="n">
        <v>33.004971</v>
      </c>
      <c r="AL28" s="15" t="n">
        <v>42.19561</v>
      </c>
      <c r="AM28" s="15" t="n">
        <v>155</v>
      </c>
      <c r="AN28" s="15" t="n">
        <v>22.90669</v>
      </c>
      <c r="AO28" s="15" t="n">
        <v>13.197062</v>
      </c>
      <c r="AP28" s="15" t="n">
        <v>14.953878</v>
      </c>
      <c r="AR28" s="1">
        <f>B28</f>
        <v/>
      </c>
      <c r="AS28" s="1">
        <f>C28</f>
        <v/>
      </c>
      <c r="AT28" s="11">
        <f>SUM(AW28:BI28)+BK28+BL28</f>
        <v/>
      </c>
      <c r="AU28" s="11">
        <f>SUM(AW28:BI28)+BN28+BO28</f>
        <v/>
      </c>
      <c r="AV28" s="5">
        <f>AT28-AU28</f>
        <v/>
      </c>
      <c r="AW28" s="5">
        <f>F28/L28*AO28</f>
        <v/>
      </c>
      <c r="AX28" s="1">
        <f>G28/L28*AN28</f>
        <v/>
      </c>
      <c r="AY28" s="1">
        <f>BS28</f>
        <v/>
      </c>
      <c r="AZ28" s="1">
        <f>H28/L28</f>
        <v/>
      </c>
      <c r="BA28" s="1">
        <f>BR28</f>
        <v/>
      </c>
      <c r="BB28" s="1">
        <f>BT28</f>
        <v/>
      </c>
      <c r="BC28" s="1">
        <f>BU28</f>
        <v/>
      </c>
      <c r="BD28" s="1">
        <f>O28/L28/(0.9*8760)</f>
        <v/>
      </c>
      <c r="BE28" s="1">
        <f>BV28</f>
        <v/>
      </c>
      <c r="BF28" s="1">
        <f>P28/L28/(0.9*8760)</f>
        <v/>
      </c>
      <c r="BG28" s="1">
        <f>BW28</f>
        <v/>
      </c>
      <c r="BH28" s="1">
        <f>Q28/L28</f>
        <v/>
      </c>
      <c r="BI28" s="1">
        <f>BX28</f>
        <v/>
      </c>
      <c r="BJ28" s="1">
        <f>(SUM(CK28:CP28)-CG28)/L28</f>
        <v/>
      </c>
      <c r="BK28" s="1">
        <f>((AH28+AI28)*-1*CL28)/L28</f>
        <v/>
      </c>
      <c r="BL28" s="1">
        <f>BJ28*AH28</f>
        <v/>
      </c>
      <c r="BM28" s="1">
        <f>(CK28+CM28+CN28+CO28+CP28-CG28)/L28</f>
        <v/>
      </c>
      <c r="BN28" s="1">
        <f>(CL28*AI28*-1)/L28</f>
        <v/>
      </c>
      <c r="BO28" s="1">
        <f>BM28*AH28</f>
        <v/>
      </c>
      <c r="BQ28" s="1">
        <f>S28</f>
        <v/>
      </c>
      <c r="BR28" s="1">
        <f>U28/W28/L28*AN28*-1</f>
        <v/>
      </c>
      <c r="BS28" s="1">
        <f>V28/W28/L28*AN28</f>
        <v/>
      </c>
      <c r="BT28" s="1">
        <f t="array" ref="BT28">_xlfn.IFS(T28="Biomass_Corn", 1/W28/L28*AM28, T28="Biomass_Agri", 1/W28/L28*AL28, T28="Biomass_Wood", 1/W28/L28*AK28, T28="Biomass_Herb", 1/W28/L28*AJ28)</f>
        <v/>
      </c>
      <c r="BU28" s="1">
        <f>X28/W28/L28*AP28</f>
        <v/>
      </c>
      <c r="BV28" s="1">
        <f>AD28/W28/L28/(0.9*8760)</f>
        <v/>
      </c>
      <c r="BW28" s="1">
        <f>AE28/W28/L28/(0.9*8760)</f>
        <v/>
      </c>
      <c r="BX28" s="1">
        <f>AF28/W28/L28</f>
        <v/>
      </c>
      <c r="BZ28" s="9" t="n">
        <v>0.2409589293</v>
      </c>
      <c r="CA28" s="9" t="n">
        <v>0.2418283623</v>
      </c>
      <c r="CB28" s="9" t="n">
        <v>0.2402551414</v>
      </c>
      <c r="CC28" s="17">
        <f>Y28</f>
        <v/>
      </c>
      <c r="CD28" s="10" t="n">
        <v>0.1828908353</v>
      </c>
      <c r="CE28" s="9" t="n">
        <v>0.23037491</v>
      </c>
      <c r="CG28" s="10">
        <f>CC28/W28</f>
        <v/>
      </c>
      <c r="CH28" s="10">
        <f>IF(X28=0, 0, CD28*X28/W28)</f>
        <v/>
      </c>
      <c r="CI28" s="10">
        <f>CE28</f>
        <v/>
      </c>
      <c r="CK28" s="17">
        <f>(AA28+AC28)/W28</f>
        <v/>
      </c>
      <c r="CL28" s="17">
        <f>(Z28+AB28)/W28</f>
        <v/>
      </c>
      <c r="CM28" s="10">
        <f>BZ28*I28</f>
        <v/>
      </c>
      <c r="CN28" s="10">
        <f>CA28*J28</f>
        <v/>
      </c>
      <c r="CO28" s="10">
        <f>CB28*K28</f>
        <v/>
      </c>
      <c r="CP28" s="10">
        <f>(N28)</f>
        <v/>
      </c>
      <c r="CR28" s="1">
        <f>SUM(CG28:CH28)-SUM(CK28:CP28)</f>
        <v/>
      </c>
    </row>
    <row r="29">
      <c r="B29" s="22" t="inlineStr">
        <is>
          <t>MIDAT_Ethanol_to_JetFuel</t>
        </is>
      </c>
      <c r="C29" s="23" t="inlineStr">
        <is>
          <t>Ethanol</t>
        </is>
      </c>
      <c r="D29" s="23" t="n">
        <v>6</v>
      </c>
      <c r="E29" s="23">
        <f>S29</f>
        <v/>
      </c>
      <c r="F29" s="22" t="n">
        <v>0.023755151</v>
      </c>
      <c r="G29" s="22" t="n">
        <v>0</v>
      </c>
      <c r="H29" s="22" t="n">
        <v>0</v>
      </c>
      <c r="I29" s="22" t="n">
        <v>0</v>
      </c>
      <c r="J29" s="22" t="n">
        <v>0</v>
      </c>
      <c r="K29" s="22" t="n">
        <v>0.946932606</v>
      </c>
      <c r="L29" s="28">
        <f>SUM(I29:K29)</f>
        <v/>
      </c>
      <c r="M29" s="22" t="n">
        <v>0</v>
      </c>
      <c r="N29" s="22" t="n">
        <v>0.00286948</v>
      </c>
      <c r="O29" s="22" t="n">
        <v>331164.8345</v>
      </c>
      <c r="P29" s="22" t="n">
        <v>181441.3395</v>
      </c>
      <c r="Q29" s="22" t="n">
        <v>13.3</v>
      </c>
      <c r="S29" s="17">
        <f t="array" ref="S29:AF29">_xlfn.XLOOKUP(D29, CT:CT, CU:DH)</f>
        <v/>
      </c>
      <c r="T29" s="17" t="inlineStr">
        <is>
          <t>Biomass_Corn</t>
        </is>
      </c>
      <c r="U29" s="17" t="n">
        <v>0</v>
      </c>
      <c r="V29" s="17" t="n">
        <v>0.085342825</v>
      </c>
      <c r="W29" s="17" t="n">
        <v>3.104337995</v>
      </c>
      <c r="X29" s="17" t="n">
        <v>1.013397519</v>
      </c>
      <c r="Y29" s="17" t="n">
        <v>1.758866658</v>
      </c>
      <c r="Z29" s="17" t="n">
        <v>0.357687672</v>
      </c>
      <c r="AA29" s="17" t="n">
        <v>0.6860173939999999</v>
      </c>
      <c r="AB29" s="17" t="n">
        <v>0.152906423</v>
      </c>
      <c r="AC29" s="17" t="n">
        <v>0.032434696</v>
      </c>
      <c r="AD29" s="17" t="n">
        <v>45179.42</v>
      </c>
      <c r="AE29" s="17" t="n">
        <v>201481.25</v>
      </c>
      <c r="AF29" s="17" t="n">
        <v>-25.28</v>
      </c>
      <c r="AH29" s="15" t="n">
        <v>73.71884</v>
      </c>
      <c r="AI29" s="15" t="n">
        <v>-6.097314</v>
      </c>
      <c r="AJ29" s="15" t="n">
        <v>61.343403</v>
      </c>
      <c r="AK29" s="15" t="n">
        <v>33.004971</v>
      </c>
      <c r="AL29" s="15" t="n">
        <v>42.19561</v>
      </c>
      <c r="AM29" s="15" t="n">
        <v>155</v>
      </c>
      <c r="AN29" s="15" t="n">
        <v>22.90669</v>
      </c>
      <c r="AO29" s="15" t="n">
        <v>13.197062</v>
      </c>
      <c r="AP29" s="15" t="n">
        <v>14.953878</v>
      </c>
      <c r="AR29" s="1">
        <f>B29</f>
        <v/>
      </c>
      <c r="AS29" s="1">
        <f>C29</f>
        <v/>
      </c>
      <c r="AT29" s="11">
        <f>SUM(AW29:BI29)+BK29+BL29</f>
        <v/>
      </c>
      <c r="AU29" s="11">
        <f>SUM(AW29:BI29)+BN29+BO29</f>
        <v/>
      </c>
      <c r="AV29" s="5">
        <f>AT29-AU29</f>
        <v/>
      </c>
      <c r="AW29" s="5">
        <f>F29/L29*AO29</f>
        <v/>
      </c>
      <c r="AX29" s="1">
        <f>G29/L29*AN29</f>
        <v/>
      </c>
      <c r="AY29" s="1">
        <f>BS29</f>
        <v/>
      </c>
      <c r="AZ29" s="1">
        <f>H29/L29</f>
        <v/>
      </c>
      <c r="BA29" s="1">
        <f>BR29</f>
        <v/>
      </c>
      <c r="BB29" s="1">
        <f>BT29</f>
        <v/>
      </c>
      <c r="BC29" s="1">
        <f>BU29</f>
        <v/>
      </c>
      <c r="BD29" s="1">
        <f>O29/L29/(0.9*8760)</f>
        <v/>
      </c>
      <c r="BE29" s="1">
        <f>BV29</f>
        <v/>
      </c>
      <c r="BF29" s="1">
        <f>P29/L29/(0.9*8760)</f>
        <v/>
      </c>
      <c r="BG29" s="1">
        <f>BW29</f>
        <v/>
      </c>
      <c r="BH29" s="1">
        <f>Q29/L29</f>
        <v/>
      </c>
      <c r="BI29" s="1">
        <f>BX29</f>
        <v/>
      </c>
      <c r="BJ29" s="1">
        <f>(SUM(CK29:CP29)-CG29)/L29</f>
        <v/>
      </c>
      <c r="BK29" s="1">
        <f>((AH29+AI29)*-1*CL29)/L29</f>
        <v/>
      </c>
      <c r="BL29" s="1">
        <f>BJ29*AH29</f>
        <v/>
      </c>
      <c r="BM29" s="1">
        <f>(CK29+CM29+CN29+CO29+CP29-CG29)/L29</f>
        <v/>
      </c>
      <c r="BN29" s="1">
        <f>(CL29*AI29*-1)/L29</f>
        <v/>
      </c>
      <c r="BO29" s="1">
        <f>BM29*AH29</f>
        <v/>
      </c>
      <c r="BQ29" s="1">
        <f>S29</f>
        <v/>
      </c>
      <c r="BR29" s="1">
        <f>U29/W29/L29*AN29*-1</f>
        <v/>
      </c>
      <c r="BS29" s="1">
        <f>V29/W29/L29*AN29</f>
        <v/>
      </c>
      <c r="BT29" s="1">
        <f t="array" ref="BT29">_xlfn.IFS(T29="Biomass_Corn", 1/W29/L29*AM29, T29="Biomass_Agri", 1/W29/L29*AL29, T29="Biomass_Wood", 1/W29/L29*AK29, T29="Biomass_Herb", 1/W29/L29*AJ29)</f>
        <v/>
      </c>
      <c r="BU29" s="1">
        <f>X29/W29/L29*AP29</f>
        <v/>
      </c>
      <c r="BV29" s="1">
        <f>AD29/W29/L29/(0.9*8760)</f>
        <v/>
      </c>
      <c r="BW29" s="1">
        <f>AE29/W29/L29/(0.9*8760)</f>
        <v/>
      </c>
      <c r="BX29" s="1">
        <f>AF29/W29/L29</f>
        <v/>
      </c>
      <c r="BZ29" s="9" t="n">
        <v>0.2409589293</v>
      </c>
      <c r="CA29" s="9" t="n">
        <v>0.2418283623</v>
      </c>
      <c r="CB29" s="9" t="n">
        <v>0.2402551414</v>
      </c>
      <c r="CC29" s="17">
        <f>Y29</f>
        <v/>
      </c>
      <c r="CD29" s="10" t="n">
        <v>0.1828908353</v>
      </c>
      <c r="CE29" s="9" t="n">
        <v>0.23037491</v>
      </c>
      <c r="CG29" s="10">
        <f>CC29/W29</f>
        <v/>
      </c>
      <c r="CH29" s="10">
        <f>IF(X29=0, 0, CD29*X29/W29)</f>
        <v/>
      </c>
      <c r="CI29" s="10">
        <f>CE29</f>
        <v/>
      </c>
      <c r="CK29" s="17">
        <f>(AA29+AC29)/W29</f>
        <v/>
      </c>
      <c r="CL29" s="17">
        <f>(Z29+AB29)/W29</f>
        <v/>
      </c>
      <c r="CM29" s="10">
        <f>BZ29*I29</f>
        <v/>
      </c>
      <c r="CN29" s="10">
        <f>CA29*J29</f>
        <v/>
      </c>
      <c r="CO29" s="10">
        <f>CB29*K29</f>
        <v/>
      </c>
      <c r="CP29" s="10">
        <f>(N29)</f>
        <v/>
      </c>
      <c r="CR29" s="1">
        <f>SUM(CG29:CH29)-SUM(CK29:CP29)</f>
        <v/>
      </c>
    </row>
    <row r="30">
      <c r="B30" s="22" t="inlineStr">
        <is>
          <t>NE_Ethanol_to_JetFuel</t>
        </is>
      </c>
      <c r="C30" s="23" t="inlineStr">
        <is>
          <t>Ethanol</t>
        </is>
      </c>
      <c r="D30" s="23" t="n">
        <v>6</v>
      </c>
      <c r="E30" s="23">
        <f>S30</f>
        <v/>
      </c>
      <c r="F30" s="22" t="n">
        <v>0.023755151</v>
      </c>
      <c r="G30" s="22" t="n">
        <v>0</v>
      </c>
      <c r="H30" s="22" t="n">
        <v>0</v>
      </c>
      <c r="I30" s="22" t="n">
        <v>0</v>
      </c>
      <c r="J30" s="22" t="n">
        <v>0</v>
      </c>
      <c r="K30" s="22" t="n">
        <v>0.946932606</v>
      </c>
      <c r="L30" s="28">
        <f>SUM(I30:K30)</f>
        <v/>
      </c>
      <c r="M30" s="22" t="n">
        <v>0</v>
      </c>
      <c r="N30" s="22" t="n">
        <v>0.00286948</v>
      </c>
      <c r="O30" s="22" t="n">
        <v>331164.8345</v>
      </c>
      <c r="P30" s="22" t="n">
        <v>181441.3395</v>
      </c>
      <c r="Q30" s="22" t="n">
        <v>13.3</v>
      </c>
      <c r="S30" s="17">
        <f t="array" ref="S30:AF30">_xlfn.XLOOKUP(D30, CT:CT, CU:DH)</f>
        <v/>
      </c>
      <c r="T30" s="17" t="inlineStr">
        <is>
          <t>Biomass_Corn</t>
        </is>
      </c>
      <c r="U30" s="17" t="n">
        <v>0</v>
      </c>
      <c r="V30" s="17" t="n">
        <v>0.085342825</v>
      </c>
      <c r="W30" s="17" t="n">
        <v>3.104337995</v>
      </c>
      <c r="X30" s="17" t="n">
        <v>1.013397519</v>
      </c>
      <c r="Y30" s="17" t="n">
        <v>1.758866658</v>
      </c>
      <c r="Z30" s="17" t="n">
        <v>0.357687672</v>
      </c>
      <c r="AA30" s="17" t="n">
        <v>0.6860173939999999</v>
      </c>
      <c r="AB30" s="17" t="n">
        <v>0.152906423</v>
      </c>
      <c r="AC30" s="17" t="n">
        <v>0.032434696</v>
      </c>
      <c r="AD30" s="17" t="n">
        <v>45179.42</v>
      </c>
      <c r="AE30" s="17" t="n">
        <v>201481.25</v>
      </c>
      <c r="AF30" s="17" t="n">
        <v>-25.28</v>
      </c>
      <c r="AH30" s="15" t="n">
        <v>73.71884</v>
      </c>
      <c r="AI30" s="15" t="n">
        <v>-6.097314</v>
      </c>
      <c r="AJ30" s="15" t="n">
        <v>61.343403</v>
      </c>
      <c r="AK30" s="15" t="n">
        <v>33.004971</v>
      </c>
      <c r="AL30" s="15" t="n">
        <v>42.19561</v>
      </c>
      <c r="AM30" s="15" t="n">
        <v>155</v>
      </c>
      <c r="AN30" s="15" t="n">
        <v>22.90669</v>
      </c>
      <c r="AO30" s="15" t="n">
        <v>13.197062</v>
      </c>
      <c r="AP30" s="15" t="n">
        <v>14.953878</v>
      </c>
      <c r="AR30" s="1">
        <f>B30</f>
        <v/>
      </c>
      <c r="AS30" s="1">
        <f>C30</f>
        <v/>
      </c>
      <c r="AT30" s="11">
        <f>SUM(AW30:BI30)+BK30+BL30</f>
        <v/>
      </c>
      <c r="AU30" s="11">
        <f>SUM(AW30:BI30)+BN30+BO30</f>
        <v/>
      </c>
      <c r="AV30" s="5">
        <f>AT30-AU30</f>
        <v/>
      </c>
      <c r="AW30" s="5">
        <f>F30/L30*AO30</f>
        <v/>
      </c>
      <c r="AX30" s="1">
        <f>G30/L30*AN30</f>
        <v/>
      </c>
      <c r="AY30" s="1">
        <f>BS30</f>
        <v/>
      </c>
      <c r="AZ30" s="1">
        <f>H30/L30</f>
        <v/>
      </c>
      <c r="BA30" s="1">
        <f>BR30</f>
        <v/>
      </c>
      <c r="BB30" s="1">
        <f>BT30</f>
        <v/>
      </c>
      <c r="BC30" s="1">
        <f>BU30</f>
        <v/>
      </c>
      <c r="BD30" s="1">
        <f>O30/L30/(0.9*8760)</f>
        <v/>
      </c>
      <c r="BE30" s="1">
        <f>BV30</f>
        <v/>
      </c>
      <c r="BF30" s="1">
        <f>P30/L30/(0.9*8760)</f>
        <v/>
      </c>
      <c r="BG30" s="1">
        <f>BW30</f>
        <v/>
      </c>
      <c r="BH30" s="1">
        <f>Q30/L30</f>
        <v/>
      </c>
      <c r="BI30" s="1">
        <f>BX30</f>
        <v/>
      </c>
      <c r="BJ30" s="1">
        <f>(SUM(CK30:CP30)-CG30)/L30</f>
        <v/>
      </c>
      <c r="BK30" s="1">
        <f>((AH30+AI30)*-1*CL30)/L30</f>
        <v/>
      </c>
      <c r="BL30" s="1">
        <f>BJ30*AH30</f>
        <v/>
      </c>
      <c r="BM30" s="1">
        <f>(CK30+CM30+CN30+CO30+CP30-CG30)/L30</f>
        <v/>
      </c>
      <c r="BN30" s="1">
        <f>(CL30*AI30*-1)/L30</f>
        <v/>
      </c>
      <c r="BO30" s="1">
        <f>BM30*AH30</f>
        <v/>
      </c>
      <c r="BQ30" s="1">
        <f>S30</f>
        <v/>
      </c>
      <c r="BR30" s="1">
        <f>U30/W30/L30*AN30*-1</f>
        <v/>
      </c>
      <c r="BS30" s="1">
        <f>V30/W30/L30*AN30</f>
        <v/>
      </c>
      <c r="BT30" s="1">
        <f t="array" ref="BT30">_xlfn.IFS(T30="Biomass_Corn", 1/W30/L30*AM30, T30="Biomass_Agri", 1/W30/L30*AL30, T30="Biomass_Wood", 1/W30/L30*AK30, T30="Biomass_Herb", 1/W30/L30*AJ30)</f>
        <v/>
      </c>
      <c r="BU30" s="1">
        <f>X30/W30/L30*AP30</f>
        <v/>
      </c>
      <c r="BV30" s="1">
        <f>AD30/W30/L30/(0.9*8760)</f>
        <v/>
      </c>
      <c r="BW30" s="1">
        <f>AE30/W30/L30/(0.9*8760)</f>
        <v/>
      </c>
      <c r="BX30" s="1">
        <f>AF30/W30/L30</f>
        <v/>
      </c>
      <c r="BZ30" s="9" t="n">
        <v>0.2409589293</v>
      </c>
      <c r="CA30" s="9" t="n">
        <v>0.2418283623</v>
      </c>
      <c r="CB30" s="9" t="n">
        <v>0.2402551414</v>
      </c>
      <c r="CC30" s="17">
        <f>Y30</f>
        <v/>
      </c>
      <c r="CD30" s="10" t="n">
        <v>0.1828908353</v>
      </c>
      <c r="CE30" s="9" t="n">
        <v>0.23037491</v>
      </c>
      <c r="CG30" s="10">
        <f>CC30/W30</f>
        <v/>
      </c>
      <c r="CH30" s="10">
        <f>IF(X30=0, 0, CD30*X30/W30)</f>
        <v/>
      </c>
      <c r="CI30" s="10">
        <f>CE30</f>
        <v/>
      </c>
      <c r="CK30" s="17">
        <f>(AA30+AC30)/W30</f>
        <v/>
      </c>
      <c r="CL30" s="17">
        <f>(Z30+AB30)/W30</f>
        <v/>
      </c>
      <c r="CM30" s="10">
        <f>BZ30*I30</f>
        <v/>
      </c>
      <c r="CN30" s="10">
        <f>CA30*J30</f>
        <v/>
      </c>
      <c r="CO30" s="10">
        <f>CB30*K30</f>
        <v/>
      </c>
      <c r="CP30" s="10">
        <f>(N30)</f>
        <v/>
      </c>
      <c r="CR30" s="1">
        <f>SUM(CG30:CH30)-SUM(CK30:CP30)</f>
        <v/>
      </c>
    </row>
    <row r="31">
      <c r="B31" s="22" t="inlineStr">
        <is>
          <t>CA_Ethanol_to_Gasoline_Diesel</t>
        </is>
      </c>
      <c r="C31" s="23" t="inlineStr">
        <is>
          <t>Ethanol</t>
        </is>
      </c>
      <c r="D31" s="23" t="n">
        <v>6</v>
      </c>
      <c r="E31" s="23">
        <f>S31</f>
        <v/>
      </c>
      <c r="F31" s="22" t="n">
        <v>0</v>
      </c>
      <c r="G31" s="22" t="n">
        <v>0</v>
      </c>
      <c r="H31" s="22" t="n">
        <v>0</v>
      </c>
      <c r="I31" s="22" t="n">
        <v>0.874601532</v>
      </c>
      <c r="J31" s="22" t="n">
        <v>0.075453064</v>
      </c>
      <c r="K31" s="22" t="n">
        <v>0</v>
      </c>
      <c r="L31" s="28">
        <f>SUM(I31:K31)</f>
        <v/>
      </c>
      <c r="M31" s="22" t="n">
        <v>0</v>
      </c>
      <c r="N31" s="22" t="n">
        <v>0.00200763</v>
      </c>
      <c r="O31" s="22" t="n">
        <v>226211.7044</v>
      </c>
      <c r="P31" s="22" t="n">
        <v>123938.7471</v>
      </c>
      <c r="Q31" s="22" t="n">
        <v>6</v>
      </c>
      <c r="S31" s="17">
        <f t="array" ref="S31:AF31">_xlfn.XLOOKUP(D31, CT:CT, CU:DH)</f>
        <v/>
      </c>
      <c r="T31" s="17" t="inlineStr">
        <is>
          <t>Biomass_Corn</t>
        </is>
      </c>
      <c r="U31" s="17" t="n">
        <v>0</v>
      </c>
      <c r="V31" s="17" t="n">
        <v>0.085342825</v>
      </c>
      <c r="W31" s="17" t="n">
        <v>3.104337995</v>
      </c>
      <c r="X31" s="17" t="n">
        <v>1.013397519</v>
      </c>
      <c r="Y31" s="17" t="n">
        <v>1.758866658</v>
      </c>
      <c r="Z31" s="17" t="n">
        <v>0.357687672</v>
      </c>
      <c r="AA31" s="17" t="n">
        <v>0.6860173939999999</v>
      </c>
      <c r="AB31" s="17" t="n">
        <v>0.152906423</v>
      </c>
      <c r="AC31" s="17" t="n">
        <v>0.032434696</v>
      </c>
      <c r="AD31" s="17" t="n">
        <v>45179.42</v>
      </c>
      <c r="AE31" s="17" t="n">
        <v>201481.25</v>
      </c>
      <c r="AF31" s="17" t="n">
        <v>-25.28</v>
      </c>
      <c r="AH31" s="15" t="n">
        <v>73.71884</v>
      </c>
      <c r="AI31" s="15" t="n">
        <v>-6.097314</v>
      </c>
      <c r="AJ31" s="15" t="n">
        <v>61.343403</v>
      </c>
      <c r="AK31" s="15" t="n">
        <v>33.004971</v>
      </c>
      <c r="AL31" s="15" t="n">
        <v>42.19561</v>
      </c>
      <c r="AM31" s="15" t="n">
        <v>155</v>
      </c>
      <c r="AN31" s="15" t="n">
        <v>22.90669</v>
      </c>
      <c r="AO31" s="15" t="n">
        <v>13.197062</v>
      </c>
      <c r="AP31" s="15" t="n">
        <v>14.953878</v>
      </c>
      <c r="AR31" s="1">
        <f>B31</f>
        <v/>
      </c>
      <c r="AS31" s="1">
        <f>C31</f>
        <v/>
      </c>
      <c r="AT31" s="11">
        <f>SUM(AW31:BI31)+BK31+BL31</f>
        <v/>
      </c>
      <c r="AU31" s="11">
        <f>SUM(AW31:BI31)+BN31+BO31</f>
        <v/>
      </c>
      <c r="AV31" s="5">
        <f>AT31-AU31</f>
        <v/>
      </c>
      <c r="AW31" s="5">
        <f>F31/L31*AO31</f>
        <v/>
      </c>
      <c r="AX31" s="1">
        <f>G31/L31*AN31</f>
        <v/>
      </c>
      <c r="AY31" s="1">
        <f>BS31</f>
        <v/>
      </c>
      <c r="AZ31" s="1">
        <f>H31/L31</f>
        <v/>
      </c>
      <c r="BA31" s="1">
        <f>BR31</f>
        <v/>
      </c>
      <c r="BB31" s="1">
        <f>BT31</f>
        <v/>
      </c>
      <c r="BC31" s="1">
        <f>BU31</f>
        <v/>
      </c>
      <c r="BD31" s="1">
        <f>O31/L31/(0.9*8760)</f>
        <v/>
      </c>
      <c r="BE31" s="1">
        <f>BV31</f>
        <v/>
      </c>
      <c r="BF31" s="1">
        <f>P31/L31/(0.9*8760)</f>
        <v/>
      </c>
      <c r="BG31" s="1">
        <f>BW31</f>
        <v/>
      </c>
      <c r="BH31" s="1">
        <f>Q31/L31</f>
        <v/>
      </c>
      <c r="BI31" s="1">
        <f>BX31</f>
        <v/>
      </c>
      <c r="BJ31" s="1">
        <f>(SUM(CK31:CP31)-CG31)/L31</f>
        <v/>
      </c>
      <c r="BK31" s="1">
        <f>((AH31+AI31)*-1*CL31)/L31</f>
        <v/>
      </c>
      <c r="BL31" s="1">
        <f>BJ31*AH31</f>
        <v/>
      </c>
      <c r="BM31" s="1">
        <f>(CK31+CM31+CN31+CO31+CP31-CG31)/L31</f>
        <v/>
      </c>
      <c r="BN31" s="1">
        <f>(CL31*AI31*-1)/L31</f>
        <v/>
      </c>
      <c r="BO31" s="1">
        <f>BM31*AH31</f>
        <v/>
      </c>
      <c r="BQ31" s="1">
        <f>S31</f>
        <v/>
      </c>
      <c r="BR31" s="1">
        <f>U31/W31/L31*AN31*-1</f>
        <v/>
      </c>
      <c r="BS31" s="1">
        <f>V31/W31/L31*AN31</f>
        <v/>
      </c>
      <c r="BT31" s="1">
        <f t="array" ref="BT31">_xlfn.IFS(T31="Biomass_Corn", 1/W31/L31*AM31, T31="Biomass_Agri", 1/W31/L31*AL31, T31="Biomass_Wood", 1/W31/L31*AK31, T31="Biomass_Herb", 1/W31/L31*AJ31)</f>
        <v/>
      </c>
      <c r="BU31" s="1">
        <f>X31/W31/L31*AP31</f>
        <v/>
      </c>
      <c r="BV31" s="1">
        <f>AD31/W31/L31/(0.9*8760)</f>
        <v/>
      </c>
      <c r="BW31" s="1">
        <f>AE31/W31/L31/(0.9*8760)</f>
        <v/>
      </c>
      <c r="BX31" s="1">
        <f>AF31/W31/L31</f>
        <v/>
      </c>
      <c r="BZ31" s="9" t="n">
        <v>0.2409589293</v>
      </c>
      <c r="CA31" s="9" t="n">
        <v>0.2418283623</v>
      </c>
      <c r="CB31" s="9" t="n">
        <v>0.2402551414</v>
      </c>
      <c r="CC31" s="17">
        <f>Y31</f>
        <v/>
      </c>
      <c r="CD31" s="10" t="n">
        <v>0.1828908353</v>
      </c>
      <c r="CE31" s="9" t="n">
        <v>0.23037491</v>
      </c>
      <c r="CG31" s="10">
        <f>CC31/W31</f>
        <v/>
      </c>
      <c r="CH31" s="10">
        <f>IF(X31=0, 0, CD31*X31/W31)</f>
        <v/>
      </c>
      <c r="CI31" s="10">
        <f>CE31</f>
        <v/>
      </c>
      <c r="CK31" s="17">
        <f>(AA31+AC31)/W31</f>
        <v/>
      </c>
      <c r="CL31" s="17">
        <f>(Z31+AB31)/W31</f>
        <v/>
      </c>
      <c r="CM31" s="10">
        <f>BZ31*I31</f>
        <v/>
      </c>
      <c r="CN31" s="10">
        <f>CA31*J31</f>
        <v/>
      </c>
      <c r="CO31" s="10">
        <f>CB31*K31</f>
        <v/>
      </c>
      <c r="CP31" s="10">
        <f>(N31)</f>
        <v/>
      </c>
      <c r="CR31" s="1">
        <f>SUM(CG31:CH31)-SUM(CK31:CP31)</f>
        <v/>
      </c>
    </row>
    <row r="32">
      <c r="B32" s="22" t="inlineStr">
        <is>
          <t>NW_Ethanol_to_Gasoline_Diesel</t>
        </is>
      </c>
      <c r="C32" s="23" t="inlineStr">
        <is>
          <t>Ethanol</t>
        </is>
      </c>
      <c r="D32" s="23" t="n">
        <v>6</v>
      </c>
      <c r="E32" s="23">
        <f>S32</f>
        <v/>
      </c>
      <c r="F32" s="22" t="n">
        <v>0</v>
      </c>
      <c r="G32" s="22" t="n">
        <v>0</v>
      </c>
      <c r="H32" s="22" t="n">
        <v>0</v>
      </c>
      <c r="I32" s="22" t="n">
        <v>0.874601532</v>
      </c>
      <c r="J32" s="22" t="n">
        <v>0.075453064</v>
      </c>
      <c r="K32" s="22" t="n">
        <v>0</v>
      </c>
      <c r="L32" s="28">
        <f>SUM(I32:K32)</f>
        <v/>
      </c>
      <c r="M32" s="22" t="n">
        <v>0</v>
      </c>
      <c r="N32" s="22" t="n">
        <v>0.00200763</v>
      </c>
      <c r="O32" s="22" t="n">
        <v>226211.7044</v>
      </c>
      <c r="P32" s="22" t="n">
        <v>123938.7471</v>
      </c>
      <c r="Q32" s="22" t="n">
        <v>6</v>
      </c>
      <c r="S32" s="17">
        <f t="array" ref="S32:AF32">_xlfn.XLOOKUP(D32, CT:CT, CU:DH)</f>
        <v/>
      </c>
      <c r="T32" s="17" t="inlineStr">
        <is>
          <t>Biomass_Corn</t>
        </is>
      </c>
      <c r="U32" s="17" t="n">
        <v>0</v>
      </c>
      <c r="V32" s="17" t="n">
        <v>0.085342825</v>
      </c>
      <c r="W32" s="17" t="n">
        <v>3.104337995</v>
      </c>
      <c r="X32" s="17" t="n">
        <v>1.013397519</v>
      </c>
      <c r="Y32" s="17" t="n">
        <v>1.758866658</v>
      </c>
      <c r="Z32" s="17" t="n">
        <v>0.357687672</v>
      </c>
      <c r="AA32" s="17" t="n">
        <v>0.6860173939999999</v>
      </c>
      <c r="AB32" s="17" t="n">
        <v>0.152906423</v>
      </c>
      <c r="AC32" s="17" t="n">
        <v>0.032434696</v>
      </c>
      <c r="AD32" s="17" t="n">
        <v>45179.42</v>
      </c>
      <c r="AE32" s="17" t="n">
        <v>201481.25</v>
      </c>
      <c r="AF32" s="17" t="n">
        <v>-25.28</v>
      </c>
      <c r="AH32" s="15" t="n">
        <v>73.71884</v>
      </c>
      <c r="AI32" s="15" t="n">
        <v>-6.097314</v>
      </c>
      <c r="AJ32" s="15" t="n">
        <v>61.343403</v>
      </c>
      <c r="AK32" s="15" t="n">
        <v>33.004971</v>
      </c>
      <c r="AL32" s="15" t="n">
        <v>42.19561</v>
      </c>
      <c r="AM32" s="15" t="n">
        <v>155</v>
      </c>
      <c r="AN32" s="15" t="n">
        <v>22.90669</v>
      </c>
      <c r="AO32" s="15" t="n">
        <v>13.197062</v>
      </c>
      <c r="AP32" s="15" t="n">
        <v>14.953878</v>
      </c>
      <c r="AR32" s="1">
        <f>B32</f>
        <v/>
      </c>
      <c r="AS32" s="1">
        <f>C32</f>
        <v/>
      </c>
      <c r="AT32" s="11">
        <f>SUM(AW32:BI32)+BK32+BL32</f>
        <v/>
      </c>
      <c r="AU32" s="11">
        <f>SUM(AW32:BI32)+BN32+BO32</f>
        <v/>
      </c>
      <c r="AV32" s="5">
        <f>AT32-AU32</f>
        <v/>
      </c>
      <c r="AW32" s="5">
        <f>F32/L32*AO32</f>
        <v/>
      </c>
      <c r="AX32" s="1">
        <f>G32/L32*AN32</f>
        <v/>
      </c>
      <c r="AY32" s="1">
        <f>BS32</f>
        <v/>
      </c>
      <c r="AZ32" s="1">
        <f>H32/L32</f>
        <v/>
      </c>
      <c r="BA32" s="1">
        <f>BR32</f>
        <v/>
      </c>
      <c r="BB32" s="1">
        <f>BT32</f>
        <v/>
      </c>
      <c r="BC32" s="1">
        <f>BU32</f>
        <v/>
      </c>
      <c r="BD32" s="1">
        <f>O32/L32/(0.9*8760)</f>
        <v/>
      </c>
      <c r="BE32" s="1">
        <f>BV32</f>
        <v/>
      </c>
      <c r="BF32" s="1">
        <f>P32/L32/(0.9*8760)</f>
        <v/>
      </c>
      <c r="BG32" s="1">
        <f>BW32</f>
        <v/>
      </c>
      <c r="BH32" s="1">
        <f>Q32/L32</f>
        <v/>
      </c>
      <c r="BI32" s="1">
        <f>BX32</f>
        <v/>
      </c>
      <c r="BJ32" s="1">
        <f>(SUM(CK32:CP32)-CG32)/L32</f>
        <v/>
      </c>
      <c r="BK32" s="1">
        <f>((AH32+AI32)*-1*CL32)/L32</f>
        <v/>
      </c>
      <c r="BL32" s="1">
        <f>BJ32*AH32</f>
        <v/>
      </c>
      <c r="BM32" s="1">
        <f>(CK32+CM32+CN32+CO32+CP32-CG32)/L32</f>
        <v/>
      </c>
      <c r="BN32" s="1">
        <f>(CL32*AI32*-1)/L32</f>
        <v/>
      </c>
      <c r="BO32" s="1">
        <f>BM32*AH32</f>
        <v/>
      </c>
      <c r="BQ32" s="1">
        <f>S32</f>
        <v/>
      </c>
      <c r="BR32" s="1">
        <f>U32/W32/L32*AN32*-1</f>
        <v/>
      </c>
      <c r="BS32" s="1">
        <f>V32/W32/L32*AN32</f>
        <v/>
      </c>
      <c r="BT32" s="1">
        <f t="array" ref="BT32">_xlfn.IFS(T32="Biomass_Corn", 1/W32/L32*AM32, T32="Biomass_Agri", 1/W32/L32*AL32, T32="Biomass_Wood", 1/W32/L32*AK32, T32="Biomass_Herb", 1/W32/L32*AJ32)</f>
        <v/>
      </c>
      <c r="BU32" s="1">
        <f>X32/W32/L32*AP32</f>
        <v/>
      </c>
      <c r="BV32" s="1">
        <f>AD32/W32/L32/(0.9*8760)</f>
        <v/>
      </c>
      <c r="BW32" s="1">
        <f>AE32/W32/L32/(0.9*8760)</f>
        <v/>
      </c>
      <c r="BX32" s="1">
        <f>AF32/W32/L32</f>
        <v/>
      </c>
      <c r="BZ32" s="9" t="n">
        <v>0.2409589293</v>
      </c>
      <c r="CA32" s="9" t="n">
        <v>0.2418283623</v>
      </c>
      <c r="CB32" s="9" t="n">
        <v>0.2402551414</v>
      </c>
      <c r="CC32" s="17">
        <f>Y32</f>
        <v/>
      </c>
      <c r="CD32" s="10" t="n">
        <v>0.1828908353</v>
      </c>
      <c r="CE32" s="9" t="n">
        <v>0.23037491</v>
      </c>
      <c r="CG32" s="10">
        <f>CC32/W32</f>
        <v/>
      </c>
      <c r="CH32" s="10">
        <f>IF(X32=0, 0, CD32*X32/W32)</f>
        <v/>
      </c>
      <c r="CI32" s="10">
        <f>CE32</f>
        <v/>
      </c>
      <c r="CK32" s="17">
        <f>(AA32+AC32)/W32</f>
        <v/>
      </c>
      <c r="CL32" s="17">
        <f>(Z32+AB32)/W32</f>
        <v/>
      </c>
      <c r="CM32" s="10">
        <f>BZ32*I32</f>
        <v/>
      </c>
      <c r="CN32" s="10">
        <f>CA32*J32</f>
        <v/>
      </c>
      <c r="CO32" s="10">
        <f>CB32*K32</f>
        <v/>
      </c>
      <c r="CP32" s="10">
        <f>(N32)</f>
        <v/>
      </c>
      <c r="CR32" s="1">
        <f>SUM(CG32:CH32)-SUM(CK32:CP32)</f>
        <v/>
      </c>
    </row>
    <row r="33">
      <c r="B33" s="22" t="inlineStr">
        <is>
          <t>SW_Ethanol_to_Gasoline_Diesel</t>
        </is>
      </c>
      <c r="C33" s="23" t="inlineStr">
        <is>
          <t>Ethanol</t>
        </is>
      </c>
      <c r="D33" s="23" t="n">
        <v>6</v>
      </c>
      <c r="E33" s="23">
        <f>S33</f>
        <v/>
      </c>
      <c r="F33" s="22" t="n">
        <v>0</v>
      </c>
      <c r="G33" s="22" t="n">
        <v>0</v>
      </c>
      <c r="H33" s="22" t="n">
        <v>0</v>
      </c>
      <c r="I33" s="22" t="n">
        <v>0.874601532</v>
      </c>
      <c r="J33" s="22" t="n">
        <v>0.075453064</v>
      </c>
      <c r="K33" s="22" t="n">
        <v>0</v>
      </c>
      <c r="L33" s="28">
        <f>SUM(I33:K33)</f>
        <v/>
      </c>
      <c r="M33" s="22" t="n">
        <v>0</v>
      </c>
      <c r="N33" s="22" t="n">
        <v>0.00200763</v>
      </c>
      <c r="O33" s="22" t="n">
        <v>226211.7044</v>
      </c>
      <c r="P33" s="22" t="n">
        <v>123938.7471</v>
      </c>
      <c r="Q33" s="22" t="n">
        <v>6</v>
      </c>
      <c r="S33" s="17">
        <f t="array" ref="S33:AF33">_xlfn.XLOOKUP(D33, CT:CT, CU:DH)</f>
        <v/>
      </c>
      <c r="T33" s="17" t="inlineStr">
        <is>
          <t>Biomass_Corn</t>
        </is>
      </c>
      <c r="U33" s="17" t="n">
        <v>0</v>
      </c>
      <c r="V33" s="17" t="n">
        <v>0.085342825</v>
      </c>
      <c r="W33" s="17" t="n">
        <v>3.104337995</v>
      </c>
      <c r="X33" s="17" t="n">
        <v>1.013397519</v>
      </c>
      <c r="Y33" s="17" t="n">
        <v>1.758866658</v>
      </c>
      <c r="Z33" s="17" t="n">
        <v>0.357687672</v>
      </c>
      <c r="AA33" s="17" t="n">
        <v>0.6860173939999999</v>
      </c>
      <c r="AB33" s="17" t="n">
        <v>0.152906423</v>
      </c>
      <c r="AC33" s="17" t="n">
        <v>0.032434696</v>
      </c>
      <c r="AD33" s="17" t="n">
        <v>45179.42</v>
      </c>
      <c r="AE33" s="17" t="n">
        <v>201481.25</v>
      </c>
      <c r="AF33" s="17" t="n">
        <v>-25.28</v>
      </c>
      <c r="AH33" s="15" t="n">
        <v>73.71884</v>
      </c>
      <c r="AI33" s="15" t="n">
        <v>-6.097314</v>
      </c>
      <c r="AJ33" s="15" t="n">
        <v>61.343403</v>
      </c>
      <c r="AK33" s="15" t="n">
        <v>33.004971</v>
      </c>
      <c r="AL33" s="15" t="n">
        <v>42.19561</v>
      </c>
      <c r="AM33" s="15" t="n">
        <v>155</v>
      </c>
      <c r="AN33" s="15" t="n">
        <v>22.90669</v>
      </c>
      <c r="AO33" s="15" t="n">
        <v>13.197062</v>
      </c>
      <c r="AP33" s="15" t="n">
        <v>14.953878</v>
      </c>
      <c r="AR33" s="1">
        <f>B33</f>
        <v/>
      </c>
      <c r="AS33" s="1">
        <f>C33</f>
        <v/>
      </c>
      <c r="AT33" s="11">
        <f>SUM(AW33:BI33)+BK33+BL33</f>
        <v/>
      </c>
      <c r="AU33" s="11">
        <f>SUM(AW33:BI33)+BN33+BO33</f>
        <v/>
      </c>
      <c r="AV33" s="5">
        <f>AT33-AU33</f>
        <v/>
      </c>
      <c r="AW33" s="5">
        <f>F33/L33*AO33</f>
        <v/>
      </c>
      <c r="AX33" s="1">
        <f>G33/L33*AN33</f>
        <v/>
      </c>
      <c r="AY33" s="1">
        <f>BS33</f>
        <v/>
      </c>
      <c r="AZ33" s="1">
        <f>H33/L33</f>
        <v/>
      </c>
      <c r="BA33" s="1">
        <f>BR33</f>
        <v/>
      </c>
      <c r="BB33" s="1">
        <f>BT33</f>
        <v/>
      </c>
      <c r="BC33" s="1">
        <f>BU33</f>
        <v/>
      </c>
      <c r="BD33" s="1">
        <f>O33/L33/(0.9*8760)</f>
        <v/>
      </c>
      <c r="BE33" s="1">
        <f>BV33</f>
        <v/>
      </c>
      <c r="BF33" s="1">
        <f>P33/L33/(0.9*8760)</f>
        <v/>
      </c>
      <c r="BG33" s="1">
        <f>BW33</f>
        <v/>
      </c>
      <c r="BH33" s="1">
        <f>Q33/L33</f>
        <v/>
      </c>
      <c r="BI33" s="1">
        <f>BX33</f>
        <v/>
      </c>
      <c r="BJ33" s="1">
        <f>(SUM(CK33:CP33)-CG33)/L33</f>
        <v/>
      </c>
      <c r="BK33" s="1">
        <f>((AH33+AI33)*-1*CL33)/L33</f>
        <v/>
      </c>
      <c r="BL33" s="1">
        <f>BJ33*AH33</f>
        <v/>
      </c>
      <c r="BM33" s="1">
        <f>(CK33+CM33+CN33+CO33+CP33-CG33)/L33</f>
        <v/>
      </c>
      <c r="BN33" s="1">
        <f>(CL33*AI33*-1)/L33</f>
        <v/>
      </c>
      <c r="BO33" s="1">
        <f>BM33*AH33</f>
        <v/>
      </c>
      <c r="BQ33" s="1">
        <f>S33</f>
        <v/>
      </c>
      <c r="BR33" s="1">
        <f>U33/W33/L33*AN33*-1</f>
        <v/>
      </c>
      <c r="BS33" s="1">
        <f>V33/W33/L33*AN33</f>
        <v/>
      </c>
      <c r="BT33" s="1">
        <f t="array" ref="BT33">_xlfn.IFS(T33="Biomass_Corn", 1/W33/L33*AM33, T33="Biomass_Agri", 1/W33/L33*AL33, T33="Biomass_Wood", 1/W33/L33*AK33, T33="Biomass_Herb", 1/W33/L33*AJ33)</f>
        <v/>
      </c>
      <c r="BU33" s="1">
        <f>X33/W33/L33*AP33</f>
        <v/>
      </c>
      <c r="BV33" s="1">
        <f>AD33/W33/L33/(0.9*8760)</f>
        <v/>
      </c>
      <c r="BW33" s="1">
        <f>AE33/W33/L33/(0.9*8760)</f>
        <v/>
      </c>
      <c r="BX33" s="1">
        <f>AF33/W33/L33</f>
        <v/>
      </c>
      <c r="BZ33" s="9" t="n">
        <v>0.2409589293</v>
      </c>
      <c r="CA33" s="9" t="n">
        <v>0.2418283623</v>
      </c>
      <c r="CB33" s="9" t="n">
        <v>0.2402551414</v>
      </c>
      <c r="CC33" s="17">
        <f>Y33</f>
        <v/>
      </c>
      <c r="CD33" s="10" t="n">
        <v>0.1828908353</v>
      </c>
      <c r="CE33" s="9" t="n">
        <v>0.23037491</v>
      </c>
      <c r="CG33" s="10">
        <f>CC33/W33</f>
        <v/>
      </c>
      <c r="CH33" s="10">
        <f>IF(X33=0, 0, CD33*X33/W33)</f>
        <v/>
      </c>
      <c r="CI33" s="10">
        <f>CE33</f>
        <v/>
      </c>
      <c r="CK33" s="17">
        <f>(AA33+AC33)/W33</f>
        <v/>
      </c>
      <c r="CL33" s="17">
        <f>(Z33+AB33)/W33</f>
        <v/>
      </c>
      <c r="CM33" s="10">
        <f>BZ33*I33</f>
        <v/>
      </c>
      <c r="CN33" s="10">
        <f>CA33*J33</f>
        <v/>
      </c>
      <c r="CO33" s="10">
        <f>CB33*K33</f>
        <v/>
      </c>
      <c r="CP33" s="10">
        <f>(N33)</f>
        <v/>
      </c>
      <c r="CR33" s="1">
        <f>SUM(CG33:CH33)-SUM(CK33:CP33)</f>
        <v/>
      </c>
    </row>
    <row r="34">
      <c r="B34" s="22" t="inlineStr">
        <is>
          <t>TX_Ethanol_to_Gasoline_Diesel</t>
        </is>
      </c>
      <c r="C34" s="23" t="inlineStr">
        <is>
          <t>Ethanol</t>
        </is>
      </c>
      <c r="D34" s="23" t="n">
        <v>6</v>
      </c>
      <c r="E34" s="23">
        <f>S34</f>
        <v/>
      </c>
      <c r="F34" s="22" t="n">
        <v>0</v>
      </c>
      <c r="G34" s="22" t="n">
        <v>0</v>
      </c>
      <c r="H34" s="22" t="n">
        <v>0</v>
      </c>
      <c r="I34" s="22" t="n">
        <v>0.874601532</v>
      </c>
      <c r="J34" s="22" t="n">
        <v>0.075453064</v>
      </c>
      <c r="K34" s="22" t="n">
        <v>0</v>
      </c>
      <c r="L34" s="28">
        <f>SUM(I34:K34)</f>
        <v/>
      </c>
      <c r="M34" s="22" t="n">
        <v>0</v>
      </c>
      <c r="N34" s="22" t="n">
        <v>0.00200763</v>
      </c>
      <c r="O34" s="22" t="n">
        <v>226211.7044</v>
      </c>
      <c r="P34" s="22" t="n">
        <v>123938.7471</v>
      </c>
      <c r="Q34" s="22" t="n">
        <v>6</v>
      </c>
      <c r="S34" s="17">
        <f t="array" ref="S34:AF34">_xlfn.XLOOKUP(D34, CT:CT, CU:DH)</f>
        <v/>
      </c>
      <c r="T34" s="17" t="inlineStr">
        <is>
          <t>Biomass_Corn</t>
        </is>
      </c>
      <c r="U34" s="17" t="n">
        <v>0</v>
      </c>
      <c r="V34" s="17" t="n">
        <v>0.085342825</v>
      </c>
      <c r="W34" s="17" t="n">
        <v>3.104337995</v>
      </c>
      <c r="X34" s="17" t="n">
        <v>1.013397519</v>
      </c>
      <c r="Y34" s="17" t="n">
        <v>1.758866658</v>
      </c>
      <c r="Z34" s="17" t="n">
        <v>0.357687672</v>
      </c>
      <c r="AA34" s="17" t="n">
        <v>0.6860173939999999</v>
      </c>
      <c r="AB34" s="17" t="n">
        <v>0.152906423</v>
      </c>
      <c r="AC34" s="17" t="n">
        <v>0.032434696</v>
      </c>
      <c r="AD34" s="17" t="n">
        <v>45179.42</v>
      </c>
      <c r="AE34" s="17" t="n">
        <v>201481.25</v>
      </c>
      <c r="AF34" s="17" t="n">
        <v>-25.28</v>
      </c>
      <c r="AH34" s="15" t="n">
        <v>73.71884</v>
      </c>
      <c r="AI34" s="15" t="n">
        <v>-6.097314</v>
      </c>
      <c r="AJ34" s="15" t="n">
        <v>61.343403</v>
      </c>
      <c r="AK34" s="15" t="n">
        <v>33.004971</v>
      </c>
      <c r="AL34" s="15" t="n">
        <v>42.19561</v>
      </c>
      <c r="AM34" s="15" t="n">
        <v>155</v>
      </c>
      <c r="AN34" s="15" t="n">
        <v>22.90669</v>
      </c>
      <c r="AO34" s="15" t="n">
        <v>13.197062</v>
      </c>
      <c r="AP34" s="15" t="n">
        <v>14.953878</v>
      </c>
      <c r="AR34" s="1">
        <f>B34</f>
        <v/>
      </c>
      <c r="AS34" s="1">
        <f>C34</f>
        <v/>
      </c>
      <c r="AT34" s="11">
        <f>SUM(AW34:BI34)+BK34+BL34</f>
        <v/>
      </c>
      <c r="AU34" s="11">
        <f>SUM(AW34:BI34)+BN34+BO34</f>
        <v/>
      </c>
      <c r="AV34" s="5">
        <f>AT34-AU34</f>
        <v/>
      </c>
      <c r="AW34" s="5">
        <f>F34/L34*AO34</f>
        <v/>
      </c>
      <c r="AX34" s="1">
        <f>G34/L34*AN34</f>
        <v/>
      </c>
      <c r="AY34" s="1">
        <f>BS34</f>
        <v/>
      </c>
      <c r="AZ34" s="1">
        <f>H34/L34</f>
        <v/>
      </c>
      <c r="BA34" s="1">
        <f>BR34</f>
        <v/>
      </c>
      <c r="BB34" s="1">
        <f>BT34</f>
        <v/>
      </c>
      <c r="BC34" s="1">
        <f>BU34</f>
        <v/>
      </c>
      <c r="BD34" s="1">
        <f>O34/L34/(0.9*8760)</f>
        <v/>
      </c>
      <c r="BE34" s="1">
        <f>BV34</f>
        <v/>
      </c>
      <c r="BF34" s="1">
        <f>P34/L34/(0.9*8760)</f>
        <v/>
      </c>
      <c r="BG34" s="1">
        <f>BW34</f>
        <v/>
      </c>
      <c r="BH34" s="1">
        <f>Q34/L34</f>
        <v/>
      </c>
      <c r="BI34" s="1">
        <f>BX34</f>
        <v/>
      </c>
      <c r="BJ34" s="1">
        <f>(SUM(CK34:CP34)-CG34)/L34</f>
        <v/>
      </c>
      <c r="BK34" s="1">
        <f>((AH34+AI34)*-1*CL34)/L34</f>
        <v/>
      </c>
      <c r="BL34" s="1">
        <f>BJ34*AH34</f>
        <v/>
      </c>
      <c r="BM34" s="1">
        <f>(CK34+CM34+CN34+CO34+CP34-CG34)/L34</f>
        <v/>
      </c>
      <c r="BN34" s="1">
        <f>(CL34*AI34*-1)/L34</f>
        <v/>
      </c>
      <c r="BO34" s="1">
        <f>BM34*AH34</f>
        <v/>
      </c>
      <c r="BQ34" s="1">
        <f>S34</f>
        <v/>
      </c>
      <c r="BR34" s="1">
        <f>U34/W34/L34*AN34*-1</f>
        <v/>
      </c>
      <c r="BS34" s="1">
        <f>V34/W34/L34*AN34</f>
        <v/>
      </c>
      <c r="BT34" s="1">
        <f t="array" ref="BT34">_xlfn.IFS(T34="Biomass_Corn", 1/W34/L34*AM34, T34="Biomass_Agri", 1/W34/L34*AL34, T34="Biomass_Wood", 1/W34/L34*AK34, T34="Biomass_Herb", 1/W34/L34*AJ34)</f>
        <v/>
      </c>
      <c r="BU34" s="1">
        <f>X34/W34/L34*AP34</f>
        <v/>
      </c>
      <c r="BV34" s="1">
        <f>AD34/W34/L34/(0.9*8760)</f>
        <v/>
      </c>
      <c r="BW34" s="1">
        <f>AE34/W34/L34/(0.9*8760)</f>
        <v/>
      </c>
      <c r="BX34" s="1">
        <f>AF34/W34/L34</f>
        <v/>
      </c>
      <c r="BZ34" s="9" t="n">
        <v>0.2409589293</v>
      </c>
      <c r="CA34" s="9" t="n">
        <v>0.2418283623</v>
      </c>
      <c r="CB34" s="9" t="n">
        <v>0.2402551414</v>
      </c>
      <c r="CC34" s="17">
        <f>Y34</f>
        <v/>
      </c>
      <c r="CD34" s="10" t="n">
        <v>0.1828908353</v>
      </c>
      <c r="CE34" s="9" t="n">
        <v>0.23037491</v>
      </c>
      <c r="CG34" s="10">
        <f>CC34/W34</f>
        <v/>
      </c>
      <c r="CH34" s="10">
        <f>IF(X34=0, 0, CD34*X34/W34)</f>
        <v/>
      </c>
      <c r="CI34" s="10">
        <f>CE34</f>
        <v/>
      </c>
      <c r="CK34" s="17">
        <f>(AA34+AC34)/W34</f>
        <v/>
      </c>
      <c r="CL34" s="17">
        <f>(Z34+AB34)/W34</f>
        <v/>
      </c>
      <c r="CM34" s="10">
        <f>BZ34*I34</f>
        <v/>
      </c>
      <c r="CN34" s="10">
        <f>CA34*J34</f>
        <v/>
      </c>
      <c r="CO34" s="10">
        <f>CB34*K34</f>
        <v/>
      </c>
      <c r="CP34" s="10">
        <f>(N34)</f>
        <v/>
      </c>
      <c r="CR34" s="1">
        <f>SUM(CG34:CH34)-SUM(CK34:CP34)</f>
        <v/>
      </c>
    </row>
    <row r="35">
      <c r="B35" s="22" t="inlineStr">
        <is>
          <t>NCEN_Ethanol_to_Gasoline_Diesel</t>
        </is>
      </c>
      <c r="C35" s="23" t="inlineStr">
        <is>
          <t>Ethanol</t>
        </is>
      </c>
      <c r="D35" s="23" t="n">
        <v>6</v>
      </c>
      <c r="E35" s="23">
        <f>S35</f>
        <v/>
      </c>
      <c r="F35" s="22" t="n">
        <v>0</v>
      </c>
      <c r="G35" s="22" t="n">
        <v>0</v>
      </c>
      <c r="H35" s="22" t="n">
        <v>0</v>
      </c>
      <c r="I35" s="22" t="n">
        <v>0.874601532</v>
      </c>
      <c r="J35" s="22" t="n">
        <v>0.075453064</v>
      </c>
      <c r="K35" s="22" t="n">
        <v>0</v>
      </c>
      <c r="L35" s="28">
        <f>SUM(I35:K35)</f>
        <v/>
      </c>
      <c r="M35" s="22" t="n">
        <v>0</v>
      </c>
      <c r="N35" s="22" t="n">
        <v>0.00200763</v>
      </c>
      <c r="O35" s="22" t="n">
        <v>226211.7044</v>
      </c>
      <c r="P35" s="22" t="n">
        <v>123938.7471</v>
      </c>
      <c r="Q35" s="22" t="n">
        <v>6</v>
      </c>
      <c r="S35" s="17">
        <f t="array" ref="S35:AF35">_xlfn.XLOOKUP(D35, CT:CT, CU:DH)</f>
        <v/>
      </c>
      <c r="T35" s="17" t="inlineStr">
        <is>
          <t>Biomass_Corn</t>
        </is>
      </c>
      <c r="U35" s="17" t="n">
        <v>0</v>
      </c>
      <c r="V35" s="17" t="n">
        <v>0.085342825</v>
      </c>
      <c r="W35" s="17" t="n">
        <v>3.104337995</v>
      </c>
      <c r="X35" s="17" t="n">
        <v>1.013397519</v>
      </c>
      <c r="Y35" s="17" t="n">
        <v>1.758866658</v>
      </c>
      <c r="Z35" s="17" t="n">
        <v>0.357687672</v>
      </c>
      <c r="AA35" s="17" t="n">
        <v>0.6860173939999999</v>
      </c>
      <c r="AB35" s="17" t="n">
        <v>0.152906423</v>
      </c>
      <c r="AC35" s="17" t="n">
        <v>0.032434696</v>
      </c>
      <c r="AD35" s="17" t="n">
        <v>45179.42</v>
      </c>
      <c r="AE35" s="17" t="n">
        <v>201481.25</v>
      </c>
      <c r="AF35" s="17" t="n">
        <v>-25.28</v>
      </c>
      <c r="AH35" s="15" t="n">
        <v>73.71884</v>
      </c>
      <c r="AI35" s="15" t="n">
        <v>-6.097314</v>
      </c>
      <c r="AJ35" s="15" t="n">
        <v>61.343403</v>
      </c>
      <c r="AK35" s="15" t="n">
        <v>33.004971</v>
      </c>
      <c r="AL35" s="15" t="n">
        <v>42.19561</v>
      </c>
      <c r="AM35" s="15" t="n">
        <v>155</v>
      </c>
      <c r="AN35" s="15" t="n">
        <v>22.90669</v>
      </c>
      <c r="AO35" s="15" t="n">
        <v>13.197062</v>
      </c>
      <c r="AP35" s="15" t="n">
        <v>14.953878</v>
      </c>
      <c r="AR35" s="1">
        <f>B35</f>
        <v/>
      </c>
      <c r="AS35" s="1">
        <f>C35</f>
        <v/>
      </c>
      <c r="AT35" s="11">
        <f>SUM(AW35:BI35)+BK35+BL35</f>
        <v/>
      </c>
      <c r="AU35" s="11">
        <f>SUM(AW35:BI35)+BN35+BO35</f>
        <v/>
      </c>
      <c r="AV35" s="5">
        <f>AT35-AU35</f>
        <v/>
      </c>
      <c r="AW35" s="5">
        <f>F35/L35*AO35</f>
        <v/>
      </c>
      <c r="AX35" s="1">
        <f>G35/L35*AN35</f>
        <v/>
      </c>
      <c r="AY35" s="1">
        <f>BS35</f>
        <v/>
      </c>
      <c r="AZ35" s="1">
        <f>H35/L35</f>
        <v/>
      </c>
      <c r="BA35" s="1">
        <f>BR35</f>
        <v/>
      </c>
      <c r="BB35" s="1">
        <f>BT35</f>
        <v/>
      </c>
      <c r="BC35" s="1">
        <f>BU35</f>
        <v/>
      </c>
      <c r="BD35" s="1">
        <f>O35/L35/(0.9*8760)</f>
        <v/>
      </c>
      <c r="BE35" s="1">
        <f>BV35</f>
        <v/>
      </c>
      <c r="BF35" s="1">
        <f>P35/L35/(0.9*8760)</f>
        <v/>
      </c>
      <c r="BG35" s="1">
        <f>BW35</f>
        <v/>
      </c>
      <c r="BH35" s="1">
        <f>Q35/L35</f>
        <v/>
      </c>
      <c r="BI35" s="1">
        <f>BX35</f>
        <v/>
      </c>
      <c r="BJ35" s="1">
        <f>(SUM(CK35:CP35)-CG35)/L35</f>
        <v/>
      </c>
      <c r="BK35" s="1">
        <f>((AH35+AI35)*-1*CL35)/L35</f>
        <v/>
      </c>
      <c r="BL35" s="1">
        <f>BJ35*AH35</f>
        <v/>
      </c>
      <c r="BM35" s="1">
        <f>(CK35+CM35+CN35+CO35+CP35-CG35)/L35</f>
        <v/>
      </c>
      <c r="BN35" s="1">
        <f>(CL35*AI35*-1)/L35</f>
        <v/>
      </c>
      <c r="BO35" s="1">
        <f>BM35*AH35</f>
        <v/>
      </c>
      <c r="BQ35" s="1">
        <f>S35</f>
        <v/>
      </c>
      <c r="BR35" s="1">
        <f>U35/W35/L35*AN35*-1</f>
        <v/>
      </c>
      <c r="BS35" s="1">
        <f>V35/W35/L35*AN35</f>
        <v/>
      </c>
      <c r="BT35" s="1">
        <f t="array" ref="BT35">_xlfn.IFS(T35="Biomass_Corn", 1/W35/L35*AM35, T35="Biomass_Agri", 1/W35/L35*AL35, T35="Biomass_Wood", 1/W35/L35*AK35, T35="Biomass_Herb", 1/W35/L35*AJ35)</f>
        <v/>
      </c>
      <c r="BU35" s="1">
        <f>X35/W35/L35*AP35</f>
        <v/>
      </c>
      <c r="BV35" s="1">
        <f>AD35/W35/L35/(0.9*8760)</f>
        <v/>
      </c>
      <c r="BW35" s="1">
        <f>AE35/W35/L35/(0.9*8760)</f>
        <v/>
      </c>
      <c r="BX35" s="1">
        <f>AF35/W35/L35</f>
        <v/>
      </c>
      <c r="BZ35" s="9" t="n">
        <v>0.2409589293</v>
      </c>
      <c r="CA35" s="9" t="n">
        <v>0.2418283623</v>
      </c>
      <c r="CB35" s="9" t="n">
        <v>0.2402551414</v>
      </c>
      <c r="CC35" s="17">
        <f>Y35</f>
        <v/>
      </c>
      <c r="CD35" s="10" t="n">
        <v>0.1828908353</v>
      </c>
      <c r="CE35" s="9" t="n">
        <v>0.23037491</v>
      </c>
      <c r="CG35" s="10">
        <f>CC35/W35</f>
        <v/>
      </c>
      <c r="CH35" s="10">
        <f>IF(X35=0, 0, CD35*X35/W35)</f>
        <v/>
      </c>
      <c r="CI35" s="10">
        <f>CE35</f>
        <v/>
      </c>
      <c r="CK35" s="17">
        <f>(AA35+AC35)/W35</f>
        <v/>
      </c>
      <c r="CL35" s="17">
        <f>(Z35+AB35)/W35</f>
        <v/>
      </c>
      <c r="CM35" s="10">
        <f>BZ35*I35</f>
        <v/>
      </c>
      <c r="CN35" s="10">
        <f>CA35*J35</f>
        <v/>
      </c>
      <c r="CO35" s="10">
        <f>CB35*K35</f>
        <v/>
      </c>
      <c r="CP35" s="10">
        <f>(N35)</f>
        <v/>
      </c>
      <c r="CR35" s="1">
        <f>SUM(CG35:CH35)-SUM(CK35:CP35)</f>
        <v/>
      </c>
    </row>
    <row r="36">
      <c r="B36" s="22" t="inlineStr">
        <is>
          <t>CEN_Ethanol_to_Gasoline_Diesel</t>
        </is>
      </c>
      <c r="C36" s="23" t="inlineStr">
        <is>
          <t>Ethanol</t>
        </is>
      </c>
      <c r="D36" s="23" t="n">
        <v>6</v>
      </c>
      <c r="E36" s="23">
        <f>S36</f>
        <v/>
      </c>
      <c r="F36" s="22" t="n">
        <v>0</v>
      </c>
      <c r="G36" s="22" t="n">
        <v>0</v>
      </c>
      <c r="H36" s="22" t="n">
        <v>0</v>
      </c>
      <c r="I36" s="22" t="n">
        <v>0.874601532</v>
      </c>
      <c r="J36" s="22" t="n">
        <v>0.075453064</v>
      </c>
      <c r="K36" s="22" t="n">
        <v>0</v>
      </c>
      <c r="L36" s="28">
        <f>SUM(I36:K36)</f>
        <v/>
      </c>
      <c r="M36" s="22" t="n">
        <v>0</v>
      </c>
      <c r="N36" s="22" t="n">
        <v>0.00200763</v>
      </c>
      <c r="O36" s="22" t="n">
        <v>226211.7044</v>
      </c>
      <c r="P36" s="22" t="n">
        <v>123938.7471</v>
      </c>
      <c r="Q36" s="22" t="n">
        <v>6</v>
      </c>
      <c r="S36" s="17">
        <f t="array" ref="S36:AF36">_xlfn.XLOOKUP(D36, CT:CT, CU:DH)</f>
        <v/>
      </c>
      <c r="T36" s="17" t="inlineStr">
        <is>
          <t>Biomass_Corn</t>
        </is>
      </c>
      <c r="U36" s="17" t="n">
        <v>0</v>
      </c>
      <c r="V36" s="17" t="n">
        <v>0.085342825</v>
      </c>
      <c r="W36" s="17" t="n">
        <v>3.104337995</v>
      </c>
      <c r="X36" s="17" t="n">
        <v>1.013397519</v>
      </c>
      <c r="Y36" s="17" t="n">
        <v>1.758866658</v>
      </c>
      <c r="Z36" s="17" t="n">
        <v>0.357687672</v>
      </c>
      <c r="AA36" s="17" t="n">
        <v>0.6860173939999999</v>
      </c>
      <c r="AB36" s="17" t="n">
        <v>0.152906423</v>
      </c>
      <c r="AC36" s="17" t="n">
        <v>0.032434696</v>
      </c>
      <c r="AD36" s="17" t="n">
        <v>45179.42</v>
      </c>
      <c r="AE36" s="17" t="n">
        <v>201481.25</v>
      </c>
      <c r="AF36" s="17" t="n">
        <v>-25.28</v>
      </c>
      <c r="AH36" s="15" t="n">
        <v>73.71884</v>
      </c>
      <c r="AI36" s="15" t="n">
        <v>-6.097314</v>
      </c>
      <c r="AJ36" s="15" t="n">
        <v>61.343403</v>
      </c>
      <c r="AK36" s="15" t="n">
        <v>33.004971</v>
      </c>
      <c r="AL36" s="15" t="n">
        <v>42.19561</v>
      </c>
      <c r="AM36" s="15" t="n">
        <v>155</v>
      </c>
      <c r="AN36" s="15" t="n">
        <v>22.90669</v>
      </c>
      <c r="AO36" s="15" t="n">
        <v>13.197062</v>
      </c>
      <c r="AP36" s="15" t="n">
        <v>14.953878</v>
      </c>
      <c r="AR36" s="1">
        <f>B36</f>
        <v/>
      </c>
      <c r="AS36" s="1">
        <f>C36</f>
        <v/>
      </c>
      <c r="AT36" s="11">
        <f>SUM(AW36:BI36)+BK36+BL36</f>
        <v/>
      </c>
      <c r="AU36" s="11">
        <f>SUM(AW36:BI36)+BN36+BO36</f>
        <v/>
      </c>
      <c r="AV36" s="5">
        <f>AT36-AU36</f>
        <v/>
      </c>
      <c r="AW36" s="5">
        <f>F36/L36*AO36</f>
        <v/>
      </c>
      <c r="AX36" s="1">
        <f>G36/L36*AN36</f>
        <v/>
      </c>
      <c r="AY36" s="1">
        <f>BS36</f>
        <v/>
      </c>
      <c r="AZ36" s="1">
        <f>H36/L36</f>
        <v/>
      </c>
      <c r="BA36" s="1">
        <f>BR36</f>
        <v/>
      </c>
      <c r="BB36" s="1">
        <f>BT36</f>
        <v/>
      </c>
      <c r="BC36" s="1">
        <f>BU36</f>
        <v/>
      </c>
      <c r="BD36" s="1">
        <f>O36/L36/(0.9*8760)</f>
        <v/>
      </c>
      <c r="BE36" s="1">
        <f>BV36</f>
        <v/>
      </c>
      <c r="BF36" s="1">
        <f>P36/L36/(0.9*8760)</f>
        <v/>
      </c>
      <c r="BG36" s="1">
        <f>BW36</f>
        <v/>
      </c>
      <c r="BH36" s="1">
        <f>Q36/L36</f>
        <v/>
      </c>
      <c r="BI36" s="1">
        <f>BX36</f>
        <v/>
      </c>
      <c r="BJ36" s="1">
        <f>(SUM(CK36:CP36)-CG36)/L36</f>
        <v/>
      </c>
      <c r="BK36" s="1">
        <f>((AH36+AI36)*-1*CL36)/L36</f>
        <v/>
      </c>
      <c r="BL36" s="1">
        <f>BJ36*AH36</f>
        <v/>
      </c>
      <c r="BM36" s="1">
        <f>(CK36+CM36+CN36+CO36+CP36-CG36)/L36</f>
        <v/>
      </c>
      <c r="BN36" s="1">
        <f>(CL36*AI36*-1)/L36</f>
        <v/>
      </c>
      <c r="BO36" s="1">
        <f>BM36*AH36</f>
        <v/>
      </c>
      <c r="BQ36" s="1">
        <f>S36</f>
        <v/>
      </c>
      <c r="BR36" s="1">
        <f>U36/W36/L36*AN36*-1</f>
        <v/>
      </c>
      <c r="BS36" s="1">
        <f>V36/W36/L36*AN36</f>
        <v/>
      </c>
      <c r="BT36" s="1">
        <f t="array" ref="BT36">_xlfn.IFS(T36="Biomass_Corn", 1/W36/L36*AM36, T36="Biomass_Agri", 1/W36/L36*AL36, T36="Biomass_Wood", 1/W36/L36*AK36, T36="Biomass_Herb", 1/W36/L36*AJ36)</f>
        <v/>
      </c>
      <c r="BU36" s="1">
        <f>X36/W36/L36*AP36</f>
        <v/>
      </c>
      <c r="BV36" s="1">
        <f>AD36/W36/L36/(0.9*8760)</f>
        <v/>
      </c>
      <c r="BW36" s="1">
        <f>AE36/W36/L36/(0.9*8760)</f>
        <v/>
      </c>
      <c r="BX36" s="1">
        <f>AF36/W36/L36</f>
        <v/>
      </c>
      <c r="BZ36" s="9" t="n">
        <v>0.2409589293</v>
      </c>
      <c r="CA36" s="9" t="n">
        <v>0.2418283623</v>
      </c>
      <c r="CB36" s="9" t="n">
        <v>0.2402551414</v>
      </c>
      <c r="CC36" s="17">
        <f>Y36</f>
        <v/>
      </c>
      <c r="CD36" s="10" t="n">
        <v>0.1828908353</v>
      </c>
      <c r="CE36" s="9" t="n">
        <v>0.23037491</v>
      </c>
      <c r="CG36" s="10">
        <f>CC36/W36</f>
        <v/>
      </c>
      <c r="CH36" s="10">
        <f>IF(X36=0, 0, CD36*X36/W36)</f>
        <v/>
      </c>
      <c r="CI36" s="10">
        <f>CE36</f>
        <v/>
      </c>
      <c r="CK36" s="17">
        <f>(AA36+AC36)/W36</f>
        <v/>
      </c>
      <c r="CL36" s="17">
        <f>(Z36+AB36)/W36</f>
        <v/>
      </c>
      <c r="CM36" s="10">
        <f>BZ36*I36</f>
        <v/>
      </c>
      <c r="CN36" s="10">
        <f>CA36*J36</f>
        <v/>
      </c>
      <c r="CO36" s="10">
        <f>CB36*K36</f>
        <v/>
      </c>
      <c r="CP36" s="10">
        <f>(N36)</f>
        <v/>
      </c>
      <c r="CR36" s="1">
        <f>SUM(CG36:CH36)-SUM(CK36:CP36)</f>
        <v/>
      </c>
    </row>
    <row r="37">
      <c r="B37" s="22" t="inlineStr">
        <is>
          <t>SE_Ethanol_to_Gasoline_Diesel</t>
        </is>
      </c>
      <c r="C37" s="23" t="inlineStr">
        <is>
          <t>Ethanol</t>
        </is>
      </c>
      <c r="D37" s="23" t="n">
        <v>6</v>
      </c>
      <c r="E37" s="23">
        <f>S37</f>
        <v/>
      </c>
      <c r="F37" s="22" t="n">
        <v>0</v>
      </c>
      <c r="G37" s="22" t="n">
        <v>0</v>
      </c>
      <c r="H37" s="22" t="n">
        <v>0</v>
      </c>
      <c r="I37" s="22" t="n">
        <v>0.874601532</v>
      </c>
      <c r="J37" s="22" t="n">
        <v>0.075453064</v>
      </c>
      <c r="K37" s="22" t="n">
        <v>0</v>
      </c>
      <c r="L37" s="28">
        <f>SUM(I37:K37)</f>
        <v/>
      </c>
      <c r="M37" s="22" t="n">
        <v>0</v>
      </c>
      <c r="N37" s="22" t="n">
        <v>0.00200763</v>
      </c>
      <c r="O37" s="22" t="n">
        <v>226211.7044</v>
      </c>
      <c r="P37" s="22" t="n">
        <v>123938.7471</v>
      </c>
      <c r="Q37" s="22" t="n">
        <v>6</v>
      </c>
      <c r="S37" s="17">
        <f t="array" ref="S37:AF37">_xlfn.XLOOKUP(D37, CT:CT, CU:DH)</f>
        <v/>
      </c>
      <c r="T37" s="17" t="inlineStr">
        <is>
          <t>Biomass_Corn</t>
        </is>
      </c>
      <c r="U37" s="17" t="n">
        <v>0</v>
      </c>
      <c r="V37" s="17" t="n">
        <v>0.085342825</v>
      </c>
      <c r="W37" s="17" t="n">
        <v>3.104337995</v>
      </c>
      <c r="X37" s="17" t="n">
        <v>1.013397519</v>
      </c>
      <c r="Y37" s="17" t="n">
        <v>1.758866658</v>
      </c>
      <c r="Z37" s="17" t="n">
        <v>0.357687672</v>
      </c>
      <c r="AA37" s="17" t="n">
        <v>0.6860173939999999</v>
      </c>
      <c r="AB37" s="17" t="n">
        <v>0.152906423</v>
      </c>
      <c r="AC37" s="17" t="n">
        <v>0.032434696</v>
      </c>
      <c r="AD37" s="17" t="n">
        <v>45179.42</v>
      </c>
      <c r="AE37" s="17" t="n">
        <v>201481.25</v>
      </c>
      <c r="AF37" s="17" t="n">
        <v>-25.28</v>
      </c>
      <c r="AH37" s="15" t="n">
        <v>73.71884</v>
      </c>
      <c r="AI37" s="15" t="n">
        <v>-6.097314</v>
      </c>
      <c r="AJ37" s="15" t="n">
        <v>61.343403</v>
      </c>
      <c r="AK37" s="15" t="n">
        <v>33.004971</v>
      </c>
      <c r="AL37" s="15" t="n">
        <v>42.19561</v>
      </c>
      <c r="AM37" s="15" t="n">
        <v>155</v>
      </c>
      <c r="AN37" s="15" t="n">
        <v>22.90669</v>
      </c>
      <c r="AO37" s="15" t="n">
        <v>13.197062</v>
      </c>
      <c r="AP37" s="15" t="n">
        <v>14.953878</v>
      </c>
      <c r="AR37" s="1">
        <f>B37</f>
        <v/>
      </c>
      <c r="AS37" s="1">
        <f>C37</f>
        <v/>
      </c>
      <c r="AT37" s="11">
        <f>SUM(AW37:BI37)+BK37+BL37</f>
        <v/>
      </c>
      <c r="AU37" s="11">
        <f>SUM(AW37:BI37)+BN37+BO37</f>
        <v/>
      </c>
      <c r="AV37" s="5">
        <f>AT37-AU37</f>
        <v/>
      </c>
      <c r="AW37" s="5">
        <f>F37/L37*AO37</f>
        <v/>
      </c>
      <c r="AX37" s="1">
        <f>G37/L37*AN37</f>
        <v/>
      </c>
      <c r="AY37" s="1">
        <f>BS37</f>
        <v/>
      </c>
      <c r="AZ37" s="1">
        <f>H37/L37</f>
        <v/>
      </c>
      <c r="BA37" s="1">
        <f>BR37</f>
        <v/>
      </c>
      <c r="BB37" s="1">
        <f>BT37</f>
        <v/>
      </c>
      <c r="BC37" s="1">
        <f>BU37</f>
        <v/>
      </c>
      <c r="BD37" s="1">
        <f>O37/L37/(0.9*8760)</f>
        <v/>
      </c>
      <c r="BE37" s="1">
        <f>BV37</f>
        <v/>
      </c>
      <c r="BF37" s="1">
        <f>P37/L37/(0.9*8760)</f>
        <v/>
      </c>
      <c r="BG37" s="1">
        <f>BW37</f>
        <v/>
      </c>
      <c r="BH37" s="1">
        <f>Q37/L37</f>
        <v/>
      </c>
      <c r="BI37" s="1">
        <f>BX37</f>
        <v/>
      </c>
      <c r="BJ37" s="1">
        <f>(SUM(CK37:CP37)-CG37)/L37</f>
        <v/>
      </c>
      <c r="BK37" s="1">
        <f>((AH37+AI37)*-1*CL37)/L37</f>
        <v/>
      </c>
      <c r="BL37" s="1">
        <f>BJ37*AH37</f>
        <v/>
      </c>
      <c r="BM37" s="1">
        <f>(CK37+CM37+CN37+CO37+CP37-CG37)/L37</f>
        <v/>
      </c>
      <c r="BN37" s="1">
        <f>(CL37*AI37*-1)/L37</f>
        <v/>
      </c>
      <c r="BO37" s="1">
        <f>BM37*AH37</f>
        <v/>
      </c>
      <c r="BQ37" s="1">
        <f>S37</f>
        <v/>
      </c>
      <c r="BR37" s="1">
        <f>U37/W37/L37*AN37*-1</f>
        <v/>
      </c>
      <c r="BS37" s="1">
        <f>V37/W37/L37*AN37</f>
        <v/>
      </c>
      <c r="BT37" s="1">
        <f t="array" ref="BT37">_xlfn.IFS(T37="Biomass_Corn", 1/W37/L37*AM37, T37="Biomass_Agri", 1/W37/L37*AL37, T37="Biomass_Wood", 1/W37/L37*AK37, T37="Biomass_Herb", 1/W37/L37*AJ37)</f>
        <v/>
      </c>
      <c r="BU37" s="1">
        <f>X37/W37/L37*AP37</f>
        <v/>
      </c>
      <c r="BV37" s="1">
        <f>AD37/W37/L37/(0.9*8760)</f>
        <v/>
      </c>
      <c r="BW37" s="1">
        <f>AE37/W37/L37/(0.9*8760)</f>
        <v/>
      </c>
      <c r="BX37" s="1">
        <f>AF37/W37/L37</f>
        <v/>
      </c>
      <c r="BZ37" s="9" t="n">
        <v>0.2409589293</v>
      </c>
      <c r="CA37" s="9" t="n">
        <v>0.2418283623</v>
      </c>
      <c r="CB37" s="9" t="n">
        <v>0.2402551414</v>
      </c>
      <c r="CC37" s="17">
        <f>Y37</f>
        <v/>
      </c>
      <c r="CD37" s="10" t="n">
        <v>0.1828908353</v>
      </c>
      <c r="CE37" s="9" t="n">
        <v>0.23037491</v>
      </c>
      <c r="CG37" s="10">
        <f>CC37/W37</f>
        <v/>
      </c>
      <c r="CH37" s="10">
        <f>IF(X37=0, 0, CD37*X37/W37)</f>
        <v/>
      </c>
      <c r="CI37" s="10">
        <f>CE37</f>
        <v/>
      </c>
      <c r="CK37" s="17">
        <f>(AA37+AC37)/W37</f>
        <v/>
      </c>
      <c r="CL37" s="17">
        <f>(Z37+AB37)/W37</f>
        <v/>
      </c>
      <c r="CM37" s="10">
        <f>BZ37*I37</f>
        <v/>
      </c>
      <c r="CN37" s="10">
        <f>CA37*J37</f>
        <v/>
      </c>
      <c r="CO37" s="10">
        <f>CB37*K37</f>
        <v/>
      </c>
      <c r="CP37" s="10">
        <f>(N37)</f>
        <v/>
      </c>
      <c r="CR37" s="1">
        <f>SUM(CG37:CH37)-SUM(CK37:CP37)</f>
        <v/>
      </c>
    </row>
    <row r="38">
      <c r="B38" s="22" t="inlineStr">
        <is>
          <t>MIDAT_Ethanol_to_Gasoline_Diesel</t>
        </is>
      </c>
      <c r="C38" s="23" t="inlineStr">
        <is>
          <t>Ethanol</t>
        </is>
      </c>
      <c r="D38" s="23" t="n">
        <v>6</v>
      </c>
      <c r="E38" s="23">
        <f>S38</f>
        <v/>
      </c>
      <c r="F38" s="22" t="n">
        <v>0</v>
      </c>
      <c r="G38" s="22" t="n">
        <v>0</v>
      </c>
      <c r="H38" s="22" t="n">
        <v>0</v>
      </c>
      <c r="I38" s="22" t="n">
        <v>0.874601532</v>
      </c>
      <c r="J38" s="22" t="n">
        <v>0.075453064</v>
      </c>
      <c r="K38" s="22" t="n">
        <v>0</v>
      </c>
      <c r="L38" s="28">
        <f>SUM(I38:K38)</f>
        <v/>
      </c>
      <c r="M38" s="22" t="n">
        <v>0</v>
      </c>
      <c r="N38" s="22" t="n">
        <v>0.00200763</v>
      </c>
      <c r="O38" s="22" t="n">
        <v>226211.7044</v>
      </c>
      <c r="P38" s="22" t="n">
        <v>123938.7471</v>
      </c>
      <c r="Q38" s="22" t="n">
        <v>6</v>
      </c>
      <c r="S38" s="17">
        <f t="array" ref="S38:AF38">_xlfn.XLOOKUP(D38, CT:CT, CU:DH)</f>
        <v/>
      </c>
      <c r="T38" s="17" t="inlineStr">
        <is>
          <t>Biomass_Corn</t>
        </is>
      </c>
      <c r="U38" s="17" t="n">
        <v>0</v>
      </c>
      <c r="V38" s="17" t="n">
        <v>0.085342825</v>
      </c>
      <c r="W38" s="17" t="n">
        <v>3.104337995</v>
      </c>
      <c r="X38" s="17" t="n">
        <v>1.013397519</v>
      </c>
      <c r="Y38" s="17" t="n">
        <v>1.758866658</v>
      </c>
      <c r="Z38" s="17" t="n">
        <v>0.357687672</v>
      </c>
      <c r="AA38" s="17" t="n">
        <v>0.6860173939999999</v>
      </c>
      <c r="AB38" s="17" t="n">
        <v>0.152906423</v>
      </c>
      <c r="AC38" s="17" t="n">
        <v>0.032434696</v>
      </c>
      <c r="AD38" s="17" t="n">
        <v>45179.42</v>
      </c>
      <c r="AE38" s="17" t="n">
        <v>201481.25</v>
      </c>
      <c r="AF38" s="17" t="n">
        <v>-25.28</v>
      </c>
      <c r="AH38" s="15" t="n">
        <v>73.71884</v>
      </c>
      <c r="AI38" s="15" t="n">
        <v>-6.097314</v>
      </c>
      <c r="AJ38" s="15" t="n">
        <v>61.343403</v>
      </c>
      <c r="AK38" s="15" t="n">
        <v>33.004971</v>
      </c>
      <c r="AL38" s="15" t="n">
        <v>42.19561</v>
      </c>
      <c r="AM38" s="15" t="n">
        <v>155</v>
      </c>
      <c r="AN38" s="15" t="n">
        <v>22.90669</v>
      </c>
      <c r="AO38" s="15" t="n">
        <v>13.197062</v>
      </c>
      <c r="AP38" s="15" t="n">
        <v>14.953878</v>
      </c>
      <c r="AR38" s="1">
        <f>B38</f>
        <v/>
      </c>
      <c r="AS38" s="1">
        <f>C38</f>
        <v/>
      </c>
      <c r="AT38" s="11">
        <f>SUM(AW38:BI38)+BK38+BL38</f>
        <v/>
      </c>
      <c r="AU38" s="11">
        <f>SUM(AW38:BI38)+BN38+BO38</f>
        <v/>
      </c>
      <c r="AV38" s="5">
        <f>AT38-AU38</f>
        <v/>
      </c>
      <c r="AW38" s="5">
        <f>F38/L38*AO38</f>
        <v/>
      </c>
      <c r="AX38" s="1">
        <f>G38/L38*AN38</f>
        <v/>
      </c>
      <c r="AY38" s="1">
        <f>BS38</f>
        <v/>
      </c>
      <c r="AZ38" s="1">
        <f>H38/L38</f>
        <v/>
      </c>
      <c r="BA38" s="1">
        <f>BR38</f>
        <v/>
      </c>
      <c r="BB38" s="1">
        <f>BT38</f>
        <v/>
      </c>
      <c r="BC38" s="1">
        <f>BU38</f>
        <v/>
      </c>
      <c r="BD38" s="1">
        <f>O38/L38/(0.9*8760)</f>
        <v/>
      </c>
      <c r="BE38" s="1">
        <f>BV38</f>
        <v/>
      </c>
      <c r="BF38" s="1">
        <f>P38/L38/(0.9*8760)</f>
        <v/>
      </c>
      <c r="BG38" s="1">
        <f>BW38</f>
        <v/>
      </c>
      <c r="BH38" s="1">
        <f>Q38/L38</f>
        <v/>
      </c>
      <c r="BI38" s="1">
        <f>BX38</f>
        <v/>
      </c>
      <c r="BJ38" s="1">
        <f>(SUM(CK38:CP38)-CG38)/L38</f>
        <v/>
      </c>
      <c r="BK38" s="1">
        <f>((AH38+AI38)*-1*CL38)/L38</f>
        <v/>
      </c>
      <c r="BL38" s="1">
        <f>BJ38*AH38</f>
        <v/>
      </c>
      <c r="BM38" s="1">
        <f>(CK38+CM38+CN38+CO38+CP38-CG38)/L38</f>
        <v/>
      </c>
      <c r="BN38" s="1">
        <f>(CL38*AI38*-1)/L38</f>
        <v/>
      </c>
      <c r="BO38" s="1">
        <f>BM38*AH38</f>
        <v/>
      </c>
      <c r="BQ38" s="1">
        <f>S38</f>
        <v/>
      </c>
      <c r="BR38" s="1">
        <f>U38/W38/L38*AN38*-1</f>
        <v/>
      </c>
      <c r="BS38" s="1">
        <f>V38/W38/L38*AN38</f>
        <v/>
      </c>
      <c r="BT38" s="1">
        <f t="array" ref="BT38">_xlfn.IFS(T38="Biomass_Corn", 1/W38/L38*AM38, T38="Biomass_Agri", 1/W38/L38*AL38, T38="Biomass_Wood", 1/W38/L38*AK38, T38="Biomass_Herb", 1/W38/L38*AJ38)</f>
        <v/>
      </c>
      <c r="BU38" s="1">
        <f>X38/W38/L38*AP38</f>
        <v/>
      </c>
      <c r="BV38" s="1">
        <f>AD38/W38/L38/(0.9*8760)</f>
        <v/>
      </c>
      <c r="BW38" s="1">
        <f>AE38/W38/L38/(0.9*8760)</f>
        <v/>
      </c>
      <c r="BX38" s="1">
        <f>AF38/W38/L38</f>
        <v/>
      </c>
      <c r="BZ38" s="9" t="n">
        <v>0.2409589293</v>
      </c>
      <c r="CA38" s="9" t="n">
        <v>0.2418283623</v>
      </c>
      <c r="CB38" s="9" t="n">
        <v>0.2402551414</v>
      </c>
      <c r="CC38" s="17">
        <f>Y38</f>
        <v/>
      </c>
      <c r="CD38" s="10" t="n">
        <v>0.1828908353</v>
      </c>
      <c r="CE38" s="9" t="n">
        <v>0.23037491</v>
      </c>
      <c r="CG38" s="10">
        <f>CC38/W38</f>
        <v/>
      </c>
      <c r="CH38" s="10">
        <f>IF(X38=0, 0, CD38*X38/W38)</f>
        <v/>
      </c>
      <c r="CI38" s="10">
        <f>CE38</f>
        <v/>
      </c>
      <c r="CK38" s="17">
        <f>(AA38+AC38)/W38</f>
        <v/>
      </c>
      <c r="CL38" s="17">
        <f>(Z38+AB38)/W38</f>
        <v/>
      </c>
      <c r="CM38" s="10">
        <f>BZ38*I38</f>
        <v/>
      </c>
      <c r="CN38" s="10">
        <f>CA38*J38</f>
        <v/>
      </c>
      <c r="CO38" s="10">
        <f>CB38*K38</f>
        <v/>
      </c>
      <c r="CP38" s="10">
        <f>(N38)</f>
        <v/>
      </c>
      <c r="CR38" s="1">
        <f>SUM(CG38:CH38)-SUM(CK38:CP38)</f>
        <v/>
      </c>
    </row>
    <row r="39">
      <c r="B39" s="22" t="inlineStr">
        <is>
          <t>NE_Ethanol_to_Gasoline_Diesel</t>
        </is>
      </c>
      <c r="C39" s="23" t="inlineStr">
        <is>
          <t>Ethanol</t>
        </is>
      </c>
      <c r="D39" s="23" t="n">
        <v>6</v>
      </c>
      <c r="E39" s="23">
        <f>S39</f>
        <v/>
      </c>
      <c r="F39" s="22" t="n">
        <v>0</v>
      </c>
      <c r="G39" s="22" t="n">
        <v>0</v>
      </c>
      <c r="H39" s="22" t="n">
        <v>0</v>
      </c>
      <c r="I39" s="22" t="n">
        <v>0.874601532</v>
      </c>
      <c r="J39" s="22" t="n">
        <v>0.075453064</v>
      </c>
      <c r="K39" s="22" t="n">
        <v>0</v>
      </c>
      <c r="L39" s="28">
        <f>SUM(I39:K39)</f>
        <v/>
      </c>
      <c r="M39" s="22" t="n">
        <v>0</v>
      </c>
      <c r="N39" s="22" t="n">
        <v>0.00200763</v>
      </c>
      <c r="O39" s="22" t="n">
        <v>226211.7044</v>
      </c>
      <c r="P39" s="22" t="n">
        <v>123938.7471</v>
      </c>
      <c r="Q39" s="22" t="n">
        <v>6</v>
      </c>
      <c r="S39" s="17">
        <f t="array" ref="S39:AF39">_xlfn.XLOOKUP(D39, CT:CT, CU:DH)</f>
        <v/>
      </c>
      <c r="T39" s="17" t="inlineStr">
        <is>
          <t>Biomass_Corn</t>
        </is>
      </c>
      <c r="U39" s="17" t="n">
        <v>0</v>
      </c>
      <c r="V39" s="17" t="n">
        <v>0.085342825</v>
      </c>
      <c r="W39" s="17" t="n">
        <v>3.104337995</v>
      </c>
      <c r="X39" s="17" t="n">
        <v>1.013397519</v>
      </c>
      <c r="Y39" s="17" t="n">
        <v>1.758866658</v>
      </c>
      <c r="Z39" s="17" t="n">
        <v>0.357687672</v>
      </c>
      <c r="AA39" s="17" t="n">
        <v>0.6860173939999999</v>
      </c>
      <c r="AB39" s="17" t="n">
        <v>0.152906423</v>
      </c>
      <c r="AC39" s="17" t="n">
        <v>0.032434696</v>
      </c>
      <c r="AD39" s="17" t="n">
        <v>45179.42</v>
      </c>
      <c r="AE39" s="17" t="n">
        <v>201481.25</v>
      </c>
      <c r="AF39" s="17" t="n">
        <v>-25.28</v>
      </c>
      <c r="AH39" s="15" t="n">
        <v>73.71884</v>
      </c>
      <c r="AI39" s="15" t="n">
        <v>-6.097314</v>
      </c>
      <c r="AJ39" s="15" t="n">
        <v>61.343403</v>
      </c>
      <c r="AK39" s="15" t="n">
        <v>33.004971</v>
      </c>
      <c r="AL39" s="15" t="n">
        <v>42.19561</v>
      </c>
      <c r="AM39" s="15" t="n">
        <v>155</v>
      </c>
      <c r="AN39" s="15" t="n">
        <v>22.90669</v>
      </c>
      <c r="AO39" s="15" t="n">
        <v>13.197062</v>
      </c>
      <c r="AP39" s="15" t="n">
        <v>14.953878</v>
      </c>
      <c r="AR39" s="1">
        <f>B39</f>
        <v/>
      </c>
      <c r="AS39" s="1">
        <f>C39</f>
        <v/>
      </c>
      <c r="AT39" s="11">
        <f>SUM(AW39:BI39)+BK39+BL39</f>
        <v/>
      </c>
      <c r="AU39" s="11">
        <f>SUM(AW39:BI39)+BN39+BO39</f>
        <v/>
      </c>
      <c r="AV39" s="5">
        <f>AT39-AU39</f>
        <v/>
      </c>
      <c r="AW39" s="5">
        <f>F39/L39*AO39</f>
        <v/>
      </c>
      <c r="AX39" s="1">
        <f>G39/L39*AN39</f>
        <v/>
      </c>
      <c r="AY39" s="1">
        <f>BS39</f>
        <v/>
      </c>
      <c r="AZ39" s="1">
        <f>H39/L39</f>
        <v/>
      </c>
      <c r="BA39" s="1">
        <f>BR39</f>
        <v/>
      </c>
      <c r="BB39" s="1">
        <f>BT39</f>
        <v/>
      </c>
      <c r="BC39" s="1">
        <f>BU39</f>
        <v/>
      </c>
      <c r="BD39" s="1">
        <f>O39/L39/(0.9*8760)</f>
        <v/>
      </c>
      <c r="BE39" s="1">
        <f>BV39</f>
        <v/>
      </c>
      <c r="BF39" s="1">
        <f>P39/L39/(0.9*8760)</f>
        <v/>
      </c>
      <c r="BG39" s="1">
        <f>BW39</f>
        <v/>
      </c>
      <c r="BH39" s="1">
        <f>Q39/L39</f>
        <v/>
      </c>
      <c r="BI39" s="1">
        <f>BX39</f>
        <v/>
      </c>
      <c r="BJ39" s="1">
        <f>(SUM(CK39:CP39)-CG39)/L39</f>
        <v/>
      </c>
      <c r="BK39" s="1">
        <f>((AH39+AI39)*-1*CL39)/L39</f>
        <v/>
      </c>
      <c r="BL39" s="1">
        <f>BJ39*AH39</f>
        <v/>
      </c>
      <c r="BM39" s="1">
        <f>(CK39+CM39+CN39+CO39+CP39-CG39)/L39</f>
        <v/>
      </c>
      <c r="BN39" s="1">
        <f>(CL39*AI39*-1)/L39</f>
        <v/>
      </c>
      <c r="BO39" s="1">
        <f>BM39*AH39</f>
        <v/>
      </c>
      <c r="BQ39" s="1">
        <f>S39</f>
        <v/>
      </c>
      <c r="BR39" s="1">
        <f>U39/W39/L39*AN39*-1</f>
        <v/>
      </c>
      <c r="BS39" s="1">
        <f>V39/W39/L39*AN39</f>
        <v/>
      </c>
      <c r="BT39" s="1">
        <f t="array" ref="BT39">_xlfn.IFS(T39="Biomass_Corn", 1/W39/L39*AM39, T39="Biomass_Agri", 1/W39/L39*AL39, T39="Biomass_Wood", 1/W39/L39*AK39, T39="Biomass_Herb", 1/W39/L39*AJ39)</f>
        <v/>
      </c>
      <c r="BU39" s="1">
        <f>X39/W39/L39*AP39</f>
        <v/>
      </c>
      <c r="BV39" s="1">
        <f>AD39/W39/L39/(0.9*8760)</f>
        <v/>
      </c>
      <c r="BW39" s="1">
        <f>AE39/W39/L39/(0.9*8760)</f>
        <v/>
      </c>
      <c r="BX39" s="1">
        <f>AF39/W39/L39</f>
        <v/>
      </c>
      <c r="BZ39" s="9" t="n">
        <v>0.2409589293</v>
      </c>
      <c r="CA39" s="9" t="n">
        <v>0.2418283623</v>
      </c>
      <c r="CB39" s="9" t="n">
        <v>0.2402551414</v>
      </c>
      <c r="CC39" s="17">
        <f>Y39</f>
        <v/>
      </c>
      <c r="CD39" s="10" t="n">
        <v>0.1828908353</v>
      </c>
      <c r="CE39" s="9" t="n">
        <v>0.23037491</v>
      </c>
      <c r="CG39" s="10">
        <f>CC39/W39</f>
        <v/>
      </c>
      <c r="CH39" s="10">
        <f>IF(X39=0, 0, CD39*X39/W39)</f>
        <v/>
      </c>
      <c r="CI39" s="10">
        <f>CE39</f>
        <v/>
      </c>
      <c r="CK39" s="17">
        <f>(AA39+AC39)/W39</f>
        <v/>
      </c>
      <c r="CL39" s="17">
        <f>(Z39+AB39)/W39</f>
        <v/>
      </c>
      <c r="CM39" s="10">
        <f>BZ39*I39</f>
        <v/>
      </c>
      <c r="CN39" s="10">
        <f>CA39*J39</f>
        <v/>
      </c>
      <c r="CO39" s="10">
        <f>CB39*K39</f>
        <v/>
      </c>
      <c r="CP39" s="10">
        <f>(N39)</f>
        <v/>
      </c>
      <c r="CR39" s="1">
        <f>SUM(CG39:CH39)-SUM(CK39:CP39)</f>
        <v/>
      </c>
    </row>
    <row r="40">
      <c r="B40" s="22" t="n"/>
      <c r="C40" s="23" t="n"/>
      <c r="D40" s="23" t="n">
        <v>6</v>
      </c>
      <c r="E40" s="23">
        <f>S40</f>
        <v/>
      </c>
      <c r="F40" s="22" t="n"/>
      <c r="G40" s="22" t="n"/>
      <c r="H40" s="22" t="n"/>
      <c r="I40" s="22" t="n"/>
      <c r="J40" s="22" t="n"/>
      <c r="K40" s="22" t="n"/>
      <c r="L40" s="28">
        <f>SUM(I40:K40)</f>
        <v/>
      </c>
      <c r="M40" s="22" t="n"/>
      <c r="N40" s="22" t="n"/>
      <c r="O40" s="22" t="n"/>
      <c r="P40" s="22" t="n"/>
      <c r="Q40" s="22" t="n"/>
      <c r="S40" s="17">
        <f t="array" ref="S40:AF40">_xlfn.XLOOKUP(D40, CT:CT, CU:DH)</f>
        <v/>
      </c>
      <c r="T40" s="17" t="inlineStr">
        <is>
          <t>Biomass_Corn</t>
        </is>
      </c>
      <c r="U40" s="17" t="n">
        <v>0</v>
      </c>
      <c r="V40" s="17" t="n">
        <v>0.085342825</v>
      </c>
      <c r="W40" s="17" t="n">
        <v>3.104337995</v>
      </c>
      <c r="X40" s="17" t="n">
        <v>1.013397519</v>
      </c>
      <c r="Y40" s="17" t="n">
        <v>1.758866658</v>
      </c>
      <c r="Z40" s="17" t="n">
        <v>0.357687672</v>
      </c>
      <c r="AA40" s="17" t="n">
        <v>0.6860173939999999</v>
      </c>
      <c r="AB40" s="17" t="n">
        <v>0.152906423</v>
      </c>
      <c r="AC40" s="17" t="n">
        <v>0.032434696</v>
      </c>
      <c r="AD40" s="17" t="n">
        <v>45179.42</v>
      </c>
      <c r="AE40" s="17" t="n">
        <v>201481.25</v>
      </c>
      <c r="AF40" s="17" t="n">
        <v>-25.28</v>
      </c>
      <c r="AH40" s="15" t="n">
        <v>73.71884</v>
      </c>
      <c r="AI40" s="15" t="n">
        <v>-6.097314</v>
      </c>
      <c r="AJ40" s="15" t="n">
        <v>61.343403</v>
      </c>
      <c r="AK40" s="15" t="n">
        <v>33.004971</v>
      </c>
      <c r="AL40" s="15" t="n">
        <v>42.19561</v>
      </c>
      <c r="AM40" s="15" t="n">
        <v>155</v>
      </c>
      <c r="AN40" s="15" t="n">
        <v>22.90669</v>
      </c>
      <c r="AO40" s="15" t="n">
        <v>13.197062</v>
      </c>
      <c r="AP40" s="15" t="n">
        <v>14.953878</v>
      </c>
      <c r="AR40" s="1">
        <f>B40</f>
        <v/>
      </c>
      <c r="AS40" s="1">
        <f>C40</f>
        <v/>
      </c>
      <c r="AT40" s="11">
        <f>SUM(AW40:BI40)+BK40+BL40</f>
        <v/>
      </c>
      <c r="AU40" s="11">
        <f>SUM(AW40:BI40)+BN40+BO40</f>
        <v/>
      </c>
      <c r="AV40" s="5">
        <f>AT40-AU40</f>
        <v/>
      </c>
      <c r="AW40" s="5">
        <f>F40/L40*AO40</f>
        <v/>
      </c>
      <c r="AX40" s="1">
        <f>G40/L40*AN40</f>
        <v/>
      </c>
      <c r="AY40" s="1">
        <f>BS40</f>
        <v/>
      </c>
      <c r="AZ40" s="1">
        <f>H40/L40</f>
        <v/>
      </c>
      <c r="BA40" s="1">
        <f>BR40</f>
        <v/>
      </c>
      <c r="BB40" s="1">
        <f>BT40</f>
        <v/>
      </c>
      <c r="BC40" s="1">
        <f>BU40</f>
        <v/>
      </c>
      <c r="BD40" s="1">
        <f>O40/L40/(0.9*8760)</f>
        <v/>
      </c>
      <c r="BE40" s="1">
        <f>BV40</f>
        <v/>
      </c>
      <c r="BF40" s="1">
        <f>P40/L40/(0.9*8760)</f>
        <v/>
      </c>
      <c r="BG40" s="1">
        <f>BW40</f>
        <v/>
      </c>
      <c r="BH40" s="1">
        <f>Q40/L40</f>
        <v/>
      </c>
      <c r="BI40" s="1">
        <f>BX40</f>
        <v/>
      </c>
      <c r="BJ40" s="1">
        <f>(SUM(CK40:CP40)-CG40)/L40</f>
        <v/>
      </c>
      <c r="BK40" s="1">
        <f>((AH40+AI40)*-1*CL40)/L40</f>
        <v/>
      </c>
      <c r="BL40" s="1">
        <f>BJ40*AH40</f>
        <v/>
      </c>
      <c r="BM40" s="1">
        <f>(CK40+CM40+CN40+CO40+CP40-CG40)/L40</f>
        <v/>
      </c>
      <c r="BN40" s="1">
        <f>(CL40*AI40*-1)/L40</f>
        <v/>
      </c>
      <c r="BO40" s="1">
        <f>BM40*AH40</f>
        <v/>
      </c>
      <c r="BQ40" s="1">
        <f>S40</f>
        <v/>
      </c>
      <c r="BR40" s="1">
        <f>U40/W40/L40*AN40*-1</f>
        <v/>
      </c>
      <c r="BS40" s="1">
        <f>V40/W40/L40*AN40</f>
        <v/>
      </c>
      <c r="BT40" s="1">
        <f t="array" ref="BT40">_xlfn.IFS(T40="Biomass_Corn", 1/W40/L40*AM40, T40="Biomass_Agri", 1/W40/L40*AL40, T40="Biomass_Wood", 1/W40/L40*AK40, T40="Biomass_Herb", 1/W40/L40*AJ40)</f>
        <v/>
      </c>
      <c r="BU40" s="1">
        <f>X40/W40/L40*AP40</f>
        <v/>
      </c>
      <c r="BV40" s="1">
        <f>AD40/W40/L40/(0.9*8760)</f>
        <v/>
      </c>
      <c r="BW40" s="1">
        <f>AE40/W40/L40/(0.9*8760)</f>
        <v/>
      </c>
      <c r="BX40" s="1">
        <f>AF40/W40/L40</f>
        <v/>
      </c>
      <c r="BZ40" s="9" t="n">
        <v>0.2409589293</v>
      </c>
      <c r="CA40" s="9" t="n">
        <v>0.2418283623</v>
      </c>
      <c r="CB40" s="9" t="n">
        <v>0.2402551414</v>
      </c>
      <c r="CC40" s="17">
        <f>Y40</f>
        <v/>
      </c>
      <c r="CD40" s="10" t="n">
        <v>0.1828908353</v>
      </c>
      <c r="CE40" s="9" t="n">
        <v>0.23037491</v>
      </c>
      <c r="CG40" s="10">
        <f>CC40/W40</f>
        <v/>
      </c>
      <c r="CH40" s="10">
        <f>IF(X40=0, 0, CD40*X40/W40)</f>
        <v/>
      </c>
      <c r="CI40" s="10">
        <f>CE40</f>
        <v/>
      </c>
      <c r="CK40" s="17">
        <f>(AA40+AC40)/W40</f>
        <v/>
      </c>
      <c r="CL40" s="17">
        <f>(Z40+AB40)/W40</f>
        <v/>
      </c>
      <c r="CM40" s="10">
        <f>BZ40*I40</f>
        <v/>
      </c>
      <c r="CN40" s="10">
        <f>CA40*J40</f>
        <v/>
      </c>
      <c r="CO40" s="10">
        <f>CB40*K40</f>
        <v/>
      </c>
      <c r="CP40" s="10">
        <f>(N40)</f>
        <v/>
      </c>
      <c r="CR40" s="1">
        <f>SUM(CG40:CH40)-SUM(CK40:CP40)</f>
        <v/>
      </c>
    </row>
    <row r="41">
      <c r="B41" s="22" t="n"/>
      <c r="C41" s="23" t="n"/>
      <c r="D41" s="23" t="n">
        <v>6</v>
      </c>
      <c r="E41" s="23">
        <f>S41</f>
        <v/>
      </c>
      <c r="F41" s="22" t="n"/>
      <c r="G41" s="22" t="n"/>
      <c r="H41" s="22" t="n"/>
      <c r="I41" s="22" t="n"/>
      <c r="J41" s="22" t="n"/>
      <c r="K41" s="22" t="n"/>
      <c r="L41" s="28">
        <f>SUM(I41:K41)</f>
        <v/>
      </c>
      <c r="M41" s="22" t="n"/>
      <c r="N41" s="22" t="n"/>
      <c r="O41" s="22" t="n"/>
      <c r="P41" s="22" t="n"/>
      <c r="Q41" s="22" t="n"/>
      <c r="S41" s="17">
        <f t="array" ref="S41:AF41">_xlfn.XLOOKUP(D41, CT:CT, CU:DH)</f>
        <v/>
      </c>
      <c r="T41" s="17" t="inlineStr">
        <is>
          <t>Biomass_Corn</t>
        </is>
      </c>
      <c r="U41" s="17" t="n">
        <v>0</v>
      </c>
      <c r="V41" s="17" t="n">
        <v>0.085342825</v>
      </c>
      <c r="W41" s="17" t="n">
        <v>3.104337995</v>
      </c>
      <c r="X41" s="17" t="n">
        <v>1.013397519</v>
      </c>
      <c r="Y41" s="17" t="n">
        <v>1.758866658</v>
      </c>
      <c r="Z41" s="17" t="n">
        <v>0.357687672</v>
      </c>
      <c r="AA41" s="17" t="n">
        <v>0.6860173939999999</v>
      </c>
      <c r="AB41" s="17" t="n">
        <v>0.152906423</v>
      </c>
      <c r="AC41" s="17" t="n">
        <v>0.032434696</v>
      </c>
      <c r="AD41" s="17" t="n">
        <v>45179.42</v>
      </c>
      <c r="AE41" s="17" t="n">
        <v>201481.25</v>
      </c>
      <c r="AF41" s="17" t="n">
        <v>-25.28</v>
      </c>
      <c r="AH41" s="15" t="n">
        <v>73.71884</v>
      </c>
      <c r="AI41" s="15" t="n">
        <v>-6.097314</v>
      </c>
      <c r="AJ41" s="15" t="n">
        <v>61.343403</v>
      </c>
      <c r="AK41" s="15" t="n">
        <v>33.004971</v>
      </c>
      <c r="AL41" s="15" t="n">
        <v>42.19561</v>
      </c>
      <c r="AM41" s="15" t="n">
        <v>155</v>
      </c>
      <c r="AN41" s="15" t="n">
        <v>22.90669</v>
      </c>
      <c r="AO41" s="15" t="n">
        <v>13.197062</v>
      </c>
      <c r="AP41" s="15" t="n">
        <v>14.953878</v>
      </c>
      <c r="AR41" s="1">
        <f>B41</f>
        <v/>
      </c>
      <c r="AS41" s="1">
        <f>C41</f>
        <v/>
      </c>
      <c r="AT41" s="11">
        <f>SUM(AW41:BI41)+BK41+BL41</f>
        <v/>
      </c>
      <c r="AU41" s="11">
        <f>SUM(AW41:BI41)+BN41+BO41</f>
        <v/>
      </c>
      <c r="AV41" s="5">
        <f>AT41-AU41</f>
        <v/>
      </c>
      <c r="AW41" s="5">
        <f>F41/L41*AO41</f>
        <v/>
      </c>
      <c r="AX41" s="1">
        <f>G41/L41*AN41</f>
        <v/>
      </c>
      <c r="AY41" s="1">
        <f>BS41</f>
        <v/>
      </c>
      <c r="AZ41" s="1">
        <f>H41/L41</f>
        <v/>
      </c>
      <c r="BA41" s="1">
        <f>BR41</f>
        <v/>
      </c>
      <c r="BB41" s="1">
        <f>BT41</f>
        <v/>
      </c>
      <c r="BC41" s="1">
        <f>BU41</f>
        <v/>
      </c>
      <c r="BD41" s="1">
        <f>O41/L41/(0.9*8760)</f>
        <v/>
      </c>
      <c r="BE41" s="1">
        <f>BV41</f>
        <v/>
      </c>
      <c r="BF41" s="1">
        <f>P41/L41/(0.9*8760)</f>
        <v/>
      </c>
      <c r="BG41" s="1">
        <f>BW41</f>
        <v/>
      </c>
      <c r="BH41" s="1">
        <f>Q41/L41</f>
        <v/>
      </c>
      <c r="BI41" s="1">
        <f>BX41</f>
        <v/>
      </c>
      <c r="BJ41" s="1">
        <f>(SUM(CK41:CP41)-CG41)/L41</f>
        <v/>
      </c>
      <c r="BK41" s="1">
        <f>((AH41+AI41)*-1*CL41)/L41</f>
        <v/>
      </c>
      <c r="BL41" s="1">
        <f>BJ41*AH41</f>
        <v/>
      </c>
      <c r="BM41" s="1">
        <f>(CK41+CM41+CN41+CO41+CP41-CG41)/L41</f>
        <v/>
      </c>
      <c r="BN41" s="1">
        <f>(CL41*AI41*-1)/L41</f>
        <v/>
      </c>
      <c r="BO41" s="1">
        <f>BM41*AH41</f>
        <v/>
      </c>
      <c r="BQ41" s="1">
        <f>S41</f>
        <v/>
      </c>
      <c r="BR41" s="1">
        <f>U41/W41/L41*AN41*-1</f>
        <v/>
      </c>
      <c r="BS41" s="1">
        <f>V41/W41/L41*AN41</f>
        <v/>
      </c>
      <c r="BT41" s="1">
        <f t="array" ref="BT41">_xlfn.IFS(T41="Biomass_Corn", 1/W41/L41*AM41, T41="Biomass_Agri", 1/W41/L41*AL41, T41="Biomass_Wood", 1/W41/L41*AK41, T41="Biomass_Herb", 1/W41/L41*AJ41)</f>
        <v/>
      </c>
      <c r="BU41" s="1">
        <f>X41/W41/L41*AP41</f>
        <v/>
      </c>
      <c r="BV41" s="1">
        <f>AD41/W41/L41/(0.9*8760)</f>
        <v/>
      </c>
      <c r="BW41" s="1">
        <f>AE41/W41/L41/(0.9*8760)</f>
        <v/>
      </c>
      <c r="BX41" s="1">
        <f>AF41/W41/L41</f>
        <v/>
      </c>
      <c r="BZ41" s="9" t="n">
        <v>0.2409589293</v>
      </c>
      <c r="CA41" s="9" t="n">
        <v>0.2418283623</v>
      </c>
      <c r="CB41" s="9" t="n">
        <v>0.2402551414</v>
      </c>
      <c r="CC41" s="17">
        <f>Y41</f>
        <v/>
      </c>
      <c r="CD41" s="10" t="n">
        <v>0.1828908353</v>
      </c>
      <c r="CE41" s="9" t="n">
        <v>0.23037491</v>
      </c>
      <c r="CG41" s="10">
        <f>CC41/W41</f>
        <v/>
      </c>
      <c r="CH41" s="10">
        <f>IF(X41=0, 0, CD41*X41/W41)</f>
        <v/>
      </c>
      <c r="CI41" s="10">
        <f>CE41</f>
        <v/>
      </c>
      <c r="CK41" s="17">
        <f>(AA41+AC41)/W41</f>
        <v/>
      </c>
      <c r="CL41" s="17">
        <f>(Z41+AB41)/W41</f>
        <v/>
      </c>
      <c r="CM41" s="10">
        <f>BZ41*I41</f>
        <v/>
      </c>
      <c r="CN41" s="10">
        <f>CA41*J41</f>
        <v/>
      </c>
      <c r="CO41" s="10">
        <f>CB41*K41</f>
        <v/>
      </c>
      <c r="CP41" s="10">
        <f>(N41)</f>
        <v/>
      </c>
      <c r="CR41" s="1">
        <f>SUM(CG41:CH41)-SUM(CK41:CP41)</f>
        <v/>
      </c>
    </row>
    <row r="42">
      <c r="B42" s="22" t="n"/>
      <c r="C42" s="23" t="n"/>
      <c r="D42" s="23" t="n">
        <v>6</v>
      </c>
      <c r="E42" s="23">
        <f>S42</f>
        <v/>
      </c>
      <c r="F42" s="22" t="n"/>
      <c r="G42" s="22" t="n"/>
      <c r="H42" s="22" t="n"/>
      <c r="I42" s="22" t="n"/>
      <c r="J42" s="22" t="n"/>
      <c r="K42" s="22" t="n"/>
      <c r="L42" s="28">
        <f>SUM(I42:K42)</f>
        <v/>
      </c>
      <c r="M42" s="22" t="n"/>
      <c r="N42" s="22" t="n"/>
      <c r="O42" s="22" t="n"/>
      <c r="P42" s="22" t="n"/>
      <c r="Q42" s="22" t="n"/>
      <c r="S42" s="17">
        <f t="array" ref="S42:AF42">_xlfn.XLOOKUP(D42, CT:CT, CU:DH)</f>
        <v/>
      </c>
      <c r="T42" s="17" t="inlineStr">
        <is>
          <t>Biomass_Corn</t>
        </is>
      </c>
      <c r="U42" s="17" t="n">
        <v>0</v>
      </c>
      <c r="V42" s="17" t="n">
        <v>0.085342825</v>
      </c>
      <c r="W42" s="17" t="n">
        <v>3.104337995</v>
      </c>
      <c r="X42" s="17" t="n">
        <v>1.013397519</v>
      </c>
      <c r="Y42" s="17" t="n">
        <v>1.758866658</v>
      </c>
      <c r="Z42" s="17" t="n">
        <v>0.357687672</v>
      </c>
      <c r="AA42" s="17" t="n">
        <v>0.6860173939999999</v>
      </c>
      <c r="AB42" s="17" t="n">
        <v>0.152906423</v>
      </c>
      <c r="AC42" s="17" t="n">
        <v>0.032434696</v>
      </c>
      <c r="AD42" s="17" t="n">
        <v>45179.42</v>
      </c>
      <c r="AE42" s="17" t="n">
        <v>201481.25</v>
      </c>
      <c r="AF42" s="17" t="n">
        <v>-25.28</v>
      </c>
      <c r="AH42" s="15" t="n">
        <v>73.71884</v>
      </c>
      <c r="AI42" s="15" t="n">
        <v>-6.097314</v>
      </c>
      <c r="AJ42" s="15" t="n">
        <v>61.343403</v>
      </c>
      <c r="AK42" s="15" t="n">
        <v>33.004971</v>
      </c>
      <c r="AL42" s="15" t="n">
        <v>42.19561</v>
      </c>
      <c r="AM42" s="15" t="n">
        <v>155</v>
      </c>
      <c r="AN42" s="15" t="n">
        <v>22.90669</v>
      </c>
      <c r="AO42" s="15" t="n">
        <v>13.197062</v>
      </c>
      <c r="AP42" s="15" t="n">
        <v>14.953878</v>
      </c>
      <c r="AR42" s="1">
        <f>B42</f>
        <v/>
      </c>
      <c r="AS42" s="1">
        <f>C42</f>
        <v/>
      </c>
      <c r="AT42" s="11">
        <f>SUM(AW42:BI42)+BK42+BL42</f>
        <v/>
      </c>
      <c r="AU42" s="11">
        <f>SUM(AW42:BI42)+BN42+BO42</f>
        <v/>
      </c>
      <c r="AV42" s="5">
        <f>AT42-AU42</f>
        <v/>
      </c>
      <c r="AW42" s="5">
        <f>F42/L42*AO42</f>
        <v/>
      </c>
      <c r="AX42" s="1">
        <f>G42/L42*AN42</f>
        <v/>
      </c>
      <c r="AY42" s="1">
        <f>BS42</f>
        <v/>
      </c>
      <c r="AZ42" s="1">
        <f>H42/L42</f>
        <v/>
      </c>
      <c r="BA42" s="1">
        <f>BR42</f>
        <v/>
      </c>
      <c r="BB42" s="1">
        <f>BT42</f>
        <v/>
      </c>
      <c r="BC42" s="1">
        <f>BU42</f>
        <v/>
      </c>
      <c r="BD42" s="1">
        <f>O42/L42/(0.9*8760)</f>
        <v/>
      </c>
      <c r="BE42" s="1">
        <f>BV42</f>
        <v/>
      </c>
      <c r="BF42" s="1">
        <f>P42/L42/(0.9*8760)</f>
        <v/>
      </c>
      <c r="BG42" s="1">
        <f>BW42</f>
        <v/>
      </c>
      <c r="BH42" s="1">
        <f>Q42/L42</f>
        <v/>
      </c>
      <c r="BI42" s="1">
        <f>BX42</f>
        <v/>
      </c>
      <c r="BJ42" s="1">
        <f>(SUM(CK42:CP42)-CG42)/L42</f>
        <v/>
      </c>
      <c r="BK42" s="1">
        <f>((AH42+AI42)*-1*CL42)/L42</f>
        <v/>
      </c>
      <c r="BL42" s="1">
        <f>BJ42*AH42</f>
        <v/>
      </c>
      <c r="BM42" s="1">
        <f>(CK42+CM42+CN42+CO42+CP42-CG42)/L42</f>
        <v/>
      </c>
      <c r="BN42" s="1">
        <f>(CL42*AI42*-1)/L42</f>
        <v/>
      </c>
      <c r="BO42" s="1">
        <f>BM42*AH42</f>
        <v/>
      </c>
      <c r="BQ42" s="1">
        <f>S42</f>
        <v/>
      </c>
      <c r="BR42" s="1">
        <f>U42/W42/L42*AN42*-1</f>
        <v/>
      </c>
      <c r="BS42" s="1">
        <f>V42/W42/L42*AN42</f>
        <v/>
      </c>
      <c r="BT42" s="1">
        <f t="array" ref="BT42">_xlfn.IFS(T42="Biomass_Corn", 1/W42/L42*AM42, T42="Biomass_Agri", 1/W42/L42*AL42, T42="Biomass_Wood", 1/W42/L42*AK42, T42="Biomass_Herb", 1/W42/L42*AJ42)</f>
        <v/>
      </c>
      <c r="BU42" s="1">
        <f>X42/W42/L42*AP42</f>
        <v/>
      </c>
      <c r="BV42" s="1">
        <f>AD42/W42/L42/(0.9*8760)</f>
        <v/>
      </c>
      <c r="BW42" s="1">
        <f>AE42/W42/L42/(0.9*8760)</f>
        <v/>
      </c>
      <c r="BX42" s="1">
        <f>AF42/W42/L42</f>
        <v/>
      </c>
      <c r="BZ42" s="9" t="n">
        <v>0.2409589293</v>
      </c>
      <c r="CA42" s="9" t="n">
        <v>0.2418283623</v>
      </c>
      <c r="CB42" s="9" t="n">
        <v>0.2402551414</v>
      </c>
      <c r="CC42" s="17">
        <f>Y42</f>
        <v/>
      </c>
      <c r="CD42" s="10" t="n">
        <v>0.1828908353</v>
      </c>
      <c r="CE42" s="9" t="n">
        <v>0.23037491</v>
      </c>
      <c r="CG42" s="10">
        <f>CC42/W42</f>
        <v/>
      </c>
      <c r="CH42" s="10">
        <f>IF(X42=0, 0, CD42*X42/W42)</f>
        <v/>
      </c>
      <c r="CI42" s="10">
        <f>CE42</f>
        <v/>
      </c>
      <c r="CK42" s="17">
        <f>(AA42+AC42)/W42</f>
        <v/>
      </c>
      <c r="CL42" s="17">
        <f>(Z42+AB42)/W42</f>
        <v/>
      </c>
      <c r="CM42" s="10">
        <f>BZ42*I42</f>
        <v/>
      </c>
      <c r="CN42" s="10">
        <f>CA42*J42</f>
        <v/>
      </c>
      <c r="CO42" s="10">
        <f>CB42*K42</f>
        <v/>
      </c>
      <c r="CP42" s="10">
        <f>(N42)</f>
        <v/>
      </c>
      <c r="CR42" s="1">
        <f>SUM(CG42:CH42)-SUM(CK42:CP42)</f>
        <v/>
      </c>
    </row>
    <row r="43">
      <c r="B43" s="22" t="n"/>
      <c r="C43" s="23" t="n"/>
      <c r="D43" s="23" t="n">
        <v>6</v>
      </c>
      <c r="E43" s="23">
        <f>S43</f>
        <v/>
      </c>
      <c r="F43" s="22" t="n"/>
      <c r="G43" s="22" t="n"/>
      <c r="H43" s="22" t="n"/>
      <c r="I43" s="22" t="n"/>
      <c r="J43" s="22" t="n"/>
      <c r="K43" s="22" t="n"/>
      <c r="L43" s="28">
        <f>SUM(I43:K43)</f>
        <v/>
      </c>
      <c r="M43" s="22" t="n"/>
      <c r="N43" s="22" t="n"/>
      <c r="O43" s="22" t="n"/>
      <c r="P43" s="22" t="n"/>
      <c r="Q43" s="22" t="n"/>
      <c r="S43" s="17">
        <f t="array" ref="S43:AF43">_xlfn.XLOOKUP(D43, CT:CT, CU:DH)</f>
        <v/>
      </c>
      <c r="T43" s="17" t="inlineStr">
        <is>
          <t>Biomass_Corn</t>
        </is>
      </c>
      <c r="U43" s="17" t="n">
        <v>0</v>
      </c>
      <c r="V43" s="17" t="n">
        <v>0.085342825</v>
      </c>
      <c r="W43" s="17" t="n">
        <v>3.104337995</v>
      </c>
      <c r="X43" s="17" t="n">
        <v>1.013397519</v>
      </c>
      <c r="Y43" s="17" t="n">
        <v>1.758866658</v>
      </c>
      <c r="Z43" s="17" t="n">
        <v>0.357687672</v>
      </c>
      <c r="AA43" s="17" t="n">
        <v>0.6860173939999999</v>
      </c>
      <c r="AB43" s="17" t="n">
        <v>0.152906423</v>
      </c>
      <c r="AC43" s="17" t="n">
        <v>0.032434696</v>
      </c>
      <c r="AD43" s="17" t="n">
        <v>45179.42</v>
      </c>
      <c r="AE43" s="17" t="n">
        <v>201481.25</v>
      </c>
      <c r="AF43" s="17" t="n">
        <v>-25.28</v>
      </c>
      <c r="AH43" s="15" t="n">
        <v>73.71884</v>
      </c>
      <c r="AI43" s="15" t="n">
        <v>-6.097314</v>
      </c>
      <c r="AJ43" s="15" t="n">
        <v>61.343403</v>
      </c>
      <c r="AK43" s="15" t="n">
        <v>33.004971</v>
      </c>
      <c r="AL43" s="15" t="n">
        <v>42.19561</v>
      </c>
      <c r="AM43" s="15" t="n">
        <v>155</v>
      </c>
      <c r="AN43" s="15" t="n">
        <v>22.90669</v>
      </c>
      <c r="AO43" s="15" t="n">
        <v>13.197062</v>
      </c>
      <c r="AP43" s="15" t="n">
        <v>14.953878</v>
      </c>
      <c r="AR43" s="1">
        <f>B43</f>
        <v/>
      </c>
      <c r="AS43" s="1">
        <f>C43</f>
        <v/>
      </c>
      <c r="AT43" s="11">
        <f>SUM(AW43:BI43)+BK43+BL43</f>
        <v/>
      </c>
      <c r="AU43" s="11">
        <f>SUM(AW43:BI43)+BN43+BO43</f>
        <v/>
      </c>
      <c r="AV43" s="5">
        <f>AT43-AU43</f>
        <v/>
      </c>
      <c r="AW43" s="5">
        <f>F43/L43*AO43</f>
        <v/>
      </c>
      <c r="AX43" s="1">
        <f>G43/L43*AN43</f>
        <v/>
      </c>
      <c r="AY43" s="1">
        <f>BS43</f>
        <v/>
      </c>
      <c r="AZ43" s="1">
        <f>H43/L43</f>
        <v/>
      </c>
      <c r="BA43" s="1">
        <f>BR43</f>
        <v/>
      </c>
      <c r="BB43" s="1">
        <f>BT43</f>
        <v/>
      </c>
      <c r="BC43" s="1">
        <f>BU43</f>
        <v/>
      </c>
      <c r="BD43" s="1">
        <f>O43/L43/(0.9*8760)</f>
        <v/>
      </c>
      <c r="BE43" s="1">
        <f>BV43</f>
        <v/>
      </c>
      <c r="BF43" s="1">
        <f>P43/L43/(0.9*8760)</f>
        <v/>
      </c>
      <c r="BG43" s="1">
        <f>BW43</f>
        <v/>
      </c>
      <c r="BH43" s="1">
        <f>Q43/L43</f>
        <v/>
      </c>
      <c r="BI43" s="1">
        <f>BX43</f>
        <v/>
      </c>
      <c r="BJ43" s="1">
        <f>(SUM(CK43:CP43)-CG43)/L43</f>
        <v/>
      </c>
      <c r="BK43" s="1">
        <f>((AH43+AI43)*-1*CL43)/L43</f>
        <v/>
      </c>
      <c r="BL43" s="1">
        <f>BJ43*AH43</f>
        <v/>
      </c>
      <c r="BM43" s="1">
        <f>(CK43+CM43+CN43+CO43+CP43-CG43)/L43</f>
        <v/>
      </c>
      <c r="BN43" s="1">
        <f>(CL43*AI43*-1)/L43</f>
        <v/>
      </c>
      <c r="BO43" s="1">
        <f>BM43*AH43</f>
        <v/>
      </c>
      <c r="BQ43" s="1">
        <f>S43</f>
        <v/>
      </c>
      <c r="BR43" s="1">
        <f>U43/W43/L43*AN43*-1</f>
        <v/>
      </c>
      <c r="BS43" s="1">
        <f>V43/W43/L43*AN43</f>
        <v/>
      </c>
      <c r="BT43" s="1">
        <f t="array" ref="BT43">_xlfn.IFS(T43="Biomass_Corn", 1/W43/L43*AM43, T43="Biomass_Agri", 1/W43/L43*AL43, T43="Biomass_Wood", 1/W43/L43*AK43, T43="Biomass_Herb", 1/W43/L43*AJ43)</f>
        <v/>
      </c>
      <c r="BU43" s="1">
        <f>X43/W43/L43*AP43</f>
        <v/>
      </c>
      <c r="BV43" s="1">
        <f>AD43/W43/L43/(0.9*8760)</f>
        <v/>
      </c>
      <c r="BW43" s="1">
        <f>AE43/W43/L43/(0.9*8760)</f>
        <v/>
      </c>
      <c r="BX43" s="1">
        <f>AF43/W43/L43</f>
        <v/>
      </c>
      <c r="BZ43" s="9" t="n">
        <v>0.2409589293</v>
      </c>
      <c r="CA43" s="9" t="n">
        <v>0.2418283623</v>
      </c>
      <c r="CB43" s="9" t="n">
        <v>0.2402551414</v>
      </c>
      <c r="CC43" s="17">
        <f>Y43</f>
        <v/>
      </c>
      <c r="CD43" s="10" t="n">
        <v>0.1828908353</v>
      </c>
      <c r="CE43" s="9" t="n">
        <v>0.23037491</v>
      </c>
      <c r="CG43" s="10">
        <f>CC43/W43</f>
        <v/>
      </c>
      <c r="CH43" s="10">
        <f>IF(X43=0, 0, CD43*X43/W43)</f>
        <v/>
      </c>
      <c r="CI43" s="10">
        <f>CE43</f>
        <v/>
      </c>
      <c r="CK43" s="17">
        <f>(AA43+AC43)/W43</f>
        <v/>
      </c>
      <c r="CL43" s="17">
        <f>(Z43+AB43)/W43</f>
        <v/>
      </c>
      <c r="CM43" s="10">
        <f>BZ43*I43</f>
        <v/>
      </c>
      <c r="CN43" s="10">
        <f>CA43*J43</f>
        <v/>
      </c>
      <c r="CO43" s="10">
        <f>CB43*K43</f>
        <v/>
      </c>
      <c r="CP43" s="10">
        <f>(N43)</f>
        <v/>
      </c>
      <c r="CR43" s="1">
        <f>SUM(CG43:CH43)-SUM(CK43:CP43)</f>
        <v/>
      </c>
    </row>
    <row r="44">
      <c r="B44" s="22" t="n"/>
      <c r="C44" s="23" t="n"/>
      <c r="D44" s="23" t="n">
        <v>6</v>
      </c>
      <c r="E44" s="23">
        <f>S44</f>
        <v/>
      </c>
      <c r="F44" s="22" t="n"/>
      <c r="G44" s="22" t="n"/>
      <c r="H44" s="22" t="n"/>
      <c r="I44" s="22" t="n"/>
      <c r="J44" s="22" t="n"/>
      <c r="K44" s="22" t="n"/>
      <c r="L44" s="28">
        <f>SUM(I44:K44)</f>
        <v/>
      </c>
      <c r="M44" s="22" t="n"/>
      <c r="N44" s="22" t="n"/>
      <c r="O44" s="22" t="n"/>
      <c r="P44" s="22" t="n"/>
      <c r="Q44" s="22" t="n"/>
      <c r="S44" s="17">
        <f t="array" ref="S44:AF44">_xlfn.XLOOKUP(D44, CT:CT, CU:DH)</f>
        <v/>
      </c>
      <c r="T44" s="17" t="inlineStr">
        <is>
          <t>Biomass_Corn</t>
        </is>
      </c>
      <c r="U44" s="17" t="n">
        <v>0</v>
      </c>
      <c r="V44" s="17" t="n">
        <v>0.085342825</v>
      </c>
      <c r="W44" s="17" t="n">
        <v>3.104337995</v>
      </c>
      <c r="X44" s="17" t="n">
        <v>1.013397519</v>
      </c>
      <c r="Y44" s="17" t="n">
        <v>1.758866658</v>
      </c>
      <c r="Z44" s="17" t="n">
        <v>0.357687672</v>
      </c>
      <c r="AA44" s="17" t="n">
        <v>0.6860173939999999</v>
      </c>
      <c r="AB44" s="17" t="n">
        <v>0.152906423</v>
      </c>
      <c r="AC44" s="17" t="n">
        <v>0.032434696</v>
      </c>
      <c r="AD44" s="17" t="n">
        <v>45179.42</v>
      </c>
      <c r="AE44" s="17" t="n">
        <v>201481.25</v>
      </c>
      <c r="AF44" s="17" t="n">
        <v>-25.28</v>
      </c>
      <c r="AH44" s="15" t="n">
        <v>73.71884</v>
      </c>
      <c r="AI44" s="15" t="n">
        <v>-6.097314</v>
      </c>
      <c r="AJ44" s="15" t="n">
        <v>61.343403</v>
      </c>
      <c r="AK44" s="15" t="n">
        <v>33.004971</v>
      </c>
      <c r="AL44" s="15" t="n">
        <v>42.19561</v>
      </c>
      <c r="AM44" s="15" t="n">
        <v>155</v>
      </c>
      <c r="AN44" s="15" t="n">
        <v>22.90669</v>
      </c>
      <c r="AO44" s="15" t="n">
        <v>13.197062</v>
      </c>
      <c r="AP44" s="15" t="n">
        <v>14.953878</v>
      </c>
      <c r="AR44" s="1">
        <f>B44</f>
        <v/>
      </c>
      <c r="AS44" s="1">
        <f>C44</f>
        <v/>
      </c>
      <c r="AT44" s="11">
        <f>SUM(AW44:BI44)+BK44+BL44</f>
        <v/>
      </c>
      <c r="AU44" s="11">
        <f>SUM(AW44:BI44)+BN44+BO44</f>
        <v/>
      </c>
      <c r="AV44" s="5">
        <f>AT44-AU44</f>
        <v/>
      </c>
      <c r="AW44" s="5">
        <f>F44/L44*AO44</f>
        <v/>
      </c>
      <c r="AX44" s="1">
        <f>G44/L44*AN44</f>
        <v/>
      </c>
      <c r="AY44" s="1">
        <f>BS44</f>
        <v/>
      </c>
      <c r="AZ44" s="1">
        <f>H44/L44</f>
        <v/>
      </c>
      <c r="BA44" s="1">
        <f>BR44</f>
        <v/>
      </c>
      <c r="BB44" s="1">
        <f>BT44</f>
        <v/>
      </c>
      <c r="BC44" s="1">
        <f>BU44</f>
        <v/>
      </c>
      <c r="BD44" s="1">
        <f>O44/L44/(0.9*8760)</f>
        <v/>
      </c>
      <c r="BE44" s="1">
        <f>BV44</f>
        <v/>
      </c>
      <c r="BF44" s="1">
        <f>P44/L44/(0.9*8760)</f>
        <v/>
      </c>
      <c r="BG44" s="1">
        <f>BW44</f>
        <v/>
      </c>
      <c r="BH44" s="1">
        <f>Q44/L44</f>
        <v/>
      </c>
      <c r="BI44" s="1">
        <f>BX44</f>
        <v/>
      </c>
      <c r="BJ44" s="1">
        <f>(SUM(CK44:CP44)-CG44)/L44</f>
        <v/>
      </c>
      <c r="BK44" s="1">
        <f>((AH44+AI44)*-1*CL44)/L44</f>
        <v/>
      </c>
      <c r="BL44" s="1">
        <f>BJ44*AH44</f>
        <v/>
      </c>
      <c r="BM44" s="1">
        <f>(CK44+CM44+CN44+CO44+CP44-CG44)/L44</f>
        <v/>
      </c>
      <c r="BN44" s="1">
        <f>(CL44*AI44*-1)/L44</f>
        <v/>
      </c>
      <c r="BO44" s="1">
        <f>BM44*AH44</f>
        <v/>
      </c>
      <c r="BQ44" s="1">
        <f>S44</f>
        <v/>
      </c>
      <c r="BR44" s="1">
        <f>U44/W44/L44*AN44*-1</f>
        <v/>
      </c>
      <c r="BS44" s="1">
        <f>V44/W44/L44*AN44</f>
        <v/>
      </c>
      <c r="BT44" s="1">
        <f t="array" ref="BT44">_xlfn.IFS(T44="Biomass_Corn", 1/W44/L44*AM44, T44="Biomass_Agri", 1/W44/L44*AL44, T44="Biomass_Wood", 1/W44/L44*AK44, T44="Biomass_Herb", 1/W44/L44*AJ44)</f>
        <v/>
      </c>
      <c r="BU44" s="1">
        <f>X44/W44/L44*AP44</f>
        <v/>
      </c>
      <c r="BV44" s="1">
        <f>AD44/W44/L44/(0.9*8760)</f>
        <v/>
      </c>
      <c r="BW44" s="1">
        <f>AE44/W44/L44/(0.9*8760)</f>
        <v/>
      </c>
      <c r="BX44" s="1">
        <f>AF44/W44/L44</f>
        <v/>
      </c>
      <c r="BZ44" s="9" t="n">
        <v>0.2409589293</v>
      </c>
      <c r="CA44" s="9" t="n">
        <v>0.2418283623</v>
      </c>
      <c r="CB44" s="9" t="n">
        <v>0.2402551414</v>
      </c>
      <c r="CC44" s="17">
        <f>Y44</f>
        <v/>
      </c>
      <c r="CD44" s="10" t="n">
        <v>0.1828908353</v>
      </c>
      <c r="CE44" s="9" t="n">
        <v>0.23037491</v>
      </c>
      <c r="CG44" s="10">
        <f>CC44/W44</f>
        <v/>
      </c>
      <c r="CH44" s="10">
        <f>IF(X44=0, 0, CD44*X44/W44)</f>
        <v/>
      </c>
      <c r="CI44" s="10">
        <f>CE44</f>
        <v/>
      </c>
      <c r="CK44" s="17">
        <f>(AA44+AC44)/W44</f>
        <v/>
      </c>
      <c r="CL44" s="17">
        <f>(Z44+AB44)/W44</f>
        <v/>
      </c>
      <c r="CM44" s="10">
        <f>BZ44*I44</f>
        <v/>
      </c>
      <c r="CN44" s="10">
        <f>CA44*J44</f>
        <v/>
      </c>
      <c r="CO44" s="10">
        <f>CB44*K44</f>
        <v/>
      </c>
      <c r="CP44" s="10">
        <f>(N44)</f>
        <v/>
      </c>
      <c r="CR44" s="1">
        <f>SUM(CG44:CH44)-SUM(CK44:CP44)</f>
        <v/>
      </c>
    </row>
    <row r="45">
      <c r="B45" s="22" t="n"/>
      <c r="C45" s="23" t="n"/>
      <c r="D45" s="23" t="n">
        <v>6</v>
      </c>
      <c r="E45" s="23">
        <f>S45</f>
        <v/>
      </c>
      <c r="F45" s="22" t="n"/>
      <c r="G45" s="22" t="n"/>
      <c r="H45" s="22" t="n"/>
      <c r="I45" s="22" t="n"/>
      <c r="J45" s="22" t="n"/>
      <c r="K45" s="22" t="n"/>
      <c r="L45" s="28">
        <f>SUM(I45:K45)</f>
        <v/>
      </c>
      <c r="M45" s="22" t="n"/>
      <c r="N45" s="22" t="n"/>
      <c r="O45" s="22" t="n"/>
      <c r="P45" s="22" t="n"/>
      <c r="Q45" s="22" t="n"/>
      <c r="S45" s="17">
        <f t="array" ref="S45:AF45">_xlfn.XLOOKUP(D45, CT:CT, CU:DH)</f>
        <v/>
      </c>
      <c r="T45" s="17" t="inlineStr">
        <is>
          <t>Biomass_Corn</t>
        </is>
      </c>
      <c r="U45" s="17" t="n">
        <v>0</v>
      </c>
      <c r="V45" s="17" t="n">
        <v>0.085342825</v>
      </c>
      <c r="W45" s="17" t="n">
        <v>3.104337995</v>
      </c>
      <c r="X45" s="17" t="n">
        <v>1.013397519</v>
      </c>
      <c r="Y45" s="17" t="n">
        <v>1.758866658</v>
      </c>
      <c r="Z45" s="17" t="n">
        <v>0.357687672</v>
      </c>
      <c r="AA45" s="17" t="n">
        <v>0.6860173939999999</v>
      </c>
      <c r="AB45" s="17" t="n">
        <v>0.152906423</v>
      </c>
      <c r="AC45" s="17" t="n">
        <v>0.032434696</v>
      </c>
      <c r="AD45" s="17" t="n">
        <v>45179.42</v>
      </c>
      <c r="AE45" s="17" t="n">
        <v>201481.25</v>
      </c>
      <c r="AF45" s="17" t="n">
        <v>-25.28</v>
      </c>
      <c r="AH45" s="15" t="n">
        <v>73.71884</v>
      </c>
      <c r="AI45" s="15" t="n">
        <v>-6.097314</v>
      </c>
      <c r="AJ45" s="15" t="n">
        <v>61.343403</v>
      </c>
      <c r="AK45" s="15" t="n">
        <v>33.004971</v>
      </c>
      <c r="AL45" s="15" t="n">
        <v>42.19561</v>
      </c>
      <c r="AM45" s="15" t="n">
        <v>155</v>
      </c>
      <c r="AN45" s="15" t="n">
        <v>22.90669</v>
      </c>
      <c r="AO45" s="15" t="n">
        <v>13.197062</v>
      </c>
      <c r="AP45" s="15" t="n">
        <v>14.953878</v>
      </c>
      <c r="AR45" s="1">
        <f>B45</f>
        <v/>
      </c>
      <c r="AS45" s="1">
        <f>C45</f>
        <v/>
      </c>
      <c r="AT45" s="11">
        <f>SUM(AW45:BI45)+BK45+BL45</f>
        <v/>
      </c>
      <c r="AU45" s="11">
        <f>SUM(AW45:BI45)+BN45+BO45</f>
        <v/>
      </c>
      <c r="AV45" s="5">
        <f>AT45-AU45</f>
        <v/>
      </c>
      <c r="AW45" s="5">
        <f>F45/L45*AO45</f>
        <v/>
      </c>
      <c r="AX45" s="1">
        <f>G45/L45*AN45</f>
        <v/>
      </c>
      <c r="AY45" s="1">
        <f>BS45</f>
        <v/>
      </c>
      <c r="AZ45" s="1">
        <f>H45/L45</f>
        <v/>
      </c>
      <c r="BA45" s="1">
        <f>BR45</f>
        <v/>
      </c>
      <c r="BB45" s="1">
        <f>BT45</f>
        <v/>
      </c>
      <c r="BC45" s="1">
        <f>BU45</f>
        <v/>
      </c>
      <c r="BD45" s="1">
        <f>O45/L45/(0.9*8760)</f>
        <v/>
      </c>
      <c r="BE45" s="1">
        <f>BV45</f>
        <v/>
      </c>
      <c r="BF45" s="1">
        <f>P45/L45/(0.9*8760)</f>
        <v/>
      </c>
      <c r="BG45" s="1">
        <f>BW45</f>
        <v/>
      </c>
      <c r="BH45" s="1">
        <f>Q45/L45</f>
        <v/>
      </c>
      <c r="BI45" s="1">
        <f>BX45</f>
        <v/>
      </c>
      <c r="BJ45" s="1">
        <f>(SUM(CK45:CP45)-CG45)/L45</f>
        <v/>
      </c>
      <c r="BK45" s="1">
        <f>((AH45+AI45)*-1*CL45)/L45</f>
        <v/>
      </c>
      <c r="BL45" s="1">
        <f>BJ45*AH45</f>
        <v/>
      </c>
      <c r="BM45" s="1">
        <f>(CK45+CM45+CN45+CO45+CP45-CG45)/L45</f>
        <v/>
      </c>
      <c r="BN45" s="1">
        <f>(CL45*AI45*-1)/L45</f>
        <v/>
      </c>
      <c r="BO45" s="1">
        <f>BM45*AH45</f>
        <v/>
      </c>
      <c r="BQ45" s="1">
        <f>S45</f>
        <v/>
      </c>
      <c r="BR45" s="1">
        <f>U45/W45/L45*AN45*-1</f>
        <v/>
      </c>
      <c r="BS45" s="1">
        <f>V45/W45/L45*AN45</f>
        <v/>
      </c>
      <c r="BT45" s="1">
        <f t="array" ref="BT45">_xlfn.IFS(T45="Biomass_Corn", 1/W45/L45*AM45, T45="Biomass_Agri", 1/W45/L45*AL45, T45="Biomass_Wood", 1/W45/L45*AK45, T45="Biomass_Herb", 1/W45/L45*AJ45)</f>
        <v/>
      </c>
      <c r="BU45" s="1">
        <f>X45/W45/L45*AP45</f>
        <v/>
      </c>
      <c r="BV45" s="1">
        <f>AD45/W45/L45/(0.9*8760)</f>
        <v/>
      </c>
      <c r="BW45" s="1">
        <f>AE45/W45/L45/(0.9*8760)</f>
        <v/>
      </c>
      <c r="BX45" s="1">
        <f>AF45/W45/L45</f>
        <v/>
      </c>
      <c r="BZ45" s="9" t="n">
        <v>0.2409589293</v>
      </c>
      <c r="CA45" s="9" t="n">
        <v>0.2418283623</v>
      </c>
      <c r="CB45" s="9" t="n">
        <v>0.2402551414</v>
      </c>
      <c r="CC45" s="17">
        <f>Y45</f>
        <v/>
      </c>
      <c r="CD45" s="10" t="n">
        <v>0.1828908353</v>
      </c>
      <c r="CE45" s="9" t="n">
        <v>0.23037491</v>
      </c>
      <c r="CG45" s="10">
        <f>CC45/W45</f>
        <v/>
      </c>
      <c r="CH45" s="10">
        <f>IF(X45=0, 0, CD45*X45/W45)</f>
        <v/>
      </c>
      <c r="CI45" s="10">
        <f>CE45</f>
        <v/>
      </c>
      <c r="CK45" s="17">
        <f>(AA45+AC45)/W45</f>
        <v/>
      </c>
      <c r="CL45" s="17">
        <f>(Z45+AB45)/W45</f>
        <v/>
      </c>
      <c r="CM45" s="10">
        <f>BZ45*I45</f>
        <v/>
      </c>
      <c r="CN45" s="10">
        <f>CA45*J45</f>
        <v/>
      </c>
      <c r="CO45" s="10">
        <f>CB45*K45</f>
        <v/>
      </c>
      <c r="CP45" s="10">
        <f>(N45)</f>
        <v/>
      </c>
      <c r="CR45" s="1">
        <f>SUM(CG45:CH45)-SUM(CK45:CP45)</f>
        <v/>
      </c>
    </row>
    <row r="46">
      <c r="B46" s="22" t="n"/>
      <c r="C46" s="23" t="n"/>
      <c r="D46" s="23" t="n">
        <v>6</v>
      </c>
      <c r="E46" s="23">
        <f>S46</f>
        <v/>
      </c>
      <c r="F46" s="22" t="n"/>
      <c r="G46" s="22" t="n"/>
      <c r="H46" s="22" t="n"/>
      <c r="I46" s="22" t="n"/>
      <c r="J46" s="22" t="n"/>
      <c r="K46" s="22" t="n"/>
      <c r="L46" s="28">
        <f>SUM(I46:K46)</f>
        <v/>
      </c>
      <c r="M46" s="22" t="n"/>
      <c r="N46" s="22" t="n"/>
      <c r="O46" s="22" t="n"/>
      <c r="P46" s="22" t="n"/>
      <c r="Q46" s="22" t="n"/>
      <c r="S46" s="17">
        <f t="array" ref="S46:AF46">_xlfn.XLOOKUP(D46, CT:CT, CU:DH)</f>
        <v/>
      </c>
      <c r="T46" s="17" t="inlineStr">
        <is>
          <t>Biomass_Corn</t>
        </is>
      </c>
      <c r="U46" s="17" t="n">
        <v>0</v>
      </c>
      <c r="V46" s="17" t="n">
        <v>0.085342825</v>
      </c>
      <c r="W46" s="17" t="n">
        <v>3.104337995</v>
      </c>
      <c r="X46" s="17" t="n">
        <v>1.013397519</v>
      </c>
      <c r="Y46" s="17" t="n">
        <v>1.758866658</v>
      </c>
      <c r="Z46" s="17" t="n">
        <v>0.357687672</v>
      </c>
      <c r="AA46" s="17" t="n">
        <v>0.6860173939999999</v>
      </c>
      <c r="AB46" s="17" t="n">
        <v>0.152906423</v>
      </c>
      <c r="AC46" s="17" t="n">
        <v>0.032434696</v>
      </c>
      <c r="AD46" s="17" t="n">
        <v>45179.42</v>
      </c>
      <c r="AE46" s="17" t="n">
        <v>201481.25</v>
      </c>
      <c r="AF46" s="17" t="n">
        <v>-25.28</v>
      </c>
      <c r="AH46" s="15" t="n">
        <v>73.71884</v>
      </c>
      <c r="AI46" s="15" t="n">
        <v>-6.097314</v>
      </c>
      <c r="AJ46" s="15" t="n">
        <v>61.343403</v>
      </c>
      <c r="AK46" s="15" t="n">
        <v>33.004971</v>
      </c>
      <c r="AL46" s="15" t="n">
        <v>42.19561</v>
      </c>
      <c r="AM46" s="15" t="n">
        <v>155</v>
      </c>
      <c r="AN46" s="15" t="n">
        <v>22.90669</v>
      </c>
      <c r="AO46" s="15" t="n">
        <v>13.197062</v>
      </c>
      <c r="AP46" s="15" t="n">
        <v>14.953878</v>
      </c>
      <c r="AR46" s="1">
        <f>B46</f>
        <v/>
      </c>
      <c r="AS46" s="1">
        <f>C46</f>
        <v/>
      </c>
      <c r="AT46" s="11">
        <f>SUM(AW46:BI46)+BK46+BL46</f>
        <v/>
      </c>
      <c r="AU46" s="11">
        <f>SUM(AW46:BI46)+BN46+BO46</f>
        <v/>
      </c>
      <c r="AV46" s="5">
        <f>AT46-AU46</f>
        <v/>
      </c>
      <c r="AW46" s="5">
        <f>F46/L46*AO46</f>
        <v/>
      </c>
      <c r="AX46" s="1">
        <f>G46/L46*AN46</f>
        <v/>
      </c>
      <c r="AY46" s="1">
        <f>BS46</f>
        <v/>
      </c>
      <c r="AZ46" s="1">
        <f>H46/L46</f>
        <v/>
      </c>
      <c r="BA46" s="1">
        <f>BR46</f>
        <v/>
      </c>
      <c r="BB46" s="1">
        <f>BT46</f>
        <v/>
      </c>
      <c r="BC46" s="1">
        <f>BU46</f>
        <v/>
      </c>
      <c r="BD46" s="1">
        <f>O46/L46/(0.9*8760)</f>
        <v/>
      </c>
      <c r="BE46" s="1">
        <f>BV46</f>
        <v/>
      </c>
      <c r="BF46" s="1">
        <f>P46/L46/(0.9*8760)</f>
        <v/>
      </c>
      <c r="BG46" s="1">
        <f>BW46</f>
        <v/>
      </c>
      <c r="BH46" s="1">
        <f>Q46/L46</f>
        <v/>
      </c>
      <c r="BI46" s="1">
        <f>BX46</f>
        <v/>
      </c>
      <c r="BJ46" s="1">
        <f>(SUM(CK46:CP46)-CG46)/L46</f>
        <v/>
      </c>
      <c r="BK46" s="1">
        <f>((AH46+AI46)*-1*CL46)/L46</f>
        <v/>
      </c>
      <c r="BL46" s="1">
        <f>BJ46*AH46</f>
        <v/>
      </c>
      <c r="BM46" s="1">
        <f>(CK46+CM46+CN46+CO46+CP46-CG46)/L46</f>
        <v/>
      </c>
      <c r="BN46" s="1">
        <f>(CL46*AI46*-1)/L46</f>
        <v/>
      </c>
      <c r="BO46" s="1">
        <f>BM46*AH46</f>
        <v/>
      </c>
      <c r="BQ46" s="1">
        <f>S46</f>
        <v/>
      </c>
      <c r="BR46" s="1">
        <f>U46/W46/L46*AN46*-1</f>
        <v/>
      </c>
      <c r="BS46" s="1">
        <f>V46/W46/L46*AN46</f>
        <v/>
      </c>
      <c r="BT46" s="1">
        <f t="array" ref="BT46">_xlfn.IFS(T46="Biomass_Corn", 1/W46/L46*AM46, T46="Biomass_Agri", 1/W46/L46*AL46, T46="Biomass_Wood", 1/W46/L46*AK46, T46="Biomass_Herb", 1/W46/L46*AJ46)</f>
        <v/>
      </c>
      <c r="BU46" s="1">
        <f>X46/W46/L46*AP46</f>
        <v/>
      </c>
      <c r="BV46" s="1">
        <f>AD46/W46/L46/(0.9*8760)</f>
        <v/>
      </c>
      <c r="BW46" s="1">
        <f>AE46/W46/L46/(0.9*8760)</f>
        <v/>
      </c>
      <c r="BX46" s="1">
        <f>AF46/W46/L46</f>
        <v/>
      </c>
      <c r="BZ46" s="9" t="n">
        <v>0.2409589293</v>
      </c>
      <c r="CA46" s="9" t="n">
        <v>0.2418283623</v>
      </c>
      <c r="CB46" s="9" t="n">
        <v>0.2402551414</v>
      </c>
      <c r="CC46" s="17">
        <f>Y46</f>
        <v/>
      </c>
      <c r="CD46" s="10" t="n">
        <v>0.1828908353</v>
      </c>
      <c r="CE46" s="9" t="n">
        <v>0.23037491</v>
      </c>
      <c r="CG46" s="10">
        <f>CC46/W46</f>
        <v/>
      </c>
      <c r="CH46" s="10">
        <f>IF(X46=0, 0, CD46*X46/W46)</f>
        <v/>
      </c>
      <c r="CI46" s="10">
        <f>CE46</f>
        <v/>
      </c>
      <c r="CK46" s="17">
        <f>(AA46+AC46)/W46</f>
        <v/>
      </c>
      <c r="CL46" s="17">
        <f>(Z46+AB46)/W46</f>
        <v/>
      </c>
      <c r="CM46" s="10">
        <f>BZ46*I46</f>
        <v/>
      </c>
      <c r="CN46" s="10">
        <f>CA46*J46</f>
        <v/>
      </c>
      <c r="CO46" s="10">
        <f>CB46*K46</f>
        <v/>
      </c>
      <c r="CP46" s="10">
        <f>(N46)</f>
        <v/>
      </c>
      <c r="CR46" s="1">
        <f>SUM(CG46:CH46)-SUM(CK46:CP46)</f>
        <v/>
      </c>
    </row>
    <row r="47">
      <c r="B47" s="22" t="n"/>
      <c r="C47" s="23" t="n"/>
      <c r="D47" s="23" t="n">
        <v>6</v>
      </c>
      <c r="E47" s="23">
        <f>S47</f>
        <v/>
      </c>
      <c r="F47" s="22" t="n"/>
      <c r="G47" s="22" t="n"/>
      <c r="H47" s="22" t="n"/>
      <c r="I47" s="22" t="n"/>
      <c r="J47" s="22" t="n"/>
      <c r="K47" s="22" t="n"/>
      <c r="L47" s="28">
        <f>SUM(I47:K47)</f>
        <v/>
      </c>
      <c r="M47" s="22" t="n"/>
      <c r="N47" s="22" t="n"/>
      <c r="O47" s="22" t="n"/>
      <c r="P47" s="22" t="n"/>
      <c r="Q47" s="22" t="n"/>
      <c r="S47" s="17">
        <f t="array" ref="S47:AF47">_xlfn.XLOOKUP(D47, CT:CT, CU:DH)</f>
        <v/>
      </c>
      <c r="T47" s="17" t="inlineStr">
        <is>
          <t>Biomass_Corn</t>
        </is>
      </c>
      <c r="U47" s="17" t="n">
        <v>0</v>
      </c>
      <c r="V47" s="17" t="n">
        <v>0.085342825</v>
      </c>
      <c r="W47" s="17" t="n">
        <v>3.104337995</v>
      </c>
      <c r="X47" s="17" t="n">
        <v>1.013397519</v>
      </c>
      <c r="Y47" s="17" t="n">
        <v>1.758866658</v>
      </c>
      <c r="Z47" s="17" t="n">
        <v>0.357687672</v>
      </c>
      <c r="AA47" s="17" t="n">
        <v>0.6860173939999999</v>
      </c>
      <c r="AB47" s="17" t="n">
        <v>0.152906423</v>
      </c>
      <c r="AC47" s="17" t="n">
        <v>0.032434696</v>
      </c>
      <c r="AD47" s="17" t="n">
        <v>45179.42</v>
      </c>
      <c r="AE47" s="17" t="n">
        <v>201481.25</v>
      </c>
      <c r="AF47" s="17" t="n">
        <v>-25.28</v>
      </c>
      <c r="AH47" s="15" t="n">
        <v>73.71884</v>
      </c>
      <c r="AI47" s="15" t="n">
        <v>-6.097314</v>
      </c>
      <c r="AJ47" s="15" t="n">
        <v>61.343403</v>
      </c>
      <c r="AK47" s="15" t="n">
        <v>33.004971</v>
      </c>
      <c r="AL47" s="15" t="n">
        <v>42.19561</v>
      </c>
      <c r="AM47" s="15" t="n">
        <v>155</v>
      </c>
      <c r="AN47" s="15" t="n">
        <v>22.90669</v>
      </c>
      <c r="AO47" s="15" t="n">
        <v>13.197062</v>
      </c>
      <c r="AP47" s="15" t="n">
        <v>14.953878</v>
      </c>
      <c r="AR47" s="1">
        <f>B47</f>
        <v/>
      </c>
      <c r="AS47" s="1">
        <f>C47</f>
        <v/>
      </c>
      <c r="AT47" s="11">
        <f>SUM(AW47:BI47)+BK47+BL47</f>
        <v/>
      </c>
      <c r="AU47" s="11">
        <f>SUM(AW47:BI47)+BN47+BO47</f>
        <v/>
      </c>
      <c r="AV47" s="5">
        <f>AT47-AU47</f>
        <v/>
      </c>
      <c r="AW47" s="5">
        <f>F47/L47*AO47</f>
        <v/>
      </c>
      <c r="AX47" s="1">
        <f>G47/L47*AN47</f>
        <v/>
      </c>
      <c r="AY47" s="1">
        <f>BS47</f>
        <v/>
      </c>
      <c r="AZ47" s="1">
        <f>H47/L47</f>
        <v/>
      </c>
      <c r="BA47" s="1">
        <f>BR47</f>
        <v/>
      </c>
      <c r="BB47" s="1">
        <f>BT47</f>
        <v/>
      </c>
      <c r="BC47" s="1">
        <f>BU47</f>
        <v/>
      </c>
      <c r="BD47" s="1">
        <f>O47/L47/(0.9*8760)</f>
        <v/>
      </c>
      <c r="BE47" s="1">
        <f>BV47</f>
        <v/>
      </c>
      <c r="BF47" s="1">
        <f>P47/L47/(0.9*8760)</f>
        <v/>
      </c>
      <c r="BG47" s="1">
        <f>BW47</f>
        <v/>
      </c>
      <c r="BH47" s="1">
        <f>Q47/L47</f>
        <v/>
      </c>
      <c r="BI47" s="1">
        <f>BX47</f>
        <v/>
      </c>
      <c r="BJ47" s="1">
        <f>(SUM(CK47:CP47)-CG47)/L47</f>
        <v/>
      </c>
      <c r="BK47" s="1">
        <f>((AH47+AI47)*-1*CL47)/L47</f>
        <v/>
      </c>
      <c r="BL47" s="1">
        <f>BJ47*AH47</f>
        <v/>
      </c>
      <c r="BM47" s="1">
        <f>(CK47+CM47+CN47+CO47+CP47-CG47)/L47</f>
        <v/>
      </c>
      <c r="BN47" s="1">
        <f>(CL47*AI47*-1)/L47</f>
        <v/>
      </c>
      <c r="BO47" s="1">
        <f>BM47*AH47</f>
        <v/>
      </c>
      <c r="BQ47" s="1">
        <f>S47</f>
        <v/>
      </c>
      <c r="BR47" s="1">
        <f>U47/W47/L47*AN47*-1</f>
        <v/>
      </c>
      <c r="BS47" s="1">
        <f>V47/W47/L47*AN47</f>
        <v/>
      </c>
      <c r="BT47" s="1">
        <f t="array" ref="BT47">_xlfn.IFS(T47="Biomass_Corn", 1/W47/L47*AM47, T47="Biomass_Agri", 1/W47/L47*AL47, T47="Biomass_Wood", 1/W47/L47*AK47, T47="Biomass_Herb", 1/W47/L47*AJ47)</f>
        <v/>
      </c>
      <c r="BU47" s="1">
        <f>X47/W47/L47*AP47</f>
        <v/>
      </c>
      <c r="BV47" s="1">
        <f>AD47/W47/L47/(0.9*8760)</f>
        <v/>
      </c>
      <c r="BW47" s="1">
        <f>AE47/W47/L47/(0.9*8760)</f>
        <v/>
      </c>
      <c r="BX47" s="1">
        <f>AF47/W47/L47</f>
        <v/>
      </c>
      <c r="BZ47" s="9" t="n">
        <v>0.2409589293</v>
      </c>
      <c r="CA47" s="9" t="n">
        <v>0.2418283623</v>
      </c>
      <c r="CB47" s="9" t="n">
        <v>0.2402551414</v>
      </c>
      <c r="CC47" s="17">
        <f>Y47</f>
        <v/>
      </c>
      <c r="CD47" s="10" t="n">
        <v>0.1828908353</v>
      </c>
      <c r="CE47" s="9" t="n">
        <v>0.23037491</v>
      </c>
      <c r="CG47" s="10">
        <f>CC47/W47</f>
        <v/>
      </c>
      <c r="CH47" s="10">
        <f>IF(X47=0, 0, CD47*X47/W47)</f>
        <v/>
      </c>
      <c r="CI47" s="10">
        <f>CE47</f>
        <v/>
      </c>
      <c r="CK47" s="17">
        <f>(AA47+AC47)/W47</f>
        <v/>
      </c>
      <c r="CL47" s="17">
        <f>(Z47+AB47)/W47</f>
        <v/>
      </c>
      <c r="CM47" s="10">
        <f>BZ47*I47</f>
        <v/>
      </c>
      <c r="CN47" s="10">
        <f>CA47*J47</f>
        <v/>
      </c>
      <c r="CO47" s="10">
        <f>CB47*K47</f>
        <v/>
      </c>
      <c r="CP47" s="10">
        <f>(N47)</f>
        <v/>
      </c>
      <c r="CR47" s="1">
        <f>SUM(CG47:CH47)-SUM(CK47:CP47)</f>
        <v/>
      </c>
    </row>
    <row r="48">
      <c r="B48" s="22" t="n"/>
      <c r="C48" s="23" t="n"/>
      <c r="D48" s="23" t="n">
        <v>6</v>
      </c>
      <c r="E48" s="23">
        <f>S48</f>
        <v/>
      </c>
      <c r="F48" s="22" t="n"/>
      <c r="G48" s="22" t="n"/>
      <c r="H48" s="22" t="n"/>
      <c r="I48" s="22" t="n"/>
      <c r="J48" s="22" t="n"/>
      <c r="K48" s="22" t="n"/>
      <c r="L48" s="28">
        <f>SUM(I48:K48)</f>
        <v/>
      </c>
      <c r="M48" s="22" t="n"/>
      <c r="N48" s="22" t="n"/>
      <c r="O48" s="22" t="n"/>
      <c r="P48" s="22" t="n"/>
      <c r="Q48" s="22" t="n"/>
      <c r="S48" s="17">
        <f t="array" ref="S48:AF48">_xlfn.XLOOKUP(D48, CT:CT, CU:DH)</f>
        <v/>
      </c>
      <c r="T48" s="17" t="inlineStr">
        <is>
          <t>Biomass_Corn</t>
        </is>
      </c>
      <c r="U48" s="17" t="n">
        <v>0</v>
      </c>
      <c r="V48" s="17" t="n">
        <v>0.085342825</v>
      </c>
      <c r="W48" s="17" t="n">
        <v>3.104337995</v>
      </c>
      <c r="X48" s="17" t="n">
        <v>1.013397519</v>
      </c>
      <c r="Y48" s="17" t="n">
        <v>1.758866658</v>
      </c>
      <c r="Z48" s="17" t="n">
        <v>0.357687672</v>
      </c>
      <c r="AA48" s="17" t="n">
        <v>0.6860173939999999</v>
      </c>
      <c r="AB48" s="17" t="n">
        <v>0.152906423</v>
      </c>
      <c r="AC48" s="17" t="n">
        <v>0.032434696</v>
      </c>
      <c r="AD48" s="17" t="n">
        <v>45179.42</v>
      </c>
      <c r="AE48" s="17" t="n">
        <v>201481.25</v>
      </c>
      <c r="AF48" s="17" t="n">
        <v>-25.28</v>
      </c>
      <c r="AH48" s="15" t="n">
        <v>73.71884</v>
      </c>
      <c r="AI48" s="15" t="n">
        <v>-6.097314</v>
      </c>
      <c r="AJ48" s="15" t="n">
        <v>61.343403</v>
      </c>
      <c r="AK48" s="15" t="n">
        <v>33.004971</v>
      </c>
      <c r="AL48" s="15" t="n">
        <v>42.19561</v>
      </c>
      <c r="AM48" s="15" t="n">
        <v>155</v>
      </c>
      <c r="AN48" s="15" t="n">
        <v>22.90669</v>
      </c>
      <c r="AO48" s="15" t="n">
        <v>13.197062</v>
      </c>
      <c r="AP48" s="15" t="n">
        <v>14.953878</v>
      </c>
      <c r="AR48" s="1">
        <f>B48</f>
        <v/>
      </c>
      <c r="AS48" s="1">
        <f>C48</f>
        <v/>
      </c>
      <c r="AT48" s="11">
        <f>SUM(AW48:BI48)+BK48+BL48</f>
        <v/>
      </c>
      <c r="AU48" s="11">
        <f>SUM(AW48:BI48)+BN48+BO48</f>
        <v/>
      </c>
      <c r="AV48" s="5">
        <f>AT48-AU48</f>
        <v/>
      </c>
      <c r="AW48" s="5">
        <f>F48/L48*AO48</f>
        <v/>
      </c>
      <c r="AX48" s="1">
        <f>G48/L48*AN48</f>
        <v/>
      </c>
      <c r="AY48" s="1">
        <f>BS48</f>
        <v/>
      </c>
      <c r="AZ48" s="1">
        <f>H48/L48</f>
        <v/>
      </c>
      <c r="BA48" s="1">
        <f>BR48</f>
        <v/>
      </c>
      <c r="BB48" s="1">
        <f>BT48</f>
        <v/>
      </c>
      <c r="BC48" s="1">
        <f>BU48</f>
        <v/>
      </c>
      <c r="BD48" s="1">
        <f>O48/L48/(0.9*8760)</f>
        <v/>
      </c>
      <c r="BE48" s="1">
        <f>BV48</f>
        <v/>
      </c>
      <c r="BF48" s="1">
        <f>P48/L48/(0.9*8760)</f>
        <v/>
      </c>
      <c r="BG48" s="1">
        <f>BW48</f>
        <v/>
      </c>
      <c r="BH48" s="1">
        <f>Q48/L48</f>
        <v/>
      </c>
      <c r="BI48" s="1">
        <f>BX48</f>
        <v/>
      </c>
      <c r="BJ48" s="1">
        <f>(SUM(CK48:CP48)-CG48)/L48</f>
        <v/>
      </c>
      <c r="BK48" s="1">
        <f>((AH48+AI48)*-1*CL48)/L48</f>
        <v/>
      </c>
      <c r="BL48" s="1">
        <f>BJ48*AH48</f>
        <v/>
      </c>
      <c r="BM48" s="1">
        <f>(CK48+CM48+CN48+CO48+CP48-CG48)/L48</f>
        <v/>
      </c>
      <c r="BN48" s="1">
        <f>(CL48*AI48*-1)/L48</f>
        <v/>
      </c>
      <c r="BO48" s="1">
        <f>BM48*AH48</f>
        <v/>
      </c>
      <c r="BQ48" s="1">
        <f>S48</f>
        <v/>
      </c>
      <c r="BR48" s="1">
        <f>U48/W48/L48*AN48*-1</f>
        <v/>
      </c>
      <c r="BS48" s="1">
        <f>V48/W48/L48*AN48</f>
        <v/>
      </c>
      <c r="BT48" s="1">
        <f t="array" ref="BT48">_xlfn.IFS(T48="Biomass_Corn", 1/W48/L48*AM48, T48="Biomass_Agri", 1/W48/L48*AL48, T48="Biomass_Wood", 1/W48/L48*AK48, T48="Biomass_Herb", 1/W48/L48*AJ48)</f>
        <v/>
      </c>
      <c r="BU48" s="1">
        <f>X48/W48/L48*AP48</f>
        <v/>
      </c>
      <c r="BV48" s="1">
        <f>AD48/W48/L48/(0.9*8760)</f>
        <v/>
      </c>
      <c r="BW48" s="1">
        <f>AE48/W48/L48/(0.9*8760)</f>
        <v/>
      </c>
      <c r="BX48" s="1">
        <f>AF48/W48/L48</f>
        <v/>
      </c>
      <c r="BZ48" s="9" t="n">
        <v>0.2409589293</v>
      </c>
      <c r="CA48" s="9" t="n">
        <v>0.2418283623</v>
      </c>
      <c r="CB48" s="9" t="n">
        <v>0.2402551414</v>
      </c>
      <c r="CC48" s="17">
        <f>Y48</f>
        <v/>
      </c>
      <c r="CD48" s="10" t="n">
        <v>0.1828908353</v>
      </c>
      <c r="CE48" s="9" t="n">
        <v>0.23037491</v>
      </c>
      <c r="CG48" s="10">
        <f>CC48/W48</f>
        <v/>
      </c>
      <c r="CH48" s="10">
        <f>IF(X48=0, 0, CD48*X48/W48)</f>
        <v/>
      </c>
      <c r="CI48" s="10">
        <f>CE48</f>
        <v/>
      </c>
      <c r="CK48" s="17">
        <f>(AA48+AC48)/W48</f>
        <v/>
      </c>
      <c r="CL48" s="17">
        <f>(Z48+AB48)/W48</f>
        <v/>
      </c>
      <c r="CM48" s="10">
        <f>BZ48*I48</f>
        <v/>
      </c>
      <c r="CN48" s="10">
        <f>CA48*J48</f>
        <v/>
      </c>
      <c r="CO48" s="10">
        <f>CB48*K48</f>
        <v/>
      </c>
      <c r="CP48" s="10">
        <f>(N48)</f>
        <v/>
      </c>
      <c r="CR48" s="1">
        <f>SUM(CG48:CH48)-SUM(CK48:CP48)</f>
        <v/>
      </c>
    </row>
    <row r="49">
      <c r="B49" s="22" t="n"/>
      <c r="C49" s="23" t="n"/>
      <c r="D49" s="23" t="n">
        <v>6</v>
      </c>
      <c r="E49" s="23">
        <f>S49</f>
        <v/>
      </c>
      <c r="F49" s="22" t="n"/>
      <c r="G49" s="22" t="n"/>
      <c r="H49" s="22" t="n"/>
      <c r="I49" s="22" t="n"/>
      <c r="J49" s="22" t="n"/>
      <c r="K49" s="22" t="n"/>
      <c r="L49" s="28">
        <f>SUM(I49:K49)</f>
        <v/>
      </c>
      <c r="M49" s="22" t="n"/>
      <c r="N49" s="22" t="n"/>
      <c r="O49" s="22" t="n"/>
      <c r="P49" s="22" t="n"/>
      <c r="Q49" s="22" t="n"/>
      <c r="S49" s="17">
        <f t="array" ref="S49:AF49">_xlfn.XLOOKUP(D49, CT:CT, CU:DH)</f>
        <v/>
      </c>
      <c r="T49" s="17" t="inlineStr">
        <is>
          <t>Biomass_Corn</t>
        </is>
      </c>
      <c r="U49" s="17" t="n">
        <v>0</v>
      </c>
      <c r="V49" s="17" t="n">
        <v>0.085342825</v>
      </c>
      <c r="W49" s="17" t="n">
        <v>3.104337995</v>
      </c>
      <c r="X49" s="17" t="n">
        <v>1.013397519</v>
      </c>
      <c r="Y49" s="17" t="n">
        <v>1.758866658</v>
      </c>
      <c r="Z49" s="17" t="n">
        <v>0.357687672</v>
      </c>
      <c r="AA49" s="17" t="n">
        <v>0.6860173939999999</v>
      </c>
      <c r="AB49" s="17" t="n">
        <v>0.152906423</v>
      </c>
      <c r="AC49" s="17" t="n">
        <v>0.032434696</v>
      </c>
      <c r="AD49" s="17" t="n">
        <v>45179.42</v>
      </c>
      <c r="AE49" s="17" t="n">
        <v>201481.25</v>
      </c>
      <c r="AF49" s="17" t="n">
        <v>-25.28</v>
      </c>
      <c r="AH49" s="15" t="n">
        <v>73.71884</v>
      </c>
      <c r="AI49" s="15" t="n">
        <v>-6.097314</v>
      </c>
      <c r="AJ49" s="15" t="n">
        <v>61.343403</v>
      </c>
      <c r="AK49" s="15" t="n">
        <v>33.004971</v>
      </c>
      <c r="AL49" s="15" t="n">
        <v>42.19561</v>
      </c>
      <c r="AM49" s="15" t="n">
        <v>155</v>
      </c>
      <c r="AN49" s="15" t="n">
        <v>22.90669</v>
      </c>
      <c r="AO49" s="15" t="n">
        <v>13.197062</v>
      </c>
      <c r="AP49" s="15" t="n">
        <v>14.953878</v>
      </c>
      <c r="AR49" s="1">
        <f>B49</f>
        <v/>
      </c>
      <c r="AS49" s="1">
        <f>C49</f>
        <v/>
      </c>
      <c r="AT49" s="11">
        <f>SUM(AW49:BI49)+BK49+BL49</f>
        <v/>
      </c>
      <c r="AU49" s="11">
        <f>SUM(AW49:BI49)+BN49+BO49</f>
        <v/>
      </c>
      <c r="AV49" s="5">
        <f>AT49-AU49</f>
        <v/>
      </c>
      <c r="AW49" s="5">
        <f>F49/L49*AO49</f>
        <v/>
      </c>
      <c r="AX49" s="1">
        <f>G49/L49*AN49</f>
        <v/>
      </c>
      <c r="AY49" s="1">
        <f>BS49</f>
        <v/>
      </c>
      <c r="AZ49" s="1">
        <f>H49/L49</f>
        <v/>
      </c>
      <c r="BA49" s="1">
        <f>BR49</f>
        <v/>
      </c>
      <c r="BB49" s="1">
        <f>BT49</f>
        <v/>
      </c>
      <c r="BC49" s="1">
        <f>BU49</f>
        <v/>
      </c>
      <c r="BD49" s="1">
        <f>O49/L49/(0.9*8760)</f>
        <v/>
      </c>
      <c r="BE49" s="1">
        <f>BV49</f>
        <v/>
      </c>
      <c r="BF49" s="1">
        <f>P49/L49/(0.9*8760)</f>
        <v/>
      </c>
      <c r="BG49" s="1">
        <f>BW49</f>
        <v/>
      </c>
      <c r="BH49" s="1">
        <f>Q49/L49</f>
        <v/>
      </c>
      <c r="BI49" s="1">
        <f>BX49</f>
        <v/>
      </c>
      <c r="BJ49" s="1">
        <f>(SUM(CK49:CP49)-CG49)/L49</f>
        <v/>
      </c>
      <c r="BK49" s="1">
        <f>((AH49+AI49)*-1*CL49)/L49</f>
        <v/>
      </c>
      <c r="BL49" s="1">
        <f>BJ49*AH49</f>
        <v/>
      </c>
      <c r="BM49" s="1">
        <f>(CK49+CM49+CN49+CO49+CP49-CG49)/L49</f>
        <v/>
      </c>
      <c r="BN49" s="1">
        <f>(CL49*AI49*-1)/L49</f>
        <v/>
      </c>
      <c r="BO49" s="1">
        <f>BM49*AH49</f>
        <v/>
      </c>
      <c r="BQ49" s="1">
        <f>S49</f>
        <v/>
      </c>
      <c r="BR49" s="1">
        <f>U49/W49/L49*AN49*-1</f>
        <v/>
      </c>
      <c r="BS49" s="1">
        <f>V49/W49/L49*AN49</f>
        <v/>
      </c>
      <c r="BT49" s="1">
        <f t="array" ref="BT49">_xlfn.IFS(T49="Biomass_Corn", 1/W49/L49*AM49, T49="Biomass_Agri", 1/W49/L49*AL49, T49="Biomass_Wood", 1/W49/L49*AK49, T49="Biomass_Herb", 1/W49/L49*AJ49)</f>
        <v/>
      </c>
      <c r="BU49" s="1">
        <f>X49/W49/L49*AP49</f>
        <v/>
      </c>
      <c r="BV49" s="1">
        <f>AD49/W49/L49/(0.9*8760)</f>
        <v/>
      </c>
      <c r="BW49" s="1">
        <f>AE49/W49/L49/(0.9*8760)</f>
        <v/>
      </c>
      <c r="BX49" s="1">
        <f>AF49/W49/L49</f>
        <v/>
      </c>
      <c r="BZ49" s="9" t="n">
        <v>0.2409589293</v>
      </c>
      <c r="CA49" s="9" t="n">
        <v>0.2418283623</v>
      </c>
      <c r="CB49" s="9" t="n">
        <v>0.2402551414</v>
      </c>
      <c r="CC49" s="17">
        <f>Y49</f>
        <v/>
      </c>
      <c r="CD49" s="10" t="n">
        <v>0.1828908353</v>
      </c>
      <c r="CE49" s="9" t="n">
        <v>0.23037491</v>
      </c>
      <c r="CG49" s="10">
        <f>CC49/W49</f>
        <v/>
      </c>
      <c r="CH49" s="10">
        <f>IF(X49=0, 0, CD49*X49/W49)</f>
        <v/>
      </c>
      <c r="CI49" s="10">
        <f>CE49</f>
        <v/>
      </c>
      <c r="CK49" s="17">
        <f>(AA49+AC49)/W49</f>
        <v/>
      </c>
      <c r="CL49" s="17">
        <f>(Z49+AB49)/W49</f>
        <v/>
      </c>
      <c r="CM49" s="10">
        <f>BZ49*I49</f>
        <v/>
      </c>
      <c r="CN49" s="10">
        <f>CA49*J49</f>
        <v/>
      </c>
      <c r="CO49" s="10">
        <f>CB49*K49</f>
        <v/>
      </c>
      <c r="CP49" s="10">
        <f>(N49)</f>
        <v/>
      </c>
      <c r="CR49" s="1">
        <f>SUM(CG49:CH49)-SUM(CK49:CP49)</f>
        <v/>
      </c>
    </row>
    <row r="50">
      <c r="B50" s="22" t="n"/>
      <c r="C50" s="23" t="n"/>
      <c r="D50" s="23" t="n">
        <v>6</v>
      </c>
      <c r="E50" s="23">
        <f>S50</f>
        <v/>
      </c>
      <c r="F50" s="22" t="n"/>
      <c r="G50" s="22" t="n"/>
      <c r="H50" s="22" t="n"/>
      <c r="I50" s="22" t="n"/>
      <c r="J50" s="22" t="n"/>
      <c r="K50" s="22" t="n"/>
      <c r="L50" s="28">
        <f>SUM(I50:K50)</f>
        <v/>
      </c>
      <c r="M50" s="22" t="n"/>
      <c r="N50" s="22" t="n"/>
      <c r="O50" s="22" t="n"/>
      <c r="P50" s="22" t="n"/>
      <c r="Q50" s="22" t="n"/>
      <c r="S50" s="17">
        <f t="array" ref="S50:AF50">_xlfn.XLOOKUP(D50, CT:CT, CU:DH)</f>
        <v/>
      </c>
      <c r="T50" s="17" t="inlineStr">
        <is>
          <t>Biomass_Corn</t>
        </is>
      </c>
      <c r="U50" s="17" t="n">
        <v>0</v>
      </c>
      <c r="V50" s="17" t="n">
        <v>0.085342825</v>
      </c>
      <c r="W50" s="17" t="n">
        <v>3.104337995</v>
      </c>
      <c r="X50" s="17" t="n">
        <v>1.013397519</v>
      </c>
      <c r="Y50" s="17" t="n">
        <v>1.758866658</v>
      </c>
      <c r="Z50" s="17" t="n">
        <v>0.357687672</v>
      </c>
      <c r="AA50" s="17" t="n">
        <v>0.6860173939999999</v>
      </c>
      <c r="AB50" s="17" t="n">
        <v>0.152906423</v>
      </c>
      <c r="AC50" s="17" t="n">
        <v>0.032434696</v>
      </c>
      <c r="AD50" s="17" t="n">
        <v>45179.42</v>
      </c>
      <c r="AE50" s="17" t="n">
        <v>201481.25</v>
      </c>
      <c r="AF50" s="17" t="n">
        <v>-25.28</v>
      </c>
      <c r="AH50" s="15" t="n">
        <v>73.71884</v>
      </c>
      <c r="AI50" s="15" t="n">
        <v>-6.097314</v>
      </c>
      <c r="AJ50" s="15" t="n">
        <v>61.343403</v>
      </c>
      <c r="AK50" s="15" t="n">
        <v>33.004971</v>
      </c>
      <c r="AL50" s="15" t="n">
        <v>42.19561</v>
      </c>
      <c r="AM50" s="15" t="n">
        <v>155</v>
      </c>
      <c r="AN50" s="15" t="n">
        <v>22.90669</v>
      </c>
      <c r="AO50" s="15" t="n">
        <v>13.197062</v>
      </c>
      <c r="AP50" s="15" t="n">
        <v>14.953878</v>
      </c>
      <c r="AR50" s="1">
        <f>B50</f>
        <v/>
      </c>
      <c r="AS50" s="1">
        <f>C50</f>
        <v/>
      </c>
      <c r="AT50" s="11">
        <f>SUM(AW50:BI50)+BK50+BL50</f>
        <v/>
      </c>
      <c r="AU50" s="11">
        <f>SUM(AW50:BI50)+BN50+BO50</f>
        <v/>
      </c>
      <c r="AV50" s="5">
        <f>AT50-AU50</f>
        <v/>
      </c>
      <c r="AW50" s="5">
        <f>F50/L50*AO50</f>
        <v/>
      </c>
      <c r="AX50" s="1">
        <f>G50/L50*AN50</f>
        <v/>
      </c>
      <c r="AY50" s="1">
        <f>BS50</f>
        <v/>
      </c>
      <c r="AZ50" s="1">
        <f>H50/L50</f>
        <v/>
      </c>
      <c r="BA50" s="1">
        <f>BR50</f>
        <v/>
      </c>
      <c r="BB50" s="1">
        <f>BT50</f>
        <v/>
      </c>
      <c r="BC50" s="1">
        <f>BU50</f>
        <v/>
      </c>
      <c r="BD50" s="1">
        <f>O50/L50/(0.9*8760)</f>
        <v/>
      </c>
      <c r="BE50" s="1">
        <f>BV50</f>
        <v/>
      </c>
      <c r="BF50" s="1">
        <f>P50/L50/(0.9*8760)</f>
        <v/>
      </c>
      <c r="BG50" s="1">
        <f>BW50</f>
        <v/>
      </c>
      <c r="BH50" s="1">
        <f>Q50/L50</f>
        <v/>
      </c>
      <c r="BI50" s="1">
        <f>BX50</f>
        <v/>
      </c>
      <c r="BJ50" s="1">
        <f>(SUM(CK50:CP50)-CG50)/L50</f>
        <v/>
      </c>
      <c r="BK50" s="1">
        <f>((AH50+AI50)*-1*CL50)/L50</f>
        <v/>
      </c>
      <c r="BL50" s="1">
        <f>BJ50*AH50</f>
        <v/>
      </c>
      <c r="BM50" s="1">
        <f>(CK50+CM50+CN50+CO50+CP50-CG50)/L50</f>
        <v/>
      </c>
      <c r="BN50" s="1">
        <f>(CL50*AI50*-1)/L50</f>
        <v/>
      </c>
      <c r="BO50" s="1">
        <f>BM50*AH50</f>
        <v/>
      </c>
      <c r="BQ50" s="1">
        <f>S50</f>
        <v/>
      </c>
      <c r="BR50" s="1">
        <f>U50/W50/L50*AN50*-1</f>
        <v/>
      </c>
      <c r="BS50" s="1">
        <f>V50/W50/L50*AN50</f>
        <v/>
      </c>
      <c r="BT50" s="1">
        <f t="array" ref="BT50">_xlfn.IFS(T50="Biomass_Corn", 1/W50/L50*AM50, T50="Biomass_Agri", 1/W50/L50*AL50, T50="Biomass_Wood", 1/W50/L50*AK50, T50="Biomass_Herb", 1/W50/L50*AJ50)</f>
        <v/>
      </c>
      <c r="BU50" s="1">
        <f>X50/W50/L50*AP50</f>
        <v/>
      </c>
      <c r="BV50" s="1">
        <f>AD50/W50/L50/(0.9*8760)</f>
        <v/>
      </c>
      <c r="BW50" s="1">
        <f>AE50/W50/L50/(0.9*8760)</f>
        <v/>
      </c>
      <c r="BX50" s="1">
        <f>AF50/W50/L50</f>
        <v/>
      </c>
      <c r="BZ50" s="9" t="n">
        <v>0.2409589293</v>
      </c>
      <c r="CA50" s="9" t="n">
        <v>0.2418283623</v>
      </c>
      <c r="CB50" s="9" t="n">
        <v>0.2402551414</v>
      </c>
      <c r="CC50" s="17">
        <f>Y50</f>
        <v/>
      </c>
      <c r="CD50" s="10" t="n">
        <v>0.1828908353</v>
      </c>
      <c r="CE50" s="9" t="n">
        <v>0.23037491</v>
      </c>
      <c r="CG50" s="10">
        <f>CC50/W50</f>
        <v/>
      </c>
      <c r="CH50" s="10">
        <f>IF(X50=0, 0, CD50*X50/W50)</f>
        <v/>
      </c>
      <c r="CI50" s="10">
        <f>CE50</f>
        <v/>
      </c>
      <c r="CK50" s="17">
        <f>(AA50+AC50)/W50</f>
        <v/>
      </c>
      <c r="CL50" s="17">
        <f>(Z50+AB50)/W50</f>
        <v/>
      </c>
      <c r="CM50" s="10">
        <f>BZ50*I50</f>
        <v/>
      </c>
      <c r="CN50" s="10">
        <f>CA50*J50</f>
        <v/>
      </c>
      <c r="CO50" s="10">
        <f>CB50*K50</f>
        <v/>
      </c>
      <c r="CP50" s="10">
        <f>(N50)</f>
        <v/>
      </c>
      <c r="CR50" s="1">
        <f>SUM(CG50:CH50)-SUM(CK50:CP50)</f>
        <v/>
      </c>
    </row>
    <row r="51">
      <c r="B51" s="22" t="n"/>
      <c r="C51" s="23" t="n"/>
      <c r="D51" s="23" t="n">
        <v>6</v>
      </c>
      <c r="E51" s="23">
        <f>S51</f>
        <v/>
      </c>
      <c r="F51" s="22" t="n"/>
      <c r="G51" s="22" t="n"/>
      <c r="H51" s="22" t="n"/>
      <c r="I51" s="22" t="n"/>
      <c r="J51" s="22" t="n"/>
      <c r="K51" s="22" t="n"/>
      <c r="L51" s="28">
        <f>SUM(I51:K51)</f>
        <v/>
      </c>
      <c r="M51" s="22" t="n"/>
      <c r="N51" s="22" t="n"/>
      <c r="O51" s="22" t="n"/>
      <c r="P51" s="22" t="n"/>
      <c r="Q51" s="22" t="n"/>
      <c r="S51" s="17">
        <f t="array" ref="S51:AF51">_xlfn.XLOOKUP(D51, CT:CT, CU:DH)</f>
        <v/>
      </c>
      <c r="T51" s="17" t="inlineStr">
        <is>
          <t>Biomass_Corn</t>
        </is>
      </c>
      <c r="U51" s="17" t="n">
        <v>0</v>
      </c>
      <c r="V51" s="17" t="n">
        <v>0.085342825</v>
      </c>
      <c r="W51" s="17" t="n">
        <v>3.104337995</v>
      </c>
      <c r="X51" s="17" t="n">
        <v>1.013397519</v>
      </c>
      <c r="Y51" s="17" t="n">
        <v>1.758866658</v>
      </c>
      <c r="Z51" s="17" t="n">
        <v>0.357687672</v>
      </c>
      <c r="AA51" s="17" t="n">
        <v>0.6860173939999999</v>
      </c>
      <c r="AB51" s="17" t="n">
        <v>0.152906423</v>
      </c>
      <c r="AC51" s="17" t="n">
        <v>0.032434696</v>
      </c>
      <c r="AD51" s="17" t="n">
        <v>45179.42</v>
      </c>
      <c r="AE51" s="17" t="n">
        <v>201481.25</v>
      </c>
      <c r="AF51" s="17" t="n">
        <v>-25.28</v>
      </c>
      <c r="AH51" s="15" t="n">
        <v>73.71884</v>
      </c>
      <c r="AI51" s="15" t="n">
        <v>-6.097314</v>
      </c>
      <c r="AJ51" s="15" t="n">
        <v>61.343403</v>
      </c>
      <c r="AK51" s="15" t="n">
        <v>33.004971</v>
      </c>
      <c r="AL51" s="15" t="n">
        <v>42.19561</v>
      </c>
      <c r="AM51" s="15" t="n">
        <v>155</v>
      </c>
      <c r="AN51" s="15" t="n">
        <v>22.90669</v>
      </c>
      <c r="AO51" s="15" t="n">
        <v>13.197062</v>
      </c>
      <c r="AP51" s="15" t="n">
        <v>14.953878</v>
      </c>
      <c r="AR51" s="1">
        <f>B51</f>
        <v/>
      </c>
      <c r="AS51" s="1">
        <f>C51</f>
        <v/>
      </c>
      <c r="AT51" s="11">
        <f>SUM(AW51:BI51)+BK51+BL51</f>
        <v/>
      </c>
      <c r="AU51" s="11">
        <f>SUM(AW51:BI51)+BN51+BO51</f>
        <v/>
      </c>
      <c r="AV51" s="5">
        <f>AT51-AU51</f>
        <v/>
      </c>
      <c r="AW51" s="5">
        <f>F51/L51*AO51</f>
        <v/>
      </c>
      <c r="AX51" s="1">
        <f>G51/L51*AN51</f>
        <v/>
      </c>
      <c r="AY51" s="1">
        <f>BS51</f>
        <v/>
      </c>
      <c r="AZ51" s="1">
        <f>H51/L51</f>
        <v/>
      </c>
      <c r="BA51" s="1">
        <f>BR51</f>
        <v/>
      </c>
      <c r="BB51" s="1">
        <f>BT51</f>
        <v/>
      </c>
      <c r="BC51" s="1">
        <f>BU51</f>
        <v/>
      </c>
      <c r="BD51" s="1">
        <f>O51/L51/(0.9*8760)</f>
        <v/>
      </c>
      <c r="BE51" s="1">
        <f>BV51</f>
        <v/>
      </c>
      <c r="BF51" s="1">
        <f>P51/L51/(0.9*8760)</f>
        <v/>
      </c>
      <c r="BG51" s="1">
        <f>BW51</f>
        <v/>
      </c>
      <c r="BH51" s="1">
        <f>Q51/L51</f>
        <v/>
      </c>
      <c r="BI51" s="1">
        <f>BX51</f>
        <v/>
      </c>
      <c r="BJ51" s="1">
        <f>(SUM(CK51:CP51)-CG51)/L51</f>
        <v/>
      </c>
      <c r="BK51" s="1">
        <f>((AH51+AI51)*-1*CL51)/L51</f>
        <v/>
      </c>
      <c r="BL51" s="1">
        <f>BJ51*AH51</f>
        <v/>
      </c>
      <c r="BM51" s="1">
        <f>(CK51+CM51+CN51+CO51+CP51-CG51)/L51</f>
        <v/>
      </c>
      <c r="BN51" s="1">
        <f>(CL51*AI51*-1)/L51</f>
        <v/>
      </c>
      <c r="BO51" s="1">
        <f>BM51*AH51</f>
        <v/>
      </c>
      <c r="BQ51" s="1">
        <f>S51</f>
        <v/>
      </c>
      <c r="BR51" s="1">
        <f>U51/W51/L51*AN51*-1</f>
        <v/>
      </c>
      <c r="BS51" s="1">
        <f>V51/W51/L51*AN51</f>
        <v/>
      </c>
      <c r="BT51" s="1">
        <f t="array" ref="BT51">_xlfn.IFS(T51="Biomass_Corn", 1/W51/L51*AM51, T51="Biomass_Agri", 1/W51/L51*AL51, T51="Biomass_Wood", 1/W51/L51*AK51, T51="Biomass_Herb", 1/W51/L51*AJ51)</f>
        <v/>
      </c>
      <c r="BU51" s="1">
        <f>X51/W51/L51*AP51</f>
        <v/>
      </c>
      <c r="BV51" s="1">
        <f>AD51/W51/L51/(0.9*8760)</f>
        <v/>
      </c>
      <c r="BW51" s="1">
        <f>AE51/W51/L51/(0.9*8760)</f>
        <v/>
      </c>
      <c r="BX51" s="1">
        <f>AF51/W51/L51</f>
        <v/>
      </c>
      <c r="BZ51" s="9" t="n">
        <v>0.2409589293</v>
      </c>
      <c r="CA51" s="9" t="n">
        <v>0.2418283623</v>
      </c>
      <c r="CB51" s="9" t="n">
        <v>0.2402551414</v>
      </c>
      <c r="CC51" s="17">
        <f>Y51</f>
        <v/>
      </c>
      <c r="CD51" s="10" t="n">
        <v>0.1828908353</v>
      </c>
      <c r="CE51" s="9" t="n">
        <v>0.23037491</v>
      </c>
      <c r="CG51" s="10">
        <f>CC51/W51</f>
        <v/>
      </c>
      <c r="CH51" s="10">
        <f>IF(X51=0, 0, CD51*X51/W51)</f>
        <v/>
      </c>
      <c r="CI51" s="10">
        <f>CE51</f>
        <v/>
      </c>
      <c r="CK51" s="17">
        <f>(AA51+AC51)/W51</f>
        <v/>
      </c>
      <c r="CL51" s="17">
        <f>(Z51+AB51)/W51</f>
        <v/>
      </c>
      <c r="CM51" s="10">
        <f>BZ51*I51</f>
        <v/>
      </c>
      <c r="CN51" s="10">
        <f>CA51*J51</f>
        <v/>
      </c>
      <c r="CO51" s="10">
        <f>CB51*K51</f>
        <v/>
      </c>
      <c r="CP51" s="10">
        <f>(N51)</f>
        <v/>
      </c>
      <c r="CR51" s="1">
        <f>SUM(CG51:CH51)-SUM(CK51:CP51)</f>
        <v/>
      </c>
    </row>
    <row r="52">
      <c r="B52" s="22" t="n"/>
      <c r="C52" s="23" t="n"/>
      <c r="D52" s="23" t="n">
        <v>6</v>
      </c>
      <c r="E52" s="23">
        <f>S52</f>
        <v/>
      </c>
      <c r="F52" s="22" t="n"/>
      <c r="G52" s="22" t="n"/>
      <c r="H52" s="22" t="n"/>
      <c r="I52" s="22" t="n"/>
      <c r="J52" s="22" t="n"/>
      <c r="K52" s="22" t="n"/>
      <c r="L52" s="28">
        <f>SUM(I52:K52)</f>
        <v/>
      </c>
      <c r="M52" s="22" t="n"/>
      <c r="N52" s="22" t="n"/>
      <c r="O52" s="22" t="n"/>
      <c r="P52" s="22" t="n"/>
      <c r="Q52" s="22" t="n"/>
      <c r="S52" s="17">
        <f t="array" ref="S52:AF52">_xlfn.XLOOKUP(D52, CT:CT, CU:DH)</f>
        <v/>
      </c>
      <c r="T52" s="17" t="inlineStr">
        <is>
          <t>Biomass_Corn</t>
        </is>
      </c>
      <c r="U52" s="17" t="n">
        <v>0</v>
      </c>
      <c r="V52" s="17" t="n">
        <v>0.085342825</v>
      </c>
      <c r="W52" s="17" t="n">
        <v>3.104337995</v>
      </c>
      <c r="X52" s="17" t="n">
        <v>1.013397519</v>
      </c>
      <c r="Y52" s="17" t="n">
        <v>1.758866658</v>
      </c>
      <c r="Z52" s="17" t="n">
        <v>0.357687672</v>
      </c>
      <c r="AA52" s="17" t="n">
        <v>0.6860173939999999</v>
      </c>
      <c r="AB52" s="17" t="n">
        <v>0.152906423</v>
      </c>
      <c r="AC52" s="17" t="n">
        <v>0.032434696</v>
      </c>
      <c r="AD52" s="17" t="n">
        <v>45179.42</v>
      </c>
      <c r="AE52" s="17" t="n">
        <v>201481.25</v>
      </c>
      <c r="AF52" s="17" t="n">
        <v>-25.28</v>
      </c>
      <c r="AH52" s="15" t="n">
        <v>73.71884</v>
      </c>
      <c r="AI52" s="15" t="n">
        <v>-6.097314</v>
      </c>
      <c r="AJ52" s="15" t="n">
        <v>61.343403</v>
      </c>
      <c r="AK52" s="15" t="n">
        <v>33.004971</v>
      </c>
      <c r="AL52" s="15" t="n">
        <v>42.19561</v>
      </c>
      <c r="AM52" s="15" t="n">
        <v>155</v>
      </c>
      <c r="AN52" s="15" t="n">
        <v>22.90669</v>
      </c>
      <c r="AO52" s="15" t="n">
        <v>13.197062</v>
      </c>
      <c r="AP52" s="15" t="n">
        <v>14.953878</v>
      </c>
      <c r="AR52" s="1">
        <f>B52</f>
        <v/>
      </c>
      <c r="AS52" s="1">
        <f>C52</f>
        <v/>
      </c>
      <c r="AT52" s="11">
        <f>SUM(AW52:BI52)+BK52+BL52</f>
        <v/>
      </c>
      <c r="AU52" s="11">
        <f>SUM(AW52:BI52)+BN52+BO52</f>
        <v/>
      </c>
      <c r="AV52" s="5">
        <f>AT52-AU52</f>
        <v/>
      </c>
      <c r="AW52" s="5">
        <f>F52/L52*AO52</f>
        <v/>
      </c>
      <c r="AX52" s="1">
        <f>G52/L52*AN52</f>
        <v/>
      </c>
      <c r="AY52" s="1">
        <f>BS52</f>
        <v/>
      </c>
      <c r="AZ52" s="1">
        <f>H52/L52</f>
        <v/>
      </c>
      <c r="BA52" s="1">
        <f>BR52</f>
        <v/>
      </c>
      <c r="BB52" s="1">
        <f>BT52</f>
        <v/>
      </c>
      <c r="BC52" s="1">
        <f>BU52</f>
        <v/>
      </c>
      <c r="BD52" s="1">
        <f>O52/L52/(0.9*8760)</f>
        <v/>
      </c>
      <c r="BE52" s="1">
        <f>BV52</f>
        <v/>
      </c>
      <c r="BF52" s="1">
        <f>P52/L52/(0.9*8760)</f>
        <v/>
      </c>
      <c r="BG52" s="1">
        <f>BW52</f>
        <v/>
      </c>
      <c r="BH52" s="1">
        <f>Q52/L52</f>
        <v/>
      </c>
      <c r="BI52" s="1">
        <f>BX52</f>
        <v/>
      </c>
      <c r="BJ52" s="1">
        <f>(SUM(CK52:CP52)-CG52)/L52</f>
        <v/>
      </c>
      <c r="BK52" s="1">
        <f>((AH52+AI52)*-1*CL52)/L52</f>
        <v/>
      </c>
      <c r="BL52" s="1">
        <f>BJ52*AH52</f>
        <v/>
      </c>
      <c r="BM52" s="1">
        <f>(CK52+CM52+CN52+CO52+CP52-CG52)/L52</f>
        <v/>
      </c>
      <c r="BN52" s="1">
        <f>(CL52*AI52*-1)/L52</f>
        <v/>
      </c>
      <c r="BO52" s="1">
        <f>BM52*AH52</f>
        <v/>
      </c>
      <c r="BQ52" s="1">
        <f>S52</f>
        <v/>
      </c>
      <c r="BR52" s="1">
        <f>U52/W52/L52*AN52*-1</f>
        <v/>
      </c>
      <c r="BS52" s="1">
        <f>V52/W52/L52*AN52</f>
        <v/>
      </c>
      <c r="BT52" s="1">
        <f t="array" ref="BT52">_xlfn.IFS(T52="Biomass_Corn", 1/W52/L52*AM52, T52="Biomass_Agri", 1/W52/L52*AL52, T52="Biomass_Wood", 1/W52/L52*AK52, T52="Biomass_Herb", 1/W52/L52*AJ52)</f>
        <v/>
      </c>
      <c r="BU52" s="1">
        <f>X52/W52/L52*AP52</f>
        <v/>
      </c>
      <c r="BV52" s="1">
        <f>AD52/W52/L52/(0.9*8760)</f>
        <v/>
      </c>
      <c r="BW52" s="1">
        <f>AE52/W52/L52/(0.9*8760)</f>
        <v/>
      </c>
      <c r="BX52" s="1">
        <f>AF52/W52/L52</f>
        <v/>
      </c>
      <c r="BZ52" s="9" t="n">
        <v>0.2409589293</v>
      </c>
      <c r="CA52" s="9" t="n">
        <v>0.2418283623</v>
      </c>
      <c r="CB52" s="9" t="n">
        <v>0.2402551414</v>
      </c>
      <c r="CC52" s="17">
        <f>Y52</f>
        <v/>
      </c>
      <c r="CD52" s="10" t="n">
        <v>0.1828908353</v>
      </c>
      <c r="CE52" s="9" t="n">
        <v>0.23037491</v>
      </c>
      <c r="CG52" s="10">
        <f>CC52/W52</f>
        <v/>
      </c>
      <c r="CH52" s="10">
        <f>IF(X52=0, 0, CD52*X52/W52)</f>
        <v/>
      </c>
      <c r="CI52" s="10">
        <f>CE52</f>
        <v/>
      </c>
      <c r="CK52" s="17">
        <f>(AA52+AC52)/W52</f>
        <v/>
      </c>
      <c r="CL52" s="17">
        <f>(Z52+AB52)/W52</f>
        <v/>
      </c>
      <c r="CM52" s="10">
        <f>BZ52*I52</f>
        <v/>
      </c>
      <c r="CN52" s="10">
        <f>CA52*J52</f>
        <v/>
      </c>
      <c r="CO52" s="10">
        <f>CB52*K52</f>
        <v/>
      </c>
      <c r="CP52" s="10">
        <f>(N52)</f>
        <v/>
      </c>
      <c r="CR52" s="1">
        <f>SUM(CG52:CH52)-SUM(CK52:CP52)</f>
        <v/>
      </c>
    </row>
    <row r="53">
      <c r="B53" s="22" t="n"/>
      <c r="C53" s="23" t="n"/>
      <c r="D53" s="23" t="n">
        <v>6</v>
      </c>
      <c r="E53" s="23">
        <f>S53</f>
        <v/>
      </c>
      <c r="F53" s="22" t="n"/>
      <c r="G53" s="22" t="n"/>
      <c r="H53" s="22" t="n"/>
      <c r="I53" s="22" t="n"/>
      <c r="J53" s="22" t="n"/>
      <c r="K53" s="22" t="n"/>
      <c r="L53" s="28">
        <f>SUM(I53:K53)</f>
        <v/>
      </c>
      <c r="M53" s="22" t="n"/>
      <c r="N53" s="22" t="n"/>
      <c r="O53" s="22" t="n"/>
      <c r="P53" s="22" t="n"/>
      <c r="Q53" s="22" t="n"/>
      <c r="S53" s="17">
        <f t="array" ref="S53:AF53">_xlfn.XLOOKUP(D53, CT:CT, CU:DH)</f>
        <v/>
      </c>
      <c r="T53" s="17" t="inlineStr">
        <is>
          <t>Biomass_Corn</t>
        </is>
      </c>
      <c r="U53" s="17" t="n">
        <v>0</v>
      </c>
      <c r="V53" s="17" t="n">
        <v>0.085342825</v>
      </c>
      <c r="W53" s="17" t="n">
        <v>3.104337995</v>
      </c>
      <c r="X53" s="17" t="n">
        <v>1.013397519</v>
      </c>
      <c r="Y53" s="17" t="n">
        <v>1.758866658</v>
      </c>
      <c r="Z53" s="17" t="n">
        <v>0.357687672</v>
      </c>
      <c r="AA53" s="17" t="n">
        <v>0.6860173939999999</v>
      </c>
      <c r="AB53" s="17" t="n">
        <v>0.152906423</v>
      </c>
      <c r="AC53" s="17" t="n">
        <v>0.032434696</v>
      </c>
      <c r="AD53" s="17" t="n">
        <v>45179.42</v>
      </c>
      <c r="AE53" s="17" t="n">
        <v>201481.25</v>
      </c>
      <c r="AF53" s="17" t="n">
        <v>-25.28</v>
      </c>
      <c r="AH53" s="15" t="n">
        <v>73.71884</v>
      </c>
      <c r="AI53" s="15" t="n">
        <v>-6.097314</v>
      </c>
      <c r="AJ53" s="15" t="n">
        <v>61.343403</v>
      </c>
      <c r="AK53" s="15" t="n">
        <v>33.004971</v>
      </c>
      <c r="AL53" s="15" t="n">
        <v>42.19561</v>
      </c>
      <c r="AM53" s="15" t="n">
        <v>155</v>
      </c>
      <c r="AN53" s="15" t="n">
        <v>22.90669</v>
      </c>
      <c r="AO53" s="15" t="n">
        <v>13.197062</v>
      </c>
      <c r="AP53" s="15" t="n">
        <v>14.953878</v>
      </c>
      <c r="AR53" s="1">
        <f>B53</f>
        <v/>
      </c>
      <c r="AS53" s="1">
        <f>C53</f>
        <v/>
      </c>
      <c r="AT53" s="11">
        <f>SUM(AW53:BI53)+BK53+BL53</f>
        <v/>
      </c>
      <c r="AU53" s="11">
        <f>SUM(AW53:BI53)+BN53+BO53</f>
        <v/>
      </c>
      <c r="AV53" s="5">
        <f>AT53-AU53</f>
        <v/>
      </c>
      <c r="AW53" s="5">
        <f>F53/L53*AO53</f>
        <v/>
      </c>
      <c r="AX53" s="1">
        <f>G53/L53*AN53</f>
        <v/>
      </c>
      <c r="AY53" s="1">
        <f>BS53</f>
        <v/>
      </c>
      <c r="AZ53" s="1">
        <f>H53/L53</f>
        <v/>
      </c>
      <c r="BA53" s="1">
        <f>BR53</f>
        <v/>
      </c>
      <c r="BB53" s="1">
        <f>BT53</f>
        <v/>
      </c>
      <c r="BC53" s="1">
        <f>BU53</f>
        <v/>
      </c>
      <c r="BD53" s="1">
        <f>O53/L53/(0.9*8760)</f>
        <v/>
      </c>
      <c r="BE53" s="1">
        <f>BV53</f>
        <v/>
      </c>
      <c r="BF53" s="1">
        <f>P53/L53/(0.9*8760)</f>
        <v/>
      </c>
      <c r="BG53" s="1">
        <f>BW53</f>
        <v/>
      </c>
      <c r="BH53" s="1">
        <f>Q53/L53</f>
        <v/>
      </c>
      <c r="BI53" s="1">
        <f>BX53</f>
        <v/>
      </c>
      <c r="BJ53" s="1">
        <f>(SUM(CK53:CP53)-CG53)/L53</f>
        <v/>
      </c>
      <c r="BK53" s="1">
        <f>((AH53+AI53)*-1*CL53)/L53</f>
        <v/>
      </c>
      <c r="BL53" s="1">
        <f>BJ53*AH53</f>
        <v/>
      </c>
      <c r="BM53" s="1">
        <f>(CK53+CM53+CN53+CO53+CP53-CG53)/L53</f>
        <v/>
      </c>
      <c r="BN53" s="1">
        <f>(CL53*AI53*-1)/L53</f>
        <v/>
      </c>
      <c r="BO53" s="1">
        <f>BM53*AH53</f>
        <v/>
      </c>
      <c r="BQ53" s="1">
        <f>S53</f>
        <v/>
      </c>
      <c r="BR53" s="1">
        <f>U53/W53/L53*AN53*-1</f>
        <v/>
      </c>
      <c r="BS53" s="1">
        <f>V53/W53/L53*AN53</f>
        <v/>
      </c>
      <c r="BT53" s="1">
        <f t="array" ref="BT53">_xlfn.IFS(T53="Biomass_Corn", 1/W53/L53*AM53, T53="Biomass_Agri", 1/W53/L53*AL53, T53="Biomass_Wood", 1/W53/L53*AK53, T53="Biomass_Herb", 1/W53/L53*AJ53)</f>
        <v/>
      </c>
      <c r="BU53" s="1">
        <f>X53/W53/L53*AP53</f>
        <v/>
      </c>
      <c r="BV53" s="1">
        <f>AD53/W53/L53/(0.9*8760)</f>
        <v/>
      </c>
      <c r="BW53" s="1">
        <f>AE53/W53/L53/(0.9*8760)</f>
        <v/>
      </c>
      <c r="BX53" s="1">
        <f>AF53/W53/L53</f>
        <v/>
      </c>
      <c r="BZ53" s="9" t="n">
        <v>0.2409589293</v>
      </c>
      <c r="CA53" s="9" t="n">
        <v>0.2418283623</v>
      </c>
      <c r="CB53" s="9" t="n">
        <v>0.2402551414</v>
      </c>
      <c r="CC53" s="17">
        <f>Y53</f>
        <v/>
      </c>
      <c r="CD53" s="10" t="n">
        <v>0.1828908353</v>
      </c>
      <c r="CE53" s="9" t="n">
        <v>0.23037491</v>
      </c>
      <c r="CG53" s="10">
        <f>CC53/W53</f>
        <v/>
      </c>
      <c r="CH53" s="10">
        <f>IF(X53=0, 0, CD53*X53/W53)</f>
        <v/>
      </c>
      <c r="CI53" s="10">
        <f>CE53</f>
        <v/>
      </c>
      <c r="CK53" s="17">
        <f>(AA53+AC53)/W53</f>
        <v/>
      </c>
      <c r="CL53" s="17">
        <f>(Z53+AB53)/W53</f>
        <v/>
      </c>
      <c r="CM53" s="10">
        <f>BZ53*I53</f>
        <v/>
      </c>
      <c r="CN53" s="10">
        <f>CA53*J53</f>
        <v/>
      </c>
      <c r="CO53" s="10">
        <f>CB53*K53</f>
        <v/>
      </c>
      <c r="CP53" s="10">
        <f>(N53)</f>
        <v/>
      </c>
      <c r="CR53" s="1">
        <f>SUM(CG53:CH53)-SUM(CK53:CP53)</f>
        <v/>
      </c>
    </row>
    <row r="54">
      <c r="B54" s="22" t="n"/>
      <c r="C54" s="23" t="n"/>
      <c r="D54" s="23" t="n">
        <v>6</v>
      </c>
      <c r="E54" s="23">
        <f>S54</f>
        <v/>
      </c>
      <c r="F54" s="22" t="n"/>
      <c r="G54" s="22" t="n"/>
      <c r="H54" s="22" t="n"/>
      <c r="I54" s="22" t="n"/>
      <c r="J54" s="22" t="n"/>
      <c r="K54" s="22" t="n"/>
      <c r="L54" s="28">
        <f>SUM(I54:K54)</f>
        <v/>
      </c>
      <c r="M54" s="22" t="n"/>
      <c r="N54" s="22" t="n"/>
      <c r="O54" s="22" t="n"/>
      <c r="P54" s="22" t="n"/>
      <c r="Q54" s="22" t="n"/>
      <c r="S54" s="17">
        <f t="array" ref="S54:AF54">_xlfn.XLOOKUP(D54, CT:CT, CU:DH)</f>
        <v/>
      </c>
      <c r="T54" s="17" t="inlineStr">
        <is>
          <t>Biomass_Corn</t>
        </is>
      </c>
      <c r="U54" s="17" t="n">
        <v>0</v>
      </c>
      <c r="V54" s="17" t="n">
        <v>0.085342825</v>
      </c>
      <c r="W54" s="17" t="n">
        <v>3.104337995</v>
      </c>
      <c r="X54" s="17" t="n">
        <v>1.013397519</v>
      </c>
      <c r="Y54" s="17" t="n">
        <v>1.758866658</v>
      </c>
      <c r="Z54" s="17" t="n">
        <v>0.357687672</v>
      </c>
      <c r="AA54" s="17" t="n">
        <v>0.6860173939999999</v>
      </c>
      <c r="AB54" s="17" t="n">
        <v>0.152906423</v>
      </c>
      <c r="AC54" s="17" t="n">
        <v>0.032434696</v>
      </c>
      <c r="AD54" s="17" t="n">
        <v>45179.42</v>
      </c>
      <c r="AE54" s="17" t="n">
        <v>201481.25</v>
      </c>
      <c r="AF54" s="17" t="n">
        <v>-25.28</v>
      </c>
      <c r="AH54" s="15" t="n">
        <v>73.71884</v>
      </c>
      <c r="AI54" s="15" t="n">
        <v>-6.097314</v>
      </c>
      <c r="AJ54" s="15" t="n">
        <v>61.343403</v>
      </c>
      <c r="AK54" s="15" t="n">
        <v>33.004971</v>
      </c>
      <c r="AL54" s="15" t="n">
        <v>42.19561</v>
      </c>
      <c r="AM54" s="15" t="n">
        <v>155</v>
      </c>
      <c r="AN54" s="15" t="n">
        <v>22.90669</v>
      </c>
      <c r="AO54" s="15" t="n">
        <v>13.197062</v>
      </c>
      <c r="AP54" s="15" t="n">
        <v>14.953878</v>
      </c>
      <c r="AR54" s="1">
        <f>B54</f>
        <v/>
      </c>
      <c r="AS54" s="1">
        <f>C54</f>
        <v/>
      </c>
      <c r="AT54" s="11">
        <f>SUM(AW54:BI54)+BK54+BL54</f>
        <v/>
      </c>
      <c r="AU54" s="11">
        <f>SUM(AW54:BI54)+BN54+BO54</f>
        <v/>
      </c>
      <c r="AV54" s="5">
        <f>AT54-AU54</f>
        <v/>
      </c>
      <c r="AW54" s="5">
        <f>F54/L54*AO54</f>
        <v/>
      </c>
      <c r="AX54" s="1">
        <f>G54/L54*AN54</f>
        <v/>
      </c>
      <c r="AY54" s="1">
        <f>BS54</f>
        <v/>
      </c>
      <c r="AZ54" s="1">
        <f>H54/L54</f>
        <v/>
      </c>
      <c r="BA54" s="1">
        <f>BR54</f>
        <v/>
      </c>
      <c r="BB54" s="1">
        <f>BT54</f>
        <v/>
      </c>
      <c r="BC54" s="1">
        <f>BU54</f>
        <v/>
      </c>
      <c r="BD54" s="1">
        <f>O54/L54/(0.9*8760)</f>
        <v/>
      </c>
      <c r="BE54" s="1">
        <f>BV54</f>
        <v/>
      </c>
      <c r="BF54" s="1">
        <f>P54/L54/(0.9*8760)</f>
        <v/>
      </c>
      <c r="BG54" s="1">
        <f>BW54</f>
        <v/>
      </c>
      <c r="BH54" s="1">
        <f>Q54/L54</f>
        <v/>
      </c>
      <c r="BI54" s="1">
        <f>BX54</f>
        <v/>
      </c>
      <c r="BJ54" s="1">
        <f>(SUM(CK54:CP54)-CG54)/L54</f>
        <v/>
      </c>
      <c r="BK54" s="1">
        <f>((AH54+AI54)*-1*CL54)/L54</f>
        <v/>
      </c>
      <c r="BL54" s="1">
        <f>BJ54*AH54</f>
        <v/>
      </c>
      <c r="BM54" s="1">
        <f>(CK54+CM54+CN54+CO54+CP54-CG54)/L54</f>
        <v/>
      </c>
      <c r="BN54" s="1">
        <f>(CL54*AI54*-1)/L54</f>
        <v/>
      </c>
      <c r="BO54" s="1">
        <f>BM54*AH54</f>
        <v/>
      </c>
      <c r="BQ54" s="1">
        <f>S54</f>
        <v/>
      </c>
      <c r="BR54" s="1">
        <f>U54/W54/L54*AN54*-1</f>
        <v/>
      </c>
      <c r="BS54" s="1">
        <f>V54/W54/L54*AN54</f>
        <v/>
      </c>
      <c r="BT54" s="1">
        <f t="array" ref="BT54">_xlfn.IFS(T54="Biomass_Corn", 1/W54/L54*AM54, T54="Biomass_Agri", 1/W54/L54*AL54, T54="Biomass_Wood", 1/W54/L54*AK54, T54="Biomass_Herb", 1/W54/L54*AJ54)</f>
        <v/>
      </c>
      <c r="BU54" s="1">
        <f>X54/W54/L54*AP54</f>
        <v/>
      </c>
      <c r="BV54" s="1">
        <f>AD54/W54/L54/(0.9*8760)</f>
        <v/>
      </c>
      <c r="BW54" s="1">
        <f>AE54/W54/L54/(0.9*8760)</f>
        <v/>
      </c>
      <c r="BX54" s="1">
        <f>AF54/W54/L54</f>
        <v/>
      </c>
      <c r="BZ54" s="9" t="n">
        <v>0.2409589293</v>
      </c>
      <c r="CA54" s="9" t="n">
        <v>0.2418283623</v>
      </c>
      <c r="CB54" s="9" t="n">
        <v>0.2402551414</v>
      </c>
      <c r="CC54" s="17">
        <f>Y54</f>
        <v/>
      </c>
      <c r="CD54" s="10" t="n">
        <v>0.1828908353</v>
      </c>
      <c r="CE54" s="9" t="n">
        <v>0.23037491</v>
      </c>
      <c r="CG54" s="10">
        <f>CC54/W54</f>
        <v/>
      </c>
      <c r="CH54" s="10">
        <f>IF(X54=0, 0, CD54*X54/W54)</f>
        <v/>
      </c>
      <c r="CI54" s="10">
        <f>CE54</f>
        <v/>
      </c>
      <c r="CK54" s="17">
        <f>(AA54+AC54)/W54</f>
        <v/>
      </c>
      <c r="CL54" s="17">
        <f>(Z54+AB54)/W54</f>
        <v/>
      </c>
      <c r="CM54" s="10">
        <f>BZ54*I54</f>
        <v/>
      </c>
      <c r="CN54" s="10">
        <f>CA54*J54</f>
        <v/>
      </c>
      <c r="CO54" s="10">
        <f>CB54*K54</f>
        <v/>
      </c>
      <c r="CP54" s="10">
        <f>(N54)</f>
        <v/>
      </c>
      <c r="CR54" s="1">
        <f>SUM(CG54:CH54)-SUM(CK54:CP54)</f>
        <v/>
      </c>
    </row>
    <row r="55">
      <c r="B55" s="22" t="n"/>
      <c r="C55" s="23" t="n"/>
      <c r="D55" s="23" t="n">
        <v>6</v>
      </c>
      <c r="E55" s="23">
        <f>S55</f>
        <v/>
      </c>
      <c r="F55" s="22" t="n"/>
      <c r="G55" s="22" t="n"/>
      <c r="H55" s="22" t="n"/>
      <c r="I55" s="22" t="n"/>
      <c r="J55" s="22" t="n"/>
      <c r="K55" s="22" t="n"/>
      <c r="L55" s="28">
        <f>SUM(I55:K55)</f>
        <v/>
      </c>
      <c r="M55" s="22" t="n"/>
      <c r="N55" s="22" t="n"/>
      <c r="O55" s="22" t="n"/>
      <c r="P55" s="22" t="n"/>
      <c r="Q55" s="22" t="n"/>
      <c r="S55" s="17">
        <f t="array" ref="S55:AF55">_xlfn.XLOOKUP(D55, CT:CT, CU:DH)</f>
        <v/>
      </c>
      <c r="T55" s="17" t="inlineStr">
        <is>
          <t>Biomass_Corn</t>
        </is>
      </c>
      <c r="U55" s="17" t="n">
        <v>0</v>
      </c>
      <c r="V55" s="17" t="n">
        <v>0.085342825</v>
      </c>
      <c r="W55" s="17" t="n">
        <v>3.104337995</v>
      </c>
      <c r="X55" s="17" t="n">
        <v>1.013397519</v>
      </c>
      <c r="Y55" s="17" t="n">
        <v>1.758866658</v>
      </c>
      <c r="Z55" s="17" t="n">
        <v>0.357687672</v>
      </c>
      <c r="AA55" s="17" t="n">
        <v>0.6860173939999999</v>
      </c>
      <c r="AB55" s="17" t="n">
        <v>0.152906423</v>
      </c>
      <c r="AC55" s="17" t="n">
        <v>0.032434696</v>
      </c>
      <c r="AD55" s="17" t="n">
        <v>45179.42</v>
      </c>
      <c r="AE55" s="17" t="n">
        <v>201481.25</v>
      </c>
      <c r="AF55" s="17" t="n">
        <v>-25.28</v>
      </c>
      <c r="AH55" s="15" t="n">
        <v>73.71884</v>
      </c>
      <c r="AI55" s="15" t="n">
        <v>-6.097314</v>
      </c>
      <c r="AJ55" s="15" t="n">
        <v>61.343403</v>
      </c>
      <c r="AK55" s="15" t="n">
        <v>33.004971</v>
      </c>
      <c r="AL55" s="15" t="n">
        <v>42.19561</v>
      </c>
      <c r="AM55" s="15" t="n">
        <v>155</v>
      </c>
      <c r="AN55" s="15" t="n">
        <v>22.90669</v>
      </c>
      <c r="AO55" s="15" t="n">
        <v>13.197062</v>
      </c>
      <c r="AP55" s="15" t="n">
        <v>14.953878</v>
      </c>
      <c r="AR55" s="1">
        <f>B55</f>
        <v/>
      </c>
      <c r="AS55" s="1">
        <f>C55</f>
        <v/>
      </c>
      <c r="AT55" s="11">
        <f>SUM(AW55:BI55)+BK55+BL55</f>
        <v/>
      </c>
      <c r="AU55" s="11">
        <f>SUM(AW55:BI55)+BN55+BO55</f>
        <v/>
      </c>
      <c r="AV55" s="5">
        <f>AT55-AU55</f>
        <v/>
      </c>
      <c r="AW55" s="5">
        <f>F55/L55*AO55</f>
        <v/>
      </c>
      <c r="AX55" s="1">
        <f>G55/L55*AN55</f>
        <v/>
      </c>
      <c r="AY55" s="1">
        <f>BS55</f>
        <v/>
      </c>
      <c r="AZ55" s="1">
        <f>H55/L55</f>
        <v/>
      </c>
      <c r="BA55" s="1">
        <f>BR55</f>
        <v/>
      </c>
      <c r="BB55" s="1">
        <f>BT55</f>
        <v/>
      </c>
      <c r="BC55" s="1">
        <f>BU55</f>
        <v/>
      </c>
      <c r="BD55" s="1">
        <f>O55/L55/(0.9*8760)</f>
        <v/>
      </c>
      <c r="BE55" s="1">
        <f>BV55</f>
        <v/>
      </c>
      <c r="BF55" s="1">
        <f>P55/L55/(0.9*8760)</f>
        <v/>
      </c>
      <c r="BG55" s="1">
        <f>BW55</f>
        <v/>
      </c>
      <c r="BH55" s="1">
        <f>Q55/L55</f>
        <v/>
      </c>
      <c r="BI55" s="1">
        <f>BX55</f>
        <v/>
      </c>
      <c r="BJ55" s="1">
        <f>(SUM(CK55:CP55)-CG55)/L55</f>
        <v/>
      </c>
      <c r="BK55" s="1">
        <f>((AH55+AI55)*-1*CL55)/L55</f>
        <v/>
      </c>
      <c r="BL55" s="1">
        <f>BJ55*AH55</f>
        <v/>
      </c>
      <c r="BM55" s="1">
        <f>(CK55+CM55+CN55+CO55+CP55-CG55)/L55</f>
        <v/>
      </c>
      <c r="BN55" s="1">
        <f>(CL55*AI55*-1)/L55</f>
        <v/>
      </c>
      <c r="BO55" s="1">
        <f>BM55*AH55</f>
        <v/>
      </c>
      <c r="BQ55" s="1">
        <f>S55</f>
        <v/>
      </c>
      <c r="BR55" s="1">
        <f>U55/W55/L55*AN55*-1</f>
        <v/>
      </c>
      <c r="BS55" s="1">
        <f>V55/W55/L55*AN55</f>
        <v/>
      </c>
      <c r="BT55" s="1">
        <f t="array" ref="BT55">_xlfn.IFS(T55="Biomass_Corn", 1/W55/L55*AM55, T55="Biomass_Agri", 1/W55/L55*AL55, T55="Biomass_Wood", 1/W55/L55*AK55, T55="Biomass_Herb", 1/W55/L55*AJ55)</f>
        <v/>
      </c>
      <c r="BU55" s="1">
        <f>X55/W55/L55*AP55</f>
        <v/>
      </c>
      <c r="BV55" s="1">
        <f>AD55/W55/L55/(0.9*8760)</f>
        <v/>
      </c>
      <c r="BW55" s="1">
        <f>AE55/W55/L55/(0.9*8760)</f>
        <v/>
      </c>
      <c r="BX55" s="1">
        <f>AF55/W55/L55</f>
        <v/>
      </c>
      <c r="BZ55" s="9" t="n">
        <v>0.2409589293</v>
      </c>
      <c r="CA55" s="9" t="n">
        <v>0.2418283623</v>
      </c>
      <c r="CB55" s="9" t="n">
        <v>0.2402551414</v>
      </c>
      <c r="CC55" s="17">
        <f>Y55</f>
        <v/>
      </c>
      <c r="CD55" s="10" t="n">
        <v>0.1828908353</v>
      </c>
      <c r="CE55" s="9" t="n">
        <v>0.23037491</v>
      </c>
      <c r="CG55" s="10">
        <f>CC55/W55</f>
        <v/>
      </c>
      <c r="CH55" s="10">
        <f>IF(X55=0, 0, CD55*X55/W55)</f>
        <v/>
      </c>
      <c r="CI55" s="10">
        <f>CE55</f>
        <v/>
      </c>
      <c r="CK55" s="17">
        <f>(AA55+AC55)/W55</f>
        <v/>
      </c>
      <c r="CL55" s="17">
        <f>(Z55+AB55)/W55</f>
        <v/>
      </c>
      <c r="CM55" s="10">
        <f>BZ55*I55</f>
        <v/>
      </c>
      <c r="CN55" s="10">
        <f>CA55*J55</f>
        <v/>
      </c>
      <c r="CO55" s="10">
        <f>CB55*K55</f>
        <v/>
      </c>
      <c r="CP55" s="10">
        <f>(N55)</f>
        <v/>
      </c>
      <c r="CR55" s="1">
        <f>SUM(CG55:CH55)-SUM(CK55:CP55)</f>
        <v/>
      </c>
    </row>
    <row r="56">
      <c r="B56" s="22" t="n"/>
      <c r="C56" s="23" t="n"/>
      <c r="D56" s="23" t="n">
        <v>6</v>
      </c>
      <c r="E56" s="23">
        <f>S56</f>
        <v/>
      </c>
      <c r="F56" s="22" t="n"/>
      <c r="G56" s="22" t="n"/>
      <c r="H56" s="22" t="n"/>
      <c r="I56" s="22" t="n"/>
      <c r="J56" s="22" t="n"/>
      <c r="K56" s="22" t="n"/>
      <c r="L56" s="28">
        <f>SUM(I56:K56)</f>
        <v/>
      </c>
      <c r="M56" s="22" t="n"/>
      <c r="N56" s="22" t="n"/>
      <c r="O56" s="22" t="n"/>
      <c r="P56" s="22" t="n"/>
      <c r="Q56" s="22" t="n"/>
      <c r="S56" s="17">
        <f t="array" ref="S56:AF56">_xlfn.XLOOKUP(D56, CT:CT, CU:DH)</f>
        <v/>
      </c>
      <c r="T56" s="17" t="inlineStr">
        <is>
          <t>Biomass_Corn</t>
        </is>
      </c>
      <c r="U56" s="17" t="n">
        <v>0</v>
      </c>
      <c r="V56" s="17" t="n">
        <v>0.085342825</v>
      </c>
      <c r="W56" s="17" t="n">
        <v>3.104337995</v>
      </c>
      <c r="X56" s="17" t="n">
        <v>1.013397519</v>
      </c>
      <c r="Y56" s="17" t="n">
        <v>1.758866658</v>
      </c>
      <c r="Z56" s="17" t="n">
        <v>0.357687672</v>
      </c>
      <c r="AA56" s="17" t="n">
        <v>0.6860173939999999</v>
      </c>
      <c r="AB56" s="17" t="n">
        <v>0.152906423</v>
      </c>
      <c r="AC56" s="17" t="n">
        <v>0.032434696</v>
      </c>
      <c r="AD56" s="17" t="n">
        <v>45179.42</v>
      </c>
      <c r="AE56" s="17" t="n">
        <v>201481.25</v>
      </c>
      <c r="AF56" s="17" t="n">
        <v>-25.28</v>
      </c>
      <c r="AH56" s="15" t="n">
        <v>73.71884</v>
      </c>
      <c r="AI56" s="15" t="n">
        <v>-6.097314</v>
      </c>
      <c r="AJ56" s="15" t="n">
        <v>61.343403</v>
      </c>
      <c r="AK56" s="15" t="n">
        <v>33.004971</v>
      </c>
      <c r="AL56" s="15" t="n">
        <v>42.19561</v>
      </c>
      <c r="AM56" s="15" t="n">
        <v>155</v>
      </c>
      <c r="AN56" s="15" t="n">
        <v>22.90669</v>
      </c>
      <c r="AO56" s="15" t="n">
        <v>13.197062</v>
      </c>
      <c r="AP56" s="15" t="n">
        <v>14.953878</v>
      </c>
      <c r="AR56" s="1">
        <f>B56</f>
        <v/>
      </c>
      <c r="AS56" s="1">
        <f>C56</f>
        <v/>
      </c>
      <c r="AT56" s="11">
        <f>SUM(AW56:BI56)+BK56+BL56</f>
        <v/>
      </c>
      <c r="AU56" s="11">
        <f>SUM(AW56:BI56)+BN56+BO56</f>
        <v/>
      </c>
      <c r="AV56" s="5">
        <f>AT56-AU56</f>
        <v/>
      </c>
      <c r="AW56" s="5">
        <f>F56/L56*AO56</f>
        <v/>
      </c>
      <c r="AX56" s="1">
        <f>G56/L56*AN56</f>
        <v/>
      </c>
      <c r="AY56" s="1">
        <f>BS56</f>
        <v/>
      </c>
      <c r="AZ56" s="1">
        <f>H56/L56</f>
        <v/>
      </c>
      <c r="BA56" s="1">
        <f>BR56</f>
        <v/>
      </c>
      <c r="BB56" s="1">
        <f>BT56</f>
        <v/>
      </c>
      <c r="BC56" s="1">
        <f>BU56</f>
        <v/>
      </c>
      <c r="BD56" s="1">
        <f>O56/L56/(0.9*8760)</f>
        <v/>
      </c>
      <c r="BE56" s="1">
        <f>BV56</f>
        <v/>
      </c>
      <c r="BF56" s="1">
        <f>P56/L56/(0.9*8760)</f>
        <v/>
      </c>
      <c r="BG56" s="1">
        <f>BW56</f>
        <v/>
      </c>
      <c r="BH56" s="1">
        <f>Q56/L56</f>
        <v/>
      </c>
      <c r="BI56" s="1">
        <f>BX56</f>
        <v/>
      </c>
      <c r="BJ56" s="1">
        <f>(SUM(CK56:CP56)-CG56)/L56</f>
        <v/>
      </c>
      <c r="BK56" s="1">
        <f>((AH56+AI56)*-1*CL56)/L56</f>
        <v/>
      </c>
      <c r="BL56" s="1">
        <f>BJ56*AH56</f>
        <v/>
      </c>
      <c r="BM56" s="1">
        <f>(CK56+CM56+CN56+CO56+CP56-CG56)/L56</f>
        <v/>
      </c>
      <c r="BN56" s="1">
        <f>(CL56*AI56*-1)/L56</f>
        <v/>
      </c>
      <c r="BO56" s="1">
        <f>BM56*AH56</f>
        <v/>
      </c>
      <c r="BQ56" s="1">
        <f>S56</f>
        <v/>
      </c>
      <c r="BR56" s="1">
        <f>U56/W56/L56*AN56*-1</f>
        <v/>
      </c>
      <c r="BS56" s="1">
        <f>V56/W56/L56*AN56</f>
        <v/>
      </c>
      <c r="BT56" s="1">
        <f t="array" ref="BT56">_xlfn.IFS(T56="Biomass_Corn", 1/W56/L56*AM56, T56="Biomass_Agri", 1/W56/L56*AL56, T56="Biomass_Wood", 1/W56/L56*AK56, T56="Biomass_Herb", 1/W56/L56*AJ56)</f>
        <v/>
      </c>
      <c r="BU56" s="1">
        <f>X56/W56/L56*AP56</f>
        <v/>
      </c>
      <c r="BV56" s="1">
        <f>AD56/W56/L56/(0.9*8760)</f>
        <v/>
      </c>
      <c r="BW56" s="1">
        <f>AE56/W56/L56/(0.9*8760)</f>
        <v/>
      </c>
      <c r="BX56" s="1">
        <f>AF56/W56/L56</f>
        <v/>
      </c>
      <c r="BZ56" s="9" t="n">
        <v>0.2409589293</v>
      </c>
      <c r="CA56" s="9" t="n">
        <v>0.2418283623</v>
      </c>
      <c r="CB56" s="9" t="n">
        <v>0.2402551414</v>
      </c>
      <c r="CC56" s="17">
        <f>Y56</f>
        <v/>
      </c>
      <c r="CD56" s="10" t="n">
        <v>0.1828908353</v>
      </c>
      <c r="CE56" s="9" t="n">
        <v>0.23037491</v>
      </c>
      <c r="CG56" s="10">
        <f>CC56/W56</f>
        <v/>
      </c>
      <c r="CH56" s="10">
        <f>IF(X56=0, 0, CD56*X56/W56)</f>
        <v/>
      </c>
      <c r="CI56" s="10">
        <f>CE56</f>
        <v/>
      </c>
      <c r="CK56" s="17">
        <f>(AA56+AC56)/W56</f>
        <v/>
      </c>
      <c r="CL56" s="17">
        <f>(Z56+AB56)/W56</f>
        <v/>
      </c>
      <c r="CM56" s="10">
        <f>BZ56*I56</f>
        <v/>
      </c>
      <c r="CN56" s="10">
        <f>CA56*J56</f>
        <v/>
      </c>
      <c r="CO56" s="10">
        <f>CB56*K56</f>
        <v/>
      </c>
      <c r="CP56" s="10">
        <f>(N56)</f>
        <v/>
      </c>
      <c r="CR56" s="1">
        <f>SUM(CG56:CH56)-SUM(CK56:CP56)</f>
        <v/>
      </c>
    </row>
    <row r="57">
      <c r="B57" s="22" t="n"/>
      <c r="C57" s="23" t="n"/>
      <c r="D57" s="23" t="n">
        <v>6</v>
      </c>
      <c r="E57" s="23">
        <f>S57</f>
        <v/>
      </c>
      <c r="F57" s="22" t="n"/>
      <c r="G57" s="22" t="n"/>
      <c r="H57" s="22" t="n"/>
      <c r="I57" s="22" t="n"/>
      <c r="J57" s="22" t="n"/>
      <c r="K57" s="22" t="n"/>
      <c r="L57" s="28">
        <f>SUM(I57:K57)</f>
        <v/>
      </c>
      <c r="M57" s="22" t="n"/>
      <c r="N57" s="22" t="n"/>
      <c r="O57" s="22" t="n"/>
      <c r="P57" s="22" t="n"/>
      <c r="Q57" s="22" t="n"/>
      <c r="S57" s="17">
        <f t="array" ref="S57:AF57">_xlfn.XLOOKUP(D57, CT:CT, CU:DH)</f>
        <v/>
      </c>
      <c r="T57" s="17" t="inlineStr">
        <is>
          <t>Biomass_Corn</t>
        </is>
      </c>
      <c r="U57" s="17" t="n">
        <v>0</v>
      </c>
      <c r="V57" s="17" t="n">
        <v>0.085342825</v>
      </c>
      <c r="W57" s="17" t="n">
        <v>3.104337995</v>
      </c>
      <c r="X57" s="17" t="n">
        <v>1.013397519</v>
      </c>
      <c r="Y57" s="17" t="n">
        <v>1.758866658</v>
      </c>
      <c r="Z57" s="17" t="n">
        <v>0.357687672</v>
      </c>
      <c r="AA57" s="17" t="n">
        <v>0.6860173939999999</v>
      </c>
      <c r="AB57" s="17" t="n">
        <v>0.152906423</v>
      </c>
      <c r="AC57" s="17" t="n">
        <v>0.032434696</v>
      </c>
      <c r="AD57" s="17" t="n">
        <v>45179.42</v>
      </c>
      <c r="AE57" s="17" t="n">
        <v>201481.25</v>
      </c>
      <c r="AF57" s="17" t="n">
        <v>-25.28</v>
      </c>
      <c r="AH57" s="15" t="n">
        <v>73.71884</v>
      </c>
      <c r="AI57" s="15" t="n">
        <v>-6.097314</v>
      </c>
      <c r="AJ57" s="15" t="n">
        <v>61.343403</v>
      </c>
      <c r="AK57" s="15" t="n">
        <v>33.004971</v>
      </c>
      <c r="AL57" s="15" t="n">
        <v>42.19561</v>
      </c>
      <c r="AM57" s="15" t="n">
        <v>155</v>
      </c>
      <c r="AN57" s="15" t="n">
        <v>22.90669</v>
      </c>
      <c r="AO57" s="15" t="n">
        <v>13.197062</v>
      </c>
      <c r="AP57" s="15" t="n">
        <v>14.953878</v>
      </c>
      <c r="AR57" s="1">
        <f>B57</f>
        <v/>
      </c>
      <c r="AS57" s="1">
        <f>C57</f>
        <v/>
      </c>
      <c r="AT57" s="11">
        <f>SUM(AW57:BI57)+BK57+BL57</f>
        <v/>
      </c>
      <c r="AU57" s="11">
        <f>SUM(AW57:BI57)+BN57+BO57</f>
        <v/>
      </c>
      <c r="AV57" s="5">
        <f>AT57-AU57</f>
        <v/>
      </c>
      <c r="AW57" s="5">
        <f>F57/L57*AO57</f>
        <v/>
      </c>
      <c r="AX57" s="1">
        <f>G57/L57*AN57</f>
        <v/>
      </c>
      <c r="AY57" s="1">
        <f>BS57</f>
        <v/>
      </c>
      <c r="AZ57" s="1">
        <f>H57/L57</f>
        <v/>
      </c>
      <c r="BA57" s="1">
        <f>BR57</f>
        <v/>
      </c>
      <c r="BB57" s="1">
        <f>BT57</f>
        <v/>
      </c>
      <c r="BC57" s="1">
        <f>BU57</f>
        <v/>
      </c>
      <c r="BD57" s="1">
        <f>O57/L57/(0.9*8760)</f>
        <v/>
      </c>
      <c r="BE57" s="1">
        <f>BV57</f>
        <v/>
      </c>
      <c r="BF57" s="1">
        <f>P57/L57/(0.9*8760)</f>
        <v/>
      </c>
      <c r="BG57" s="1">
        <f>BW57</f>
        <v/>
      </c>
      <c r="BH57" s="1">
        <f>Q57/L57</f>
        <v/>
      </c>
      <c r="BI57" s="1">
        <f>BX57</f>
        <v/>
      </c>
      <c r="BJ57" s="1">
        <f>(SUM(CK57:CP57)-CG57)/L57</f>
        <v/>
      </c>
      <c r="BK57" s="1">
        <f>((AH57+AI57)*-1*CL57)/L57</f>
        <v/>
      </c>
      <c r="BL57" s="1">
        <f>BJ57*AH57</f>
        <v/>
      </c>
      <c r="BM57" s="1">
        <f>(CK57+CM57+CN57+CO57+CP57-CG57)/L57</f>
        <v/>
      </c>
      <c r="BN57" s="1">
        <f>(CL57*AI57*-1)/L57</f>
        <v/>
      </c>
      <c r="BO57" s="1">
        <f>BM57*AH57</f>
        <v/>
      </c>
      <c r="BQ57" s="1">
        <f>S57</f>
        <v/>
      </c>
      <c r="BR57" s="1">
        <f>U57/W57/L57*AN57*-1</f>
        <v/>
      </c>
      <c r="BS57" s="1">
        <f>V57/W57/L57*AN57</f>
        <v/>
      </c>
      <c r="BT57" s="1">
        <f t="array" ref="BT57">_xlfn.IFS(T57="Biomass_Corn", 1/W57/L57*AM57, T57="Biomass_Agri", 1/W57/L57*AL57, T57="Biomass_Wood", 1/W57/L57*AK57, T57="Biomass_Herb", 1/W57/L57*AJ57)</f>
        <v/>
      </c>
      <c r="BU57" s="1">
        <f>X57/W57/L57*AP57</f>
        <v/>
      </c>
      <c r="BV57" s="1">
        <f>AD57/W57/L57/(0.9*8760)</f>
        <v/>
      </c>
      <c r="BW57" s="1">
        <f>AE57/W57/L57/(0.9*8760)</f>
        <v/>
      </c>
      <c r="BX57" s="1">
        <f>AF57/W57/L57</f>
        <v/>
      </c>
      <c r="BZ57" s="9" t="n">
        <v>0.2409589293</v>
      </c>
      <c r="CA57" s="9" t="n">
        <v>0.2418283623</v>
      </c>
      <c r="CB57" s="9" t="n">
        <v>0.2402551414</v>
      </c>
      <c r="CC57" s="17">
        <f>Y57</f>
        <v/>
      </c>
      <c r="CD57" s="10" t="n">
        <v>0.1828908353</v>
      </c>
      <c r="CE57" s="9" t="n">
        <v>0.23037491</v>
      </c>
      <c r="CG57" s="10">
        <f>CC57/W57</f>
        <v/>
      </c>
      <c r="CH57" s="10">
        <f>IF(X57=0, 0, CD57*X57/W57)</f>
        <v/>
      </c>
      <c r="CI57" s="10">
        <f>CE57</f>
        <v/>
      </c>
      <c r="CK57" s="17">
        <f>(AA57+AC57)/W57</f>
        <v/>
      </c>
      <c r="CL57" s="17">
        <f>(Z57+AB57)/W57</f>
        <v/>
      </c>
      <c r="CM57" s="10">
        <f>BZ57*I57</f>
        <v/>
      </c>
      <c r="CN57" s="10">
        <f>CA57*J57</f>
        <v/>
      </c>
      <c r="CO57" s="10">
        <f>CB57*K57</f>
        <v/>
      </c>
      <c r="CP57" s="10">
        <f>(N57)</f>
        <v/>
      </c>
      <c r="CR57" s="1">
        <f>SUM(CG57:CH57)-SUM(CK57:CP57)</f>
        <v/>
      </c>
    </row>
    <row r="58">
      <c r="B58" s="22" t="n"/>
      <c r="C58" s="23" t="n"/>
      <c r="D58" s="23" t="n">
        <v>6</v>
      </c>
      <c r="E58" s="23">
        <f>S58</f>
        <v/>
      </c>
      <c r="F58" s="22" t="n"/>
      <c r="G58" s="22" t="n"/>
      <c r="H58" s="22" t="n"/>
      <c r="I58" s="22" t="n"/>
      <c r="J58" s="22" t="n"/>
      <c r="K58" s="22" t="n"/>
      <c r="L58" s="28">
        <f>SUM(I58:K58)</f>
        <v/>
      </c>
      <c r="M58" s="22" t="n"/>
      <c r="N58" s="22" t="n"/>
      <c r="O58" s="22" t="n"/>
      <c r="P58" s="22" t="n"/>
      <c r="Q58" s="22" t="n"/>
      <c r="S58" s="17">
        <f t="array" ref="S58:AF58">_xlfn.XLOOKUP(D58, CT:CT, CU:DH)</f>
        <v/>
      </c>
      <c r="T58" s="17" t="inlineStr">
        <is>
          <t>Biomass_Corn</t>
        </is>
      </c>
      <c r="U58" s="17" t="n">
        <v>0</v>
      </c>
      <c r="V58" s="17" t="n">
        <v>0.085342825</v>
      </c>
      <c r="W58" s="17" t="n">
        <v>3.104337995</v>
      </c>
      <c r="X58" s="17" t="n">
        <v>1.013397519</v>
      </c>
      <c r="Y58" s="17" t="n">
        <v>1.758866658</v>
      </c>
      <c r="Z58" s="17" t="n">
        <v>0.357687672</v>
      </c>
      <c r="AA58" s="17" t="n">
        <v>0.6860173939999999</v>
      </c>
      <c r="AB58" s="17" t="n">
        <v>0.152906423</v>
      </c>
      <c r="AC58" s="17" t="n">
        <v>0.032434696</v>
      </c>
      <c r="AD58" s="17" t="n">
        <v>45179.42</v>
      </c>
      <c r="AE58" s="17" t="n">
        <v>201481.25</v>
      </c>
      <c r="AF58" s="17" t="n">
        <v>-25.28</v>
      </c>
      <c r="AH58" s="15" t="n">
        <v>73.71884</v>
      </c>
      <c r="AI58" s="15" t="n">
        <v>-6.097314</v>
      </c>
      <c r="AJ58" s="15" t="n">
        <v>61.343403</v>
      </c>
      <c r="AK58" s="15" t="n">
        <v>33.004971</v>
      </c>
      <c r="AL58" s="15" t="n">
        <v>42.19561</v>
      </c>
      <c r="AM58" s="15" t="n">
        <v>155</v>
      </c>
      <c r="AN58" s="15" t="n">
        <v>22.90669</v>
      </c>
      <c r="AO58" s="15" t="n">
        <v>13.197062</v>
      </c>
      <c r="AP58" s="15" t="n">
        <v>14.953878</v>
      </c>
      <c r="AR58" s="1">
        <f>B58</f>
        <v/>
      </c>
      <c r="AS58" s="1">
        <f>C58</f>
        <v/>
      </c>
      <c r="AT58" s="11">
        <f>SUM(AW58:BI58)+BK58+BL58</f>
        <v/>
      </c>
      <c r="AU58" s="11">
        <f>SUM(AW58:BI58)+BN58+BO58</f>
        <v/>
      </c>
      <c r="AV58" s="5">
        <f>AT58-AU58</f>
        <v/>
      </c>
      <c r="AW58" s="5">
        <f>F58/L58*AO58</f>
        <v/>
      </c>
      <c r="AX58" s="1">
        <f>G58/L58*AN58</f>
        <v/>
      </c>
      <c r="AY58" s="1">
        <f>BS58</f>
        <v/>
      </c>
      <c r="AZ58" s="1">
        <f>H58/L58</f>
        <v/>
      </c>
      <c r="BA58" s="1">
        <f>BR58</f>
        <v/>
      </c>
      <c r="BB58" s="1">
        <f>BT58</f>
        <v/>
      </c>
      <c r="BC58" s="1">
        <f>BU58</f>
        <v/>
      </c>
      <c r="BD58" s="1">
        <f>O58/L58/(0.9*8760)</f>
        <v/>
      </c>
      <c r="BE58" s="1">
        <f>BV58</f>
        <v/>
      </c>
      <c r="BF58" s="1">
        <f>P58/L58/(0.9*8760)</f>
        <v/>
      </c>
      <c r="BG58" s="1">
        <f>BW58</f>
        <v/>
      </c>
      <c r="BH58" s="1">
        <f>Q58/L58</f>
        <v/>
      </c>
      <c r="BI58" s="1">
        <f>BX58</f>
        <v/>
      </c>
      <c r="BJ58" s="1">
        <f>(SUM(CK58:CP58)-CG58)/L58</f>
        <v/>
      </c>
      <c r="BK58" s="1">
        <f>((AH58+AI58)*-1*CL58)/L58</f>
        <v/>
      </c>
      <c r="BL58" s="1">
        <f>BJ58*AH58</f>
        <v/>
      </c>
      <c r="BM58" s="1">
        <f>(CK58+CM58+CN58+CO58+CP58-CG58)/L58</f>
        <v/>
      </c>
      <c r="BN58" s="1">
        <f>(CL58*AI58*-1)/L58</f>
        <v/>
      </c>
      <c r="BO58" s="1">
        <f>BM58*AH58</f>
        <v/>
      </c>
      <c r="BQ58" s="1">
        <f>S58</f>
        <v/>
      </c>
      <c r="BR58" s="1">
        <f>U58/W58/L58*AN58*-1</f>
        <v/>
      </c>
      <c r="BS58" s="1">
        <f>V58/W58/L58*AN58</f>
        <v/>
      </c>
      <c r="BT58" s="1">
        <f t="array" ref="BT58">_xlfn.IFS(T58="Biomass_Corn", 1/W58/L58*AM58, T58="Biomass_Agri", 1/W58/L58*AL58, T58="Biomass_Wood", 1/W58/L58*AK58, T58="Biomass_Herb", 1/W58/L58*AJ58)</f>
        <v/>
      </c>
      <c r="BU58" s="1">
        <f>X58/W58/L58*AP58</f>
        <v/>
      </c>
      <c r="BV58" s="1">
        <f>AD58/W58/L58/(0.9*8760)</f>
        <v/>
      </c>
      <c r="BW58" s="1">
        <f>AE58/W58/L58/(0.9*8760)</f>
        <v/>
      </c>
      <c r="BX58" s="1">
        <f>AF58/W58/L58</f>
        <v/>
      </c>
      <c r="BZ58" s="9" t="n">
        <v>0.2409589293</v>
      </c>
      <c r="CA58" s="9" t="n">
        <v>0.2418283623</v>
      </c>
      <c r="CB58" s="9" t="n">
        <v>0.2402551414</v>
      </c>
      <c r="CC58" s="17">
        <f>Y58</f>
        <v/>
      </c>
      <c r="CD58" s="10" t="n">
        <v>0.1828908353</v>
      </c>
      <c r="CE58" s="9" t="n">
        <v>0.23037491</v>
      </c>
      <c r="CG58" s="10">
        <f>CC58/W58</f>
        <v/>
      </c>
      <c r="CH58" s="10">
        <f>IF(X58=0, 0, CD58*X58/W58)</f>
        <v/>
      </c>
      <c r="CI58" s="10">
        <f>CE58</f>
        <v/>
      </c>
      <c r="CK58" s="17">
        <f>(AA58+AC58)/W58</f>
        <v/>
      </c>
      <c r="CL58" s="17">
        <f>(Z58+AB58)/W58</f>
        <v/>
      </c>
      <c r="CM58" s="10">
        <f>BZ58*I58</f>
        <v/>
      </c>
      <c r="CN58" s="10">
        <f>CA58*J58</f>
        <v/>
      </c>
      <c r="CO58" s="10">
        <f>CB58*K58</f>
        <v/>
      </c>
      <c r="CP58" s="10">
        <f>(N58)</f>
        <v/>
      </c>
      <c r="CR58" s="1">
        <f>SUM(CG58:CH58)-SUM(CK58:CP58)</f>
        <v/>
      </c>
    </row>
    <row r="59">
      <c r="B59" s="22" t="n"/>
      <c r="C59" s="23" t="n"/>
      <c r="D59" s="23" t="n">
        <v>6</v>
      </c>
      <c r="E59" s="23">
        <f>S59</f>
        <v/>
      </c>
      <c r="F59" s="22" t="n"/>
      <c r="G59" s="22" t="n"/>
      <c r="H59" s="22" t="n"/>
      <c r="I59" s="22" t="n"/>
      <c r="J59" s="22" t="n"/>
      <c r="K59" s="22" t="n"/>
      <c r="L59" s="28">
        <f>SUM(I59:K59)</f>
        <v/>
      </c>
      <c r="M59" s="22" t="n"/>
      <c r="N59" s="22" t="n"/>
      <c r="O59" s="22" t="n"/>
      <c r="P59" s="22" t="n"/>
      <c r="Q59" s="22" t="n"/>
      <c r="S59" s="17">
        <f t="array" ref="S59:AF59">_xlfn.XLOOKUP(D59, CT:CT, CU:DH)</f>
        <v/>
      </c>
      <c r="T59" s="17" t="inlineStr">
        <is>
          <t>Biomass_Corn</t>
        </is>
      </c>
      <c r="U59" s="17" t="n">
        <v>0</v>
      </c>
      <c r="V59" s="17" t="n">
        <v>0.085342825</v>
      </c>
      <c r="W59" s="17" t="n">
        <v>3.104337995</v>
      </c>
      <c r="X59" s="17" t="n">
        <v>1.013397519</v>
      </c>
      <c r="Y59" s="17" t="n">
        <v>1.758866658</v>
      </c>
      <c r="Z59" s="17" t="n">
        <v>0.357687672</v>
      </c>
      <c r="AA59" s="17" t="n">
        <v>0.6860173939999999</v>
      </c>
      <c r="AB59" s="17" t="n">
        <v>0.152906423</v>
      </c>
      <c r="AC59" s="17" t="n">
        <v>0.032434696</v>
      </c>
      <c r="AD59" s="17" t="n">
        <v>45179.42</v>
      </c>
      <c r="AE59" s="17" t="n">
        <v>201481.25</v>
      </c>
      <c r="AF59" s="17" t="n">
        <v>-25.28</v>
      </c>
      <c r="AH59" s="15" t="n">
        <v>73.71884</v>
      </c>
      <c r="AI59" s="15" t="n">
        <v>-6.097314</v>
      </c>
      <c r="AJ59" s="15" t="n">
        <v>61.343403</v>
      </c>
      <c r="AK59" s="15" t="n">
        <v>33.004971</v>
      </c>
      <c r="AL59" s="15" t="n">
        <v>42.19561</v>
      </c>
      <c r="AM59" s="15" t="n">
        <v>155</v>
      </c>
      <c r="AN59" s="15" t="n">
        <v>22.90669</v>
      </c>
      <c r="AO59" s="15" t="n">
        <v>13.197062</v>
      </c>
      <c r="AP59" s="15" t="n">
        <v>14.953878</v>
      </c>
      <c r="AR59" s="1">
        <f>B59</f>
        <v/>
      </c>
      <c r="AS59" s="1">
        <f>C59</f>
        <v/>
      </c>
      <c r="AT59" s="11">
        <f>SUM(AW59:BI59)+BK59+BL59</f>
        <v/>
      </c>
      <c r="AU59" s="11">
        <f>SUM(AW59:BI59)+BN59+BO59</f>
        <v/>
      </c>
      <c r="AV59" s="5">
        <f>AT59-AU59</f>
        <v/>
      </c>
      <c r="AW59" s="5">
        <f>F59/L59*AO59</f>
        <v/>
      </c>
      <c r="AX59" s="1">
        <f>G59/L59*AN59</f>
        <v/>
      </c>
      <c r="AY59" s="1">
        <f>BS59</f>
        <v/>
      </c>
      <c r="AZ59" s="1">
        <f>H59/L59</f>
        <v/>
      </c>
      <c r="BA59" s="1">
        <f>BR59</f>
        <v/>
      </c>
      <c r="BB59" s="1">
        <f>BT59</f>
        <v/>
      </c>
      <c r="BC59" s="1">
        <f>BU59</f>
        <v/>
      </c>
      <c r="BD59" s="1">
        <f>O59/L59/(0.9*8760)</f>
        <v/>
      </c>
      <c r="BE59" s="1">
        <f>BV59</f>
        <v/>
      </c>
      <c r="BF59" s="1">
        <f>P59/L59/(0.9*8760)</f>
        <v/>
      </c>
      <c r="BG59" s="1">
        <f>BW59</f>
        <v/>
      </c>
      <c r="BH59" s="1">
        <f>Q59/L59</f>
        <v/>
      </c>
      <c r="BI59" s="1">
        <f>BX59</f>
        <v/>
      </c>
      <c r="BJ59" s="1">
        <f>(SUM(CK59:CP59)-CG59)/L59</f>
        <v/>
      </c>
      <c r="BK59" s="1">
        <f>((AH59+AI59)*-1*CL59)/L59</f>
        <v/>
      </c>
      <c r="BL59" s="1">
        <f>BJ59*AH59</f>
        <v/>
      </c>
      <c r="BM59" s="1">
        <f>(CK59+CM59+CN59+CO59+CP59-CG59)/L59</f>
        <v/>
      </c>
      <c r="BN59" s="1">
        <f>(CL59*AI59*-1)/L59</f>
        <v/>
      </c>
      <c r="BO59" s="1">
        <f>BM59*AH59</f>
        <v/>
      </c>
      <c r="BQ59" s="1">
        <f>S59</f>
        <v/>
      </c>
      <c r="BR59" s="1">
        <f>U59/W59/L59*AN59*-1</f>
        <v/>
      </c>
      <c r="BS59" s="1">
        <f>V59/W59/L59*AN59</f>
        <v/>
      </c>
      <c r="BT59" s="1">
        <f t="array" ref="BT59">_xlfn.IFS(T59="Biomass_Corn", 1/W59/L59*AM59, T59="Biomass_Agri", 1/W59/L59*AL59, T59="Biomass_Wood", 1/W59/L59*AK59, T59="Biomass_Herb", 1/W59/L59*AJ59)</f>
        <v/>
      </c>
      <c r="BU59" s="1">
        <f>X59/W59/L59*AP59</f>
        <v/>
      </c>
      <c r="BV59" s="1">
        <f>AD59/W59/L59/(0.9*8760)</f>
        <v/>
      </c>
      <c r="BW59" s="1">
        <f>AE59/W59/L59/(0.9*8760)</f>
        <v/>
      </c>
      <c r="BX59" s="1">
        <f>AF59/W59/L59</f>
        <v/>
      </c>
      <c r="BZ59" s="9" t="n">
        <v>0.2409589293</v>
      </c>
      <c r="CA59" s="9" t="n">
        <v>0.2418283623</v>
      </c>
      <c r="CB59" s="9" t="n">
        <v>0.2402551414</v>
      </c>
      <c r="CC59" s="17">
        <f>Y59</f>
        <v/>
      </c>
      <c r="CD59" s="10" t="n">
        <v>0.1828908353</v>
      </c>
      <c r="CE59" s="9" t="n">
        <v>0.23037491</v>
      </c>
      <c r="CG59" s="10">
        <f>CC59/W59</f>
        <v/>
      </c>
      <c r="CH59" s="10">
        <f>IF(X59=0, 0, CD59*X59/W59)</f>
        <v/>
      </c>
      <c r="CI59" s="10">
        <f>CE59</f>
        <v/>
      </c>
      <c r="CK59" s="17">
        <f>(AA59+AC59)/W59</f>
        <v/>
      </c>
      <c r="CL59" s="17">
        <f>(Z59+AB59)/W59</f>
        <v/>
      </c>
      <c r="CM59" s="10">
        <f>BZ59*I59</f>
        <v/>
      </c>
      <c r="CN59" s="10">
        <f>CA59*J59</f>
        <v/>
      </c>
      <c r="CO59" s="10">
        <f>CB59*K59</f>
        <v/>
      </c>
      <c r="CP59" s="10">
        <f>(N59)</f>
        <v/>
      </c>
      <c r="CR59" s="1">
        <f>SUM(CG59:CH59)-SUM(CK59:CP59)</f>
        <v/>
      </c>
    </row>
    <row r="60">
      <c r="B60" s="22" t="n"/>
      <c r="C60" s="23" t="n"/>
      <c r="D60" s="23" t="n">
        <v>6</v>
      </c>
      <c r="E60" s="23">
        <f>S60</f>
        <v/>
      </c>
      <c r="F60" s="22" t="n"/>
      <c r="G60" s="22" t="n"/>
      <c r="H60" s="22" t="n"/>
      <c r="I60" s="22" t="n"/>
      <c r="J60" s="22" t="n"/>
      <c r="K60" s="22" t="n"/>
      <c r="L60" s="28">
        <f>SUM(I60:K60)</f>
        <v/>
      </c>
      <c r="M60" s="22" t="n"/>
      <c r="N60" s="22" t="n"/>
      <c r="O60" s="22" t="n"/>
      <c r="P60" s="22" t="n"/>
      <c r="Q60" s="22" t="n"/>
      <c r="S60" s="17">
        <f t="array" ref="S60:AF60">_xlfn.XLOOKUP(D60, CT:CT, CU:DH)</f>
        <v/>
      </c>
      <c r="T60" s="17" t="inlineStr">
        <is>
          <t>Biomass_Corn</t>
        </is>
      </c>
      <c r="U60" s="17" t="n">
        <v>0</v>
      </c>
      <c r="V60" s="17" t="n">
        <v>0.085342825</v>
      </c>
      <c r="W60" s="17" t="n">
        <v>3.104337995</v>
      </c>
      <c r="X60" s="17" t="n">
        <v>1.013397519</v>
      </c>
      <c r="Y60" s="17" t="n">
        <v>1.758866658</v>
      </c>
      <c r="Z60" s="17" t="n">
        <v>0.357687672</v>
      </c>
      <c r="AA60" s="17" t="n">
        <v>0.6860173939999999</v>
      </c>
      <c r="AB60" s="17" t="n">
        <v>0.152906423</v>
      </c>
      <c r="AC60" s="17" t="n">
        <v>0.032434696</v>
      </c>
      <c r="AD60" s="17" t="n">
        <v>45179.42</v>
      </c>
      <c r="AE60" s="17" t="n">
        <v>201481.25</v>
      </c>
      <c r="AF60" s="17" t="n">
        <v>-25.28</v>
      </c>
      <c r="AH60" s="15" t="n">
        <v>73.71884</v>
      </c>
      <c r="AI60" s="15" t="n">
        <v>-6.097314</v>
      </c>
      <c r="AJ60" s="15" t="n">
        <v>61.343403</v>
      </c>
      <c r="AK60" s="15" t="n">
        <v>33.004971</v>
      </c>
      <c r="AL60" s="15" t="n">
        <v>42.19561</v>
      </c>
      <c r="AM60" s="15" t="n">
        <v>155</v>
      </c>
      <c r="AN60" s="15" t="n">
        <v>22.90669</v>
      </c>
      <c r="AO60" s="15" t="n">
        <v>13.197062</v>
      </c>
      <c r="AP60" s="15" t="n">
        <v>14.953878</v>
      </c>
      <c r="AR60" s="1">
        <f>B60</f>
        <v/>
      </c>
      <c r="AS60" s="1">
        <f>C60</f>
        <v/>
      </c>
      <c r="AT60" s="11">
        <f>SUM(AW60:BI60)+BK60+BL60</f>
        <v/>
      </c>
      <c r="AU60" s="11">
        <f>SUM(AW60:BI60)+BN60+BO60</f>
        <v/>
      </c>
      <c r="AV60" s="5">
        <f>AT60-AU60</f>
        <v/>
      </c>
      <c r="AW60" s="5">
        <f>F60/L60*AO60</f>
        <v/>
      </c>
      <c r="AX60" s="1">
        <f>G60/L60*AN60</f>
        <v/>
      </c>
      <c r="AY60" s="1">
        <f>BS60</f>
        <v/>
      </c>
      <c r="AZ60" s="1">
        <f>H60/L60</f>
        <v/>
      </c>
      <c r="BA60" s="1">
        <f>BR60</f>
        <v/>
      </c>
      <c r="BB60" s="1">
        <f>BT60</f>
        <v/>
      </c>
      <c r="BC60" s="1">
        <f>BU60</f>
        <v/>
      </c>
      <c r="BD60" s="1">
        <f>O60/L60/(0.9*8760)</f>
        <v/>
      </c>
      <c r="BE60" s="1">
        <f>BV60</f>
        <v/>
      </c>
      <c r="BF60" s="1">
        <f>P60/L60/(0.9*8760)</f>
        <v/>
      </c>
      <c r="BG60" s="1">
        <f>BW60</f>
        <v/>
      </c>
      <c r="BH60" s="1">
        <f>Q60/L60</f>
        <v/>
      </c>
      <c r="BI60" s="1">
        <f>BX60</f>
        <v/>
      </c>
      <c r="BJ60" s="1">
        <f>(SUM(CK60:CP60)-CG60)/L60</f>
        <v/>
      </c>
      <c r="BK60" s="1">
        <f>((AH60+AI60)*-1*CL60)/L60</f>
        <v/>
      </c>
      <c r="BL60" s="1">
        <f>BJ60*AH60</f>
        <v/>
      </c>
      <c r="BM60" s="1">
        <f>(CK60+CM60+CN60+CO60+CP60-CG60)/L60</f>
        <v/>
      </c>
      <c r="BN60" s="1">
        <f>(CL60*AI60*-1)/L60</f>
        <v/>
      </c>
      <c r="BO60" s="1">
        <f>BM60*AH60</f>
        <v/>
      </c>
      <c r="BQ60" s="1">
        <f>S60</f>
        <v/>
      </c>
      <c r="BR60" s="1">
        <f>U60/W60/L60*AN60*-1</f>
        <v/>
      </c>
      <c r="BS60" s="1">
        <f>V60/W60/L60*AN60</f>
        <v/>
      </c>
      <c r="BT60" s="1">
        <f t="array" ref="BT60">_xlfn.IFS(T60="Biomass_Corn", 1/W60/L60*AM60, T60="Biomass_Agri", 1/W60/L60*AL60, T60="Biomass_Wood", 1/W60/L60*AK60, T60="Biomass_Herb", 1/W60/L60*AJ60)</f>
        <v/>
      </c>
      <c r="BU60" s="1">
        <f>X60/W60/L60*AP60</f>
        <v/>
      </c>
      <c r="BV60" s="1">
        <f>AD60/W60/L60/(0.9*8760)</f>
        <v/>
      </c>
      <c r="BW60" s="1">
        <f>AE60/W60/L60/(0.9*8760)</f>
        <v/>
      </c>
      <c r="BX60" s="1">
        <f>AF60/W60/L60</f>
        <v/>
      </c>
      <c r="BZ60" s="9" t="n">
        <v>0.2409589293</v>
      </c>
      <c r="CA60" s="9" t="n">
        <v>0.2418283623</v>
      </c>
      <c r="CB60" s="9" t="n">
        <v>0.2402551414</v>
      </c>
      <c r="CC60" s="17">
        <f>Y60</f>
        <v/>
      </c>
      <c r="CD60" s="10" t="n">
        <v>0.1828908353</v>
      </c>
      <c r="CE60" s="9" t="n">
        <v>0.23037491</v>
      </c>
      <c r="CG60" s="10">
        <f>CC60/W60</f>
        <v/>
      </c>
      <c r="CH60" s="10">
        <f>IF(X60=0, 0, CD60*X60/W60)</f>
        <v/>
      </c>
      <c r="CI60" s="10">
        <f>CE60</f>
        <v/>
      </c>
      <c r="CK60" s="17">
        <f>(AA60+AC60)/W60</f>
        <v/>
      </c>
      <c r="CL60" s="17">
        <f>(Z60+AB60)/W60</f>
        <v/>
      </c>
      <c r="CM60" s="10">
        <f>BZ60*I60</f>
        <v/>
      </c>
      <c r="CN60" s="10">
        <f>CA60*J60</f>
        <v/>
      </c>
      <c r="CO60" s="10">
        <f>CB60*K60</f>
        <v/>
      </c>
      <c r="CP60" s="10">
        <f>(N60)</f>
        <v/>
      </c>
      <c r="CR60" s="1">
        <f>SUM(CG60:CH60)-SUM(CK60:CP60)</f>
        <v/>
      </c>
    </row>
    <row r="61">
      <c r="B61" s="22" t="n"/>
      <c r="C61" s="23" t="n"/>
      <c r="D61" s="23" t="n">
        <v>6</v>
      </c>
      <c r="E61" s="23">
        <f>S61</f>
        <v/>
      </c>
      <c r="F61" s="22" t="n"/>
      <c r="G61" s="22" t="n"/>
      <c r="H61" s="22" t="n"/>
      <c r="I61" s="22" t="n"/>
      <c r="J61" s="22" t="n"/>
      <c r="K61" s="22" t="n"/>
      <c r="L61" s="28">
        <f>SUM(I61:K61)</f>
        <v/>
      </c>
      <c r="M61" s="22" t="n"/>
      <c r="N61" s="22" t="n"/>
      <c r="O61" s="22" t="n"/>
      <c r="P61" s="22" t="n"/>
      <c r="Q61" s="22" t="n"/>
      <c r="S61" s="17">
        <f t="array" ref="S61:AF61">_xlfn.XLOOKUP(D61, CT:CT, CU:DH)</f>
        <v/>
      </c>
      <c r="T61" s="17" t="inlineStr">
        <is>
          <t>Biomass_Corn</t>
        </is>
      </c>
      <c r="U61" s="17" t="n">
        <v>0</v>
      </c>
      <c r="V61" s="17" t="n">
        <v>0.085342825</v>
      </c>
      <c r="W61" s="17" t="n">
        <v>3.104337995</v>
      </c>
      <c r="X61" s="17" t="n">
        <v>1.013397519</v>
      </c>
      <c r="Y61" s="17" t="n">
        <v>1.758866658</v>
      </c>
      <c r="Z61" s="17" t="n">
        <v>0.357687672</v>
      </c>
      <c r="AA61" s="17" t="n">
        <v>0.6860173939999999</v>
      </c>
      <c r="AB61" s="17" t="n">
        <v>0.152906423</v>
      </c>
      <c r="AC61" s="17" t="n">
        <v>0.032434696</v>
      </c>
      <c r="AD61" s="17" t="n">
        <v>45179.42</v>
      </c>
      <c r="AE61" s="17" t="n">
        <v>201481.25</v>
      </c>
      <c r="AF61" s="17" t="n">
        <v>-25.28</v>
      </c>
      <c r="AH61" s="15" t="n">
        <v>73.71884</v>
      </c>
      <c r="AI61" s="15" t="n">
        <v>-6.097314</v>
      </c>
      <c r="AJ61" s="15" t="n">
        <v>61.343403</v>
      </c>
      <c r="AK61" s="15" t="n">
        <v>33.004971</v>
      </c>
      <c r="AL61" s="15" t="n">
        <v>42.19561</v>
      </c>
      <c r="AM61" s="15" t="n">
        <v>155</v>
      </c>
      <c r="AN61" s="15" t="n">
        <v>22.90669</v>
      </c>
      <c r="AO61" s="15" t="n">
        <v>13.197062</v>
      </c>
      <c r="AP61" s="15" t="n">
        <v>14.953878</v>
      </c>
      <c r="AR61" s="1">
        <f>B61</f>
        <v/>
      </c>
      <c r="AS61" s="1">
        <f>C61</f>
        <v/>
      </c>
      <c r="AT61" s="11">
        <f>SUM(AW61:BI61)+BK61+BL61</f>
        <v/>
      </c>
      <c r="AU61" s="11">
        <f>SUM(AW61:BI61)+BN61+BO61</f>
        <v/>
      </c>
      <c r="AV61" s="5">
        <f>AT61-AU61</f>
        <v/>
      </c>
      <c r="AW61" s="5">
        <f>F61/L61*AO61</f>
        <v/>
      </c>
      <c r="AX61" s="1">
        <f>G61/L61*AN61</f>
        <v/>
      </c>
      <c r="AY61" s="1">
        <f>BS61</f>
        <v/>
      </c>
      <c r="AZ61" s="1">
        <f>H61/L61</f>
        <v/>
      </c>
      <c r="BA61" s="1">
        <f>BR61</f>
        <v/>
      </c>
      <c r="BB61" s="1">
        <f>BT61</f>
        <v/>
      </c>
      <c r="BC61" s="1">
        <f>BU61</f>
        <v/>
      </c>
      <c r="BD61" s="1">
        <f>O61/L61/(0.9*8760)</f>
        <v/>
      </c>
      <c r="BE61" s="1">
        <f>BV61</f>
        <v/>
      </c>
      <c r="BF61" s="1">
        <f>P61/L61/(0.9*8760)</f>
        <v/>
      </c>
      <c r="BG61" s="1">
        <f>BW61</f>
        <v/>
      </c>
      <c r="BH61" s="1">
        <f>Q61/L61</f>
        <v/>
      </c>
      <c r="BI61" s="1">
        <f>BX61</f>
        <v/>
      </c>
      <c r="BJ61" s="1">
        <f>(SUM(CK61:CP61)-CG61)/L61</f>
        <v/>
      </c>
      <c r="BK61" s="1">
        <f>((AH61+AI61)*-1*CL61)/L61</f>
        <v/>
      </c>
      <c r="BL61" s="1">
        <f>BJ61*AH61</f>
        <v/>
      </c>
      <c r="BM61" s="1">
        <f>(CK61+CM61+CN61+CO61+CP61-CG61)/L61</f>
        <v/>
      </c>
      <c r="BN61" s="1">
        <f>(CL61*AI61*-1)/L61</f>
        <v/>
      </c>
      <c r="BO61" s="1">
        <f>BM61*AH61</f>
        <v/>
      </c>
      <c r="BQ61" s="1">
        <f>S61</f>
        <v/>
      </c>
      <c r="BR61" s="1">
        <f>U61/W61/L61*AN61*-1</f>
        <v/>
      </c>
      <c r="BS61" s="1">
        <f>V61/W61/L61*AN61</f>
        <v/>
      </c>
      <c r="BT61" s="1">
        <f t="array" ref="BT61">_xlfn.IFS(T61="Biomass_Corn", 1/W61/L61*AM61, T61="Biomass_Agri", 1/W61/L61*AL61, T61="Biomass_Wood", 1/W61/L61*AK61, T61="Biomass_Herb", 1/W61/L61*AJ61)</f>
        <v/>
      </c>
      <c r="BU61" s="1">
        <f>X61/W61/L61*AP61</f>
        <v/>
      </c>
      <c r="BV61" s="1">
        <f>AD61/W61/L61/(0.9*8760)</f>
        <v/>
      </c>
      <c r="BW61" s="1">
        <f>AE61/W61/L61/(0.9*8760)</f>
        <v/>
      </c>
      <c r="BX61" s="1">
        <f>AF61/W61/L61</f>
        <v/>
      </c>
      <c r="BZ61" s="9" t="n">
        <v>0.2409589293</v>
      </c>
      <c r="CA61" s="9" t="n">
        <v>0.2418283623</v>
      </c>
      <c r="CB61" s="9" t="n">
        <v>0.2402551414</v>
      </c>
      <c r="CC61" s="17">
        <f>Y61</f>
        <v/>
      </c>
      <c r="CD61" s="10" t="n">
        <v>0.1828908353</v>
      </c>
      <c r="CE61" s="9" t="n">
        <v>0.23037491</v>
      </c>
      <c r="CG61" s="10">
        <f>CC61/W61</f>
        <v/>
      </c>
      <c r="CH61" s="10">
        <f>IF(X61=0, 0, CD61*X61/W61)</f>
        <v/>
      </c>
      <c r="CI61" s="10">
        <f>CE61</f>
        <v/>
      </c>
      <c r="CK61" s="17">
        <f>(AA61+AC61)/W61</f>
        <v/>
      </c>
      <c r="CL61" s="17">
        <f>(Z61+AB61)/W61</f>
        <v/>
      </c>
      <c r="CM61" s="10">
        <f>BZ61*I61</f>
        <v/>
      </c>
      <c r="CN61" s="10">
        <f>CA61*J61</f>
        <v/>
      </c>
      <c r="CO61" s="10">
        <f>CB61*K61</f>
        <v/>
      </c>
      <c r="CP61" s="10">
        <f>(N61)</f>
        <v/>
      </c>
      <c r="CR61" s="1">
        <f>SUM(CG61:CH61)-SUM(CK61:CP61)</f>
        <v/>
      </c>
    </row>
    <row r="62">
      <c r="B62" s="22" t="n"/>
      <c r="C62" s="23" t="n"/>
      <c r="D62" s="23" t="n">
        <v>6</v>
      </c>
      <c r="E62" s="23">
        <f>S62</f>
        <v/>
      </c>
      <c r="F62" s="22" t="n"/>
      <c r="G62" s="22" t="n"/>
      <c r="H62" s="22" t="n"/>
      <c r="I62" s="22" t="n"/>
      <c r="J62" s="22" t="n"/>
      <c r="K62" s="22" t="n"/>
      <c r="L62" s="28">
        <f>SUM(I62:K62)</f>
        <v/>
      </c>
      <c r="M62" s="22" t="n"/>
      <c r="N62" s="22" t="n"/>
      <c r="O62" s="22" t="n"/>
      <c r="P62" s="22" t="n"/>
      <c r="Q62" s="22" t="n"/>
      <c r="S62" s="17">
        <f t="array" ref="S62:AF62">_xlfn.XLOOKUP(D62, CT:CT, CU:DH)</f>
        <v/>
      </c>
      <c r="T62" s="17" t="inlineStr">
        <is>
          <t>Biomass_Corn</t>
        </is>
      </c>
      <c r="U62" s="17" t="n">
        <v>0</v>
      </c>
      <c r="V62" s="17" t="n">
        <v>0.085342825</v>
      </c>
      <c r="W62" s="17" t="n">
        <v>3.104337995</v>
      </c>
      <c r="X62" s="17" t="n">
        <v>1.013397519</v>
      </c>
      <c r="Y62" s="17" t="n">
        <v>1.758866658</v>
      </c>
      <c r="Z62" s="17" t="n">
        <v>0.357687672</v>
      </c>
      <c r="AA62" s="17" t="n">
        <v>0.6860173939999999</v>
      </c>
      <c r="AB62" s="17" t="n">
        <v>0.152906423</v>
      </c>
      <c r="AC62" s="17" t="n">
        <v>0.032434696</v>
      </c>
      <c r="AD62" s="17" t="n">
        <v>45179.42</v>
      </c>
      <c r="AE62" s="17" t="n">
        <v>201481.25</v>
      </c>
      <c r="AF62" s="17" t="n">
        <v>-25.28</v>
      </c>
      <c r="AH62" s="15" t="n">
        <v>73.71884</v>
      </c>
      <c r="AI62" s="15" t="n">
        <v>-6.097314</v>
      </c>
      <c r="AJ62" s="15" t="n">
        <v>61.343403</v>
      </c>
      <c r="AK62" s="15" t="n">
        <v>33.004971</v>
      </c>
      <c r="AL62" s="15" t="n">
        <v>42.19561</v>
      </c>
      <c r="AM62" s="15" t="n">
        <v>155</v>
      </c>
      <c r="AN62" s="15" t="n">
        <v>22.90669</v>
      </c>
      <c r="AO62" s="15" t="n">
        <v>13.197062</v>
      </c>
      <c r="AP62" s="15" t="n">
        <v>14.953878</v>
      </c>
      <c r="AR62" s="1">
        <f>B62</f>
        <v/>
      </c>
      <c r="AS62" s="1">
        <f>C62</f>
        <v/>
      </c>
      <c r="AT62" s="11">
        <f>SUM(AW62:BI62)+BK62+BL62</f>
        <v/>
      </c>
      <c r="AU62" s="11">
        <f>SUM(AW62:BI62)+BN62+BO62</f>
        <v/>
      </c>
      <c r="AV62" s="5">
        <f>AT62-AU62</f>
        <v/>
      </c>
      <c r="AW62" s="5">
        <f>F62/L62*AO62</f>
        <v/>
      </c>
      <c r="AX62" s="1">
        <f>G62/L62*AN62</f>
        <v/>
      </c>
      <c r="AY62" s="1">
        <f>BS62</f>
        <v/>
      </c>
      <c r="AZ62" s="1">
        <f>H62/L62</f>
        <v/>
      </c>
      <c r="BA62" s="1">
        <f>BR62</f>
        <v/>
      </c>
      <c r="BB62" s="1">
        <f>BT62</f>
        <v/>
      </c>
      <c r="BC62" s="1">
        <f>BU62</f>
        <v/>
      </c>
      <c r="BD62" s="1">
        <f>O62/L62/(0.9*8760)</f>
        <v/>
      </c>
      <c r="BE62" s="1">
        <f>BV62</f>
        <v/>
      </c>
      <c r="BF62" s="1">
        <f>P62/L62/(0.9*8760)</f>
        <v/>
      </c>
      <c r="BG62" s="1">
        <f>BW62</f>
        <v/>
      </c>
      <c r="BH62" s="1">
        <f>Q62/L62</f>
        <v/>
      </c>
      <c r="BI62" s="1">
        <f>BX62</f>
        <v/>
      </c>
      <c r="BJ62" s="1">
        <f>(SUM(CK62:CP62)-CG62)/L62</f>
        <v/>
      </c>
      <c r="BK62" s="1">
        <f>((AH62+AI62)*-1*CL62)/L62</f>
        <v/>
      </c>
      <c r="BL62" s="1">
        <f>BJ62*AH62</f>
        <v/>
      </c>
      <c r="BM62" s="1">
        <f>(CK62+CM62+CN62+CO62+CP62-CG62)/L62</f>
        <v/>
      </c>
      <c r="BN62" s="1">
        <f>(CL62*AI62*-1)/L62</f>
        <v/>
      </c>
      <c r="BO62" s="1">
        <f>BM62*AH62</f>
        <v/>
      </c>
      <c r="BQ62" s="1">
        <f>S62</f>
        <v/>
      </c>
      <c r="BR62" s="1">
        <f>U62/W62/L62*AN62*-1</f>
        <v/>
      </c>
      <c r="BS62" s="1">
        <f>V62/W62/L62*AN62</f>
        <v/>
      </c>
      <c r="BT62" s="1">
        <f t="array" ref="BT62">_xlfn.IFS(T62="Biomass_Corn", 1/W62/L62*AM62, T62="Biomass_Agri", 1/W62/L62*AL62, T62="Biomass_Wood", 1/W62/L62*AK62, T62="Biomass_Herb", 1/W62/L62*AJ62)</f>
        <v/>
      </c>
      <c r="BU62" s="1">
        <f>X62/W62/L62*AP62</f>
        <v/>
      </c>
      <c r="BV62" s="1">
        <f>AD62/W62/L62/(0.9*8760)</f>
        <v/>
      </c>
      <c r="BW62" s="1">
        <f>AE62/W62/L62/(0.9*8760)</f>
        <v/>
      </c>
      <c r="BX62" s="1">
        <f>AF62/W62/L62</f>
        <v/>
      </c>
      <c r="BZ62" s="9" t="n">
        <v>0.2409589293</v>
      </c>
      <c r="CA62" s="9" t="n">
        <v>0.2418283623</v>
      </c>
      <c r="CB62" s="9" t="n">
        <v>0.2402551414</v>
      </c>
      <c r="CC62" s="17">
        <f>Y62</f>
        <v/>
      </c>
      <c r="CD62" s="10" t="n">
        <v>0.1828908353</v>
      </c>
      <c r="CE62" s="9" t="n">
        <v>0.23037491</v>
      </c>
      <c r="CG62" s="10">
        <f>CC62/W62</f>
        <v/>
      </c>
      <c r="CH62" s="10">
        <f>IF(X62=0, 0, CD62*X62/W62)</f>
        <v/>
      </c>
      <c r="CI62" s="10">
        <f>CE62</f>
        <v/>
      </c>
      <c r="CK62" s="17">
        <f>(AA62+AC62)/W62</f>
        <v/>
      </c>
      <c r="CL62" s="17">
        <f>(Z62+AB62)/W62</f>
        <v/>
      </c>
      <c r="CM62" s="10">
        <f>BZ62*I62</f>
        <v/>
      </c>
      <c r="CN62" s="10">
        <f>CA62*J62</f>
        <v/>
      </c>
      <c r="CO62" s="10">
        <f>CB62*K62</f>
        <v/>
      </c>
      <c r="CP62" s="10">
        <f>(N62)</f>
        <v/>
      </c>
      <c r="CR62" s="1">
        <f>SUM(CG62:CH62)-SUM(CK62:CP62)</f>
        <v/>
      </c>
    </row>
    <row r="63">
      <c r="B63" s="22" t="n"/>
      <c r="C63" s="23" t="n"/>
      <c r="D63" s="23" t="n">
        <v>6</v>
      </c>
      <c r="E63" s="23">
        <f>S63</f>
        <v/>
      </c>
      <c r="F63" s="22" t="n"/>
      <c r="G63" s="22" t="n"/>
      <c r="H63" s="22" t="n"/>
      <c r="I63" s="22" t="n"/>
      <c r="J63" s="22" t="n"/>
      <c r="K63" s="22" t="n"/>
      <c r="L63" s="28">
        <f>SUM(I63:K63)</f>
        <v/>
      </c>
      <c r="M63" s="22" t="n"/>
      <c r="N63" s="22" t="n"/>
      <c r="O63" s="22" t="n"/>
      <c r="P63" s="22" t="n"/>
      <c r="Q63" s="22" t="n"/>
      <c r="S63" s="17">
        <f t="array" ref="S63:AF63">_xlfn.XLOOKUP(D63, CT:CT, CU:DH)</f>
        <v/>
      </c>
      <c r="T63" s="17" t="inlineStr">
        <is>
          <t>Biomass_Corn</t>
        </is>
      </c>
      <c r="U63" s="17" t="n">
        <v>0</v>
      </c>
      <c r="V63" s="17" t="n">
        <v>0.085342825</v>
      </c>
      <c r="W63" s="17" t="n">
        <v>3.104337995</v>
      </c>
      <c r="X63" s="17" t="n">
        <v>1.013397519</v>
      </c>
      <c r="Y63" s="17" t="n">
        <v>1.758866658</v>
      </c>
      <c r="Z63" s="17" t="n">
        <v>0.357687672</v>
      </c>
      <c r="AA63" s="17" t="n">
        <v>0.6860173939999999</v>
      </c>
      <c r="AB63" s="17" t="n">
        <v>0.152906423</v>
      </c>
      <c r="AC63" s="17" t="n">
        <v>0.032434696</v>
      </c>
      <c r="AD63" s="17" t="n">
        <v>45179.42</v>
      </c>
      <c r="AE63" s="17" t="n">
        <v>201481.25</v>
      </c>
      <c r="AF63" s="17" t="n">
        <v>-25.28</v>
      </c>
      <c r="AH63" s="15" t="n">
        <v>73.71884</v>
      </c>
      <c r="AI63" s="15" t="n">
        <v>-6.097314</v>
      </c>
      <c r="AJ63" s="15" t="n">
        <v>61.343403</v>
      </c>
      <c r="AK63" s="15" t="n">
        <v>33.004971</v>
      </c>
      <c r="AL63" s="15" t="n">
        <v>42.19561</v>
      </c>
      <c r="AM63" s="15" t="n">
        <v>155</v>
      </c>
      <c r="AN63" s="15" t="n">
        <v>22.90669</v>
      </c>
      <c r="AO63" s="15" t="n">
        <v>13.197062</v>
      </c>
      <c r="AP63" s="15" t="n">
        <v>14.953878</v>
      </c>
      <c r="AR63" s="1">
        <f>B63</f>
        <v/>
      </c>
      <c r="AS63" s="1">
        <f>C63</f>
        <v/>
      </c>
      <c r="AT63" s="11">
        <f>SUM(AW63:BI63)+BK63+BL63</f>
        <v/>
      </c>
      <c r="AU63" s="11">
        <f>SUM(AW63:BI63)+BN63+BO63</f>
        <v/>
      </c>
      <c r="AV63" s="5">
        <f>AT63-AU63</f>
        <v/>
      </c>
      <c r="AW63" s="5">
        <f>F63/L63*AO63</f>
        <v/>
      </c>
      <c r="AX63" s="1">
        <f>G63/L63*AN63</f>
        <v/>
      </c>
      <c r="AY63" s="1">
        <f>BS63</f>
        <v/>
      </c>
      <c r="AZ63" s="1">
        <f>H63/L63</f>
        <v/>
      </c>
      <c r="BA63" s="1">
        <f>BR63</f>
        <v/>
      </c>
      <c r="BB63" s="1">
        <f>BT63</f>
        <v/>
      </c>
      <c r="BC63" s="1">
        <f>BU63</f>
        <v/>
      </c>
      <c r="BD63" s="1">
        <f>O63/L63/(0.9*8760)</f>
        <v/>
      </c>
      <c r="BE63" s="1">
        <f>BV63</f>
        <v/>
      </c>
      <c r="BF63" s="1">
        <f>P63/L63/(0.9*8760)</f>
        <v/>
      </c>
      <c r="BG63" s="1">
        <f>BW63</f>
        <v/>
      </c>
      <c r="BH63" s="1">
        <f>Q63/L63</f>
        <v/>
      </c>
      <c r="BI63" s="1">
        <f>BX63</f>
        <v/>
      </c>
      <c r="BJ63" s="1">
        <f>(SUM(CK63:CP63)-CG63)/L63</f>
        <v/>
      </c>
      <c r="BK63" s="1">
        <f>((AH63+AI63)*-1*CL63)/L63</f>
        <v/>
      </c>
      <c r="BL63" s="1">
        <f>BJ63*AH63</f>
        <v/>
      </c>
      <c r="BM63" s="1">
        <f>(CK63+CM63+CN63+CO63+CP63-CG63)/L63</f>
        <v/>
      </c>
      <c r="BN63" s="1">
        <f>(CL63*AI63*-1)/L63</f>
        <v/>
      </c>
      <c r="BO63" s="1">
        <f>BM63*AH63</f>
        <v/>
      </c>
      <c r="BQ63" s="1">
        <f>S63</f>
        <v/>
      </c>
      <c r="BR63" s="1">
        <f>U63/W63/L63*AN63*-1</f>
        <v/>
      </c>
      <c r="BS63" s="1">
        <f>V63/W63/L63*AN63</f>
        <v/>
      </c>
      <c r="BT63" s="1">
        <f t="array" ref="BT63">_xlfn.IFS(T63="Biomass_Corn", 1/W63/L63*AM63, T63="Biomass_Agri", 1/W63/L63*AL63, T63="Biomass_Wood", 1/W63/L63*AK63, T63="Biomass_Herb", 1/W63/L63*AJ63)</f>
        <v/>
      </c>
      <c r="BU63" s="1">
        <f>X63/W63/L63*AP63</f>
        <v/>
      </c>
      <c r="BV63" s="1">
        <f>AD63/W63/L63/(0.9*8760)</f>
        <v/>
      </c>
      <c r="BW63" s="1">
        <f>AE63/W63/L63/(0.9*8760)</f>
        <v/>
      </c>
      <c r="BX63" s="1">
        <f>AF63/W63/L63</f>
        <v/>
      </c>
      <c r="BZ63" s="9" t="n">
        <v>0.2409589293</v>
      </c>
      <c r="CA63" s="9" t="n">
        <v>0.2418283623</v>
      </c>
      <c r="CB63" s="9" t="n">
        <v>0.2402551414</v>
      </c>
      <c r="CC63" s="17">
        <f>Y63</f>
        <v/>
      </c>
      <c r="CD63" s="10" t="n">
        <v>0.1828908353</v>
      </c>
      <c r="CE63" s="9" t="n">
        <v>0.23037491</v>
      </c>
      <c r="CG63" s="10">
        <f>CC63/W63</f>
        <v/>
      </c>
      <c r="CH63" s="10">
        <f>IF(X63=0, 0, CD63*X63/W63)</f>
        <v/>
      </c>
      <c r="CI63" s="10">
        <f>CE63</f>
        <v/>
      </c>
      <c r="CK63" s="17">
        <f>(AA63+AC63)/W63</f>
        <v/>
      </c>
      <c r="CL63" s="17">
        <f>(Z63+AB63)/W63</f>
        <v/>
      </c>
      <c r="CM63" s="10">
        <f>BZ63*I63</f>
        <v/>
      </c>
      <c r="CN63" s="10">
        <f>CA63*J63</f>
        <v/>
      </c>
      <c r="CO63" s="10">
        <f>CB63*K63</f>
        <v/>
      </c>
      <c r="CP63" s="10">
        <f>(N63)</f>
        <v/>
      </c>
      <c r="CR63" s="1">
        <f>SUM(CG63:CH63)-SUM(CK63:CP63)</f>
        <v/>
      </c>
    </row>
    <row r="64">
      <c r="B64" s="22" t="n"/>
      <c r="C64" s="23" t="n"/>
      <c r="D64" s="23" t="n">
        <v>6</v>
      </c>
      <c r="E64" s="23">
        <f>S64</f>
        <v/>
      </c>
      <c r="F64" s="22" t="n"/>
      <c r="G64" s="22" t="n"/>
      <c r="H64" s="22" t="n"/>
      <c r="I64" s="22" t="n"/>
      <c r="J64" s="22" t="n"/>
      <c r="K64" s="22" t="n"/>
      <c r="L64" s="28">
        <f>SUM(I64:K64)</f>
        <v/>
      </c>
      <c r="M64" s="22" t="n"/>
      <c r="N64" s="22" t="n"/>
      <c r="O64" s="22" t="n"/>
      <c r="P64" s="22" t="n"/>
      <c r="Q64" s="22" t="n"/>
      <c r="S64" s="17">
        <f t="array" ref="S64:AF64">_xlfn.XLOOKUP(D64, CT:CT, CU:DH)</f>
        <v/>
      </c>
      <c r="T64" s="17" t="inlineStr">
        <is>
          <t>Biomass_Corn</t>
        </is>
      </c>
      <c r="U64" s="17" t="n">
        <v>0</v>
      </c>
      <c r="V64" s="17" t="n">
        <v>0.085342825</v>
      </c>
      <c r="W64" s="17" t="n">
        <v>3.104337995</v>
      </c>
      <c r="X64" s="17" t="n">
        <v>1.013397519</v>
      </c>
      <c r="Y64" s="17" t="n">
        <v>1.758866658</v>
      </c>
      <c r="Z64" s="17" t="n">
        <v>0.357687672</v>
      </c>
      <c r="AA64" s="17" t="n">
        <v>0.6860173939999999</v>
      </c>
      <c r="AB64" s="17" t="n">
        <v>0.152906423</v>
      </c>
      <c r="AC64" s="17" t="n">
        <v>0.032434696</v>
      </c>
      <c r="AD64" s="17" t="n">
        <v>45179.42</v>
      </c>
      <c r="AE64" s="17" t="n">
        <v>201481.25</v>
      </c>
      <c r="AF64" s="17" t="n">
        <v>-25.28</v>
      </c>
      <c r="AH64" s="15" t="n">
        <v>73.71884</v>
      </c>
      <c r="AI64" s="15" t="n">
        <v>-6.097314</v>
      </c>
      <c r="AJ64" s="15" t="n">
        <v>61.343403</v>
      </c>
      <c r="AK64" s="15" t="n">
        <v>33.004971</v>
      </c>
      <c r="AL64" s="15" t="n">
        <v>42.19561</v>
      </c>
      <c r="AM64" s="15" t="n">
        <v>155</v>
      </c>
      <c r="AN64" s="15" t="n">
        <v>22.90669</v>
      </c>
      <c r="AO64" s="15" t="n">
        <v>13.197062</v>
      </c>
      <c r="AP64" s="15" t="n">
        <v>14.953878</v>
      </c>
      <c r="AR64" s="1">
        <f>B64</f>
        <v/>
      </c>
      <c r="AS64" s="1">
        <f>C64</f>
        <v/>
      </c>
      <c r="AT64" s="11">
        <f>SUM(AW64:BI64)+BK64+BL64</f>
        <v/>
      </c>
      <c r="AU64" s="11">
        <f>SUM(AW64:BI64)+BN64+BO64</f>
        <v/>
      </c>
      <c r="AV64" s="5">
        <f>AT64-AU64</f>
        <v/>
      </c>
      <c r="AW64" s="5">
        <f>F64/L64*AO64</f>
        <v/>
      </c>
      <c r="AX64" s="1">
        <f>G64/L64*AN64</f>
        <v/>
      </c>
      <c r="AY64" s="1">
        <f>BS64</f>
        <v/>
      </c>
      <c r="AZ64" s="1">
        <f>H64/L64</f>
        <v/>
      </c>
      <c r="BA64" s="1">
        <f>BR64</f>
        <v/>
      </c>
      <c r="BB64" s="1">
        <f>BT64</f>
        <v/>
      </c>
      <c r="BC64" s="1">
        <f>BU64</f>
        <v/>
      </c>
      <c r="BD64" s="1">
        <f>O64/L64/(0.9*8760)</f>
        <v/>
      </c>
      <c r="BE64" s="1">
        <f>BV64</f>
        <v/>
      </c>
      <c r="BF64" s="1">
        <f>P64/L64/(0.9*8760)</f>
        <v/>
      </c>
      <c r="BG64" s="1">
        <f>BW64</f>
        <v/>
      </c>
      <c r="BH64" s="1">
        <f>Q64/L64</f>
        <v/>
      </c>
      <c r="BI64" s="1">
        <f>BX64</f>
        <v/>
      </c>
      <c r="BJ64" s="1">
        <f>(SUM(CK64:CP64)-CG64)/L64</f>
        <v/>
      </c>
      <c r="BK64" s="1">
        <f>((AH64+AI64)*-1*CL64)/L64</f>
        <v/>
      </c>
      <c r="BL64" s="1">
        <f>BJ64*AH64</f>
        <v/>
      </c>
      <c r="BM64" s="1">
        <f>(CK64+CM64+CN64+CO64+CP64-CG64)/L64</f>
        <v/>
      </c>
      <c r="BN64" s="1">
        <f>(CL64*AI64*-1)/L64</f>
        <v/>
      </c>
      <c r="BO64" s="1">
        <f>BM64*AH64</f>
        <v/>
      </c>
      <c r="BQ64" s="1">
        <f>S64</f>
        <v/>
      </c>
      <c r="BR64" s="1">
        <f>U64/W64/L64*AN64*-1</f>
        <v/>
      </c>
      <c r="BS64" s="1">
        <f>V64/W64/L64*AN64</f>
        <v/>
      </c>
      <c r="BT64" s="1">
        <f t="array" ref="BT64">_xlfn.IFS(T64="Biomass_Corn", 1/W64/L64*AM64, T64="Biomass_Agri", 1/W64/L64*AL64, T64="Biomass_Wood", 1/W64/L64*AK64, T64="Biomass_Herb", 1/W64/L64*AJ64)</f>
        <v/>
      </c>
      <c r="BU64" s="1">
        <f>X64/W64/L64*AP64</f>
        <v/>
      </c>
      <c r="BV64" s="1">
        <f>AD64/W64/L64/(0.9*8760)</f>
        <v/>
      </c>
      <c r="BW64" s="1">
        <f>AE64/W64/L64/(0.9*8760)</f>
        <v/>
      </c>
      <c r="BX64" s="1">
        <f>AF64/W64/L64</f>
        <v/>
      </c>
      <c r="BZ64" s="9" t="n">
        <v>0.2409589293</v>
      </c>
      <c r="CA64" s="9" t="n">
        <v>0.2418283623</v>
      </c>
      <c r="CB64" s="9" t="n">
        <v>0.2402551414</v>
      </c>
      <c r="CC64" s="17">
        <f>Y64</f>
        <v/>
      </c>
      <c r="CD64" s="10" t="n">
        <v>0.1828908353</v>
      </c>
      <c r="CE64" s="9" t="n">
        <v>0.23037491</v>
      </c>
      <c r="CG64" s="10">
        <f>CC64/W64</f>
        <v/>
      </c>
      <c r="CH64" s="10">
        <f>IF(X64=0, 0, CD64*X64/W64)</f>
        <v/>
      </c>
      <c r="CI64" s="10">
        <f>CE64</f>
        <v/>
      </c>
      <c r="CK64" s="17">
        <f>(AA64+AC64)/W64</f>
        <v/>
      </c>
      <c r="CL64" s="17">
        <f>(Z64+AB64)/W64</f>
        <v/>
      </c>
      <c r="CM64" s="10">
        <f>BZ64*I64</f>
        <v/>
      </c>
      <c r="CN64" s="10">
        <f>CA64*J64</f>
        <v/>
      </c>
      <c r="CO64" s="10">
        <f>CB64*K64</f>
        <v/>
      </c>
      <c r="CP64" s="10">
        <f>(N64)</f>
        <v/>
      </c>
      <c r="CR64" s="1">
        <f>SUM(CG64:CH64)-SUM(CK64:CP64)</f>
        <v/>
      </c>
    </row>
    <row r="65">
      <c r="B65" s="22" t="n"/>
      <c r="C65" s="23" t="n"/>
      <c r="D65" s="23" t="n">
        <v>6</v>
      </c>
      <c r="E65" s="23">
        <f>S65</f>
        <v/>
      </c>
      <c r="F65" s="22" t="n"/>
      <c r="G65" s="22" t="n"/>
      <c r="H65" s="22" t="n"/>
      <c r="I65" s="22" t="n"/>
      <c r="J65" s="22" t="n"/>
      <c r="K65" s="22" t="n"/>
      <c r="L65" s="28">
        <f>SUM(I65:K65)</f>
        <v/>
      </c>
      <c r="M65" s="22" t="n"/>
      <c r="N65" s="22" t="n"/>
      <c r="O65" s="22" t="n"/>
      <c r="P65" s="22" t="n"/>
      <c r="Q65" s="22" t="n"/>
      <c r="S65" s="17">
        <f t="array" ref="S65:AF65">_xlfn.XLOOKUP(D65, CT:CT, CU:DH)</f>
        <v/>
      </c>
      <c r="T65" s="17" t="inlineStr">
        <is>
          <t>Biomass_Corn</t>
        </is>
      </c>
      <c r="U65" s="17" t="n">
        <v>0</v>
      </c>
      <c r="V65" s="17" t="n">
        <v>0.085342825</v>
      </c>
      <c r="W65" s="17" t="n">
        <v>3.104337995</v>
      </c>
      <c r="X65" s="17" t="n">
        <v>1.013397519</v>
      </c>
      <c r="Y65" s="17" t="n">
        <v>1.758866658</v>
      </c>
      <c r="Z65" s="17" t="n">
        <v>0.357687672</v>
      </c>
      <c r="AA65" s="17" t="n">
        <v>0.6860173939999999</v>
      </c>
      <c r="AB65" s="17" t="n">
        <v>0.152906423</v>
      </c>
      <c r="AC65" s="17" t="n">
        <v>0.032434696</v>
      </c>
      <c r="AD65" s="17" t="n">
        <v>45179.42</v>
      </c>
      <c r="AE65" s="17" t="n">
        <v>201481.25</v>
      </c>
      <c r="AF65" s="17" t="n">
        <v>-25.28</v>
      </c>
      <c r="AH65" s="15" t="n">
        <v>73.71884</v>
      </c>
      <c r="AI65" s="15" t="n">
        <v>-6.097314</v>
      </c>
      <c r="AJ65" s="15" t="n">
        <v>61.343403</v>
      </c>
      <c r="AK65" s="15" t="n">
        <v>33.004971</v>
      </c>
      <c r="AL65" s="15" t="n">
        <v>42.19561</v>
      </c>
      <c r="AM65" s="15" t="n">
        <v>155</v>
      </c>
      <c r="AN65" s="15" t="n">
        <v>22.90669</v>
      </c>
      <c r="AO65" s="15" t="n">
        <v>13.197062</v>
      </c>
      <c r="AP65" s="15" t="n">
        <v>14.953878</v>
      </c>
      <c r="AR65" s="1">
        <f>B65</f>
        <v/>
      </c>
      <c r="AS65" s="1">
        <f>C65</f>
        <v/>
      </c>
      <c r="AT65" s="11">
        <f>SUM(AW65:BI65)+BK65+BL65</f>
        <v/>
      </c>
      <c r="AU65" s="11">
        <f>SUM(AW65:BI65)+BN65+BO65</f>
        <v/>
      </c>
      <c r="AV65" s="5">
        <f>AT65-AU65</f>
        <v/>
      </c>
      <c r="AW65" s="5">
        <f>F65/L65*AO65</f>
        <v/>
      </c>
      <c r="AX65" s="1">
        <f>G65/L65*AN65</f>
        <v/>
      </c>
      <c r="AY65" s="1">
        <f>BS65</f>
        <v/>
      </c>
      <c r="AZ65" s="1">
        <f>H65/L65</f>
        <v/>
      </c>
      <c r="BA65" s="1">
        <f>BR65</f>
        <v/>
      </c>
      <c r="BB65" s="1">
        <f>BT65</f>
        <v/>
      </c>
      <c r="BC65" s="1">
        <f>BU65</f>
        <v/>
      </c>
      <c r="BD65" s="1">
        <f>O65/L65/(0.9*8760)</f>
        <v/>
      </c>
      <c r="BE65" s="1">
        <f>BV65</f>
        <v/>
      </c>
      <c r="BF65" s="1">
        <f>P65/L65/(0.9*8760)</f>
        <v/>
      </c>
      <c r="BG65" s="1">
        <f>BW65</f>
        <v/>
      </c>
      <c r="BH65" s="1">
        <f>Q65/L65</f>
        <v/>
      </c>
      <c r="BI65" s="1">
        <f>BX65</f>
        <v/>
      </c>
      <c r="BJ65" s="1">
        <f>(SUM(CK65:CP65)-CG65)/L65</f>
        <v/>
      </c>
      <c r="BK65" s="1">
        <f>((AH65+AI65)*-1*CL65)/L65</f>
        <v/>
      </c>
      <c r="BL65" s="1">
        <f>BJ65*AH65</f>
        <v/>
      </c>
      <c r="BM65" s="1">
        <f>(CK65+CM65+CN65+CO65+CP65-CG65)/L65</f>
        <v/>
      </c>
      <c r="BN65" s="1">
        <f>(CL65*AI65*-1)/L65</f>
        <v/>
      </c>
      <c r="BO65" s="1">
        <f>BM65*AH65</f>
        <v/>
      </c>
      <c r="BQ65" s="1">
        <f>S65</f>
        <v/>
      </c>
      <c r="BR65" s="1">
        <f>U65/W65/L65*AN65*-1</f>
        <v/>
      </c>
      <c r="BS65" s="1">
        <f>V65/W65/L65*AN65</f>
        <v/>
      </c>
      <c r="BT65" s="1">
        <f t="array" ref="BT65">_xlfn.IFS(T65="Biomass_Corn", 1/W65/L65*AM65, T65="Biomass_Agri", 1/W65/L65*AL65, T65="Biomass_Wood", 1/W65/L65*AK65, T65="Biomass_Herb", 1/W65/L65*AJ65)</f>
        <v/>
      </c>
      <c r="BU65" s="1">
        <f>X65/W65/L65*AP65</f>
        <v/>
      </c>
      <c r="BV65" s="1">
        <f>AD65/W65/L65/(0.9*8760)</f>
        <v/>
      </c>
      <c r="BW65" s="1">
        <f>AE65/W65/L65/(0.9*8760)</f>
        <v/>
      </c>
      <c r="BX65" s="1">
        <f>AF65/W65/L65</f>
        <v/>
      </c>
      <c r="BZ65" s="9" t="n">
        <v>0.2409589293</v>
      </c>
      <c r="CA65" s="9" t="n">
        <v>0.2418283623</v>
      </c>
      <c r="CB65" s="9" t="n">
        <v>0.2402551414</v>
      </c>
      <c r="CC65" s="17">
        <f>Y65</f>
        <v/>
      </c>
      <c r="CD65" s="10" t="n">
        <v>0.1828908353</v>
      </c>
      <c r="CE65" s="9" t="n">
        <v>0.23037491</v>
      </c>
      <c r="CG65" s="10">
        <f>CC65/W65</f>
        <v/>
      </c>
      <c r="CH65" s="10">
        <f>IF(X65=0, 0, CD65*X65/W65)</f>
        <v/>
      </c>
      <c r="CI65" s="10">
        <f>CE65</f>
        <v/>
      </c>
      <c r="CK65" s="17">
        <f>(AA65+AC65)/W65</f>
        <v/>
      </c>
      <c r="CL65" s="17">
        <f>(Z65+AB65)/W65</f>
        <v/>
      </c>
      <c r="CM65" s="10">
        <f>BZ65*I65</f>
        <v/>
      </c>
      <c r="CN65" s="10">
        <f>CA65*J65</f>
        <v/>
      </c>
      <c r="CO65" s="10">
        <f>CB65*K65</f>
        <v/>
      </c>
      <c r="CP65" s="10">
        <f>(N65)</f>
        <v/>
      </c>
      <c r="CR65" s="1">
        <f>SUM(CG65:CH65)-SUM(CK65:CP65)</f>
        <v/>
      </c>
    </row>
    <row r="66">
      <c r="B66" s="22" t="n"/>
      <c r="C66" s="23" t="n"/>
      <c r="D66" s="23" t="n">
        <v>6</v>
      </c>
      <c r="E66" s="23">
        <f>S66</f>
        <v/>
      </c>
      <c r="F66" s="22" t="n"/>
      <c r="G66" s="22" t="n"/>
      <c r="H66" s="22" t="n"/>
      <c r="I66" s="22" t="n"/>
      <c r="J66" s="22" t="n"/>
      <c r="K66" s="22" t="n"/>
      <c r="L66" s="28">
        <f>SUM(I66:K66)</f>
        <v/>
      </c>
      <c r="M66" s="22" t="n"/>
      <c r="N66" s="22" t="n"/>
      <c r="O66" s="22" t="n"/>
      <c r="P66" s="22" t="n"/>
      <c r="Q66" s="22" t="n"/>
      <c r="S66" s="17">
        <f t="array" ref="S66:AF66">_xlfn.XLOOKUP(D66, CT:CT, CU:DH)</f>
        <v/>
      </c>
      <c r="T66" s="17" t="inlineStr">
        <is>
          <t>Biomass_Corn</t>
        </is>
      </c>
      <c r="U66" s="17" t="n">
        <v>0</v>
      </c>
      <c r="V66" s="17" t="n">
        <v>0.085342825</v>
      </c>
      <c r="W66" s="17" t="n">
        <v>3.104337995</v>
      </c>
      <c r="X66" s="17" t="n">
        <v>1.013397519</v>
      </c>
      <c r="Y66" s="17" t="n">
        <v>1.758866658</v>
      </c>
      <c r="Z66" s="17" t="n">
        <v>0.357687672</v>
      </c>
      <c r="AA66" s="17" t="n">
        <v>0.6860173939999999</v>
      </c>
      <c r="AB66" s="17" t="n">
        <v>0.152906423</v>
      </c>
      <c r="AC66" s="17" t="n">
        <v>0.032434696</v>
      </c>
      <c r="AD66" s="17" t="n">
        <v>45179.42</v>
      </c>
      <c r="AE66" s="17" t="n">
        <v>201481.25</v>
      </c>
      <c r="AF66" s="17" t="n">
        <v>-25.28</v>
      </c>
      <c r="AH66" s="15" t="n">
        <v>73.71884</v>
      </c>
      <c r="AI66" s="15" t="n">
        <v>-6.097314</v>
      </c>
      <c r="AJ66" s="15" t="n">
        <v>61.343403</v>
      </c>
      <c r="AK66" s="15" t="n">
        <v>33.004971</v>
      </c>
      <c r="AL66" s="15" t="n">
        <v>42.19561</v>
      </c>
      <c r="AM66" s="15" t="n">
        <v>155</v>
      </c>
      <c r="AN66" s="15" t="n">
        <v>22.90669</v>
      </c>
      <c r="AO66" s="15" t="n">
        <v>13.197062</v>
      </c>
      <c r="AP66" s="15" t="n">
        <v>14.953878</v>
      </c>
      <c r="AR66" s="1">
        <f>B66</f>
        <v/>
      </c>
      <c r="AS66" s="1">
        <f>C66</f>
        <v/>
      </c>
      <c r="AT66" s="11">
        <f>SUM(AW66:BI66)+BK66+BL66</f>
        <v/>
      </c>
      <c r="AU66" s="11">
        <f>SUM(AW66:BI66)+BN66+BO66</f>
        <v/>
      </c>
      <c r="AV66" s="5">
        <f>AT66-AU66</f>
        <v/>
      </c>
      <c r="AW66" s="5">
        <f>F66/L66*AO66</f>
        <v/>
      </c>
      <c r="AX66" s="1">
        <f>G66/L66*AN66</f>
        <v/>
      </c>
      <c r="AY66" s="1">
        <f>BS66</f>
        <v/>
      </c>
      <c r="AZ66" s="1">
        <f>H66/L66</f>
        <v/>
      </c>
      <c r="BA66" s="1">
        <f>BR66</f>
        <v/>
      </c>
      <c r="BB66" s="1">
        <f>BT66</f>
        <v/>
      </c>
      <c r="BC66" s="1">
        <f>BU66</f>
        <v/>
      </c>
      <c r="BD66" s="1">
        <f>O66/L66/(0.9*8760)</f>
        <v/>
      </c>
      <c r="BE66" s="1">
        <f>BV66</f>
        <v/>
      </c>
      <c r="BF66" s="1">
        <f>P66/L66/(0.9*8760)</f>
        <v/>
      </c>
      <c r="BG66" s="1">
        <f>BW66</f>
        <v/>
      </c>
      <c r="BH66" s="1">
        <f>Q66/L66</f>
        <v/>
      </c>
      <c r="BI66" s="1">
        <f>BX66</f>
        <v/>
      </c>
      <c r="BJ66" s="1">
        <f>(SUM(CK66:CP66)-CG66)/L66</f>
        <v/>
      </c>
      <c r="BK66" s="1">
        <f>((AH66+AI66)*-1*CL66)/L66</f>
        <v/>
      </c>
      <c r="BL66" s="1">
        <f>BJ66*AH66</f>
        <v/>
      </c>
      <c r="BM66" s="1">
        <f>(CK66+CM66+CN66+CO66+CP66-CG66)/L66</f>
        <v/>
      </c>
      <c r="BN66" s="1">
        <f>(CL66*AI66*-1)/L66</f>
        <v/>
      </c>
      <c r="BO66" s="1">
        <f>BM66*AH66</f>
        <v/>
      </c>
      <c r="BQ66" s="1">
        <f>S66</f>
        <v/>
      </c>
      <c r="BR66" s="1">
        <f>U66/W66/L66*AN66*-1</f>
        <v/>
      </c>
      <c r="BS66" s="1">
        <f>V66/W66/L66*AN66</f>
        <v/>
      </c>
      <c r="BT66" s="1">
        <f t="array" ref="BT66">_xlfn.IFS(T66="Biomass_Corn", 1/W66/L66*AM66, T66="Biomass_Agri", 1/W66/L66*AL66, T66="Biomass_Wood", 1/W66/L66*AK66, T66="Biomass_Herb", 1/W66/L66*AJ66)</f>
        <v/>
      </c>
      <c r="BU66" s="1">
        <f>X66/W66/L66*AP66</f>
        <v/>
      </c>
      <c r="BV66" s="1">
        <f>AD66/W66/L66/(0.9*8760)</f>
        <v/>
      </c>
      <c r="BW66" s="1">
        <f>AE66/W66/L66/(0.9*8760)</f>
        <v/>
      </c>
      <c r="BX66" s="1">
        <f>AF66/W66/L66</f>
        <v/>
      </c>
      <c r="BZ66" s="9" t="n">
        <v>0.2409589293</v>
      </c>
      <c r="CA66" s="9" t="n">
        <v>0.2418283623</v>
      </c>
      <c r="CB66" s="9" t="n">
        <v>0.2402551414</v>
      </c>
      <c r="CC66" s="17">
        <f>Y66</f>
        <v/>
      </c>
      <c r="CD66" s="10" t="n">
        <v>0.1828908353</v>
      </c>
      <c r="CE66" s="9" t="n">
        <v>0.23037491</v>
      </c>
      <c r="CG66" s="10">
        <f>CC66/W66</f>
        <v/>
      </c>
      <c r="CH66" s="10">
        <f>IF(X66=0, 0, CD66*X66/W66)</f>
        <v/>
      </c>
      <c r="CI66" s="10">
        <f>CE66</f>
        <v/>
      </c>
      <c r="CK66" s="17">
        <f>(AA66+AC66)/W66</f>
        <v/>
      </c>
      <c r="CL66" s="17">
        <f>(Z66+AB66)/W66</f>
        <v/>
      </c>
      <c r="CM66" s="10">
        <f>BZ66*I66</f>
        <v/>
      </c>
      <c r="CN66" s="10">
        <f>CA66*J66</f>
        <v/>
      </c>
      <c r="CO66" s="10">
        <f>CB66*K66</f>
        <v/>
      </c>
      <c r="CP66" s="10">
        <f>(N66)</f>
        <v/>
      </c>
      <c r="CR66" s="1">
        <f>SUM(CG66:CH66)-SUM(CK66:CP66)</f>
        <v/>
      </c>
    </row>
    <row r="67">
      <c r="AT67" s="5" t="n"/>
      <c r="AU67" s="5" t="n"/>
      <c r="AV67" s="5" t="n"/>
      <c r="AW67" s="5" t="n"/>
      <c r="BZ67" s="8" t="n"/>
      <c r="CA67" s="8" t="n"/>
      <c r="CB67" s="8" t="n"/>
      <c r="CD67" s="8" t="n"/>
      <c r="CE67" s="8" t="n"/>
    </row>
    <row r="68">
      <c r="AT68" s="5" t="n"/>
      <c r="AU68" s="5" t="n"/>
      <c r="AV68" s="5" t="n"/>
      <c r="AW68" s="5" t="n"/>
      <c r="BZ68" s="8" t="n"/>
      <c r="CA68" s="8" t="n"/>
      <c r="CB68" s="8" t="n"/>
      <c r="CD68" s="8" t="n"/>
      <c r="CE68" s="8" t="n"/>
    </row>
    <row r="69">
      <c r="AT69" s="5" t="n"/>
      <c r="AU69" s="5" t="n"/>
      <c r="AV69" s="5" t="n"/>
      <c r="AW69" s="5" t="n"/>
      <c r="BZ69" s="8" t="n"/>
      <c r="CA69" s="8" t="n"/>
      <c r="CB69" s="8" t="n"/>
      <c r="CD69" s="8" t="n"/>
      <c r="CE69" s="8" t="n"/>
    </row>
    <row r="70">
      <c r="AT70" s="5" t="n"/>
      <c r="AU70" s="5" t="n"/>
      <c r="AV70" s="5" t="n"/>
      <c r="AW70" s="5" t="n"/>
      <c r="BZ70" s="8" t="n"/>
      <c r="CA70" s="8" t="n"/>
      <c r="CB70" s="8" t="n"/>
      <c r="CD70" s="8" t="n"/>
      <c r="CE70" s="8" t="n"/>
    </row>
    <row r="71">
      <c r="AT71" s="5" t="n"/>
      <c r="AU71" s="5" t="n"/>
      <c r="AV71" s="5" t="n"/>
      <c r="AW71" s="5" t="n"/>
      <c r="BZ71" s="8" t="n"/>
      <c r="CA71" s="8" t="n"/>
      <c r="CB71" s="8" t="n"/>
      <c r="CD71" s="8" t="n"/>
      <c r="CE71" s="8" t="n"/>
    </row>
    <row r="72">
      <c r="AT72" s="5" t="n"/>
      <c r="AU72" s="5" t="n"/>
      <c r="AV72" s="5" t="n"/>
      <c r="AW72" s="5" t="n"/>
      <c r="BZ72" s="8" t="n"/>
      <c r="CA72" s="8" t="n"/>
      <c r="CB72" s="8" t="n"/>
      <c r="CD72" s="8" t="n"/>
      <c r="CE72" s="8" t="n"/>
    </row>
    <row r="73">
      <c r="AT73" s="5" t="n"/>
      <c r="AU73" s="5" t="n"/>
      <c r="AV73" s="5" t="n"/>
      <c r="AW73" s="5" t="n"/>
      <c r="BZ73" s="8" t="n"/>
      <c r="CA73" s="8" t="n"/>
      <c r="CB73" s="8" t="n"/>
      <c r="CD73" s="8" t="n"/>
      <c r="CE73" s="8" t="n"/>
    </row>
    <row r="74">
      <c r="AT74" s="5" t="n"/>
      <c r="AU74" s="5" t="n"/>
      <c r="AV74" s="5" t="n"/>
      <c r="AW74" s="5" t="n"/>
      <c r="BZ74" s="8" t="n"/>
      <c r="CA74" s="8" t="n"/>
      <c r="CB74" s="8" t="n"/>
      <c r="CD74" s="8" t="n"/>
      <c r="CE74" s="8" t="n"/>
    </row>
    <row r="75">
      <c r="AT75" s="5" t="n"/>
      <c r="AU75" s="5" t="n"/>
      <c r="AV75" s="5" t="n"/>
      <c r="AW75" s="5" t="n"/>
      <c r="BZ75" s="8" t="n"/>
      <c r="CA75" s="8" t="n"/>
      <c r="CB75" s="8" t="n"/>
      <c r="CD75" s="8" t="n"/>
      <c r="CE75" s="8" t="n"/>
    </row>
    <row r="76">
      <c r="AT76" s="5" t="n"/>
      <c r="AU76" s="5" t="n"/>
      <c r="AV76" s="5" t="n"/>
      <c r="AW76" s="5" t="n"/>
      <c r="BZ76" s="8" t="n"/>
      <c r="CA76" s="8" t="n"/>
      <c r="CB76" s="8" t="n"/>
      <c r="CD76" s="8" t="n"/>
      <c r="CE76" s="8" t="n"/>
    </row>
    <row r="77">
      <c r="AT77" s="5" t="n"/>
      <c r="AU77" s="5" t="n"/>
      <c r="AV77" s="5" t="n"/>
      <c r="AW77" s="5" t="n"/>
      <c r="BZ77" s="8" t="n"/>
      <c r="CA77" s="8" t="n"/>
      <c r="CB77" s="8" t="n"/>
      <c r="CD77" s="8" t="n"/>
      <c r="CE77" s="8" t="n"/>
    </row>
    <row r="78">
      <c r="AT78" s="5" t="n"/>
      <c r="AU78" s="5" t="n"/>
      <c r="AV78" s="5" t="n"/>
      <c r="AW78" s="5" t="n"/>
      <c r="BZ78" s="8" t="n"/>
      <c r="CA78" s="8" t="n"/>
      <c r="CB78" s="8" t="n"/>
      <c r="CD78" s="8" t="n"/>
      <c r="CE78" s="8" t="n"/>
    </row>
    <row r="79">
      <c r="AT79" s="5" t="n"/>
      <c r="AU79" s="5" t="n"/>
      <c r="AV79" s="5" t="n"/>
      <c r="AW79" s="5" t="n"/>
      <c r="BZ79" s="8" t="n"/>
      <c r="CA79" s="8" t="n"/>
      <c r="CB79" s="8" t="n"/>
      <c r="CD79" s="8" t="n"/>
      <c r="CE79" s="8" t="n"/>
    </row>
    <row r="80">
      <c r="AT80" s="5" t="n"/>
      <c r="AU80" s="5" t="n"/>
      <c r="AV80" s="5" t="n"/>
      <c r="AW80" s="5" t="n"/>
      <c r="BZ80" s="8" t="n"/>
      <c r="CA80" s="8" t="n"/>
      <c r="CB80" s="8" t="n"/>
      <c r="CD80" s="8" t="n"/>
      <c r="CE80" s="8" t="n"/>
    </row>
    <row r="81">
      <c r="AT81" s="5" t="n"/>
      <c r="AU81" s="5" t="n"/>
      <c r="AV81" s="5" t="n"/>
      <c r="AW81" s="5" t="n"/>
      <c r="BZ81" s="8" t="n"/>
      <c r="CA81" s="8" t="n"/>
      <c r="CB81" s="8" t="n"/>
      <c r="CD81" s="8" t="n"/>
      <c r="CE81" s="8" t="n"/>
    </row>
    <row r="82">
      <c r="AT82" s="5" t="n"/>
      <c r="AU82" s="5" t="n"/>
      <c r="AV82" s="5" t="n"/>
      <c r="AW82" s="5" t="n"/>
      <c r="BZ82" s="8" t="n"/>
      <c r="CA82" s="8" t="n"/>
      <c r="CB82" s="8" t="n"/>
      <c r="CD82" s="8" t="n"/>
      <c r="CE82" s="8" t="n"/>
    </row>
    <row r="83">
      <c r="AT83" s="5" t="n"/>
      <c r="AU83" s="5" t="n"/>
      <c r="AV83" s="5" t="n"/>
      <c r="AW83" s="5" t="n"/>
      <c r="BZ83" s="8" t="n"/>
      <c r="CA83" s="8" t="n"/>
      <c r="CB83" s="8" t="n"/>
      <c r="CD83" s="8" t="n"/>
      <c r="CE83" s="8" t="n"/>
    </row>
    <row r="84">
      <c r="AT84" s="5" t="n"/>
      <c r="AU84" s="5" t="n"/>
      <c r="AV84" s="5" t="n"/>
      <c r="AW84" s="5" t="n"/>
      <c r="BZ84" s="8" t="n"/>
      <c r="CA84" s="8" t="n"/>
      <c r="CB84" s="8" t="n"/>
      <c r="CD84" s="8" t="n"/>
      <c r="CE84" s="8" t="n"/>
    </row>
    <row r="85">
      <c r="AT85" s="5" t="n"/>
      <c r="AU85" s="5" t="n"/>
      <c r="AV85" s="5" t="n"/>
      <c r="AW85" s="5" t="n"/>
      <c r="BZ85" s="8" t="n"/>
      <c r="CA85" s="8" t="n"/>
      <c r="CB85" s="8" t="n"/>
      <c r="CD85" s="8" t="n"/>
      <c r="CE85" s="8" t="n"/>
    </row>
    <row r="86">
      <c r="AT86" s="5" t="n"/>
      <c r="AU86" s="5" t="n"/>
      <c r="AV86" s="5" t="n"/>
      <c r="AW86" s="5" t="n"/>
      <c r="BZ86" s="8" t="n"/>
      <c r="CA86" s="8" t="n"/>
      <c r="CB86" s="8" t="n"/>
      <c r="CD86" s="8" t="n"/>
      <c r="CE86" s="8" t="n"/>
    </row>
    <row r="87">
      <c r="AT87" s="5" t="n"/>
      <c r="AU87" s="5" t="n"/>
      <c r="AV87" s="5" t="n"/>
      <c r="AW87" s="5" t="n"/>
      <c r="BZ87" s="8" t="n"/>
      <c r="CA87" s="8" t="n"/>
      <c r="CB87" s="8" t="n"/>
      <c r="CD87" s="8" t="n"/>
      <c r="CE87" s="8" t="n"/>
    </row>
    <row r="88">
      <c r="AT88" s="5" t="n"/>
      <c r="AU88" s="5" t="n"/>
      <c r="AV88" s="5" t="n"/>
      <c r="AW88" s="5" t="n"/>
      <c r="BZ88" s="8" t="n"/>
      <c r="CA88" s="8" t="n"/>
      <c r="CB88" s="8" t="n"/>
      <c r="CD88" s="8" t="n"/>
      <c r="CE88" s="8" t="n"/>
    </row>
    <row r="89">
      <c r="AT89" s="5" t="n"/>
      <c r="AU89" s="5" t="n"/>
      <c r="AV89" s="5" t="n"/>
      <c r="AW89" s="5" t="n"/>
      <c r="BZ89" s="8" t="n"/>
      <c r="CA89" s="8" t="n"/>
      <c r="CB89" s="8" t="n"/>
      <c r="CD89" s="8" t="n"/>
      <c r="CE89" s="8" t="n"/>
    </row>
    <row r="90">
      <c r="AT90" s="5" t="n"/>
      <c r="AU90" s="5" t="n"/>
      <c r="AV90" s="5" t="n"/>
      <c r="AW90" s="5" t="n"/>
      <c r="BZ90" s="8" t="n"/>
      <c r="CA90" s="8" t="n"/>
      <c r="CB90" s="8" t="n"/>
      <c r="CD90" s="8" t="n"/>
      <c r="CE90" s="8" t="n"/>
    </row>
    <row r="91">
      <c r="AT91" s="5" t="n"/>
      <c r="AU91" s="5" t="n"/>
      <c r="AV91" s="5" t="n"/>
      <c r="AW91" s="5" t="n"/>
      <c r="BZ91" s="8" t="n"/>
      <c r="CA91" s="8" t="n"/>
      <c r="CB91" s="8" t="n"/>
      <c r="CD91" s="8" t="n"/>
      <c r="CE91" s="8" t="n"/>
    </row>
    <row r="92">
      <c r="AT92" s="5" t="n"/>
      <c r="AU92" s="5" t="n"/>
      <c r="AV92" s="5" t="n"/>
      <c r="AW92" s="5" t="n"/>
      <c r="BZ92" s="8" t="n"/>
      <c r="CA92" s="8" t="n"/>
      <c r="CB92" s="8" t="n"/>
      <c r="CD92" s="8" t="n"/>
      <c r="CE92" s="8" t="n"/>
    </row>
    <row r="93">
      <c r="AT93" s="5" t="n"/>
      <c r="AU93" s="5" t="n"/>
      <c r="AV93" s="5" t="n"/>
      <c r="AW93" s="5" t="n"/>
      <c r="BZ93" s="8" t="n"/>
      <c r="CA93" s="8" t="n"/>
      <c r="CB93" s="8" t="n"/>
      <c r="CD93" s="8" t="n"/>
      <c r="CE93" s="8" t="n"/>
    </row>
    <row r="94">
      <c r="AT94" s="5" t="n"/>
      <c r="AU94" s="5" t="n"/>
      <c r="AV94" s="5" t="n"/>
      <c r="AW94" s="5" t="n"/>
      <c r="BZ94" s="8" t="n"/>
      <c r="CA94" s="8" t="n"/>
      <c r="CB94" s="8" t="n"/>
      <c r="CD94" s="8" t="n"/>
      <c r="CE94" s="8" t="n"/>
    </row>
    <row r="95">
      <c r="AT95" s="5" t="n"/>
      <c r="AU95" s="5" t="n"/>
      <c r="AV95" s="5" t="n"/>
      <c r="AW95" s="5" t="n"/>
      <c r="BZ95" s="8" t="n"/>
      <c r="CA95" s="8" t="n"/>
      <c r="CB95" s="8" t="n"/>
      <c r="CD95" s="8" t="n"/>
      <c r="CE95" s="8" t="n"/>
    </row>
    <row r="96">
      <c r="AT96" s="5" t="n"/>
      <c r="AU96" s="5" t="n"/>
      <c r="AV96" s="5" t="n"/>
      <c r="AW96" s="5" t="n"/>
      <c r="BZ96" s="8" t="n"/>
      <c r="CA96" s="8" t="n"/>
      <c r="CB96" s="8" t="n"/>
      <c r="CD96" s="8" t="n"/>
      <c r="CE96" s="8" t="n"/>
    </row>
    <row r="97">
      <c r="AT97" s="5" t="n"/>
      <c r="AU97" s="5" t="n"/>
      <c r="AV97" s="5" t="n"/>
      <c r="AW97" s="5" t="n"/>
      <c r="BZ97" s="8" t="n"/>
      <c r="CA97" s="8" t="n"/>
      <c r="CB97" s="8" t="n"/>
      <c r="CD97" s="8" t="n"/>
      <c r="CE97" s="8" t="n"/>
    </row>
    <row r="98">
      <c r="AT98" s="5" t="n"/>
      <c r="AU98" s="5" t="n"/>
      <c r="AV98" s="5" t="n"/>
      <c r="AW98" s="5" t="n"/>
      <c r="BZ98" s="8" t="n"/>
      <c r="CA98" s="8" t="n"/>
      <c r="CB98" s="8" t="n"/>
      <c r="CD98" s="8" t="n"/>
      <c r="CE98" s="8" t="n"/>
    </row>
    <row r="99">
      <c r="AT99" s="5" t="n"/>
      <c r="AU99" s="5" t="n"/>
      <c r="AV99" s="5" t="n"/>
      <c r="AW99" s="5" t="n"/>
      <c r="BZ99" s="8" t="n"/>
      <c r="CA99" s="8" t="n"/>
      <c r="CB99" s="8" t="n"/>
      <c r="CD99" s="8" t="n"/>
      <c r="CE99" s="8" t="n"/>
    </row>
    <row r="100">
      <c r="AT100" s="5" t="n"/>
      <c r="AU100" s="5" t="n"/>
      <c r="AV100" s="5" t="n"/>
      <c r="AW100" s="5" t="n"/>
      <c r="BZ100" s="8" t="n"/>
      <c r="CA100" s="8" t="n"/>
      <c r="CB100" s="8" t="n"/>
      <c r="CD100" s="8" t="n"/>
      <c r="CE100" s="8" t="n"/>
    </row>
    <row r="101">
      <c r="AT101" s="5" t="n"/>
      <c r="AU101" s="5" t="n"/>
      <c r="AV101" s="5" t="n"/>
      <c r="AW101" s="5" t="n"/>
      <c r="BZ101" s="8" t="n"/>
      <c r="CA101" s="8" t="n"/>
      <c r="CB101" s="8" t="n"/>
      <c r="CD101" s="8" t="n"/>
      <c r="CE101" s="8" t="n"/>
    </row>
    <row r="102">
      <c r="AT102" s="5" t="n"/>
      <c r="AU102" s="5" t="n"/>
      <c r="AV102" s="5" t="n"/>
      <c r="AW102" s="5" t="n"/>
      <c r="BZ102" s="8" t="n"/>
      <c r="CA102" s="8" t="n"/>
      <c r="CB102" s="8" t="n"/>
      <c r="CD102" s="8" t="n"/>
      <c r="CE102" s="8" t="n"/>
    </row>
    <row r="103">
      <c r="AT103" s="5" t="n"/>
      <c r="AU103" s="5" t="n"/>
      <c r="AV103" s="5" t="n"/>
      <c r="AW103" s="5" t="n"/>
      <c r="BZ103" s="8" t="n"/>
      <c r="CA103" s="8" t="n"/>
      <c r="CB103" s="8" t="n"/>
      <c r="CD103" s="8" t="n"/>
      <c r="CE103" s="8" t="n"/>
    </row>
    <row r="104">
      <c r="AT104" s="5" t="n"/>
      <c r="AU104" s="5" t="n"/>
      <c r="AV104" s="5" t="n"/>
      <c r="AW104" s="5" t="n"/>
      <c r="BZ104" s="8" t="n"/>
      <c r="CA104" s="8" t="n"/>
      <c r="CB104" s="8" t="n"/>
      <c r="CD104" s="8" t="n"/>
      <c r="CE104" s="8" t="n"/>
    </row>
    <row r="105">
      <c r="AT105" s="5" t="n"/>
      <c r="AU105" s="5" t="n"/>
      <c r="AV105" s="5" t="n"/>
      <c r="AW105" s="5" t="n"/>
    </row>
    <row r="106">
      <c r="AT106" s="5" t="n"/>
      <c r="AU106" s="5" t="n"/>
      <c r="AV106" s="5" t="n"/>
      <c r="AW106" s="5" t="n"/>
    </row>
    <row r="107">
      <c r="AT107" s="5" t="n"/>
      <c r="AU107" s="5" t="n"/>
      <c r="AV107" s="5" t="n"/>
      <c r="AW107" s="5" t="n"/>
    </row>
    <row r="108">
      <c r="AW108" s="5" t="n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92"/>
  <sheetViews>
    <sheetView zoomScale="75" workbookViewId="0">
      <selection activeCell="A5" sqref="A5"/>
    </sheetView>
  </sheetViews>
  <sheetFormatPr baseColWidth="10" defaultRowHeight="16"/>
  <cols>
    <col width="32" customWidth="1" min="1" max="1"/>
    <col width="14.5" bestFit="1" customWidth="1" min="2" max="2"/>
    <col width="15.5" bestFit="1" customWidth="1" min="3" max="3"/>
    <col width="16.33203125" bestFit="1" customWidth="1" min="4" max="4"/>
    <col width="16.33203125" customWidth="1" min="5" max="5"/>
    <col width="14.83203125" bestFit="1" customWidth="1" min="6" max="6"/>
    <col width="19.33203125" customWidth="1" min="7" max="7"/>
    <col width="18.33203125" bestFit="1" customWidth="1" min="8" max="8"/>
    <col width="11.5" bestFit="1" customWidth="1" min="9" max="9"/>
    <col width="14.83203125" bestFit="1" customWidth="1" min="10" max="10"/>
    <col width="12.5" bestFit="1" customWidth="1" min="11" max="11"/>
    <col width="19.6640625" customWidth="1" min="12" max="12"/>
    <col width="14.83203125" bestFit="1" customWidth="1" min="13" max="13"/>
    <col width="21.83203125" customWidth="1" min="14" max="14"/>
    <col width="11.5" bestFit="1" customWidth="1" min="15" max="15"/>
    <col width="16.33203125" customWidth="1" min="16" max="16"/>
    <col width="14.6640625" bestFit="1" customWidth="1" min="17" max="17"/>
    <col width="2.6640625" customWidth="1" min="18" max="18"/>
  </cols>
  <sheetData>
    <row r="1">
      <c r="A1" s="18" t="inlineStr">
        <is>
          <t>Levelized cost for Ethanol Upgrade Production - $/MWh-fuel</t>
        </is>
      </c>
    </row>
    <row r="2" ht="32" customHeight="1">
      <c r="A2" s="19" t="inlineStr">
        <is>
          <t>id_LC</t>
        </is>
      </c>
      <c r="B2" s="19" t="inlineStr">
        <is>
          <t>h2_consumption - ethanol upgrade</t>
        </is>
      </c>
      <c r="C2" s="19" t="inlineStr">
        <is>
          <t>elec_consumption - ethanol upgrade</t>
        </is>
      </c>
      <c r="D2" s="19" t="inlineStr">
        <is>
          <t>elec_consumption - ethanol prod.</t>
        </is>
      </c>
      <c r="E2" s="4" t="inlineStr">
        <is>
          <t>elec_production - ethanol upgrade</t>
        </is>
      </c>
      <c r="F2" s="19" t="inlineStr">
        <is>
          <t>elec_production - ethanol prod.</t>
        </is>
      </c>
      <c r="G2" s="19" t="inlineStr">
        <is>
          <t>biomass_consumption - ethanol prod.</t>
        </is>
      </c>
      <c r="H2" s="19" t="inlineStr">
        <is>
          <t>natgas_consumption - ethanol prod.</t>
        </is>
      </c>
      <c r="I2" s="19" t="inlineStr">
        <is>
          <t>investment_cost - ethanol upgrade</t>
        </is>
      </c>
      <c r="J2" s="19" t="inlineStr">
        <is>
          <t>investment_cost - ethanol prod.</t>
        </is>
      </c>
      <c r="K2" s="19" t="inlineStr">
        <is>
          <t>fixed_om_cost - ethanol upgrade</t>
        </is>
      </c>
      <c r="L2" s="19" t="inlineStr">
        <is>
          <t>fixed_om_cost - ethanol prod.</t>
        </is>
      </c>
      <c r="M2" s="19" t="inlineStr">
        <is>
          <t>variable_om_cost - ethanol upgrade</t>
        </is>
      </c>
      <c r="N2" s="19" t="inlineStr">
        <is>
          <t>variable_om_cost - ethanol prod.</t>
        </is>
      </c>
      <c r="O2" s="20" t="inlineStr">
        <is>
          <t>modified capture cost</t>
        </is>
      </c>
      <c r="P2" s="20" t="inlineStr">
        <is>
          <t>modified emissions cost</t>
        </is>
      </c>
      <c r="Q2" s="21" t="inlineStr">
        <is>
          <t>LCOE ($/MWh-fuel)</t>
        </is>
      </c>
    </row>
    <row r="3">
      <c r="A3">
        <f>lc_detailed!AR4</f>
        <v/>
      </c>
      <c r="B3" s="24">
        <f>lc_detailed!AW4</f>
        <v/>
      </c>
      <c r="C3" s="24">
        <f>lc_detailed!AX4</f>
        <v/>
      </c>
      <c r="D3" s="24">
        <f>lc_detailed!AY4</f>
        <v/>
      </c>
      <c r="E3" s="24">
        <f>lc_detailed!AZ4</f>
        <v/>
      </c>
      <c r="F3" s="24">
        <f>lc_detailed!BA4</f>
        <v/>
      </c>
      <c r="G3" s="24">
        <f>lc_detailed!BB4</f>
        <v/>
      </c>
      <c r="H3" s="24">
        <f>lc_detailed!BC4</f>
        <v/>
      </c>
      <c r="I3" s="24">
        <f>lc_detailed!BD4</f>
        <v/>
      </c>
      <c r="J3" s="24">
        <f>lc_detailed!BE4</f>
        <v/>
      </c>
      <c r="K3" s="24">
        <f>lc_detailed!BF4</f>
        <v/>
      </c>
      <c r="L3" s="24">
        <f>lc_detailed!BG4</f>
        <v/>
      </c>
      <c r="M3" s="24">
        <f>lc_detailed!BH4</f>
        <v/>
      </c>
      <c r="N3" s="24">
        <f>lc_detailed!BI4</f>
        <v/>
      </c>
      <c r="O3" s="24">
        <f>lc_detailed!BK4</f>
        <v/>
      </c>
      <c r="P3" s="24">
        <f>lc_detailed!BL4</f>
        <v/>
      </c>
      <c r="Q3" s="24">
        <f>lc_detailed!AT4</f>
        <v/>
      </c>
      <c r="R3" s="24" t="n"/>
    </row>
    <row r="4">
      <c r="A4">
        <f>lc_detailed!AR5</f>
        <v/>
      </c>
      <c r="B4" s="24">
        <f>lc_detailed!AW5</f>
        <v/>
      </c>
      <c r="C4" s="24">
        <f>lc_detailed!AX5</f>
        <v/>
      </c>
      <c r="D4" s="24">
        <f>lc_detailed!AY5</f>
        <v/>
      </c>
      <c r="E4" s="24">
        <f>lc_detailed!AZ5</f>
        <v/>
      </c>
      <c r="F4" s="24">
        <f>lc_detailed!BA5</f>
        <v/>
      </c>
      <c r="G4" s="24">
        <f>lc_detailed!BB5</f>
        <v/>
      </c>
      <c r="H4" s="24">
        <f>lc_detailed!BC5</f>
        <v/>
      </c>
      <c r="I4" s="24">
        <f>lc_detailed!BD5</f>
        <v/>
      </c>
      <c r="J4" s="24">
        <f>lc_detailed!BE5</f>
        <v/>
      </c>
      <c r="K4" s="24">
        <f>lc_detailed!BF5</f>
        <v/>
      </c>
      <c r="L4" s="24">
        <f>lc_detailed!BG5</f>
        <v/>
      </c>
      <c r="M4" s="24">
        <f>lc_detailed!BH5</f>
        <v/>
      </c>
      <c r="N4" s="24">
        <f>lc_detailed!BI5</f>
        <v/>
      </c>
      <c r="O4" s="24">
        <f>lc_detailed!BK5</f>
        <v/>
      </c>
      <c r="P4" s="24">
        <f>lc_detailed!BL5</f>
        <v/>
      </c>
      <c r="Q4" s="24">
        <f>lc_detailed!AT5</f>
        <v/>
      </c>
      <c r="R4" s="24" t="n"/>
    </row>
    <row r="5">
      <c r="A5">
        <f>lc_detailed!AR6</f>
        <v/>
      </c>
      <c r="B5" s="24">
        <f>lc_detailed!AW6</f>
        <v/>
      </c>
      <c r="C5" s="24">
        <f>lc_detailed!AX6</f>
        <v/>
      </c>
      <c r="D5" s="24">
        <f>lc_detailed!AY6</f>
        <v/>
      </c>
      <c r="E5" s="24">
        <f>lc_detailed!AZ6</f>
        <v/>
      </c>
      <c r="F5" s="24">
        <f>lc_detailed!BA6</f>
        <v/>
      </c>
      <c r="G5" s="24">
        <f>lc_detailed!BB6</f>
        <v/>
      </c>
      <c r="H5" s="24">
        <f>lc_detailed!BC6</f>
        <v/>
      </c>
      <c r="I5" s="24">
        <f>lc_detailed!BD6</f>
        <v/>
      </c>
      <c r="J5" s="24">
        <f>lc_detailed!BE6</f>
        <v/>
      </c>
      <c r="K5" s="24">
        <f>lc_detailed!BF6</f>
        <v/>
      </c>
      <c r="L5" s="24">
        <f>lc_detailed!BG6</f>
        <v/>
      </c>
      <c r="M5" s="24">
        <f>lc_detailed!BH6</f>
        <v/>
      </c>
      <c r="N5" s="24">
        <f>lc_detailed!BI6</f>
        <v/>
      </c>
      <c r="O5" s="24">
        <f>lc_detailed!BK6</f>
        <v/>
      </c>
      <c r="P5" s="24">
        <f>lc_detailed!BL6</f>
        <v/>
      </c>
      <c r="Q5" s="24">
        <f>lc_detailed!AT6</f>
        <v/>
      </c>
      <c r="R5" s="24" t="n"/>
    </row>
    <row r="6">
      <c r="A6">
        <f>lc_detailed!AR7</f>
        <v/>
      </c>
      <c r="B6" s="24">
        <f>lc_detailed!AW7</f>
        <v/>
      </c>
      <c r="C6" s="24">
        <f>lc_detailed!AX7</f>
        <v/>
      </c>
      <c r="D6" s="24">
        <f>lc_detailed!AY7</f>
        <v/>
      </c>
      <c r="E6" s="24">
        <f>lc_detailed!AZ7</f>
        <v/>
      </c>
      <c r="F6" s="24">
        <f>lc_detailed!BA7</f>
        <v/>
      </c>
      <c r="G6" s="24">
        <f>lc_detailed!BB7</f>
        <v/>
      </c>
      <c r="H6" s="24">
        <f>lc_detailed!BC7</f>
        <v/>
      </c>
      <c r="I6" s="24">
        <f>lc_detailed!BD7</f>
        <v/>
      </c>
      <c r="J6" s="24">
        <f>lc_detailed!BE7</f>
        <v/>
      </c>
      <c r="K6" s="24">
        <f>lc_detailed!BF7</f>
        <v/>
      </c>
      <c r="L6" s="24">
        <f>lc_detailed!BG7</f>
        <v/>
      </c>
      <c r="M6" s="24">
        <f>lc_detailed!BH7</f>
        <v/>
      </c>
      <c r="N6" s="24">
        <f>lc_detailed!BI7</f>
        <v/>
      </c>
      <c r="O6" s="24">
        <f>lc_detailed!BK7</f>
        <v/>
      </c>
      <c r="P6" s="24">
        <f>lc_detailed!BL7</f>
        <v/>
      </c>
      <c r="Q6" s="24">
        <f>lc_detailed!AT7</f>
        <v/>
      </c>
      <c r="R6" s="24" t="n"/>
    </row>
    <row r="7">
      <c r="A7">
        <f>lc_detailed!AR8</f>
        <v/>
      </c>
      <c r="B7" s="24">
        <f>lc_detailed!AW8</f>
        <v/>
      </c>
      <c r="C7" s="24">
        <f>lc_detailed!AX8</f>
        <v/>
      </c>
      <c r="D7" s="24">
        <f>lc_detailed!AY8</f>
        <v/>
      </c>
      <c r="E7" s="24">
        <f>lc_detailed!AZ8</f>
        <v/>
      </c>
      <c r="F7" s="24">
        <f>lc_detailed!BA8</f>
        <v/>
      </c>
      <c r="G7" s="24">
        <f>lc_detailed!BB8</f>
        <v/>
      </c>
      <c r="H7" s="24">
        <f>lc_detailed!BC8</f>
        <v/>
      </c>
      <c r="I7" s="24">
        <f>lc_detailed!BD8</f>
        <v/>
      </c>
      <c r="J7" s="24">
        <f>lc_detailed!BE8</f>
        <v/>
      </c>
      <c r="K7" s="24">
        <f>lc_detailed!BF8</f>
        <v/>
      </c>
      <c r="L7" s="24">
        <f>lc_detailed!BG8</f>
        <v/>
      </c>
      <c r="M7" s="24">
        <f>lc_detailed!BH8</f>
        <v/>
      </c>
      <c r="N7" s="24">
        <f>lc_detailed!BI8</f>
        <v/>
      </c>
      <c r="O7" s="24">
        <f>lc_detailed!BK8</f>
        <v/>
      </c>
      <c r="P7" s="24">
        <f>lc_detailed!BL8</f>
        <v/>
      </c>
      <c r="Q7" s="24">
        <f>lc_detailed!AT8</f>
        <v/>
      </c>
      <c r="R7" s="24" t="n"/>
    </row>
    <row r="8">
      <c r="A8">
        <f>lc_detailed!AR9</f>
        <v/>
      </c>
      <c r="B8" s="24">
        <f>lc_detailed!AW9</f>
        <v/>
      </c>
      <c r="C8" s="24">
        <f>lc_detailed!AX9</f>
        <v/>
      </c>
      <c r="D8" s="24">
        <f>lc_detailed!AY9</f>
        <v/>
      </c>
      <c r="E8" s="24">
        <f>lc_detailed!AZ9</f>
        <v/>
      </c>
      <c r="F8" s="24">
        <f>lc_detailed!BA9</f>
        <v/>
      </c>
      <c r="G8" s="24">
        <f>lc_detailed!BB9</f>
        <v/>
      </c>
      <c r="H8" s="24">
        <f>lc_detailed!BC9</f>
        <v/>
      </c>
      <c r="I8" s="24">
        <f>lc_detailed!BD9</f>
        <v/>
      </c>
      <c r="J8" s="24">
        <f>lc_detailed!BE9</f>
        <v/>
      </c>
      <c r="K8" s="24">
        <f>lc_detailed!BF9</f>
        <v/>
      </c>
      <c r="L8" s="24">
        <f>lc_detailed!BG9</f>
        <v/>
      </c>
      <c r="M8" s="24">
        <f>lc_detailed!BH9</f>
        <v/>
      </c>
      <c r="N8" s="24">
        <f>lc_detailed!BI9</f>
        <v/>
      </c>
      <c r="O8" s="24">
        <f>lc_detailed!BK9</f>
        <v/>
      </c>
      <c r="P8" s="24">
        <f>lc_detailed!BL9</f>
        <v/>
      </c>
      <c r="Q8" s="24">
        <f>lc_detailed!AT9</f>
        <v/>
      </c>
      <c r="R8" s="24" t="n"/>
    </row>
    <row r="9">
      <c r="A9">
        <f>lc_detailed!AR10</f>
        <v/>
      </c>
      <c r="B9" s="24">
        <f>lc_detailed!AW10</f>
        <v/>
      </c>
      <c r="C9" s="24">
        <f>lc_detailed!AX10</f>
        <v/>
      </c>
      <c r="D9" s="24">
        <f>lc_detailed!AY10</f>
        <v/>
      </c>
      <c r="E9" s="24">
        <f>lc_detailed!AZ10</f>
        <v/>
      </c>
      <c r="F9" s="24">
        <f>lc_detailed!BA10</f>
        <v/>
      </c>
      <c r="G9" s="24">
        <f>lc_detailed!BB10</f>
        <v/>
      </c>
      <c r="H9" s="24">
        <f>lc_detailed!BC10</f>
        <v/>
      </c>
      <c r="I9" s="24">
        <f>lc_detailed!BD10</f>
        <v/>
      </c>
      <c r="J9" s="24">
        <f>lc_detailed!BE10</f>
        <v/>
      </c>
      <c r="K9" s="24">
        <f>lc_detailed!BF10</f>
        <v/>
      </c>
      <c r="L9" s="24">
        <f>lc_detailed!BG10</f>
        <v/>
      </c>
      <c r="M9" s="24">
        <f>lc_detailed!BH10</f>
        <v/>
      </c>
      <c r="N9" s="24">
        <f>lc_detailed!BI10</f>
        <v/>
      </c>
      <c r="O9" s="24">
        <f>lc_detailed!BK10</f>
        <v/>
      </c>
      <c r="P9" s="24">
        <f>lc_detailed!BL10</f>
        <v/>
      </c>
      <c r="Q9" s="24">
        <f>lc_detailed!AT10</f>
        <v/>
      </c>
      <c r="R9" s="24" t="n"/>
    </row>
    <row r="10">
      <c r="A10">
        <f>lc_detailed!AR11</f>
        <v/>
      </c>
      <c r="B10" s="24">
        <f>lc_detailed!AW11</f>
        <v/>
      </c>
      <c r="C10" s="24">
        <f>lc_detailed!AX11</f>
        <v/>
      </c>
      <c r="D10" s="24">
        <f>lc_detailed!AY11</f>
        <v/>
      </c>
      <c r="E10" s="24">
        <f>lc_detailed!AZ11</f>
        <v/>
      </c>
      <c r="F10" s="24">
        <f>lc_detailed!BA11</f>
        <v/>
      </c>
      <c r="G10" s="24">
        <f>lc_detailed!BB11</f>
        <v/>
      </c>
      <c r="H10" s="24">
        <f>lc_detailed!BC11</f>
        <v/>
      </c>
      <c r="I10" s="24">
        <f>lc_detailed!BD11</f>
        <v/>
      </c>
      <c r="J10" s="24">
        <f>lc_detailed!BE11</f>
        <v/>
      </c>
      <c r="K10" s="24">
        <f>lc_detailed!BF11</f>
        <v/>
      </c>
      <c r="L10" s="24">
        <f>lc_detailed!BG11</f>
        <v/>
      </c>
      <c r="M10" s="24">
        <f>lc_detailed!BH11</f>
        <v/>
      </c>
      <c r="N10" s="24">
        <f>lc_detailed!BI11</f>
        <v/>
      </c>
      <c r="O10" s="24">
        <f>lc_detailed!BK11</f>
        <v/>
      </c>
      <c r="P10" s="24">
        <f>lc_detailed!BL11</f>
        <v/>
      </c>
      <c r="Q10" s="24">
        <f>lc_detailed!AT11</f>
        <v/>
      </c>
      <c r="R10" s="24" t="n"/>
    </row>
    <row r="11">
      <c r="A11">
        <f>lc_detailed!AR12</f>
        <v/>
      </c>
      <c r="B11" s="24">
        <f>lc_detailed!AW12</f>
        <v/>
      </c>
      <c r="C11" s="24">
        <f>lc_detailed!AX12</f>
        <v/>
      </c>
      <c r="D11" s="24">
        <f>lc_detailed!AY12</f>
        <v/>
      </c>
      <c r="E11" s="24">
        <f>lc_detailed!AZ12</f>
        <v/>
      </c>
      <c r="F11" s="24">
        <f>lc_detailed!BA12</f>
        <v/>
      </c>
      <c r="G11" s="24">
        <f>lc_detailed!BB12</f>
        <v/>
      </c>
      <c r="H11" s="24">
        <f>lc_detailed!BC12</f>
        <v/>
      </c>
      <c r="I11" s="24">
        <f>lc_detailed!BD12</f>
        <v/>
      </c>
      <c r="J11" s="24">
        <f>lc_detailed!BE12</f>
        <v/>
      </c>
      <c r="K11" s="24">
        <f>lc_detailed!BF12</f>
        <v/>
      </c>
      <c r="L11" s="24">
        <f>lc_detailed!BG12</f>
        <v/>
      </c>
      <c r="M11" s="24">
        <f>lc_detailed!BH12</f>
        <v/>
      </c>
      <c r="N11" s="24">
        <f>lc_detailed!BI12</f>
        <v/>
      </c>
      <c r="O11" s="24">
        <f>lc_detailed!BK12</f>
        <v/>
      </c>
      <c r="P11" s="24">
        <f>lc_detailed!BL12</f>
        <v/>
      </c>
      <c r="Q11" s="24">
        <f>lc_detailed!AT12</f>
        <v/>
      </c>
      <c r="R11" s="24" t="n"/>
    </row>
    <row r="12">
      <c r="A12">
        <f>lc_detailed!AR13</f>
        <v/>
      </c>
      <c r="B12" s="24">
        <f>lc_detailed!AW13</f>
        <v/>
      </c>
      <c r="C12" s="24">
        <f>lc_detailed!AX13</f>
        <v/>
      </c>
      <c r="D12" s="24">
        <f>lc_detailed!AY13</f>
        <v/>
      </c>
      <c r="E12" s="24">
        <f>lc_detailed!AZ13</f>
        <v/>
      </c>
      <c r="F12" s="24">
        <f>lc_detailed!BA13</f>
        <v/>
      </c>
      <c r="G12" s="24">
        <f>lc_detailed!BB13</f>
        <v/>
      </c>
      <c r="H12" s="24">
        <f>lc_detailed!BC13</f>
        <v/>
      </c>
      <c r="I12" s="24">
        <f>lc_detailed!BD13</f>
        <v/>
      </c>
      <c r="J12" s="24">
        <f>lc_detailed!BE13</f>
        <v/>
      </c>
      <c r="K12" s="24">
        <f>lc_detailed!BF13</f>
        <v/>
      </c>
      <c r="L12" s="24">
        <f>lc_detailed!BG13</f>
        <v/>
      </c>
      <c r="M12" s="24">
        <f>lc_detailed!BH13</f>
        <v/>
      </c>
      <c r="N12" s="24">
        <f>lc_detailed!BI13</f>
        <v/>
      </c>
      <c r="O12" s="24">
        <f>lc_detailed!BK13</f>
        <v/>
      </c>
      <c r="P12" s="24">
        <f>lc_detailed!BL13</f>
        <v/>
      </c>
      <c r="Q12" s="24">
        <f>lc_detailed!AT13</f>
        <v/>
      </c>
      <c r="R12" s="24" t="n"/>
    </row>
    <row r="13">
      <c r="A13">
        <f>lc_detailed!AR14</f>
        <v/>
      </c>
      <c r="B13" s="24">
        <f>lc_detailed!AW14</f>
        <v/>
      </c>
      <c r="C13" s="24">
        <f>lc_detailed!AX14</f>
        <v/>
      </c>
      <c r="D13" s="24">
        <f>lc_detailed!AY14</f>
        <v/>
      </c>
      <c r="E13" s="24">
        <f>lc_detailed!AZ14</f>
        <v/>
      </c>
      <c r="F13" s="24">
        <f>lc_detailed!BA14</f>
        <v/>
      </c>
      <c r="G13" s="24">
        <f>lc_detailed!BB14</f>
        <v/>
      </c>
      <c r="H13" s="24">
        <f>lc_detailed!BC14</f>
        <v/>
      </c>
      <c r="I13" s="24">
        <f>lc_detailed!BD14</f>
        <v/>
      </c>
      <c r="J13" s="24">
        <f>lc_detailed!BE14</f>
        <v/>
      </c>
      <c r="K13" s="24">
        <f>lc_detailed!BF14</f>
        <v/>
      </c>
      <c r="L13" s="24">
        <f>lc_detailed!BG14</f>
        <v/>
      </c>
      <c r="M13" s="24">
        <f>lc_detailed!BH14</f>
        <v/>
      </c>
      <c r="N13" s="24">
        <f>lc_detailed!BI14</f>
        <v/>
      </c>
      <c r="O13" s="24">
        <f>lc_detailed!BK14</f>
        <v/>
      </c>
      <c r="P13" s="24">
        <f>lc_detailed!BL14</f>
        <v/>
      </c>
      <c r="Q13" s="24">
        <f>lc_detailed!AT14</f>
        <v/>
      </c>
      <c r="R13" s="24" t="n"/>
    </row>
    <row r="14">
      <c r="A14">
        <f>lc_detailed!AR15</f>
        <v/>
      </c>
      <c r="B14" s="24">
        <f>lc_detailed!AW15</f>
        <v/>
      </c>
      <c r="C14" s="24">
        <f>lc_detailed!AX15</f>
        <v/>
      </c>
      <c r="D14" s="24">
        <f>lc_detailed!AY15</f>
        <v/>
      </c>
      <c r="E14" s="24">
        <f>lc_detailed!AZ15</f>
        <v/>
      </c>
      <c r="F14" s="24">
        <f>lc_detailed!BA15</f>
        <v/>
      </c>
      <c r="G14" s="24">
        <f>lc_detailed!BB15</f>
        <v/>
      </c>
      <c r="H14" s="24">
        <f>lc_detailed!BC15</f>
        <v/>
      </c>
      <c r="I14" s="24">
        <f>lc_detailed!BD15</f>
        <v/>
      </c>
      <c r="J14" s="24">
        <f>lc_detailed!BE15</f>
        <v/>
      </c>
      <c r="K14" s="24">
        <f>lc_detailed!BF15</f>
        <v/>
      </c>
      <c r="L14" s="24">
        <f>lc_detailed!BG15</f>
        <v/>
      </c>
      <c r="M14" s="24">
        <f>lc_detailed!BH15</f>
        <v/>
      </c>
      <c r="N14" s="24">
        <f>lc_detailed!BI15</f>
        <v/>
      </c>
      <c r="O14" s="24">
        <f>lc_detailed!BK15</f>
        <v/>
      </c>
      <c r="P14" s="24">
        <f>lc_detailed!BL15</f>
        <v/>
      </c>
      <c r="Q14" s="24">
        <f>lc_detailed!AT15</f>
        <v/>
      </c>
      <c r="R14" s="24" t="n"/>
    </row>
    <row r="15">
      <c r="A15">
        <f>lc_detailed!AR16</f>
        <v/>
      </c>
      <c r="B15" s="24">
        <f>lc_detailed!AW16</f>
        <v/>
      </c>
      <c r="C15" s="24">
        <f>lc_detailed!AX16</f>
        <v/>
      </c>
      <c r="D15" s="24">
        <f>lc_detailed!AY16</f>
        <v/>
      </c>
      <c r="E15" s="24">
        <f>lc_detailed!AZ16</f>
        <v/>
      </c>
      <c r="F15" s="24">
        <f>lc_detailed!BA16</f>
        <v/>
      </c>
      <c r="G15" s="24">
        <f>lc_detailed!BB16</f>
        <v/>
      </c>
      <c r="H15" s="24">
        <f>lc_detailed!BC16</f>
        <v/>
      </c>
      <c r="I15" s="24">
        <f>lc_detailed!BD16</f>
        <v/>
      </c>
      <c r="J15" s="24">
        <f>lc_detailed!BE16</f>
        <v/>
      </c>
      <c r="K15" s="24">
        <f>lc_detailed!BF16</f>
        <v/>
      </c>
      <c r="L15" s="24">
        <f>lc_detailed!BG16</f>
        <v/>
      </c>
      <c r="M15" s="24">
        <f>lc_detailed!BH16</f>
        <v/>
      </c>
      <c r="N15" s="24">
        <f>lc_detailed!BI16</f>
        <v/>
      </c>
      <c r="O15" s="24">
        <f>lc_detailed!BK16</f>
        <v/>
      </c>
      <c r="P15" s="24">
        <f>lc_detailed!BL16</f>
        <v/>
      </c>
      <c r="Q15" s="24">
        <f>lc_detailed!AT16</f>
        <v/>
      </c>
      <c r="R15" s="24" t="n"/>
    </row>
    <row r="16">
      <c r="A16">
        <f>lc_detailed!AR17</f>
        <v/>
      </c>
      <c r="B16" s="24">
        <f>lc_detailed!AW17</f>
        <v/>
      </c>
      <c r="C16" s="24">
        <f>lc_detailed!AX17</f>
        <v/>
      </c>
      <c r="D16" s="24">
        <f>lc_detailed!AY17</f>
        <v/>
      </c>
      <c r="E16" s="24">
        <f>lc_detailed!AZ17</f>
        <v/>
      </c>
      <c r="F16" s="24">
        <f>lc_detailed!BA17</f>
        <v/>
      </c>
      <c r="G16" s="24">
        <f>lc_detailed!BB17</f>
        <v/>
      </c>
      <c r="H16" s="24">
        <f>lc_detailed!BC17</f>
        <v/>
      </c>
      <c r="I16" s="24">
        <f>lc_detailed!BD17</f>
        <v/>
      </c>
      <c r="J16" s="24">
        <f>lc_detailed!BE17</f>
        <v/>
      </c>
      <c r="K16" s="24">
        <f>lc_detailed!BF17</f>
        <v/>
      </c>
      <c r="L16" s="24">
        <f>lc_detailed!BG17</f>
        <v/>
      </c>
      <c r="M16" s="24">
        <f>lc_detailed!BH17</f>
        <v/>
      </c>
      <c r="N16" s="24">
        <f>lc_detailed!BI17</f>
        <v/>
      </c>
      <c r="O16" s="24">
        <f>lc_detailed!BK17</f>
        <v/>
      </c>
      <c r="P16" s="24">
        <f>lc_detailed!BL17</f>
        <v/>
      </c>
      <c r="Q16" s="24">
        <f>lc_detailed!AT17</f>
        <v/>
      </c>
      <c r="R16" s="24" t="n"/>
    </row>
    <row r="17">
      <c r="A17">
        <f>lc_detailed!AR18</f>
        <v/>
      </c>
      <c r="B17" s="24">
        <f>lc_detailed!AW18</f>
        <v/>
      </c>
      <c r="C17" s="24">
        <f>lc_detailed!AX18</f>
        <v/>
      </c>
      <c r="D17" s="24">
        <f>lc_detailed!AY18</f>
        <v/>
      </c>
      <c r="E17" s="24">
        <f>lc_detailed!AZ18</f>
        <v/>
      </c>
      <c r="F17" s="24">
        <f>lc_detailed!BA18</f>
        <v/>
      </c>
      <c r="G17" s="24">
        <f>lc_detailed!BB18</f>
        <v/>
      </c>
      <c r="H17" s="24">
        <f>lc_detailed!BC18</f>
        <v/>
      </c>
      <c r="I17" s="24">
        <f>lc_detailed!BD18</f>
        <v/>
      </c>
      <c r="J17" s="24">
        <f>lc_detailed!BE18</f>
        <v/>
      </c>
      <c r="K17" s="24">
        <f>lc_detailed!BF18</f>
        <v/>
      </c>
      <c r="L17" s="24">
        <f>lc_detailed!BG18</f>
        <v/>
      </c>
      <c r="M17" s="24">
        <f>lc_detailed!BH18</f>
        <v/>
      </c>
      <c r="N17" s="24">
        <f>lc_detailed!BI18</f>
        <v/>
      </c>
      <c r="O17" s="24">
        <f>lc_detailed!BK18</f>
        <v/>
      </c>
      <c r="P17" s="24">
        <f>lc_detailed!BL18</f>
        <v/>
      </c>
      <c r="Q17" s="24">
        <f>lc_detailed!AT18</f>
        <v/>
      </c>
      <c r="R17" s="24" t="n"/>
    </row>
    <row r="18">
      <c r="A18">
        <f>lc_detailed!AR19</f>
        <v/>
      </c>
      <c r="B18" s="24">
        <f>lc_detailed!AW19</f>
        <v/>
      </c>
      <c r="C18" s="24">
        <f>lc_detailed!AX19</f>
        <v/>
      </c>
      <c r="D18" s="24">
        <f>lc_detailed!AY19</f>
        <v/>
      </c>
      <c r="E18" s="24">
        <f>lc_detailed!AZ19</f>
        <v/>
      </c>
      <c r="F18" s="24">
        <f>lc_detailed!BA19</f>
        <v/>
      </c>
      <c r="G18" s="24">
        <f>lc_detailed!BB19</f>
        <v/>
      </c>
      <c r="H18" s="24">
        <f>lc_detailed!BC19</f>
        <v/>
      </c>
      <c r="I18" s="24">
        <f>lc_detailed!BD19</f>
        <v/>
      </c>
      <c r="J18" s="24">
        <f>lc_detailed!BE19</f>
        <v/>
      </c>
      <c r="K18" s="24">
        <f>lc_detailed!BF19</f>
        <v/>
      </c>
      <c r="L18" s="24">
        <f>lc_detailed!BG19</f>
        <v/>
      </c>
      <c r="M18" s="24">
        <f>lc_detailed!BH19</f>
        <v/>
      </c>
      <c r="N18" s="24">
        <f>lc_detailed!BI19</f>
        <v/>
      </c>
      <c r="O18" s="24">
        <f>lc_detailed!BK19</f>
        <v/>
      </c>
      <c r="P18" s="24">
        <f>lc_detailed!BL19</f>
        <v/>
      </c>
      <c r="Q18" s="24">
        <f>lc_detailed!AT19</f>
        <v/>
      </c>
      <c r="R18" s="24" t="n"/>
    </row>
    <row r="19">
      <c r="A19">
        <f>lc_detailed!AR20</f>
        <v/>
      </c>
      <c r="B19" s="24">
        <f>lc_detailed!AW20</f>
        <v/>
      </c>
      <c r="C19" s="24">
        <f>lc_detailed!AX20</f>
        <v/>
      </c>
      <c r="D19" s="24">
        <f>lc_detailed!AY20</f>
        <v/>
      </c>
      <c r="E19" s="24">
        <f>lc_detailed!AZ20</f>
        <v/>
      </c>
      <c r="F19" s="24">
        <f>lc_detailed!BA20</f>
        <v/>
      </c>
      <c r="G19" s="24">
        <f>lc_detailed!BB20</f>
        <v/>
      </c>
      <c r="H19" s="24">
        <f>lc_detailed!BC20</f>
        <v/>
      </c>
      <c r="I19" s="24">
        <f>lc_detailed!BD20</f>
        <v/>
      </c>
      <c r="J19" s="24">
        <f>lc_detailed!BE20</f>
        <v/>
      </c>
      <c r="K19" s="24">
        <f>lc_detailed!BF20</f>
        <v/>
      </c>
      <c r="L19" s="24">
        <f>lc_detailed!BG20</f>
        <v/>
      </c>
      <c r="M19" s="24">
        <f>lc_detailed!BH20</f>
        <v/>
      </c>
      <c r="N19" s="24">
        <f>lc_detailed!BI20</f>
        <v/>
      </c>
      <c r="O19" s="24">
        <f>lc_detailed!BK20</f>
        <v/>
      </c>
      <c r="P19" s="24">
        <f>lc_detailed!BL20</f>
        <v/>
      </c>
      <c r="Q19" s="24">
        <f>lc_detailed!AT20</f>
        <v/>
      </c>
      <c r="R19" s="24" t="n"/>
    </row>
    <row r="20">
      <c r="A20">
        <f>lc_detailed!AR21</f>
        <v/>
      </c>
      <c r="B20" s="24">
        <f>lc_detailed!AW21</f>
        <v/>
      </c>
      <c r="C20" s="24">
        <f>lc_detailed!AX21</f>
        <v/>
      </c>
      <c r="D20" s="24">
        <f>lc_detailed!AY21</f>
        <v/>
      </c>
      <c r="E20" s="24">
        <f>lc_detailed!AZ21</f>
        <v/>
      </c>
      <c r="F20" s="24">
        <f>lc_detailed!BA21</f>
        <v/>
      </c>
      <c r="G20" s="24">
        <f>lc_detailed!BB21</f>
        <v/>
      </c>
      <c r="H20" s="24">
        <f>lc_detailed!BC21</f>
        <v/>
      </c>
      <c r="I20" s="24">
        <f>lc_detailed!BD21</f>
        <v/>
      </c>
      <c r="J20" s="24">
        <f>lc_detailed!BE21</f>
        <v/>
      </c>
      <c r="K20" s="24">
        <f>lc_detailed!BF21</f>
        <v/>
      </c>
      <c r="L20" s="24">
        <f>lc_detailed!BG21</f>
        <v/>
      </c>
      <c r="M20" s="24">
        <f>lc_detailed!BH21</f>
        <v/>
      </c>
      <c r="N20" s="24">
        <f>lc_detailed!BI21</f>
        <v/>
      </c>
      <c r="O20" s="24">
        <f>lc_detailed!BK21</f>
        <v/>
      </c>
      <c r="P20" s="24">
        <f>lc_detailed!BL21</f>
        <v/>
      </c>
      <c r="Q20" s="24">
        <f>lc_detailed!AT21</f>
        <v/>
      </c>
      <c r="R20" s="24" t="n"/>
    </row>
    <row r="21">
      <c r="A21">
        <f>lc_detailed!AR22</f>
        <v/>
      </c>
      <c r="B21" s="24">
        <f>lc_detailed!AW22</f>
        <v/>
      </c>
      <c r="C21" s="24">
        <f>lc_detailed!AX22</f>
        <v/>
      </c>
      <c r="D21" s="24">
        <f>lc_detailed!AY22</f>
        <v/>
      </c>
      <c r="E21" s="24">
        <f>lc_detailed!AZ22</f>
        <v/>
      </c>
      <c r="F21" s="24">
        <f>lc_detailed!BA22</f>
        <v/>
      </c>
      <c r="G21" s="24">
        <f>lc_detailed!BB22</f>
        <v/>
      </c>
      <c r="H21" s="24">
        <f>lc_detailed!BC22</f>
        <v/>
      </c>
      <c r="I21" s="24">
        <f>lc_detailed!BD22</f>
        <v/>
      </c>
      <c r="J21" s="24">
        <f>lc_detailed!BE22</f>
        <v/>
      </c>
      <c r="K21" s="24">
        <f>lc_detailed!BF22</f>
        <v/>
      </c>
      <c r="L21" s="24">
        <f>lc_detailed!BG22</f>
        <v/>
      </c>
      <c r="M21" s="24">
        <f>lc_detailed!BH22</f>
        <v/>
      </c>
      <c r="N21" s="24">
        <f>lc_detailed!BI22</f>
        <v/>
      </c>
      <c r="O21" s="24">
        <f>lc_detailed!BK22</f>
        <v/>
      </c>
      <c r="P21" s="24">
        <f>lc_detailed!BL22</f>
        <v/>
      </c>
      <c r="Q21" s="24">
        <f>lc_detailed!AT22</f>
        <v/>
      </c>
      <c r="R21" s="24" t="n"/>
    </row>
    <row r="22">
      <c r="A22">
        <f>lc_detailed!AR23</f>
        <v/>
      </c>
      <c r="B22" s="24">
        <f>lc_detailed!AW23</f>
        <v/>
      </c>
      <c r="C22" s="24">
        <f>lc_detailed!AX23</f>
        <v/>
      </c>
      <c r="D22" s="24">
        <f>lc_detailed!AY23</f>
        <v/>
      </c>
      <c r="E22" s="24">
        <f>lc_detailed!AZ23</f>
        <v/>
      </c>
      <c r="F22" s="24">
        <f>lc_detailed!BA23</f>
        <v/>
      </c>
      <c r="G22" s="24">
        <f>lc_detailed!BB23</f>
        <v/>
      </c>
      <c r="H22" s="24">
        <f>lc_detailed!BC23</f>
        <v/>
      </c>
      <c r="I22" s="24">
        <f>lc_detailed!BD23</f>
        <v/>
      </c>
      <c r="J22" s="24">
        <f>lc_detailed!BE23</f>
        <v/>
      </c>
      <c r="K22" s="24">
        <f>lc_detailed!BF23</f>
        <v/>
      </c>
      <c r="L22" s="24">
        <f>lc_detailed!BG23</f>
        <v/>
      </c>
      <c r="M22" s="24">
        <f>lc_detailed!BH23</f>
        <v/>
      </c>
      <c r="N22" s="24">
        <f>lc_detailed!BI23</f>
        <v/>
      </c>
      <c r="O22" s="24">
        <f>lc_detailed!BK23</f>
        <v/>
      </c>
      <c r="P22" s="24">
        <f>lc_detailed!BL23</f>
        <v/>
      </c>
      <c r="Q22" s="24">
        <f>lc_detailed!AT23</f>
        <v/>
      </c>
      <c r="R22" s="24" t="n"/>
    </row>
    <row r="23">
      <c r="A23">
        <f>lc_detailed!AR24</f>
        <v/>
      </c>
      <c r="B23" s="24">
        <f>lc_detailed!AW24</f>
        <v/>
      </c>
      <c r="C23" s="24">
        <f>lc_detailed!AX24</f>
        <v/>
      </c>
      <c r="D23" s="24">
        <f>lc_detailed!AY24</f>
        <v/>
      </c>
      <c r="E23" s="24">
        <f>lc_detailed!AZ24</f>
        <v/>
      </c>
      <c r="F23" s="24">
        <f>lc_detailed!BA24</f>
        <v/>
      </c>
      <c r="G23" s="24">
        <f>lc_detailed!BB24</f>
        <v/>
      </c>
      <c r="H23" s="24">
        <f>lc_detailed!BC24</f>
        <v/>
      </c>
      <c r="I23" s="24">
        <f>lc_detailed!BD24</f>
        <v/>
      </c>
      <c r="J23" s="24">
        <f>lc_detailed!BE24</f>
        <v/>
      </c>
      <c r="K23" s="24">
        <f>lc_detailed!BF24</f>
        <v/>
      </c>
      <c r="L23" s="24">
        <f>lc_detailed!BG24</f>
        <v/>
      </c>
      <c r="M23" s="24">
        <f>lc_detailed!BH24</f>
        <v/>
      </c>
      <c r="N23" s="24">
        <f>lc_detailed!BI24</f>
        <v/>
      </c>
      <c r="O23" s="24">
        <f>lc_detailed!BK24</f>
        <v/>
      </c>
      <c r="P23" s="24">
        <f>lc_detailed!BL24</f>
        <v/>
      </c>
      <c r="Q23" s="24">
        <f>lc_detailed!AT24</f>
        <v/>
      </c>
      <c r="R23" s="24" t="n"/>
    </row>
    <row r="24">
      <c r="A24">
        <f>lc_detailed!AR25</f>
        <v/>
      </c>
      <c r="B24" s="24">
        <f>lc_detailed!AW25</f>
        <v/>
      </c>
      <c r="C24" s="24">
        <f>lc_detailed!AX25</f>
        <v/>
      </c>
      <c r="D24" s="24">
        <f>lc_detailed!AY25</f>
        <v/>
      </c>
      <c r="E24" s="24">
        <f>lc_detailed!AZ25</f>
        <v/>
      </c>
      <c r="F24" s="24">
        <f>lc_detailed!BA25</f>
        <v/>
      </c>
      <c r="G24" s="24">
        <f>lc_detailed!BB25</f>
        <v/>
      </c>
      <c r="H24" s="24">
        <f>lc_detailed!BC25</f>
        <v/>
      </c>
      <c r="I24" s="24">
        <f>lc_detailed!BD25</f>
        <v/>
      </c>
      <c r="J24" s="24">
        <f>lc_detailed!BE25</f>
        <v/>
      </c>
      <c r="K24" s="24">
        <f>lc_detailed!BF25</f>
        <v/>
      </c>
      <c r="L24" s="24">
        <f>lc_detailed!BG25</f>
        <v/>
      </c>
      <c r="M24" s="24">
        <f>lc_detailed!BH25</f>
        <v/>
      </c>
      <c r="N24" s="24">
        <f>lc_detailed!BI25</f>
        <v/>
      </c>
      <c r="O24" s="24">
        <f>lc_detailed!BK25</f>
        <v/>
      </c>
      <c r="P24" s="24">
        <f>lc_detailed!BL25</f>
        <v/>
      </c>
      <c r="Q24" s="24">
        <f>lc_detailed!AT25</f>
        <v/>
      </c>
      <c r="R24" s="24" t="n"/>
    </row>
    <row r="25">
      <c r="A25">
        <f>lc_detailed!AR26</f>
        <v/>
      </c>
      <c r="B25" s="24">
        <f>lc_detailed!AW26</f>
        <v/>
      </c>
      <c r="C25" s="24">
        <f>lc_detailed!AX26</f>
        <v/>
      </c>
      <c r="D25" s="24">
        <f>lc_detailed!AY26</f>
        <v/>
      </c>
      <c r="E25" s="24">
        <f>lc_detailed!AZ26</f>
        <v/>
      </c>
      <c r="F25" s="24">
        <f>lc_detailed!BA26</f>
        <v/>
      </c>
      <c r="G25" s="24">
        <f>lc_detailed!BB26</f>
        <v/>
      </c>
      <c r="H25" s="24">
        <f>lc_detailed!BC26</f>
        <v/>
      </c>
      <c r="I25" s="24">
        <f>lc_detailed!BD26</f>
        <v/>
      </c>
      <c r="J25" s="24">
        <f>lc_detailed!BE26</f>
        <v/>
      </c>
      <c r="K25" s="24">
        <f>lc_detailed!BF26</f>
        <v/>
      </c>
      <c r="L25" s="24">
        <f>lc_detailed!BG26</f>
        <v/>
      </c>
      <c r="M25" s="24">
        <f>lc_detailed!BH26</f>
        <v/>
      </c>
      <c r="N25" s="24">
        <f>lc_detailed!BI26</f>
        <v/>
      </c>
      <c r="O25" s="24">
        <f>lc_detailed!BK26</f>
        <v/>
      </c>
      <c r="P25" s="24">
        <f>lc_detailed!BL26</f>
        <v/>
      </c>
      <c r="Q25" s="24">
        <f>lc_detailed!AT26</f>
        <v/>
      </c>
      <c r="R25" s="24" t="n"/>
    </row>
    <row r="26">
      <c r="A26">
        <f>lc_detailed!AR27</f>
        <v/>
      </c>
      <c r="B26" s="24">
        <f>lc_detailed!AW27</f>
        <v/>
      </c>
      <c r="C26" s="24">
        <f>lc_detailed!AX27</f>
        <v/>
      </c>
      <c r="D26" s="24">
        <f>lc_detailed!AY27</f>
        <v/>
      </c>
      <c r="E26" s="24">
        <f>lc_detailed!AZ27</f>
        <v/>
      </c>
      <c r="F26" s="24">
        <f>lc_detailed!BA27</f>
        <v/>
      </c>
      <c r="G26" s="24">
        <f>lc_detailed!BB27</f>
        <v/>
      </c>
      <c r="H26" s="24">
        <f>lc_detailed!BC27</f>
        <v/>
      </c>
      <c r="I26" s="24">
        <f>lc_detailed!BD27</f>
        <v/>
      </c>
      <c r="J26" s="24">
        <f>lc_detailed!BE27</f>
        <v/>
      </c>
      <c r="K26" s="24">
        <f>lc_detailed!BF27</f>
        <v/>
      </c>
      <c r="L26" s="24">
        <f>lc_detailed!BG27</f>
        <v/>
      </c>
      <c r="M26" s="24">
        <f>lc_detailed!BH27</f>
        <v/>
      </c>
      <c r="N26" s="24">
        <f>lc_detailed!BI27</f>
        <v/>
      </c>
      <c r="O26" s="24">
        <f>lc_detailed!BK27</f>
        <v/>
      </c>
      <c r="P26" s="24">
        <f>lc_detailed!BL27</f>
        <v/>
      </c>
      <c r="Q26" s="24">
        <f>lc_detailed!AT27</f>
        <v/>
      </c>
      <c r="R26" s="24" t="n"/>
    </row>
    <row r="27">
      <c r="A27">
        <f>lc_detailed!AR28</f>
        <v/>
      </c>
      <c r="B27" s="24">
        <f>lc_detailed!AW28</f>
        <v/>
      </c>
      <c r="C27" s="24">
        <f>lc_detailed!AX28</f>
        <v/>
      </c>
      <c r="D27" s="24">
        <f>lc_detailed!AY28</f>
        <v/>
      </c>
      <c r="E27" s="24">
        <f>lc_detailed!AZ28</f>
        <v/>
      </c>
      <c r="F27" s="24">
        <f>lc_detailed!BA28</f>
        <v/>
      </c>
      <c r="G27" s="24">
        <f>lc_detailed!BB28</f>
        <v/>
      </c>
      <c r="H27" s="24">
        <f>lc_detailed!BC28</f>
        <v/>
      </c>
      <c r="I27" s="24">
        <f>lc_detailed!BD28</f>
        <v/>
      </c>
      <c r="J27" s="24">
        <f>lc_detailed!BE28</f>
        <v/>
      </c>
      <c r="K27" s="24">
        <f>lc_detailed!BF28</f>
        <v/>
      </c>
      <c r="L27" s="24">
        <f>lc_detailed!BG28</f>
        <v/>
      </c>
      <c r="M27" s="24">
        <f>lc_detailed!BH28</f>
        <v/>
      </c>
      <c r="N27" s="24">
        <f>lc_detailed!BI28</f>
        <v/>
      </c>
      <c r="O27" s="24">
        <f>lc_detailed!BK28</f>
        <v/>
      </c>
      <c r="P27" s="24">
        <f>lc_detailed!BL28</f>
        <v/>
      </c>
      <c r="Q27" s="24">
        <f>lc_detailed!AT28</f>
        <v/>
      </c>
      <c r="R27" s="24" t="n"/>
    </row>
    <row r="28">
      <c r="A28">
        <f>lc_detailed!AR29</f>
        <v/>
      </c>
      <c r="B28" s="24">
        <f>lc_detailed!AW29</f>
        <v/>
      </c>
      <c r="C28" s="24">
        <f>lc_detailed!AX29</f>
        <v/>
      </c>
      <c r="D28" s="24">
        <f>lc_detailed!AY29</f>
        <v/>
      </c>
      <c r="E28" s="24">
        <f>lc_detailed!AZ29</f>
        <v/>
      </c>
      <c r="F28" s="24">
        <f>lc_detailed!BA29</f>
        <v/>
      </c>
      <c r="G28" s="24">
        <f>lc_detailed!BB29</f>
        <v/>
      </c>
      <c r="H28" s="24">
        <f>lc_detailed!BC29</f>
        <v/>
      </c>
      <c r="I28" s="24">
        <f>lc_detailed!BD29</f>
        <v/>
      </c>
      <c r="J28" s="24">
        <f>lc_detailed!BE29</f>
        <v/>
      </c>
      <c r="K28" s="24">
        <f>lc_detailed!BF29</f>
        <v/>
      </c>
      <c r="L28" s="24">
        <f>lc_detailed!BG29</f>
        <v/>
      </c>
      <c r="M28" s="24">
        <f>lc_detailed!BH29</f>
        <v/>
      </c>
      <c r="N28" s="24">
        <f>lc_detailed!BI29</f>
        <v/>
      </c>
      <c r="O28" s="24">
        <f>lc_detailed!BK29</f>
        <v/>
      </c>
      <c r="P28" s="24">
        <f>lc_detailed!BL29</f>
        <v/>
      </c>
      <c r="Q28" s="24">
        <f>lc_detailed!AT29</f>
        <v/>
      </c>
    </row>
    <row r="29">
      <c r="A29">
        <f>lc_detailed!AR30</f>
        <v/>
      </c>
      <c r="B29" s="24">
        <f>lc_detailed!AW30</f>
        <v/>
      </c>
      <c r="C29" s="24">
        <f>lc_detailed!AX30</f>
        <v/>
      </c>
      <c r="D29" s="24">
        <f>lc_detailed!AY30</f>
        <v/>
      </c>
      <c r="E29" s="24">
        <f>lc_detailed!AZ30</f>
        <v/>
      </c>
      <c r="F29" s="24">
        <f>lc_detailed!BA30</f>
        <v/>
      </c>
      <c r="G29" s="24">
        <f>lc_detailed!BB30</f>
        <v/>
      </c>
      <c r="H29" s="24">
        <f>lc_detailed!BC30</f>
        <v/>
      </c>
      <c r="I29" s="24">
        <f>lc_detailed!BD30</f>
        <v/>
      </c>
      <c r="J29" s="24">
        <f>lc_detailed!BE30</f>
        <v/>
      </c>
      <c r="K29" s="24">
        <f>lc_detailed!BF30</f>
        <v/>
      </c>
      <c r="L29" s="24">
        <f>lc_detailed!BG30</f>
        <v/>
      </c>
      <c r="M29" s="24">
        <f>lc_detailed!BH30</f>
        <v/>
      </c>
      <c r="N29" s="24">
        <f>lc_detailed!BI30</f>
        <v/>
      </c>
      <c r="O29" s="24">
        <f>lc_detailed!BK30</f>
        <v/>
      </c>
      <c r="P29" s="24">
        <f>lc_detailed!BL30</f>
        <v/>
      </c>
      <c r="Q29" s="24">
        <f>lc_detailed!AT30</f>
        <v/>
      </c>
    </row>
    <row r="30">
      <c r="A30">
        <f>lc_detailed!AR31</f>
        <v/>
      </c>
      <c r="B30" s="24">
        <f>lc_detailed!AW31</f>
        <v/>
      </c>
      <c r="C30" s="24">
        <f>lc_detailed!AX31</f>
        <v/>
      </c>
      <c r="D30" s="24">
        <f>lc_detailed!AY31</f>
        <v/>
      </c>
      <c r="E30" s="24">
        <f>lc_detailed!AZ31</f>
        <v/>
      </c>
      <c r="F30" s="24">
        <f>lc_detailed!BA31</f>
        <v/>
      </c>
      <c r="G30" s="24">
        <f>lc_detailed!BB31</f>
        <v/>
      </c>
      <c r="H30" s="24">
        <f>lc_detailed!BC31</f>
        <v/>
      </c>
      <c r="I30" s="24">
        <f>lc_detailed!BD31</f>
        <v/>
      </c>
      <c r="J30" s="24">
        <f>lc_detailed!BE31</f>
        <v/>
      </c>
      <c r="K30" s="24">
        <f>lc_detailed!BF31</f>
        <v/>
      </c>
      <c r="L30" s="24">
        <f>lc_detailed!BG31</f>
        <v/>
      </c>
      <c r="M30" s="24">
        <f>lc_detailed!BH31</f>
        <v/>
      </c>
      <c r="N30" s="24">
        <f>lc_detailed!BI31</f>
        <v/>
      </c>
      <c r="O30" s="24">
        <f>lc_detailed!BK31</f>
        <v/>
      </c>
      <c r="P30" s="24">
        <f>lc_detailed!BL31</f>
        <v/>
      </c>
      <c r="Q30" s="24">
        <f>lc_detailed!AT31</f>
        <v/>
      </c>
    </row>
    <row r="31">
      <c r="A31">
        <f>lc_detailed!AR32</f>
        <v/>
      </c>
      <c r="B31" s="24">
        <f>lc_detailed!AW32</f>
        <v/>
      </c>
      <c r="C31" s="24">
        <f>lc_detailed!AX32</f>
        <v/>
      </c>
      <c r="D31" s="24">
        <f>lc_detailed!AY32</f>
        <v/>
      </c>
      <c r="E31" s="24">
        <f>lc_detailed!AZ32</f>
        <v/>
      </c>
      <c r="F31" s="24">
        <f>lc_detailed!BA32</f>
        <v/>
      </c>
      <c r="G31" s="24">
        <f>lc_detailed!BB32</f>
        <v/>
      </c>
      <c r="H31" s="24">
        <f>lc_detailed!BC32</f>
        <v/>
      </c>
      <c r="I31" s="24">
        <f>lc_detailed!BD32</f>
        <v/>
      </c>
      <c r="J31" s="24">
        <f>lc_detailed!BE32</f>
        <v/>
      </c>
      <c r="K31" s="24">
        <f>lc_detailed!BF32</f>
        <v/>
      </c>
      <c r="L31" s="24">
        <f>lc_detailed!BG32</f>
        <v/>
      </c>
      <c r="M31" s="24">
        <f>lc_detailed!BH32</f>
        <v/>
      </c>
      <c r="N31" s="24">
        <f>lc_detailed!BI32</f>
        <v/>
      </c>
      <c r="O31" s="24">
        <f>lc_detailed!BK32</f>
        <v/>
      </c>
      <c r="P31" s="24">
        <f>lc_detailed!BL32</f>
        <v/>
      </c>
      <c r="Q31" s="24">
        <f>lc_detailed!AT32</f>
        <v/>
      </c>
    </row>
    <row r="32">
      <c r="A32">
        <f>lc_detailed!AR33</f>
        <v/>
      </c>
      <c r="B32" s="24">
        <f>lc_detailed!AW33</f>
        <v/>
      </c>
      <c r="C32" s="24">
        <f>lc_detailed!AX33</f>
        <v/>
      </c>
      <c r="D32" s="24">
        <f>lc_detailed!AY33</f>
        <v/>
      </c>
      <c r="E32" s="24">
        <f>lc_detailed!AZ33</f>
        <v/>
      </c>
      <c r="F32" s="24">
        <f>lc_detailed!BA33</f>
        <v/>
      </c>
      <c r="G32" s="24">
        <f>lc_detailed!BB33</f>
        <v/>
      </c>
      <c r="H32" s="24">
        <f>lc_detailed!BC33</f>
        <v/>
      </c>
      <c r="I32" s="24">
        <f>lc_detailed!BD33</f>
        <v/>
      </c>
      <c r="J32" s="24">
        <f>lc_detailed!BE33</f>
        <v/>
      </c>
      <c r="K32" s="24">
        <f>lc_detailed!BF33</f>
        <v/>
      </c>
      <c r="L32" s="24">
        <f>lc_detailed!BG33</f>
        <v/>
      </c>
      <c r="M32" s="24">
        <f>lc_detailed!BH33</f>
        <v/>
      </c>
      <c r="N32" s="24">
        <f>lc_detailed!BI33</f>
        <v/>
      </c>
      <c r="O32" s="24">
        <f>lc_detailed!BK33</f>
        <v/>
      </c>
      <c r="P32" s="24">
        <f>lc_detailed!BL33</f>
        <v/>
      </c>
      <c r="Q32" s="24">
        <f>lc_detailed!AT33</f>
        <v/>
      </c>
    </row>
    <row r="33">
      <c r="A33">
        <f>lc_detailed!AR34</f>
        <v/>
      </c>
      <c r="B33" s="24">
        <f>lc_detailed!AW34</f>
        <v/>
      </c>
      <c r="C33" s="24">
        <f>lc_detailed!AX34</f>
        <v/>
      </c>
      <c r="D33" s="24">
        <f>lc_detailed!AY34</f>
        <v/>
      </c>
      <c r="E33" s="24">
        <f>lc_detailed!AZ34</f>
        <v/>
      </c>
      <c r="F33" s="24">
        <f>lc_detailed!BA34</f>
        <v/>
      </c>
      <c r="G33" s="24">
        <f>lc_detailed!BB34</f>
        <v/>
      </c>
      <c r="H33" s="24">
        <f>lc_detailed!BC34</f>
        <v/>
      </c>
      <c r="I33" s="24">
        <f>lc_detailed!BD34</f>
        <v/>
      </c>
      <c r="J33" s="24">
        <f>lc_detailed!BE34</f>
        <v/>
      </c>
      <c r="K33" s="24">
        <f>lc_detailed!BF34</f>
        <v/>
      </c>
      <c r="L33" s="24">
        <f>lc_detailed!BG34</f>
        <v/>
      </c>
      <c r="M33" s="24">
        <f>lc_detailed!BH34</f>
        <v/>
      </c>
      <c r="N33" s="24">
        <f>lc_detailed!BI34</f>
        <v/>
      </c>
      <c r="O33" s="24">
        <f>lc_detailed!BK34</f>
        <v/>
      </c>
      <c r="P33" s="24">
        <f>lc_detailed!BL34</f>
        <v/>
      </c>
      <c r="Q33" s="24">
        <f>lc_detailed!AT34</f>
        <v/>
      </c>
    </row>
    <row r="34">
      <c r="A34">
        <f>lc_detailed!AR35</f>
        <v/>
      </c>
      <c r="B34" s="24">
        <f>lc_detailed!AW35</f>
        <v/>
      </c>
      <c r="C34" s="24">
        <f>lc_detailed!AX35</f>
        <v/>
      </c>
      <c r="D34" s="24">
        <f>lc_detailed!AY35</f>
        <v/>
      </c>
      <c r="E34" s="24">
        <f>lc_detailed!AZ35</f>
        <v/>
      </c>
      <c r="F34" s="24">
        <f>lc_detailed!BA35</f>
        <v/>
      </c>
      <c r="G34" s="24">
        <f>lc_detailed!BB35</f>
        <v/>
      </c>
      <c r="H34" s="24">
        <f>lc_detailed!BC35</f>
        <v/>
      </c>
      <c r="I34" s="24">
        <f>lc_detailed!BD35</f>
        <v/>
      </c>
      <c r="J34" s="24">
        <f>lc_detailed!BE35</f>
        <v/>
      </c>
      <c r="K34" s="24">
        <f>lc_detailed!BF35</f>
        <v/>
      </c>
      <c r="L34" s="24">
        <f>lc_detailed!BG35</f>
        <v/>
      </c>
      <c r="M34" s="24">
        <f>lc_detailed!BH35</f>
        <v/>
      </c>
      <c r="N34" s="24">
        <f>lc_detailed!BI35</f>
        <v/>
      </c>
      <c r="O34" s="24">
        <f>lc_detailed!BK35</f>
        <v/>
      </c>
      <c r="P34" s="24">
        <f>lc_detailed!BL35</f>
        <v/>
      </c>
      <c r="Q34" s="24">
        <f>lc_detailed!AT35</f>
        <v/>
      </c>
    </row>
    <row r="35">
      <c r="A35">
        <f>lc_detailed!AR36</f>
        <v/>
      </c>
      <c r="B35" s="24">
        <f>lc_detailed!AW36</f>
        <v/>
      </c>
      <c r="C35" s="24">
        <f>lc_detailed!AX36</f>
        <v/>
      </c>
      <c r="D35" s="24">
        <f>lc_detailed!AY36</f>
        <v/>
      </c>
      <c r="E35" s="24">
        <f>lc_detailed!AZ36</f>
        <v/>
      </c>
      <c r="F35" s="24">
        <f>lc_detailed!BA36</f>
        <v/>
      </c>
      <c r="G35" s="24">
        <f>lc_detailed!BB36</f>
        <v/>
      </c>
      <c r="H35" s="24">
        <f>lc_detailed!BC36</f>
        <v/>
      </c>
      <c r="I35" s="24">
        <f>lc_detailed!BD36</f>
        <v/>
      </c>
      <c r="J35" s="24">
        <f>lc_detailed!BE36</f>
        <v/>
      </c>
      <c r="K35" s="24">
        <f>lc_detailed!BF36</f>
        <v/>
      </c>
      <c r="L35" s="24">
        <f>lc_detailed!BG36</f>
        <v/>
      </c>
      <c r="M35" s="24">
        <f>lc_detailed!BH36</f>
        <v/>
      </c>
      <c r="N35" s="24">
        <f>lc_detailed!BI36</f>
        <v/>
      </c>
      <c r="O35" s="24">
        <f>lc_detailed!BK36</f>
        <v/>
      </c>
      <c r="P35" s="24">
        <f>lc_detailed!BL36</f>
        <v/>
      </c>
      <c r="Q35" s="24">
        <f>lc_detailed!AT36</f>
        <v/>
      </c>
    </row>
    <row r="36">
      <c r="A36">
        <f>lc_detailed!AR37</f>
        <v/>
      </c>
      <c r="B36" s="24">
        <f>lc_detailed!AW37</f>
        <v/>
      </c>
      <c r="C36" s="24">
        <f>lc_detailed!AX37</f>
        <v/>
      </c>
      <c r="D36" s="24">
        <f>lc_detailed!AY37</f>
        <v/>
      </c>
      <c r="E36" s="24">
        <f>lc_detailed!AZ37</f>
        <v/>
      </c>
      <c r="F36" s="24">
        <f>lc_detailed!BA37</f>
        <v/>
      </c>
      <c r="G36" s="24">
        <f>lc_detailed!BB37</f>
        <v/>
      </c>
      <c r="H36" s="24">
        <f>lc_detailed!BC37</f>
        <v/>
      </c>
      <c r="I36" s="24">
        <f>lc_detailed!BD37</f>
        <v/>
      </c>
      <c r="J36" s="24">
        <f>lc_detailed!BE37</f>
        <v/>
      </c>
      <c r="K36" s="24">
        <f>lc_detailed!BF37</f>
        <v/>
      </c>
      <c r="L36" s="24">
        <f>lc_detailed!BG37</f>
        <v/>
      </c>
      <c r="M36" s="24">
        <f>lc_detailed!BH37</f>
        <v/>
      </c>
      <c r="N36" s="24">
        <f>lc_detailed!BI37</f>
        <v/>
      </c>
      <c r="O36" s="24">
        <f>lc_detailed!BK37</f>
        <v/>
      </c>
      <c r="P36" s="24">
        <f>lc_detailed!BL37</f>
        <v/>
      </c>
      <c r="Q36" s="24">
        <f>lc_detailed!AT37</f>
        <v/>
      </c>
    </row>
    <row r="37">
      <c r="A37">
        <f>lc_detailed!AR38</f>
        <v/>
      </c>
      <c r="B37" s="24">
        <f>lc_detailed!AW38</f>
        <v/>
      </c>
      <c r="C37" s="24">
        <f>lc_detailed!AX38</f>
        <v/>
      </c>
      <c r="D37" s="24">
        <f>lc_detailed!AY38</f>
        <v/>
      </c>
      <c r="E37" s="24">
        <f>lc_detailed!AZ38</f>
        <v/>
      </c>
      <c r="F37" s="24">
        <f>lc_detailed!BA38</f>
        <v/>
      </c>
      <c r="G37" s="24">
        <f>lc_detailed!BB38</f>
        <v/>
      </c>
      <c r="H37" s="24">
        <f>lc_detailed!BC38</f>
        <v/>
      </c>
      <c r="I37" s="24">
        <f>lc_detailed!BD38</f>
        <v/>
      </c>
      <c r="J37" s="24">
        <f>lc_detailed!BE38</f>
        <v/>
      </c>
      <c r="K37" s="24">
        <f>lc_detailed!BF38</f>
        <v/>
      </c>
      <c r="L37" s="24">
        <f>lc_detailed!BG38</f>
        <v/>
      </c>
      <c r="M37" s="24">
        <f>lc_detailed!BH38</f>
        <v/>
      </c>
      <c r="N37" s="24">
        <f>lc_detailed!BI38</f>
        <v/>
      </c>
      <c r="O37" s="24">
        <f>lc_detailed!BK38</f>
        <v/>
      </c>
      <c r="P37" s="24">
        <f>lc_detailed!BL38</f>
        <v/>
      </c>
      <c r="Q37" s="24">
        <f>lc_detailed!AT38</f>
        <v/>
      </c>
    </row>
    <row r="38">
      <c r="A38">
        <f>lc_detailed!AR39</f>
        <v/>
      </c>
      <c r="B38" s="24">
        <f>lc_detailed!AW39</f>
        <v/>
      </c>
      <c r="C38" s="24">
        <f>lc_detailed!AX39</f>
        <v/>
      </c>
      <c r="D38" s="24">
        <f>lc_detailed!AY39</f>
        <v/>
      </c>
      <c r="E38" s="24">
        <f>lc_detailed!AZ39</f>
        <v/>
      </c>
      <c r="F38" s="24">
        <f>lc_detailed!BA39</f>
        <v/>
      </c>
      <c r="G38" s="24">
        <f>lc_detailed!BB39</f>
        <v/>
      </c>
      <c r="H38" s="24">
        <f>lc_detailed!BC39</f>
        <v/>
      </c>
      <c r="I38" s="24">
        <f>lc_detailed!BD39</f>
        <v/>
      </c>
      <c r="J38" s="24">
        <f>lc_detailed!BE39</f>
        <v/>
      </c>
      <c r="K38" s="24">
        <f>lc_detailed!BF39</f>
        <v/>
      </c>
      <c r="L38" s="24">
        <f>lc_detailed!BG39</f>
        <v/>
      </c>
      <c r="M38" s="24">
        <f>lc_detailed!BH39</f>
        <v/>
      </c>
      <c r="N38" s="24">
        <f>lc_detailed!BI39</f>
        <v/>
      </c>
      <c r="O38" s="24">
        <f>lc_detailed!BK39</f>
        <v/>
      </c>
      <c r="P38" s="24">
        <f>lc_detailed!BL39</f>
        <v/>
      </c>
      <c r="Q38" s="24">
        <f>lc_detailed!AT39</f>
        <v/>
      </c>
    </row>
    <row r="39">
      <c r="A39">
        <f>lc_detailed!AR40</f>
        <v/>
      </c>
      <c r="B39" s="24">
        <f>lc_detailed!AW40</f>
        <v/>
      </c>
      <c r="C39" s="24">
        <f>lc_detailed!AX40</f>
        <v/>
      </c>
      <c r="D39" s="24">
        <f>lc_detailed!AY40</f>
        <v/>
      </c>
      <c r="E39" s="24">
        <f>lc_detailed!AZ40</f>
        <v/>
      </c>
      <c r="F39" s="24">
        <f>lc_detailed!BA40</f>
        <v/>
      </c>
      <c r="G39" s="24">
        <f>lc_detailed!BB40</f>
        <v/>
      </c>
      <c r="H39" s="24">
        <f>lc_detailed!BC40</f>
        <v/>
      </c>
      <c r="I39" s="24">
        <f>lc_detailed!BD40</f>
        <v/>
      </c>
      <c r="J39" s="24">
        <f>lc_detailed!BE40</f>
        <v/>
      </c>
      <c r="K39" s="24">
        <f>lc_detailed!BF40</f>
        <v/>
      </c>
      <c r="L39" s="24">
        <f>lc_detailed!BG40</f>
        <v/>
      </c>
      <c r="M39" s="24">
        <f>lc_detailed!BH40</f>
        <v/>
      </c>
      <c r="N39" s="24">
        <f>lc_detailed!BI40</f>
        <v/>
      </c>
      <c r="O39" s="24">
        <f>lc_detailed!BK40</f>
        <v/>
      </c>
      <c r="P39" s="24">
        <f>lc_detailed!BL40</f>
        <v/>
      </c>
      <c r="Q39" s="24">
        <f>lc_detailed!AT40</f>
        <v/>
      </c>
    </row>
    <row r="40">
      <c r="A40">
        <f>lc_detailed!AR41</f>
        <v/>
      </c>
      <c r="B40" s="24">
        <f>lc_detailed!AW41</f>
        <v/>
      </c>
      <c r="C40" s="24">
        <f>lc_detailed!AX41</f>
        <v/>
      </c>
      <c r="D40" s="24">
        <f>lc_detailed!AY41</f>
        <v/>
      </c>
      <c r="E40" s="24">
        <f>lc_detailed!AZ41</f>
        <v/>
      </c>
      <c r="F40" s="24">
        <f>lc_detailed!BA41</f>
        <v/>
      </c>
      <c r="G40" s="24">
        <f>lc_detailed!BB41</f>
        <v/>
      </c>
      <c r="H40" s="24">
        <f>lc_detailed!BC41</f>
        <v/>
      </c>
      <c r="I40" s="24">
        <f>lc_detailed!BD41</f>
        <v/>
      </c>
      <c r="J40" s="24">
        <f>lc_detailed!BE41</f>
        <v/>
      </c>
      <c r="K40" s="24">
        <f>lc_detailed!BF41</f>
        <v/>
      </c>
      <c r="L40" s="24">
        <f>lc_detailed!BG41</f>
        <v/>
      </c>
      <c r="M40" s="24">
        <f>lc_detailed!BH41</f>
        <v/>
      </c>
      <c r="N40" s="24">
        <f>lc_detailed!BI41</f>
        <v/>
      </c>
      <c r="O40" s="24">
        <f>lc_detailed!BK41</f>
        <v/>
      </c>
      <c r="P40" s="24">
        <f>lc_detailed!BL41</f>
        <v/>
      </c>
      <c r="Q40" s="24">
        <f>lc_detailed!AT41</f>
        <v/>
      </c>
    </row>
    <row r="41">
      <c r="A41">
        <f>lc_detailed!AR42</f>
        <v/>
      </c>
      <c r="B41" s="24">
        <f>lc_detailed!AW42</f>
        <v/>
      </c>
      <c r="C41" s="24">
        <f>lc_detailed!AX42</f>
        <v/>
      </c>
      <c r="D41" s="24">
        <f>lc_detailed!AY42</f>
        <v/>
      </c>
      <c r="E41" s="24">
        <f>lc_detailed!AZ42</f>
        <v/>
      </c>
      <c r="F41" s="24">
        <f>lc_detailed!BA42</f>
        <v/>
      </c>
      <c r="G41" s="24">
        <f>lc_detailed!BB42</f>
        <v/>
      </c>
      <c r="H41" s="24">
        <f>lc_detailed!BC42</f>
        <v/>
      </c>
      <c r="I41" s="24">
        <f>lc_detailed!BD42</f>
        <v/>
      </c>
      <c r="J41" s="24">
        <f>lc_detailed!BE42</f>
        <v/>
      </c>
      <c r="K41" s="24">
        <f>lc_detailed!BF42</f>
        <v/>
      </c>
      <c r="L41" s="24">
        <f>lc_detailed!BG42</f>
        <v/>
      </c>
      <c r="M41" s="24">
        <f>lc_detailed!BH42</f>
        <v/>
      </c>
      <c r="N41" s="24">
        <f>lc_detailed!BI42</f>
        <v/>
      </c>
      <c r="O41" s="24">
        <f>lc_detailed!BK42</f>
        <v/>
      </c>
      <c r="P41" s="24">
        <f>lc_detailed!BL42</f>
        <v/>
      </c>
      <c r="Q41" s="24">
        <f>lc_detailed!AT42</f>
        <v/>
      </c>
    </row>
    <row r="42">
      <c r="A42">
        <f>lc_detailed!AR43</f>
        <v/>
      </c>
      <c r="B42" s="24">
        <f>lc_detailed!AW43</f>
        <v/>
      </c>
      <c r="C42" s="24">
        <f>lc_detailed!AX43</f>
        <v/>
      </c>
      <c r="D42" s="24">
        <f>lc_detailed!AY43</f>
        <v/>
      </c>
      <c r="E42" s="24">
        <f>lc_detailed!AZ43</f>
        <v/>
      </c>
      <c r="F42" s="24">
        <f>lc_detailed!BA43</f>
        <v/>
      </c>
      <c r="G42" s="24">
        <f>lc_detailed!BB43</f>
        <v/>
      </c>
      <c r="H42" s="24">
        <f>lc_detailed!BC43</f>
        <v/>
      </c>
      <c r="I42" s="24">
        <f>lc_detailed!BD43</f>
        <v/>
      </c>
      <c r="J42" s="24">
        <f>lc_detailed!BE43</f>
        <v/>
      </c>
      <c r="K42" s="24">
        <f>lc_detailed!BF43</f>
        <v/>
      </c>
      <c r="L42" s="24">
        <f>lc_detailed!BG43</f>
        <v/>
      </c>
      <c r="M42" s="24">
        <f>lc_detailed!BH43</f>
        <v/>
      </c>
      <c r="N42" s="24">
        <f>lc_detailed!BI43</f>
        <v/>
      </c>
      <c r="O42" s="24">
        <f>lc_detailed!BK43</f>
        <v/>
      </c>
      <c r="P42" s="24">
        <f>lc_detailed!BL43</f>
        <v/>
      </c>
      <c r="Q42" s="24">
        <f>lc_detailed!AT43</f>
        <v/>
      </c>
    </row>
    <row r="43">
      <c r="A43">
        <f>lc_detailed!AR44</f>
        <v/>
      </c>
      <c r="B43" s="24">
        <f>lc_detailed!AW44</f>
        <v/>
      </c>
      <c r="C43" s="24">
        <f>lc_detailed!AX44</f>
        <v/>
      </c>
      <c r="D43" s="24">
        <f>lc_detailed!AY44</f>
        <v/>
      </c>
      <c r="E43" s="24">
        <f>lc_detailed!AZ44</f>
        <v/>
      </c>
      <c r="F43" s="24">
        <f>lc_detailed!BA44</f>
        <v/>
      </c>
      <c r="G43" s="24">
        <f>lc_detailed!BB44</f>
        <v/>
      </c>
      <c r="H43" s="24">
        <f>lc_detailed!BC44</f>
        <v/>
      </c>
      <c r="I43" s="24">
        <f>lc_detailed!BD44</f>
        <v/>
      </c>
      <c r="J43" s="24">
        <f>lc_detailed!BE44</f>
        <v/>
      </c>
      <c r="K43" s="24">
        <f>lc_detailed!BF44</f>
        <v/>
      </c>
      <c r="L43" s="24">
        <f>lc_detailed!BG44</f>
        <v/>
      </c>
      <c r="M43" s="24">
        <f>lc_detailed!BH44</f>
        <v/>
      </c>
      <c r="N43" s="24">
        <f>lc_detailed!BI44</f>
        <v/>
      </c>
      <c r="O43" s="24">
        <f>lc_detailed!BK44</f>
        <v/>
      </c>
      <c r="P43" s="24">
        <f>lc_detailed!BL44</f>
        <v/>
      </c>
      <c r="Q43" s="24">
        <f>lc_detailed!AT44</f>
        <v/>
      </c>
    </row>
    <row r="44">
      <c r="A44">
        <f>lc_detailed!AR45</f>
        <v/>
      </c>
      <c r="B44" s="24">
        <f>lc_detailed!AW45</f>
        <v/>
      </c>
      <c r="C44" s="24">
        <f>lc_detailed!AX45</f>
        <v/>
      </c>
      <c r="D44" s="24">
        <f>lc_detailed!AY45</f>
        <v/>
      </c>
      <c r="E44" s="24">
        <f>lc_detailed!AZ45</f>
        <v/>
      </c>
      <c r="F44" s="24">
        <f>lc_detailed!BA45</f>
        <v/>
      </c>
      <c r="G44" s="24">
        <f>lc_detailed!BB45</f>
        <v/>
      </c>
      <c r="H44" s="24">
        <f>lc_detailed!BC45</f>
        <v/>
      </c>
      <c r="I44" s="24">
        <f>lc_detailed!BD45</f>
        <v/>
      </c>
      <c r="J44" s="24">
        <f>lc_detailed!BE45</f>
        <v/>
      </c>
      <c r="K44" s="24">
        <f>lc_detailed!BF45</f>
        <v/>
      </c>
      <c r="L44" s="24">
        <f>lc_detailed!BG45</f>
        <v/>
      </c>
      <c r="M44" s="24">
        <f>lc_detailed!BH45</f>
        <v/>
      </c>
      <c r="N44" s="24">
        <f>lc_detailed!BI45</f>
        <v/>
      </c>
      <c r="O44" s="24">
        <f>lc_detailed!BK45</f>
        <v/>
      </c>
      <c r="P44" s="24">
        <f>lc_detailed!BL45</f>
        <v/>
      </c>
      <c r="Q44" s="24">
        <f>lc_detailed!AT45</f>
        <v/>
      </c>
    </row>
    <row r="45">
      <c r="A45">
        <f>lc_detailed!AR46</f>
        <v/>
      </c>
      <c r="B45" s="24">
        <f>lc_detailed!AW46</f>
        <v/>
      </c>
      <c r="C45" s="24">
        <f>lc_detailed!AX46</f>
        <v/>
      </c>
      <c r="D45" s="24">
        <f>lc_detailed!AY46</f>
        <v/>
      </c>
      <c r="E45" s="24">
        <f>lc_detailed!AZ46</f>
        <v/>
      </c>
      <c r="F45" s="24">
        <f>lc_detailed!BA46</f>
        <v/>
      </c>
      <c r="G45" s="24">
        <f>lc_detailed!BB46</f>
        <v/>
      </c>
      <c r="H45" s="24">
        <f>lc_detailed!BC46</f>
        <v/>
      </c>
      <c r="I45" s="24">
        <f>lc_detailed!BD46</f>
        <v/>
      </c>
      <c r="J45" s="24">
        <f>lc_detailed!BE46</f>
        <v/>
      </c>
      <c r="K45" s="24">
        <f>lc_detailed!BF46</f>
        <v/>
      </c>
      <c r="L45" s="24">
        <f>lc_detailed!BG46</f>
        <v/>
      </c>
      <c r="M45" s="24">
        <f>lc_detailed!BH46</f>
        <v/>
      </c>
      <c r="N45" s="24">
        <f>lc_detailed!BI46</f>
        <v/>
      </c>
      <c r="O45" s="24">
        <f>lc_detailed!BK46</f>
        <v/>
      </c>
      <c r="P45" s="24">
        <f>lc_detailed!BL46</f>
        <v/>
      </c>
      <c r="Q45" s="24">
        <f>lc_detailed!AT46</f>
        <v/>
      </c>
    </row>
    <row r="46">
      <c r="A46">
        <f>lc_detailed!AR47</f>
        <v/>
      </c>
      <c r="B46" s="24">
        <f>lc_detailed!AW47</f>
        <v/>
      </c>
      <c r="C46" s="24">
        <f>lc_detailed!AX47</f>
        <v/>
      </c>
      <c r="D46" s="24">
        <f>lc_detailed!AY47</f>
        <v/>
      </c>
      <c r="E46" s="24">
        <f>lc_detailed!AZ47</f>
        <v/>
      </c>
      <c r="F46" s="24">
        <f>lc_detailed!BA47</f>
        <v/>
      </c>
      <c r="G46" s="24">
        <f>lc_detailed!BB47</f>
        <v/>
      </c>
      <c r="H46" s="24">
        <f>lc_detailed!BC47</f>
        <v/>
      </c>
      <c r="I46" s="24">
        <f>lc_detailed!BD47</f>
        <v/>
      </c>
      <c r="J46" s="24">
        <f>lc_detailed!BE47</f>
        <v/>
      </c>
      <c r="K46" s="24">
        <f>lc_detailed!BF47</f>
        <v/>
      </c>
      <c r="L46" s="24">
        <f>lc_detailed!BG47</f>
        <v/>
      </c>
      <c r="M46" s="24">
        <f>lc_detailed!BH47</f>
        <v/>
      </c>
      <c r="N46" s="24">
        <f>lc_detailed!BI47</f>
        <v/>
      </c>
      <c r="O46" s="24">
        <f>lc_detailed!BK47</f>
        <v/>
      </c>
      <c r="P46" s="24">
        <f>lc_detailed!BL47</f>
        <v/>
      </c>
      <c r="Q46" s="24">
        <f>lc_detailed!AT47</f>
        <v/>
      </c>
    </row>
    <row r="47">
      <c r="A47">
        <f>lc_detailed!AR48</f>
        <v/>
      </c>
      <c r="B47" s="24">
        <f>lc_detailed!AW48</f>
        <v/>
      </c>
      <c r="C47" s="24">
        <f>lc_detailed!AX48</f>
        <v/>
      </c>
      <c r="D47" s="24">
        <f>lc_detailed!AY48</f>
        <v/>
      </c>
      <c r="E47" s="24">
        <f>lc_detailed!AZ48</f>
        <v/>
      </c>
      <c r="F47" s="24">
        <f>lc_detailed!BA48</f>
        <v/>
      </c>
      <c r="G47" s="24">
        <f>lc_detailed!BB48</f>
        <v/>
      </c>
      <c r="H47" s="24">
        <f>lc_detailed!BC48</f>
        <v/>
      </c>
      <c r="I47" s="24">
        <f>lc_detailed!BD48</f>
        <v/>
      </c>
      <c r="J47" s="24">
        <f>lc_detailed!BE48</f>
        <v/>
      </c>
      <c r="K47" s="24">
        <f>lc_detailed!BF48</f>
        <v/>
      </c>
      <c r="L47" s="24">
        <f>lc_detailed!BG48</f>
        <v/>
      </c>
      <c r="M47" s="24">
        <f>lc_detailed!BH48</f>
        <v/>
      </c>
      <c r="N47" s="24">
        <f>lc_detailed!BI48</f>
        <v/>
      </c>
      <c r="O47" s="24">
        <f>lc_detailed!BK48</f>
        <v/>
      </c>
      <c r="P47" s="24">
        <f>lc_detailed!BL48</f>
        <v/>
      </c>
      <c r="Q47" s="24">
        <f>lc_detailed!AT48</f>
        <v/>
      </c>
    </row>
    <row r="48">
      <c r="A48">
        <f>lc_detailed!AR49</f>
        <v/>
      </c>
      <c r="B48" s="24">
        <f>lc_detailed!AW49</f>
        <v/>
      </c>
      <c r="C48" s="24">
        <f>lc_detailed!AX49</f>
        <v/>
      </c>
      <c r="D48" s="24">
        <f>lc_detailed!AY49</f>
        <v/>
      </c>
      <c r="E48" s="24">
        <f>lc_detailed!AZ49</f>
        <v/>
      </c>
      <c r="F48" s="24">
        <f>lc_detailed!BA49</f>
        <v/>
      </c>
      <c r="G48" s="24">
        <f>lc_detailed!BB49</f>
        <v/>
      </c>
      <c r="H48" s="24">
        <f>lc_detailed!BC49</f>
        <v/>
      </c>
      <c r="I48" s="24">
        <f>lc_detailed!BD49</f>
        <v/>
      </c>
      <c r="J48" s="24">
        <f>lc_detailed!BE49</f>
        <v/>
      </c>
      <c r="K48" s="24">
        <f>lc_detailed!BF49</f>
        <v/>
      </c>
      <c r="L48" s="24">
        <f>lc_detailed!BG49</f>
        <v/>
      </c>
      <c r="M48" s="24">
        <f>lc_detailed!BH49</f>
        <v/>
      </c>
      <c r="N48" s="24">
        <f>lc_detailed!BI49</f>
        <v/>
      </c>
      <c r="O48" s="24">
        <f>lc_detailed!BK49</f>
        <v/>
      </c>
      <c r="P48" s="24">
        <f>lc_detailed!BL49</f>
        <v/>
      </c>
      <c r="Q48" s="24">
        <f>lc_detailed!AT49</f>
        <v/>
      </c>
    </row>
    <row r="49">
      <c r="A49">
        <f>lc_detailed!AR50</f>
        <v/>
      </c>
      <c r="B49" s="24">
        <f>lc_detailed!AW50</f>
        <v/>
      </c>
      <c r="C49" s="24">
        <f>lc_detailed!AX50</f>
        <v/>
      </c>
      <c r="D49" s="24">
        <f>lc_detailed!AY50</f>
        <v/>
      </c>
      <c r="E49" s="24">
        <f>lc_detailed!AZ50</f>
        <v/>
      </c>
      <c r="F49" s="24">
        <f>lc_detailed!BA50</f>
        <v/>
      </c>
      <c r="G49" s="24">
        <f>lc_detailed!BB50</f>
        <v/>
      </c>
      <c r="H49" s="24">
        <f>lc_detailed!BC50</f>
        <v/>
      </c>
      <c r="I49" s="24">
        <f>lc_detailed!BD50</f>
        <v/>
      </c>
      <c r="J49" s="24">
        <f>lc_detailed!BE50</f>
        <v/>
      </c>
      <c r="K49" s="24">
        <f>lc_detailed!BF50</f>
        <v/>
      </c>
      <c r="L49" s="24">
        <f>lc_detailed!BG50</f>
        <v/>
      </c>
      <c r="M49" s="24">
        <f>lc_detailed!BH50</f>
        <v/>
      </c>
      <c r="N49" s="24">
        <f>lc_detailed!BI50</f>
        <v/>
      </c>
      <c r="O49" s="24">
        <f>lc_detailed!BK50</f>
        <v/>
      </c>
      <c r="P49" s="24">
        <f>lc_detailed!BL50</f>
        <v/>
      </c>
      <c r="Q49" s="24">
        <f>lc_detailed!AT50</f>
        <v/>
      </c>
    </row>
    <row r="50">
      <c r="A50">
        <f>lc_detailed!AR51</f>
        <v/>
      </c>
      <c r="B50" s="24">
        <f>lc_detailed!AW51</f>
        <v/>
      </c>
      <c r="C50" s="24">
        <f>lc_detailed!AX51</f>
        <v/>
      </c>
      <c r="D50" s="24">
        <f>lc_detailed!AY51</f>
        <v/>
      </c>
      <c r="E50" s="24">
        <f>lc_detailed!AZ51</f>
        <v/>
      </c>
      <c r="F50" s="24">
        <f>lc_detailed!BA51</f>
        <v/>
      </c>
      <c r="G50" s="24">
        <f>lc_detailed!BB51</f>
        <v/>
      </c>
      <c r="H50" s="24">
        <f>lc_detailed!BC51</f>
        <v/>
      </c>
      <c r="I50" s="24">
        <f>lc_detailed!BD51</f>
        <v/>
      </c>
      <c r="J50" s="24">
        <f>lc_detailed!BE51</f>
        <v/>
      </c>
      <c r="K50" s="24">
        <f>lc_detailed!BF51</f>
        <v/>
      </c>
      <c r="L50" s="24">
        <f>lc_detailed!BG51</f>
        <v/>
      </c>
      <c r="M50" s="24">
        <f>lc_detailed!BH51</f>
        <v/>
      </c>
      <c r="N50" s="24">
        <f>lc_detailed!BI51</f>
        <v/>
      </c>
      <c r="O50" s="24">
        <f>lc_detailed!BK51</f>
        <v/>
      </c>
      <c r="P50" s="24">
        <f>lc_detailed!BL51</f>
        <v/>
      </c>
      <c r="Q50" s="24">
        <f>lc_detailed!AT51</f>
        <v/>
      </c>
    </row>
    <row r="51">
      <c r="A51">
        <f>lc_detailed!AR52</f>
        <v/>
      </c>
      <c r="B51" s="24">
        <f>lc_detailed!AW52</f>
        <v/>
      </c>
      <c r="C51" s="24">
        <f>lc_detailed!AX52</f>
        <v/>
      </c>
      <c r="D51" s="24">
        <f>lc_detailed!AY52</f>
        <v/>
      </c>
      <c r="E51" s="24">
        <f>lc_detailed!AZ52</f>
        <v/>
      </c>
      <c r="F51" s="24">
        <f>lc_detailed!BA52</f>
        <v/>
      </c>
      <c r="G51" s="24">
        <f>lc_detailed!BB52</f>
        <v/>
      </c>
      <c r="H51" s="24">
        <f>lc_detailed!BC52</f>
        <v/>
      </c>
      <c r="I51" s="24">
        <f>lc_detailed!BD52</f>
        <v/>
      </c>
      <c r="J51" s="24">
        <f>lc_detailed!BE52</f>
        <v/>
      </c>
      <c r="K51" s="24">
        <f>lc_detailed!BF52</f>
        <v/>
      </c>
      <c r="L51" s="24">
        <f>lc_detailed!BG52</f>
        <v/>
      </c>
      <c r="M51" s="24">
        <f>lc_detailed!BH52</f>
        <v/>
      </c>
      <c r="N51" s="24">
        <f>lc_detailed!BI52</f>
        <v/>
      </c>
      <c r="O51" s="24">
        <f>lc_detailed!BK52</f>
        <v/>
      </c>
      <c r="P51" s="24">
        <f>lc_detailed!BL52</f>
        <v/>
      </c>
      <c r="Q51" s="24">
        <f>lc_detailed!AT52</f>
        <v/>
      </c>
    </row>
    <row r="52">
      <c r="A52">
        <f>lc_detailed!AR53</f>
        <v/>
      </c>
      <c r="B52" s="24">
        <f>lc_detailed!AW53</f>
        <v/>
      </c>
      <c r="C52" s="24">
        <f>lc_detailed!AX53</f>
        <v/>
      </c>
      <c r="D52" s="24">
        <f>lc_detailed!AY53</f>
        <v/>
      </c>
      <c r="E52" s="24">
        <f>lc_detailed!AZ53</f>
        <v/>
      </c>
      <c r="F52" s="24">
        <f>lc_detailed!BA53</f>
        <v/>
      </c>
      <c r="G52" s="24">
        <f>lc_detailed!BB53</f>
        <v/>
      </c>
      <c r="H52" s="24">
        <f>lc_detailed!BC53</f>
        <v/>
      </c>
      <c r="I52" s="24">
        <f>lc_detailed!BD53</f>
        <v/>
      </c>
      <c r="J52" s="24">
        <f>lc_detailed!BE53</f>
        <v/>
      </c>
      <c r="K52" s="24">
        <f>lc_detailed!BF53</f>
        <v/>
      </c>
      <c r="L52" s="24">
        <f>lc_detailed!BG53</f>
        <v/>
      </c>
      <c r="M52" s="24">
        <f>lc_detailed!BH53</f>
        <v/>
      </c>
      <c r="N52" s="24">
        <f>lc_detailed!BI53</f>
        <v/>
      </c>
      <c r="O52" s="24">
        <f>lc_detailed!BK53</f>
        <v/>
      </c>
      <c r="P52" s="24">
        <f>lc_detailed!BL53</f>
        <v/>
      </c>
      <c r="Q52" s="24">
        <f>lc_detailed!AT53</f>
        <v/>
      </c>
    </row>
    <row r="53">
      <c r="A53">
        <f>lc_detailed!AR54</f>
        <v/>
      </c>
      <c r="B53" s="24">
        <f>lc_detailed!AW54</f>
        <v/>
      </c>
      <c r="C53" s="24">
        <f>lc_detailed!AX54</f>
        <v/>
      </c>
      <c r="D53" s="24">
        <f>lc_detailed!AY54</f>
        <v/>
      </c>
      <c r="E53" s="24">
        <f>lc_detailed!AZ54</f>
        <v/>
      </c>
      <c r="F53" s="24">
        <f>lc_detailed!BA54</f>
        <v/>
      </c>
      <c r="G53" s="24">
        <f>lc_detailed!BB54</f>
        <v/>
      </c>
      <c r="H53" s="24">
        <f>lc_detailed!BC54</f>
        <v/>
      </c>
      <c r="I53" s="24">
        <f>lc_detailed!BD54</f>
        <v/>
      </c>
      <c r="J53" s="24">
        <f>lc_detailed!BE54</f>
        <v/>
      </c>
      <c r="K53" s="24">
        <f>lc_detailed!BF54</f>
        <v/>
      </c>
      <c r="L53" s="24">
        <f>lc_detailed!BG54</f>
        <v/>
      </c>
      <c r="M53" s="24">
        <f>lc_detailed!BH54</f>
        <v/>
      </c>
      <c r="N53" s="24">
        <f>lc_detailed!BI54</f>
        <v/>
      </c>
      <c r="O53" s="24">
        <f>lc_detailed!BK54</f>
        <v/>
      </c>
      <c r="P53" s="24">
        <f>lc_detailed!BL54</f>
        <v/>
      </c>
      <c r="Q53" s="24">
        <f>lc_detailed!AT54</f>
        <v/>
      </c>
    </row>
    <row r="54">
      <c r="A54">
        <f>lc_detailed!AR55</f>
        <v/>
      </c>
      <c r="B54" s="24">
        <f>lc_detailed!AW55</f>
        <v/>
      </c>
      <c r="C54" s="24">
        <f>lc_detailed!AX55</f>
        <v/>
      </c>
      <c r="D54" s="24">
        <f>lc_detailed!AY55</f>
        <v/>
      </c>
      <c r="E54" s="24">
        <f>lc_detailed!AZ55</f>
        <v/>
      </c>
      <c r="F54" s="24">
        <f>lc_detailed!BA55</f>
        <v/>
      </c>
      <c r="G54" s="24">
        <f>lc_detailed!BB55</f>
        <v/>
      </c>
      <c r="H54" s="24">
        <f>lc_detailed!BC55</f>
        <v/>
      </c>
      <c r="I54" s="24">
        <f>lc_detailed!BD55</f>
        <v/>
      </c>
      <c r="J54" s="24">
        <f>lc_detailed!BE55</f>
        <v/>
      </c>
      <c r="K54" s="24">
        <f>lc_detailed!BF55</f>
        <v/>
      </c>
      <c r="L54" s="24">
        <f>lc_detailed!BG55</f>
        <v/>
      </c>
      <c r="M54" s="24">
        <f>lc_detailed!BH55</f>
        <v/>
      </c>
      <c r="N54" s="24">
        <f>lc_detailed!BI55</f>
        <v/>
      </c>
      <c r="O54" s="24">
        <f>lc_detailed!BK55</f>
        <v/>
      </c>
      <c r="P54" s="24">
        <f>lc_detailed!BL55</f>
        <v/>
      </c>
      <c r="Q54" s="24">
        <f>lc_detailed!AT55</f>
        <v/>
      </c>
    </row>
    <row r="55">
      <c r="A55">
        <f>lc_detailed!AR56</f>
        <v/>
      </c>
      <c r="B55" s="24">
        <f>lc_detailed!AW56</f>
        <v/>
      </c>
      <c r="C55" s="24">
        <f>lc_detailed!AX56</f>
        <v/>
      </c>
      <c r="D55" s="24">
        <f>lc_detailed!AY56</f>
        <v/>
      </c>
      <c r="E55" s="24">
        <f>lc_detailed!AZ56</f>
        <v/>
      </c>
      <c r="F55" s="24">
        <f>lc_detailed!BA56</f>
        <v/>
      </c>
      <c r="G55" s="24">
        <f>lc_detailed!BB56</f>
        <v/>
      </c>
      <c r="H55" s="24">
        <f>lc_detailed!BC56</f>
        <v/>
      </c>
      <c r="I55" s="24">
        <f>lc_detailed!BD56</f>
        <v/>
      </c>
      <c r="J55" s="24">
        <f>lc_detailed!BE56</f>
        <v/>
      </c>
      <c r="K55" s="24">
        <f>lc_detailed!BF56</f>
        <v/>
      </c>
      <c r="L55" s="24">
        <f>lc_detailed!BG56</f>
        <v/>
      </c>
      <c r="M55" s="24">
        <f>lc_detailed!BH56</f>
        <v/>
      </c>
      <c r="N55" s="24">
        <f>lc_detailed!BI56</f>
        <v/>
      </c>
      <c r="O55" s="24">
        <f>lc_detailed!BK56</f>
        <v/>
      </c>
      <c r="P55" s="24">
        <f>lc_detailed!BL56</f>
        <v/>
      </c>
      <c r="Q55" s="24">
        <f>lc_detailed!AT56</f>
        <v/>
      </c>
    </row>
    <row r="56">
      <c r="A56">
        <f>lc_detailed!AR57</f>
        <v/>
      </c>
      <c r="B56" s="24">
        <f>lc_detailed!AW57</f>
        <v/>
      </c>
      <c r="C56" s="24">
        <f>lc_detailed!AX57</f>
        <v/>
      </c>
      <c r="D56" s="24">
        <f>lc_detailed!AY57</f>
        <v/>
      </c>
      <c r="E56" s="24">
        <f>lc_detailed!AZ57</f>
        <v/>
      </c>
      <c r="F56" s="24">
        <f>lc_detailed!BA57</f>
        <v/>
      </c>
      <c r="G56" s="24">
        <f>lc_detailed!BB57</f>
        <v/>
      </c>
      <c r="H56" s="24">
        <f>lc_detailed!BC57</f>
        <v/>
      </c>
      <c r="I56" s="24">
        <f>lc_detailed!BD57</f>
        <v/>
      </c>
      <c r="J56" s="24">
        <f>lc_detailed!BE57</f>
        <v/>
      </c>
      <c r="K56" s="24">
        <f>lc_detailed!BF57</f>
        <v/>
      </c>
      <c r="L56" s="24">
        <f>lc_detailed!BG57</f>
        <v/>
      </c>
      <c r="M56" s="24">
        <f>lc_detailed!BH57</f>
        <v/>
      </c>
      <c r="N56" s="24">
        <f>lc_detailed!BI57</f>
        <v/>
      </c>
      <c r="O56" s="24">
        <f>lc_detailed!BK57</f>
        <v/>
      </c>
      <c r="P56" s="24">
        <f>lc_detailed!BL57</f>
        <v/>
      </c>
      <c r="Q56" s="24">
        <f>lc_detailed!AT57</f>
        <v/>
      </c>
    </row>
    <row r="57">
      <c r="A57">
        <f>lc_detailed!AR58</f>
        <v/>
      </c>
      <c r="B57" s="24">
        <f>lc_detailed!AW58</f>
        <v/>
      </c>
      <c r="C57" s="24">
        <f>lc_detailed!AX58</f>
        <v/>
      </c>
      <c r="D57" s="24">
        <f>lc_detailed!AY58</f>
        <v/>
      </c>
      <c r="E57" s="24">
        <f>lc_detailed!AZ58</f>
        <v/>
      </c>
      <c r="F57" s="24">
        <f>lc_detailed!BA58</f>
        <v/>
      </c>
      <c r="G57" s="24">
        <f>lc_detailed!BB58</f>
        <v/>
      </c>
      <c r="H57" s="24">
        <f>lc_detailed!BC58</f>
        <v/>
      </c>
      <c r="I57" s="24">
        <f>lc_detailed!BD58</f>
        <v/>
      </c>
      <c r="J57" s="24">
        <f>lc_detailed!BE58</f>
        <v/>
      </c>
      <c r="K57" s="24">
        <f>lc_detailed!BF58</f>
        <v/>
      </c>
      <c r="L57" s="24">
        <f>lc_detailed!BG58</f>
        <v/>
      </c>
      <c r="M57" s="24">
        <f>lc_detailed!BH58</f>
        <v/>
      </c>
      <c r="N57" s="24">
        <f>lc_detailed!BI58</f>
        <v/>
      </c>
      <c r="O57" s="24">
        <f>lc_detailed!BK58</f>
        <v/>
      </c>
      <c r="P57" s="24">
        <f>lc_detailed!BL58</f>
        <v/>
      </c>
      <c r="Q57" s="24">
        <f>lc_detailed!AT58</f>
        <v/>
      </c>
    </row>
    <row r="58">
      <c r="A58">
        <f>lc_detailed!AR59</f>
        <v/>
      </c>
      <c r="B58" s="24">
        <f>lc_detailed!AW59</f>
        <v/>
      </c>
      <c r="C58" s="24">
        <f>lc_detailed!AX59</f>
        <v/>
      </c>
      <c r="D58" s="24">
        <f>lc_detailed!AY59</f>
        <v/>
      </c>
      <c r="E58" s="24">
        <f>lc_detailed!AZ59</f>
        <v/>
      </c>
      <c r="F58" s="24">
        <f>lc_detailed!BA59</f>
        <v/>
      </c>
      <c r="G58" s="24">
        <f>lc_detailed!BB59</f>
        <v/>
      </c>
      <c r="H58" s="24">
        <f>lc_detailed!BC59</f>
        <v/>
      </c>
      <c r="I58" s="24">
        <f>lc_detailed!BD59</f>
        <v/>
      </c>
      <c r="J58" s="24">
        <f>lc_detailed!BE59</f>
        <v/>
      </c>
      <c r="K58" s="24">
        <f>lc_detailed!BF59</f>
        <v/>
      </c>
      <c r="L58" s="24">
        <f>lc_detailed!BG59</f>
        <v/>
      </c>
      <c r="M58" s="24">
        <f>lc_detailed!BH59</f>
        <v/>
      </c>
      <c r="N58" s="24">
        <f>lc_detailed!BI59</f>
        <v/>
      </c>
      <c r="O58" s="24">
        <f>lc_detailed!BK59</f>
        <v/>
      </c>
      <c r="P58" s="24">
        <f>lc_detailed!BL59</f>
        <v/>
      </c>
      <c r="Q58" s="24">
        <f>lc_detailed!AT59</f>
        <v/>
      </c>
    </row>
    <row r="59">
      <c r="A59">
        <f>lc_detailed!AR60</f>
        <v/>
      </c>
      <c r="B59" s="24">
        <f>lc_detailed!AW60</f>
        <v/>
      </c>
      <c r="C59" s="24">
        <f>lc_detailed!AX60</f>
        <v/>
      </c>
      <c r="D59" s="24">
        <f>lc_detailed!AY60</f>
        <v/>
      </c>
      <c r="E59" s="24">
        <f>lc_detailed!AZ60</f>
        <v/>
      </c>
      <c r="F59" s="24">
        <f>lc_detailed!BA60</f>
        <v/>
      </c>
      <c r="G59" s="24">
        <f>lc_detailed!BB60</f>
        <v/>
      </c>
      <c r="H59" s="24">
        <f>lc_detailed!BC60</f>
        <v/>
      </c>
      <c r="I59" s="24">
        <f>lc_detailed!BD60</f>
        <v/>
      </c>
      <c r="J59" s="24">
        <f>lc_detailed!BE60</f>
        <v/>
      </c>
      <c r="K59" s="24">
        <f>lc_detailed!BF60</f>
        <v/>
      </c>
      <c r="L59" s="24">
        <f>lc_detailed!BG60</f>
        <v/>
      </c>
      <c r="M59" s="24">
        <f>lc_detailed!BH60</f>
        <v/>
      </c>
      <c r="N59" s="24">
        <f>lc_detailed!BI60</f>
        <v/>
      </c>
      <c r="O59" s="24">
        <f>lc_detailed!BK60</f>
        <v/>
      </c>
      <c r="P59" s="24">
        <f>lc_detailed!BL60</f>
        <v/>
      </c>
      <c r="Q59" s="24">
        <f>lc_detailed!AT60</f>
        <v/>
      </c>
    </row>
    <row r="60">
      <c r="A60">
        <f>lc_detailed!AR61</f>
        <v/>
      </c>
      <c r="B60" s="24">
        <f>lc_detailed!AW61</f>
        <v/>
      </c>
      <c r="C60" s="24">
        <f>lc_detailed!AX61</f>
        <v/>
      </c>
      <c r="D60" s="24">
        <f>lc_detailed!AY61</f>
        <v/>
      </c>
      <c r="E60" s="24">
        <f>lc_detailed!AZ61</f>
        <v/>
      </c>
      <c r="F60" s="24">
        <f>lc_detailed!BA61</f>
        <v/>
      </c>
      <c r="G60" s="24">
        <f>lc_detailed!BB61</f>
        <v/>
      </c>
      <c r="H60" s="24">
        <f>lc_detailed!BC61</f>
        <v/>
      </c>
      <c r="I60" s="24">
        <f>lc_detailed!BD61</f>
        <v/>
      </c>
      <c r="J60" s="24">
        <f>lc_detailed!BE61</f>
        <v/>
      </c>
      <c r="K60" s="24">
        <f>lc_detailed!BF61</f>
        <v/>
      </c>
      <c r="L60" s="24">
        <f>lc_detailed!BG61</f>
        <v/>
      </c>
      <c r="M60" s="24">
        <f>lc_detailed!BH61</f>
        <v/>
      </c>
      <c r="N60" s="24">
        <f>lc_detailed!BI61</f>
        <v/>
      </c>
      <c r="O60" s="24">
        <f>lc_detailed!BK61</f>
        <v/>
      </c>
      <c r="P60" s="24">
        <f>lc_detailed!BL61</f>
        <v/>
      </c>
      <c r="Q60" s="24">
        <f>lc_detailed!AT61</f>
        <v/>
      </c>
    </row>
    <row r="61">
      <c r="A61">
        <f>lc_detailed!AR62</f>
        <v/>
      </c>
      <c r="B61" s="24">
        <f>lc_detailed!AW62</f>
        <v/>
      </c>
      <c r="C61" s="24">
        <f>lc_detailed!AX62</f>
        <v/>
      </c>
      <c r="D61" s="24">
        <f>lc_detailed!AY62</f>
        <v/>
      </c>
      <c r="E61" s="24">
        <f>lc_detailed!AZ62</f>
        <v/>
      </c>
      <c r="F61" s="24">
        <f>lc_detailed!BA62</f>
        <v/>
      </c>
      <c r="G61" s="24">
        <f>lc_detailed!BB62</f>
        <v/>
      </c>
      <c r="H61" s="24">
        <f>lc_detailed!BC62</f>
        <v/>
      </c>
      <c r="I61" s="24">
        <f>lc_detailed!BD62</f>
        <v/>
      </c>
      <c r="J61" s="24">
        <f>lc_detailed!BE62</f>
        <v/>
      </c>
      <c r="K61" s="24">
        <f>lc_detailed!BF62</f>
        <v/>
      </c>
      <c r="L61" s="24">
        <f>lc_detailed!BG62</f>
        <v/>
      </c>
      <c r="M61" s="24">
        <f>lc_detailed!BH62</f>
        <v/>
      </c>
      <c r="N61" s="24">
        <f>lc_detailed!BI62</f>
        <v/>
      </c>
      <c r="O61" s="24">
        <f>lc_detailed!BK62</f>
        <v/>
      </c>
      <c r="P61" s="24">
        <f>lc_detailed!BL62</f>
        <v/>
      </c>
      <c r="Q61" s="24">
        <f>lc_detailed!AT62</f>
        <v/>
      </c>
    </row>
    <row r="62">
      <c r="A62">
        <f>lc_detailed!AR63</f>
        <v/>
      </c>
      <c r="B62" s="24">
        <f>lc_detailed!AW63</f>
        <v/>
      </c>
      <c r="C62" s="24">
        <f>lc_detailed!AX63</f>
        <v/>
      </c>
      <c r="D62" s="24">
        <f>lc_detailed!AY63</f>
        <v/>
      </c>
      <c r="E62" s="24">
        <f>lc_detailed!AZ63</f>
        <v/>
      </c>
      <c r="F62" s="24">
        <f>lc_detailed!BA63</f>
        <v/>
      </c>
      <c r="G62" s="24">
        <f>lc_detailed!BB63</f>
        <v/>
      </c>
      <c r="H62" s="24">
        <f>lc_detailed!BC63</f>
        <v/>
      </c>
      <c r="I62" s="24">
        <f>lc_detailed!BD63</f>
        <v/>
      </c>
      <c r="J62" s="24">
        <f>lc_detailed!BE63</f>
        <v/>
      </c>
      <c r="K62" s="24">
        <f>lc_detailed!BF63</f>
        <v/>
      </c>
      <c r="L62" s="24">
        <f>lc_detailed!BG63</f>
        <v/>
      </c>
      <c r="M62" s="24">
        <f>lc_detailed!BH63</f>
        <v/>
      </c>
      <c r="N62" s="24">
        <f>lc_detailed!BI63</f>
        <v/>
      </c>
      <c r="O62" s="24">
        <f>lc_detailed!BK63</f>
        <v/>
      </c>
      <c r="P62" s="24">
        <f>lc_detailed!BL63</f>
        <v/>
      </c>
      <c r="Q62" s="24">
        <f>lc_detailed!AT63</f>
        <v/>
      </c>
    </row>
    <row r="63">
      <c r="A63">
        <f>lc_detailed!AR64</f>
        <v/>
      </c>
      <c r="B63" s="24">
        <f>lc_detailed!AW64</f>
        <v/>
      </c>
      <c r="C63" s="24">
        <f>lc_detailed!AX64</f>
        <v/>
      </c>
      <c r="D63" s="24">
        <f>lc_detailed!AY64</f>
        <v/>
      </c>
      <c r="E63" s="24">
        <f>lc_detailed!AZ64</f>
        <v/>
      </c>
      <c r="F63" s="24">
        <f>lc_detailed!BA64</f>
        <v/>
      </c>
      <c r="G63" s="24">
        <f>lc_detailed!BB64</f>
        <v/>
      </c>
      <c r="H63" s="24">
        <f>lc_detailed!BC64</f>
        <v/>
      </c>
      <c r="I63" s="24">
        <f>lc_detailed!BD64</f>
        <v/>
      </c>
      <c r="J63" s="24">
        <f>lc_detailed!BE64</f>
        <v/>
      </c>
      <c r="K63" s="24">
        <f>lc_detailed!BF64</f>
        <v/>
      </c>
      <c r="L63" s="24">
        <f>lc_detailed!BG64</f>
        <v/>
      </c>
      <c r="M63" s="24">
        <f>lc_detailed!BH64</f>
        <v/>
      </c>
      <c r="N63" s="24">
        <f>lc_detailed!BI64</f>
        <v/>
      </c>
      <c r="O63" s="24">
        <f>lc_detailed!BK64</f>
        <v/>
      </c>
      <c r="P63" s="24">
        <f>lc_detailed!BL64</f>
        <v/>
      </c>
      <c r="Q63" s="24">
        <f>lc_detailed!AT64</f>
        <v/>
      </c>
    </row>
    <row r="64">
      <c r="A64">
        <f>lc_detailed!AR65</f>
        <v/>
      </c>
      <c r="B64" s="24">
        <f>lc_detailed!AW65</f>
        <v/>
      </c>
      <c r="C64" s="24">
        <f>lc_detailed!AX65</f>
        <v/>
      </c>
      <c r="D64" s="24">
        <f>lc_detailed!AY65</f>
        <v/>
      </c>
      <c r="E64" s="24">
        <f>lc_detailed!AZ65</f>
        <v/>
      </c>
      <c r="F64" s="24">
        <f>lc_detailed!BA65</f>
        <v/>
      </c>
      <c r="G64" s="24">
        <f>lc_detailed!BB65</f>
        <v/>
      </c>
      <c r="H64" s="24">
        <f>lc_detailed!BC65</f>
        <v/>
      </c>
      <c r="I64" s="24">
        <f>lc_detailed!BD65</f>
        <v/>
      </c>
      <c r="J64" s="24">
        <f>lc_detailed!BE65</f>
        <v/>
      </c>
      <c r="K64" s="24">
        <f>lc_detailed!BF65</f>
        <v/>
      </c>
      <c r="L64" s="24">
        <f>lc_detailed!BG65</f>
        <v/>
      </c>
      <c r="M64" s="24">
        <f>lc_detailed!BH65</f>
        <v/>
      </c>
      <c r="N64" s="24">
        <f>lc_detailed!BI65</f>
        <v/>
      </c>
      <c r="O64" s="24">
        <f>lc_detailed!BK65</f>
        <v/>
      </c>
      <c r="P64" s="24">
        <f>lc_detailed!BL65</f>
        <v/>
      </c>
      <c r="Q64" s="24">
        <f>lc_detailed!AT65</f>
        <v/>
      </c>
    </row>
    <row r="65">
      <c r="A65">
        <f>lc_detailed!AR66</f>
        <v/>
      </c>
      <c r="B65" s="24">
        <f>lc_detailed!AW66</f>
        <v/>
      </c>
      <c r="C65" s="24">
        <f>lc_detailed!AX66</f>
        <v/>
      </c>
      <c r="D65" s="24">
        <f>lc_detailed!AY66</f>
        <v/>
      </c>
      <c r="E65" s="24">
        <f>lc_detailed!AZ66</f>
        <v/>
      </c>
      <c r="F65" s="24">
        <f>lc_detailed!BA66</f>
        <v/>
      </c>
      <c r="G65" s="24">
        <f>lc_detailed!BB66</f>
        <v/>
      </c>
      <c r="H65" s="24">
        <f>lc_detailed!BC66</f>
        <v/>
      </c>
      <c r="I65" s="24">
        <f>lc_detailed!BD66</f>
        <v/>
      </c>
      <c r="J65" s="24">
        <f>lc_detailed!BE66</f>
        <v/>
      </c>
      <c r="K65" s="24">
        <f>lc_detailed!BF66</f>
        <v/>
      </c>
      <c r="L65" s="24">
        <f>lc_detailed!BG66</f>
        <v/>
      </c>
      <c r="M65" s="24">
        <f>lc_detailed!BH66</f>
        <v/>
      </c>
      <c r="N65" s="24">
        <f>lc_detailed!BI66</f>
        <v/>
      </c>
      <c r="O65" s="24">
        <f>lc_detailed!BK66</f>
        <v/>
      </c>
      <c r="P65" s="24">
        <f>lc_detailed!BL66</f>
        <v/>
      </c>
      <c r="Q65" s="24">
        <f>lc_detailed!AT66</f>
        <v/>
      </c>
    </row>
    <row r="66">
      <c r="A66">
        <f>lc_detailed!AR67</f>
        <v/>
      </c>
      <c r="B66" s="24">
        <f>lc_detailed!AW67</f>
        <v/>
      </c>
      <c r="C66" s="24">
        <f>lc_detailed!AX67</f>
        <v/>
      </c>
      <c r="D66" s="24">
        <f>lc_detailed!AY67</f>
        <v/>
      </c>
      <c r="E66" s="24">
        <f>lc_detailed!AZ67</f>
        <v/>
      </c>
      <c r="F66" s="24">
        <f>lc_detailed!BA67</f>
        <v/>
      </c>
      <c r="G66" s="24">
        <f>lc_detailed!BB67</f>
        <v/>
      </c>
      <c r="H66" s="24">
        <f>lc_detailed!BC67</f>
        <v/>
      </c>
      <c r="I66" s="24">
        <f>lc_detailed!BD67</f>
        <v/>
      </c>
      <c r="J66" s="24">
        <f>lc_detailed!BE67</f>
        <v/>
      </c>
      <c r="K66" s="24">
        <f>lc_detailed!BF67</f>
        <v/>
      </c>
      <c r="L66" s="24">
        <f>lc_detailed!BG67</f>
        <v/>
      </c>
      <c r="M66" s="24">
        <f>lc_detailed!BH67</f>
        <v/>
      </c>
      <c r="N66" s="24">
        <f>lc_detailed!BI67</f>
        <v/>
      </c>
      <c r="O66" s="24">
        <f>lc_detailed!BK67</f>
        <v/>
      </c>
      <c r="P66" s="24">
        <f>lc_detailed!BL67</f>
        <v/>
      </c>
      <c r="Q66" s="24">
        <f>lc_detailed!AT67</f>
        <v/>
      </c>
    </row>
    <row r="67">
      <c r="A67">
        <f>lc_detailed!AR68</f>
        <v/>
      </c>
      <c r="B67" s="24">
        <f>lc_detailed!AW68</f>
        <v/>
      </c>
      <c r="C67" s="24">
        <f>lc_detailed!AX68</f>
        <v/>
      </c>
      <c r="D67" s="24">
        <f>lc_detailed!AY68</f>
        <v/>
      </c>
      <c r="E67" s="24">
        <f>lc_detailed!AZ68</f>
        <v/>
      </c>
      <c r="F67" s="24">
        <f>lc_detailed!BA68</f>
        <v/>
      </c>
      <c r="G67" s="24">
        <f>lc_detailed!BB68</f>
        <v/>
      </c>
      <c r="H67" s="24">
        <f>lc_detailed!BC68</f>
        <v/>
      </c>
      <c r="I67" s="24">
        <f>lc_detailed!BD68</f>
        <v/>
      </c>
      <c r="J67" s="24">
        <f>lc_detailed!BE68</f>
        <v/>
      </c>
      <c r="K67" s="24">
        <f>lc_detailed!BF68</f>
        <v/>
      </c>
      <c r="L67" s="24">
        <f>lc_detailed!BG68</f>
        <v/>
      </c>
      <c r="M67" s="24">
        <f>lc_detailed!BH68</f>
        <v/>
      </c>
      <c r="N67" s="24">
        <f>lc_detailed!BI68</f>
        <v/>
      </c>
      <c r="O67" s="24">
        <f>lc_detailed!BK68</f>
        <v/>
      </c>
      <c r="P67" s="24">
        <f>lc_detailed!BL68</f>
        <v/>
      </c>
      <c r="Q67" s="24">
        <f>lc_detailed!AT68</f>
        <v/>
      </c>
    </row>
    <row r="68">
      <c r="A68">
        <f>lc_detailed!AR69</f>
        <v/>
      </c>
      <c r="B68" s="24">
        <f>lc_detailed!AW69</f>
        <v/>
      </c>
      <c r="C68" s="24">
        <f>lc_detailed!AX69</f>
        <v/>
      </c>
      <c r="D68" s="24">
        <f>lc_detailed!AY69</f>
        <v/>
      </c>
      <c r="E68" s="24">
        <f>lc_detailed!AZ69</f>
        <v/>
      </c>
      <c r="F68" s="24">
        <f>lc_detailed!BA69</f>
        <v/>
      </c>
      <c r="G68" s="24">
        <f>lc_detailed!BB69</f>
        <v/>
      </c>
      <c r="H68" s="24">
        <f>lc_detailed!BC69</f>
        <v/>
      </c>
      <c r="I68" s="24">
        <f>lc_detailed!BD69</f>
        <v/>
      </c>
      <c r="J68" s="24">
        <f>lc_detailed!BE69</f>
        <v/>
      </c>
      <c r="K68" s="24">
        <f>lc_detailed!BF69</f>
        <v/>
      </c>
      <c r="L68" s="24">
        <f>lc_detailed!BG69</f>
        <v/>
      </c>
      <c r="M68" s="24">
        <f>lc_detailed!BH69</f>
        <v/>
      </c>
      <c r="N68" s="24">
        <f>lc_detailed!BI69</f>
        <v/>
      </c>
      <c r="O68" s="24">
        <f>lc_detailed!BK69</f>
        <v/>
      </c>
      <c r="P68" s="24">
        <f>lc_detailed!BL69</f>
        <v/>
      </c>
      <c r="Q68" s="24">
        <f>lc_detailed!AT69</f>
        <v/>
      </c>
    </row>
    <row r="69">
      <c r="A69">
        <f>lc_detailed!AR70</f>
        <v/>
      </c>
      <c r="B69" s="24">
        <f>lc_detailed!AW70</f>
        <v/>
      </c>
      <c r="C69" s="24">
        <f>lc_detailed!AX70</f>
        <v/>
      </c>
      <c r="D69" s="24">
        <f>lc_detailed!AY70</f>
        <v/>
      </c>
      <c r="E69" s="24">
        <f>lc_detailed!AZ70</f>
        <v/>
      </c>
      <c r="F69" s="24">
        <f>lc_detailed!BA70</f>
        <v/>
      </c>
      <c r="G69" s="24">
        <f>lc_detailed!BB70</f>
        <v/>
      </c>
      <c r="H69" s="24">
        <f>lc_detailed!BC70</f>
        <v/>
      </c>
      <c r="I69" s="24">
        <f>lc_detailed!BD70</f>
        <v/>
      </c>
      <c r="J69" s="24">
        <f>lc_detailed!BE70</f>
        <v/>
      </c>
      <c r="K69" s="24">
        <f>lc_detailed!BF70</f>
        <v/>
      </c>
      <c r="L69" s="24">
        <f>lc_detailed!BG70</f>
        <v/>
      </c>
      <c r="M69" s="24">
        <f>lc_detailed!BH70</f>
        <v/>
      </c>
      <c r="N69" s="24">
        <f>lc_detailed!BI70</f>
        <v/>
      </c>
      <c r="O69" s="24">
        <f>lc_detailed!BK70</f>
        <v/>
      </c>
      <c r="P69" s="24">
        <f>lc_detailed!BL70</f>
        <v/>
      </c>
      <c r="Q69" s="24">
        <f>lc_detailed!AT70</f>
        <v/>
      </c>
    </row>
    <row r="70">
      <c r="A70">
        <f>lc_detailed!AR71</f>
        <v/>
      </c>
      <c r="B70" s="24">
        <f>lc_detailed!AW71</f>
        <v/>
      </c>
      <c r="C70" s="24">
        <f>lc_detailed!AX71</f>
        <v/>
      </c>
      <c r="D70" s="24">
        <f>lc_detailed!AY71</f>
        <v/>
      </c>
      <c r="E70" s="24">
        <f>lc_detailed!AZ71</f>
        <v/>
      </c>
      <c r="F70" s="24">
        <f>lc_detailed!BA71</f>
        <v/>
      </c>
      <c r="G70" s="24">
        <f>lc_detailed!BB71</f>
        <v/>
      </c>
      <c r="H70" s="24">
        <f>lc_detailed!BC71</f>
        <v/>
      </c>
      <c r="I70" s="24">
        <f>lc_detailed!BD71</f>
        <v/>
      </c>
      <c r="J70" s="24">
        <f>lc_detailed!BE71</f>
        <v/>
      </c>
      <c r="K70" s="24">
        <f>lc_detailed!BF71</f>
        <v/>
      </c>
      <c r="L70" s="24">
        <f>lc_detailed!BG71</f>
        <v/>
      </c>
      <c r="M70" s="24">
        <f>lc_detailed!BH71</f>
        <v/>
      </c>
      <c r="N70" s="24">
        <f>lc_detailed!BI71</f>
        <v/>
      </c>
      <c r="O70" s="24">
        <f>lc_detailed!BK71</f>
        <v/>
      </c>
      <c r="P70" s="24">
        <f>lc_detailed!BL71</f>
        <v/>
      </c>
      <c r="Q70" s="24">
        <f>lc_detailed!AT71</f>
        <v/>
      </c>
    </row>
    <row r="71">
      <c r="A71">
        <f>lc_detailed!AR72</f>
        <v/>
      </c>
      <c r="B71" s="24">
        <f>lc_detailed!AW72</f>
        <v/>
      </c>
      <c r="C71" s="24">
        <f>lc_detailed!AX72</f>
        <v/>
      </c>
      <c r="D71" s="24">
        <f>lc_detailed!AY72</f>
        <v/>
      </c>
      <c r="E71" s="24">
        <f>lc_detailed!AZ72</f>
        <v/>
      </c>
      <c r="F71" s="24">
        <f>lc_detailed!BA72</f>
        <v/>
      </c>
      <c r="G71" s="24">
        <f>lc_detailed!BB72</f>
        <v/>
      </c>
      <c r="H71" s="24">
        <f>lc_detailed!BC72</f>
        <v/>
      </c>
      <c r="I71" s="24">
        <f>lc_detailed!BD72</f>
        <v/>
      </c>
      <c r="J71" s="24">
        <f>lc_detailed!BE72</f>
        <v/>
      </c>
      <c r="K71" s="24">
        <f>lc_detailed!BF72</f>
        <v/>
      </c>
      <c r="L71" s="24">
        <f>lc_detailed!BG72</f>
        <v/>
      </c>
      <c r="M71" s="24">
        <f>lc_detailed!BH72</f>
        <v/>
      </c>
      <c r="N71" s="24">
        <f>lc_detailed!BI72</f>
        <v/>
      </c>
      <c r="O71" s="24">
        <f>lc_detailed!BK72</f>
        <v/>
      </c>
      <c r="P71" s="24">
        <f>lc_detailed!BL72</f>
        <v/>
      </c>
      <c r="Q71" s="24">
        <f>lc_detailed!AT72</f>
        <v/>
      </c>
    </row>
    <row r="72">
      <c r="A72">
        <f>lc_detailed!AR73</f>
        <v/>
      </c>
      <c r="B72" s="24">
        <f>lc_detailed!AW73</f>
        <v/>
      </c>
      <c r="C72" s="24">
        <f>lc_detailed!AX73</f>
        <v/>
      </c>
      <c r="D72" s="24">
        <f>lc_detailed!AY73</f>
        <v/>
      </c>
      <c r="E72" s="24">
        <f>lc_detailed!AZ73</f>
        <v/>
      </c>
      <c r="F72" s="24">
        <f>lc_detailed!BA73</f>
        <v/>
      </c>
      <c r="G72" s="24">
        <f>lc_detailed!BB73</f>
        <v/>
      </c>
      <c r="H72" s="24">
        <f>lc_detailed!BC73</f>
        <v/>
      </c>
      <c r="I72" s="24">
        <f>lc_detailed!BD73</f>
        <v/>
      </c>
      <c r="J72" s="24">
        <f>lc_detailed!BE73</f>
        <v/>
      </c>
      <c r="K72" s="24">
        <f>lc_detailed!BF73</f>
        <v/>
      </c>
      <c r="L72" s="24">
        <f>lc_detailed!BG73</f>
        <v/>
      </c>
      <c r="M72" s="24">
        <f>lc_detailed!BH73</f>
        <v/>
      </c>
      <c r="N72" s="24">
        <f>lc_detailed!BI73</f>
        <v/>
      </c>
      <c r="O72" s="24">
        <f>lc_detailed!BK73</f>
        <v/>
      </c>
      <c r="P72" s="24">
        <f>lc_detailed!BL73</f>
        <v/>
      </c>
      <c r="Q72" s="24">
        <f>lc_detailed!AT73</f>
        <v/>
      </c>
    </row>
    <row r="73">
      <c r="A73">
        <f>lc_detailed!AR74</f>
        <v/>
      </c>
      <c r="B73" s="24">
        <f>lc_detailed!AW74</f>
        <v/>
      </c>
      <c r="C73" s="24">
        <f>lc_detailed!AX74</f>
        <v/>
      </c>
      <c r="D73" s="24">
        <f>lc_detailed!AY74</f>
        <v/>
      </c>
      <c r="E73" s="24">
        <f>lc_detailed!AZ74</f>
        <v/>
      </c>
      <c r="F73" s="24">
        <f>lc_detailed!BA74</f>
        <v/>
      </c>
      <c r="G73" s="24">
        <f>lc_detailed!BB74</f>
        <v/>
      </c>
      <c r="H73" s="24">
        <f>lc_detailed!BC74</f>
        <v/>
      </c>
      <c r="I73" s="24">
        <f>lc_detailed!BD74</f>
        <v/>
      </c>
      <c r="J73" s="24">
        <f>lc_detailed!BE74</f>
        <v/>
      </c>
      <c r="K73" s="24">
        <f>lc_detailed!BF74</f>
        <v/>
      </c>
      <c r="L73" s="24">
        <f>lc_detailed!BG74</f>
        <v/>
      </c>
      <c r="M73" s="24">
        <f>lc_detailed!BH74</f>
        <v/>
      </c>
      <c r="N73" s="24">
        <f>lc_detailed!BI74</f>
        <v/>
      </c>
      <c r="O73" s="24">
        <f>lc_detailed!BK74</f>
        <v/>
      </c>
      <c r="P73" s="24">
        <f>lc_detailed!BL74</f>
        <v/>
      </c>
      <c r="Q73" s="24">
        <f>lc_detailed!AT74</f>
        <v/>
      </c>
    </row>
    <row r="74">
      <c r="A74">
        <f>lc_detailed!AR75</f>
        <v/>
      </c>
      <c r="B74" s="24">
        <f>lc_detailed!AW75</f>
        <v/>
      </c>
      <c r="C74" s="24">
        <f>lc_detailed!AX75</f>
        <v/>
      </c>
      <c r="D74" s="24">
        <f>lc_detailed!AY75</f>
        <v/>
      </c>
      <c r="E74" s="24">
        <f>lc_detailed!AZ75</f>
        <v/>
      </c>
      <c r="F74" s="24">
        <f>lc_detailed!BA75</f>
        <v/>
      </c>
      <c r="G74" s="24">
        <f>lc_detailed!BB75</f>
        <v/>
      </c>
      <c r="H74" s="24">
        <f>lc_detailed!BC75</f>
        <v/>
      </c>
      <c r="I74" s="24">
        <f>lc_detailed!BD75</f>
        <v/>
      </c>
      <c r="J74" s="24">
        <f>lc_detailed!BE75</f>
        <v/>
      </c>
      <c r="K74" s="24">
        <f>lc_detailed!BF75</f>
        <v/>
      </c>
      <c r="L74" s="24">
        <f>lc_detailed!BG75</f>
        <v/>
      </c>
      <c r="M74" s="24">
        <f>lc_detailed!BH75</f>
        <v/>
      </c>
      <c r="N74" s="24">
        <f>lc_detailed!BI75</f>
        <v/>
      </c>
      <c r="O74" s="24">
        <f>lc_detailed!BK75</f>
        <v/>
      </c>
      <c r="P74" s="24">
        <f>lc_detailed!BL75</f>
        <v/>
      </c>
      <c r="Q74" s="24">
        <f>lc_detailed!AT75</f>
        <v/>
      </c>
    </row>
    <row r="75">
      <c r="A75">
        <f>lc_detailed!AR76</f>
        <v/>
      </c>
      <c r="B75" s="24">
        <f>lc_detailed!AW76</f>
        <v/>
      </c>
      <c r="C75" s="24">
        <f>lc_detailed!AX76</f>
        <v/>
      </c>
      <c r="D75" s="24">
        <f>lc_detailed!AY76</f>
        <v/>
      </c>
      <c r="E75" s="24">
        <f>lc_detailed!AZ76</f>
        <v/>
      </c>
      <c r="F75" s="24">
        <f>lc_detailed!BA76</f>
        <v/>
      </c>
      <c r="G75" s="24">
        <f>lc_detailed!BB76</f>
        <v/>
      </c>
      <c r="H75" s="24">
        <f>lc_detailed!BC76</f>
        <v/>
      </c>
      <c r="I75" s="24">
        <f>lc_detailed!BD76</f>
        <v/>
      </c>
      <c r="J75" s="24">
        <f>lc_detailed!BE76</f>
        <v/>
      </c>
      <c r="K75" s="24">
        <f>lc_detailed!BF76</f>
        <v/>
      </c>
      <c r="L75" s="24">
        <f>lc_detailed!BG76</f>
        <v/>
      </c>
      <c r="M75" s="24">
        <f>lc_detailed!BH76</f>
        <v/>
      </c>
      <c r="N75" s="24">
        <f>lc_detailed!BI76</f>
        <v/>
      </c>
      <c r="O75" s="24">
        <f>lc_detailed!BK76</f>
        <v/>
      </c>
      <c r="P75" s="24">
        <f>lc_detailed!BL76</f>
        <v/>
      </c>
      <c r="Q75" s="24">
        <f>lc_detailed!AT76</f>
        <v/>
      </c>
    </row>
    <row r="76">
      <c r="A76">
        <f>lc_detailed!AR77</f>
        <v/>
      </c>
      <c r="B76" s="24">
        <f>lc_detailed!AW77</f>
        <v/>
      </c>
      <c r="C76" s="24">
        <f>lc_detailed!AX77</f>
        <v/>
      </c>
      <c r="D76" s="24">
        <f>lc_detailed!AY77</f>
        <v/>
      </c>
      <c r="E76" s="24">
        <f>lc_detailed!AZ77</f>
        <v/>
      </c>
      <c r="F76" s="24">
        <f>lc_detailed!BA77</f>
        <v/>
      </c>
      <c r="G76" s="24">
        <f>lc_detailed!BB77</f>
        <v/>
      </c>
      <c r="H76" s="24">
        <f>lc_detailed!BC77</f>
        <v/>
      </c>
      <c r="I76" s="24">
        <f>lc_detailed!BD77</f>
        <v/>
      </c>
      <c r="J76" s="24">
        <f>lc_detailed!BE77</f>
        <v/>
      </c>
      <c r="K76" s="24">
        <f>lc_detailed!BF77</f>
        <v/>
      </c>
      <c r="L76" s="24">
        <f>lc_detailed!BG77</f>
        <v/>
      </c>
      <c r="M76" s="24">
        <f>lc_detailed!BH77</f>
        <v/>
      </c>
      <c r="N76" s="24">
        <f>lc_detailed!BI77</f>
        <v/>
      </c>
      <c r="O76" s="24">
        <f>lc_detailed!BK77</f>
        <v/>
      </c>
      <c r="P76" s="24">
        <f>lc_detailed!BL77</f>
        <v/>
      </c>
      <c r="Q76" s="24">
        <f>lc_detailed!AT77</f>
        <v/>
      </c>
    </row>
    <row r="77">
      <c r="A77">
        <f>lc_detailed!AR78</f>
        <v/>
      </c>
      <c r="B77" s="24">
        <f>lc_detailed!AW78</f>
        <v/>
      </c>
      <c r="C77" s="24">
        <f>lc_detailed!AX78</f>
        <v/>
      </c>
      <c r="D77" s="24">
        <f>lc_detailed!AY78</f>
        <v/>
      </c>
      <c r="E77" s="24">
        <f>lc_detailed!AZ78</f>
        <v/>
      </c>
      <c r="F77" s="24">
        <f>lc_detailed!BA78</f>
        <v/>
      </c>
      <c r="G77" s="24">
        <f>lc_detailed!BB78</f>
        <v/>
      </c>
      <c r="H77" s="24">
        <f>lc_detailed!BC78</f>
        <v/>
      </c>
      <c r="I77" s="24">
        <f>lc_detailed!BD78</f>
        <v/>
      </c>
      <c r="J77" s="24">
        <f>lc_detailed!BE78</f>
        <v/>
      </c>
      <c r="K77" s="24">
        <f>lc_detailed!BF78</f>
        <v/>
      </c>
      <c r="L77" s="24">
        <f>lc_detailed!BG78</f>
        <v/>
      </c>
      <c r="M77" s="24">
        <f>lc_detailed!BH78</f>
        <v/>
      </c>
      <c r="N77" s="24">
        <f>lc_detailed!BI78</f>
        <v/>
      </c>
      <c r="O77" s="24">
        <f>lc_detailed!BK78</f>
        <v/>
      </c>
      <c r="P77" s="24">
        <f>lc_detailed!BL78</f>
        <v/>
      </c>
      <c r="Q77" s="24">
        <f>lc_detailed!AT78</f>
        <v/>
      </c>
    </row>
    <row r="78">
      <c r="A78">
        <f>lc_detailed!AR79</f>
        <v/>
      </c>
      <c r="B78" s="24">
        <f>lc_detailed!AW79</f>
        <v/>
      </c>
      <c r="C78" s="24">
        <f>lc_detailed!AX79</f>
        <v/>
      </c>
      <c r="D78" s="24">
        <f>lc_detailed!AY79</f>
        <v/>
      </c>
      <c r="E78" s="24">
        <f>lc_detailed!AZ79</f>
        <v/>
      </c>
      <c r="F78" s="24">
        <f>lc_detailed!BA79</f>
        <v/>
      </c>
      <c r="G78" s="24">
        <f>lc_detailed!BB79</f>
        <v/>
      </c>
      <c r="H78" s="24">
        <f>lc_detailed!BC79</f>
        <v/>
      </c>
      <c r="I78" s="24">
        <f>lc_detailed!BD79</f>
        <v/>
      </c>
      <c r="J78" s="24">
        <f>lc_detailed!BE79</f>
        <v/>
      </c>
      <c r="K78" s="24">
        <f>lc_detailed!BF79</f>
        <v/>
      </c>
      <c r="L78" s="24">
        <f>lc_detailed!BG79</f>
        <v/>
      </c>
      <c r="M78" s="24">
        <f>lc_detailed!BH79</f>
        <v/>
      </c>
      <c r="N78" s="24">
        <f>lc_detailed!BI79</f>
        <v/>
      </c>
      <c r="O78" s="24">
        <f>lc_detailed!BK79</f>
        <v/>
      </c>
      <c r="P78" s="24">
        <f>lc_detailed!BL79</f>
        <v/>
      </c>
      <c r="Q78" s="24">
        <f>lc_detailed!AT79</f>
        <v/>
      </c>
    </row>
    <row r="79">
      <c r="A79">
        <f>lc_detailed!AR80</f>
        <v/>
      </c>
      <c r="B79" s="24">
        <f>lc_detailed!AW80</f>
        <v/>
      </c>
      <c r="C79" s="24">
        <f>lc_detailed!AX80</f>
        <v/>
      </c>
      <c r="D79" s="24">
        <f>lc_detailed!AY80</f>
        <v/>
      </c>
      <c r="E79" s="24">
        <f>lc_detailed!AZ80</f>
        <v/>
      </c>
      <c r="F79" s="24">
        <f>lc_detailed!BA80</f>
        <v/>
      </c>
      <c r="G79" s="24">
        <f>lc_detailed!BB80</f>
        <v/>
      </c>
      <c r="H79" s="24">
        <f>lc_detailed!BC80</f>
        <v/>
      </c>
      <c r="I79" s="24">
        <f>lc_detailed!BD80</f>
        <v/>
      </c>
      <c r="J79" s="24">
        <f>lc_detailed!BE80</f>
        <v/>
      </c>
      <c r="K79" s="24">
        <f>lc_detailed!BF80</f>
        <v/>
      </c>
      <c r="L79" s="24">
        <f>lc_detailed!BG80</f>
        <v/>
      </c>
      <c r="M79" s="24">
        <f>lc_detailed!BH80</f>
        <v/>
      </c>
      <c r="N79" s="24">
        <f>lc_detailed!BI80</f>
        <v/>
      </c>
      <c r="O79" s="24">
        <f>lc_detailed!BK80</f>
        <v/>
      </c>
      <c r="P79" s="24">
        <f>lc_detailed!BL80</f>
        <v/>
      </c>
      <c r="Q79" s="24">
        <f>lc_detailed!AT80</f>
        <v/>
      </c>
    </row>
    <row r="80">
      <c r="A80">
        <f>lc_detailed!AR81</f>
        <v/>
      </c>
      <c r="B80" s="24">
        <f>lc_detailed!AW81</f>
        <v/>
      </c>
      <c r="C80" s="24">
        <f>lc_detailed!AX81</f>
        <v/>
      </c>
      <c r="D80" s="24">
        <f>lc_detailed!AY81</f>
        <v/>
      </c>
      <c r="E80" s="24">
        <f>lc_detailed!AZ81</f>
        <v/>
      </c>
      <c r="F80" s="24">
        <f>lc_detailed!BA81</f>
        <v/>
      </c>
      <c r="G80" s="24">
        <f>lc_detailed!BB81</f>
        <v/>
      </c>
      <c r="H80" s="24">
        <f>lc_detailed!BC81</f>
        <v/>
      </c>
      <c r="I80" s="24">
        <f>lc_detailed!BD81</f>
        <v/>
      </c>
      <c r="J80" s="24">
        <f>lc_detailed!BE81</f>
        <v/>
      </c>
      <c r="K80" s="24">
        <f>lc_detailed!BF81</f>
        <v/>
      </c>
      <c r="L80" s="24">
        <f>lc_detailed!BG81</f>
        <v/>
      </c>
      <c r="M80" s="24">
        <f>lc_detailed!BH81</f>
        <v/>
      </c>
      <c r="N80" s="24">
        <f>lc_detailed!BI81</f>
        <v/>
      </c>
      <c r="O80" s="24">
        <f>lc_detailed!BK81</f>
        <v/>
      </c>
      <c r="P80" s="24">
        <f>lc_detailed!BL81</f>
        <v/>
      </c>
      <c r="Q80" s="24">
        <f>lc_detailed!AT81</f>
        <v/>
      </c>
    </row>
    <row r="81">
      <c r="A81">
        <f>lc_detailed!AR82</f>
        <v/>
      </c>
      <c r="B81" s="24">
        <f>lc_detailed!AW82</f>
        <v/>
      </c>
      <c r="C81" s="24">
        <f>lc_detailed!AX82</f>
        <v/>
      </c>
      <c r="D81" s="24">
        <f>lc_detailed!AY82</f>
        <v/>
      </c>
      <c r="E81" s="24">
        <f>lc_detailed!AZ82</f>
        <v/>
      </c>
      <c r="F81" s="24">
        <f>lc_detailed!BA82</f>
        <v/>
      </c>
      <c r="G81" s="24">
        <f>lc_detailed!BB82</f>
        <v/>
      </c>
      <c r="H81" s="24">
        <f>lc_detailed!BC82</f>
        <v/>
      </c>
      <c r="I81" s="24">
        <f>lc_detailed!BD82</f>
        <v/>
      </c>
      <c r="J81" s="24">
        <f>lc_detailed!BE82</f>
        <v/>
      </c>
      <c r="K81" s="24">
        <f>lc_detailed!BF82</f>
        <v/>
      </c>
      <c r="L81" s="24">
        <f>lc_detailed!BG82</f>
        <v/>
      </c>
      <c r="M81" s="24">
        <f>lc_detailed!BH82</f>
        <v/>
      </c>
      <c r="N81" s="24">
        <f>lc_detailed!BI82</f>
        <v/>
      </c>
      <c r="O81" s="24">
        <f>lc_detailed!BK82</f>
        <v/>
      </c>
      <c r="P81" s="24">
        <f>lc_detailed!BL82</f>
        <v/>
      </c>
      <c r="Q81" s="24">
        <f>lc_detailed!AT82</f>
        <v/>
      </c>
    </row>
    <row r="82">
      <c r="A82">
        <f>lc_detailed!AR83</f>
        <v/>
      </c>
      <c r="B82" s="24">
        <f>lc_detailed!AW83</f>
        <v/>
      </c>
      <c r="C82" s="24">
        <f>lc_detailed!AX83</f>
        <v/>
      </c>
      <c r="D82" s="24">
        <f>lc_detailed!AY83</f>
        <v/>
      </c>
      <c r="E82" s="24">
        <f>lc_detailed!AZ83</f>
        <v/>
      </c>
      <c r="F82" s="24">
        <f>lc_detailed!BA83</f>
        <v/>
      </c>
      <c r="G82" s="24">
        <f>lc_detailed!BB83</f>
        <v/>
      </c>
      <c r="H82" s="24">
        <f>lc_detailed!BC83</f>
        <v/>
      </c>
      <c r="I82" s="24">
        <f>lc_detailed!BD83</f>
        <v/>
      </c>
      <c r="J82" s="24">
        <f>lc_detailed!BE83</f>
        <v/>
      </c>
      <c r="K82" s="24">
        <f>lc_detailed!BF83</f>
        <v/>
      </c>
      <c r="L82" s="24">
        <f>lc_detailed!BG83</f>
        <v/>
      </c>
      <c r="M82" s="24">
        <f>lc_detailed!BH83</f>
        <v/>
      </c>
      <c r="N82" s="24">
        <f>lc_detailed!BI83</f>
        <v/>
      </c>
      <c r="O82" s="24">
        <f>lc_detailed!BK83</f>
        <v/>
      </c>
      <c r="P82" s="24">
        <f>lc_detailed!BL83</f>
        <v/>
      </c>
      <c r="Q82" s="24">
        <f>lc_detailed!AT83</f>
        <v/>
      </c>
    </row>
    <row r="83">
      <c r="A83">
        <f>lc_detailed!AR84</f>
        <v/>
      </c>
      <c r="B83" s="24">
        <f>lc_detailed!AW84</f>
        <v/>
      </c>
      <c r="C83" s="24">
        <f>lc_detailed!AX84</f>
        <v/>
      </c>
      <c r="D83" s="24">
        <f>lc_detailed!AY84</f>
        <v/>
      </c>
      <c r="E83" s="24">
        <f>lc_detailed!AZ84</f>
        <v/>
      </c>
      <c r="F83" s="24">
        <f>lc_detailed!BA84</f>
        <v/>
      </c>
      <c r="G83" s="24">
        <f>lc_detailed!BB84</f>
        <v/>
      </c>
      <c r="H83" s="24">
        <f>lc_detailed!BC84</f>
        <v/>
      </c>
      <c r="I83" s="24">
        <f>lc_detailed!BD84</f>
        <v/>
      </c>
      <c r="J83" s="24">
        <f>lc_detailed!BE84</f>
        <v/>
      </c>
      <c r="K83" s="24">
        <f>lc_detailed!BF84</f>
        <v/>
      </c>
      <c r="L83" s="24">
        <f>lc_detailed!BG84</f>
        <v/>
      </c>
      <c r="M83" s="24">
        <f>lc_detailed!BH84</f>
        <v/>
      </c>
      <c r="N83" s="24">
        <f>lc_detailed!BI84</f>
        <v/>
      </c>
      <c r="O83" s="24">
        <f>lc_detailed!BK84</f>
        <v/>
      </c>
      <c r="P83" s="24">
        <f>lc_detailed!BL84</f>
        <v/>
      </c>
      <c r="Q83" s="24">
        <f>lc_detailed!AT84</f>
        <v/>
      </c>
    </row>
    <row r="84">
      <c r="A84">
        <f>lc_detailed!AR85</f>
        <v/>
      </c>
      <c r="B84" s="24">
        <f>lc_detailed!AW85</f>
        <v/>
      </c>
      <c r="C84" s="24">
        <f>lc_detailed!AX85</f>
        <v/>
      </c>
      <c r="D84" s="24">
        <f>lc_detailed!AY85</f>
        <v/>
      </c>
      <c r="E84" s="24">
        <f>lc_detailed!AZ85</f>
        <v/>
      </c>
      <c r="F84" s="24">
        <f>lc_detailed!BA85</f>
        <v/>
      </c>
      <c r="G84" s="24">
        <f>lc_detailed!BB85</f>
        <v/>
      </c>
      <c r="H84" s="24">
        <f>lc_detailed!BC85</f>
        <v/>
      </c>
      <c r="I84" s="24">
        <f>lc_detailed!BD85</f>
        <v/>
      </c>
      <c r="J84" s="24">
        <f>lc_detailed!BE85</f>
        <v/>
      </c>
      <c r="K84" s="24">
        <f>lc_detailed!BF85</f>
        <v/>
      </c>
      <c r="L84" s="24">
        <f>lc_detailed!BG85</f>
        <v/>
      </c>
      <c r="M84" s="24">
        <f>lc_detailed!BH85</f>
        <v/>
      </c>
      <c r="N84" s="24">
        <f>lc_detailed!BI85</f>
        <v/>
      </c>
      <c r="O84" s="24">
        <f>lc_detailed!BK85</f>
        <v/>
      </c>
      <c r="P84" s="24">
        <f>lc_detailed!BL85</f>
        <v/>
      </c>
      <c r="Q84" s="24">
        <f>lc_detailed!AT85</f>
        <v/>
      </c>
    </row>
    <row r="85">
      <c r="A85">
        <f>lc_detailed!AR86</f>
        <v/>
      </c>
      <c r="B85" s="24">
        <f>lc_detailed!AW86</f>
        <v/>
      </c>
      <c r="C85" s="24">
        <f>lc_detailed!AX86</f>
        <v/>
      </c>
      <c r="D85" s="24">
        <f>lc_detailed!AY86</f>
        <v/>
      </c>
      <c r="E85" s="24">
        <f>lc_detailed!AZ86</f>
        <v/>
      </c>
      <c r="F85" s="24">
        <f>lc_detailed!BA86</f>
        <v/>
      </c>
      <c r="G85" s="24">
        <f>lc_detailed!BB86</f>
        <v/>
      </c>
      <c r="H85" s="24">
        <f>lc_detailed!BC86</f>
        <v/>
      </c>
      <c r="I85" s="24">
        <f>lc_detailed!BD86</f>
        <v/>
      </c>
      <c r="J85" s="24">
        <f>lc_detailed!BE86</f>
        <v/>
      </c>
      <c r="K85" s="24">
        <f>lc_detailed!BF86</f>
        <v/>
      </c>
      <c r="L85" s="24">
        <f>lc_detailed!BG86</f>
        <v/>
      </c>
      <c r="M85" s="24">
        <f>lc_detailed!BH86</f>
        <v/>
      </c>
      <c r="N85" s="24">
        <f>lc_detailed!BI86</f>
        <v/>
      </c>
      <c r="O85" s="24">
        <f>lc_detailed!BK86</f>
        <v/>
      </c>
      <c r="P85" s="24">
        <f>lc_detailed!BL86</f>
        <v/>
      </c>
      <c r="Q85" s="24">
        <f>lc_detailed!AT86</f>
        <v/>
      </c>
    </row>
    <row r="86">
      <c r="A86">
        <f>lc_detailed!AR87</f>
        <v/>
      </c>
      <c r="B86" s="24">
        <f>lc_detailed!AW87</f>
        <v/>
      </c>
      <c r="C86" s="24">
        <f>lc_detailed!AX87</f>
        <v/>
      </c>
      <c r="D86" s="24">
        <f>lc_detailed!AY87</f>
        <v/>
      </c>
      <c r="E86" s="24">
        <f>lc_detailed!AZ87</f>
        <v/>
      </c>
      <c r="F86" s="24">
        <f>lc_detailed!BA87</f>
        <v/>
      </c>
      <c r="G86" s="24">
        <f>lc_detailed!BB87</f>
        <v/>
      </c>
      <c r="H86" s="24">
        <f>lc_detailed!BC87</f>
        <v/>
      </c>
      <c r="I86" s="24">
        <f>lc_detailed!BD87</f>
        <v/>
      </c>
      <c r="J86" s="24">
        <f>lc_detailed!BE87</f>
        <v/>
      </c>
      <c r="K86" s="24">
        <f>lc_detailed!BF87</f>
        <v/>
      </c>
      <c r="L86" s="24">
        <f>lc_detailed!BG87</f>
        <v/>
      </c>
      <c r="M86" s="24">
        <f>lc_detailed!BH87</f>
        <v/>
      </c>
      <c r="N86" s="24">
        <f>lc_detailed!BI87</f>
        <v/>
      </c>
      <c r="O86" s="24">
        <f>lc_detailed!BK87</f>
        <v/>
      </c>
      <c r="P86" s="24">
        <f>lc_detailed!BL87</f>
        <v/>
      </c>
      <c r="Q86" s="24">
        <f>lc_detailed!AT87</f>
        <v/>
      </c>
    </row>
    <row r="87">
      <c r="A87">
        <f>lc_detailed!AR88</f>
        <v/>
      </c>
      <c r="B87" s="24">
        <f>lc_detailed!AW88</f>
        <v/>
      </c>
      <c r="C87" s="24">
        <f>lc_detailed!AX88</f>
        <v/>
      </c>
      <c r="D87" s="24">
        <f>lc_detailed!AY88</f>
        <v/>
      </c>
      <c r="E87" s="24">
        <f>lc_detailed!AZ88</f>
        <v/>
      </c>
      <c r="F87" s="24">
        <f>lc_detailed!BA88</f>
        <v/>
      </c>
      <c r="G87" s="24">
        <f>lc_detailed!BB88</f>
        <v/>
      </c>
      <c r="H87" s="24">
        <f>lc_detailed!BC88</f>
        <v/>
      </c>
      <c r="I87" s="24">
        <f>lc_detailed!BD88</f>
        <v/>
      </c>
      <c r="J87" s="24">
        <f>lc_detailed!BE88</f>
        <v/>
      </c>
      <c r="K87" s="24">
        <f>lc_detailed!BF88</f>
        <v/>
      </c>
      <c r="L87" s="24">
        <f>lc_detailed!BG88</f>
        <v/>
      </c>
      <c r="M87" s="24">
        <f>lc_detailed!BH88</f>
        <v/>
      </c>
      <c r="N87" s="24">
        <f>lc_detailed!BI88</f>
        <v/>
      </c>
      <c r="O87" s="24">
        <f>lc_detailed!BK88</f>
        <v/>
      </c>
      <c r="P87" s="24">
        <f>lc_detailed!BL88</f>
        <v/>
      </c>
      <c r="Q87" s="24">
        <f>lc_detailed!AT88</f>
        <v/>
      </c>
    </row>
    <row r="88">
      <c r="A88">
        <f>lc_detailed!AR89</f>
        <v/>
      </c>
      <c r="B88" s="24">
        <f>lc_detailed!AW89</f>
        <v/>
      </c>
      <c r="C88" s="24">
        <f>lc_detailed!AX89</f>
        <v/>
      </c>
      <c r="D88" s="24">
        <f>lc_detailed!AY89</f>
        <v/>
      </c>
      <c r="E88" s="24">
        <f>lc_detailed!AZ89</f>
        <v/>
      </c>
      <c r="F88" s="24">
        <f>lc_detailed!BA89</f>
        <v/>
      </c>
      <c r="G88" s="24">
        <f>lc_detailed!BB89</f>
        <v/>
      </c>
      <c r="H88" s="24">
        <f>lc_detailed!BC89</f>
        <v/>
      </c>
      <c r="I88" s="24">
        <f>lc_detailed!BD89</f>
        <v/>
      </c>
      <c r="J88" s="24">
        <f>lc_detailed!BE89</f>
        <v/>
      </c>
      <c r="K88" s="24">
        <f>lc_detailed!BF89</f>
        <v/>
      </c>
      <c r="L88" s="24">
        <f>lc_detailed!BG89</f>
        <v/>
      </c>
      <c r="M88" s="24">
        <f>lc_detailed!BH89</f>
        <v/>
      </c>
      <c r="N88" s="24">
        <f>lc_detailed!BI89</f>
        <v/>
      </c>
      <c r="O88" s="24">
        <f>lc_detailed!BK89</f>
        <v/>
      </c>
      <c r="P88" s="24">
        <f>lc_detailed!BL89</f>
        <v/>
      </c>
      <c r="Q88" s="24">
        <f>lc_detailed!AT89</f>
        <v/>
      </c>
    </row>
    <row r="89">
      <c r="A89">
        <f>lc_detailed!AR90</f>
        <v/>
      </c>
      <c r="B89" s="24">
        <f>lc_detailed!AW90</f>
        <v/>
      </c>
      <c r="C89" s="24">
        <f>lc_detailed!AX90</f>
        <v/>
      </c>
      <c r="D89" s="24">
        <f>lc_detailed!AY90</f>
        <v/>
      </c>
      <c r="E89" s="24">
        <f>lc_detailed!AZ90</f>
        <v/>
      </c>
      <c r="F89" s="24">
        <f>lc_detailed!BA90</f>
        <v/>
      </c>
      <c r="G89" s="24">
        <f>lc_detailed!BB90</f>
        <v/>
      </c>
      <c r="H89" s="24">
        <f>lc_detailed!BC90</f>
        <v/>
      </c>
      <c r="I89" s="24">
        <f>lc_detailed!BD90</f>
        <v/>
      </c>
      <c r="J89" s="24">
        <f>lc_detailed!BE90</f>
        <v/>
      </c>
      <c r="K89" s="24">
        <f>lc_detailed!BF90</f>
        <v/>
      </c>
      <c r="L89" s="24">
        <f>lc_detailed!BG90</f>
        <v/>
      </c>
      <c r="M89" s="24">
        <f>lc_detailed!BH90</f>
        <v/>
      </c>
      <c r="N89" s="24">
        <f>lc_detailed!BI90</f>
        <v/>
      </c>
      <c r="O89" s="24">
        <f>lc_detailed!BK90</f>
        <v/>
      </c>
      <c r="P89" s="24">
        <f>lc_detailed!BL90</f>
        <v/>
      </c>
      <c r="Q89" s="24">
        <f>lc_detailed!AT90</f>
        <v/>
      </c>
    </row>
    <row r="90">
      <c r="A90">
        <f>lc_detailed!AR91</f>
        <v/>
      </c>
      <c r="B90" s="24">
        <f>lc_detailed!AW91</f>
        <v/>
      </c>
      <c r="C90" s="24">
        <f>lc_detailed!AX91</f>
        <v/>
      </c>
      <c r="D90" s="24">
        <f>lc_detailed!AY91</f>
        <v/>
      </c>
      <c r="E90" s="24">
        <f>lc_detailed!AZ91</f>
        <v/>
      </c>
      <c r="F90" s="24">
        <f>lc_detailed!BA91</f>
        <v/>
      </c>
      <c r="G90" s="24">
        <f>lc_detailed!BB91</f>
        <v/>
      </c>
      <c r="H90" s="24">
        <f>lc_detailed!BC91</f>
        <v/>
      </c>
      <c r="I90" s="24">
        <f>lc_detailed!BD91</f>
        <v/>
      </c>
      <c r="J90" s="24">
        <f>lc_detailed!BE91</f>
        <v/>
      </c>
      <c r="K90" s="24">
        <f>lc_detailed!BF91</f>
        <v/>
      </c>
      <c r="L90" s="24">
        <f>lc_detailed!BG91</f>
        <v/>
      </c>
      <c r="M90" s="24">
        <f>lc_detailed!BH91</f>
        <v/>
      </c>
      <c r="N90" s="24">
        <f>lc_detailed!BI91</f>
        <v/>
      </c>
      <c r="O90" s="24">
        <f>lc_detailed!BK91</f>
        <v/>
      </c>
      <c r="P90" s="24">
        <f>lc_detailed!BL91</f>
        <v/>
      </c>
      <c r="Q90" s="24">
        <f>lc_detailed!AT91</f>
        <v/>
      </c>
    </row>
    <row r="91">
      <c r="A91">
        <f>lc_detailed!AR92</f>
        <v/>
      </c>
      <c r="B91" s="24">
        <f>lc_detailed!AW92</f>
        <v/>
      </c>
      <c r="C91" s="24">
        <f>lc_detailed!AX92</f>
        <v/>
      </c>
      <c r="D91" s="24">
        <f>lc_detailed!AY92</f>
        <v/>
      </c>
      <c r="E91" s="24">
        <f>lc_detailed!AZ92</f>
        <v/>
      </c>
      <c r="F91" s="24">
        <f>lc_detailed!BA92</f>
        <v/>
      </c>
      <c r="G91" s="24">
        <f>lc_detailed!BB92</f>
        <v/>
      </c>
      <c r="H91" s="24">
        <f>lc_detailed!BC92</f>
        <v/>
      </c>
      <c r="I91" s="24">
        <f>lc_detailed!BD92</f>
        <v/>
      </c>
      <c r="J91" s="24">
        <f>lc_detailed!BE92</f>
        <v/>
      </c>
      <c r="K91" s="24">
        <f>lc_detailed!BF92</f>
        <v/>
      </c>
      <c r="L91" s="24">
        <f>lc_detailed!BG92</f>
        <v/>
      </c>
      <c r="M91" s="24">
        <f>lc_detailed!BH92</f>
        <v/>
      </c>
      <c r="N91" s="24">
        <f>lc_detailed!BI92</f>
        <v/>
      </c>
      <c r="O91" s="24">
        <f>lc_detailed!BK92</f>
        <v/>
      </c>
      <c r="P91" s="24">
        <f>lc_detailed!BL92</f>
        <v/>
      </c>
      <c r="Q91" s="24">
        <f>lc_detailed!AT92</f>
        <v/>
      </c>
    </row>
    <row r="92">
      <c r="A92">
        <f>lc_detailed!AR93</f>
        <v/>
      </c>
      <c r="B92" s="24">
        <f>lc_detailed!AW93</f>
        <v/>
      </c>
      <c r="C92" s="24">
        <f>lc_detailed!AX93</f>
        <v/>
      </c>
      <c r="D92" s="24">
        <f>lc_detailed!AY93</f>
        <v/>
      </c>
      <c r="E92" s="24">
        <f>lc_detailed!AZ93</f>
        <v/>
      </c>
      <c r="F92" s="24">
        <f>lc_detailed!BA93</f>
        <v/>
      </c>
      <c r="G92" s="24">
        <f>lc_detailed!BB93</f>
        <v/>
      </c>
      <c r="H92" s="24">
        <f>lc_detailed!BC93</f>
        <v/>
      </c>
      <c r="I92" s="24">
        <f>lc_detailed!BD93</f>
        <v/>
      </c>
      <c r="J92" s="24">
        <f>lc_detailed!BE93</f>
        <v/>
      </c>
      <c r="K92" s="24">
        <f>lc_detailed!BF93</f>
        <v/>
      </c>
      <c r="L92" s="24">
        <f>lc_detailed!BG93</f>
        <v/>
      </c>
      <c r="M92" s="24">
        <f>lc_detailed!BH93</f>
        <v/>
      </c>
      <c r="N92" s="24">
        <f>lc_detailed!BI93</f>
        <v/>
      </c>
      <c r="O92" s="24">
        <f>lc_detailed!BK93</f>
        <v/>
      </c>
      <c r="P92" s="24">
        <f>lc_detailed!BL93</f>
        <v/>
      </c>
      <c r="Q92" s="24">
        <f>lc_detailed!AT93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Abigail Cheng</dc:creator>
  <dcterms:created xmlns:dcterms="http://purl.org/dc/terms/" xmlns:xsi="http://www.w3.org/2001/XMLSchema-instance" xsi:type="dcterms:W3CDTF">2026-04-05T17:24:30Z</dcterms:created>
  <dcterms:modified xmlns:dcterms="http://purl.org/dc/terms/" xmlns:xsi="http://www.w3.org/2001/XMLSchema-instance" xsi:type="dcterms:W3CDTF">2026-06-28T06:10:46Z</dcterms:modified>
  <cp:lastModifiedBy>Abigail Cheng</cp:lastModifiedBy>
</cp:coreProperties>
</file>