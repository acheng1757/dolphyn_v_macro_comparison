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2F1F4956-30B7-4542-A184-9C68BF0449D8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2" l="1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CP66" i="1"/>
  <c r="CO66" i="1"/>
  <c r="CN66" i="1"/>
  <c r="CM66" i="1"/>
  <c r="CI66" i="1"/>
  <c r="BF66" i="1"/>
  <c r="K65" i="2" s="1"/>
  <c r="AX66" i="1"/>
  <c r="C65" i="2" s="1"/>
  <c r="AW66" i="1"/>
  <c r="B65" i="2" s="1"/>
  <c r="AS66" i="1"/>
  <c r="AR66" i="1"/>
  <c r="A65" i="2" s="1"/>
  <c r="AF66" i="1"/>
  <c r="S66" i="1" a="1"/>
  <c r="L66" i="1"/>
  <c r="BH66" i="1" s="1"/>
  <c r="M65" i="2" s="1"/>
  <c r="CP65" i="1"/>
  <c r="CO65" i="1"/>
  <c r="CN65" i="1"/>
  <c r="CM65" i="1"/>
  <c r="CI65" i="1"/>
  <c r="BH65" i="1"/>
  <c r="M64" i="2" s="1"/>
  <c r="AZ65" i="1"/>
  <c r="E64" i="2" s="1"/>
  <c r="AX65" i="1"/>
  <c r="C64" i="2" s="1"/>
  <c r="AS65" i="1"/>
  <c r="AR65" i="1"/>
  <c r="A64" i="2" s="1"/>
  <c r="AF65" i="1"/>
  <c r="AD65" i="1"/>
  <c r="AB65" i="1"/>
  <c r="S65" i="1" a="1"/>
  <c r="L65" i="1"/>
  <c r="CP64" i="1"/>
  <c r="CO64" i="1"/>
  <c r="CN64" i="1"/>
  <c r="CM64" i="1"/>
  <c r="CI64" i="1"/>
  <c r="BH64" i="1"/>
  <c r="M63" i="2" s="1"/>
  <c r="BD64" i="1"/>
  <c r="I63" i="2" s="1"/>
  <c r="AZ64" i="1"/>
  <c r="E63" i="2" s="1"/>
  <c r="AW64" i="1"/>
  <c r="B63" i="2" s="1"/>
  <c r="AS64" i="1"/>
  <c r="AR64" i="1"/>
  <c r="A63" i="2" s="1"/>
  <c r="AF64" i="1"/>
  <c r="AC64" i="1"/>
  <c r="AB64" i="1"/>
  <c r="U64" i="1"/>
  <c r="S64" i="1" a="1"/>
  <c r="S64" i="1" s="1"/>
  <c r="L64" i="1"/>
  <c r="CP63" i="1"/>
  <c r="CO63" i="1"/>
  <c r="CN63" i="1"/>
  <c r="CM63" i="1"/>
  <c r="CI63" i="1"/>
  <c r="AW63" i="1"/>
  <c r="B62" i="2" s="1"/>
  <c r="AS63" i="1"/>
  <c r="AR63" i="1"/>
  <c r="A62" i="2" s="1"/>
  <c r="AB63" i="1"/>
  <c r="Z63" i="1"/>
  <c r="S63" i="1" a="1"/>
  <c r="L63" i="1"/>
  <c r="CP62" i="1"/>
  <c r="CO62" i="1"/>
  <c r="CN62" i="1"/>
  <c r="CM62" i="1"/>
  <c r="CI62" i="1"/>
  <c r="BD62" i="1"/>
  <c r="I61" i="2" s="1"/>
  <c r="AZ62" i="1"/>
  <c r="E61" i="2" s="1"/>
  <c r="AS62" i="1"/>
  <c r="AR62" i="1"/>
  <c r="A61" i="2" s="1"/>
  <c r="AB62" i="1"/>
  <c r="Y62" i="1"/>
  <c r="CC62" i="1" s="1"/>
  <c r="S62" i="1" a="1"/>
  <c r="L62" i="1"/>
  <c r="BH62" i="1" s="1"/>
  <c r="M61" i="2" s="1"/>
  <c r="CP61" i="1"/>
  <c r="CO61" i="1"/>
  <c r="CN61" i="1"/>
  <c r="CM61" i="1"/>
  <c r="CI61" i="1"/>
  <c r="BH61" i="1"/>
  <c r="M60" i="2" s="1"/>
  <c r="BD61" i="1"/>
  <c r="I60" i="2" s="1"/>
  <c r="AZ61" i="1"/>
  <c r="E60" i="2" s="1"/>
  <c r="AW61" i="1"/>
  <c r="B60" i="2" s="1"/>
  <c r="AS61" i="1"/>
  <c r="AR61" i="1"/>
  <c r="A60" i="2" s="1"/>
  <c r="AF61" i="1"/>
  <c r="AD61" i="1"/>
  <c r="Y61" i="1"/>
  <c r="CC61" i="1" s="1"/>
  <c r="V61" i="1"/>
  <c r="U61" i="1"/>
  <c r="S61" i="1" a="1"/>
  <c r="AA61" i="1" s="1"/>
  <c r="L61" i="1"/>
  <c r="CP60" i="1"/>
  <c r="CO60" i="1"/>
  <c r="CN60" i="1"/>
  <c r="CM60" i="1"/>
  <c r="CI60" i="1"/>
  <c r="BH60" i="1"/>
  <c r="M59" i="2" s="1"/>
  <c r="BF60" i="1"/>
  <c r="K59" i="2" s="1"/>
  <c r="AX60" i="1"/>
  <c r="C59" i="2" s="1"/>
  <c r="AW60" i="1"/>
  <c r="B59" i="2" s="1"/>
  <c r="AS60" i="1"/>
  <c r="AR60" i="1"/>
  <c r="A59" i="2" s="1"/>
  <c r="AE60" i="1"/>
  <c r="AC60" i="1"/>
  <c r="AA60" i="1"/>
  <c r="Y60" i="1"/>
  <c r="CC60" i="1" s="1"/>
  <c r="X60" i="1"/>
  <c r="V60" i="1"/>
  <c r="S60" i="1" a="1"/>
  <c r="S60" i="1" s="1"/>
  <c r="BQ60" i="1" s="1"/>
  <c r="L60" i="1"/>
  <c r="BD60" i="1" s="1"/>
  <c r="I59" i="2" s="1"/>
  <c r="CP59" i="1"/>
  <c r="CO59" i="1"/>
  <c r="CN59" i="1"/>
  <c r="CM59" i="1"/>
  <c r="CI59" i="1"/>
  <c r="CH59" i="1"/>
  <c r="BU59" i="1"/>
  <c r="BC59" i="1" s="1"/>
  <c r="H58" i="2" s="1"/>
  <c r="BF59" i="1"/>
  <c r="K58" i="2" s="1"/>
  <c r="BD59" i="1"/>
  <c r="I58" i="2" s="1"/>
  <c r="AX59" i="1"/>
  <c r="C58" i="2" s="1"/>
  <c r="AW59" i="1"/>
  <c r="B58" i="2" s="1"/>
  <c r="AS59" i="1"/>
  <c r="AR59" i="1"/>
  <c r="A58" i="2" s="1"/>
  <c r="AD59" i="1"/>
  <c r="AB59" i="1"/>
  <c r="AA59" i="1"/>
  <c r="X59" i="1"/>
  <c r="W59" i="1"/>
  <c r="U59" i="1"/>
  <c r="S59" i="1" a="1"/>
  <c r="AF59" i="1" s="1"/>
  <c r="L59" i="1"/>
  <c r="BH59" i="1" s="1"/>
  <c r="M58" i="2" s="1"/>
  <c r="CP58" i="1"/>
  <c r="CO58" i="1"/>
  <c r="CN58" i="1"/>
  <c r="CM58" i="1"/>
  <c r="CI58" i="1"/>
  <c r="BH58" i="1"/>
  <c r="M57" i="2" s="1"/>
  <c r="BF58" i="1"/>
  <c r="K57" i="2" s="1"/>
  <c r="AZ58" i="1"/>
  <c r="E57" i="2" s="1"/>
  <c r="AS58" i="1"/>
  <c r="AR58" i="1"/>
  <c r="A57" i="2" s="1"/>
  <c r="Z58" i="1"/>
  <c r="Y58" i="1"/>
  <c r="CC58" i="1" s="1"/>
  <c r="U58" i="1"/>
  <c r="S58" i="1" a="1"/>
  <c r="L58" i="1"/>
  <c r="CP57" i="1"/>
  <c r="CO57" i="1"/>
  <c r="CN57" i="1"/>
  <c r="CM57" i="1"/>
  <c r="CI57" i="1"/>
  <c r="AS57" i="1"/>
  <c r="AR57" i="1"/>
  <c r="A56" i="2" s="1"/>
  <c r="AD57" i="1"/>
  <c r="AC57" i="1"/>
  <c r="S57" i="1" a="1"/>
  <c r="L57" i="1"/>
  <c r="CP56" i="1"/>
  <c r="CO56" i="1"/>
  <c r="CN56" i="1"/>
  <c r="CM56" i="1"/>
  <c r="CI56" i="1"/>
  <c r="BF56" i="1"/>
  <c r="K55" i="2" s="1"/>
  <c r="BD56" i="1"/>
  <c r="I55" i="2" s="1"/>
  <c r="AX56" i="1"/>
  <c r="C55" i="2" s="1"/>
  <c r="AW56" i="1"/>
  <c r="B55" i="2" s="1"/>
  <c r="AS56" i="1"/>
  <c r="AR56" i="1"/>
  <c r="A55" i="2" s="1"/>
  <c r="V56" i="1"/>
  <c r="U56" i="1"/>
  <c r="S56" i="1" a="1"/>
  <c r="S56" i="1"/>
  <c r="L56" i="1"/>
  <c r="BH56" i="1" s="1"/>
  <c r="M55" i="2" s="1"/>
  <c r="CP55" i="1"/>
  <c r="CO55" i="1"/>
  <c r="CN55" i="1"/>
  <c r="CM55" i="1"/>
  <c r="CI55" i="1"/>
  <c r="AS55" i="1"/>
  <c r="AR55" i="1"/>
  <c r="A54" i="2" s="1"/>
  <c r="S55" i="1" a="1"/>
  <c r="S55" i="1" s="1"/>
  <c r="L55" i="1"/>
  <c r="CP54" i="1"/>
  <c r="CO54" i="1"/>
  <c r="CN54" i="1"/>
  <c r="CM54" i="1"/>
  <c r="CK54" i="1"/>
  <c r="CI54" i="1"/>
  <c r="BX54" i="1"/>
  <c r="BI54" i="1" s="1"/>
  <c r="N53" i="2" s="1"/>
  <c r="BM54" i="1"/>
  <c r="BO54" i="1" s="1"/>
  <c r="BF54" i="1"/>
  <c r="K53" i="2" s="1"/>
  <c r="AZ54" i="1"/>
  <c r="E53" i="2" s="1"/>
  <c r="AS54" i="1"/>
  <c r="AR54" i="1"/>
  <c r="A53" i="2" s="1"/>
  <c r="AF54" i="1"/>
  <c r="AE54" i="1"/>
  <c r="AD54" i="1"/>
  <c r="AC54" i="1"/>
  <c r="AB54" i="1"/>
  <c r="BV54" i="1" s="1"/>
  <c r="BE54" i="1" s="1"/>
  <c r="J53" i="2" s="1"/>
  <c r="Z54" i="1"/>
  <c r="CL54" i="1" s="1"/>
  <c r="BK54" i="1" s="1"/>
  <c r="Y54" i="1"/>
  <c r="CC54" i="1" s="1"/>
  <c r="CG54" i="1" s="1"/>
  <c r="X54" i="1"/>
  <c r="W54" i="1"/>
  <c r="V54" i="1"/>
  <c r="U54" i="1"/>
  <c r="T54" i="1"/>
  <c r="S54" i="1" a="1"/>
  <c r="AA54" i="1" s="1"/>
  <c r="S54" i="1"/>
  <c r="BQ54" i="1" s="1"/>
  <c r="L54" i="1"/>
  <c r="E54" i="1"/>
  <c r="CP53" i="1"/>
  <c r="CO53" i="1"/>
  <c r="CN53" i="1"/>
  <c r="CM53" i="1"/>
  <c r="CI53" i="1"/>
  <c r="BD53" i="1"/>
  <c r="I52" i="2" s="1"/>
  <c r="AX53" i="1"/>
  <c r="C52" i="2" s="1"/>
  <c r="AS53" i="1"/>
  <c r="AR53" i="1"/>
  <c r="A52" i="2" s="1"/>
  <c r="AF53" i="1"/>
  <c r="AE53" i="1"/>
  <c r="AD53" i="1"/>
  <c r="AC53" i="1"/>
  <c r="AB53" i="1"/>
  <c r="Y53" i="1"/>
  <c r="CC53" i="1" s="1"/>
  <c r="X53" i="1"/>
  <c r="W53" i="1"/>
  <c r="V53" i="1"/>
  <c r="U53" i="1"/>
  <c r="T53" i="1"/>
  <c r="BT53" i="1" s="1" a="1"/>
  <c r="BT53" i="1" s="1"/>
  <c r="BB53" i="1" s="1"/>
  <c r="G52" i="2" s="1"/>
  <c r="S53" i="1" a="1"/>
  <c r="AA53" i="1" s="1"/>
  <c r="L53" i="1"/>
  <c r="AZ53" i="1" s="1"/>
  <c r="E52" i="2" s="1"/>
  <c r="CP52" i="1"/>
  <c r="CO52" i="1"/>
  <c r="CN52" i="1"/>
  <c r="CM52" i="1"/>
  <c r="CI52" i="1"/>
  <c r="CC52" i="1"/>
  <c r="BH52" i="1"/>
  <c r="M51" i="2" s="1"/>
  <c r="BD52" i="1"/>
  <c r="I51" i="2" s="1"/>
  <c r="AZ52" i="1"/>
  <c r="E51" i="2" s="1"/>
  <c r="AW52" i="1"/>
  <c r="B51" i="2" s="1"/>
  <c r="AS52" i="1"/>
  <c r="AR52" i="1"/>
  <c r="A51" i="2" s="1"/>
  <c r="Y52" i="1"/>
  <c r="S52" i="1" a="1"/>
  <c r="S52" i="1"/>
  <c r="L52" i="1"/>
  <c r="CP51" i="1"/>
  <c r="CO51" i="1"/>
  <c r="CN51" i="1"/>
  <c r="CM51" i="1"/>
  <c r="CI51" i="1"/>
  <c r="CG51" i="1"/>
  <c r="BQ51" i="1"/>
  <c r="AS51" i="1"/>
  <c r="AR51" i="1"/>
  <c r="A50" i="2" s="1"/>
  <c r="AF51" i="1"/>
  <c r="BX51" i="1" s="1"/>
  <c r="BI51" i="1" s="1"/>
  <c r="N50" i="2" s="1"/>
  <c r="AD51" i="1"/>
  <c r="AA51" i="1"/>
  <c r="Z51" i="1"/>
  <c r="Y51" i="1"/>
  <c r="CC51" i="1" s="1"/>
  <c r="X51" i="1"/>
  <c r="W51" i="1"/>
  <c r="V51" i="1"/>
  <c r="S51" i="1" a="1"/>
  <c r="S51" i="1"/>
  <c r="L51" i="1"/>
  <c r="AX51" i="1" s="1"/>
  <c r="C50" i="2" s="1"/>
  <c r="E51" i="1"/>
  <c r="CP50" i="1"/>
  <c r="CO50" i="1"/>
  <c r="CN50" i="1"/>
  <c r="CM50" i="1"/>
  <c r="CI50" i="1"/>
  <c r="BF50" i="1"/>
  <c r="K49" i="2" s="1"/>
  <c r="BD50" i="1"/>
  <c r="I49" i="2" s="1"/>
  <c r="AX50" i="1"/>
  <c r="C49" i="2" s="1"/>
  <c r="AW50" i="1"/>
  <c r="B49" i="2" s="1"/>
  <c r="AS50" i="1"/>
  <c r="AR50" i="1"/>
  <c r="A49" i="2" s="1"/>
  <c r="T50" i="1"/>
  <c r="S50" i="1" a="1"/>
  <c r="L50" i="1"/>
  <c r="BH50" i="1" s="1"/>
  <c r="M49" i="2" s="1"/>
  <c r="CP49" i="1"/>
  <c r="CO49" i="1"/>
  <c r="CN49" i="1"/>
  <c r="CM49" i="1"/>
  <c r="CI49" i="1"/>
  <c r="BH49" i="1"/>
  <c r="M48" i="2" s="1"/>
  <c r="BF49" i="1"/>
  <c r="K48" i="2" s="1"/>
  <c r="AZ49" i="1"/>
  <c r="E48" i="2" s="1"/>
  <c r="AX49" i="1"/>
  <c r="C48" i="2" s="1"/>
  <c r="AS49" i="1"/>
  <c r="AR49" i="1"/>
  <c r="A48" i="2" s="1"/>
  <c r="S49" i="1" a="1"/>
  <c r="L49" i="1"/>
  <c r="AW49" i="1" s="1"/>
  <c r="B48" i="2" s="1"/>
  <c r="CP48" i="1"/>
  <c r="CO48" i="1"/>
  <c r="CN48" i="1"/>
  <c r="CM48" i="1"/>
  <c r="CI48" i="1"/>
  <c r="CC48" i="1"/>
  <c r="BV48" i="1"/>
  <c r="BE48" i="1" s="1"/>
  <c r="J47" i="2" s="1"/>
  <c r="BR48" i="1"/>
  <c r="BA48" i="1" s="1"/>
  <c r="F47" i="2" s="1"/>
  <c r="BQ48" i="1"/>
  <c r="BH48" i="1"/>
  <c r="M47" i="2" s="1"/>
  <c r="BF48" i="1"/>
  <c r="K47" i="2" s="1"/>
  <c r="BD48" i="1"/>
  <c r="I47" i="2" s="1"/>
  <c r="AZ48" i="1"/>
  <c r="E47" i="2" s="1"/>
  <c r="AX48" i="1"/>
  <c r="C47" i="2" s="1"/>
  <c r="AW48" i="1"/>
  <c r="B47" i="2" s="1"/>
  <c r="AS48" i="1"/>
  <c r="AR48" i="1"/>
  <c r="A47" i="2" s="1"/>
  <c r="AF48" i="1"/>
  <c r="BX48" i="1" s="1"/>
  <c r="BI48" i="1" s="1"/>
  <c r="N47" i="2" s="1"/>
  <c r="AE48" i="1"/>
  <c r="AD48" i="1"/>
  <c r="AC48" i="1"/>
  <c r="BW48" i="1" s="1"/>
  <c r="BG48" i="1" s="1"/>
  <c r="L47" i="2" s="1"/>
  <c r="AB48" i="1"/>
  <c r="Z48" i="1"/>
  <c r="Y48" i="1"/>
  <c r="X48" i="1"/>
  <c r="W48" i="1"/>
  <c r="CH48" i="1" s="1"/>
  <c r="V48" i="1"/>
  <c r="U48" i="1"/>
  <c r="T48" i="1"/>
  <c r="BT48" i="1" s="1" a="1"/>
  <c r="BT48" i="1" s="1"/>
  <c r="BB48" i="1" s="1"/>
  <c r="G47" i="2" s="1"/>
  <c r="S48" i="1" a="1"/>
  <c r="AA48" i="1" s="1"/>
  <c r="S48" i="1"/>
  <c r="E48" i="1" s="1"/>
  <c r="L48" i="1"/>
  <c r="CP47" i="1"/>
  <c r="CO47" i="1"/>
  <c r="CN47" i="1"/>
  <c r="CM47" i="1"/>
  <c r="CI47" i="1"/>
  <c r="AS47" i="1"/>
  <c r="AR47" i="1"/>
  <c r="A46" i="2" s="1"/>
  <c r="AE47" i="1"/>
  <c r="AB47" i="1"/>
  <c r="AA47" i="1"/>
  <c r="Z47" i="1"/>
  <c r="V47" i="1"/>
  <c r="U47" i="1"/>
  <c r="T47" i="1"/>
  <c r="S47" i="1" a="1"/>
  <c r="AC47" i="1" s="1"/>
  <c r="L47" i="1"/>
  <c r="BF47" i="1" s="1"/>
  <c r="K46" i="2" s="1"/>
  <c r="CP46" i="1"/>
  <c r="CO46" i="1"/>
  <c r="CN46" i="1"/>
  <c r="CM46" i="1"/>
  <c r="CI46" i="1"/>
  <c r="BF46" i="1"/>
  <c r="K45" i="2" s="1"/>
  <c r="AX46" i="1"/>
  <c r="C45" i="2" s="1"/>
  <c r="AW46" i="1"/>
  <c r="B45" i="2" s="1"/>
  <c r="AS46" i="1"/>
  <c r="AR46" i="1"/>
  <c r="A45" i="2" s="1"/>
  <c r="AF46" i="1"/>
  <c r="BX46" i="1" s="1"/>
  <c r="BI46" i="1" s="1"/>
  <c r="N45" i="2" s="1"/>
  <c r="AE46" i="1"/>
  <c r="X46" i="1"/>
  <c r="W46" i="1"/>
  <c r="V46" i="1"/>
  <c r="U46" i="1"/>
  <c r="BR46" i="1" s="1"/>
  <c r="BA46" i="1" s="1"/>
  <c r="F45" i="2" s="1"/>
  <c r="S46" i="1" a="1"/>
  <c r="AB46" i="1" s="1"/>
  <c r="BV46" i="1" s="1"/>
  <c r="BE46" i="1" s="1"/>
  <c r="J45" i="2" s="1"/>
  <c r="L46" i="1"/>
  <c r="BD46" i="1" s="1"/>
  <c r="I45" i="2" s="1"/>
  <c r="CP45" i="1"/>
  <c r="CO45" i="1"/>
  <c r="CN45" i="1"/>
  <c r="CM45" i="1"/>
  <c r="CI45" i="1"/>
  <c r="BH45" i="1"/>
  <c r="M44" i="2" s="1"/>
  <c r="BD45" i="1"/>
  <c r="I44" i="2" s="1"/>
  <c r="AW45" i="1"/>
  <c r="B44" i="2" s="1"/>
  <c r="AS45" i="1"/>
  <c r="AR45" i="1"/>
  <c r="A44" i="2" s="1"/>
  <c r="AD45" i="1"/>
  <c r="AC45" i="1"/>
  <c r="AB45" i="1"/>
  <c r="AA45" i="1"/>
  <c r="S45" i="1" a="1"/>
  <c r="S45" i="1" s="1"/>
  <c r="L45" i="1"/>
  <c r="AZ45" i="1" s="1"/>
  <c r="E44" i="2" s="1"/>
  <c r="CP44" i="1"/>
  <c r="CO44" i="1"/>
  <c r="CN44" i="1"/>
  <c r="CM44" i="1"/>
  <c r="CI44" i="1"/>
  <c r="BD44" i="1"/>
  <c r="I43" i="2" s="1"/>
  <c r="AS44" i="1"/>
  <c r="AR44" i="1"/>
  <c r="A43" i="2" s="1"/>
  <c r="AF44" i="1"/>
  <c r="AE44" i="1"/>
  <c r="AA44" i="1"/>
  <c r="Z44" i="1"/>
  <c r="Y44" i="1"/>
  <c r="CC44" i="1" s="1"/>
  <c r="CG44" i="1" s="1"/>
  <c r="X44" i="1"/>
  <c r="CH44" i="1" s="1"/>
  <c r="W44" i="1"/>
  <c r="V44" i="1"/>
  <c r="S44" i="1" a="1"/>
  <c r="S44" i="1"/>
  <c r="BQ44" i="1" s="1"/>
  <c r="L44" i="1"/>
  <c r="E44" i="1"/>
  <c r="CP43" i="1"/>
  <c r="CO43" i="1"/>
  <c r="CN43" i="1"/>
  <c r="CM43" i="1"/>
  <c r="CI43" i="1"/>
  <c r="BF43" i="1"/>
  <c r="K42" i="2" s="1"/>
  <c r="BD43" i="1"/>
  <c r="I42" i="2" s="1"/>
  <c r="AX43" i="1"/>
  <c r="C42" i="2" s="1"/>
  <c r="AW43" i="1"/>
  <c r="B42" i="2" s="1"/>
  <c r="AS43" i="1"/>
  <c r="AR43" i="1"/>
  <c r="A42" i="2" s="1"/>
  <c r="AF43" i="1"/>
  <c r="AD43" i="1"/>
  <c r="AA43" i="1"/>
  <c r="Z43" i="1"/>
  <c r="X43" i="1"/>
  <c r="W43" i="1"/>
  <c r="BU43" i="1" s="1"/>
  <c r="BC43" i="1" s="1"/>
  <c r="H42" i="2" s="1"/>
  <c r="U43" i="1"/>
  <c r="S43" i="1" a="1"/>
  <c r="Y43" i="1" s="1"/>
  <c r="CC43" i="1" s="1"/>
  <c r="S43" i="1"/>
  <c r="L43" i="1"/>
  <c r="BH43" i="1" s="1"/>
  <c r="M42" i="2" s="1"/>
  <c r="CP42" i="1"/>
  <c r="CO42" i="1"/>
  <c r="CN42" i="1"/>
  <c r="CM42" i="1"/>
  <c r="CI42" i="1"/>
  <c r="CG42" i="1"/>
  <c r="BR42" i="1"/>
  <c r="BA42" i="1" s="1"/>
  <c r="F41" i="2" s="1"/>
  <c r="BH42" i="1"/>
  <c r="M41" i="2" s="1"/>
  <c r="AZ42" i="1"/>
  <c r="E41" i="2" s="1"/>
  <c r="AS42" i="1"/>
  <c r="AR42" i="1"/>
  <c r="A41" i="2" s="1"/>
  <c r="AF42" i="1"/>
  <c r="BX42" i="1" s="1"/>
  <c r="BI42" i="1" s="1"/>
  <c r="N41" i="2" s="1"/>
  <c r="AE42" i="1"/>
  <c r="Y42" i="1"/>
  <c r="CC42" i="1" s="1"/>
  <c r="X42" i="1"/>
  <c r="BU42" i="1" s="1"/>
  <c r="BC42" i="1" s="1"/>
  <c r="H41" i="2" s="1"/>
  <c r="W42" i="1"/>
  <c r="U42" i="1"/>
  <c r="S42" i="1" a="1"/>
  <c r="AA42" i="1" s="1"/>
  <c r="L42" i="1"/>
  <c r="AW42" i="1" s="1"/>
  <c r="B41" i="2" s="1"/>
  <c r="CP41" i="1"/>
  <c r="CO41" i="1"/>
  <c r="CN41" i="1"/>
  <c r="CM41" i="1"/>
  <c r="CI41" i="1"/>
  <c r="CH41" i="1"/>
  <c r="CC41" i="1"/>
  <c r="CG41" i="1" s="1"/>
  <c r="BX41" i="1"/>
  <c r="BI41" i="1" s="1"/>
  <c r="N40" i="2" s="1"/>
  <c r="BH41" i="1"/>
  <c r="M40" i="2" s="1"/>
  <c r="BF41" i="1"/>
  <c r="K40" i="2" s="1"/>
  <c r="BD41" i="1"/>
  <c r="I40" i="2" s="1"/>
  <c r="AZ41" i="1"/>
  <c r="E40" i="2" s="1"/>
  <c r="AY41" i="1"/>
  <c r="D40" i="2" s="1"/>
  <c r="AX41" i="1"/>
  <c r="C40" i="2" s="1"/>
  <c r="AW41" i="1"/>
  <c r="B40" i="2" s="1"/>
  <c r="AS41" i="1"/>
  <c r="AR41" i="1"/>
  <c r="A40" i="2" s="1"/>
  <c r="AF41" i="1"/>
  <c r="AE41" i="1"/>
  <c r="AD41" i="1"/>
  <c r="AC41" i="1"/>
  <c r="AB41" i="1"/>
  <c r="Z41" i="1"/>
  <c r="CL41" i="1" s="1"/>
  <c r="Y41" i="1"/>
  <c r="X41" i="1"/>
  <c r="BU41" i="1" s="1"/>
  <c r="BC41" i="1" s="1"/>
  <c r="H40" i="2" s="1"/>
  <c r="W41" i="1"/>
  <c r="BV41" i="1" s="1"/>
  <c r="BE41" i="1" s="1"/>
  <c r="J40" i="2" s="1"/>
  <c r="V41" i="1"/>
  <c r="BS41" i="1" s="1"/>
  <c r="U41" i="1"/>
  <c r="BR41" i="1" s="1"/>
  <c r="BA41" i="1" s="1"/>
  <c r="F40" i="2" s="1"/>
  <c r="T41" i="1"/>
  <c r="BT41" i="1" s="1" a="1"/>
  <c r="BT41" i="1" s="1"/>
  <c r="BB41" i="1" s="1"/>
  <c r="G40" i="2" s="1"/>
  <c r="S41" i="1" a="1"/>
  <c r="AA41" i="1" s="1"/>
  <c r="S41" i="1"/>
  <c r="L41" i="1"/>
  <c r="CP40" i="1"/>
  <c r="CO40" i="1"/>
  <c r="CN40" i="1"/>
  <c r="CM40" i="1"/>
  <c r="CL40" i="1"/>
  <c r="BK40" i="1" s="1"/>
  <c r="CI40" i="1"/>
  <c r="AX40" i="1"/>
  <c r="C39" i="2" s="1"/>
  <c r="AW40" i="1"/>
  <c r="B39" i="2" s="1"/>
  <c r="AS40" i="1"/>
  <c r="AR40" i="1"/>
  <c r="A39" i="2" s="1"/>
  <c r="AE40" i="1"/>
  <c r="AC40" i="1"/>
  <c r="AB40" i="1"/>
  <c r="Z40" i="1"/>
  <c r="W40" i="1"/>
  <c r="BS40" i="1" s="1"/>
  <c r="AY40" i="1" s="1"/>
  <c r="D39" i="2" s="1"/>
  <c r="V40" i="1"/>
  <c r="U40" i="1"/>
  <c r="T40" i="1"/>
  <c r="S40" i="1" a="1"/>
  <c r="L40" i="1"/>
  <c r="CP39" i="1"/>
  <c r="CO39" i="1"/>
  <c r="CN39" i="1"/>
  <c r="CM39" i="1"/>
  <c r="CI39" i="1"/>
  <c r="BH39" i="1"/>
  <c r="M38" i="2" s="1"/>
  <c r="BF39" i="1"/>
  <c r="K38" i="2" s="1"/>
  <c r="AX39" i="1"/>
  <c r="C38" i="2" s="1"/>
  <c r="AW39" i="1"/>
  <c r="B38" i="2" s="1"/>
  <c r="AS39" i="1"/>
  <c r="AR39" i="1"/>
  <c r="A38" i="2" s="1"/>
  <c r="AE39" i="1"/>
  <c r="AD39" i="1"/>
  <c r="AB39" i="1"/>
  <c r="AA39" i="1"/>
  <c r="Z39" i="1"/>
  <c r="X39" i="1"/>
  <c r="V39" i="1"/>
  <c r="S39" i="1" a="1"/>
  <c r="S39" i="1"/>
  <c r="E39" i="1" s="1"/>
  <c r="L39" i="1"/>
  <c r="CP38" i="1"/>
  <c r="CO38" i="1"/>
  <c r="CN38" i="1"/>
  <c r="CM38" i="1"/>
  <c r="CI38" i="1"/>
  <c r="BF38" i="1"/>
  <c r="K37" i="2" s="1"/>
  <c r="BD38" i="1"/>
  <c r="I37" i="2" s="1"/>
  <c r="AW38" i="1"/>
  <c r="B37" i="2" s="1"/>
  <c r="AS38" i="1"/>
  <c r="AR38" i="1"/>
  <c r="A37" i="2" s="1"/>
  <c r="AC38" i="1"/>
  <c r="AA38" i="1"/>
  <c r="Y38" i="1"/>
  <c r="CC38" i="1" s="1"/>
  <c r="X38" i="1"/>
  <c r="W38" i="1"/>
  <c r="CH38" i="1" s="1"/>
  <c r="S38" i="1" a="1"/>
  <c r="L38" i="1"/>
  <c r="CP37" i="1"/>
  <c r="CO37" i="1"/>
  <c r="CN37" i="1"/>
  <c r="CM37" i="1"/>
  <c r="CI37" i="1"/>
  <c r="CC37" i="1"/>
  <c r="BQ37" i="1"/>
  <c r="BD37" i="1"/>
  <c r="I36" i="2" s="1"/>
  <c r="AZ37" i="1"/>
  <c r="E36" i="2" s="1"/>
  <c r="AS37" i="1"/>
  <c r="AR37" i="1"/>
  <c r="A36" i="2" s="1"/>
  <c r="AF37" i="1"/>
  <c r="AD37" i="1"/>
  <c r="AC37" i="1"/>
  <c r="AA37" i="1"/>
  <c r="Z37" i="1"/>
  <c r="Y37" i="1"/>
  <c r="X37" i="1"/>
  <c r="V37" i="1"/>
  <c r="U37" i="1"/>
  <c r="T37" i="1"/>
  <c r="S37" i="1" a="1"/>
  <c r="S37" i="1"/>
  <c r="L37" i="1"/>
  <c r="E37" i="1"/>
  <c r="CP36" i="1"/>
  <c r="CO36" i="1"/>
  <c r="CN36" i="1"/>
  <c r="CM36" i="1"/>
  <c r="CI36" i="1"/>
  <c r="BH36" i="1"/>
  <c r="M35" i="2" s="1"/>
  <c r="BF36" i="1"/>
  <c r="K35" i="2" s="1"/>
  <c r="AZ36" i="1"/>
  <c r="E35" i="2" s="1"/>
  <c r="AX36" i="1"/>
  <c r="C35" i="2" s="1"/>
  <c r="AS36" i="1"/>
  <c r="AR36" i="1"/>
  <c r="A35" i="2" s="1"/>
  <c r="AE36" i="1"/>
  <c r="AD36" i="1"/>
  <c r="AA36" i="1"/>
  <c r="Z36" i="1"/>
  <c r="X36" i="1"/>
  <c r="S36" i="1" a="1"/>
  <c r="L36" i="1"/>
  <c r="CP35" i="1"/>
  <c r="CO35" i="1"/>
  <c r="CN35" i="1"/>
  <c r="CM35" i="1"/>
  <c r="CI35" i="1"/>
  <c r="BF35" i="1"/>
  <c r="K34" i="2" s="1"/>
  <c r="BD35" i="1"/>
  <c r="I34" i="2" s="1"/>
  <c r="AX35" i="1"/>
  <c r="C34" i="2" s="1"/>
  <c r="AW35" i="1"/>
  <c r="B34" i="2" s="1"/>
  <c r="AS35" i="1"/>
  <c r="AR35" i="1"/>
  <c r="A34" i="2" s="1"/>
  <c r="AF35" i="1"/>
  <c r="BX35" i="1" s="1"/>
  <c r="BI35" i="1" s="1"/>
  <c r="N34" i="2" s="1"/>
  <c r="AC35" i="1"/>
  <c r="AB35" i="1"/>
  <c r="BV35" i="1" s="1"/>
  <c r="BE35" i="1" s="1"/>
  <c r="J34" i="2" s="1"/>
  <c r="AA35" i="1"/>
  <c r="Z35" i="1"/>
  <c r="W35" i="1"/>
  <c r="BW35" i="1" s="1"/>
  <c r="BG35" i="1" s="1"/>
  <c r="L34" i="2" s="1"/>
  <c r="V35" i="1"/>
  <c r="T35" i="1"/>
  <c r="BT35" i="1" s="1" a="1"/>
  <c r="BT35" i="1" s="1"/>
  <c r="BB35" i="1" s="1"/>
  <c r="G34" i="2" s="1"/>
  <c r="S35" i="1" a="1"/>
  <c r="S35" i="1"/>
  <c r="L35" i="1"/>
  <c r="BH35" i="1" s="1"/>
  <c r="M34" i="2" s="1"/>
  <c r="CP34" i="1"/>
  <c r="CO34" i="1"/>
  <c r="CN34" i="1"/>
  <c r="CM34" i="1"/>
  <c r="CI34" i="1"/>
  <c r="CC34" i="1"/>
  <c r="BH34" i="1"/>
  <c r="M33" i="2" s="1"/>
  <c r="AS34" i="1"/>
  <c r="AR34" i="1"/>
  <c r="A33" i="2" s="1"/>
  <c r="AC34" i="1"/>
  <c r="AB34" i="1"/>
  <c r="AA34" i="1"/>
  <c r="Z34" i="1"/>
  <c r="Y34" i="1"/>
  <c r="S34" i="1" a="1"/>
  <c r="S34" i="1"/>
  <c r="BQ34" i="1" s="1"/>
  <c r="L34" i="1"/>
  <c r="CP33" i="1"/>
  <c r="CO33" i="1"/>
  <c r="CN33" i="1"/>
  <c r="CM33" i="1"/>
  <c r="CL33" i="1"/>
  <c r="CK33" i="1"/>
  <c r="CI33" i="1"/>
  <c r="BN33" i="1"/>
  <c r="BM33" i="1"/>
  <c r="BO33" i="1" s="1"/>
  <c r="BF33" i="1"/>
  <c r="K32" i="2" s="1"/>
  <c r="AS33" i="1"/>
  <c r="AR33" i="1"/>
  <c r="A32" i="2" s="1"/>
  <c r="AF33" i="1"/>
  <c r="AE33" i="1"/>
  <c r="AD33" i="1"/>
  <c r="AC33" i="1"/>
  <c r="AB33" i="1"/>
  <c r="Z33" i="1"/>
  <c r="Y33" i="1"/>
  <c r="CC33" i="1" s="1"/>
  <c r="CG33" i="1" s="1"/>
  <c r="X33" i="1"/>
  <c r="W33" i="1"/>
  <c r="V33" i="1"/>
  <c r="U33" i="1"/>
  <c r="T33" i="1"/>
  <c r="S33" i="1" a="1"/>
  <c r="AA33" i="1" s="1"/>
  <c r="S33" i="1"/>
  <c r="BQ33" i="1" s="1"/>
  <c r="L33" i="1"/>
  <c r="E33" i="1"/>
  <c r="CP32" i="1"/>
  <c r="CO32" i="1"/>
  <c r="CN32" i="1"/>
  <c r="CM32" i="1"/>
  <c r="CI32" i="1"/>
  <c r="BD32" i="1"/>
  <c r="I31" i="2" s="1"/>
  <c r="AS32" i="1"/>
  <c r="AR32" i="1"/>
  <c r="A31" i="2" s="1"/>
  <c r="AE32" i="1"/>
  <c r="AD32" i="1"/>
  <c r="AB32" i="1"/>
  <c r="V32" i="1"/>
  <c r="S32" i="1" a="1"/>
  <c r="S32" i="1"/>
  <c r="L32" i="1"/>
  <c r="AZ32" i="1" s="1"/>
  <c r="E31" i="2" s="1"/>
  <c r="CP31" i="1"/>
  <c r="CO31" i="1"/>
  <c r="CN31" i="1"/>
  <c r="CM31" i="1"/>
  <c r="CI31" i="1"/>
  <c r="BS31" i="1"/>
  <c r="AY31" i="1" s="1"/>
  <c r="D30" i="2" s="1"/>
  <c r="BH31" i="1"/>
  <c r="M30" i="2" s="1"/>
  <c r="BF31" i="1"/>
  <c r="K30" i="2" s="1"/>
  <c r="AX31" i="1"/>
  <c r="C30" i="2" s="1"/>
  <c r="AS31" i="1"/>
  <c r="AR31" i="1"/>
  <c r="A30" i="2" s="1"/>
  <c r="AF31" i="1"/>
  <c r="AD31" i="1"/>
  <c r="AB31" i="1"/>
  <c r="Y31" i="1"/>
  <c r="CC31" i="1" s="1"/>
  <c r="X31" i="1"/>
  <c r="W31" i="1"/>
  <c r="V31" i="1"/>
  <c r="T31" i="1"/>
  <c r="S31" i="1" a="1"/>
  <c r="L31" i="1"/>
  <c r="CP30" i="1"/>
  <c r="CO30" i="1"/>
  <c r="CN30" i="1"/>
  <c r="CM30" i="1"/>
  <c r="CI30" i="1"/>
  <c r="BH30" i="1"/>
  <c r="M29" i="2" s="1"/>
  <c r="BF30" i="1"/>
  <c r="K29" i="2" s="1"/>
  <c r="BD30" i="1"/>
  <c r="I29" i="2" s="1"/>
  <c r="AZ30" i="1"/>
  <c r="E29" i="2" s="1"/>
  <c r="AX30" i="1"/>
  <c r="C29" i="2" s="1"/>
  <c r="AW30" i="1"/>
  <c r="B29" i="2" s="1"/>
  <c r="AS30" i="1"/>
  <c r="AR30" i="1"/>
  <c r="A29" i="2" s="1"/>
  <c r="AE30" i="1"/>
  <c r="AD30" i="1"/>
  <c r="AC30" i="1"/>
  <c r="S30" i="1" a="1"/>
  <c r="L30" i="1"/>
  <c r="CP29" i="1"/>
  <c r="CO29" i="1"/>
  <c r="CN29" i="1"/>
  <c r="CM29" i="1"/>
  <c r="CI29" i="1"/>
  <c r="BH29" i="1"/>
  <c r="M28" i="2" s="1"/>
  <c r="BF29" i="1"/>
  <c r="K28" i="2" s="1"/>
  <c r="AX29" i="1"/>
  <c r="C28" i="2" s="1"/>
  <c r="AW29" i="1"/>
  <c r="B28" i="2" s="1"/>
  <c r="AS29" i="1"/>
  <c r="AR29" i="1"/>
  <c r="A28" i="2" s="1"/>
  <c r="AA29" i="1"/>
  <c r="S29" i="1" a="1"/>
  <c r="L29" i="1"/>
  <c r="BD29" i="1" s="1"/>
  <c r="I28" i="2" s="1"/>
  <c r="CP28" i="1"/>
  <c r="CO28" i="1"/>
  <c r="CN28" i="1"/>
  <c r="CM28" i="1"/>
  <c r="CI28" i="1"/>
  <c r="AZ28" i="1"/>
  <c r="E27" i="2" s="1"/>
  <c r="AX28" i="1"/>
  <c r="C27" i="2" s="1"/>
  <c r="AW28" i="1"/>
  <c r="B27" i="2" s="1"/>
  <c r="AS28" i="1"/>
  <c r="AR28" i="1"/>
  <c r="A27" i="2" s="1"/>
  <c r="AD28" i="1"/>
  <c r="AC28" i="1"/>
  <c r="AB28" i="1"/>
  <c r="V28" i="1"/>
  <c r="U28" i="1"/>
  <c r="T28" i="1"/>
  <c r="S28" i="1" a="1"/>
  <c r="AE28" i="1" s="1"/>
  <c r="L28" i="1"/>
  <c r="CP27" i="1"/>
  <c r="CO27" i="1"/>
  <c r="CN27" i="1"/>
  <c r="CM27" i="1"/>
  <c r="CI27" i="1"/>
  <c r="AZ27" i="1"/>
  <c r="E26" i="2" s="1"/>
  <c r="AS27" i="1"/>
  <c r="AR27" i="1"/>
  <c r="A26" i="2" s="1"/>
  <c r="AD27" i="1"/>
  <c r="AB27" i="1"/>
  <c r="AA27" i="1"/>
  <c r="V27" i="1"/>
  <c r="U27" i="1"/>
  <c r="S27" i="1" a="1"/>
  <c r="S27" i="1"/>
  <c r="L27" i="1"/>
  <c r="CP26" i="1"/>
  <c r="CO26" i="1"/>
  <c r="CN26" i="1"/>
  <c r="CM26" i="1"/>
  <c r="CI26" i="1"/>
  <c r="BH26" i="1"/>
  <c r="M25" i="2" s="1"/>
  <c r="BF26" i="1"/>
  <c r="K25" i="2" s="1"/>
  <c r="AZ26" i="1"/>
  <c r="E25" i="2" s="1"/>
  <c r="AX26" i="1"/>
  <c r="C25" i="2" s="1"/>
  <c r="AW26" i="1"/>
  <c r="B25" i="2" s="1"/>
  <c r="AS26" i="1"/>
  <c r="AR26" i="1"/>
  <c r="A25" i="2" s="1"/>
  <c r="AF26" i="1"/>
  <c r="AE26" i="1"/>
  <c r="AD26" i="1"/>
  <c r="AC26" i="1"/>
  <c r="AA26" i="1"/>
  <c r="S26" i="1" a="1"/>
  <c r="S26" i="1"/>
  <c r="L26" i="1"/>
  <c r="BD26" i="1" s="1"/>
  <c r="I25" i="2" s="1"/>
  <c r="CP25" i="1"/>
  <c r="CO25" i="1"/>
  <c r="CN25" i="1"/>
  <c r="CM25" i="1"/>
  <c r="CI25" i="1"/>
  <c r="BV25" i="1"/>
  <c r="BE25" i="1" s="1"/>
  <c r="J24" i="2" s="1"/>
  <c r="BT25" i="1"/>
  <c r="BB25" i="1" s="1"/>
  <c r="G24" i="2" s="1"/>
  <c r="BS25" i="1"/>
  <c r="AY25" i="1" s="1"/>
  <c r="D24" i="2" s="1"/>
  <c r="BF25" i="1"/>
  <c r="K24" i="2" s="1"/>
  <c r="BD25" i="1"/>
  <c r="I24" i="2" s="1"/>
  <c r="BA25" i="1"/>
  <c r="F24" i="2" s="1"/>
  <c r="AX25" i="1"/>
  <c r="C24" i="2" s="1"/>
  <c r="AW25" i="1"/>
  <c r="B24" i="2" s="1"/>
  <c r="AS25" i="1"/>
  <c r="AR25" i="1"/>
  <c r="A24" i="2" s="1"/>
  <c r="AF25" i="1"/>
  <c r="BX25" i="1" s="1"/>
  <c r="BI25" i="1" s="1"/>
  <c r="N24" i="2" s="1"/>
  <c r="AE25" i="1"/>
  <c r="AD25" i="1"/>
  <c r="AB25" i="1"/>
  <c r="AA25" i="1"/>
  <c r="X25" i="1"/>
  <c r="CH25" i="1" s="1"/>
  <c r="W25" i="1"/>
  <c r="V25" i="1"/>
  <c r="U25" i="1"/>
  <c r="BR25" i="1" s="1"/>
  <c r="T25" i="1"/>
  <c r="BT25" i="1" s="1" a="1"/>
  <c r="S25" i="1" a="1"/>
  <c r="S25" i="1"/>
  <c r="BQ25" i="1" s="1"/>
  <c r="L25" i="1"/>
  <c r="BH25" i="1" s="1"/>
  <c r="M24" i="2" s="1"/>
  <c r="E25" i="1"/>
  <c r="CP24" i="1"/>
  <c r="CO24" i="1"/>
  <c r="CN24" i="1"/>
  <c r="CM24" i="1"/>
  <c r="CI24" i="1"/>
  <c r="BQ24" i="1"/>
  <c r="BH24" i="1"/>
  <c r="M23" i="2" s="1"/>
  <c r="BF24" i="1"/>
  <c r="K23" i="2" s="1"/>
  <c r="BD24" i="1"/>
  <c r="I23" i="2" s="1"/>
  <c r="AZ24" i="1"/>
  <c r="E23" i="2" s="1"/>
  <c r="AX24" i="1"/>
  <c r="C23" i="2" s="1"/>
  <c r="AS24" i="1"/>
  <c r="AR24" i="1"/>
  <c r="A23" i="2" s="1"/>
  <c r="AB24" i="1"/>
  <c r="AA24" i="1"/>
  <c r="Z24" i="1"/>
  <c r="X24" i="1"/>
  <c r="T24" i="1"/>
  <c r="S24" i="1" a="1"/>
  <c r="S24" i="1"/>
  <c r="L24" i="1"/>
  <c r="AW24" i="1" s="1"/>
  <c r="B23" i="2" s="1"/>
  <c r="E24" i="1"/>
  <c r="CP23" i="1"/>
  <c r="CO23" i="1"/>
  <c r="CN23" i="1"/>
  <c r="CM23" i="1"/>
  <c r="CI23" i="1"/>
  <c r="AZ23" i="1"/>
  <c r="E22" i="2" s="1"/>
  <c r="AS23" i="1"/>
  <c r="AR23" i="1"/>
  <c r="A22" i="2" s="1"/>
  <c r="AF23" i="1"/>
  <c r="AA23" i="1"/>
  <c r="Z23" i="1"/>
  <c r="Y23" i="1"/>
  <c r="CC23" i="1" s="1"/>
  <c r="CG23" i="1" s="1"/>
  <c r="X23" i="1"/>
  <c r="W23" i="1"/>
  <c r="S23" i="1" a="1"/>
  <c r="S23" i="1"/>
  <c r="BQ23" i="1" s="1"/>
  <c r="L23" i="1"/>
  <c r="E23" i="1"/>
  <c r="CP22" i="1"/>
  <c r="CO22" i="1"/>
  <c r="CN22" i="1"/>
  <c r="CM22" i="1"/>
  <c r="CK22" i="1"/>
  <c r="CI22" i="1"/>
  <c r="CH22" i="1"/>
  <c r="BT22" i="1" a="1"/>
  <c r="BT22" i="1" s="1"/>
  <c r="BB22" i="1" s="1"/>
  <c r="G21" i="2" s="1"/>
  <c r="BQ22" i="1"/>
  <c r="AS22" i="1"/>
  <c r="AR22" i="1"/>
  <c r="A21" i="2" s="1"/>
  <c r="AF22" i="1"/>
  <c r="AE22" i="1"/>
  <c r="AD22" i="1"/>
  <c r="AC22" i="1"/>
  <c r="AB22" i="1"/>
  <c r="Z22" i="1"/>
  <c r="Y22" i="1"/>
  <c r="CC22" i="1" s="1"/>
  <c r="CG22" i="1" s="1"/>
  <c r="X22" i="1"/>
  <c r="BU22" i="1" s="1"/>
  <c r="BC22" i="1" s="1"/>
  <c r="H21" i="2" s="1"/>
  <c r="W22" i="1"/>
  <c r="V22" i="1"/>
  <c r="BS22" i="1" s="1"/>
  <c r="AY22" i="1" s="1"/>
  <c r="D21" i="2" s="1"/>
  <c r="U22" i="1"/>
  <c r="T22" i="1"/>
  <c r="S22" i="1" a="1"/>
  <c r="AA22" i="1" s="1"/>
  <c r="S22" i="1"/>
  <c r="L22" i="1"/>
  <c r="E22" i="1"/>
  <c r="CP21" i="1"/>
  <c r="CO21" i="1"/>
  <c r="CN21" i="1"/>
  <c r="CM21" i="1"/>
  <c r="CI21" i="1"/>
  <c r="BQ21" i="1"/>
  <c r="BH21" i="1"/>
  <c r="M20" i="2" s="1"/>
  <c r="BF21" i="1"/>
  <c r="K20" i="2" s="1"/>
  <c r="AZ21" i="1"/>
  <c r="E20" i="2" s="1"/>
  <c r="AX21" i="1"/>
  <c r="C20" i="2" s="1"/>
  <c r="AW21" i="1"/>
  <c r="B20" i="2" s="1"/>
  <c r="AS21" i="1"/>
  <c r="AR21" i="1"/>
  <c r="A20" i="2" s="1"/>
  <c r="AE21" i="1"/>
  <c r="AD21" i="1"/>
  <c r="AC21" i="1"/>
  <c r="AA21" i="1"/>
  <c r="Z21" i="1"/>
  <c r="Y21" i="1"/>
  <c r="CC21" i="1" s="1"/>
  <c r="CG21" i="1" s="1"/>
  <c r="W21" i="1"/>
  <c r="CK21" i="1" s="1"/>
  <c r="BM21" i="1" s="1"/>
  <c r="BO21" i="1" s="1"/>
  <c r="V21" i="1"/>
  <c r="BS21" i="1" s="1"/>
  <c r="AY21" i="1" s="1"/>
  <c r="D20" i="2" s="1"/>
  <c r="U21" i="1"/>
  <c r="BR21" i="1" s="1"/>
  <c r="BA21" i="1" s="1"/>
  <c r="F20" i="2" s="1"/>
  <c r="T21" i="1"/>
  <c r="S21" i="1" a="1"/>
  <c r="S21" i="1"/>
  <c r="E21" i="1" s="1"/>
  <c r="L21" i="1"/>
  <c r="BD21" i="1" s="1"/>
  <c r="I20" i="2" s="1"/>
  <c r="CP20" i="1"/>
  <c r="CO20" i="1"/>
  <c r="CN20" i="1"/>
  <c r="CM20" i="1"/>
  <c r="CI20" i="1"/>
  <c r="BH20" i="1"/>
  <c r="M19" i="2" s="1"/>
  <c r="BF20" i="1"/>
  <c r="K19" i="2" s="1"/>
  <c r="AZ20" i="1"/>
  <c r="E19" i="2" s="1"/>
  <c r="AX20" i="1"/>
  <c r="C19" i="2" s="1"/>
  <c r="AW20" i="1"/>
  <c r="B19" i="2" s="1"/>
  <c r="AS20" i="1"/>
  <c r="AR20" i="1"/>
  <c r="A19" i="2" s="1"/>
  <c r="S20" i="1" a="1"/>
  <c r="AF20" i="1" s="1"/>
  <c r="L20" i="1"/>
  <c r="BD20" i="1" s="1"/>
  <c r="I19" i="2" s="1"/>
  <c r="CP19" i="1"/>
  <c r="CO19" i="1"/>
  <c r="CN19" i="1"/>
  <c r="CM19" i="1"/>
  <c r="CI19" i="1"/>
  <c r="BF19" i="1"/>
  <c r="K18" i="2" s="1"/>
  <c r="AX19" i="1"/>
  <c r="C18" i="2" s="1"/>
  <c r="AW19" i="1"/>
  <c r="B18" i="2" s="1"/>
  <c r="AS19" i="1"/>
  <c r="AR19" i="1"/>
  <c r="A18" i="2" s="1"/>
  <c r="AE19" i="1"/>
  <c r="AD19" i="1"/>
  <c r="AC19" i="1"/>
  <c r="AB19" i="1"/>
  <c r="V19" i="1"/>
  <c r="U19" i="1"/>
  <c r="T19" i="1"/>
  <c r="S19" i="1" a="1"/>
  <c r="L19" i="1"/>
  <c r="CP18" i="1"/>
  <c r="CO18" i="1"/>
  <c r="CN18" i="1"/>
  <c r="CM18" i="1"/>
  <c r="CI18" i="1"/>
  <c r="BD18" i="1"/>
  <c r="I17" i="2" s="1"/>
  <c r="AS18" i="1"/>
  <c r="AR18" i="1"/>
  <c r="A17" i="2" s="1"/>
  <c r="Z18" i="1"/>
  <c r="Y18" i="1"/>
  <c r="CC18" i="1" s="1"/>
  <c r="X18" i="1"/>
  <c r="S18" i="1" a="1"/>
  <c r="S18" i="1"/>
  <c r="L18" i="1"/>
  <c r="CP17" i="1"/>
  <c r="CO17" i="1"/>
  <c r="CN17" i="1"/>
  <c r="CM17" i="1"/>
  <c r="CI17" i="1"/>
  <c r="CC17" i="1"/>
  <c r="BS17" i="1"/>
  <c r="BR17" i="1"/>
  <c r="BA17" i="1" s="1"/>
  <c r="F16" i="2" s="1"/>
  <c r="BQ17" i="1"/>
  <c r="BI17" i="1"/>
  <c r="N16" i="2" s="1"/>
  <c r="BH17" i="1"/>
  <c r="M16" i="2" s="1"/>
  <c r="AZ17" i="1"/>
  <c r="E16" i="2" s="1"/>
  <c r="AY17" i="1"/>
  <c r="D16" i="2" s="1"/>
  <c r="AX17" i="1"/>
  <c r="C16" i="2" s="1"/>
  <c r="AS17" i="1"/>
  <c r="AR17" i="1"/>
  <c r="A16" i="2" s="1"/>
  <c r="AF17" i="1"/>
  <c r="BX17" i="1" s="1"/>
  <c r="AE17" i="1"/>
  <c r="AD17" i="1"/>
  <c r="AA17" i="1"/>
  <c r="Z17" i="1"/>
  <c r="Y17" i="1"/>
  <c r="X17" i="1"/>
  <c r="CH17" i="1" s="1"/>
  <c r="W17" i="1"/>
  <c r="V17" i="1"/>
  <c r="U17" i="1"/>
  <c r="S17" i="1" a="1"/>
  <c r="S17" i="1"/>
  <c r="L17" i="1"/>
  <c r="BF17" i="1" s="1"/>
  <c r="K16" i="2" s="1"/>
  <c r="E17" i="1"/>
  <c r="CP16" i="1"/>
  <c r="CO16" i="1"/>
  <c r="CN16" i="1"/>
  <c r="CM16" i="1"/>
  <c r="CI16" i="1"/>
  <c r="CC16" i="1"/>
  <c r="BF16" i="1"/>
  <c r="K15" i="2" s="1"/>
  <c r="AZ16" i="1"/>
  <c r="E15" i="2" s="1"/>
  <c r="AW16" i="1"/>
  <c r="B15" i="2" s="1"/>
  <c r="AS16" i="1"/>
  <c r="AR16" i="1"/>
  <c r="A15" i="2" s="1"/>
  <c r="AF16" i="1"/>
  <c r="AE16" i="1"/>
  <c r="AD16" i="1"/>
  <c r="Z16" i="1"/>
  <c r="Y16" i="1"/>
  <c r="X16" i="1"/>
  <c r="W16" i="1"/>
  <c r="CH16" i="1" s="1"/>
  <c r="V16" i="1"/>
  <c r="BS16" i="1" s="1"/>
  <c r="AY16" i="1" s="1"/>
  <c r="D15" i="2" s="1"/>
  <c r="S16" i="1" a="1"/>
  <c r="AC16" i="1" s="1"/>
  <c r="BW16" i="1" s="1"/>
  <c r="BG16" i="1" s="1"/>
  <c r="L15" i="2" s="1"/>
  <c r="S16" i="1"/>
  <c r="BQ16" i="1" s="1"/>
  <c r="L16" i="1"/>
  <c r="E16" i="1"/>
  <c r="CP15" i="1"/>
  <c r="CO15" i="1"/>
  <c r="CN15" i="1"/>
  <c r="CM15" i="1"/>
  <c r="CI15" i="1"/>
  <c r="BT15" i="1" a="1"/>
  <c r="BT15" i="1" s="1"/>
  <c r="BB15" i="1" s="1"/>
  <c r="G14" i="2" s="1"/>
  <c r="BF15" i="1"/>
  <c r="K14" i="2" s="1"/>
  <c r="BD15" i="1"/>
  <c r="I14" i="2" s="1"/>
  <c r="AX15" i="1"/>
  <c r="C14" i="2" s="1"/>
  <c r="AW15" i="1"/>
  <c r="B14" i="2" s="1"/>
  <c r="AS15" i="1"/>
  <c r="AR15" i="1"/>
  <c r="A14" i="2" s="1"/>
  <c r="AE15" i="1"/>
  <c r="AC15" i="1"/>
  <c r="AB15" i="1"/>
  <c r="AA15" i="1"/>
  <c r="CK15" i="1" s="1"/>
  <c r="X15" i="1"/>
  <c r="W15" i="1"/>
  <c r="BV15" i="1" s="1"/>
  <c r="BE15" i="1" s="1"/>
  <c r="J14" i="2" s="1"/>
  <c r="U15" i="1"/>
  <c r="T15" i="1"/>
  <c r="S15" i="1" a="1"/>
  <c r="L15" i="1"/>
  <c r="BH15" i="1" s="1"/>
  <c r="M14" i="2" s="1"/>
  <c r="CP14" i="1"/>
  <c r="CO14" i="1"/>
  <c r="CN14" i="1"/>
  <c r="CM14" i="1"/>
  <c r="CI14" i="1"/>
  <c r="AS14" i="1"/>
  <c r="AR14" i="1"/>
  <c r="A13" i="2" s="1"/>
  <c r="AB14" i="1"/>
  <c r="AA14" i="1"/>
  <c r="Y14" i="1"/>
  <c r="CC14" i="1" s="1"/>
  <c r="S14" i="1" a="1"/>
  <c r="Z14" i="1" s="1"/>
  <c r="S14" i="1"/>
  <c r="BQ14" i="1" s="1"/>
  <c r="L14" i="1"/>
  <c r="AZ14" i="1" s="1"/>
  <c r="E13" i="2" s="1"/>
  <c r="CP13" i="1"/>
  <c r="CO13" i="1"/>
  <c r="CN13" i="1"/>
  <c r="CM13" i="1"/>
  <c r="CI13" i="1"/>
  <c r="BQ13" i="1"/>
  <c r="BF13" i="1"/>
  <c r="K12" i="2" s="1"/>
  <c r="AS13" i="1"/>
  <c r="AR13" i="1"/>
  <c r="A12" i="2" s="1"/>
  <c r="AF13" i="1"/>
  <c r="AE13" i="1"/>
  <c r="AD13" i="1"/>
  <c r="AC13" i="1"/>
  <c r="BW13" i="1" s="1"/>
  <c r="BG13" i="1" s="1"/>
  <c r="L12" i="2" s="1"/>
  <c r="Z13" i="1"/>
  <c r="CL13" i="1" s="1"/>
  <c r="Y13" i="1"/>
  <c r="CC13" i="1" s="1"/>
  <c r="CG13" i="1" s="1"/>
  <c r="X13" i="1"/>
  <c r="W13" i="1"/>
  <c r="BR13" i="1" s="1"/>
  <c r="BA13" i="1" s="1"/>
  <c r="F12" i="2" s="1"/>
  <c r="V13" i="1"/>
  <c r="U13" i="1"/>
  <c r="S13" i="1" a="1"/>
  <c r="AB13" i="1" s="1"/>
  <c r="BV13" i="1" s="1"/>
  <c r="BE13" i="1" s="1"/>
  <c r="J12" i="2" s="1"/>
  <c r="S13" i="1"/>
  <c r="L13" i="1"/>
  <c r="AZ13" i="1" s="1"/>
  <c r="E12" i="2" s="1"/>
  <c r="E13" i="1"/>
  <c r="CP12" i="1"/>
  <c r="CO12" i="1"/>
  <c r="CN12" i="1"/>
  <c r="CM12" i="1"/>
  <c r="CI12" i="1"/>
  <c r="BF12" i="1"/>
  <c r="K11" i="2" s="1"/>
  <c r="BD12" i="1"/>
  <c r="I11" i="2" s="1"/>
  <c r="AX12" i="1"/>
  <c r="C11" i="2" s="1"/>
  <c r="AW12" i="1"/>
  <c r="B11" i="2" s="1"/>
  <c r="AS12" i="1"/>
  <c r="AR12" i="1"/>
  <c r="A11" i="2" s="1"/>
  <c r="AB12" i="1"/>
  <c r="Z12" i="1"/>
  <c r="T12" i="1"/>
  <c r="S12" i="1" a="1"/>
  <c r="AA12" i="1" s="1"/>
  <c r="S12" i="1"/>
  <c r="L12" i="1"/>
  <c r="BH12" i="1" s="1"/>
  <c r="M11" i="2" s="1"/>
  <c r="CP11" i="1"/>
  <c r="CO11" i="1"/>
  <c r="CN11" i="1"/>
  <c r="CM11" i="1"/>
  <c r="CI11" i="1"/>
  <c r="BQ11" i="1"/>
  <c r="AS11" i="1"/>
  <c r="AR11" i="1"/>
  <c r="A10" i="2" s="1"/>
  <c r="AB11" i="1"/>
  <c r="AA11" i="1"/>
  <c r="Y11" i="1"/>
  <c r="CC11" i="1" s="1"/>
  <c r="S11" i="1" a="1"/>
  <c r="Z11" i="1" s="1"/>
  <c r="S11" i="1"/>
  <c r="E11" i="1" s="1"/>
  <c r="L11" i="1"/>
  <c r="AZ11" i="1" s="1"/>
  <c r="E10" i="2" s="1"/>
  <c r="CP10" i="1"/>
  <c r="CO10" i="1"/>
  <c r="CN10" i="1"/>
  <c r="CM10" i="1"/>
  <c r="CL10" i="1"/>
  <c r="BN10" i="1" s="1"/>
  <c r="CK10" i="1"/>
  <c r="CI10" i="1"/>
  <c r="CH10" i="1"/>
  <c r="BU10" i="1"/>
  <c r="BC10" i="1" s="1"/>
  <c r="H9" i="2" s="1"/>
  <c r="BQ10" i="1"/>
  <c r="BH10" i="1"/>
  <c r="M9" i="2" s="1"/>
  <c r="BF10" i="1"/>
  <c r="K9" i="2" s="1"/>
  <c r="AZ10" i="1"/>
  <c r="E9" i="2" s="1"/>
  <c r="AX10" i="1"/>
  <c r="C9" i="2" s="1"/>
  <c r="AW10" i="1"/>
  <c r="B9" i="2" s="1"/>
  <c r="AS10" i="1"/>
  <c r="AR10" i="1"/>
  <c r="A9" i="2" s="1"/>
  <c r="AF10" i="1"/>
  <c r="BX10" i="1" s="1"/>
  <c r="BI10" i="1" s="1"/>
  <c r="N9" i="2" s="1"/>
  <c r="AE10" i="1"/>
  <c r="AD10" i="1"/>
  <c r="AC10" i="1"/>
  <c r="BW10" i="1" s="1"/>
  <c r="BG10" i="1" s="1"/>
  <c r="L9" i="2" s="1"/>
  <c r="AB10" i="1"/>
  <c r="BV10" i="1" s="1"/>
  <c r="BE10" i="1" s="1"/>
  <c r="J9" i="2" s="1"/>
  <c r="Z10" i="1"/>
  <c r="Y10" i="1"/>
  <c r="CC10" i="1" s="1"/>
  <c r="X10" i="1"/>
  <c r="W10" i="1"/>
  <c r="V10" i="1"/>
  <c r="BS10" i="1" s="1"/>
  <c r="AY10" i="1" s="1"/>
  <c r="D9" i="2" s="1"/>
  <c r="U10" i="1"/>
  <c r="BR10" i="1" s="1"/>
  <c r="BA10" i="1" s="1"/>
  <c r="F9" i="2" s="1"/>
  <c r="T10" i="1"/>
  <c r="BT10" i="1" s="1" a="1"/>
  <c r="BT10" i="1" s="1"/>
  <c r="BB10" i="1" s="1"/>
  <c r="G9" i="2" s="1"/>
  <c r="S10" i="1" a="1"/>
  <c r="AA10" i="1" s="1"/>
  <c r="S10" i="1"/>
  <c r="L10" i="1"/>
  <c r="BD10" i="1" s="1"/>
  <c r="I9" i="2" s="1"/>
  <c r="E10" i="1"/>
  <c r="CP9" i="1"/>
  <c r="CO9" i="1"/>
  <c r="CN9" i="1"/>
  <c r="CM9" i="1"/>
  <c r="CI9" i="1"/>
  <c r="BD9" i="1"/>
  <c r="I8" i="2" s="1"/>
  <c r="AZ9" i="1"/>
  <c r="E8" i="2" s="1"/>
  <c r="AW9" i="1"/>
  <c r="B8" i="2" s="1"/>
  <c r="AS9" i="1"/>
  <c r="AR9" i="1"/>
  <c r="A8" i="2" s="1"/>
  <c r="AD9" i="1"/>
  <c r="AB9" i="1"/>
  <c r="V9" i="1"/>
  <c r="U9" i="1"/>
  <c r="T9" i="1"/>
  <c r="S9" i="1" a="1"/>
  <c r="S9" i="1"/>
  <c r="E9" i="1" s="1"/>
  <c r="L9" i="1"/>
  <c r="CP8" i="1"/>
  <c r="CO8" i="1"/>
  <c r="CN8" i="1"/>
  <c r="CM8" i="1"/>
  <c r="CI8" i="1"/>
  <c r="AZ8" i="1"/>
  <c r="E7" i="2" s="1"/>
  <c r="AW8" i="1"/>
  <c r="B7" i="2" s="1"/>
  <c r="AS8" i="1"/>
  <c r="AR8" i="1"/>
  <c r="A7" i="2" s="1"/>
  <c r="AD8" i="1"/>
  <c r="Z8" i="1"/>
  <c r="S8" i="1" a="1"/>
  <c r="W8" i="1" s="1"/>
  <c r="S8" i="1"/>
  <c r="BQ8" i="1" s="1"/>
  <c r="L8" i="1"/>
  <c r="BD8" i="1" s="1"/>
  <c r="I7" i="2" s="1"/>
  <c r="E8" i="1"/>
  <c r="CP7" i="1"/>
  <c r="CO7" i="1"/>
  <c r="CN7" i="1"/>
  <c r="CM7" i="1"/>
  <c r="CI7" i="1"/>
  <c r="BF7" i="1"/>
  <c r="K6" i="2" s="1"/>
  <c r="BD7" i="1"/>
  <c r="I6" i="2" s="1"/>
  <c r="AX7" i="1"/>
  <c r="C6" i="2" s="1"/>
  <c r="AW7" i="1"/>
  <c r="B6" i="2" s="1"/>
  <c r="AS7" i="1"/>
  <c r="AR7" i="1"/>
  <c r="A6" i="2" s="1"/>
  <c r="S7" i="1" a="1"/>
  <c r="L7" i="1"/>
  <c r="BH7" i="1" s="1"/>
  <c r="M6" i="2" s="1"/>
  <c r="CP6" i="1"/>
  <c r="CO6" i="1"/>
  <c r="CN6" i="1"/>
  <c r="CM6" i="1"/>
  <c r="CI6" i="1"/>
  <c r="AS6" i="1"/>
  <c r="AR6" i="1"/>
  <c r="A5" i="2" s="1"/>
  <c r="AA6" i="1"/>
  <c r="S6" i="1" a="1"/>
  <c r="AB6" i="1" s="1"/>
  <c r="L6" i="1"/>
  <c r="CP5" i="1"/>
  <c r="CO5" i="1"/>
  <c r="CN5" i="1"/>
  <c r="CM5" i="1"/>
  <c r="CL5" i="1"/>
  <c r="BK5" i="1" s="1"/>
  <c r="CI5" i="1"/>
  <c r="BU5" i="1"/>
  <c r="BC5" i="1" s="1"/>
  <c r="H4" i="2" s="1"/>
  <c r="BQ5" i="1"/>
  <c r="BH5" i="1"/>
  <c r="M4" i="2" s="1"/>
  <c r="BF5" i="1"/>
  <c r="K4" i="2" s="1"/>
  <c r="AZ5" i="1"/>
  <c r="E4" i="2" s="1"/>
  <c r="AX5" i="1"/>
  <c r="C4" i="2" s="1"/>
  <c r="AS5" i="1"/>
  <c r="AR5" i="1"/>
  <c r="A4" i="2" s="1"/>
  <c r="AF5" i="1"/>
  <c r="BX5" i="1" s="1"/>
  <c r="BI5" i="1" s="1"/>
  <c r="N4" i="2" s="1"/>
  <c r="AE5" i="1"/>
  <c r="AD5" i="1"/>
  <c r="AC5" i="1"/>
  <c r="BW5" i="1" s="1"/>
  <c r="BG5" i="1" s="1"/>
  <c r="L4" i="2" s="1"/>
  <c r="Z5" i="1"/>
  <c r="Y5" i="1"/>
  <c r="CC5" i="1" s="1"/>
  <c r="CG5" i="1" s="1"/>
  <c r="X5" i="1"/>
  <c r="W5" i="1"/>
  <c r="V5" i="1"/>
  <c r="U5" i="1"/>
  <c r="BR5" i="1" s="1"/>
  <c r="BA5" i="1" s="1"/>
  <c r="F4" i="2" s="1"/>
  <c r="S5" i="1" a="1"/>
  <c r="AB5" i="1" s="1"/>
  <c r="BV5" i="1" s="1"/>
  <c r="BE5" i="1" s="1"/>
  <c r="J4" i="2" s="1"/>
  <c r="S5" i="1"/>
  <c r="L5" i="1"/>
  <c r="BD5" i="1" s="1"/>
  <c r="I4" i="2" s="1"/>
  <c r="E5" i="1"/>
  <c r="CP4" i="1"/>
  <c r="CO4" i="1"/>
  <c r="CN4" i="1"/>
  <c r="CM4" i="1"/>
  <c r="CI4" i="1"/>
  <c r="BF4" i="1"/>
  <c r="K3" i="2" s="1"/>
  <c r="BD4" i="1"/>
  <c r="I3" i="2" s="1"/>
  <c r="AX4" i="1"/>
  <c r="C3" i="2" s="1"/>
  <c r="AW4" i="1"/>
  <c r="B3" i="2" s="1"/>
  <c r="AS4" i="1"/>
  <c r="AR4" i="1"/>
  <c r="A3" i="2" s="1"/>
  <c r="AE4" i="1"/>
  <c r="AD4" i="1"/>
  <c r="AB4" i="1"/>
  <c r="U4" i="1"/>
  <c r="T4" i="1"/>
  <c r="S4" i="1" a="1"/>
  <c r="S4" i="1"/>
  <c r="L4" i="1"/>
  <c r="BH4" i="1" s="1"/>
  <c r="M3" i="2" s="1"/>
  <c r="BT9" i="1" l="1" a="1"/>
  <c r="BT9" i="1" s="1"/>
  <c r="BB9" i="1" s="1"/>
  <c r="G8" i="2" s="1"/>
  <c r="BK13" i="1"/>
  <c r="BN13" i="1"/>
  <c r="CL14" i="1"/>
  <c r="CG14" i="1"/>
  <c r="BS9" i="1"/>
  <c r="AY9" i="1" s="1"/>
  <c r="D8" i="2" s="1"/>
  <c r="CL11" i="1"/>
  <c r="BT4" i="1" a="1"/>
  <c r="BT4" i="1" s="1"/>
  <c r="BB4" i="1" s="1"/>
  <c r="G3" i="2" s="1"/>
  <c r="CG11" i="1"/>
  <c r="BV4" i="1"/>
  <c r="BE4" i="1" s="1"/>
  <c r="J3" i="2" s="1"/>
  <c r="BF6" i="1"/>
  <c r="K5" i="2" s="1"/>
  <c r="AX6" i="1"/>
  <c r="C5" i="2" s="1"/>
  <c r="AW6" i="1"/>
  <c r="B5" i="2" s="1"/>
  <c r="BH6" i="1"/>
  <c r="M5" i="2" s="1"/>
  <c r="Z7" i="1"/>
  <c r="S7" i="1"/>
  <c r="Y7" i="1"/>
  <c r="CC7" i="1" s="1"/>
  <c r="AC7" i="1"/>
  <c r="BF11" i="1"/>
  <c r="K10" i="2" s="1"/>
  <c r="AE20" i="1"/>
  <c r="BT21" i="1" a="1"/>
  <c r="BT21" i="1" s="1"/>
  <c r="BB21" i="1" s="1"/>
  <c r="G20" i="2" s="1"/>
  <c r="AC29" i="1"/>
  <c r="BW29" i="1" s="1"/>
  <c r="BG29" i="1" s="1"/>
  <c r="L28" i="2" s="1"/>
  <c r="U29" i="1"/>
  <c r="X29" i="1"/>
  <c r="Z29" i="1"/>
  <c r="CL29" i="1" s="1"/>
  <c r="Y29" i="1"/>
  <c r="CC29" i="1" s="1"/>
  <c r="CG29" i="1" s="1"/>
  <c r="W29" i="1"/>
  <c r="AE29" i="1"/>
  <c r="AD29" i="1"/>
  <c r="BU33" i="1"/>
  <c r="BC33" i="1" s="1"/>
  <c r="H32" i="2" s="1"/>
  <c r="CH33" i="1"/>
  <c r="AD49" i="1"/>
  <c r="V49" i="1"/>
  <c r="AA49" i="1"/>
  <c r="S49" i="1"/>
  <c r="Z49" i="1"/>
  <c r="AC49" i="1"/>
  <c r="BW49" i="1" s="1"/>
  <c r="BG49" i="1" s="1"/>
  <c r="L48" i="2" s="1"/>
  <c r="AB49" i="1"/>
  <c r="Y49" i="1"/>
  <c r="CC49" i="1" s="1"/>
  <c r="X49" i="1"/>
  <c r="W49" i="1"/>
  <c r="AF49" i="1"/>
  <c r="AE49" i="1"/>
  <c r="U49" i="1"/>
  <c r="T49" i="1"/>
  <c r="BT49" i="1" s="1" a="1"/>
  <c r="BT49" i="1" s="1"/>
  <c r="BB49" i="1" s="1"/>
  <c r="G48" i="2" s="1"/>
  <c r="BD13" i="1"/>
  <c r="I12" i="2" s="1"/>
  <c r="BX13" i="1"/>
  <c r="BI13" i="1" s="1"/>
  <c r="N12" i="2" s="1"/>
  <c r="BX16" i="1"/>
  <c r="BI16" i="1" s="1"/>
  <c r="N15" i="2" s="1"/>
  <c r="BQ18" i="1"/>
  <c r="E18" i="1"/>
  <c r="Y4" i="1"/>
  <c r="CC4" i="1" s="1"/>
  <c r="CG4" i="1" s="1"/>
  <c r="AF4" i="1"/>
  <c r="X4" i="1"/>
  <c r="AC4" i="1"/>
  <c r="BW4" i="1" s="1"/>
  <c r="BG4" i="1" s="1"/>
  <c r="L3" i="2" s="1"/>
  <c r="AW5" i="1"/>
  <c r="B4" i="2" s="1"/>
  <c r="S6" i="1"/>
  <c r="T7" i="1"/>
  <c r="AD7" i="1"/>
  <c r="AA8" i="1"/>
  <c r="AX8" i="1"/>
  <c r="C7" i="2" s="1"/>
  <c r="BH8" i="1"/>
  <c r="M7" i="2" s="1"/>
  <c r="AF9" i="1"/>
  <c r="BX9" i="1" s="1"/>
  <c r="BI9" i="1" s="1"/>
  <c r="N8" i="2" s="1"/>
  <c r="X9" i="1"/>
  <c r="AE9" i="1"/>
  <c r="W9" i="1"/>
  <c r="BR9" i="1" s="1"/>
  <c r="BA9" i="1" s="1"/>
  <c r="F8" i="2" s="1"/>
  <c r="AC9" i="1"/>
  <c r="BW9" i="1" s="1"/>
  <c r="BG9" i="1" s="1"/>
  <c r="L8" i="2" s="1"/>
  <c r="CH13" i="1"/>
  <c r="CR13" i="1" s="1"/>
  <c r="E14" i="1"/>
  <c r="BH14" i="1"/>
  <c r="M13" i="2" s="1"/>
  <c r="BR15" i="1"/>
  <c r="BA15" i="1" s="1"/>
  <c r="F14" i="2" s="1"/>
  <c r="CG16" i="1"/>
  <c r="AE18" i="1"/>
  <c r="W18" i="1"/>
  <c r="CL18" i="1" s="1"/>
  <c r="AF18" i="1"/>
  <c r="BX18" i="1" s="1"/>
  <c r="BI18" i="1" s="1"/>
  <c r="N17" i="2" s="1"/>
  <c r="V18" i="1"/>
  <c r="BS18" i="1" s="1"/>
  <c r="AY18" i="1" s="1"/>
  <c r="D17" i="2" s="1"/>
  <c r="AD18" i="1"/>
  <c r="U18" i="1"/>
  <c r="BR18" i="1" s="1"/>
  <c r="BA18" i="1" s="1"/>
  <c r="F17" i="2" s="1"/>
  <c r="AC18" i="1"/>
  <c r="BW18" i="1" s="1"/>
  <c r="BG18" i="1" s="1"/>
  <c r="L17" i="2" s="1"/>
  <c r="T18" i="1"/>
  <c r="BT18" i="1" s="1" a="1"/>
  <c r="BT18" i="1" s="1"/>
  <c r="BB18" i="1" s="1"/>
  <c r="G17" i="2" s="1"/>
  <c r="AB18" i="1"/>
  <c r="S20" i="1"/>
  <c r="BV22" i="1"/>
  <c r="BE22" i="1" s="1"/>
  <c r="J21" i="2" s="1"/>
  <c r="BW22" i="1"/>
  <c r="BG22" i="1" s="1"/>
  <c r="L21" i="2" s="1"/>
  <c r="BX22" i="1"/>
  <c r="BI22" i="1" s="1"/>
  <c r="N21" i="2" s="1"/>
  <c r="BU24" i="1"/>
  <c r="BC24" i="1" s="1"/>
  <c r="H23" i="2" s="1"/>
  <c r="T29" i="1"/>
  <c r="BT29" i="1" s="1" a="1"/>
  <c r="BT29" i="1" s="1"/>
  <c r="BB29" i="1" s="1"/>
  <c r="G28" i="2" s="1"/>
  <c r="BX31" i="1"/>
  <c r="BI31" i="1" s="1"/>
  <c r="N30" i="2" s="1"/>
  <c r="AX33" i="1"/>
  <c r="C32" i="2" s="1"/>
  <c r="AW33" i="1"/>
  <c r="B32" i="2" s="1"/>
  <c r="BT33" i="1" a="1"/>
  <c r="BT33" i="1" s="1"/>
  <c r="BB33" i="1" s="1"/>
  <c r="G32" i="2" s="1"/>
  <c r="BH33" i="1"/>
  <c r="M32" i="2" s="1"/>
  <c r="BR33" i="1"/>
  <c r="BA33" i="1" s="1"/>
  <c r="F32" i="2" s="1"/>
  <c r="AZ33" i="1"/>
  <c r="E32" i="2" s="1"/>
  <c r="BX33" i="1"/>
  <c r="BI33" i="1" s="1"/>
  <c r="N32" i="2" s="1"/>
  <c r="BD33" i="1"/>
  <c r="I32" i="2" s="1"/>
  <c r="BJ33" i="1"/>
  <c r="BL33" i="1" s="1"/>
  <c r="P32" i="2" s="1"/>
  <c r="CR33" i="1"/>
  <c r="BK33" i="1"/>
  <c r="O4" i="2"/>
  <c r="AC20" i="1"/>
  <c r="U20" i="1"/>
  <c r="Z20" i="1"/>
  <c r="Y20" i="1"/>
  <c r="CC20" i="1" s="1"/>
  <c r="X20" i="1"/>
  <c r="AB20" i="1"/>
  <c r="V29" i="1"/>
  <c r="BS29" i="1" s="1"/>
  <c r="AY29" i="1" s="1"/>
  <c r="D28" i="2" s="1"/>
  <c r="BN40" i="1"/>
  <c r="BQ4" i="1"/>
  <c r="E4" i="1"/>
  <c r="AE6" i="1"/>
  <c r="W6" i="1"/>
  <c r="BV6" i="1" s="1"/>
  <c r="BE6" i="1" s="1"/>
  <c r="J5" i="2" s="1"/>
  <c r="AD6" i="1"/>
  <c r="V6" i="1"/>
  <c r="AC6" i="1"/>
  <c r="AZ6" i="1"/>
  <c r="E5" i="2" s="1"/>
  <c r="U7" i="1"/>
  <c r="CH18" i="1"/>
  <c r="Y12" i="1"/>
  <c r="CC12" i="1" s="1"/>
  <c r="AF12" i="1"/>
  <c r="X12" i="1"/>
  <c r="AW13" i="1"/>
  <c r="B12" i="2" s="1"/>
  <c r="BV14" i="1"/>
  <c r="BE14" i="1" s="1"/>
  <c r="J13" i="2" s="1"/>
  <c r="CH15" i="1"/>
  <c r="BU15" i="1"/>
  <c r="BC15" i="1" s="1"/>
  <c r="H14" i="2" s="1"/>
  <c r="BU16" i="1"/>
  <c r="BC16" i="1" s="1"/>
  <c r="H15" i="2" s="1"/>
  <c r="T20" i="1"/>
  <c r="BF22" i="1"/>
  <c r="K21" i="2" s="1"/>
  <c r="AW22" i="1"/>
  <c r="B21" i="2" s="1"/>
  <c r="BD22" i="1"/>
  <c r="I21" i="2" s="1"/>
  <c r="BH22" i="1"/>
  <c r="M21" i="2" s="1"/>
  <c r="CK24" i="1"/>
  <c r="BV27" i="1"/>
  <c r="BE27" i="1" s="1"/>
  <c r="J26" i="2" s="1"/>
  <c r="AE7" i="1"/>
  <c r="AC12" i="1"/>
  <c r="CG18" i="1"/>
  <c r="V4" i="1"/>
  <c r="BS4" i="1" s="1"/>
  <c r="AY4" i="1" s="1"/>
  <c r="D3" i="2" s="1"/>
  <c r="U6" i="1"/>
  <c r="AF8" i="1"/>
  <c r="BX8" i="1" s="1"/>
  <c r="BI8" i="1" s="1"/>
  <c r="N7" i="2" s="1"/>
  <c r="BK10" i="1"/>
  <c r="AD11" i="1"/>
  <c r="V11" i="1"/>
  <c r="AC11" i="1"/>
  <c r="BW11" i="1" s="1"/>
  <c r="BG11" i="1" s="1"/>
  <c r="L10" i="2" s="1"/>
  <c r="U11" i="1"/>
  <c r="BR11" i="1" s="1"/>
  <c r="BA11" i="1" s="1"/>
  <c r="F10" i="2" s="1"/>
  <c r="AE11" i="1"/>
  <c r="AD12" i="1"/>
  <c r="AX22" i="1"/>
  <c r="C21" i="2" s="1"/>
  <c r="BM22" i="1"/>
  <c r="BO22" i="1" s="1"/>
  <c r="AW23" i="1"/>
  <c r="B22" i="2" s="1"/>
  <c r="BH23" i="1"/>
  <c r="M22" i="2" s="1"/>
  <c r="AX23" i="1"/>
  <c r="C22" i="2" s="1"/>
  <c r="BF23" i="1"/>
  <c r="K22" i="2" s="1"/>
  <c r="BX23" i="1"/>
  <c r="BI23" i="1" s="1"/>
  <c r="N22" i="2" s="1"/>
  <c r="BD23" i="1"/>
  <c r="I22" i="2" s="1"/>
  <c r="BV24" i="1"/>
  <c r="BE24" i="1" s="1"/>
  <c r="J23" i="2" s="1"/>
  <c r="AW11" i="1"/>
  <c r="B10" i="2" s="1"/>
  <c r="BD11" i="1"/>
  <c r="I10" i="2" s="1"/>
  <c r="AX11" i="1"/>
  <c r="C10" i="2" s="1"/>
  <c r="BH11" i="1"/>
  <c r="M10" i="2" s="1"/>
  <c r="BQ12" i="1"/>
  <c r="E12" i="1"/>
  <c r="BF14" i="1"/>
  <c r="K13" i="2" s="1"/>
  <c r="AX14" i="1"/>
  <c r="C13" i="2" s="1"/>
  <c r="AW14" i="1"/>
  <c r="B13" i="2" s="1"/>
  <c r="AX13" i="1"/>
  <c r="C12" i="2" s="1"/>
  <c r="BH13" i="1"/>
  <c r="M12" i="2" s="1"/>
  <c r="AE14" i="1"/>
  <c r="W14" i="1"/>
  <c r="AD14" i="1"/>
  <c r="V14" i="1"/>
  <c r="BS14" i="1" s="1"/>
  <c r="AY14" i="1" s="1"/>
  <c r="D13" i="2" s="1"/>
  <c r="AC14" i="1"/>
  <c r="BW14" i="1" s="1"/>
  <c r="BG14" i="1" s="1"/>
  <c r="L13" i="2" s="1"/>
  <c r="BW19" i="1"/>
  <c r="BG19" i="1" s="1"/>
  <c r="L18" i="2" s="1"/>
  <c r="BU13" i="1"/>
  <c r="BC13" i="1" s="1"/>
  <c r="H12" i="2" s="1"/>
  <c r="CL16" i="1"/>
  <c r="T6" i="1"/>
  <c r="AF6" i="1"/>
  <c r="V7" i="1"/>
  <c r="BS7" i="1" s="1"/>
  <c r="AY7" i="1" s="1"/>
  <c r="D6" i="2" s="1"/>
  <c r="AF7" i="1"/>
  <c r="AC8" i="1"/>
  <c r="BW8" i="1" s="1"/>
  <c r="BG8" i="1" s="1"/>
  <c r="L7" i="2" s="1"/>
  <c r="U8" i="1"/>
  <c r="BR8" i="1" s="1"/>
  <c r="BA8" i="1" s="1"/>
  <c r="F7" i="2" s="1"/>
  <c r="AB8" i="1"/>
  <c r="BV8" i="1" s="1"/>
  <c r="BE8" i="1" s="1"/>
  <c r="J7" i="2" s="1"/>
  <c r="T8" i="1"/>
  <c r="BT8" i="1" s="1" a="1"/>
  <c r="BT8" i="1" s="1"/>
  <c r="BB8" i="1" s="1"/>
  <c r="G7" i="2" s="1"/>
  <c r="AE8" i="1"/>
  <c r="V20" i="1"/>
  <c r="BU25" i="1"/>
  <c r="BC25" i="1" s="1"/>
  <c r="H24" i="2" s="1"/>
  <c r="BS5" i="1"/>
  <c r="AY5" i="1" s="1"/>
  <c r="D4" i="2" s="1"/>
  <c r="X6" i="1"/>
  <c r="Y9" i="1"/>
  <c r="CC9" i="1" s="1"/>
  <c r="CG9" i="1" s="1"/>
  <c r="BQ9" i="1"/>
  <c r="T11" i="1"/>
  <c r="BT11" i="1" s="1" a="1"/>
  <c r="BT11" i="1" s="1"/>
  <c r="BB11" i="1" s="1"/>
  <c r="G10" i="2" s="1"/>
  <c r="AF11" i="1"/>
  <c r="BX11" i="1" s="1"/>
  <c r="BI11" i="1" s="1"/>
  <c r="N10" i="2" s="1"/>
  <c r="U12" i="1"/>
  <c r="BR12" i="1" s="1"/>
  <c r="BA12" i="1" s="1"/>
  <c r="F11" i="2" s="1"/>
  <c r="AE12" i="1"/>
  <c r="T14" i="1"/>
  <c r="BT14" i="1" s="1" a="1"/>
  <c r="BT14" i="1" s="1"/>
  <c r="BB14" i="1" s="1"/>
  <c r="G13" i="2" s="1"/>
  <c r="AF14" i="1"/>
  <c r="BX14" i="1" s="1"/>
  <c r="BI14" i="1" s="1"/>
  <c r="N13" i="2" s="1"/>
  <c r="CL22" i="1"/>
  <c r="BJ22" i="1" s="1"/>
  <c r="BL22" i="1" s="1"/>
  <c r="P21" i="2" s="1"/>
  <c r="BQ26" i="1"/>
  <c r="E26" i="1"/>
  <c r="AF29" i="1"/>
  <c r="BX29" i="1" s="1"/>
  <c r="BI29" i="1" s="1"/>
  <c r="N28" i="2" s="1"/>
  <c r="AZ44" i="1"/>
  <c r="E43" i="2" s="1"/>
  <c r="BH44" i="1"/>
  <c r="M43" i="2" s="1"/>
  <c r="AX44" i="1"/>
  <c r="C43" i="2" s="1"/>
  <c r="BF44" i="1"/>
  <c r="K43" i="2" s="1"/>
  <c r="AW44" i="1"/>
  <c r="B43" i="2" s="1"/>
  <c r="BN5" i="1"/>
  <c r="AA7" i="1"/>
  <c r="CK7" i="1" s="1"/>
  <c r="X8" i="1"/>
  <c r="Z9" i="1"/>
  <c r="CL9" i="1" s="1"/>
  <c r="W11" i="1"/>
  <c r="BV11" i="1" s="1"/>
  <c r="BE11" i="1" s="1"/>
  <c r="J10" i="2" s="1"/>
  <c r="V12" i="1"/>
  <c r="U14" i="1"/>
  <c r="BR14" i="1" s="1"/>
  <c r="BA14" i="1" s="1"/>
  <c r="F13" i="2" s="1"/>
  <c r="BW15" i="1"/>
  <c r="BG15" i="1" s="1"/>
  <c r="L14" i="2" s="1"/>
  <c r="BH16" i="1"/>
  <c r="M15" i="2" s="1"/>
  <c r="BD16" i="1"/>
  <c r="I15" i="2" s="1"/>
  <c r="AX16" i="1"/>
  <c r="C15" i="2" s="1"/>
  <c r="BU17" i="1"/>
  <c r="BC17" i="1" s="1"/>
  <c r="H16" i="2" s="1"/>
  <c r="AZ19" i="1"/>
  <c r="E18" i="2" s="1"/>
  <c r="BH19" i="1"/>
  <c r="M18" i="2" s="1"/>
  <c r="BD19" i="1"/>
  <c r="I18" i="2" s="1"/>
  <c r="AA20" i="1"/>
  <c r="CK20" i="1" s="1"/>
  <c r="BW21" i="1"/>
  <c r="BG21" i="1" s="1"/>
  <c r="L20" i="2" s="1"/>
  <c r="AZ22" i="1"/>
  <c r="E21" i="2" s="1"/>
  <c r="BR22" i="1"/>
  <c r="BA22" i="1" s="1"/>
  <c r="F21" i="2" s="1"/>
  <c r="AB26" i="1"/>
  <c r="T26" i="1"/>
  <c r="Z26" i="1"/>
  <c r="Y26" i="1"/>
  <c r="CC26" i="1" s="1"/>
  <c r="CG26" i="1" s="1"/>
  <c r="X26" i="1"/>
  <c r="W26" i="1"/>
  <c r="BX26" i="1" s="1"/>
  <c r="BI26" i="1" s="1"/>
  <c r="N25" i="2" s="1"/>
  <c r="U26" i="1"/>
  <c r="BQ27" i="1"/>
  <c r="E27" i="1"/>
  <c r="Z30" i="1"/>
  <c r="S30" i="1"/>
  <c r="AA30" i="1"/>
  <c r="AB30" i="1"/>
  <c r="BV30" i="1" s="1"/>
  <c r="BE30" i="1" s="1"/>
  <c r="J29" i="2" s="1"/>
  <c r="W30" i="1"/>
  <c r="BW30" i="1" s="1"/>
  <c r="BG30" i="1" s="1"/>
  <c r="L29" i="2" s="1"/>
  <c r="V30" i="1"/>
  <c r="AF30" i="1"/>
  <c r="U30" i="1"/>
  <c r="X30" i="1"/>
  <c r="T30" i="1"/>
  <c r="BT30" i="1" s="1" a="1"/>
  <c r="BT30" i="1" s="1"/>
  <c r="BB30" i="1" s="1"/>
  <c r="G29" i="2" s="1"/>
  <c r="CG31" i="1"/>
  <c r="E34" i="1"/>
  <c r="BW34" i="1"/>
  <c r="BG34" i="1" s="1"/>
  <c r="L33" i="2" s="1"/>
  <c r="W7" i="1"/>
  <c r="V8" i="1"/>
  <c r="BS8" i="1" s="1"/>
  <c r="AY8" i="1" s="1"/>
  <c r="D7" i="2" s="1"/>
  <c r="AB29" i="1"/>
  <c r="BV29" i="1" s="1"/>
  <c r="BE29" i="1" s="1"/>
  <c r="J28" i="2" s="1"/>
  <c r="E32" i="1"/>
  <c r="BQ32" i="1"/>
  <c r="W4" i="1"/>
  <c r="BR4" i="1" s="1"/>
  <c r="BA4" i="1" s="1"/>
  <c r="F3" i="2" s="1"/>
  <c r="X7" i="1"/>
  <c r="AA18" i="1"/>
  <c r="CK18" i="1" s="1"/>
  <c r="BM18" i="1" s="1"/>
  <c r="BO18" i="1" s="1"/>
  <c r="W20" i="1"/>
  <c r="BX20" i="1" s="1"/>
  <c r="BI20" i="1" s="1"/>
  <c r="N19" i="2" s="1"/>
  <c r="CH31" i="1"/>
  <c r="BU31" i="1"/>
  <c r="BC31" i="1" s="1"/>
  <c r="H30" i="2" s="1"/>
  <c r="O39" i="2"/>
  <c r="Z4" i="1"/>
  <c r="CL4" i="1" s="1"/>
  <c r="Y6" i="1"/>
  <c r="CC6" i="1" s="1"/>
  <c r="BD6" i="1"/>
  <c r="I5" i="2" s="1"/>
  <c r="AA4" i="1"/>
  <c r="CK4" i="1" s="1"/>
  <c r="BM4" i="1" s="1"/>
  <c r="BO4" i="1" s="1"/>
  <c r="CH5" i="1"/>
  <c r="CR5" i="1" s="1"/>
  <c r="Z6" i="1"/>
  <c r="AB7" i="1"/>
  <c r="Y8" i="1"/>
  <c r="CC8" i="1" s="1"/>
  <c r="CG8" i="1" s="1"/>
  <c r="BF8" i="1"/>
  <c r="K7" i="2" s="1"/>
  <c r="BF9" i="1"/>
  <c r="K8" i="2" s="1"/>
  <c r="AX9" i="1"/>
  <c r="C8" i="2" s="1"/>
  <c r="AA9" i="1"/>
  <c r="CK9" i="1" s="1"/>
  <c r="BM9" i="1" s="1"/>
  <c r="BO9" i="1" s="1"/>
  <c r="BH9" i="1"/>
  <c r="M8" i="2" s="1"/>
  <c r="CG10" i="1"/>
  <c r="X11" i="1"/>
  <c r="W12" i="1"/>
  <c r="BT12" i="1" s="1" a="1"/>
  <c r="BT12" i="1" s="1"/>
  <c r="BB12" i="1" s="1"/>
  <c r="G11" i="2" s="1"/>
  <c r="BS13" i="1"/>
  <c r="AY13" i="1" s="1"/>
  <c r="D12" i="2" s="1"/>
  <c r="X14" i="1"/>
  <c r="BD14" i="1"/>
  <c r="I13" i="2" s="1"/>
  <c r="Z15" i="1"/>
  <c r="CL15" i="1" s="1"/>
  <c r="S15" i="1"/>
  <c r="Y15" i="1"/>
  <c r="CC15" i="1" s="1"/>
  <c r="CG15" i="1" s="1"/>
  <c r="AF15" i="1"/>
  <c r="BX15" i="1" s="1"/>
  <c r="BI15" i="1" s="1"/>
  <c r="N14" i="2" s="1"/>
  <c r="V15" i="1"/>
  <c r="BS15" i="1" s="1"/>
  <c r="AY15" i="1" s="1"/>
  <c r="D14" i="2" s="1"/>
  <c r="AD15" i="1"/>
  <c r="CG17" i="1"/>
  <c r="BF18" i="1"/>
  <c r="K17" i="2" s="1"/>
  <c r="AX18" i="1"/>
  <c r="C17" i="2" s="1"/>
  <c r="AZ18" i="1"/>
  <c r="E17" i="2" s="1"/>
  <c r="BH18" i="1"/>
  <c r="M17" i="2" s="1"/>
  <c r="AW18" i="1"/>
  <c r="B17" i="2" s="1"/>
  <c r="Z19" i="1"/>
  <c r="CL19" i="1" s="1"/>
  <c r="S19" i="1"/>
  <c r="Y19" i="1"/>
  <c r="CC19" i="1" s="1"/>
  <c r="X19" i="1"/>
  <c r="AF19" i="1"/>
  <c r="BX19" i="1" s="1"/>
  <c r="BI19" i="1" s="1"/>
  <c r="N18" i="2" s="1"/>
  <c r="W19" i="1"/>
  <c r="BS19" i="1" s="1"/>
  <c r="AY19" i="1" s="1"/>
  <c r="D18" i="2" s="1"/>
  <c r="AA19" i="1"/>
  <c r="AD20" i="1"/>
  <c r="Y24" i="1"/>
  <c r="CC24" i="1" s="1"/>
  <c r="CG24" i="1" s="1"/>
  <c r="AF24" i="1"/>
  <c r="BX24" i="1" s="1"/>
  <c r="BI24" i="1" s="1"/>
  <c r="N23" i="2" s="1"/>
  <c r="W24" i="1"/>
  <c r="BT24" i="1" s="1" a="1"/>
  <c r="BT24" i="1" s="1"/>
  <c r="BB24" i="1" s="1"/>
  <c r="G23" i="2" s="1"/>
  <c r="AE24" i="1"/>
  <c r="V24" i="1"/>
  <c r="BS24" i="1" s="1"/>
  <c r="AY24" i="1" s="1"/>
  <c r="D23" i="2" s="1"/>
  <c r="AD24" i="1"/>
  <c r="U24" i="1"/>
  <c r="AC24" i="1"/>
  <c r="V26" i="1"/>
  <c r="AE27" i="1"/>
  <c r="W27" i="1"/>
  <c r="BS27" i="1" s="1"/>
  <c r="AY27" i="1" s="1"/>
  <c r="D26" i="2" s="1"/>
  <c r="AC27" i="1"/>
  <c r="BW27" i="1" s="1"/>
  <c r="BG27" i="1" s="1"/>
  <c r="L26" i="2" s="1"/>
  <c r="T27" i="1"/>
  <c r="BT27" i="1" s="1" a="1"/>
  <c r="BT27" i="1" s="1"/>
  <c r="BB27" i="1" s="1"/>
  <c r="G26" i="2" s="1"/>
  <c r="Z27" i="1"/>
  <c r="CL27" i="1" s="1"/>
  <c r="Y27" i="1"/>
  <c r="CC27" i="1" s="1"/>
  <c r="X27" i="1"/>
  <c r="AF27" i="1"/>
  <c r="BX27" i="1" s="1"/>
  <c r="BI27" i="1" s="1"/>
  <c r="N26" i="2" s="1"/>
  <c r="S29" i="1"/>
  <c r="Y30" i="1"/>
  <c r="CC30" i="1" s="1"/>
  <c r="CG30" i="1" s="1"/>
  <c r="BV31" i="1"/>
  <c r="BE31" i="1" s="1"/>
  <c r="J30" i="2" s="1"/>
  <c r="AW34" i="1"/>
  <c r="B33" i="2" s="1"/>
  <c r="AZ34" i="1"/>
  <c r="E33" i="2" s="1"/>
  <c r="BF34" i="1"/>
  <c r="K33" i="2" s="1"/>
  <c r="BD34" i="1"/>
  <c r="I33" i="2" s="1"/>
  <c r="AX34" i="1"/>
  <c r="C33" i="2" s="1"/>
  <c r="BW38" i="1"/>
  <c r="BG38" i="1" s="1"/>
  <c r="L37" i="2" s="1"/>
  <c r="BU23" i="1"/>
  <c r="BC23" i="1" s="1"/>
  <c r="H22" i="2" s="1"/>
  <c r="CH23" i="1"/>
  <c r="BF27" i="1"/>
  <c r="K26" i="2" s="1"/>
  <c r="AX27" i="1"/>
  <c r="C26" i="2" s="1"/>
  <c r="AW27" i="1"/>
  <c r="B26" i="2" s="1"/>
  <c r="BD27" i="1"/>
  <c r="I26" i="2" s="1"/>
  <c r="BH27" i="1"/>
  <c r="M26" i="2" s="1"/>
  <c r="BH28" i="1"/>
  <c r="M27" i="2" s="1"/>
  <c r="BD28" i="1"/>
  <c r="I27" i="2" s="1"/>
  <c r="BF28" i="1"/>
  <c r="K27" i="2" s="1"/>
  <c r="BT31" i="1" a="1"/>
  <c r="BT31" i="1" s="1"/>
  <c r="BB31" i="1" s="1"/>
  <c r="G30" i="2" s="1"/>
  <c r="AF32" i="1"/>
  <c r="X32" i="1"/>
  <c r="AC32" i="1"/>
  <c r="T32" i="1"/>
  <c r="Z32" i="1"/>
  <c r="AA32" i="1"/>
  <c r="Y32" i="1"/>
  <c r="CC32" i="1" s="1"/>
  <c r="W32" i="1"/>
  <c r="BV32" i="1" s="1"/>
  <c r="BE32" i="1" s="1"/>
  <c r="J31" i="2" s="1"/>
  <c r="CL35" i="1"/>
  <c r="AW36" i="1"/>
  <c r="B35" i="2" s="1"/>
  <c r="BD36" i="1"/>
  <c r="I35" i="2" s="1"/>
  <c r="CK38" i="1"/>
  <c r="BD40" i="1"/>
  <c r="I39" i="2" s="1"/>
  <c r="AZ40" i="1"/>
  <c r="E39" i="2" s="1"/>
  <c r="BH40" i="1"/>
  <c r="M39" i="2" s="1"/>
  <c r="BF40" i="1"/>
  <c r="K39" i="2" s="1"/>
  <c r="BW40" i="1"/>
  <c r="BG40" i="1" s="1"/>
  <c r="L39" i="2" s="1"/>
  <c r="CG43" i="1"/>
  <c r="E45" i="1"/>
  <c r="BQ45" i="1"/>
  <c r="BN54" i="1"/>
  <c r="Z28" i="1"/>
  <c r="S28" i="1"/>
  <c r="AF28" i="1"/>
  <c r="W28" i="1"/>
  <c r="BR28" i="1" s="1"/>
  <c r="BA28" i="1" s="1"/>
  <c r="F27" i="2" s="1"/>
  <c r="AA28" i="1"/>
  <c r="Y28" i="1"/>
  <c r="CC28" i="1" s="1"/>
  <c r="X28" i="1"/>
  <c r="AZ29" i="1"/>
  <c r="E28" i="2" s="1"/>
  <c r="U32" i="1"/>
  <c r="BS33" i="1"/>
  <c r="AY33" i="1" s="1"/>
  <c r="D32" i="2" s="1"/>
  <c r="CK35" i="1"/>
  <c r="BM35" i="1" s="1"/>
  <c r="BO35" i="1" s="1"/>
  <c r="AB36" i="1"/>
  <c r="CL36" i="1" s="1"/>
  <c r="T36" i="1"/>
  <c r="Y36" i="1"/>
  <c r="CC36" i="1" s="1"/>
  <c r="AC36" i="1"/>
  <c r="S36" i="1"/>
  <c r="W36" i="1"/>
  <c r="CH36" i="1" s="1"/>
  <c r="V36" i="1"/>
  <c r="AF36" i="1"/>
  <c r="BX36" i="1" s="1"/>
  <c r="BI36" i="1" s="1"/>
  <c r="N35" i="2" s="1"/>
  <c r="U36" i="1"/>
  <c r="E41" i="1"/>
  <c r="BQ41" i="1"/>
  <c r="BN41" i="1"/>
  <c r="BK41" i="1"/>
  <c r="BR43" i="1"/>
  <c r="BA43" i="1" s="1"/>
  <c r="F42" i="2" s="1"/>
  <c r="CK45" i="1"/>
  <c r="BQ55" i="1"/>
  <c r="E55" i="1"/>
  <c r="CK48" i="1"/>
  <c r="Z50" i="1"/>
  <c r="S50" i="1"/>
  <c r="Y50" i="1"/>
  <c r="CC50" i="1" s="1"/>
  <c r="AF50" i="1"/>
  <c r="V50" i="1"/>
  <c r="AE50" i="1"/>
  <c r="U50" i="1"/>
  <c r="AB50" i="1"/>
  <c r="AA50" i="1"/>
  <c r="X50" i="1"/>
  <c r="W50" i="1"/>
  <c r="BT50" i="1" s="1" a="1"/>
  <c r="BT50" i="1" s="1"/>
  <c r="BB50" i="1" s="1"/>
  <c r="G49" i="2" s="1"/>
  <c r="AD50" i="1"/>
  <c r="AC50" i="1"/>
  <c r="BR40" i="1"/>
  <c r="BA40" i="1" s="1"/>
  <c r="F39" i="2" s="1"/>
  <c r="O53" i="2"/>
  <c r="BF32" i="1"/>
  <c r="K31" i="2" s="1"/>
  <c r="AW32" i="1"/>
  <c r="B31" i="2" s="1"/>
  <c r="AX32" i="1"/>
  <c r="C31" i="2" s="1"/>
  <c r="BH32" i="1"/>
  <c r="M31" i="2" s="1"/>
  <c r="BS35" i="1"/>
  <c r="AY35" i="1" s="1"/>
  <c r="D34" i="2" s="1"/>
  <c r="BU38" i="1"/>
  <c r="BC38" i="1" s="1"/>
  <c r="H37" i="2" s="1"/>
  <c r="BW33" i="1"/>
  <c r="BG33" i="1" s="1"/>
  <c r="L32" i="2" s="1"/>
  <c r="CL34" i="1"/>
  <c r="CG38" i="1"/>
  <c r="BV40" i="1"/>
  <c r="BE40" i="1" s="1"/>
  <c r="J39" i="2" s="1"/>
  <c r="BQ43" i="1"/>
  <c r="E43" i="1"/>
  <c r="BX43" i="1"/>
  <c r="BI43" i="1" s="1"/>
  <c r="N42" i="2" s="1"/>
  <c r="BU44" i="1"/>
  <c r="BC44" i="1" s="1"/>
  <c r="H43" i="2" s="1"/>
  <c r="E52" i="1"/>
  <c r="BQ52" i="1"/>
  <c r="BQ56" i="1"/>
  <c r="E56" i="1"/>
  <c r="BV33" i="1"/>
  <c r="BE33" i="1" s="1"/>
  <c r="J32" i="2" s="1"/>
  <c r="AD34" i="1"/>
  <c r="V34" i="1"/>
  <c r="BS34" i="1" s="1"/>
  <c r="AY34" i="1" s="1"/>
  <c r="D33" i="2" s="1"/>
  <c r="AF34" i="1"/>
  <c r="W34" i="1"/>
  <c r="CG34" i="1" s="1"/>
  <c r="AE34" i="1"/>
  <c r="T34" i="1"/>
  <c r="BT34" i="1" s="1" a="1"/>
  <c r="BT34" i="1" s="1"/>
  <c r="BB34" i="1" s="1"/>
  <c r="G33" i="2" s="1"/>
  <c r="Z38" i="1"/>
  <c r="CL38" i="1" s="1"/>
  <c r="S38" i="1"/>
  <c r="AE38" i="1"/>
  <c r="V38" i="1"/>
  <c r="BS38" i="1" s="1"/>
  <c r="AY38" i="1" s="1"/>
  <c r="D37" i="2" s="1"/>
  <c r="AB38" i="1"/>
  <c r="BV38" i="1" s="1"/>
  <c r="BE38" i="1" s="1"/>
  <c r="J37" i="2" s="1"/>
  <c r="AD38" i="1"/>
  <c r="BD39" i="1"/>
  <c r="I38" i="2" s="1"/>
  <c r="AZ39" i="1"/>
  <c r="E38" i="2" s="1"/>
  <c r="BT40" i="1" a="1"/>
  <c r="BT40" i="1" s="1"/>
  <c r="BB40" i="1" s="1"/>
  <c r="G39" i="2" s="1"/>
  <c r="BW41" i="1"/>
  <c r="BG41" i="1" s="1"/>
  <c r="L40" i="2" s="1"/>
  <c r="CK41" i="1"/>
  <c r="BM41" i="1" s="1"/>
  <c r="BO41" i="1" s="1"/>
  <c r="CH43" i="1"/>
  <c r="AF52" i="1"/>
  <c r="BX52" i="1" s="1"/>
  <c r="BI52" i="1" s="1"/>
  <c r="N51" i="2" s="1"/>
  <c r="X52" i="1"/>
  <c r="AE52" i="1"/>
  <c r="W52" i="1"/>
  <c r="CG52" i="1" s="1"/>
  <c r="U52" i="1"/>
  <c r="BR52" i="1" s="1"/>
  <c r="BA52" i="1" s="1"/>
  <c r="F51" i="2" s="1"/>
  <c r="AD52" i="1"/>
  <c r="T52" i="1"/>
  <c r="AC52" i="1"/>
  <c r="BW52" i="1" s="1"/>
  <c r="BG52" i="1" s="1"/>
  <c r="L51" i="2" s="1"/>
  <c r="AB52" i="1"/>
  <c r="BV52" i="1" s="1"/>
  <c r="BE52" i="1" s="1"/>
  <c r="J51" i="2" s="1"/>
  <c r="AA52" i="1"/>
  <c r="Z52" i="1"/>
  <c r="CL52" i="1" s="1"/>
  <c r="V52" i="1"/>
  <c r="BS52" i="1" s="1"/>
  <c r="AY52" i="1" s="1"/>
  <c r="D51" i="2" s="1"/>
  <c r="BX53" i="1"/>
  <c r="BI53" i="1" s="1"/>
  <c r="N52" i="2" s="1"/>
  <c r="BW53" i="1"/>
  <c r="BG53" i="1" s="1"/>
  <c r="L52" i="2" s="1"/>
  <c r="CH54" i="1"/>
  <c r="BU54" i="1"/>
  <c r="BC54" i="1" s="1"/>
  <c r="H53" i="2" s="1"/>
  <c r="AD23" i="1"/>
  <c r="V23" i="1"/>
  <c r="BS23" i="1" s="1"/>
  <c r="AY23" i="1" s="1"/>
  <c r="D22" i="2" s="1"/>
  <c r="AB23" i="1"/>
  <c r="BV23" i="1" s="1"/>
  <c r="BE23" i="1" s="1"/>
  <c r="J22" i="2" s="1"/>
  <c r="AA5" i="1"/>
  <c r="CK5" i="1" s="1"/>
  <c r="BM5" i="1" s="1"/>
  <c r="BO5" i="1" s="1"/>
  <c r="AZ7" i="1"/>
  <c r="E6" i="2" s="1"/>
  <c r="T23" i="1"/>
  <c r="BT23" i="1" s="1" a="1"/>
  <c r="BT23" i="1" s="1"/>
  <c r="BB23" i="1" s="1"/>
  <c r="G22" i="2" s="1"/>
  <c r="AC23" i="1"/>
  <c r="BW23" i="1" s="1"/>
  <c r="BG23" i="1" s="1"/>
  <c r="L22" i="2" s="1"/>
  <c r="BD31" i="1"/>
  <c r="I30" i="2" s="1"/>
  <c r="AW31" i="1"/>
  <c r="B30" i="2" s="1"/>
  <c r="AZ31" i="1"/>
  <c r="E30" i="2" s="1"/>
  <c r="U34" i="1"/>
  <c r="BR34" i="1" s="1"/>
  <c r="BA34" i="1" s="1"/>
  <c r="F33" i="2" s="1"/>
  <c r="BQ35" i="1"/>
  <c r="E35" i="1"/>
  <c r="BF37" i="1"/>
  <c r="K36" i="2" s="1"/>
  <c r="AX37" i="1"/>
  <c r="C36" i="2" s="1"/>
  <c r="BH37" i="1"/>
  <c r="M36" i="2" s="1"/>
  <c r="AW37" i="1"/>
  <c r="B36" i="2" s="1"/>
  <c r="T38" i="1"/>
  <c r="BT38" i="1" s="1" a="1"/>
  <c r="BT38" i="1" s="1"/>
  <c r="BB38" i="1" s="1"/>
  <c r="G37" i="2" s="1"/>
  <c r="AF38" i="1"/>
  <c r="BX38" i="1" s="1"/>
  <c r="BI38" i="1" s="1"/>
  <c r="N37" i="2" s="1"/>
  <c r="BQ39" i="1"/>
  <c r="BX44" i="1"/>
  <c r="BI44" i="1" s="1"/>
  <c r="N43" i="2" s="1"/>
  <c r="AE45" i="1"/>
  <c r="W45" i="1"/>
  <c r="BV45" i="1" s="1"/>
  <c r="BE45" i="1" s="1"/>
  <c r="J44" i="2" s="1"/>
  <c r="Z45" i="1"/>
  <c r="CL45" i="1" s="1"/>
  <c r="Y45" i="1"/>
  <c r="CC45" i="1" s="1"/>
  <c r="X45" i="1"/>
  <c r="AF45" i="1"/>
  <c r="V45" i="1"/>
  <c r="BS45" i="1" s="1"/>
  <c r="AY45" i="1" s="1"/>
  <c r="D44" i="2" s="1"/>
  <c r="U45" i="1"/>
  <c r="AZ47" i="1"/>
  <c r="E46" i="2" s="1"/>
  <c r="AX47" i="1"/>
  <c r="C46" i="2" s="1"/>
  <c r="AW47" i="1"/>
  <c r="B46" i="2" s="1"/>
  <c r="BD47" i="1"/>
  <c r="I46" i="2" s="1"/>
  <c r="BH47" i="1"/>
  <c r="M46" i="2" s="1"/>
  <c r="Y55" i="1"/>
  <c r="CC55" i="1" s="1"/>
  <c r="AD55" i="1"/>
  <c r="V55" i="1"/>
  <c r="X55" i="1"/>
  <c r="W55" i="1"/>
  <c r="Z55" i="1"/>
  <c r="CL55" i="1" s="1"/>
  <c r="U55" i="1"/>
  <c r="BR55" i="1" s="1"/>
  <c r="BA55" i="1" s="1"/>
  <c r="F54" i="2" s="1"/>
  <c r="AC55" i="1"/>
  <c r="BW55" i="1" s="1"/>
  <c r="BG55" i="1" s="1"/>
  <c r="L54" i="2" s="1"/>
  <c r="AB55" i="1"/>
  <c r="AA55" i="1"/>
  <c r="T55" i="1"/>
  <c r="AF55" i="1"/>
  <c r="AA16" i="1"/>
  <c r="CK16" i="1" s="1"/>
  <c r="BM16" i="1" s="1"/>
  <c r="BO16" i="1" s="1"/>
  <c r="BD17" i="1"/>
  <c r="I16" i="2" s="1"/>
  <c r="CK25" i="1"/>
  <c r="BM25" i="1" s="1"/>
  <c r="BO25" i="1" s="1"/>
  <c r="AA13" i="1"/>
  <c r="CK13" i="1" s="1"/>
  <c r="BM13" i="1" s="1"/>
  <c r="BO13" i="1" s="1"/>
  <c r="AZ15" i="1"/>
  <c r="E14" i="2" s="1"/>
  <c r="T16" i="1"/>
  <c r="BT16" i="1" s="1" a="1"/>
  <c r="BT16" i="1" s="1"/>
  <c r="BB16" i="1" s="1"/>
  <c r="G15" i="2" s="1"/>
  <c r="AB16" i="1"/>
  <c r="BV16" i="1" s="1"/>
  <c r="BE16" i="1" s="1"/>
  <c r="J15" i="2" s="1"/>
  <c r="AZ4" i="1"/>
  <c r="E3" i="2" s="1"/>
  <c r="T5" i="1"/>
  <c r="BT5" i="1" s="1" a="1"/>
  <c r="BT5" i="1" s="1"/>
  <c r="BB5" i="1" s="1"/>
  <c r="G4" i="2" s="1"/>
  <c r="AZ12" i="1"/>
  <c r="E11" i="2" s="1"/>
  <c r="T13" i="1"/>
  <c r="BT13" i="1" s="1" a="1"/>
  <c r="BT13" i="1" s="1"/>
  <c r="BB13" i="1" s="1"/>
  <c r="G12" i="2" s="1"/>
  <c r="U16" i="1"/>
  <c r="BR16" i="1" s="1"/>
  <c r="BA16" i="1" s="1"/>
  <c r="F15" i="2" s="1"/>
  <c r="AB17" i="1"/>
  <c r="T17" i="1"/>
  <c r="BT17" i="1" s="1" a="1"/>
  <c r="BT17" i="1" s="1"/>
  <c r="BB17" i="1" s="1"/>
  <c r="G16" i="2" s="1"/>
  <c r="AC17" i="1"/>
  <c r="AW17" i="1"/>
  <c r="B16" i="2" s="1"/>
  <c r="AF21" i="1"/>
  <c r="BX21" i="1" s="1"/>
  <c r="BI21" i="1" s="1"/>
  <c r="N20" i="2" s="1"/>
  <c r="X21" i="1"/>
  <c r="AB21" i="1"/>
  <c r="BV21" i="1" s="1"/>
  <c r="BE21" i="1" s="1"/>
  <c r="J20" i="2" s="1"/>
  <c r="U23" i="1"/>
  <c r="BR23" i="1" s="1"/>
  <c r="BA23" i="1" s="1"/>
  <c r="F22" i="2" s="1"/>
  <c r="AE23" i="1"/>
  <c r="Y25" i="1"/>
  <c r="CC25" i="1" s="1"/>
  <c r="CG25" i="1" s="1"/>
  <c r="Z25" i="1"/>
  <c r="CL25" i="1" s="1"/>
  <c r="AC25" i="1"/>
  <c r="BW25" i="1" s="1"/>
  <c r="BG25" i="1" s="1"/>
  <c r="L24" i="2" s="1"/>
  <c r="AC31" i="1"/>
  <c r="BW31" i="1" s="1"/>
  <c r="BG31" i="1" s="1"/>
  <c r="L30" i="2" s="1"/>
  <c r="U31" i="1"/>
  <c r="BR31" i="1" s="1"/>
  <c r="BA31" i="1" s="1"/>
  <c r="F30" i="2" s="1"/>
  <c r="AA31" i="1"/>
  <c r="CK31" i="1" s="1"/>
  <c r="BM31" i="1" s="1"/>
  <c r="BO31" i="1" s="1"/>
  <c r="S31" i="1"/>
  <c r="Z31" i="1"/>
  <c r="CL31" i="1" s="1"/>
  <c r="AE31" i="1"/>
  <c r="X34" i="1"/>
  <c r="Y35" i="1"/>
  <c r="CC35" i="1" s="1"/>
  <c r="CG35" i="1" s="1"/>
  <c r="X35" i="1"/>
  <c r="AE35" i="1"/>
  <c r="U35" i="1"/>
  <c r="BR35" i="1" s="1"/>
  <c r="BA35" i="1" s="1"/>
  <c r="F34" i="2" s="1"/>
  <c r="AD35" i="1"/>
  <c r="U38" i="1"/>
  <c r="BR38" i="1" s="1"/>
  <c r="BA38" i="1" s="1"/>
  <c r="F37" i="2" s="1"/>
  <c r="AC39" i="1"/>
  <c r="U39" i="1"/>
  <c r="Y39" i="1"/>
  <c r="CC39" i="1" s="1"/>
  <c r="AF39" i="1"/>
  <c r="BX39" i="1" s="1"/>
  <c r="BI39" i="1" s="1"/>
  <c r="N38" i="2" s="1"/>
  <c r="W39" i="1"/>
  <c r="BV39" i="1" s="1"/>
  <c r="BE39" i="1" s="1"/>
  <c r="J38" i="2" s="1"/>
  <c r="T39" i="1"/>
  <c r="BT39" i="1" s="1" a="1"/>
  <c r="BT39" i="1" s="1"/>
  <c r="BB39" i="1" s="1"/>
  <c r="G38" i="2" s="1"/>
  <c r="CH42" i="1"/>
  <c r="BS44" i="1"/>
  <c r="AY44" i="1" s="1"/>
  <c r="D43" i="2" s="1"/>
  <c r="T45" i="1"/>
  <c r="CH46" i="1"/>
  <c r="BU46" i="1"/>
  <c r="BC46" i="1" s="1"/>
  <c r="H45" i="2" s="1"/>
  <c r="BW47" i="1"/>
  <c r="BG47" i="1" s="1"/>
  <c r="L46" i="2" s="1"/>
  <c r="CK53" i="1"/>
  <c r="AE55" i="1"/>
  <c r="BD51" i="1"/>
  <c r="I50" i="2" s="1"/>
  <c r="AZ51" i="1"/>
  <c r="E50" i="2" s="1"/>
  <c r="AW51" i="1"/>
  <c r="B50" i="2" s="1"/>
  <c r="BH51" i="1"/>
  <c r="M50" i="2" s="1"/>
  <c r="BF51" i="1"/>
  <c r="K50" i="2" s="1"/>
  <c r="CK51" i="1"/>
  <c r="BM51" i="1" s="1"/>
  <c r="BO51" i="1" s="1"/>
  <c r="AZ38" i="1"/>
  <c r="E37" i="2" s="1"/>
  <c r="AX38" i="1"/>
  <c r="C37" i="2" s="1"/>
  <c r="BH38" i="1"/>
  <c r="M37" i="2" s="1"/>
  <c r="AF40" i="1"/>
  <c r="BX40" i="1" s="1"/>
  <c r="BI40" i="1" s="1"/>
  <c r="N39" i="2" s="1"/>
  <c r="X40" i="1"/>
  <c r="AA40" i="1"/>
  <c r="CK40" i="1" s="1"/>
  <c r="BM40" i="1" s="1"/>
  <c r="BO40" i="1" s="1"/>
  <c r="S40" i="1"/>
  <c r="Y40" i="1"/>
  <c r="CC40" i="1" s="1"/>
  <c r="CG40" i="1" s="1"/>
  <c r="AD40" i="1"/>
  <c r="BS46" i="1"/>
  <c r="AY46" i="1" s="1"/>
  <c r="D45" i="2" s="1"/>
  <c r="CL48" i="1"/>
  <c r="AB56" i="1"/>
  <c r="BV56" i="1" s="1"/>
  <c r="BE56" i="1" s="1"/>
  <c r="J55" i="2" s="1"/>
  <c r="T56" i="1"/>
  <c r="Y56" i="1"/>
  <c r="CC56" i="1" s="1"/>
  <c r="AE56" i="1"/>
  <c r="W56" i="1"/>
  <c r="AC56" i="1"/>
  <c r="AA56" i="1"/>
  <c r="CK56" i="1" s="1"/>
  <c r="AF56" i="1"/>
  <c r="AD56" i="1"/>
  <c r="Z56" i="1"/>
  <c r="X56" i="1"/>
  <c r="BV59" i="1"/>
  <c r="BE59" i="1" s="1"/>
  <c r="J58" i="2" s="1"/>
  <c r="BR61" i="1"/>
  <c r="BA61" i="1" s="1"/>
  <c r="F60" i="2" s="1"/>
  <c r="BV65" i="1"/>
  <c r="BE65" i="1" s="1"/>
  <c r="J64" i="2" s="1"/>
  <c r="BS51" i="1"/>
  <c r="AY51" i="1" s="1"/>
  <c r="D50" i="2" s="1"/>
  <c r="BH54" i="1"/>
  <c r="M53" i="2" s="1"/>
  <c r="AX54" i="1"/>
  <c r="C53" i="2" s="1"/>
  <c r="AW54" i="1"/>
  <c r="B53" i="2" s="1"/>
  <c r="BT54" i="1" a="1"/>
  <c r="BT54" i="1" s="1"/>
  <c r="BB54" i="1" s="1"/>
  <c r="G53" i="2" s="1"/>
  <c r="BD54" i="1"/>
  <c r="I53" i="2" s="1"/>
  <c r="BJ54" i="1"/>
  <c r="BL54" i="1" s="1"/>
  <c r="P53" i="2" s="1"/>
  <c r="CR54" i="1"/>
  <c r="BH55" i="1"/>
  <c r="M54" i="2" s="1"/>
  <c r="AZ55" i="1"/>
  <c r="E54" i="2" s="1"/>
  <c r="AW55" i="1"/>
  <c r="B54" i="2" s="1"/>
  <c r="BF55" i="1"/>
  <c r="K54" i="2" s="1"/>
  <c r="AX55" i="1"/>
  <c r="C54" i="2" s="1"/>
  <c r="BD55" i="1"/>
  <c r="I54" i="2" s="1"/>
  <c r="CG60" i="1"/>
  <c r="Z42" i="1"/>
  <c r="AB43" i="1"/>
  <c r="BV43" i="1" s="1"/>
  <c r="BE43" i="1" s="1"/>
  <c r="J42" i="2" s="1"/>
  <c r="AB44" i="1"/>
  <c r="BV44" i="1" s="1"/>
  <c r="BE44" i="1" s="1"/>
  <c r="J43" i="2" s="1"/>
  <c r="T44" i="1"/>
  <c r="BT44" i="1" s="1" a="1"/>
  <c r="BT44" i="1" s="1"/>
  <c r="BB44" i="1" s="1"/>
  <c r="G43" i="2" s="1"/>
  <c r="AC44" i="1"/>
  <c r="BW44" i="1" s="1"/>
  <c r="BG44" i="1" s="1"/>
  <c r="L43" i="2" s="1"/>
  <c r="AA46" i="1"/>
  <c r="S47" i="1"/>
  <c r="BU53" i="1"/>
  <c r="BC53" i="1" s="1"/>
  <c r="H52" i="2" s="1"/>
  <c r="BF53" i="1"/>
  <c r="K52" i="2" s="1"/>
  <c r="CK60" i="1"/>
  <c r="AZ25" i="1"/>
  <c r="E24" i="2" s="1"/>
  <c r="AE37" i="1"/>
  <c r="W37" i="1"/>
  <c r="CG37" i="1" s="1"/>
  <c r="AB37" i="1"/>
  <c r="S42" i="1"/>
  <c r="BD42" i="1"/>
  <c r="I41" i="2" s="1"/>
  <c r="T43" i="1"/>
  <c r="BT43" i="1" s="1" a="1"/>
  <c r="BT43" i="1" s="1"/>
  <c r="BB43" i="1" s="1"/>
  <c r="G42" i="2" s="1"/>
  <c r="AC43" i="1"/>
  <c r="U44" i="1"/>
  <c r="BR44" i="1" s="1"/>
  <c r="BA44" i="1" s="1"/>
  <c r="F43" i="2" s="1"/>
  <c r="AD44" i="1"/>
  <c r="BH46" i="1"/>
  <c r="M45" i="2" s="1"/>
  <c r="AZ46" i="1"/>
  <c r="E45" i="2" s="1"/>
  <c r="AF47" i="1"/>
  <c r="BX47" i="1" s="1"/>
  <c r="BI47" i="1" s="1"/>
  <c r="N46" i="2" s="1"/>
  <c r="X47" i="1"/>
  <c r="Y47" i="1"/>
  <c r="CC47" i="1" s="1"/>
  <c r="W47" i="1"/>
  <c r="AD47" i="1"/>
  <c r="BS48" i="1"/>
  <c r="AY48" i="1" s="1"/>
  <c r="D47" i="2" s="1"/>
  <c r="CG53" i="1"/>
  <c r="BH57" i="1"/>
  <c r="M56" i="2" s="1"/>
  <c r="AW57" i="1"/>
  <c r="B56" i="2" s="1"/>
  <c r="AZ57" i="1"/>
  <c r="E56" i="2" s="1"/>
  <c r="AX57" i="1"/>
  <c r="C56" i="2" s="1"/>
  <c r="BD57" i="1"/>
  <c r="I56" i="2" s="1"/>
  <c r="BW60" i="1"/>
  <c r="BG60" i="1" s="1"/>
  <c r="L59" i="2" s="1"/>
  <c r="BX61" i="1"/>
  <c r="BI61" i="1" s="1"/>
  <c r="N60" i="2" s="1"/>
  <c r="BX65" i="1"/>
  <c r="BI65" i="1" s="1"/>
  <c r="N64" i="2" s="1"/>
  <c r="AD42" i="1"/>
  <c r="V42" i="1"/>
  <c r="BS42" i="1" s="1"/>
  <c r="AY42" i="1" s="1"/>
  <c r="D41" i="2" s="1"/>
  <c r="AB42" i="1"/>
  <c r="BV42" i="1" s="1"/>
  <c r="BE42" i="1" s="1"/>
  <c r="J41" i="2" s="1"/>
  <c r="BF42" i="1"/>
  <c r="K41" i="2" s="1"/>
  <c r="Z46" i="1"/>
  <c r="CL46" i="1" s="1"/>
  <c r="S46" i="1"/>
  <c r="Y46" i="1"/>
  <c r="CC46" i="1" s="1"/>
  <c r="CG46" i="1" s="1"/>
  <c r="AC46" i="1"/>
  <c r="BW46" i="1" s="1"/>
  <c r="BG46" i="1" s="1"/>
  <c r="L45" i="2" s="1"/>
  <c r="CG48" i="1"/>
  <c r="CH51" i="1"/>
  <c r="BU51" i="1"/>
  <c r="BC51" i="1" s="1"/>
  <c r="H50" i="2" s="1"/>
  <c r="BV53" i="1"/>
  <c r="BE53" i="1" s="1"/>
  <c r="J52" i="2" s="1"/>
  <c r="BH53" i="1"/>
  <c r="M52" i="2" s="1"/>
  <c r="AE57" i="1"/>
  <c r="W57" i="1"/>
  <c r="BW57" i="1" s="1"/>
  <c r="BG57" i="1" s="1"/>
  <c r="L56" i="2" s="1"/>
  <c r="AB57" i="1"/>
  <c r="T57" i="1"/>
  <c r="Z57" i="1"/>
  <c r="S57" i="1"/>
  <c r="Y57" i="1"/>
  <c r="CC57" i="1" s="1"/>
  <c r="X57" i="1"/>
  <c r="V57" i="1"/>
  <c r="U57" i="1"/>
  <c r="BR57" i="1" s="1"/>
  <c r="BA57" i="1" s="1"/>
  <c r="F56" i="2" s="1"/>
  <c r="AF57" i="1"/>
  <c r="BF57" i="1"/>
  <c r="K56" i="2" s="1"/>
  <c r="BX59" i="1"/>
  <c r="BI59" i="1" s="1"/>
  <c r="N58" i="2" s="1"/>
  <c r="T42" i="1"/>
  <c r="BT42" i="1" s="1" a="1"/>
  <c r="BT42" i="1" s="1"/>
  <c r="BB42" i="1" s="1"/>
  <c r="G41" i="2" s="1"/>
  <c r="AC42" i="1"/>
  <c r="BW42" i="1" s="1"/>
  <c r="BG42" i="1" s="1"/>
  <c r="L41" i="2" s="1"/>
  <c r="AX42" i="1"/>
  <c r="C41" i="2" s="1"/>
  <c r="V43" i="1"/>
  <c r="BS43" i="1" s="1"/>
  <c r="AY43" i="1" s="1"/>
  <c r="D42" i="2" s="1"/>
  <c r="AE43" i="1"/>
  <c r="BF45" i="1"/>
  <c r="K44" i="2" s="1"/>
  <c r="AX45" i="1"/>
  <c r="C44" i="2" s="1"/>
  <c r="T46" i="1"/>
  <c r="BT46" i="1" s="1" a="1"/>
  <c r="BT46" i="1" s="1"/>
  <c r="BB46" i="1" s="1"/>
  <c r="G45" i="2" s="1"/>
  <c r="AD46" i="1"/>
  <c r="BU48" i="1"/>
  <c r="BC48" i="1" s="1"/>
  <c r="H47" i="2" s="1"/>
  <c r="BF52" i="1"/>
  <c r="K51" i="2" s="1"/>
  <c r="AX52" i="1"/>
  <c r="C51" i="2" s="1"/>
  <c r="AW53" i="1"/>
  <c r="B52" i="2" s="1"/>
  <c r="CH53" i="1"/>
  <c r="BR54" i="1"/>
  <c r="BA54" i="1" s="1"/>
  <c r="F53" i="2" s="1"/>
  <c r="BW54" i="1"/>
  <c r="BG54" i="1" s="1"/>
  <c r="L53" i="2" s="1"/>
  <c r="AA57" i="1"/>
  <c r="BD63" i="1"/>
  <c r="I62" i="2" s="1"/>
  <c r="AZ63" i="1"/>
  <c r="E62" i="2" s="1"/>
  <c r="BH63" i="1"/>
  <c r="M62" i="2" s="1"/>
  <c r="AX63" i="1"/>
  <c r="C62" i="2" s="1"/>
  <c r="BF63" i="1"/>
  <c r="K62" i="2" s="1"/>
  <c r="AD58" i="1"/>
  <c r="V58" i="1"/>
  <c r="X58" i="1"/>
  <c r="AC58" i="1"/>
  <c r="T58" i="1"/>
  <c r="BT58" i="1" s="1" a="1"/>
  <c r="BT58" i="1" s="1"/>
  <c r="BB58" i="1" s="1"/>
  <c r="G57" i="2" s="1"/>
  <c r="AA58" i="1"/>
  <c r="CK58" i="1" s="1"/>
  <c r="S58" i="1"/>
  <c r="AF58" i="1"/>
  <c r="BX58" i="1" s="1"/>
  <c r="BI58" i="1" s="1"/>
  <c r="N57" i="2" s="1"/>
  <c r="AE58" i="1"/>
  <c r="BR59" i="1"/>
  <c r="BA59" i="1" s="1"/>
  <c r="F58" i="2" s="1"/>
  <c r="BQ64" i="1"/>
  <c r="E64" i="1"/>
  <c r="W58" i="1"/>
  <c r="BR58" i="1" s="1"/>
  <c r="BA58" i="1" s="1"/>
  <c r="F57" i="2" s="1"/>
  <c r="CH60" i="1"/>
  <c r="CG62" i="1"/>
  <c r="BR53" i="1"/>
  <c r="BA53" i="1" s="1"/>
  <c r="F52" i="2" s="1"/>
  <c r="AB58" i="1"/>
  <c r="BU60" i="1"/>
  <c r="BC60" i="1" s="1"/>
  <c r="H59" i="2" s="1"/>
  <c r="Z65" i="1"/>
  <c r="CL65" i="1" s="1"/>
  <c r="S65" i="1"/>
  <c r="AC65" i="1"/>
  <c r="BW65" i="1" s="1"/>
  <c r="BG65" i="1" s="1"/>
  <c r="L64" i="2" s="1"/>
  <c r="T65" i="1"/>
  <c r="AA65" i="1"/>
  <c r="Y65" i="1"/>
  <c r="CC65" i="1" s="1"/>
  <c r="X65" i="1"/>
  <c r="W65" i="1"/>
  <c r="AE65" i="1"/>
  <c r="U65" i="1"/>
  <c r="BR65" i="1" s="1"/>
  <c r="BA65" i="1" s="1"/>
  <c r="F64" i="2" s="1"/>
  <c r="AZ35" i="1"/>
  <c r="E34" i="2" s="1"/>
  <c r="AZ43" i="1"/>
  <c r="E42" i="2" s="1"/>
  <c r="BD49" i="1"/>
  <c r="I48" i="2" s="1"/>
  <c r="AC51" i="1"/>
  <c r="BW51" i="1" s="1"/>
  <c r="BG51" i="1" s="1"/>
  <c r="L50" i="2" s="1"/>
  <c r="U51" i="1"/>
  <c r="BR51" i="1" s="1"/>
  <c r="BA51" i="1" s="1"/>
  <c r="F50" i="2" s="1"/>
  <c r="AB51" i="1"/>
  <c r="BV51" i="1" s="1"/>
  <c r="BE51" i="1" s="1"/>
  <c r="J50" i="2" s="1"/>
  <c r="T51" i="1"/>
  <c r="BT51" i="1" s="1" a="1"/>
  <c r="BT51" i="1" s="1"/>
  <c r="BB51" i="1" s="1"/>
  <c r="G50" i="2" s="1"/>
  <c r="AE51" i="1"/>
  <c r="BS53" i="1"/>
  <c r="AY53" i="1" s="1"/>
  <c r="D52" i="2" s="1"/>
  <c r="E60" i="1"/>
  <c r="V65" i="1"/>
  <c r="AZ50" i="1"/>
  <c r="E49" i="2" s="1"/>
  <c r="S53" i="1"/>
  <c r="Z53" i="1"/>
  <c r="CL53" i="1" s="1"/>
  <c r="S59" i="1"/>
  <c r="Z62" i="1"/>
  <c r="CL62" i="1" s="1"/>
  <c r="S62" i="1"/>
  <c r="AF62" i="1"/>
  <c r="BX62" i="1" s="1"/>
  <c r="BI62" i="1" s="1"/>
  <c r="N61" i="2" s="1"/>
  <c r="W62" i="1"/>
  <c r="BV62" i="1" s="1"/>
  <c r="BE62" i="1" s="1"/>
  <c r="J61" i="2" s="1"/>
  <c r="AE62" i="1"/>
  <c r="V62" i="1"/>
  <c r="BS62" i="1" s="1"/>
  <c r="AY62" i="1" s="1"/>
  <c r="D61" i="2" s="1"/>
  <c r="AD62" i="1"/>
  <c r="U62" i="1"/>
  <c r="BR62" i="1" s="1"/>
  <c r="BA62" i="1" s="1"/>
  <c r="F61" i="2" s="1"/>
  <c r="AC62" i="1"/>
  <c r="BW62" i="1" s="1"/>
  <c r="BG62" i="1" s="1"/>
  <c r="L61" i="2" s="1"/>
  <c r="T62" i="1"/>
  <c r="BT62" i="1" s="1" a="1"/>
  <c r="BT62" i="1" s="1"/>
  <c r="BB62" i="1" s="1"/>
  <c r="G61" i="2" s="1"/>
  <c r="AA62" i="1"/>
  <c r="CK62" i="1" s="1"/>
  <c r="BM62" i="1" s="1"/>
  <c r="BO62" i="1" s="1"/>
  <c r="AC63" i="1"/>
  <c r="U63" i="1"/>
  <c r="X63" i="1"/>
  <c r="AF63" i="1"/>
  <c r="W63" i="1"/>
  <c r="CL63" i="1" s="1"/>
  <c r="AE63" i="1"/>
  <c r="V63" i="1"/>
  <c r="AD63" i="1"/>
  <c r="T63" i="1"/>
  <c r="AA63" i="1"/>
  <c r="S63" i="1"/>
  <c r="BS54" i="1"/>
  <c r="AY54" i="1" s="1"/>
  <c r="D53" i="2" s="1"/>
  <c r="AW58" i="1"/>
  <c r="B57" i="2" s="1"/>
  <c r="AX58" i="1"/>
  <c r="C57" i="2" s="1"/>
  <c r="BD58" i="1"/>
  <c r="I57" i="2" s="1"/>
  <c r="Y59" i="1"/>
  <c r="CC59" i="1" s="1"/>
  <c r="CG59" i="1" s="1"/>
  <c r="Z59" i="1"/>
  <c r="CL59" i="1" s="1"/>
  <c r="AE59" i="1"/>
  <c r="V59" i="1"/>
  <c r="BS59" i="1" s="1"/>
  <c r="AY59" i="1" s="1"/>
  <c r="D58" i="2" s="1"/>
  <c r="AC59" i="1"/>
  <c r="BW59" i="1" s="1"/>
  <c r="BG59" i="1" s="1"/>
  <c r="L58" i="2" s="1"/>
  <c r="T59" i="1"/>
  <c r="BT59" i="1" s="1" a="1"/>
  <c r="BT59" i="1" s="1"/>
  <c r="BB59" i="1" s="1"/>
  <c r="G58" i="2" s="1"/>
  <c r="AB60" i="1"/>
  <c r="BV60" i="1" s="1"/>
  <c r="BE60" i="1" s="1"/>
  <c r="J59" i="2" s="1"/>
  <c r="T60" i="1"/>
  <c r="BT60" i="1" s="1" a="1"/>
  <c r="BT60" i="1" s="1"/>
  <c r="BB60" i="1" s="1"/>
  <c r="G59" i="2" s="1"/>
  <c r="Z60" i="1"/>
  <c r="CL60" i="1" s="1"/>
  <c r="AF60" i="1"/>
  <c r="W60" i="1"/>
  <c r="BS60" i="1" s="1"/>
  <c r="AY60" i="1" s="1"/>
  <c r="D59" i="2" s="1"/>
  <c r="AD60" i="1"/>
  <c r="U60" i="1"/>
  <c r="BR60" i="1" s="1"/>
  <c r="BA60" i="1" s="1"/>
  <c r="F59" i="2" s="1"/>
  <c r="X62" i="1"/>
  <c r="Y63" i="1"/>
  <c r="CC63" i="1" s="1"/>
  <c r="CG63" i="1" s="1"/>
  <c r="AE64" i="1"/>
  <c r="W64" i="1"/>
  <c r="BW64" i="1" s="1"/>
  <c r="BG64" i="1" s="1"/>
  <c r="L63" i="2" s="1"/>
  <c r="Z64" i="1"/>
  <c r="AA64" i="1"/>
  <c r="Y64" i="1"/>
  <c r="CC64" i="1" s="1"/>
  <c r="X64" i="1"/>
  <c r="V64" i="1"/>
  <c r="AD64" i="1"/>
  <c r="T64" i="1"/>
  <c r="BF65" i="1"/>
  <c r="K64" i="2" s="1"/>
  <c r="BD65" i="1"/>
  <c r="I64" i="2" s="1"/>
  <c r="AW65" i="1"/>
  <c r="B64" i="2" s="1"/>
  <c r="Y66" i="1"/>
  <c r="CC66" i="1" s="1"/>
  <c r="AC66" i="1"/>
  <c r="BW66" i="1" s="1"/>
  <c r="BG66" i="1" s="1"/>
  <c r="L65" i="2" s="1"/>
  <c r="U66" i="1"/>
  <c r="BR66" i="1" s="1"/>
  <c r="BA66" i="1" s="1"/>
  <c r="F65" i="2" s="1"/>
  <c r="AE66" i="1"/>
  <c r="T66" i="1"/>
  <c r="BT66" i="1" s="1" a="1"/>
  <c r="BT66" i="1" s="1"/>
  <c r="BB66" i="1" s="1"/>
  <c r="G65" i="2" s="1"/>
  <c r="AA66" i="1"/>
  <c r="CK66" i="1" s="1"/>
  <c r="Z66" i="1"/>
  <c r="X66" i="1"/>
  <c r="W66" i="1"/>
  <c r="BX66" i="1" s="1"/>
  <c r="BI66" i="1" s="1"/>
  <c r="N65" i="2" s="1"/>
  <c r="V66" i="1"/>
  <c r="BS66" i="1" s="1"/>
  <c r="AY66" i="1" s="1"/>
  <c r="D65" i="2" s="1"/>
  <c r="AD66" i="1"/>
  <c r="S66" i="1"/>
  <c r="AB66" i="1"/>
  <c r="BV66" i="1" s="1"/>
  <c r="BE66" i="1" s="1"/>
  <c r="J65" i="2" s="1"/>
  <c r="X61" i="1"/>
  <c r="AZ56" i="1"/>
  <c r="E55" i="2" s="1"/>
  <c r="AZ60" i="1"/>
  <c r="E59" i="2" s="1"/>
  <c r="BF61" i="1"/>
  <c r="K60" i="2" s="1"/>
  <c r="AX61" i="1"/>
  <c r="C60" i="2" s="1"/>
  <c r="Z61" i="1"/>
  <c r="CL61" i="1" s="1"/>
  <c r="S61" i="1"/>
  <c r="AW62" i="1"/>
  <c r="B61" i="2" s="1"/>
  <c r="BF62" i="1"/>
  <c r="K61" i="2" s="1"/>
  <c r="AE61" i="1"/>
  <c r="W61" i="1"/>
  <c r="BS61" i="1" s="1"/>
  <c r="AY61" i="1" s="1"/>
  <c r="D60" i="2" s="1"/>
  <c r="AB61" i="1"/>
  <c r="BV61" i="1" s="1"/>
  <c r="BE61" i="1" s="1"/>
  <c r="J60" i="2" s="1"/>
  <c r="AX62" i="1"/>
  <c r="C61" i="2" s="1"/>
  <c r="T61" i="1"/>
  <c r="BT61" i="1" s="1" a="1"/>
  <c r="BT61" i="1" s="1"/>
  <c r="BB61" i="1" s="1"/>
  <c r="G60" i="2" s="1"/>
  <c r="AC61" i="1"/>
  <c r="BW61" i="1" s="1"/>
  <c r="BG61" i="1" s="1"/>
  <c r="L60" i="2" s="1"/>
  <c r="AZ59" i="1"/>
  <c r="E58" i="2" s="1"/>
  <c r="BF64" i="1"/>
  <c r="K63" i="2" s="1"/>
  <c r="AX64" i="1"/>
  <c r="C63" i="2" s="1"/>
  <c r="BD66" i="1"/>
  <c r="I65" i="2" s="1"/>
  <c r="AZ66" i="1"/>
  <c r="E65" i="2" s="1"/>
  <c r="BK36" i="1" l="1"/>
  <c r="BN36" i="1"/>
  <c r="BN63" i="1"/>
  <c r="BK63" i="1"/>
  <c r="BN18" i="1"/>
  <c r="BK18" i="1"/>
  <c r="BQ59" i="1"/>
  <c r="E59" i="1"/>
  <c r="BQ46" i="1"/>
  <c r="E46" i="1"/>
  <c r="BU35" i="1"/>
  <c r="BC35" i="1" s="1"/>
  <c r="H34" i="2" s="1"/>
  <c r="CH35" i="1"/>
  <c r="BN55" i="1"/>
  <c r="BK55" i="1"/>
  <c r="BN45" i="1"/>
  <c r="BK45" i="1"/>
  <c r="CK42" i="1"/>
  <c r="AT54" i="1"/>
  <c r="CK50" i="1"/>
  <c r="CL50" i="1"/>
  <c r="O40" i="2"/>
  <c r="E28" i="1"/>
  <c r="BQ28" i="1"/>
  <c r="BV28" i="1"/>
  <c r="BE28" i="1" s="1"/>
  <c r="J27" i="2" s="1"/>
  <c r="E19" i="1"/>
  <c r="BQ19" i="1"/>
  <c r="BN4" i="1"/>
  <c r="BK4" i="1"/>
  <c r="BQ30" i="1"/>
  <c r="E30" i="1"/>
  <c r="BW45" i="1"/>
  <c r="BG45" i="1" s="1"/>
  <c r="L44" i="2" s="1"/>
  <c r="AU40" i="1"/>
  <c r="BW20" i="1"/>
  <c r="BG20" i="1" s="1"/>
  <c r="L19" i="2" s="1"/>
  <c r="CK8" i="1"/>
  <c r="BM8" i="1" s="1"/>
  <c r="BO8" i="1" s="1"/>
  <c r="BJ4" i="1"/>
  <c r="BL4" i="1" s="1"/>
  <c r="P3" i="2" s="1"/>
  <c r="CG7" i="1"/>
  <c r="AU33" i="1"/>
  <c r="BV12" i="1"/>
  <c r="BE12" i="1" s="1"/>
  <c r="J11" i="2" s="1"/>
  <c r="CK12" i="1"/>
  <c r="BJ53" i="1"/>
  <c r="BL53" i="1" s="1"/>
  <c r="P52" i="2" s="1"/>
  <c r="CR53" i="1"/>
  <c r="CG66" i="1"/>
  <c r="CG64" i="1"/>
  <c r="BQ63" i="1"/>
  <c r="E63" i="1"/>
  <c r="CH63" i="1"/>
  <c r="BU63" i="1"/>
  <c r="BC63" i="1" s="1"/>
  <c r="H62" i="2" s="1"/>
  <c r="E53" i="1"/>
  <c r="BQ53" i="1"/>
  <c r="CG39" i="1"/>
  <c r="BJ35" i="1"/>
  <c r="BL35" i="1" s="1"/>
  <c r="P34" i="2" s="1"/>
  <c r="CR35" i="1"/>
  <c r="CG58" i="1"/>
  <c r="BM58" i="1" s="1"/>
  <c r="BO58" i="1" s="1"/>
  <c r="CL39" i="1"/>
  <c r="BV50" i="1"/>
  <c r="BE50" i="1" s="1"/>
  <c r="J49" i="2" s="1"/>
  <c r="BM48" i="1"/>
  <c r="BO48" i="1" s="1"/>
  <c r="AU41" i="1"/>
  <c r="E36" i="1"/>
  <c r="BQ36" i="1"/>
  <c r="BR32" i="1"/>
  <c r="BA32" i="1" s="1"/>
  <c r="F31" i="2" s="1"/>
  <c r="CL28" i="1"/>
  <c r="CG32" i="1"/>
  <c r="BS26" i="1"/>
  <c r="AY26" i="1" s="1"/>
  <c r="D25" i="2" s="1"/>
  <c r="BK19" i="1"/>
  <c r="BN19" i="1"/>
  <c r="CH7" i="1"/>
  <c r="BU7" i="1"/>
  <c r="BC7" i="1" s="1"/>
  <c r="H6" i="2" s="1"/>
  <c r="BU30" i="1"/>
  <c r="BC30" i="1" s="1"/>
  <c r="H29" i="2" s="1"/>
  <c r="CH30" i="1"/>
  <c r="CL30" i="1"/>
  <c r="CL26" i="1"/>
  <c r="CK44" i="1"/>
  <c r="BS20" i="1"/>
  <c r="AY20" i="1" s="1"/>
  <c r="D19" i="2" s="1"/>
  <c r="BX6" i="1"/>
  <c r="BI6" i="1" s="1"/>
  <c r="N5" i="2" s="1"/>
  <c r="CR18" i="1"/>
  <c r="BJ18" i="1"/>
  <c r="BL18" i="1" s="1"/>
  <c r="P17" i="2" s="1"/>
  <c r="BW6" i="1"/>
  <c r="BG6" i="1" s="1"/>
  <c r="L5" i="2" s="1"/>
  <c r="CH37" i="1"/>
  <c r="E20" i="1"/>
  <c r="BQ20" i="1"/>
  <c r="BT19" i="1" a="1"/>
  <c r="BT19" i="1" s="1"/>
  <c r="BB19" i="1" s="1"/>
  <c r="G18" i="2" s="1"/>
  <c r="BR49" i="1"/>
  <c r="BA49" i="1" s="1"/>
  <c r="F48" i="2" s="1"/>
  <c r="CL49" i="1"/>
  <c r="BW28" i="1"/>
  <c r="BG28" i="1" s="1"/>
  <c r="L27" i="2" s="1"/>
  <c r="BQ7" i="1"/>
  <c r="E7" i="1"/>
  <c r="BJ13" i="1"/>
  <c r="BL13" i="1" s="1"/>
  <c r="P12" i="2" s="1"/>
  <c r="CL8" i="1"/>
  <c r="CK46" i="1"/>
  <c r="BM46" i="1" s="1"/>
  <c r="BO46" i="1" s="1"/>
  <c r="BQ65" i="1"/>
  <c r="E65" i="1"/>
  <c r="BX63" i="1"/>
  <c r="BI63" i="1" s="1"/>
  <c r="N62" i="2" s="1"/>
  <c r="BK53" i="1"/>
  <c r="BN53" i="1"/>
  <c r="BN65" i="1"/>
  <c r="BK65" i="1"/>
  <c r="BW58" i="1"/>
  <c r="BG58" i="1" s="1"/>
  <c r="L57" i="2" s="1"/>
  <c r="CH57" i="1"/>
  <c r="BU57" i="1"/>
  <c r="BC57" i="1" s="1"/>
  <c r="H56" i="2" s="1"/>
  <c r="BS56" i="1"/>
  <c r="AY56" i="1" s="1"/>
  <c r="D55" i="2" s="1"/>
  <c r="BR56" i="1"/>
  <c r="BA56" i="1" s="1"/>
  <c r="F55" i="2" s="1"/>
  <c r="BU58" i="1"/>
  <c r="BC58" i="1" s="1"/>
  <c r="H57" i="2" s="1"/>
  <c r="CH58" i="1"/>
  <c r="CH66" i="1"/>
  <c r="BU66" i="1"/>
  <c r="BC66" i="1" s="1"/>
  <c r="H65" i="2" s="1"/>
  <c r="CK64" i="1"/>
  <c r="BM64" i="1" s="1"/>
  <c r="BO64" i="1" s="1"/>
  <c r="CK63" i="1"/>
  <c r="BM63" i="1" s="1"/>
  <c r="BO63" i="1" s="1"/>
  <c r="BR63" i="1"/>
  <c r="BA63" i="1" s="1"/>
  <c r="F62" i="2" s="1"/>
  <c r="CH65" i="1"/>
  <c r="BU65" i="1"/>
  <c r="BC65" i="1" s="1"/>
  <c r="H64" i="2" s="1"/>
  <c r="BV58" i="1"/>
  <c r="BE58" i="1" s="1"/>
  <c r="J57" i="2" s="1"/>
  <c r="BS58" i="1"/>
  <c r="AY58" i="1" s="1"/>
  <c r="D57" i="2" s="1"/>
  <c r="CK57" i="1"/>
  <c r="BM57" i="1" s="1"/>
  <c r="BO57" i="1" s="1"/>
  <c r="BQ57" i="1"/>
  <c r="E57" i="1"/>
  <c r="CG47" i="1"/>
  <c r="CL58" i="1"/>
  <c r="CH56" i="1"/>
  <c r="BU56" i="1"/>
  <c r="BC56" i="1" s="1"/>
  <c r="H55" i="2" s="1"/>
  <c r="CG56" i="1"/>
  <c r="BM56" i="1" s="1"/>
  <c r="BO56" i="1" s="1"/>
  <c r="BR39" i="1"/>
  <c r="BA39" i="1" s="1"/>
  <c r="F38" i="2" s="1"/>
  <c r="BU34" i="1"/>
  <c r="BC34" i="1" s="1"/>
  <c r="H33" i="2" s="1"/>
  <c r="CH34" i="1"/>
  <c r="BK25" i="1"/>
  <c r="BN25" i="1"/>
  <c r="AU25" i="1" s="1"/>
  <c r="BW17" i="1"/>
  <c r="BG17" i="1" s="1"/>
  <c r="L16" i="2" s="1"/>
  <c r="CK17" i="1"/>
  <c r="BM17" i="1" s="1"/>
  <c r="BO17" i="1" s="1"/>
  <c r="BX55" i="1"/>
  <c r="BI55" i="1" s="1"/>
  <c r="N54" i="2" s="1"/>
  <c r="BU55" i="1"/>
  <c r="BC55" i="1" s="1"/>
  <c r="H54" i="2" s="1"/>
  <c r="CH55" i="1"/>
  <c r="BT52" i="1" a="1"/>
  <c r="BT52" i="1" s="1"/>
  <c r="BB52" i="1" s="1"/>
  <c r="G51" i="2" s="1"/>
  <c r="BR50" i="1"/>
  <c r="BA50" i="1" s="1"/>
  <c r="F49" i="2" s="1"/>
  <c r="CL44" i="1"/>
  <c r="BW36" i="1"/>
  <c r="BG36" i="1" s="1"/>
  <c r="L35" i="2" s="1"/>
  <c r="AU54" i="1"/>
  <c r="CK32" i="1"/>
  <c r="BM32" i="1" s="1"/>
  <c r="BO32" i="1" s="1"/>
  <c r="CH27" i="1"/>
  <c r="BU27" i="1"/>
  <c r="BC27" i="1" s="1"/>
  <c r="H26" i="2" s="1"/>
  <c r="BW24" i="1"/>
  <c r="BG24" i="1" s="1"/>
  <c r="L23" i="2" s="1"/>
  <c r="BU11" i="1"/>
  <c r="BC11" i="1" s="1"/>
  <c r="H10" i="2" s="1"/>
  <c r="CH11" i="1"/>
  <c r="CR11" i="1" s="1"/>
  <c r="BV7" i="1"/>
  <c r="BE7" i="1" s="1"/>
  <c r="J6" i="2" s="1"/>
  <c r="BT37" i="1" a="1"/>
  <c r="BT37" i="1" s="1"/>
  <c r="BB37" i="1" s="1"/>
  <c r="G36" i="2" s="1"/>
  <c r="BR30" i="1"/>
  <c r="BA30" i="1" s="1"/>
  <c r="F29" i="2" s="1"/>
  <c r="BS28" i="1"/>
  <c r="AY28" i="1" s="1"/>
  <c r="D27" i="2" s="1"/>
  <c r="BT26" i="1" a="1"/>
  <c r="BT26" i="1" s="1"/>
  <c r="BB26" i="1" s="1"/>
  <c r="G25" i="2" s="1"/>
  <c r="BS12" i="1"/>
  <c r="AY12" i="1" s="1"/>
  <c r="D11" i="2" s="1"/>
  <c r="BT6" i="1" a="1"/>
  <c r="BT6" i="1" s="1"/>
  <c r="BB6" i="1" s="1"/>
  <c r="G5" i="2" s="1"/>
  <c r="BW12" i="1"/>
  <c r="BG12" i="1" s="1"/>
  <c r="L11" i="2" s="1"/>
  <c r="BU12" i="1"/>
  <c r="BC12" i="1" s="1"/>
  <c r="H11" i="2" s="1"/>
  <c r="CH12" i="1"/>
  <c r="BS6" i="1"/>
  <c r="AY6" i="1" s="1"/>
  <c r="D5" i="2" s="1"/>
  <c r="BW26" i="1"/>
  <c r="BG26" i="1" s="1"/>
  <c r="L25" i="2" s="1"/>
  <c r="BR19" i="1"/>
  <c r="BA19" i="1" s="1"/>
  <c r="F18" i="2" s="1"/>
  <c r="BT7" i="1" a="1"/>
  <c r="BT7" i="1" s="1"/>
  <c r="BB7" i="1" s="1"/>
  <c r="G6" i="2" s="1"/>
  <c r="E49" i="1"/>
  <c r="BQ49" i="1"/>
  <c r="BR27" i="1"/>
  <c r="BA27" i="1" s="1"/>
  <c r="F26" i="2" s="1"/>
  <c r="CL7" i="1"/>
  <c r="BT28" i="1" a="1"/>
  <c r="BT28" i="1" s="1"/>
  <c r="BB28" i="1" s="1"/>
  <c r="G27" i="2" s="1"/>
  <c r="CL23" i="1"/>
  <c r="BN14" i="1"/>
  <c r="BK14" i="1"/>
  <c r="BK48" i="1"/>
  <c r="BN48" i="1"/>
  <c r="AU48" i="1" s="1"/>
  <c r="BU40" i="1"/>
  <c r="BC40" i="1" s="1"/>
  <c r="H39" i="2" s="1"/>
  <c r="CH40" i="1"/>
  <c r="CR40" i="1" s="1"/>
  <c r="BU64" i="1"/>
  <c r="BC64" i="1" s="1"/>
  <c r="H63" i="2" s="1"/>
  <c r="CH64" i="1"/>
  <c r="CG57" i="1"/>
  <c r="BN46" i="1"/>
  <c r="BK46" i="1"/>
  <c r="BR47" i="1"/>
  <c r="BA47" i="1" s="1"/>
  <c r="F46" i="2" s="1"/>
  <c r="CL47" i="1"/>
  <c r="BS47" i="1"/>
  <c r="AY47" i="1" s="1"/>
  <c r="D46" i="2" s="1"/>
  <c r="BW43" i="1"/>
  <c r="BG43" i="1" s="1"/>
  <c r="L42" i="2" s="1"/>
  <c r="CK43" i="1"/>
  <c r="BM43" i="1" s="1"/>
  <c r="BO43" i="1" s="1"/>
  <c r="BM60" i="1"/>
  <c r="BO60" i="1" s="1"/>
  <c r="CL66" i="1"/>
  <c r="CL64" i="1"/>
  <c r="BX60" i="1"/>
  <c r="BI60" i="1" s="1"/>
  <c r="N59" i="2" s="1"/>
  <c r="BK59" i="1"/>
  <c r="BN59" i="1"/>
  <c r="BT63" i="1" a="1"/>
  <c r="BT63" i="1" s="1"/>
  <c r="BB63" i="1" s="1"/>
  <c r="G62" i="2" s="1"/>
  <c r="BW63" i="1"/>
  <c r="BG63" i="1" s="1"/>
  <c r="L62" i="2" s="1"/>
  <c r="BS65" i="1"/>
  <c r="AY65" i="1" s="1"/>
  <c r="D64" i="2" s="1"/>
  <c r="CG65" i="1"/>
  <c r="CL57" i="1"/>
  <c r="CH47" i="1"/>
  <c r="BU47" i="1"/>
  <c r="BC47" i="1" s="1"/>
  <c r="H46" i="2" s="1"/>
  <c r="CL42" i="1"/>
  <c r="CR42" i="1" s="1"/>
  <c r="CL56" i="1"/>
  <c r="BT56" i="1" a="1"/>
  <c r="BT56" i="1" s="1"/>
  <c r="BB56" i="1" s="1"/>
  <c r="G55" i="2" s="1"/>
  <c r="BJ40" i="1"/>
  <c r="BL40" i="1" s="1"/>
  <c r="CG61" i="1"/>
  <c r="BT45" i="1" a="1"/>
  <c r="BT45" i="1" s="1"/>
  <c r="BB45" i="1" s="1"/>
  <c r="G44" i="2" s="1"/>
  <c r="BW39" i="1"/>
  <c r="BG39" i="1" s="1"/>
  <c r="L38" i="2" s="1"/>
  <c r="CR25" i="1"/>
  <c r="BJ25" i="1"/>
  <c r="BL25" i="1" s="1"/>
  <c r="P24" i="2" s="1"/>
  <c r="BT55" i="1" a="1"/>
  <c r="BT55" i="1" s="1"/>
  <c r="BB55" i="1" s="1"/>
  <c r="G54" i="2" s="1"/>
  <c r="BS55" i="1"/>
  <c r="AY55" i="1" s="1"/>
  <c r="D54" i="2" s="1"/>
  <c r="BR45" i="1"/>
  <c r="BA45" i="1" s="1"/>
  <c r="F44" i="2" s="1"/>
  <c r="BV47" i="1"/>
  <c r="BE47" i="1" s="1"/>
  <c r="J46" i="2" s="1"/>
  <c r="BX34" i="1"/>
  <c r="BI34" i="1" s="1"/>
  <c r="N33" i="2" s="1"/>
  <c r="CG36" i="1"/>
  <c r="CH28" i="1"/>
  <c r="BU28" i="1"/>
  <c r="BC28" i="1" s="1"/>
  <c r="H27" i="2" s="1"/>
  <c r="BM38" i="1"/>
  <c r="BO38" i="1" s="1"/>
  <c r="CL32" i="1"/>
  <c r="CL21" i="1"/>
  <c r="CG27" i="1"/>
  <c r="BR24" i="1"/>
  <c r="BA24" i="1" s="1"/>
  <c r="F23" i="2" s="1"/>
  <c r="CK19" i="1"/>
  <c r="CR15" i="1"/>
  <c r="BJ15" i="1"/>
  <c r="BL15" i="1" s="1"/>
  <c r="P14" i="2" s="1"/>
  <c r="BJ10" i="1"/>
  <c r="BL10" i="1" s="1"/>
  <c r="P9" i="2" s="1"/>
  <c r="CR10" i="1"/>
  <c r="CL6" i="1"/>
  <c r="BU36" i="1"/>
  <c r="BC36" i="1" s="1"/>
  <c r="H35" i="2" s="1"/>
  <c r="CK36" i="1"/>
  <c r="BX30" i="1"/>
  <c r="BI30" i="1" s="1"/>
  <c r="N29" i="2" s="1"/>
  <c r="BV26" i="1"/>
  <c r="BE26" i="1" s="1"/>
  <c r="J25" i="2" s="1"/>
  <c r="CL24" i="1"/>
  <c r="BJ24" i="1" s="1"/>
  <c r="BL24" i="1" s="1"/>
  <c r="P23" i="2" s="1"/>
  <c r="BJ41" i="1"/>
  <c r="BL41" i="1" s="1"/>
  <c r="P40" i="2" s="1"/>
  <c r="BS11" i="1"/>
  <c r="AY11" i="1" s="1"/>
  <c r="D10" i="2" s="1"/>
  <c r="BX12" i="1"/>
  <c r="BI12" i="1" s="1"/>
  <c r="N11" i="2" s="1"/>
  <c r="BV20" i="1"/>
  <c r="BE20" i="1" s="1"/>
  <c r="J19" i="2" s="1"/>
  <c r="CL43" i="1"/>
  <c r="CH24" i="1"/>
  <c r="CR24" i="1" s="1"/>
  <c r="BV18" i="1"/>
  <c r="BE18" i="1" s="1"/>
  <c r="J17" i="2" s="1"/>
  <c r="E6" i="1"/>
  <c r="BQ6" i="1"/>
  <c r="BX49" i="1"/>
  <c r="BI49" i="1" s="1"/>
  <c r="N48" i="2" s="1"/>
  <c r="CK49" i="1"/>
  <c r="BJ5" i="1"/>
  <c r="BL5" i="1" s="1"/>
  <c r="CR41" i="1"/>
  <c r="BV19" i="1"/>
  <c r="BE19" i="1" s="1"/>
  <c r="J18" i="2" s="1"/>
  <c r="AU13" i="1"/>
  <c r="BK60" i="1"/>
  <c r="BN60" i="1"/>
  <c r="AU60" i="1" s="1"/>
  <c r="CK61" i="1"/>
  <c r="BM61" i="1" s="1"/>
  <c r="BO61" i="1" s="1"/>
  <c r="CK65" i="1"/>
  <c r="BM65" i="1" s="1"/>
  <c r="BO65" i="1" s="1"/>
  <c r="BV64" i="1"/>
  <c r="BE64" i="1" s="1"/>
  <c r="J63" i="2" s="1"/>
  <c r="BR64" i="1"/>
  <c r="BA64" i="1" s="1"/>
  <c r="F63" i="2" s="1"/>
  <c r="BT57" i="1" a="1"/>
  <c r="BT57" i="1" s="1"/>
  <c r="BB57" i="1" s="1"/>
  <c r="G56" i="2" s="1"/>
  <c r="BJ48" i="1"/>
  <c r="BL48" i="1" s="1"/>
  <c r="P47" i="2" s="1"/>
  <c r="CR48" i="1"/>
  <c r="BQ42" i="1"/>
  <c r="E42" i="1"/>
  <c r="CR60" i="1"/>
  <c r="BJ60" i="1"/>
  <c r="BL60" i="1" s="1"/>
  <c r="P59" i="2" s="1"/>
  <c r="BV63" i="1"/>
  <c r="BE63" i="1" s="1"/>
  <c r="J62" i="2" s="1"/>
  <c r="E40" i="1"/>
  <c r="BQ40" i="1"/>
  <c r="BX64" i="1"/>
  <c r="BI64" i="1" s="1"/>
  <c r="N63" i="2" s="1"/>
  <c r="BN31" i="1"/>
  <c r="AU31" i="1" s="1"/>
  <c r="BK31" i="1"/>
  <c r="BV17" i="1"/>
  <c r="BE17" i="1" s="1"/>
  <c r="J16" i="2" s="1"/>
  <c r="CL17" i="1"/>
  <c r="CK55" i="1"/>
  <c r="BM55" i="1" s="1"/>
  <c r="BO55" i="1" s="1"/>
  <c r="CK39" i="1"/>
  <c r="BM39" i="1" s="1"/>
  <c r="BO39" i="1" s="1"/>
  <c r="BW50" i="1"/>
  <c r="BG50" i="1" s="1"/>
  <c r="L49" i="2" s="1"/>
  <c r="BS50" i="1"/>
  <c r="AY50" i="1" s="1"/>
  <c r="D49" i="2" s="1"/>
  <c r="CK37" i="1"/>
  <c r="BM37" i="1" s="1"/>
  <c r="BO37" i="1" s="1"/>
  <c r="BT36" i="1" a="1"/>
  <c r="BT36" i="1" s="1"/>
  <c r="BB36" i="1" s="1"/>
  <c r="G35" i="2" s="1"/>
  <c r="CG28" i="1"/>
  <c r="BT32" i="1" a="1"/>
  <c r="BT32" i="1" s="1"/>
  <c r="BB32" i="1" s="1"/>
  <c r="G31" i="2" s="1"/>
  <c r="BN27" i="1"/>
  <c r="BK27" i="1"/>
  <c r="BQ15" i="1"/>
  <c r="E15" i="1"/>
  <c r="BS30" i="1"/>
  <c r="AY30" i="1" s="1"/>
  <c r="D29" i="2" s="1"/>
  <c r="BN9" i="1"/>
  <c r="BK9" i="1"/>
  <c r="BN22" i="1"/>
  <c r="AU22" i="1" s="1"/>
  <c r="BK22" i="1"/>
  <c r="CR9" i="1"/>
  <c r="BJ9" i="1"/>
  <c r="BL9" i="1" s="1"/>
  <c r="P8" i="2" s="1"/>
  <c r="BK16" i="1"/>
  <c r="BN16" i="1"/>
  <c r="AU16" i="1" s="1"/>
  <c r="CH39" i="1"/>
  <c r="BS39" i="1"/>
  <c r="AY39" i="1" s="1"/>
  <c r="D38" i="2" s="1"/>
  <c r="BT20" i="1" a="1"/>
  <c r="BT20" i="1" s="1"/>
  <c r="BB20" i="1" s="1"/>
  <c r="G19" i="2" s="1"/>
  <c r="CG12" i="1"/>
  <c r="BU20" i="1"/>
  <c r="BC20" i="1" s="1"/>
  <c r="H19" i="2" s="1"/>
  <c r="CH20" i="1"/>
  <c r="BU37" i="1"/>
  <c r="BC37" i="1" s="1"/>
  <c r="H36" i="2" s="1"/>
  <c r="BJ16" i="1"/>
  <c r="BL16" i="1" s="1"/>
  <c r="P15" i="2" s="1"/>
  <c r="CR16" i="1"/>
  <c r="CH9" i="1"/>
  <c r="BU9" i="1"/>
  <c r="BC9" i="1" s="1"/>
  <c r="H8" i="2" s="1"/>
  <c r="BS49" i="1"/>
  <c r="AY49" i="1" s="1"/>
  <c r="D48" i="2" s="1"/>
  <c r="BJ29" i="1"/>
  <c r="BL29" i="1" s="1"/>
  <c r="P28" i="2" s="1"/>
  <c r="CR29" i="1"/>
  <c r="CK6" i="1"/>
  <c r="CK26" i="1"/>
  <c r="BM26" i="1" s="1"/>
  <c r="BO26" i="1" s="1"/>
  <c r="O12" i="2"/>
  <c r="AT13" i="1"/>
  <c r="BT64" i="1" a="1"/>
  <c r="BT64" i="1" s="1"/>
  <c r="BB64" i="1" s="1"/>
  <c r="G63" i="2" s="1"/>
  <c r="BS63" i="1"/>
  <c r="AY63" i="1" s="1"/>
  <c r="D62" i="2" s="1"/>
  <c r="BQ62" i="1"/>
  <c r="E62" i="1"/>
  <c r="BT65" i="1" a="1"/>
  <c r="BT65" i="1" s="1"/>
  <c r="BB65" i="1" s="1"/>
  <c r="G64" i="2" s="1"/>
  <c r="CR62" i="1"/>
  <c r="BJ62" i="1"/>
  <c r="BL62" i="1" s="1"/>
  <c r="P61" i="2" s="1"/>
  <c r="BQ58" i="1"/>
  <c r="E58" i="1"/>
  <c r="BX57" i="1"/>
  <c r="BI57" i="1" s="1"/>
  <c r="N56" i="2" s="1"/>
  <c r="BV57" i="1"/>
  <c r="BE57" i="1" s="1"/>
  <c r="J56" i="2" s="1"/>
  <c r="BT47" i="1" a="1"/>
  <c r="BT47" i="1" s="1"/>
  <c r="BB47" i="1" s="1"/>
  <c r="G46" i="2" s="1"/>
  <c r="BV37" i="1"/>
  <c r="BE37" i="1" s="1"/>
  <c r="J36" i="2" s="1"/>
  <c r="E47" i="1"/>
  <c r="BQ47" i="1"/>
  <c r="BX56" i="1"/>
  <c r="BI56" i="1" s="1"/>
  <c r="N55" i="2" s="1"/>
  <c r="CL51" i="1"/>
  <c r="CK59" i="1"/>
  <c r="BM59" i="1" s="1"/>
  <c r="BO59" i="1" s="1"/>
  <c r="E31" i="1"/>
  <c r="BQ31" i="1"/>
  <c r="BV55" i="1"/>
  <c r="BE55" i="1" s="1"/>
  <c r="J54" i="2" s="1"/>
  <c r="CG55" i="1"/>
  <c r="BX45" i="1"/>
  <c r="BI45" i="1" s="1"/>
  <c r="N44" i="2" s="1"/>
  <c r="BJ38" i="1"/>
  <c r="BL38" i="1" s="1"/>
  <c r="P37" i="2" s="1"/>
  <c r="CR38" i="1"/>
  <c r="BX50" i="1"/>
  <c r="BI50" i="1" s="1"/>
  <c r="N49" i="2" s="1"/>
  <c r="BR36" i="1"/>
  <c r="BA36" i="1" s="1"/>
  <c r="F35" i="2" s="1"/>
  <c r="BV36" i="1"/>
  <c r="BE36" i="1" s="1"/>
  <c r="J35" i="2" s="1"/>
  <c r="CK28" i="1"/>
  <c r="BW32" i="1"/>
  <c r="BG32" i="1" s="1"/>
  <c r="L31" i="2" s="1"/>
  <c r="BX37" i="1"/>
  <c r="BI37" i="1" s="1"/>
  <c r="N36" i="2" s="1"/>
  <c r="BN15" i="1"/>
  <c r="AU15" i="1" s="1"/>
  <c r="BK15" i="1"/>
  <c r="BR26" i="1"/>
  <c r="BA26" i="1" s="1"/>
  <c r="F25" i="2" s="1"/>
  <c r="CH8" i="1"/>
  <c r="CR8" i="1" s="1"/>
  <c r="BU8" i="1"/>
  <c r="BC8" i="1" s="1"/>
  <c r="H7" i="2" s="1"/>
  <c r="BU6" i="1"/>
  <c r="BC6" i="1" s="1"/>
  <c r="H5" i="2" s="1"/>
  <c r="CH6" i="1"/>
  <c r="BU39" i="1"/>
  <c r="BC39" i="1" s="1"/>
  <c r="H38" i="2" s="1"/>
  <c r="O9" i="2"/>
  <c r="CG20" i="1"/>
  <c r="BM20" i="1" s="1"/>
  <c r="BO20" i="1" s="1"/>
  <c r="O32" i="2"/>
  <c r="AT33" i="1"/>
  <c r="BU49" i="1"/>
  <c r="BC49" i="1" s="1"/>
  <c r="H48" i="2" s="1"/>
  <c r="CH49" i="1"/>
  <c r="BN29" i="1"/>
  <c r="AU29" i="1" s="1"/>
  <c r="BK29" i="1"/>
  <c r="CL12" i="1"/>
  <c r="BM66" i="1"/>
  <c r="BO66" i="1" s="1"/>
  <c r="BQ61" i="1"/>
  <c r="E61" i="1"/>
  <c r="BQ66" i="1"/>
  <c r="E66" i="1"/>
  <c r="CR63" i="1"/>
  <c r="BJ63" i="1"/>
  <c r="BL63" i="1" s="1"/>
  <c r="P62" i="2" s="1"/>
  <c r="BN62" i="1"/>
  <c r="AU62" i="1" s="1"/>
  <c r="BK62" i="1"/>
  <c r="BN52" i="1"/>
  <c r="BK52" i="1"/>
  <c r="BQ38" i="1"/>
  <c r="E38" i="1"/>
  <c r="BK34" i="1"/>
  <c r="BN34" i="1"/>
  <c r="AU34" i="1" s="1"/>
  <c r="CG50" i="1"/>
  <c r="BK35" i="1"/>
  <c r="BN35" i="1"/>
  <c r="AU35" i="1" s="1"/>
  <c r="CH32" i="1"/>
  <c r="BU32" i="1"/>
  <c r="BC32" i="1" s="1"/>
  <c r="H31" i="2" s="1"/>
  <c r="BR37" i="1"/>
  <c r="BA37" i="1" s="1"/>
  <c r="F36" i="2" s="1"/>
  <c r="CR30" i="1"/>
  <c r="CH19" i="1"/>
  <c r="BU19" i="1"/>
  <c r="BC19" i="1" s="1"/>
  <c r="H18" i="2" s="1"/>
  <c r="BS32" i="1"/>
  <c r="AY32" i="1" s="1"/>
  <c r="D31" i="2" s="1"/>
  <c r="BM7" i="1"/>
  <c r="BO7" i="1" s="1"/>
  <c r="BM24" i="1"/>
  <c r="BO24" i="1" s="1"/>
  <c r="CL20" i="1"/>
  <c r="CH4" i="1"/>
  <c r="CR4" i="1" s="1"/>
  <c r="BU4" i="1"/>
  <c r="BC4" i="1" s="1"/>
  <c r="H3" i="2" s="1"/>
  <c r="CG49" i="1"/>
  <c r="BS37" i="1"/>
  <c r="AY37" i="1" s="1"/>
  <c r="D36" i="2" s="1"/>
  <c r="CH29" i="1"/>
  <c r="BU29" i="1"/>
  <c r="BC29" i="1" s="1"/>
  <c r="H28" i="2" s="1"/>
  <c r="BM15" i="1"/>
  <c r="BO15" i="1" s="1"/>
  <c r="BN11" i="1"/>
  <c r="AU11" i="1" s="1"/>
  <c r="BK11" i="1"/>
  <c r="CK27" i="1"/>
  <c r="BU61" i="1"/>
  <c r="BC61" i="1" s="1"/>
  <c r="H60" i="2" s="1"/>
  <c r="CH61" i="1"/>
  <c r="BU45" i="1"/>
  <c r="BC45" i="1" s="1"/>
  <c r="H44" i="2" s="1"/>
  <c r="CH45" i="1"/>
  <c r="BN61" i="1"/>
  <c r="AU61" i="1" s="1"/>
  <c r="BK61" i="1"/>
  <c r="BS64" i="1"/>
  <c r="AY64" i="1" s="1"/>
  <c r="D63" i="2" s="1"/>
  <c r="CH62" i="1"/>
  <c r="BU62" i="1"/>
  <c r="BC62" i="1" s="1"/>
  <c r="H61" i="2" s="1"/>
  <c r="BS57" i="1"/>
  <c r="AY57" i="1" s="1"/>
  <c r="D56" i="2" s="1"/>
  <c r="CR46" i="1"/>
  <c r="BJ46" i="1"/>
  <c r="BL46" i="1" s="1"/>
  <c r="P45" i="2" s="1"/>
  <c r="BW56" i="1"/>
  <c r="BG56" i="1" s="1"/>
  <c r="L55" i="2" s="1"/>
  <c r="CK47" i="1"/>
  <c r="BM47" i="1" s="1"/>
  <c r="BO47" i="1" s="1"/>
  <c r="BM53" i="1"/>
  <c r="BO53" i="1" s="1"/>
  <c r="BU21" i="1"/>
  <c r="BC21" i="1" s="1"/>
  <c r="H20" i="2" s="1"/>
  <c r="CH21" i="1"/>
  <c r="CR21" i="1" s="1"/>
  <c r="CG45" i="1"/>
  <c r="CL37" i="1"/>
  <c r="CK52" i="1"/>
  <c r="BM52" i="1" s="1"/>
  <c r="BO52" i="1" s="1"/>
  <c r="BU52" i="1"/>
  <c r="BC52" i="1" s="1"/>
  <c r="H51" i="2" s="1"/>
  <c r="CH52" i="1"/>
  <c r="CR52" i="1" s="1"/>
  <c r="BN38" i="1"/>
  <c r="AU38" i="1" s="1"/>
  <c r="BK38" i="1"/>
  <c r="BU50" i="1"/>
  <c r="BC50" i="1" s="1"/>
  <c r="H49" i="2" s="1"/>
  <c r="CH50" i="1"/>
  <c r="BQ50" i="1"/>
  <c r="E50" i="1"/>
  <c r="BS36" i="1"/>
  <c r="AY36" i="1" s="1"/>
  <c r="D35" i="2" s="1"/>
  <c r="BV34" i="1"/>
  <c r="BE34" i="1" s="1"/>
  <c r="J33" i="2" s="1"/>
  <c r="BX28" i="1"/>
  <c r="BI28" i="1" s="1"/>
  <c r="N27" i="2" s="1"/>
  <c r="CK34" i="1"/>
  <c r="BM34" i="1" s="1"/>
  <c r="BO34" i="1" s="1"/>
  <c r="BX32" i="1"/>
  <c r="BI32" i="1" s="1"/>
  <c r="N31" i="2" s="1"/>
  <c r="E29" i="1"/>
  <c r="BQ29" i="1"/>
  <c r="CG19" i="1"/>
  <c r="CR17" i="1"/>
  <c r="BJ17" i="1"/>
  <c r="BL17" i="1" s="1"/>
  <c r="P16" i="2" s="1"/>
  <c r="BU14" i="1"/>
  <c r="BC14" i="1" s="1"/>
  <c r="H13" i="2" s="1"/>
  <c r="CH14" i="1"/>
  <c r="CG6" i="1"/>
  <c r="BU18" i="1"/>
  <c r="BC18" i="1" s="1"/>
  <c r="H17" i="2" s="1"/>
  <c r="CR31" i="1"/>
  <c r="BJ31" i="1"/>
  <c r="BL31" i="1" s="1"/>
  <c r="P30" i="2" s="1"/>
  <c r="CK30" i="1"/>
  <c r="BM30" i="1" s="1"/>
  <c r="BO30" i="1" s="1"/>
  <c r="CH26" i="1"/>
  <c r="CR26" i="1" s="1"/>
  <c r="BU26" i="1"/>
  <c r="BC26" i="1" s="1"/>
  <c r="H25" i="2" s="1"/>
  <c r="AU5" i="1"/>
  <c r="BW37" i="1"/>
  <c r="BG37" i="1" s="1"/>
  <c r="L36" i="2" s="1"/>
  <c r="BX7" i="1"/>
  <c r="BI7" i="1" s="1"/>
  <c r="N6" i="2" s="1"/>
  <c r="CK14" i="1"/>
  <c r="BM14" i="1" s="1"/>
  <c r="BO14" i="1" s="1"/>
  <c r="CK11" i="1"/>
  <c r="BM11" i="1" s="1"/>
  <c r="BO11" i="1" s="1"/>
  <c r="BR6" i="1"/>
  <c r="BA6" i="1" s="1"/>
  <c r="F5" i="2" s="1"/>
  <c r="CK23" i="1"/>
  <c r="BR7" i="1"/>
  <c r="BA7" i="1" s="1"/>
  <c r="F6" i="2" s="1"/>
  <c r="BR20" i="1"/>
  <c r="BA20" i="1" s="1"/>
  <c r="F19" i="2" s="1"/>
  <c r="BX4" i="1"/>
  <c r="BI4" i="1" s="1"/>
  <c r="N3" i="2" s="1"/>
  <c r="BV9" i="1"/>
  <c r="BE9" i="1" s="1"/>
  <c r="J8" i="2" s="1"/>
  <c r="BV49" i="1"/>
  <c r="BE49" i="1" s="1"/>
  <c r="J48" i="2" s="1"/>
  <c r="BR29" i="1"/>
  <c r="BA29" i="1" s="1"/>
  <c r="F28" i="2" s="1"/>
  <c r="BW7" i="1"/>
  <c r="BG7" i="1" s="1"/>
  <c r="L6" i="2" s="1"/>
  <c r="BM10" i="1"/>
  <c r="BO10" i="1" s="1"/>
  <c r="AU10" i="1" s="1"/>
  <c r="CR22" i="1"/>
  <c r="CK29" i="1"/>
  <c r="BM29" i="1" s="1"/>
  <c r="BO29" i="1" s="1"/>
  <c r="O10" i="2" l="1"/>
  <c r="BK23" i="1"/>
  <c r="BN23" i="1"/>
  <c r="AU23" i="1" s="1"/>
  <c r="CR34" i="1"/>
  <c r="O28" i="2"/>
  <c r="AT29" i="1"/>
  <c r="BM23" i="1"/>
  <c r="BO23" i="1" s="1"/>
  <c r="BJ23" i="1"/>
  <c r="BL23" i="1" s="1"/>
  <c r="P22" i="2" s="1"/>
  <c r="O60" i="2"/>
  <c r="BK20" i="1"/>
  <c r="BN20" i="1"/>
  <c r="AU20" i="1" s="1"/>
  <c r="O33" i="2"/>
  <c r="AT34" i="1"/>
  <c r="BK51" i="1"/>
  <c r="BN51" i="1"/>
  <c r="AU51" i="1" s="1"/>
  <c r="O26" i="2"/>
  <c r="AT27" i="1"/>
  <c r="O59" i="2"/>
  <c r="AT60" i="1"/>
  <c r="BK24" i="1"/>
  <c r="BN24" i="1"/>
  <c r="AU24" i="1" s="1"/>
  <c r="BK56" i="1"/>
  <c r="BN56" i="1"/>
  <c r="AU56" i="1" s="1"/>
  <c r="CR56" i="1"/>
  <c r="BJ56" i="1"/>
  <c r="BL56" i="1" s="1"/>
  <c r="P55" i="2" s="1"/>
  <c r="O64" i="2"/>
  <c r="BN49" i="1"/>
  <c r="AU49" i="1" s="1"/>
  <c r="BK49" i="1"/>
  <c r="AT41" i="1"/>
  <c r="O54" i="2"/>
  <c r="AT55" i="1"/>
  <c r="CR37" i="1"/>
  <c r="Q12" i="2"/>
  <c r="AV13" i="1"/>
  <c r="BJ12" i="1"/>
  <c r="BL12" i="1" s="1"/>
  <c r="P11" i="2" s="1"/>
  <c r="CR12" i="1"/>
  <c r="O21" i="2"/>
  <c r="AT22" i="1"/>
  <c r="AU27" i="1"/>
  <c r="BN42" i="1"/>
  <c r="AU42" i="1" s="1"/>
  <c r="BK42" i="1"/>
  <c r="AU59" i="1"/>
  <c r="BN7" i="1"/>
  <c r="AU7" i="1" s="1"/>
  <c r="BK7" i="1"/>
  <c r="AU65" i="1"/>
  <c r="BK8" i="1"/>
  <c r="BN8" i="1"/>
  <c r="AU8" i="1" s="1"/>
  <c r="CR32" i="1"/>
  <c r="BJ32" i="1"/>
  <c r="BL32" i="1" s="1"/>
  <c r="P31" i="2" s="1"/>
  <c r="BK39" i="1"/>
  <c r="BN39" i="1"/>
  <c r="AU39" i="1" s="1"/>
  <c r="O3" i="2"/>
  <c r="AT4" i="1"/>
  <c r="AU55" i="1"/>
  <c r="BJ37" i="1"/>
  <c r="BL37" i="1" s="1"/>
  <c r="P36" i="2" s="1"/>
  <c r="CR19" i="1"/>
  <c r="BJ19" i="1"/>
  <c r="BL19" i="1" s="1"/>
  <c r="P18" i="2" s="1"/>
  <c r="O58" i="2"/>
  <c r="BK47" i="1"/>
  <c r="BN47" i="1"/>
  <c r="AU47" i="1" s="1"/>
  <c r="AU53" i="1"/>
  <c r="BJ8" i="1"/>
  <c r="BL8" i="1" s="1"/>
  <c r="P7" i="2" s="1"/>
  <c r="BN28" i="1"/>
  <c r="BK28" i="1"/>
  <c r="BJ51" i="1"/>
  <c r="BL51" i="1" s="1"/>
  <c r="P50" i="2" s="1"/>
  <c r="BM12" i="1"/>
  <c r="BO12" i="1" s="1"/>
  <c r="AU4" i="1"/>
  <c r="BK50" i="1"/>
  <c r="BN50" i="1"/>
  <c r="O17" i="2"/>
  <c r="AT18" i="1"/>
  <c r="O35" i="2"/>
  <c r="BK44" i="1"/>
  <c r="BN44" i="1"/>
  <c r="BN58" i="1"/>
  <c r="AU58" i="1" s="1"/>
  <c r="BK58" i="1"/>
  <c r="O52" i="2"/>
  <c r="AT53" i="1"/>
  <c r="BJ44" i="1"/>
  <c r="BL44" i="1" s="1"/>
  <c r="P43" i="2" s="1"/>
  <c r="BM44" i="1"/>
  <c r="BO44" i="1" s="1"/>
  <c r="CR44" i="1"/>
  <c r="BJ58" i="1"/>
  <c r="BL58" i="1" s="1"/>
  <c r="P57" i="2" s="1"/>
  <c r="CR58" i="1"/>
  <c r="BM50" i="1"/>
  <c r="BO50" i="1" s="1"/>
  <c r="AU18" i="1"/>
  <c r="CR51" i="1"/>
  <c r="BN37" i="1"/>
  <c r="AU37" i="1" s="1"/>
  <c r="BK37" i="1"/>
  <c r="O51" i="2"/>
  <c r="Q32" i="2"/>
  <c r="AV33" i="1"/>
  <c r="CR28" i="1"/>
  <c r="BJ28" i="1"/>
  <c r="BL28" i="1" s="1"/>
  <c r="P27" i="2" s="1"/>
  <c r="BJ45" i="1"/>
  <c r="BL45" i="1" s="1"/>
  <c r="P44" i="2" s="1"/>
  <c r="CR45" i="1"/>
  <c r="O34" i="2"/>
  <c r="AT35" i="1"/>
  <c r="AU52" i="1"/>
  <c r="BM28" i="1"/>
  <c r="BO28" i="1" s="1"/>
  <c r="CR14" i="1"/>
  <c r="AU9" i="1"/>
  <c r="O30" i="2"/>
  <c r="AT31" i="1"/>
  <c r="P4" i="2"/>
  <c r="AT5" i="1"/>
  <c r="CR27" i="1"/>
  <c r="BJ27" i="1"/>
  <c r="BL27" i="1" s="1"/>
  <c r="P26" i="2" s="1"/>
  <c r="BJ61" i="1"/>
  <c r="BL61" i="1" s="1"/>
  <c r="P60" i="2" s="1"/>
  <c r="CR61" i="1"/>
  <c r="BN57" i="1"/>
  <c r="AU57" i="1" s="1"/>
  <c r="BK57" i="1"/>
  <c r="BN64" i="1"/>
  <c r="AU64" i="1" s="1"/>
  <c r="BK64" i="1"/>
  <c r="O45" i="2"/>
  <c r="AT46" i="1"/>
  <c r="O47" i="2"/>
  <c r="AT48" i="1"/>
  <c r="O24" i="2"/>
  <c r="AT25" i="1"/>
  <c r="BJ47" i="1"/>
  <c r="BL47" i="1" s="1"/>
  <c r="P46" i="2" s="1"/>
  <c r="CR47" i="1"/>
  <c r="BJ11" i="1"/>
  <c r="BL11" i="1" s="1"/>
  <c r="P10" i="2" s="1"/>
  <c r="BK26" i="1"/>
  <c r="BN26" i="1"/>
  <c r="AU26" i="1" s="1"/>
  <c r="Q53" i="2"/>
  <c r="AV54" i="1"/>
  <c r="O62" i="2"/>
  <c r="AT63" i="1"/>
  <c r="CR23" i="1"/>
  <c r="BK17" i="1"/>
  <c r="BN17" i="1"/>
  <c r="AU17" i="1" s="1"/>
  <c r="BM19" i="1"/>
  <c r="BO19" i="1" s="1"/>
  <c r="AU19" i="1" s="1"/>
  <c r="CR36" i="1"/>
  <c r="BJ36" i="1"/>
  <c r="BL36" i="1" s="1"/>
  <c r="P35" i="2" s="1"/>
  <c r="CR43" i="1"/>
  <c r="CR55" i="1"/>
  <c r="BJ55" i="1"/>
  <c r="BL55" i="1" s="1"/>
  <c r="P54" i="2" s="1"/>
  <c r="BJ14" i="1"/>
  <c r="BL14" i="1" s="1"/>
  <c r="P13" i="2" s="1"/>
  <c r="O8" i="2"/>
  <c r="AT9" i="1"/>
  <c r="BN43" i="1"/>
  <c r="AU43" i="1" s="1"/>
  <c r="BK43" i="1"/>
  <c r="BM36" i="1"/>
  <c r="BO36" i="1" s="1"/>
  <c r="AU36" i="1" s="1"/>
  <c r="CR6" i="1"/>
  <c r="BJ6" i="1"/>
  <c r="BL6" i="1" s="1"/>
  <c r="P5" i="2" s="1"/>
  <c r="P39" i="2"/>
  <c r="AT40" i="1"/>
  <c r="CR65" i="1"/>
  <c r="BJ65" i="1"/>
  <c r="BL65" i="1" s="1"/>
  <c r="P64" i="2" s="1"/>
  <c r="BK66" i="1"/>
  <c r="BN66" i="1"/>
  <c r="AU66" i="1" s="1"/>
  <c r="AU46" i="1"/>
  <c r="O13" i="2"/>
  <c r="AT14" i="1"/>
  <c r="BN30" i="1"/>
  <c r="AU30" i="1" s="1"/>
  <c r="BK30" i="1"/>
  <c r="O18" i="2"/>
  <c r="AT19" i="1"/>
  <c r="CR64" i="1"/>
  <c r="BJ64" i="1"/>
  <c r="BL64" i="1" s="1"/>
  <c r="P63" i="2" s="1"/>
  <c r="CR7" i="1"/>
  <c r="BJ7" i="1"/>
  <c r="BL7" i="1" s="1"/>
  <c r="P6" i="2" s="1"/>
  <c r="BJ26" i="1"/>
  <c r="BL26" i="1" s="1"/>
  <c r="P25" i="2" s="1"/>
  <c r="BM42" i="1"/>
  <c r="BO42" i="1" s="1"/>
  <c r="BJ42" i="1"/>
  <c r="BL42" i="1" s="1"/>
  <c r="P41" i="2" s="1"/>
  <c r="AU63" i="1"/>
  <c r="BJ52" i="1"/>
  <c r="BL52" i="1" s="1"/>
  <c r="P51" i="2" s="1"/>
  <c r="BJ43" i="1"/>
  <c r="BL43" i="1" s="1"/>
  <c r="P42" i="2" s="1"/>
  <c r="CR49" i="1"/>
  <c r="BJ49" i="1"/>
  <c r="BL49" i="1" s="1"/>
  <c r="P48" i="2" s="1"/>
  <c r="BM45" i="1"/>
  <c r="BO45" i="1" s="1"/>
  <c r="AU45" i="1" s="1"/>
  <c r="O61" i="2"/>
  <c r="AT62" i="1"/>
  <c r="BJ20" i="1"/>
  <c r="BL20" i="1" s="1"/>
  <c r="P19" i="2" s="1"/>
  <c r="CR20" i="1"/>
  <c r="BJ59" i="1"/>
  <c r="BL59" i="1" s="1"/>
  <c r="P58" i="2" s="1"/>
  <c r="BM49" i="1"/>
  <c r="BO49" i="1" s="1"/>
  <c r="BN6" i="1"/>
  <c r="BK6" i="1"/>
  <c r="BN21" i="1"/>
  <c r="AU21" i="1" s="1"/>
  <c r="BK21" i="1"/>
  <c r="BJ21" i="1"/>
  <c r="BL21" i="1" s="1"/>
  <c r="P20" i="2" s="1"/>
  <c r="O37" i="2"/>
  <c r="AT38" i="1"/>
  <c r="BM27" i="1"/>
  <c r="BO27" i="1" s="1"/>
  <c r="BJ30" i="1"/>
  <c r="BL30" i="1" s="1"/>
  <c r="P29" i="2" s="1"/>
  <c r="BJ50" i="1"/>
  <c r="BL50" i="1" s="1"/>
  <c r="P49" i="2" s="1"/>
  <c r="CR50" i="1"/>
  <c r="BK12" i="1"/>
  <c r="BN12" i="1"/>
  <c r="AT10" i="1"/>
  <c r="O14" i="2"/>
  <c r="AT15" i="1"/>
  <c r="BM6" i="1"/>
  <c r="BO6" i="1" s="1"/>
  <c r="O15" i="2"/>
  <c r="AT16" i="1"/>
  <c r="CR59" i="1"/>
  <c r="BN32" i="1"/>
  <c r="AU32" i="1" s="1"/>
  <c r="BK32" i="1"/>
  <c r="BJ57" i="1"/>
  <c r="BL57" i="1" s="1"/>
  <c r="P56" i="2" s="1"/>
  <c r="CR57" i="1"/>
  <c r="AU14" i="1"/>
  <c r="CR39" i="1"/>
  <c r="BJ39" i="1"/>
  <c r="BL39" i="1" s="1"/>
  <c r="P38" i="2" s="1"/>
  <c r="CR66" i="1"/>
  <c r="BJ66" i="1"/>
  <c r="BL66" i="1" s="1"/>
  <c r="P65" i="2" s="1"/>
  <c r="O44" i="2"/>
  <c r="AT45" i="1"/>
  <c r="BJ34" i="1"/>
  <c r="BL34" i="1" s="1"/>
  <c r="P33" i="2" s="1"/>
  <c r="Q37" i="2" l="1"/>
  <c r="AV38" i="1"/>
  <c r="O31" i="2"/>
  <c r="AT32" i="1"/>
  <c r="O43" i="2"/>
  <c r="AT44" i="1"/>
  <c r="AT59" i="1"/>
  <c r="O6" i="2"/>
  <c r="AT7" i="1"/>
  <c r="O48" i="2"/>
  <c r="AT49" i="1"/>
  <c r="Q33" i="2"/>
  <c r="AV34" i="1"/>
  <c r="Q28" i="2"/>
  <c r="AV29" i="1"/>
  <c r="AU12" i="1"/>
  <c r="Q18" i="2"/>
  <c r="AV19" i="1"/>
  <c r="O65" i="2"/>
  <c r="AT66" i="1"/>
  <c r="O42" i="2"/>
  <c r="AT43" i="1"/>
  <c r="Q24" i="2"/>
  <c r="AV25" i="1"/>
  <c r="O56" i="2"/>
  <c r="AT57" i="1"/>
  <c r="Q30" i="2"/>
  <c r="AV31" i="1"/>
  <c r="O36" i="2"/>
  <c r="AT37" i="1"/>
  <c r="AT36" i="1"/>
  <c r="O23" i="2"/>
  <c r="AT24" i="1"/>
  <c r="O38" i="2"/>
  <c r="AT39" i="1"/>
  <c r="Q59" i="2"/>
  <c r="AV60" i="1"/>
  <c r="Q9" i="2"/>
  <c r="AV10" i="1"/>
  <c r="O11" i="2"/>
  <c r="AT12" i="1"/>
  <c r="O20" i="2"/>
  <c r="AT21" i="1"/>
  <c r="Q61" i="2"/>
  <c r="AV62" i="1"/>
  <c r="O27" i="2"/>
  <c r="AT28" i="1"/>
  <c r="Q15" i="2"/>
  <c r="AV16" i="1"/>
  <c r="O29" i="2"/>
  <c r="AT30" i="1"/>
  <c r="Q8" i="2"/>
  <c r="AV9" i="1"/>
  <c r="Q47" i="2"/>
  <c r="AV48" i="1"/>
  <c r="Q52" i="2"/>
  <c r="AV53" i="1"/>
  <c r="Q17" i="2"/>
  <c r="AV18" i="1"/>
  <c r="AU28" i="1"/>
  <c r="O41" i="2"/>
  <c r="AT42" i="1"/>
  <c r="AT65" i="1"/>
  <c r="O19" i="2"/>
  <c r="AT20" i="1"/>
  <c r="Q39" i="2"/>
  <c r="AV40" i="1"/>
  <c r="Q26" i="2"/>
  <c r="AV27" i="1"/>
  <c r="AT61" i="1"/>
  <c r="AU6" i="1"/>
  <c r="Q13" i="2"/>
  <c r="AV14" i="1"/>
  <c r="O16" i="2"/>
  <c r="AT17" i="1"/>
  <c r="O25" i="2"/>
  <c r="AT26" i="1"/>
  <c r="Q45" i="2"/>
  <c r="AV46" i="1"/>
  <c r="O57" i="2"/>
  <c r="AT58" i="1"/>
  <c r="AU50" i="1"/>
  <c r="Q54" i="2"/>
  <c r="AV55" i="1"/>
  <c r="O22" i="2"/>
  <c r="AT23" i="1"/>
  <c r="Q14" i="2"/>
  <c r="AV15" i="1"/>
  <c r="O49" i="2"/>
  <c r="AT50" i="1"/>
  <c r="O7" i="2"/>
  <c r="AT8" i="1"/>
  <c r="Q21" i="2"/>
  <c r="AV22" i="1"/>
  <c r="AT11" i="1"/>
  <c r="O5" i="2"/>
  <c r="AT6" i="1"/>
  <c r="Q44" i="2"/>
  <c r="AV45" i="1"/>
  <c r="Q62" i="2"/>
  <c r="AV63" i="1"/>
  <c r="O63" i="2"/>
  <c r="AT64" i="1"/>
  <c r="Q4" i="2"/>
  <c r="AV5" i="1"/>
  <c r="Q34" i="2"/>
  <c r="AV35" i="1"/>
  <c r="AT52" i="1"/>
  <c r="AU44" i="1"/>
  <c r="O46" i="2"/>
  <c r="AT47" i="1"/>
  <c r="Q3" i="2"/>
  <c r="AV4" i="1"/>
  <c r="Q40" i="2"/>
  <c r="AV41" i="1"/>
  <c r="O55" i="2"/>
  <c r="AT56" i="1"/>
  <c r="O50" i="2"/>
  <c r="AT51" i="1"/>
  <c r="Q50" i="2" l="1"/>
  <c r="AV51" i="1"/>
  <c r="Q58" i="2"/>
  <c r="AV59" i="1"/>
  <c r="Q22" i="2"/>
  <c r="AV23" i="1"/>
  <c r="Q36" i="2"/>
  <c r="AV37" i="1"/>
  <c r="Q46" i="2"/>
  <c r="AV47" i="1"/>
  <c r="Q64" i="2"/>
  <c r="AV65" i="1"/>
  <c r="Q35" i="2"/>
  <c r="AV36" i="1"/>
  <c r="Q41" i="2"/>
  <c r="AV42" i="1"/>
  <c r="Q63" i="2"/>
  <c r="AV64" i="1"/>
  <c r="Q10" i="2"/>
  <c r="AV11" i="1"/>
  <c r="Q27" i="2"/>
  <c r="AV28" i="1"/>
  <c r="Q60" i="2"/>
  <c r="AV61" i="1"/>
  <c r="Q42" i="2"/>
  <c r="AV43" i="1"/>
  <c r="Q43" i="2"/>
  <c r="AV44" i="1"/>
  <c r="Q55" i="2"/>
  <c r="AV56" i="1"/>
  <c r="Q25" i="2"/>
  <c r="AV26" i="1"/>
  <c r="Q51" i="2"/>
  <c r="AV52" i="1"/>
  <c r="Q7" i="2"/>
  <c r="AV8" i="1"/>
  <c r="Q65" i="2"/>
  <c r="AV66" i="1"/>
  <c r="Q31" i="2"/>
  <c r="AV32" i="1"/>
  <c r="Q16" i="2"/>
  <c r="AV17" i="1"/>
  <c r="Q29" i="2"/>
  <c r="AV30" i="1"/>
  <c r="Q20" i="2"/>
  <c r="AV21" i="1"/>
  <c r="Q38" i="2"/>
  <c r="AV39" i="1"/>
  <c r="Q48" i="2"/>
  <c r="AV49" i="1"/>
  <c r="Q49" i="2"/>
  <c r="AV50" i="1"/>
  <c r="Q56" i="2"/>
  <c r="AV57" i="1"/>
  <c r="Q5" i="2"/>
  <c r="AV6" i="1"/>
  <c r="Q57" i="2"/>
  <c r="AV58" i="1"/>
  <c r="Q19" i="2"/>
  <c r="AV20" i="1"/>
  <c r="Q11" i="2"/>
  <c r="AV12" i="1"/>
  <c r="Q23" i="2"/>
  <c r="AV24" i="1"/>
  <c r="Q6" i="2"/>
  <c r="AV7" i="1"/>
</calcChain>
</file>

<file path=xl/sharedStrings.xml><?xml version="1.0" encoding="utf-8"?>
<sst xmlns="http://schemas.openxmlformats.org/spreadsheetml/2006/main" count="220" uniqueCount="139">
  <si>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</si>
  <si>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</si>
  <si>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</si>
  <si>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</si>
  <si>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</si>
  <si>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</si>
  <si>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</si>
  <si>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</si>
  <si>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($/MWh-fuel)</t>
  </si>
  <si>
    <t>Carbon Content</t>
  </si>
  <si>
    <t>Carbon Inputs - Ethanol Production</t>
  </si>
  <si>
    <t>Carbon Inputs - Ethanol Upgrade</t>
  </si>
  <si>
    <t>Carbon Outputs - Ethanol Production</t>
  </si>
  <si>
    <t>Carbon Outputs - Ethanol Upgrade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</si>
  <si>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</si>
  <si>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</si>
  <si>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</si>
  <si>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</si>
  <si>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</si>
  <si>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</si>
  <si>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</si>
  <si>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</si>
  <si>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</si>
  <si>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</si>
  <si>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</si>
  <si>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</si>
  <si>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</si>
  <si>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process_capture_rate (t-CO2/MWh-ethanol)</t>
  </si>
  <si>
    <t>process_emission_rate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</si>
  <si>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</si>
  <si>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</si>
  <si>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</si>
  <si>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</si>
  <si>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</si>
  <si>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</si>
  <si>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</si>
  <si>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</si>
  <si>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</si>
  <si>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</si>
  <si>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</si>
  <si>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</si>
  <si>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</si>
  <si>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</si>
  <si>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</si>
  <si>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</si>
  <si>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</si>
  <si>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</si>
  <si>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</si>
  <si>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</si>
  <si>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</si>
  <si>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</si>
  <si>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</si>
  <si>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</si>
  <si>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</si>
  <si>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</si>
  <si>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</si>
  <si>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</si>
  <si>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</si>
  <si>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</si>
  <si>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</si>
  <si>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</si>
  <si>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</si>
  <si>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</t>
  </si>
  <si>
    <t>elec_production - ethanol</t>
  </si>
  <si>
    <t>biomass_consumption - ethanol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</si>
  <si>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</si>
  <si>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</si>
  <si>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</si>
  <si>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</si>
  <si>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</si>
  <si>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</si>
  <si>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</si>
  <si>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</si>
  <si>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</si>
  <si>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</si>
  <si>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biomass_consumption</t>
  </si>
  <si>
    <t>natgas_consumption</t>
  </si>
  <si>
    <t>Gasoline Avg (t-CO2/MWh-gasoline)</t>
  </si>
  <si>
    <t>Diesel (t-CO2/MWh-diesel)</t>
  </si>
  <si>
    <t>Jetfuel (t-CO2/MWh-jetfuel)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</si>
  <si>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</si>
  <si>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</si>
  <si>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</si>
  <si>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</si>
  <si>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</si>
  <si>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</si>
  <si>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</si>
  <si>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Gasoline (t-CO2/MWh-ethanol)</t>
  </si>
  <si>
    <t xml:space="preserve"> Diesel (t-CO2/MWh-ethanol)</t>
  </si>
  <si>
    <t>JetFuel (t-CO2/MWh-ethanol)</t>
  </si>
  <si>
    <t>CARBON INPUT - OUTPUT</t>
  </si>
  <si>
    <t>ethanol_production_asset</t>
  </si>
  <si>
    <t>CA_Ethanol_to_Gasoline</t>
  </si>
  <si>
    <t>Ethanol</t>
  </si>
  <si>
    <t>DryMill_Existing_Non_CCS</t>
  </si>
  <si>
    <t>Biomass_Corn</t>
  </si>
  <si>
    <t>NW_Ethanol_to_Gasoline</t>
  </si>
  <si>
    <t>Biochemical_Non_CCS</t>
  </si>
  <si>
    <t>Biomass_Agri</t>
  </si>
  <si>
    <t>SW_Ethanol_to_Gasoline</t>
  </si>
  <si>
    <t>Biochemical_CCS_20</t>
  </si>
  <si>
    <t>TX_Ethanol_to_Gasoline</t>
  </si>
  <si>
    <t>Biochemical_CCS_86</t>
  </si>
  <si>
    <t>NCEN_Ethanol_to_Gasoline</t>
  </si>
  <si>
    <t>Drymill CCS Fermentation</t>
  </si>
  <si>
    <t>CEN_Ethanol_to_Gasoline</t>
  </si>
  <si>
    <t>Drymill CCS Fermentation Exhaust</t>
  </si>
  <si>
    <t>SE_Ethanol_to_Gasoline</t>
  </si>
  <si>
    <t>MIDAT_Ethanol_to_Gasoline</t>
  </si>
  <si>
    <t>NE_Ethanol_to_Gasoline</t>
  </si>
  <si>
    <t>CA_Ethanol_to_Diesel</t>
  </si>
  <si>
    <t>NW_Ethanol_to_Diesel</t>
  </si>
  <si>
    <t>SW_Ethanol_to_Diesel</t>
  </si>
  <si>
    <t>TX_Ethanol_to_Diesel</t>
  </si>
  <si>
    <t>NCEN_Ethanol_to_Diesel</t>
  </si>
  <si>
    <t>CEN_Ethanol_to_Diesel</t>
  </si>
  <si>
    <t>SE_Ethanol_to_Diesel</t>
  </si>
  <si>
    <t>MIDAT_Ethanol_to_Diesel</t>
  </si>
  <si>
    <t>NE_Ethanol_to_Diesel</t>
  </si>
  <si>
    <t>CA_Ethanol_to_JetFuel</t>
  </si>
  <si>
    <t>NW_Ethanol_to_JetFuel</t>
  </si>
  <si>
    <t>SW_Ethanol_to_JetFuel</t>
  </si>
  <si>
    <t>TX_Ethanol_to_JetFuel</t>
  </si>
  <si>
    <t>NCEN_Ethanol_to_JetFuel</t>
  </si>
  <si>
    <t>CEN_Ethanol_to_JetFuel</t>
  </si>
  <si>
    <t>SE_Ethanol_to_JetFuel</t>
  </si>
  <si>
    <t>MIDAT_Ethanol_to_JetFuel</t>
  </si>
  <si>
    <t>NE_Ethanol_to_JetFuel</t>
  </si>
  <si>
    <t>CA_Ethanol_to_Gasoline_Diesel</t>
  </si>
  <si>
    <t>NW_Ethanol_to_Gasoline_Diesel</t>
  </si>
  <si>
    <t>SW_Ethanol_to_Gasoline_Diesel</t>
  </si>
  <si>
    <t>TX_Ethanol_to_Gasoline_Diesel</t>
  </si>
  <si>
    <t>NCEN_Ethanol_to_Gasoline_Diesel</t>
  </si>
  <si>
    <t>CEN_Ethanol_to_Gasoline_Diesel</t>
  </si>
  <si>
    <t>SE_Ethanol_to_Gasoline_Diesel</t>
  </si>
  <si>
    <t>MIDAT_Ethanol_to_Gasoline_Diesel</t>
  </si>
  <si>
    <t>NE_Ethanol_to_Gasoline_Diesel</t>
  </si>
  <si>
    <t>Levelized cost for Ethanol Upgrade Production - $/MWh-fuel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</si>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</sst>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6" fillId="15" borderId="0" xfId="0" applyFont="1" applyFill="1"/>
    <xf numFmtId="0" fontId="2" fillId="16" borderId="0" xfId="0" applyFont="1" applyFill="1"/>
    <xf numFmtId="0" fontId="0" fillId="17" borderId="0" xfId="0" applyFill="1"/>
    <xf numFmtId="0" fontId="7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opLeftCell="AB12" zoomScale="90" zoomScaleNormal="157" workbookViewId="0">
      <selection activeCell="AE69" sqref="AE69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    <col min="131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4</v>
      </c>
      <c r="AU2" s="1" t="s">
        <v>5</v>
      </c>
      <c r="BJ2" s="1" t="s">
        <v>6</v>
      </c>
      <c r="BM2" s="1" t="s">
        <v>7</v>
      </c>
      <c r="BQ2" s="1" t="s">
        <v>8</v>
      </c>
      <c r="BZ2" s="1" t="s">
        <v>9</v>
      </c>
      <c r="CG2" s="1" t="s">
        <v>10</v>
      </c>
      <c r="CI2" s="1" t="s">
        <v>11</v>
      </c>
      <c r="CK2" s="1" t="s">
        <v>12</v>
      </c>
      <c r="CM2" s="1" t="s">
        <v>13</v>
      </c>
      <c r="CR2" s="1" t="s">
        <v>14</v>
      </c>
      <c r="CT2" s="1" t="s">
        <v>15</v>
      </c>
    </row>
    <row r="3" spans="2:112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7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16"/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6"/>
      <c r="AH3" s="14" t="s">
        <v>46</v>
      </c>
      <c r="AI3" s="14" t="s">
        <v>47</v>
      </c>
      <c r="AJ3" s="14" t="s">
        <v>48</v>
      </c>
      <c r="AK3" s="14" t="s">
        <v>49</v>
      </c>
      <c r="AL3" s="14" t="s">
        <v>50</v>
      </c>
      <c r="AM3" s="27" t="s">
        <v>51</v>
      </c>
      <c r="AN3" s="14" t="s">
        <v>52</v>
      </c>
      <c r="AO3" s="14" t="s">
        <v>53</v>
      </c>
      <c r="AP3" s="14" t="s">
        <v>54</v>
      </c>
      <c r="AR3" s="4" t="s">
        <v>55</v>
      </c>
      <c r="AS3" s="4" t="s">
        <v>56</v>
      </c>
      <c r="AT3" s="3" t="s">
        <v>57</v>
      </c>
      <c r="AU3" s="6" t="s">
        <v>57</v>
      </c>
      <c r="AV3" s="7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4" t="s">
        <v>71</v>
      </c>
      <c r="BJ3" s="3" t="s">
        <v>4</v>
      </c>
      <c r="BK3" s="3" t="s">
        <v>72</v>
      </c>
      <c r="BL3" s="3" t="s">
        <v>73</v>
      </c>
      <c r="BM3" s="6" t="s">
        <v>4</v>
      </c>
      <c r="BN3" s="6" t="s">
        <v>72</v>
      </c>
      <c r="BO3" s="6" t="s">
        <v>73</v>
      </c>
      <c r="BP3" s="16"/>
      <c r="BQ3" s="4" t="s">
        <v>74</v>
      </c>
      <c r="BR3" s="4" t="s">
        <v>62</v>
      </c>
      <c r="BS3" s="4" t="s">
        <v>60</v>
      </c>
      <c r="BT3" s="4" t="s">
        <v>75</v>
      </c>
      <c r="BU3" s="4" t="s">
        <v>76</v>
      </c>
      <c r="BV3" s="4" t="s">
        <v>66</v>
      </c>
      <c r="BW3" s="4" t="s">
        <v>68</v>
      </c>
      <c r="BX3" s="4" t="s">
        <v>70</v>
      </c>
      <c r="BZ3" s="7" t="s">
        <v>77</v>
      </c>
      <c r="CA3" s="7" t="s">
        <v>78</v>
      </c>
      <c r="CB3" s="7" t="s">
        <v>79</v>
      </c>
      <c r="CC3" s="7" t="s">
        <v>80</v>
      </c>
      <c r="CD3" s="7" t="s">
        <v>81</v>
      </c>
      <c r="CE3" s="7" t="s">
        <v>82</v>
      </c>
      <c r="CG3" s="7" t="s">
        <v>83</v>
      </c>
      <c r="CH3" s="7" t="s">
        <v>84</v>
      </c>
      <c r="CI3" s="7" t="s">
        <v>82</v>
      </c>
      <c r="CK3" s="7" t="s">
        <v>85</v>
      </c>
      <c r="CL3" s="7" t="s">
        <v>86</v>
      </c>
      <c r="CM3" s="7" t="s">
        <v>87</v>
      </c>
      <c r="CN3" s="7" t="s">
        <v>88</v>
      </c>
      <c r="CO3" s="29" t="s">
        <v>89</v>
      </c>
      <c r="CP3" s="7" t="s">
        <v>85</v>
      </c>
      <c r="CR3" s="7" t="s">
        <v>90</v>
      </c>
      <c r="CT3" s="2" t="s">
        <v>91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D3" s="2" t="s">
        <v>41</v>
      </c>
      <c r="DE3" s="2" t="s">
        <v>42</v>
      </c>
      <c r="DF3" s="2" t="s">
        <v>43</v>
      </c>
      <c r="DG3" s="2" t="s">
        <v>44</v>
      </c>
      <c r="DH3" s="2" t="s">
        <v>45</v>
      </c>
    </row>
    <row r="4" spans="2:112" x14ac:dyDescent="0.2">
      <c r="B4" s="22" t="s">
        <v>92</v>
      </c>
      <c r="C4" s="23" t="s">
        <v>93</v>
      </c>
      <c r="D4" s="23">
        <v>6</v>
      </c>
      <c r="E4" s="23" t="str">
        <f t="shared" ref="E4:E35" si="0">S4</f>
        <v>Drymill CCS Fermentation Exhaust</v>
      </c>
      <c r="F4" s="22">
        <v>0</v>
      </c>
      <c r="G4" s="22">
        <v>0</v>
      </c>
      <c r="H4" s="22">
        <v>0</v>
      </c>
      <c r="I4" s="22">
        <v>0.94525743299999998</v>
      </c>
      <c r="J4" s="22">
        <v>0</v>
      </c>
      <c r="K4" s="22">
        <v>0</v>
      </c>
      <c r="L4" s="28">
        <f t="shared" ref="L4:L35" si="1">SUM(I4:K4)</f>
        <v>0.94525743299999998</v>
      </c>
      <c r="M4" s="22">
        <v>0</v>
      </c>
      <c r="N4" s="22">
        <v>1.8863899999999999E-3</v>
      </c>
      <c r="O4" s="22">
        <v>221829.87959999999</v>
      </c>
      <c r="P4" s="22">
        <v>121537.99649999999</v>
      </c>
      <c r="Q4" s="22">
        <v>5.38</v>
      </c>
      <c r="S4" s="17" t="str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105.21100300000001</v>
      </c>
      <c r="AI4" s="15">
        <v>-6.4122130000000004</v>
      </c>
      <c r="AJ4" s="15">
        <v>313632.96735400002</v>
      </c>
      <c r="AK4" s="15">
        <v>154.036981</v>
      </c>
      <c r="AL4" s="15">
        <v>132.85973799999999</v>
      </c>
      <c r="AM4" s="15">
        <v>160</v>
      </c>
      <c r="AN4" s="15">
        <v>36.488697999999999</v>
      </c>
      <c r="AO4" s="15">
        <v>29.796641999999999</v>
      </c>
      <c r="AP4" s="15">
        <v>13.71857</v>
      </c>
      <c r="AR4" s="1" t="str">
        <f t="shared" ref="AR4:AR35" si="2">B4</f>
        <v>CA_Ethanol_to_Gasoline</v>
      </c>
      <c r="AS4" s="1" t="str">
        <f t="shared" ref="AS4:AS35" si="3">C4</f>
        <v>Ethanol</v>
      </c>
      <c r="AT4" s="11">
        <f t="shared" ref="AT4:AT35" si="4">SUM(AW4:BI4)+BK4+BL4</f>
        <v>92.490310018989177</v>
      </c>
      <c r="AU4" s="11">
        <f t="shared" ref="AU4:AU35" si="5">SUM(AW4:BI4)+BN4+BO4</f>
        <v>92.849701313321006</v>
      </c>
      <c r="AV4" s="5">
        <f t="shared" ref="AV4:AV35" si="6">AT4-AU4</f>
        <v>-0.3593912943318287</v>
      </c>
      <c r="AW4" s="5">
        <f t="shared" ref="AW4:AW35" si="7">F4/L4*AO4</f>
        <v>0</v>
      </c>
      <c r="AX4" s="1">
        <f t="shared" ref="AX4:AX35" si="8">G4/L4*AN4</f>
        <v>0</v>
      </c>
      <c r="AY4" s="1">
        <f t="shared" ref="AY4:AY35" si="9">BS4</f>
        <v>1.0612220867874955</v>
      </c>
      <c r="AZ4" s="1">
        <f t="shared" ref="AZ4:AZ35" si="10">H4/L4</f>
        <v>0</v>
      </c>
      <c r="BA4" s="1">
        <f t="shared" ref="BA4:BA35" si="11">BR4</f>
        <v>0</v>
      </c>
      <c r="BB4" s="1">
        <f t="shared" ref="BB4:BB35" si="12">BT4</f>
        <v>54.525653721883842</v>
      </c>
      <c r="BC4" s="1">
        <f t="shared" ref="BC4:BC35" si="13">BU4</f>
        <v>4.7377220570098801</v>
      </c>
      <c r="BD4" s="1">
        <f t="shared" ref="BD4:BD35" si="14">O4/L4/(0.9*8760)</f>
        <v>29.766195291688515</v>
      </c>
      <c r="BE4" s="1">
        <f t="shared" ref="BE4:BE35" si="15">BV4</f>
        <v>6.609369191043487E-6</v>
      </c>
      <c r="BF4" s="1">
        <f t="shared" ref="BF4:BF35" si="16">P4/L4/(0.9*8760)</f>
        <v>16.308550253477915</v>
      </c>
      <c r="BG4" s="1">
        <f t="shared" ref="BG4:BG35" si="17">BW4</f>
        <v>1.4019874133296636E-6</v>
      </c>
      <c r="BH4" s="1">
        <f t="shared" ref="BH4:BH35" si="18">Q4/L4</f>
        <v>5.6915712187792975</v>
      </c>
      <c r="BI4" s="1">
        <f t="shared" ref="BI4:BI35" si="19">BX4</f>
        <v>-8.6150532880576485</v>
      </c>
      <c r="BJ4" s="1">
        <f t="shared" ref="BJ4:BJ35" si="20">SUM(CK4:CP4)-CG4</f>
        <v>5.8983607984325448E-2</v>
      </c>
      <c r="BK4" s="1">
        <f t="shared" ref="BK4:BK35" si="21">((AH4+AI4)*-1*CL4)/L4</f>
        <v>-17.191283890526428</v>
      </c>
      <c r="BL4" s="1">
        <f t="shared" ref="BL4:BL35" si="22">BJ4*AH4</f>
        <v>6.205724556589689</v>
      </c>
      <c r="BM4" s="1">
        <f t="shared" ref="BM4:BM35" si="23">(CK4+CM4+CN4+CO4+CP4-CG4)/L4</f>
        <v>-0.11160346233613271</v>
      </c>
      <c r="BN4" s="1">
        <f t="shared" ref="BN4:BN35" si="24">(CL4*AI4*-1)/L4</f>
        <v>1.1157441710523393</v>
      </c>
      <c r="BO4" s="1">
        <f t="shared" ref="BO4:BO35" si="25">BM4*AH4</f>
        <v>-11.741912210657246</v>
      </c>
      <c r="BQ4" s="1" t="str">
        <f t="shared" ref="BQ4:BQ35" si="26">S4</f>
        <v>Drymill CCS Fermentation Exhaust</v>
      </c>
      <c r="BR4" s="1">
        <f t="shared" ref="BR4:BR35" si="27">U4/W4/L4*AN4*-1</f>
        <v>0</v>
      </c>
      <c r="BS4" s="1">
        <f t="shared" ref="BS4:BS35" si="28">V4/W4/L4*AN4</f>
        <v>1.0612220867874955</v>
      </c>
      <c r="BT4" s="1">
        <f t="array" ref="BT4">_xlfn.IFS(T4="Biomass_Corn", 1/W4/L4*AM4, T4="Biomass_Agri", 1/W4/L4*AL4, T4="Biomass_Wood", 1/W4/L4*AK4, T4="Biomass_Herb", 1/W4/L4*AJ4)</f>
        <v>54.525653721883842</v>
      </c>
      <c r="BU4" s="1">
        <f t="shared" ref="BU4:BU35" si="29">X4/W4/L4*AP4</f>
        <v>4.7377220570098801</v>
      </c>
      <c r="BV4" s="1">
        <f t="shared" ref="BV4:BV35" si="30">AB4/W4/L4/(0.9*8760)</f>
        <v>6.609369191043487E-6</v>
      </c>
      <c r="BW4" s="1">
        <f t="shared" ref="BW4:BW35" si="31">AC4/W4/L4/(0.9*8760)</f>
        <v>1.4019874133296636E-6</v>
      </c>
      <c r="BX4" s="1">
        <f t="shared" ref="BX4:BX35" si="32">AF4/W4/L4</f>
        <v>-8.6150532880576485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33">Y4</f>
        <v>1.7588666580000001</v>
      </c>
      <c r="CD4" s="10">
        <v>0.1828908353</v>
      </c>
      <c r="CE4" s="9">
        <v>0.23037490999999999</v>
      </c>
      <c r="CG4" s="10">
        <f t="shared" ref="CG4:CG35" si="34">CC4/W4</f>
        <v>0.56658349085470638</v>
      </c>
      <c r="CH4" s="10">
        <f t="shared" ref="CH4:CH35" si="35">IF(X4=0, 0, CD4*X4/W4)</f>
        <v>5.9703910798172485E-2</v>
      </c>
      <c r="CI4" s="10">
        <f t="shared" ref="CI4:CI35" si="36">CE4</f>
        <v>0.23037490999999999</v>
      </c>
      <c r="CK4" s="17">
        <f t="shared" ref="CK4:CK35" si="37">(AA4+AC4)/W4</f>
        <v>0.23143487956439487</v>
      </c>
      <c r="CL4" s="17">
        <f t="shared" ref="CL4:CL35" si="38">(Z4+AB4)/W4</f>
        <v>0.16447761030609043</v>
      </c>
      <c r="CM4" s="10">
        <f t="shared" ref="CM4:CM35" si="39">BZ4*I4</f>
        <v>0.22776821896854649</v>
      </c>
      <c r="CN4" s="10">
        <f t="shared" ref="CN4:CN35" si="40">CA4*J4</f>
        <v>0</v>
      </c>
      <c r="CO4" s="10">
        <f t="shared" ref="CO4:CO35" si="41">CB4*K4</f>
        <v>0</v>
      </c>
      <c r="CP4" s="10">
        <f t="shared" ref="CP4:CP35" si="42">(N4)</f>
        <v>1.8863899999999999E-3</v>
      </c>
      <c r="CR4" s="1">
        <f t="shared" ref="CR4:CR35" si="43">SUM(CG4:CH4)-SUM(CK4:CP4)</f>
        <v>7.203028138470513E-4</v>
      </c>
      <c r="CT4" s="13">
        <v>1</v>
      </c>
      <c r="CU4" s="13" t="s">
        <v>94</v>
      </c>
      <c r="CV4" s="12" t="s">
        <v>95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322562.05</v>
      </c>
      <c r="DG4" s="25">
        <v>176727.97</v>
      </c>
      <c r="DH4" s="25">
        <v>-25.41</v>
      </c>
    </row>
    <row r="5" spans="2:112" x14ac:dyDescent="0.2">
      <c r="B5" s="22" t="s">
        <v>96</v>
      </c>
      <c r="C5" s="23" t="s">
        <v>93</v>
      </c>
      <c r="D5" s="23">
        <v>6</v>
      </c>
      <c r="E5" s="23" t="str">
        <f t="shared" si="0"/>
        <v>Drymill CCS Fermentation Exhaust</v>
      </c>
      <c r="F5" s="22">
        <v>0</v>
      </c>
      <c r="G5" s="22">
        <v>0</v>
      </c>
      <c r="H5" s="22">
        <v>0</v>
      </c>
      <c r="I5" s="22">
        <v>0.94525743299999998</v>
      </c>
      <c r="J5" s="22">
        <v>0</v>
      </c>
      <c r="K5" s="22">
        <v>0</v>
      </c>
      <c r="L5" s="28">
        <f t="shared" si="1"/>
        <v>0.94525743299999998</v>
      </c>
      <c r="M5" s="22">
        <v>0</v>
      </c>
      <c r="N5" s="22">
        <v>1.8863899999999999E-3</v>
      </c>
      <c r="O5" s="22">
        <v>221829.87959999999</v>
      </c>
      <c r="P5" s="22">
        <v>121537.99649999999</v>
      </c>
      <c r="Q5" s="22">
        <v>5.38</v>
      </c>
      <c r="S5" s="17" t="str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105.21100300000001</v>
      </c>
      <c r="AI5" s="15">
        <v>-7.3796590000000002</v>
      </c>
      <c r="AJ5" s="15">
        <v>130.996602</v>
      </c>
      <c r="AK5" s="15">
        <v>149.05667199999999</v>
      </c>
      <c r="AL5" s="15">
        <v>112.26938</v>
      </c>
      <c r="AM5" s="15">
        <v>160</v>
      </c>
      <c r="AN5" s="15">
        <v>26.787863000000002</v>
      </c>
      <c r="AO5" s="15">
        <v>27.898395000000001</v>
      </c>
      <c r="AP5" s="15">
        <v>13.719440000000001</v>
      </c>
      <c r="AR5" s="1" t="str">
        <f t="shared" si="2"/>
        <v>NW_Ethanol_to_Gasoline</v>
      </c>
      <c r="AS5" s="1" t="str">
        <f t="shared" si="3"/>
        <v>Ethanol</v>
      </c>
      <c r="AT5" s="11">
        <f t="shared" si="4"/>
        <v>92.376813918924341</v>
      </c>
      <c r="AU5" s="11">
        <f t="shared" si="5"/>
        <v>92.73620521325617</v>
      </c>
      <c r="AV5" s="5">
        <f t="shared" si="6"/>
        <v>-0.3593912943318287</v>
      </c>
      <c r="AW5" s="5">
        <f t="shared" si="7"/>
        <v>0</v>
      </c>
      <c r="AX5" s="1">
        <f t="shared" si="8"/>
        <v>0</v>
      </c>
      <c r="AY5" s="1">
        <f t="shared" si="9"/>
        <v>0.77908704425237485</v>
      </c>
      <c r="AZ5" s="1">
        <f t="shared" si="10"/>
        <v>0</v>
      </c>
      <c r="BA5" s="1">
        <f t="shared" si="11"/>
        <v>0</v>
      </c>
      <c r="BB5" s="1">
        <f t="shared" si="12"/>
        <v>54.525653721883842</v>
      </c>
      <c r="BC5" s="1">
        <f t="shared" si="13"/>
        <v>4.7380225123918622</v>
      </c>
      <c r="BD5" s="1">
        <f t="shared" si="14"/>
        <v>29.766195291688515</v>
      </c>
      <c r="BE5" s="1">
        <f t="shared" si="15"/>
        <v>6.609369191043487E-6</v>
      </c>
      <c r="BF5" s="1">
        <f t="shared" si="16"/>
        <v>16.308550253477915</v>
      </c>
      <c r="BG5" s="1">
        <f t="shared" si="17"/>
        <v>1.4019874133296636E-6</v>
      </c>
      <c r="BH5" s="1">
        <f t="shared" si="18"/>
        <v>5.6915712187792975</v>
      </c>
      <c r="BI5" s="1">
        <f t="shared" si="19"/>
        <v>-8.6150532880576485</v>
      </c>
      <c r="BJ5" s="1">
        <f t="shared" si="20"/>
        <v>5.8983607984325448E-2</v>
      </c>
      <c r="BK5" s="1">
        <f t="shared" si="21"/>
        <v>-17.022945403438133</v>
      </c>
      <c r="BL5" s="1">
        <f t="shared" si="22"/>
        <v>6.205724556589689</v>
      </c>
      <c r="BM5" s="1">
        <f t="shared" si="23"/>
        <v>-0.11160346233613271</v>
      </c>
      <c r="BN5" s="1">
        <f t="shared" si="24"/>
        <v>1.2840826581406348</v>
      </c>
      <c r="BO5" s="1">
        <f t="shared" si="25"/>
        <v>-11.741912210657246</v>
      </c>
      <c r="BQ5" s="1" t="str">
        <f t="shared" si="26"/>
        <v>Drymill CCS Fermentation Exhaust</v>
      </c>
      <c r="BR5" s="1">
        <f t="shared" si="27"/>
        <v>0</v>
      </c>
      <c r="BS5" s="1">
        <f t="shared" si="28"/>
        <v>0.77908704425237485</v>
      </c>
      <c r="BT5" s="1">
        <f t="array" ref="BT5">_xlfn.IFS(T5="Biomass_Corn", 1/W5/L5*AM5, T5="Biomass_Agri", 1/W5/L5*AL5, T5="Biomass_Wood", 1/W5/L5*AK5, T5="Biomass_Herb", 1/W5/L5*AJ5)</f>
        <v>54.525653721883842</v>
      </c>
      <c r="BU5" s="1">
        <f t="shared" si="29"/>
        <v>4.7380225123918622</v>
      </c>
      <c r="BV5" s="1">
        <f t="shared" si="30"/>
        <v>6.609369191043487E-6</v>
      </c>
      <c r="BW5" s="1">
        <f t="shared" si="31"/>
        <v>1.4019874133296636E-6</v>
      </c>
      <c r="BX5" s="1">
        <f t="shared" si="32"/>
        <v>-8.6150532880576485</v>
      </c>
      <c r="BZ5" s="9">
        <v>0.24095892930000001</v>
      </c>
      <c r="CA5" s="9">
        <v>0.24182836229999999</v>
      </c>
      <c r="CB5" s="9">
        <v>0.24025514140000001</v>
      </c>
      <c r="CC5" s="17">
        <f t="shared" si="33"/>
        <v>1.7588666580000001</v>
      </c>
      <c r="CD5" s="10">
        <v>0.1828908353</v>
      </c>
      <c r="CE5" s="9">
        <v>0.23037490999999999</v>
      </c>
      <c r="CG5" s="10">
        <f t="shared" si="34"/>
        <v>0.56658349085470638</v>
      </c>
      <c r="CH5" s="10">
        <f t="shared" si="35"/>
        <v>5.9703910798172485E-2</v>
      </c>
      <c r="CI5" s="10">
        <f t="shared" si="36"/>
        <v>0.23037490999999999</v>
      </c>
      <c r="CK5" s="17">
        <f t="shared" si="37"/>
        <v>0.23143487956439487</v>
      </c>
      <c r="CL5" s="17">
        <f t="shared" si="38"/>
        <v>0.16447761030609043</v>
      </c>
      <c r="CM5" s="10">
        <f t="shared" si="39"/>
        <v>0.22776821896854649</v>
      </c>
      <c r="CN5" s="10">
        <f t="shared" si="40"/>
        <v>0</v>
      </c>
      <c r="CO5" s="10">
        <f t="shared" si="41"/>
        <v>0</v>
      </c>
      <c r="CP5" s="10">
        <f t="shared" si="42"/>
        <v>1.8863899999999999E-3</v>
      </c>
      <c r="CR5" s="1">
        <f t="shared" si="43"/>
        <v>7.203028138470513E-4</v>
      </c>
      <c r="CT5" s="13">
        <v>2</v>
      </c>
      <c r="CU5" s="13" t="s">
        <v>97</v>
      </c>
      <c r="CV5" s="12" t="s">
        <v>98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99</v>
      </c>
      <c r="C6" s="23" t="s">
        <v>93</v>
      </c>
      <c r="D6" s="23">
        <v>6</v>
      </c>
      <c r="E6" s="23" t="str">
        <f t="shared" si="0"/>
        <v>Drymill CCS Fermentation Exhaust</v>
      </c>
      <c r="F6" s="22">
        <v>0</v>
      </c>
      <c r="G6" s="22">
        <v>0</v>
      </c>
      <c r="H6" s="22">
        <v>0</v>
      </c>
      <c r="I6" s="22">
        <v>0.94525743299999998</v>
      </c>
      <c r="J6" s="22">
        <v>0</v>
      </c>
      <c r="K6" s="22">
        <v>0</v>
      </c>
      <c r="L6" s="28">
        <f t="shared" si="1"/>
        <v>0.94525743299999998</v>
      </c>
      <c r="M6" s="22">
        <v>0</v>
      </c>
      <c r="N6" s="22">
        <v>1.8863899999999999E-3</v>
      </c>
      <c r="O6" s="22">
        <v>221829.87959999999</v>
      </c>
      <c r="P6" s="22">
        <v>121537.99649999999</v>
      </c>
      <c r="Q6" s="22">
        <v>5.38</v>
      </c>
      <c r="S6" s="17" t="str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105.21100300000001</v>
      </c>
      <c r="AI6" s="15">
        <v>-14.567418</v>
      </c>
      <c r="AJ6" s="15">
        <v>120.282189</v>
      </c>
      <c r="AK6" s="15">
        <v>137.475031</v>
      </c>
      <c r="AL6" s="15">
        <v>107.559866</v>
      </c>
      <c r="AM6" s="15">
        <v>160</v>
      </c>
      <c r="AN6" s="15">
        <v>27.957547000000002</v>
      </c>
      <c r="AO6" s="15">
        <v>26.470402</v>
      </c>
      <c r="AP6" s="15">
        <v>13.719351</v>
      </c>
      <c r="AR6" s="1" t="str">
        <f t="shared" si="2"/>
        <v>SW_Ethanol_to_Gasoline</v>
      </c>
      <c r="AS6" s="1" t="str">
        <f t="shared" si="3"/>
        <v>Ethanol</v>
      </c>
      <c r="AT6" s="11">
        <f t="shared" si="4"/>
        <v>93.661493270959554</v>
      </c>
      <c r="AU6" s="11">
        <f t="shared" si="5"/>
        <v>94.020884565291382</v>
      </c>
      <c r="AV6" s="5">
        <f t="shared" si="6"/>
        <v>-0.3593912943318287</v>
      </c>
      <c r="AW6" s="5">
        <f t="shared" si="7"/>
        <v>0</v>
      </c>
      <c r="AX6" s="1">
        <f t="shared" si="8"/>
        <v>0</v>
      </c>
      <c r="AY6" s="1">
        <f t="shared" si="9"/>
        <v>0.81310564626886628</v>
      </c>
      <c r="AZ6" s="1">
        <f t="shared" si="10"/>
        <v>0</v>
      </c>
      <c r="BA6" s="1">
        <f t="shared" si="11"/>
        <v>0</v>
      </c>
      <c r="BB6" s="1">
        <f t="shared" si="12"/>
        <v>54.525653721883842</v>
      </c>
      <c r="BC6" s="1">
        <f t="shared" si="13"/>
        <v>4.7379917761516364</v>
      </c>
      <c r="BD6" s="1">
        <f t="shared" si="14"/>
        <v>29.766195291688515</v>
      </c>
      <c r="BE6" s="1">
        <f t="shared" si="15"/>
        <v>6.609369191043487E-6</v>
      </c>
      <c r="BF6" s="1">
        <f t="shared" si="16"/>
        <v>16.308550253477915</v>
      </c>
      <c r="BG6" s="1">
        <f t="shared" si="17"/>
        <v>1.4019874133296636E-6</v>
      </c>
      <c r="BH6" s="1">
        <f t="shared" si="18"/>
        <v>5.6915712187792975</v>
      </c>
      <c r="BI6" s="1">
        <f t="shared" si="19"/>
        <v>-8.6150532880576485</v>
      </c>
      <c r="BJ6" s="1">
        <f t="shared" si="20"/>
        <v>5.8983607984325448E-2</v>
      </c>
      <c r="BK6" s="1">
        <f t="shared" si="21"/>
        <v>-15.772253917179178</v>
      </c>
      <c r="BL6" s="1">
        <f t="shared" si="22"/>
        <v>6.205724556589689</v>
      </c>
      <c r="BM6" s="1">
        <f t="shared" si="23"/>
        <v>-0.11160346233613271</v>
      </c>
      <c r="BN6" s="1">
        <f t="shared" si="24"/>
        <v>2.5347741443995893</v>
      </c>
      <c r="BO6" s="1">
        <f t="shared" si="25"/>
        <v>-11.741912210657246</v>
      </c>
      <c r="BQ6" s="1" t="str">
        <f t="shared" si="26"/>
        <v>Drymill CCS Fermentation Exhaust</v>
      </c>
      <c r="BR6" s="1">
        <f t="shared" si="27"/>
        <v>0</v>
      </c>
      <c r="BS6" s="1">
        <f t="shared" si="28"/>
        <v>0.81310564626886628</v>
      </c>
      <c r="BT6" s="1">
        <f t="array" ref="BT6">_xlfn.IFS(T6="Biomass_Corn", 1/W6/L6*AM6, T6="Biomass_Agri", 1/W6/L6*AL6, T6="Biomass_Wood", 1/W6/L6*AK6, T6="Biomass_Herb", 1/W6/L6*AJ6)</f>
        <v>54.525653721883842</v>
      </c>
      <c r="BU6" s="1">
        <f t="shared" si="29"/>
        <v>4.7379917761516364</v>
      </c>
      <c r="BV6" s="1">
        <f t="shared" si="30"/>
        <v>6.609369191043487E-6</v>
      </c>
      <c r="BW6" s="1">
        <f t="shared" si="31"/>
        <v>1.4019874133296636E-6</v>
      </c>
      <c r="BX6" s="1">
        <f t="shared" si="32"/>
        <v>-8.6150532880576485</v>
      </c>
      <c r="BZ6" s="9">
        <v>0.24095892930000001</v>
      </c>
      <c r="CA6" s="9">
        <v>0.24182836229999999</v>
      </c>
      <c r="CB6" s="9">
        <v>0.24025514140000001</v>
      </c>
      <c r="CC6" s="17">
        <f t="shared" si="33"/>
        <v>1.7588666580000001</v>
      </c>
      <c r="CD6" s="10">
        <v>0.1828908353</v>
      </c>
      <c r="CE6" s="9">
        <v>0.23037490999999999</v>
      </c>
      <c r="CG6" s="10">
        <f t="shared" si="34"/>
        <v>0.56658349085470638</v>
      </c>
      <c r="CH6" s="10">
        <f t="shared" si="35"/>
        <v>5.9703910798172485E-2</v>
      </c>
      <c r="CI6" s="10">
        <f t="shared" si="36"/>
        <v>0.23037490999999999</v>
      </c>
      <c r="CK6" s="17">
        <f t="shared" si="37"/>
        <v>0.23143487956439487</v>
      </c>
      <c r="CL6" s="17">
        <f t="shared" si="38"/>
        <v>0.16447761030609043</v>
      </c>
      <c r="CM6" s="10">
        <f t="shared" si="39"/>
        <v>0.22776821896854649</v>
      </c>
      <c r="CN6" s="10">
        <f t="shared" si="40"/>
        <v>0</v>
      </c>
      <c r="CO6" s="10">
        <f t="shared" si="41"/>
        <v>0</v>
      </c>
      <c r="CP6" s="10">
        <f t="shared" si="42"/>
        <v>1.8863899999999999E-3</v>
      </c>
      <c r="CR6" s="1">
        <f t="shared" si="43"/>
        <v>7.203028138470513E-4</v>
      </c>
      <c r="CT6" s="13">
        <v>3</v>
      </c>
      <c r="CU6" s="13" t="s">
        <v>100</v>
      </c>
      <c r="CV6" s="12" t="s">
        <v>98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101</v>
      </c>
      <c r="C7" s="23" t="s">
        <v>93</v>
      </c>
      <c r="D7" s="23">
        <v>6</v>
      </c>
      <c r="E7" s="23" t="str">
        <f t="shared" si="0"/>
        <v>Drymill CCS Fermentation Exhaust</v>
      </c>
      <c r="F7" s="22">
        <v>0</v>
      </c>
      <c r="G7" s="22">
        <v>0</v>
      </c>
      <c r="H7" s="22">
        <v>0</v>
      </c>
      <c r="I7" s="22">
        <v>0.94525743299999998</v>
      </c>
      <c r="J7" s="22">
        <v>0</v>
      </c>
      <c r="K7" s="22">
        <v>0</v>
      </c>
      <c r="L7" s="28">
        <f t="shared" si="1"/>
        <v>0.94525743299999998</v>
      </c>
      <c r="M7" s="22">
        <v>0</v>
      </c>
      <c r="N7" s="22">
        <v>1.8863899999999999E-3</v>
      </c>
      <c r="O7" s="22">
        <v>221829.87959999999</v>
      </c>
      <c r="P7" s="22">
        <v>121537.99649999999</v>
      </c>
      <c r="Q7" s="22">
        <v>5.38</v>
      </c>
      <c r="S7" s="17" t="str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105.21100300000001</v>
      </c>
      <c r="AI7" s="15">
        <v>-19.477884</v>
      </c>
      <c r="AJ7" s="15">
        <v>132.95547999999999</v>
      </c>
      <c r="AK7" s="15">
        <v>152.57709199999999</v>
      </c>
      <c r="AL7" s="15">
        <v>106.67488899999999</v>
      </c>
      <c r="AM7" s="15">
        <v>160</v>
      </c>
      <c r="AN7" s="15">
        <v>20.174973000000001</v>
      </c>
      <c r="AO7" s="15">
        <v>18.805643</v>
      </c>
      <c r="AP7" s="15">
        <v>13.326032</v>
      </c>
      <c r="AR7" s="1" t="str">
        <f t="shared" si="2"/>
        <v>TX_Ethanol_to_Gasoline</v>
      </c>
      <c r="AS7" s="1" t="str">
        <f t="shared" si="3"/>
        <v>Ethanol</v>
      </c>
      <c r="AT7" s="11">
        <f t="shared" si="4"/>
        <v>94.153750734262545</v>
      </c>
      <c r="AU7" s="11">
        <f t="shared" si="5"/>
        <v>94.513142028594373</v>
      </c>
      <c r="AV7" s="5">
        <f t="shared" si="6"/>
        <v>-0.3593912943318287</v>
      </c>
      <c r="AW7" s="5">
        <f t="shared" si="7"/>
        <v>0</v>
      </c>
      <c r="AX7" s="1">
        <f t="shared" si="8"/>
        <v>0</v>
      </c>
      <c r="AY7" s="1">
        <f t="shared" si="9"/>
        <v>0.58676050726560269</v>
      </c>
      <c r="AZ7" s="1">
        <f t="shared" si="10"/>
        <v>0</v>
      </c>
      <c r="BA7" s="1">
        <f t="shared" si="11"/>
        <v>0</v>
      </c>
      <c r="BB7" s="1">
        <f t="shared" si="12"/>
        <v>54.525653721883842</v>
      </c>
      <c r="BC7" s="1">
        <f t="shared" si="13"/>
        <v>4.6021586607656255</v>
      </c>
      <c r="BD7" s="1">
        <f t="shared" si="14"/>
        <v>29.766195291688515</v>
      </c>
      <c r="BE7" s="1">
        <f t="shared" si="15"/>
        <v>6.609369191043487E-6</v>
      </c>
      <c r="BF7" s="1">
        <f t="shared" si="16"/>
        <v>16.308550253477915</v>
      </c>
      <c r="BG7" s="1">
        <f t="shared" si="17"/>
        <v>1.4019874133296636E-6</v>
      </c>
      <c r="BH7" s="1">
        <f t="shared" si="18"/>
        <v>5.6915712187792975</v>
      </c>
      <c r="BI7" s="1">
        <f t="shared" si="19"/>
        <v>-8.6150532880576485</v>
      </c>
      <c r="BJ7" s="1">
        <f t="shared" si="20"/>
        <v>5.8983607984325448E-2</v>
      </c>
      <c r="BK7" s="1">
        <f t="shared" si="21"/>
        <v>-14.917818199486907</v>
      </c>
      <c r="BL7" s="1">
        <f t="shared" si="22"/>
        <v>6.205724556589689</v>
      </c>
      <c r="BM7" s="1">
        <f t="shared" si="23"/>
        <v>-0.11160346233613271</v>
      </c>
      <c r="BN7" s="1">
        <f t="shared" si="24"/>
        <v>3.389209862091858</v>
      </c>
      <c r="BO7" s="1">
        <f t="shared" si="25"/>
        <v>-11.741912210657246</v>
      </c>
      <c r="BQ7" s="1" t="str">
        <f t="shared" si="26"/>
        <v>Drymill CCS Fermentation Exhaust</v>
      </c>
      <c r="BR7" s="1">
        <f t="shared" si="27"/>
        <v>0</v>
      </c>
      <c r="BS7" s="1">
        <f t="shared" si="28"/>
        <v>0.58676050726560269</v>
      </c>
      <c r="BT7" s="1">
        <f t="array" ref="BT7">_xlfn.IFS(T7="Biomass_Corn", 1/W7/L7*AM7, T7="Biomass_Agri", 1/W7/L7*AL7, T7="Biomass_Wood", 1/W7/L7*AK7, T7="Biomass_Herb", 1/W7/L7*AJ7)</f>
        <v>54.525653721883842</v>
      </c>
      <c r="BU7" s="1">
        <f t="shared" si="29"/>
        <v>4.6021586607656255</v>
      </c>
      <c r="BV7" s="1">
        <f t="shared" si="30"/>
        <v>6.609369191043487E-6</v>
      </c>
      <c r="BW7" s="1">
        <f t="shared" si="31"/>
        <v>1.4019874133296636E-6</v>
      </c>
      <c r="BX7" s="1">
        <f t="shared" si="32"/>
        <v>-8.6150532880576485</v>
      </c>
      <c r="BZ7" s="9">
        <v>0.24095892930000001</v>
      </c>
      <c r="CA7" s="9">
        <v>0.24182836229999999</v>
      </c>
      <c r="CB7" s="9">
        <v>0.24025514140000001</v>
      </c>
      <c r="CC7" s="17">
        <f t="shared" si="33"/>
        <v>1.7588666580000001</v>
      </c>
      <c r="CD7" s="10">
        <v>0.1828908353</v>
      </c>
      <c r="CE7" s="9">
        <v>0.23037490999999999</v>
      </c>
      <c r="CG7" s="10">
        <f t="shared" si="34"/>
        <v>0.56658349085470638</v>
      </c>
      <c r="CH7" s="10">
        <f t="shared" si="35"/>
        <v>5.9703910798172485E-2</v>
      </c>
      <c r="CI7" s="10">
        <f t="shared" si="36"/>
        <v>0.23037490999999999</v>
      </c>
      <c r="CK7" s="17">
        <f t="shared" si="37"/>
        <v>0.23143487956439487</v>
      </c>
      <c r="CL7" s="17">
        <f t="shared" si="38"/>
        <v>0.16447761030609043</v>
      </c>
      <c r="CM7" s="10">
        <f t="shared" si="39"/>
        <v>0.22776821896854649</v>
      </c>
      <c r="CN7" s="10">
        <f t="shared" si="40"/>
        <v>0</v>
      </c>
      <c r="CO7" s="10">
        <f t="shared" si="41"/>
        <v>0</v>
      </c>
      <c r="CP7" s="10">
        <f t="shared" si="42"/>
        <v>1.8863899999999999E-3</v>
      </c>
      <c r="CR7" s="1">
        <f t="shared" si="43"/>
        <v>7.203028138470513E-4</v>
      </c>
      <c r="CT7" s="13">
        <v>4</v>
      </c>
      <c r="CU7" s="13" t="s">
        <v>102</v>
      </c>
      <c r="CV7" s="12" t="s">
        <v>98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103</v>
      </c>
      <c r="C8" s="23" t="s">
        <v>93</v>
      </c>
      <c r="D8" s="23">
        <v>6</v>
      </c>
      <c r="E8" s="23" t="str">
        <f t="shared" si="0"/>
        <v>Drymill CCS Fermentation Exhaust</v>
      </c>
      <c r="F8" s="22">
        <v>0</v>
      </c>
      <c r="G8" s="22">
        <v>0</v>
      </c>
      <c r="H8" s="22">
        <v>0</v>
      </c>
      <c r="I8" s="22">
        <v>0.94525743299999998</v>
      </c>
      <c r="J8" s="22">
        <v>0</v>
      </c>
      <c r="K8" s="22">
        <v>0</v>
      </c>
      <c r="L8" s="28">
        <f t="shared" si="1"/>
        <v>0.94525743299999998</v>
      </c>
      <c r="M8" s="22">
        <v>0</v>
      </c>
      <c r="N8" s="22">
        <v>1.8863899999999999E-3</v>
      </c>
      <c r="O8" s="22">
        <v>221829.87959999999</v>
      </c>
      <c r="P8" s="22">
        <v>121537.99649999999</v>
      </c>
      <c r="Q8" s="22">
        <v>5.38</v>
      </c>
      <c r="S8" s="17" t="str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105.21100300000001</v>
      </c>
      <c r="AI8" s="15">
        <v>-39.686463000000003</v>
      </c>
      <c r="AJ8" s="15">
        <v>100.757654</v>
      </c>
      <c r="AK8" s="15">
        <v>111.990773</v>
      </c>
      <c r="AL8" s="15">
        <v>89.243781999999996</v>
      </c>
      <c r="AM8" s="15">
        <v>160</v>
      </c>
      <c r="AN8" s="15">
        <v>30.713950000000001</v>
      </c>
      <c r="AO8" s="15">
        <v>27.816395</v>
      </c>
      <c r="AP8" s="15">
        <v>13.425922</v>
      </c>
      <c r="AR8" s="1" t="str">
        <f t="shared" si="2"/>
        <v>NCEN_Ethanol_to_Gasoline</v>
      </c>
      <c r="AS8" s="1" t="str">
        <f t="shared" si="3"/>
        <v>Ethanol</v>
      </c>
      <c r="AT8" s="11">
        <f t="shared" si="4"/>
        <v>98.011112031852477</v>
      </c>
      <c r="AU8" s="11">
        <f t="shared" si="5"/>
        <v>98.370503326184306</v>
      </c>
      <c r="AV8" s="5">
        <f t="shared" si="6"/>
        <v>-0.3593912943318287</v>
      </c>
      <c r="AW8" s="5">
        <f t="shared" si="7"/>
        <v>0</v>
      </c>
      <c r="AX8" s="1">
        <f t="shared" si="8"/>
        <v>0</v>
      </c>
      <c r="AY8" s="1">
        <f t="shared" si="9"/>
        <v>0.89327172245188913</v>
      </c>
      <c r="AZ8" s="1">
        <f t="shared" si="10"/>
        <v>0</v>
      </c>
      <c r="BA8" s="1">
        <f t="shared" si="11"/>
        <v>0</v>
      </c>
      <c r="BB8" s="1">
        <f t="shared" si="12"/>
        <v>54.525653721883842</v>
      </c>
      <c r="BC8" s="1">
        <f t="shared" si="13"/>
        <v>4.6366557735313672</v>
      </c>
      <c r="BD8" s="1">
        <f t="shared" si="14"/>
        <v>29.766195291688515</v>
      </c>
      <c r="BE8" s="1">
        <f t="shared" si="15"/>
        <v>6.609369191043487E-6</v>
      </c>
      <c r="BF8" s="1">
        <f t="shared" si="16"/>
        <v>16.308550253477915</v>
      </c>
      <c r="BG8" s="1">
        <f t="shared" si="17"/>
        <v>1.4019874133296636E-6</v>
      </c>
      <c r="BH8" s="1">
        <f t="shared" si="18"/>
        <v>5.6915712187792975</v>
      </c>
      <c r="BI8" s="1">
        <f t="shared" si="19"/>
        <v>-8.6150532880576485</v>
      </c>
      <c r="BJ8" s="1">
        <f t="shared" si="20"/>
        <v>5.8983607984325448E-2</v>
      </c>
      <c r="BK8" s="1">
        <f t="shared" si="21"/>
        <v>-11.401465229849014</v>
      </c>
      <c r="BL8" s="1">
        <f t="shared" si="22"/>
        <v>6.205724556589689</v>
      </c>
      <c r="BM8" s="1">
        <f t="shared" si="23"/>
        <v>-0.11160346233613271</v>
      </c>
      <c r="BN8" s="1">
        <f t="shared" si="24"/>
        <v>6.9055628317297533</v>
      </c>
      <c r="BO8" s="1">
        <f t="shared" si="25"/>
        <v>-11.741912210657246</v>
      </c>
      <c r="BQ8" s="1" t="str">
        <f t="shared" si="26"/>
        <v>Drymill CCS Fermentation Exhaust</v>
      </c>
      <c r="BR8" s="1">
        <f t="shared" si="27"/>
        <v>0</v>
      </c>
      <c r="BS8" s="1">
        <f t="shared" si="28"/>
        <v>0.89327172245188913</v>
      </c>
      <c r="BT8" s="1">
        <f t="array" ref="BT8">_xlfn.IFS(T8="Biomass_Corn", 1/W8/L8*AM8, T8="Biomass_Agri", 1/W8/L8*AL8, T8="Biomass_Wood", 1/W8/L8*AK8, T8="Biomass_Herb", 1/W8/L8*AJ8)</f>
        <v>54.525653721883842</v>
      </c>
      <c r="BU8" s="1">
        <f t="shared" si="29"/>
        <v>4.6366557735313672</v>
      </c>
      <c r="BV8" s="1">
        <f t="shared" si="30"/>
        <v>6.609369191043487E-6</v>
      </c>
      <c r="BW8" s="1">
        <f t="shared" si="31"/>
        <v>1.4019874133296636E-6</v>
      </c>
      <c r="BX8" s="1">
        <f t="shared" si="32"/>
        <v>-8.6150532880576485</v>
      </c>
      <c r="BZ8" s="9">
        <v>0.24095892930000001</v>
      </c>
      <c r="CA8" s="9">
        <v>0.24182836229999999</v>
      </c>
      <c r="CB8" s="9">
        <v>0.24025514140000001</v>
      </c>
      <c r="CC8" s="17">
        <f t="shared" si="33"/>
        <v>1.7588666580000001</v>
      </c>
      <c r="CD8" s="10">
        <v>0.1828908353</v>
      </c>
      <c r="CE8" s="9">
        <v>0.23037490999999999</v>
      </c>
      <c r="CG8" s="10">
        <f t="shared" si="34"/>
        <v>0.56658349085470638</v>
      </c>
      <c r="CH8" s="10">
        <f t="shared" si="35"/>
        <v>5.9703910798172485E-2</v>
      </c>
      <c r="CI8" s="10">
        <f t="shared" si="36"/>
        <v>0.23037490999999999</v>
      </c>
      <c r="CK8" s="17">
        <f t="shared" si="37"/>
        <v>0.23143487956439487</v>
      </c>
      <c r="CL8" s="17">
        <f t="shared" si="38"/>
        <v>0.16447761030609043</v>
      </c>
      <c r="CM8" s="10">
        <f t="shared" si="39"/>
        <v>0.22776821896854649</v>
      </c>
      <c r="CN8" s="10">
        <f t="shared" si="40"/>
        <v>0</v>
      </c>
      <c r="CO8" s="10">
        <f t="shared" si="41"/>
        <v>0</v>
      </c>
      <c r="CP8" s="10">
        <f t="shared" si="42"/>
        <v>1.8863899999999999E-3</v>
      </c>
      <c r="CR8" s="1">
        <f t="shared" si="43"/>
        <v>7.203028138470513E-4</v>
      </c>
      <c r="CT8" s="13">
        <v>5</v>
      </c>
      <c r="CU8" s="13" t="s">
        <v>104</v>
      </c>
      <c r="CV8" s="12" t="s">
        <v>95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105</v>
      </c>
      <c r="C9" s="23" t="s">
        <v>93</v>
      </c>
      <c r="D9" s="23">
        <v>6</v>
      </c>
      <c r="E9" s="23" t="str">
        <f t="shared" si="0"/>
        <v>Drymill CCS Fermentation Exhaust</v>
      </c>
      <c r="F9" s="22">
        <v>0</v>
      </c>
      <c r="G9" s="22">
        <v>0</v>
      </c>
      <c r="H9" s="22">
        <v>0</v>
      </c>
      <c r="I9" s="22">
        <v>0.94525743299999998</v>
      </c>
      <c r="J9" s="22">
        <v>0</v>
      </c>
      <c r="K9" s="22">
        <v>0</v>
      </c>
      <c r="L9" s="28">
        <f t="shared" si="1"/>
        <v>0.94525743299999998</v>
      </c>
      <c r="M9" s="22">
        <v>0</v>
      </c>
      <c r="N9" s="22">
        <v>1.8863899999999999E-3</v>
      </c>
      <c r="O9" s="22">
        <v>221829.87959999999</v>
      </c>
      <c r="P9" s="22">
        <v>121537.99649999999</v>
      </c>
      <c r="Q9" s="22">
        <v>5.38</v>
      </c>
      <c r="S9" s="17" t="str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105.21100300000001</v>
      </c>
      <c r="AI9" s="15">
        <v>-29.672038000000001</v>
      </c>
      <c r="AJ9" s="15">
        <v>107.027154</v>
      </c>
      <c r="AK9" s="15">
        <v>122.865223</v>
      </c>
      <c r="AL9" s="15">
        <v>94.404420999999999</v>
      </c>
      <c r="AM9" s="15">
        <v>160</v>
      </c>
      <c r="AN9" s="15">
        <v>25.118154000000001</v>
      </c>
      <c r="AO9" s="15">
        <v>25.810506</v>
      </c>
      <c r="AP9" s="15">
        <v>13.425869</v>
      </c>
      <c r="AR9" s="1" t="str">
        <f t="shared" si="2"/>
        <v>CEN_Ethanol_to_Gasoline</v>
      </c>
      <c r="AS9" s="1" t="str">
        <f t="shared" si="3"/>
        <v>Ethanol</v>
      </c>
      <c r="AT9" s="11">
        <f t="shared" si="4"/>
        <v>96.105808135293387</v>
      </c>
      <c r="AU9" s="11">
        <f t="shared" si="5"/>
        <v>96.465199429625216</v>
      </c>
      <c r="AV9" s="5">
        <f t="shared" si="6"/>
        <v>-0.3593912943318287</v>
      </c>
      <c r="AW9" s="5">
        <f t="shared" si="7"/>
        <v>0</v>
      </c>
      <c r="AX9" s="1">
        <f t="shared" si="8"/>
        <v>0</v>
      </c>
      <c r="AY9" s="1">
        <f t="shared" si="9"/>
        <v>0.73052592351006007</v>
      </c>
      <c r="AZ9" s="1">
        <f t="shared" si="10"/>
        <v>0</v>
      </c>
      <c r="BA9" s="1">
        <f t="shared" si="11"/>
        <v>0</v>
      </c>
      <c r="BB9" s="1">
        <f t="shared" si="12"/>
        <v>54.525653721883842</v>
      </c>
      <c r="BC9" s="1">
        <f t="shared" si="13"/>
        <v>4.6366374699276376</v>
      </c>
      <c r="BD9" s="1">
        <f t="shared" si="14"/>
        <v>29.766195291688515</v>
      </c>
      <c r="BE9" s="1">
        <f t="shared" si="15"/>
        <v>6.609369191043487E-6</v>
      </c>
      <c r="BF9" s="1">
        <f t="shared" si="16"/>
        <v>16.308550253477915</v>
      </c>
      <c r="BG9" s="1">
        <f t="shared" si="17"/>
        <v>1.4019874133296636E-6</v>
      </c>
      <c r="BH9" s="1">
        <f t="shared" si="18"/>
        <v>5.6915712187792975</v>
      </c>
      <c r="BI9" s="1">
        <f t="shared" si="19"/>
        <v>-8.6150532880576485</v>
      </c>
      <c r="BJ9" s="1">
        <f t="shared" si="20"/>
        <v>5.8983607984325448E-2</v>
      </c>
      <c r="BK9" s="1">
        <f t="shared" si="21"/>
        <v>-13.144005023862537</v>
      </c>
      <c r="BL9" s="1">
        <f t="shared" si="22"/>
        <v>6.205724556589689</v>
      </c>
      <c r="BM9" s="1">
        <f t="shared" si="23"/>
        <v>-0.11160346233613271</v>
      </c>
      <c r="BN9" s="1">
        <f t="shared" si="24"/>
        <v>5.1630230377162309</v>
      </c>
      <c r="BO9" s="1">
        <f t="shared" si="25"/>
        <v>-11.741912210657246</v>
      </c>
      <c r="BQ9" s="1" t="str">
        <f t="shared" si="26"/>
        <v>Drymill CCS Fermentation Exhaust</v>
      </c>
      <c r="BR9" s="1">
        <f t="shared" si="27"/>
        <v>0</v>
      </c>
      <c r="BS9" s="1">
        <f t="shared" si="28"/>
        <v>0.73052592351006007</v>
      </c>
      <c r="BT9" s="1">
        <f t="array" ref="BT9">_xlfn.IFS(T9="Biomass_Corn", 1/W9/L9*AM9, T9="Biomass_Agri", 1/W9/L9*AL9, T9="Biomass_Wood", 1/W9/L9*AK9, T9="Biomass_Herb", 1/W9/L9*AJ9)</f>
        <v>54.525653721883842</v>
      </c>
      <c r="BU9" s="1">
        <f t="shared" si="29"/>
        <v>4.6366374699276376</v>
      </c>
      <c r="BV9" s="1">
        <f t="shared" si="30"/>
        <v>6.609369191043487E-6</v>
      </c>
      <c r="BW9" s="1">
        <f t="shared" si="31"/>
        <v>1.4019874133296636E-6</v>
      </c>
      <c r="BX9" s="1">
        <f t="shared" si="32"/>
        <v>-8.6150532880576485</v>
      </c>
      <c r="BZ9" s="9">
        <v>0.24095892930000001</v>
      </c>
      <c r="CA9" s="9">
        <v>0.24182836229999999</v>
      </c>
      <c r="CB9" s="9">
        <v>0.24025514140000001</v>
      </c>
      <c r="CC9" s="17">
        <f t="shared" si="33"/>
        <v>1.7588666580000001</v>
      </c>
      <c r="CD9" s="10">
        <v>0.1828908353</v>
      </c>
      <c r="CE9" s="9">
        <v>0.23037490999999999</v>
      </c>
      <c r="CG9" s="10">
        <f t="shared" si="34"/>
        <v>0.56658349085470638</v>
      </c>
      <c r="CH9" s="10">
        <f t="shared" si="35"/>
        <v>5.9703910798172485E-2</v>
      </c>
      <c r="CI9" s="10">
        <f t="shared" si="36"/>
        <v>0.23037490999999999</v>
      </c>
      <c r="CK9" s="17">
        <f t="shared" si="37"/>
        <v>0.23143487956439487</v>
      </c>
      <c r="CL9" s="17">
        <f t="shared" si="38"/>
        <v>0.16447761030609043</v>
      </c>
      <c r="CM9" s="10">
        <f t="shared" si="39"/>
        <v>0.22776821896854649</v>
      </c>
      <c r="CN9" s="10">
        <f t="shared" si="40"/>
        <v>0</v>
      </c>
      <c r="CO9" s="10">
        <f t="shared" si="41"/>
        <v>0</v>
      </c>
      <c r="CP9" s="10">
        <f t="shared" si="42"/>
        <v>1.8863899999999999E-3</v>
      </c>
      <c r="CR9" s="1">
        <f t="shared" si="43"/>
        <v>7.203028138470513E-4</v>
      </c>
      <c r="CT9" s="13">
        <v>6</v>
      </c>
      <c r="CU9" s="13" t="s">
        <v>106</v>
      </c>
      <c r="CV9" s="12" t="s">
        <v>95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107</v>
      </c>
      <c r="C10" s="23" t="s">
        <v>93</v>
      </c>
      <c r="D10" s="23">
        <v>6</v>
      </c>
      <c r="E10" s="23" t="str">
        <f t="shared" si="0"/>
        <v>Drymill CCS Fermentation Exhaust</v>
      </c>
      <c r="F10" s="22">
        <v>0</v>
      </c>
      <c r="G10" s="22">
        <v>0</v>
      </c>
      <c r="H10" s="22">
        <v>0</v>
      </c>
      <c r="I10" s="22">
        <v>0.94525743299999998</v>
      </c>
      <c r="J10" s="22">
        <v>0</v>
      </c>
      <c r="K10" s="22">
        <v>0</v>
      </c>
      <c r="L10" s="28">
        <f t="shared" si="1"/>
        <v>0.94525743299999998</v>
      </c>
      <c r="M10" s="22">
        <v>0</v>
      </c>
      <c r="N10" s="22">
        <v>1.8863899999999999E-3</v>
      </c>
      <c r="O10" s="22">
        <v>221829.87959999999</v>
      </c>
      <c r="P10" s="22">
        <v>121537.99649999999</v>
      </c>
      <c r="Q10" s="22">
        <v>5.38</v>
      </c>
      <c r="S10" s="17" t="str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105.21100300000001</v>
      </c>
      <c r="AI10" s="15">
        <v>-45.510345000000001</v>
      </c>
      <c r="AJ10" s="15">
        <v>97.593261999999996</v>
      </c>
      <c r="AK10" s="15">
        <v>109.791234</v>
      </c>
      <c r="AL10" s="15">
        <v>86.911507</v>
      </c>
      <c r="AM10" s="15">
        <v>160</v>
      </c>
      <c r="AN10" s="15">
        <v>38.099075999999997</v>
      </c>
      <c r="AO10" s="15">
        <v>30.305277</v>
      </c>
      <c r="AP10" s="15">
        <v>13.425863</v>
      </c>
      <c r="AR10" s="1" t="str">
        <f t="shared" si="2"/>
        <v>SE_Ethanol_to_Gasoline</v>
      </c>
      <c r="AS10" s="1" t="str">
        <f t="shared" si="3"/>
        <v>Ethanol</v>
      </c>
      <c r="AT10" s="11">
        <f t="shared" si="4"/>
        <v>99.239250406907061</v>
      </c>
      <c r="AU10" s="11">
        <f t="shared" si="5"/>
        <v>99.59864170123889</v>
      </c>
      <c r="AV10" s="5">
        <f t="shared" si="6"/>
        <v>-0.3593912943318287</v>
      </c>
      <c r="AW10" s="5">
        <f t="shared" si="7"/>
        <v>0</v>
      </c>
      <c r="AX10" s="1">
        <f t="shared" si="8"/>
        <v>0</v>
      </c>
      <c r="AY10" s="1">
        <f t="shared" si="9"/>
        <v>1.1080576494506706</v>
      </c>
      <c r="AZ10" s="1">
        <f t="shared" si="10"/>
        <v>0</v>
      </c>
      <c r="BA10" s="1">
        <f t="shared" si="11"/>
        <v>0</v>
      </c>
      <c r="BB10" s="1">
        <f t="shared" si="12"/>
        <v>54.525653721883842</v>
      </c>
      <c r="BC10" s="1">
        <f t="shared" si="13"/>
        <v>4.6366353978215544</v>
      </c>
      <c r="BD10" s="1">
        <f t="shared" si="14"/>
        <v>29.766195291688515</v>
      </c>
      <c r="BE10" s="1">
        <f t="shared" si="15"/>
        <v>6.609369191043487E-6</v>
      </c>
      <c r="BF10" s="1">
        <f t="shared" si="16"/>
        <v>16.308550253477915</v>
      </c>
      <c r="BG10" s="1">
        <f t="shared" si="17"/>
        <v>1.4019874133296636E-6</v>
      </c>
      <c r="BH10" s="1">
        <f t="shared" si="18"/>
        <v>5.6915712187792975</v>
      </c>
      <c r="BI10" s="1">
        <f t="shared" si="19"/>
        <v>-8.6150532880576485</v>
      </c>
      <c r="BJ10" s="1">
        <f t="shared" si="20"/>
        <v>5.8983607984325448E-2</v>
      </c>
      <c r="BK10" s="1">
        <f t="shared" si="21"/>
        <v>-10.388092406083391</v>
      </c>
      <c r="BL10" s="1">
        <f t="shared" si="22"/>
        <v>6.205724556589689</v>
      </c>
      <c r="BM10" s="1">
        <f t="shared" si="23"/>
        <v>-0.11160346233613271</v>
      </c>
      <c r="BN10" s="1">
        <f t="shared" si="24"/>
        <v>7.9189356554953765</v>
      </c>
      <c r="BO10" s="1">
        <f t="shared" si="25"/>
        <v>-11.741912210657246</v>
      </c>
      <c r="BQ10" s="1" t="str">
        <f t="shared" si="26"/>
        <v>Drymill CCS Fermentation Exhaust</v>
      </c>
      <c r="BR10" s="1">
        <f t="shared" si="27"/>
        <v>0</v>
      </c>
      <c r="BS10" s="1">
        <f t="shared" si="28"/>
        <v>1.1080576494506706</v>
      </c>
      <c r="BT10" s="1">
        <f t="array" ref="BT10">_xlfn.IFS(T10="Biomass_Corn", 1/W10/L10*AM10, T10="Biomass_Agri", 1/W10/L10*AL10, T10="Biomass_Wood", 1/W10/L10*AK10, T10="Biomass_Herb", 1/W10/L10*AJ10)</f>
        <v>54.525653721883842</v>
      </c>
      <c r="BU10" s="1">
        <f t="shared" si="29"/>
        <v>4.6366353978215544</v>
      </c>
      <c r="BV10" s="1">
        <f t="shared" si="30"/>
        <v>6.609369191043487E-6</v>
      </c>
      <c r="BW10" s="1">
        <f t="shared" si="31"/>
        <v>1.4019874133296636E-6</v>
      </c>
      <c r="BX10" s="1">
        <f t="shared" si="32"/>
        <v>-8.6150532880576485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33"/>
        <v>1.7588666580000001</v>
      </c>
      <c r="CD10" s="10">
        <v>0.1828908353</v>
      </c>
      <c r="CE10" s="9">
        <v>0.23037490999999999</v>
      </c>
      <c r="CG10" s="10">
        <f t="shared" si="34"/>
        <v>0.56658349085470638</v>
      </c>
      <c r="CH10" s="10">
        <f t="shared" si="35"/>
        <v>5.9703910798172485E-2</v>
      </c>
      <c r="CI10" s="10">
        <f t="shared" si="36"/>
        <v>0.23037490999999999</v>
      </c>
      <c r="CK10" s="17">
        <f t="shared" si="37"/>
        <v>0.23143487956439487</v>
      </c>
      <c r="CL10" s="17">
        <f t="shared" si="38"/>
        <v>0.16447761030609043</v>
      </c>
      <c r="CM10" s="10">
        <f t="shared" si="39"/>
        <v>0.22776821896854649</v>
      </c>
      <c r="CN10" s="10">
        <f t="shared" si="40"/>
        <v>0</v>
      </c>
      <c r="CO10" s="10">
        <f t="shared" si="41"/>
        <v>0</v>
      </c>
      <c r="CP10" s="10">
        <f t="shared" si="42"/>
        <v>1.8863899999999999E-3</v>
      </c>
      <c r="CR10" s="1">
        <f t="shared" si="43"/>
        <v>7.203028138470513E-4</v>
      </c>
    </row>
    <row r="11" spans="2:112" x14ac:dyDescent="0.2">
      <c r="B11" s="22" t="s">
        <v>108</v>
      </c>
      <c r="C11" s="23" t="s">
        <v>93</v>
      </c>
      <c r="D11" s="23">
        <v>6</v>
      </c>
      <c r="E11" s="23" t="str">
        <f t="shared" si="0"/>
        <v>Drymill CCS Fermentation Exhaust</v>
      </c>
      <c r="F11" s="22">
        <v>0</v>
      </c>
      <c r="G11" s="22">
        <v>0</v>
      </c>
      <c r="H11" s="22">
        <v>0</v>
      </c>
      <c r="I11" s="22">
        <v>0.94525743299999998</v>
      </c>
      <c r="J11" s="22">
        <v>0</v>
      </c>
      <c r="K11" s="22">
        <v>0</v>
      </c>
      <c r="L11" s="28">
        <f t="shared" si="1"/>
        <v>0.94525743299999998</v>
      </c>
      <c r="M11" s="22">
        <v>0</v>
      </c>
      <c r="N11" s="22">
        <v>1.8863899999999999E-3</v>
      </c>
      <c r="O11" s="22">
        <v>221829.87959999999</v>
      </c>
      <c r="P11" s="22">
        <v>121537.99649999999</v>
      </c>
      <c r="Q11" s="22">
        <v>5.38</v>
      </c>
      <c r="S11" s="17" t="str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105.21100300000001</v>
      </c>
      <c r="AI11" s="15">
        <v>-50.334515000000003</v>
      </c>
      <c r="AJ11" s="15">
        <v>98.707491000000005</v>
      </c>
      <c r="AK11" s="15">
        <v>106.53195700000001</v>
      </c>
      <c r="AL11" s="15">
        <v>87.469328000000004</v>
      </c>
      <c r="AM11" s="15">
        <v>160</v>
      </c>
      <c r="AN11" s="15">
        <v>39.29871</v>
      </c>
      <c r="AO11" s="15">
        <v>31.568805000000001</v>
      </c>
      <c r="AP11" s="15">
        <v>13.42643</v>
      </c>
      <c r="AR11" s="1" t="str">
        <f t="shared" si="2"/>
        <v>MIDAT_Ethanol_to_Gasoline</v>
      </c>
      <c r="AS11" s="1" t="str">
        <f t="shared" si="3"/>
        <v>Ethanol</v>
      </c>
      <c r="AT11" s="11">
        <f t="shared" si="4"/>
        <v>100.11375583278871</v>
      </c>
      <c r="AU11" s="11">
        <f t="shared" si="5"/>
        <v>100.47314712712054</v>
      </c>
      <c r="AV11" s="5">
        <f t="shared" si="6"/>
        <v>-0.3593912943318287</v>
      </c>
      <c r="AW11" s="5">
        <f t="shared" si="7"/>
        <v>0</v>
      </c>
      <c r="AX11" s="1">
        <f t="shared" si="8"/>
        <v>0</v>
      </c>
      <c r="AY11" s="1">
        <f t="shared" si="9"/>
        <v>1.1429473047861729</v>
      </c>
      <c r="AZ11" s="1">
        <f t="shared" si="10"/>
        <v>0</v>
      </c>
      <c r="BA11" s="1">
        <f t="shared" si="11"/>
        <v>0</v>
      </c>
      <c r="BB11" s="1">
        <f t="shared" si="12"/>
        <v>54.525653721883842</v>
      </c>
      <c r="BC11" s="1">
        <f t="shared" si="13"/>
        <v>4.6368312118463635</v>
      </c>
      <c r="BD11" s="1">
        <f t="shared" si="14"/>
        <v>29.766195291688515</v>
      </c>
      <c r="BE11" s="1">
        <f t="shared" si="15"/>
        <v>6.609369191043487E-6</v>
      </c>
      <c r="BF11" s="1">
        <f t="shared" si="16"/>
        <v>16.308550253477915</v>
      </c>
      <c r="BG11" s="1">
        <f t="shared" si="17"/>
        <v>1.4019874133296636E-6</v>
      </c>
      <c r="BH11" s="1">
        <f t="shared" si="18"/>
        <v>5.6915712187792975</v>
      </c>
      <c r="BI11" s="1">
        <f t="shared" si="19"/>
        <v>-8.6150532880576485</v>
      </c>
      <c r="BJ11" s="1">
        <f t="shared" si="20"/>
        <v>5.8983607984325448E-2</v>
      </c>
      <c r="BK11" s="1">
        <f t="shared" si="21"/>
        <v>-9.5486724495620532</v>
      </c>
      <c r="BL11" s="1">
        <f t="shared" si="22"/>
        <v>6.205724556589689</v>
      </c>
      <c r="BM11" s="1">
        <f t="shared" si="23"/>
        <v>-0.11160346233613271</v>
      </c>
      <c r="BN11" s="1">
        <f t="shared" si="24"/>
        <v>8.7583556120167145</v>
      </c>
      <c r="BO11" s="1">
        <f t="shared" si="25"/>
        <v>-11.741912210657246</v>
      </c>
      <c r="BQ11" s="1" t="str">
        <f t="shared" si="26"/>
        <v>Drymill CCS Fermentation Exhaust</v>
      </c>
      <c r="BR11" s="1">
        <f t="shared" si="27"/>
        <v>0</v>
      </c>
      <c r="BS11" s="1">
        <f t="shared" si="28"/>
        <v>1.1429473047861729</v>
      </c>
      <c r="BT11" s="1">
        <f t="array" ref="BT11">_xlfn.IFS(T11="Biomass_Corn", 1/W11/L11*AM11, T11="Biomass_Agri", 1/W11/L11*AL11, T11="Biomass_Wood", 1/W11/L11*AK11, T11="Biomass_Herb", 1/W11/L11*AJ11)</f>
        <v>54.525653721883842</v>
      </c>
      <c r="BU11" s="1">
        <f t="shared" si="29"/>
        <v>4.6368312118463635</v>
      </c>
      <c r="BV11" s="1">
        <f t="shared" si="30"/>
        <v>6.609369191043487E-6</v>
      </c>
      <c r="BW11" s="1">
        <f t="shared" si="31"/>
        <v>1.4019874133296636E-6</v>
      </c>
      <c r="BX11" s="1">
        <f t="shared" si="32"/>
        <v>-8.6150532880576485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33"/>
        <v>1.7588666580000001</v>
      </c>
      <c r="CD11" s="10">
        <v>0.1828908353</v>
      </c>
      <c r="CE11" s="9">
        <v>0.23037490999999999</v>
      </c>
      <c r="CG11" s="10">
        <f t="shared" si="34"/>
        <v>0.56658349085470638</v>
      </c>
      <c r="CH11" s="10">
        <f t="shared" si="35"/>
        <v>5.9703910798172485E-2</v>
      </c>
      <c r="CI11" s="10">
        <f t="shared" si="36"/>
        <v>0.23037490999999999</v>
      </c>
      <c r="CK11" s="17">
        <f t="shared" si="37"/>
        <v>0.23143487956439487</v>
      </c>
      <c r="CL11" s="17">
        <f t="shared" si="38"/>
        <v>0.16447761030609043</v>
      </c>
      <c r="CM11" s="10">
        <f t="shared" si="39"/>
        <v>0.22776821896854649</v>
      </c>
      <c r="CN11" s="10">
        <f t="shared" si="40"/>
        <v>0</v>
      </c>
      <c r="CO11" s="10">
        <f t="shared" si="41"/>
        <v>0</v>
      </c>
      <c r="CP11" s="10">
        <f t="shared" si="42"/>
        <v>1.8863899999999999E-3</v>
      </c>
      <c r="CR11" s="1">
        <f t="shared" si="43"/>
        <v>7.203028138470513E-4</v>
      </c>
    </row>
    <row r="12" spans="2:112" x14ac:dyDescent="0.2">
      <c r="B12" s="22" t="s">
        <v>109</v>
      </c>
      <c r="C12" s="23" t="s">
        <v>93</v>
      </c>
      <c r="D12" s="23">
        <v>6</v>
      </c>
      <c r="E12" s="23" t="str">
        <f t="shared" si="0"/>
        <v>Drymill CCS Fermentation Exhaust</v>
      </c>
      <c r="F12" s="22">
        <v>0</v>
      </c>
      <c r="G12" s="22">
        <v>0</v>
      </c>
      <c r="H12" s="22">
        <v>0</v>
      </c>
      <c r="I12" s="22">
        <v>0.94525743299999998</v>
      </c>
      <c r="J12" s="22">
        <v>0</v>
      </c>
      <c r="K12" s="22">
        <v>0</v>
      </c>
      <c r="L12" s="28">
        <f t="shared" si="1"/>
        <v>0.94525743299999998</v>
      </c>
      <c r="M12" s="22">
        <v>0</v>
      </c>
      <c r="N12" s="22">
        <v>1.8863899999999999E-3</v>
      </c>
      <c r="O12" s="22">
        <v>221829.87959999999</v>
      </c>
      <c r="P12" s="22">
        <v>121537.99649999999</v>
      </c>
      <c r="Q12" s="22">
        <v>5.38</v>
      </c>
      <c r="S12" s="17" t="str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105.21100300000001</v>
      </c>
      <c r="AI12" s="15">
        <v>-58.833413</v>
      </c>
      <c r="AJ12" s="15">
        <v>99.493746999999999</v>
      </c>
      <c r="AK12" s="15">
        <v>105.21395800000001</v>
      </c>
      <c r="AL12" s="15">
        <v>89.700445000000002</v>
      </c>
      <c r="AM12" s="15">
        <v>160</v>
      </c>
      <c r="AN12" s="15">
        <v>47.365060999999997</v>
      </c>
      <c r="AO12" s="15">
        <v>33.373224</v>
      </c>
      <c r="AP12" s="15">
        <v>13.426278999999999</v>
      </c>
      <c r="AR12" s="1" t="str">
        <f t="shared" si="2"/>
        <v>NE_Ethanol_to_Gasoline</v>
      </c>
      <c r="AS12" s="1" t="str">
        <f t="shared" si="3"/>
        <v>Ethanol</v>
      </c>
      <c r="AT12" s="11">
        <f t="shared" si="4"/>
        <v>101.82713565538684</v>
      </c>
      <c r="AU12" s="11">
        <f t="shared" si="5"/>
        <v>102.18652694971868</v>
      </c>
      <c r="AV12" s="5">
        <f t="shared" si="6"/>
        <v>-0.35939129433184291</v>
      </c>
      <c r="AW12" s="5">
        <f t="shared" si="7"/>
        <v>0</v>
      </c>
      <c r="AX12" s="1">
        <f t="shared" si="8"/>
        <v>0</v>
      </c>
      <c r="AY12" s="1">
        <f t="shared" si="9"/>
        <v>1.3775456957997521</v>
      </c>
      <c r="AZ12" s="1">
        <f t="shared" si="10"/>
        <v>0</v>
      </c>
      <c r="BA12" s="1">
        <f t="shared" si="11"/>
        <v>0</v>
      </c>
      <c r="BB12" s="1">
        <f t="shared" si="12"/>
        <v>54.525653721883842</v>
      </c>
      <c r="BC12" s="1">
        <f t="shared" si="13"/>
        <v>4.6367790638432833</v>
      </c>
      <c r="BD12" s="1">
        <f t="shared" si="14"/>
        <v>29.766195291688515</v>
      </c>
      <c r="BE12" s="1">
        <f t="shared" si="15"/>
        <v>6.609369191043487E-6</v>
      </c>
      <c r="BF12" s="1">
        <f t="shared" si="16"/>
        <v>16.308550253477915</v>
      </c>
      <c r="BG12" s="1">
        <f t="shared" si="17"/>
        <v>1.4019874133296636E-6</v>
      </c>
      <c r="BH12" s="1">
        <f t="shared" si="18"/>
        <v>5.6915712187792975</v>
      </c>
      <c r="BI12" s="1">
        <f t="shared" si="19"/>
        <v>-8.6150532880576485</v>
      </c>
      <c r="BJ12" s="1">
        <f t="shared" si="20"/>
        <v>5.8983607984325448E-2</v>
      </c>
      <c r="BK12" s="1">
        <f t="shared" si="21"/>
        <v>-8.0698388699744168</v>
      </c>
      <c r="BL12" s="1">
        <f t="shared" si="22"/>
        <v>6.205724556589689</v>
      </c>
      <c r="BM12" s="1">
        <f t="shared" si="23"/>
        <v>-0.11160346233613271</v>
      </c>
      <c r="BN12" s="1">
        <f t="shared" si="24"/>
        <v>10.237189191604353</v>
      </c>
      <c r="BO12" s="1">
        <f t="shared" si="25"/>
        <v>-11.741912210657246</v>
      </c>
      <c r="BQ12" s="1" t="str">
        <f t="shared" si="26"/>
        <v>Drymill CCS Fermentation Exhaust</v>
      </c>
      <c r="BR12" s="1">
        <f t="shared" si="27"/>
        <v>0</v>
      </c>
      <c r="BS12" s="1">
        <f t="shared" si="28"/>
        <v>1.3775456957997521</v>
      </c>
      <c r="BT12" s="1">
        <f t="array" ref="BT12">_xlfn.IFS(T12="Biomass_Corn", 1/W12/L12*AM12, T12="Biomass_Agri", 1/W12/L12*AL12, T12="Biomass_Wood", 1/W12/L12*AK12, T12="Biomass_Herb", 1/W12/L12*AJ12)</f>
        <v>54.525653721883842</v>
      </c>
      <c r="BU12" s="1">
        <f t="shared" si="29"/>
        <v>4.6367790638432833</v>
      </c>
      <c r="BV12" s="1">
        <f t="shared" si="30"/>
        <v>6.609369191043487E-6</v>
      </c>
      <c r="BW12" s="1">
        <f t="shared" si="31"/>
        <v>1.4019874133296636E-6</v>
      </c>
      <c r="BX12" s="1">
        <f t="shared" si="32"/>
        <v>-8.6150532880576485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33"/>
        <v>1.7588666580000001</v>
      </c>
      <c r="CD12" s="10">
        <v>0.1828908353</v>
      </c>
      <c r="CE12" s="9">
        <v>0.23037490999999999</v>
      </c>
      <c r="CG12" s="10">
        <f t="shared" si="34"/>
        <v>0.56658349085470638</v>
      </c>
      <c r="CH12" s="10">
        <f t="shared" si="35"/>
        <v>5.9703910798172485E-2</v>
      </c>
      <c r="CI12" s="10">
        <f t="shared" si="36"/>
        <v>0.23037490999999999</v>
      </c>
      <c r="CK12" s="17">
        <f t="shared" si="37"/>
        <v>0.23143487956439487</v>
      </c>
      <c r="CL12" s="17">
        <f t="shared" si="38"/>
        <v>0.16447761030609043</v>
      </c>
      <c r="CM12" s="10">
        <f t="shared" si="39"/>
        <v>0.22776821896854649</v>
      </c>
      <c r="CN12" s="10">
        <f t="shared" si="40"/>
        <v>0</v>
      </c>
      <c r="CO12" s="10">
        <f t="shared" si="41"/>
        <v>0</v>
      </c>
      <c r="CP12" s="10">
        <f t="shared" si="42"/>
        <v>1.8863899999999999E-3</v>
      </c>
      <c r="CR12" s="1">
        <f t="shared" si="43"/>
        <v>7.203028138470513E-4</v>
      </c>
    </row>
    <row r="13" spans="2:112" x14ac:dyDescent="0.2">
      <c r="B13" s="22" t="s">
        <v>110</v>
      </c>
      <c r="C13" s="23" t="s">
        <v>93</v>
      </c>
      <c r="D13" s="23">
        <v>6</v>
      </c>
      <c r="E13" s="23" t="str">
        <f t="shared" si="0"/>
        <v>Drymill CCS Fermentation Exhaust</v>
      </c>
      <c r="F13" s="22">
        <v>1.4253091000000001E-2</v>
      </c>
      <c r="G13" s="22">
        <v>0</v>
      </c>
      <c r="H13" s="22">
        <v>0</v>
      </c>
      <c r="I13" s="22">
        <v>0</v>
      </c>
      <c r="J13" s="22">
        <v>0.95046638900000002</v>
      </c>
      <c r="K13" s="22">
        <v>0</v>
      </c>
      <c r="L13" s="28">
        <f t="shared" si="1"/>
        <v>0.95046638900000002</v>
      </c>
      <c r="M13" s="22">
        <v>0</v>
      </c>
      <c r="N13" s="22">
        <v>1.0794999999999999E-3</v>
      </c>
      <c r="O13" s="22">
        <v>246863.86249999999</v>
      </c>
      <c r="P13" s="22">
        <v>135253.823</v>
      </c>
      <c r="Q13" s="22">
        <v>10.050000000000001</v>
      </c>
      <c r="S13" s="17" t="str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105.21100300000001</v>
      </c>
      <c r="AI13" s="15">
        <v>-6.4122130000000004</v>
      </c>
      <c r="AJ13" s="15">
        <v>313632.96735400002</v>
      </c>
      <c r="AK13" s="15">
        <v>154.036981</v>
      </c>
      <c r="AL13" s="15">
        <v>132.85973799999999</v>
      </c>
      <c r="AM13" s="15">
        <v>160</v>
      </c>
      <c r="AN13" s="15">
        <v>36.488697999999999</v>
      </c>
      <c r="AO13" s="15">
        <v>29.796641999999999</v>
      </c>
      <c r="AP13" s="15">
        <v>13.71857</v>
      </c>
      <c r="AR13" s="1" t="str">
        <f t="shared" si="2"/>
        <v>CA_Ethanol_to_Diesel</v>
      </c>
      <c r="AS13" s="1" t="str">
        <f t="shared" si="3"/>
        <v>Ethanol</v>
      </c>
      <c r="AT13" s="11">
        <f t="shared" si="4"/>
        <v>102.68288164081707</v>
      </c>
      <c r="AU13" s="11">
        <f t="shared" si="5"/>
        <v>103.01328218350979</v>
      </c>
      <c r="AV13" s="5">
        <f t="shared" si="6"/>
        <v>-0.33040054269271479</v>
      </c>
      <c r="AW13" s="5">
        <f t="shared" si="7"/>
        <v>0.44682721539185538</v>
      </c>
      <c r="AX13" s="1">
        <f t="shared" si="8"/>
        <v>0</v>
      </c>
      <c r="AY13" s="1">
        <f t="shared" si="9"/>
        <v>1.0554061429305852</v>
      </c>
      <c r="AZ13" s="1">
        <f t="shared" si="10"/>
        <v>0</v>
      </c>
      <c r="BA13" s="1">
        <f t="shared" si="11"/>
        <v>0</v>
      </c>
      <c r="BB13" s="1">
        <f t="shared" si="12"/>
        <v>54.226830181782276</v>
      </c>
      <c r="BC13" s="1">
        <f t="shared" si="13"/>
        <v>4.7117573453474728</v>
      </c>
      <c r="BD13" s="1">
        <f t="shared" si="14"/>
        <v>32.943833969424723</v>
      </c>
      <c r="BE13" s="1">
        <f t="shared" si="15"/>
        <v>6.5731470650405633E-6</v>
      </c>
      <c r="BF13" s="1">
        <f t="shared" si="16"/>
        <v>18.049541328236973</v>
      </c>
      <c r="BG13" s="1">
        <f t="shared" si="17"/>
        <v>1.3943039320060667E-6</v>
      </c>
      <c r="BH13" s="1">
        <f t="shared" si="18"/>
        <v>10.573756333008005</v>
      </c>
      <c r="BI13" s="1">
        <f t="shared" si="19"/>
        <v>-8.5678391687216013</v>
      </c>
      <c r="BJ13" s="1">
        <f t="shared" si="20"/>
        <v>6.0258229288843723E-2</v>
      </c>
      <c r="BK13" s="1">
        <f t="shared" si="21"/>
        <v>-17.097068416517427</v>
      </c>
      <c r="BL13" s="1">
        <f t="shared" si="22"/>
        <v>6.3398287424832249</v>
      </c>
      <c r="BM13" s="1">
        <f t="shared" si="23"/>
        <v>-0.1096507801048047</v>
      </c>
      <c r="BN13" s="1">
        <f t="shared" si="24"/>
        <v>1.1096294232174548</v>
      </c>
      <c r="BO13" s="1">
        <f t="shared" si="25"/>
        <v>-11.536468554558947</v>
      </c>
      <c r="BQ13" s="1" t="str">
        <f t="shared" si="26"/>
        <v>Drymill CCS Fermentation Exhaust</v>
      </c>
      <c r="BR13" s="1">
        <f t="shared" si="27"/>
        <v>0</v>
      </c>
      <c r="BS13" s="1">
        <f t="shared" si="28"/>
        <v>1.0554061429305852</v>
      </c>
      <c r="BT13" s="1">
        <f t="array" ref="BT13">_xlfn.IFS(T13="Biomass_Corn", 1/W13/L13*AM13, T13="Biomass_Agri", 1/W13/L13*AL13, T13="Biomass_Wood", 1/W13/L13*AK13, T13="Biomass_Herb", 1/W13/L13*AJ13)</f>
        <v>54.226830181782276</v>
      </c>
      <c r="BU13" s="1">
        <f t="shared" si="29"/>
        <v>4.7117573453474728</v>
      </c>
      <c r="BV13" s="1">
        <f t="shared" si="30"/>
        <v>6.5731470650405633E-6</v>
      </c>
      <c r="BW13" s="1">
        <f t="shared" si="31"/>
        <v>1.3943039320060667E-6</v>
      </c>
      <c r="BX13" s="1">
        <f t="shared" si="32"/>
        <v>-8.5678391687216013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33"/>
        <v>1.7588666580000001</v>
      </c>
      <c r="CD13" s="10">
        <v>0.1828908353</v>
      </c>
      <c r="CE13" s="9">
        <v>0.23037490999999999</v>
      </c>
      <c r="CG13" s="10">
        <f t="shared" si="34"/>
        <v>0.56658349085470638</v>
      </c>
      <c r="CH13" s="10">
        <f t="shared" si="35"/>
        <v>5.9703910798172485E-2</v>
      </c>
      <c r="CI13" s="10">
        <f t="shared" si="36"/>
        <v>0.23037490999999999</v>
      </c>
      <c r="CK13" s="17">
        <f t="shared" si="37"/>
        <v>0.23143487956439487</v>
      </c>
      <c r="CL13" s="17">
        <f t="shared" si="38"/>
        <v>0.16447761030609043</v>
      </c>
      <c r="CM13" s="10">
        <f t="shared" si="39"/>
        <v>0</v>
      </c>
      <c r="CN13" s="10">
        <f t="shared" si="40"/>
        <v>0.22984973027306474</v>
      </c>
      <c r="CO13" s="10">
        <f t="shared" si="41"/>
        <v>0</v>
      </c>
      <c r="CP13" s="10">
        <f t="shared" si="42"/>
        <v>1.0794999999999999E-3</v>
      </c>
      <c r="CR13" s="1">
        <f t="shared" si="43"/>
        <v>-5.5431849067122396E-4</v>
      </c>
    </row>
    <row r="14" spans="2:112" x14ac:dyDescent="0.2">
      <c r="B14" s="22" t="s">
        <v>111</v>
      </c>
      <c r="C14" s="23" t="s">
        <v>93</v>
      </c>
      <c r="D14" s="23">
        <v>6</v>
      </c>
      <c r="E14" s="23" t="str">
        <f t="shared" si="0"/>
        <v>Drymill CCS Fermentation Exhaust</v>
      </c>
      <c r="F14" s="22">
        <v>1.4253091000000001E-2</v>
      </c>
      <c r="G14" s="22">
        <v>0</v>
      </c>
      <c r="H14" s="22">
        <v>0</v>
      </c>
      <c r="I14" s="22">
        <v>0</v>
      </c>
      <c r="J14" s="22">
        <v>0.95046638900000002</v>
      </c>
      <c r="K14" s="22">
        <v>0</v>
      </c>
      <c r="L14" s="28">
        <f t="shared" si="1"/>
        <v>0.95046638900000002</v>
      </c>
      <c r="M14" s="22">
        <v>0</v>
      </c>
      <c r="N14" s="22">
        <v>1.0794999999999999E-3</v>
      </c>
      <c r="O14" s="22">
        <v>246863.86249999999</v>
      </c>
      <c r="P14" s="22">
        <v>135253.823</v>
      </c>
      <c r="Q14" s="22">
        <v>10.050000000000001</v>
      </c>
      <c r="S14" s="17" t="str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105.21100300000001</v>
      </c>
      <c r="AI14" s="15">
        <v>-7.3796590000000002</v>
      </c>
      <c r="AJ14" s="15">
        <v>130.996602</v>
      </c>
      <c r="AK14" s="15">
        <v>149.05667199999999</v>
      </c>
      <c r="AL14" s="15">
        <v>112.26938</v>
      </c>
      <c r="AM14" s="15">
        <v>160</v>
      </c>
      <c r="AN14" s="15">
        <v>26.787863000000002</v>
      </c>
      <c r="AO14" s="15">
        <v>27.898395000000001</v>
      </c>
      <c r="AP14" s="15">
        <v>13.719440000000001</v>
      </c>
      <c r="AR14" s="1" t="str">
        <f t="shared" si="2"/>
        <v>NW_Ethanol_to_Diesel</v>
      </c>
      <c r="AS14" s="1" t="str">
        <f t="shared" si="3"/>
        <v>Ethanol</v>
      </c>
      <c r="AT14" s="11">
        <f t="shared" si="4"/>
        <v>102.54154164080337</v>
      </c>
      <c r="AU14" s="11">
        <f t="shared" si="5"/>
        <v>102.87194218349609</v>
      </c>
      <c r="AV14" s="5">
        <f t="shared" si="6"/>
        <v>-0.33040054269271479</v>
      </c>
      <c r="AW14" s="5">
        <f t="shared" si="7"/>
        <v>0.41836130902777774</v>
      </c>
      <c r="AX14" s="1">
        <f t="shared" si="8"/>
        <v>0</v>
      </c>
      <c r="AY14" s="1">
        <f t="shared" si="9"/>
        <v>0.77481731921985653</v>
      </c>
      <c r="AZ14" s="1">
        <f t="shared" si="10"/>
        <v>0</v>
      </c>
      <c r="BA14" s="1">
        <f t="shared" si="11"/>
        <v>0</v>
      </c>
      <c r="BB14" s="1">
        <f t="shared" si="12"/>
        <v>54.226830181782276</v>
      </c>
      <c r="BC14" s="1">
        <f t="shared" si="13"/>
        <v>4.712056154107457</v>
      </c>
      <c r="BD14" s="1">
        <f t="shared" si="14"/>
        <v>32.943833969424723</v>
      </c>
      <c r="BE14" s="1">
        <f t="shared" si="15"/>
        <v>6.5731470650405633E-6</v>
      </c>
      <c r="BF14" s="1">
        <f t="shared" si="16"/>
        <v>18.049541328236973</v>
      </c>
      <c r="BG14" s="1">
        <f t="shared" si="17"/>
        <v>1.3943039320060667E-6</v>
      </c>
      <c r="BH14" s="1">
        <f t="shared" si="18"/>
        <v>10.573756333008005</v>
      </c>
      <c r="BI14" s="1">
        <f t="shared" si="19"/>
        <v>-8.5678391687216013</v>
      </c>
      <c r="BJ14" s="1">
        <f t="shared" si="20"/>
        <v>6.0258229288843723E-2</v>
      </c>
      <c r="BK14" s="1">
        <f t="shared" si="21"/>
        <v>-16.929652495216303</v>
      </c>
      <c r="BL14" s="1">
        <f t="shared" si="22"/>
        <v>6.3398287424832249</v>
      </c>
      <c r="BM14" s="1">
        <f t="shared" si="23"/>
        <v>-0.1096507801048047</v>
      </c>
      <c r="BN14" s="1">
        <f t="shared" si="24"/>
        <v>1.2770453445185772</v>
      </c>
      <c r="BO14" s="1">
        <f t="shared" si="25"/>
        <v>-11.536468554558947</v>
      </c>
      <c r="BQ14" s="1" t="str">
        <f t="shared" si="26"/>
        <v>Drymill CCS Fermentation Exhaust</v>
      </c>
      <c r="BR14" s="1">
        <f t="shared" si="27"/>
        <v>0</v>
      </c>
      <c r="BS14" s="1">
        <f t="shared" si="28"/>
        <v>0.77481731921985653</v>
      </c>
      <c r="BT14" s="1">
        <f t="array" ref="BT14">_xlfn.IFS(T14="Biomass_Corn", 1/W14/L14*AM14, T14="Biomass_Agri", 1/W14/L14*AL14, T14="Biomass_Wood", 1/W14/L14*AK14, T14="Biomass_Herb", 1/W14/L14*AJ14)</f>
        <v>54.226830181782276</v>
      </c>
      <c r="BU14" s="1">
        <f t="shared" si="29"/>
        <v>4.712056154107457</v>
      </c>
      <c r="BV14" s="1">
        <f t="shared" si="30"/>
        <v>6.5731470650405633E-6</v>
      </c>
      <c r="BW14" s="1">
        <f t="shared" si="31"/>
        <v>1.3943039320060667E-6</v>
      </c>
      <c r="BX14" s="1">
        <f t="shared" si="32"/>
        <v>-8.5678391687216013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33"/>
        <v>1.7588666580000001</v>
      </c>
      <c r="CD14" s="10">
        <v>0.1828908353</v>
      </c>
      <c r="CE14" s="9">
        <v>0.23037490999999999</v>
      </c>
      <c r="CG14" s="10">
        <f t="shared" si="34"/>
        <v>0.56658349085470638</v>
      </c>
      <c r="CH14" s="10">
        <f t="shared" si="35"/>
        <v>5.9703910798172485E-2</v>
      </c>
      <c r="CI14" s="10">
        <f t="shared" si="36"/>
        <v>0.23037490999999999</v>
      </c>
      <c r="CK14" s="17">
        <f t="shared" si="37"/>
        <v>0.23143487956439487</v>
      </c>
      <c r="CL14" s="17">
        <f t="shared" si="38"/>
        <v>0.16447761030609043</v>
      </c>
      <c r="CM14" s="10">
        <f t="shared" si="39"/>
        <v>0</v>
      </c>
      <c r="CN14" s="10">
        <f t="shared" si="40"/>
        <v>0.22984973027306474</v>
      </c>
      <c r="CO14" s="10">
        <f t="shared" si="41"/>
        <v>0</v>
      </c>
      <c r="CP14" s="10">
        <f t="shared" si="42"/>
        <v>1.0794999999999999E-3</v>
      </c>
      <c r="CR14" s="1">
        <f t="shared" si="43"/>
        <v>-5.5431849067122396E-4</v>
      </c>
    </row>
    <row r="15" spans="2:112" x14ac:dyDescent="0.2">
      <c r="B15" s="22" t="s">
        <v>112</v>
      </c>
      <c r="C15" s="23" t="s">
        <v>93</v>
      </c>
      <c r="D15" s="23">
        <v>6</v>
      </c>
      <c r="E15" s="23" t="str">
        <f t="shared" si="0"/>
        <v>Drymill CCS Fermentation Exhaust</v>
      </c>
      <c r="F15" s="22">
        <v>1.4253091000000001E-2</v>
      </c>
      <c r="G15" s="22">
        <v>0</v>
      </c>
      <c r="H15" s="22">
        <v>0</v>
      </c>
      <c r="I15" s="22">
        <v>0</v>
      </c>
      <c r="J15" s="22">
        <v>0.95046638900000002</v>
      </c>
      <c r="K15" s="22">
        <v>0</v>
      </c>
      <c r="L15" s="28">
        <f t="shared" si="1"/>
        <v>0.95046638900000002</v>
      </c>
      <c r="M15" s="22">
        <v>0</v>
      </c>
      <c r="N15" s="22">
        <v>1.0794999999999999E-3</v>
      </c>
      <c r="O15" s="22">
        <v>246863.86249999999</v>
      </c>
      <c r="P15" s="22">
        <v>135253.823</v>
      </c>
      <c r="Q15" s="22">
        <v>10.050000000000001</v>
      </c>
      <c r="S15" s="17" t="str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105.21100300000001</v>
      </c>
      <c r="AI15" s="15">
        <v>-14.567418</v>
      </c>
      <c r="AJ15" s="15">
        <v>120.282189</v>
      </c>
      <c r="AK15" s="15">
        <v>137.475031</v>
      </c>
      <c r="AL15" s="15">
        <v>107.559866</v>
      </c>
      <c r="AM15" s="15">
        <v>160</v>
      </c>
      <c r="AN15" s="15">
        <v>27.957547000000002</v>
      </c>
      <c r="AO15" s="15">
        <v>26.470402</v>
      </c>
      <c r="AP15" s="15">
        <v>13.719351</v>
      </c>
      <c r="AR15" s="1" t="str">
        <f t="shared" si="2"/>
        <v>SW_Ethanol_to_Diesel</v>
      </c>
      <c r="AS15" s="1" t="str">
        <f t="shared" si="3"/>
        <v>Ethanol</v>
      </c>
      <c r="AT15" s="11">
        <f t="shared" si="4"/>
        <v>103.79776638075738</v>
      </c>
      <c r="AU15" s="11">
        <f t="shared" si="5"/>
        <v>104.1281669234501</v>
      </c>
      <c r="AV15" s="5">
        <f t="shared" si="6"/>
        <v>-0.33040054269271479</v>
      </c>
      <c r="AW15" s="5">
        <f t="shared" si="7"/>
        <v>0.39694728070240265</v>
      </c>
      <c r="AX15" s="1">
        <f t="shared" si="8"/>
        <v>0</v>
      </c>
      <c r="AY15" s="1">
        <f t="shared" si="9"/>
        <v>0.80864948497396527</v>
      </c>
      <c r="AZ15" s="1">
        <f t="shared" si="10"/>
        <v>0</v>
      </c>
      <c r="BA15" s="1">
        <f t="shared" si="11"/>
        <v>0</v>
      </c>
      <c r="BB15" s="1">
        <f t="shared" si="12"/>
        <v>54.226830181782276</v>
      </c>
      <c r="BC15" s="1">
        <f t="shared" si="13"/>
        <v>4.7120255863147689</v>
      </c>
      <c r="BD15" s="1">
        <f t="shared" si="14"/>
        <v>32.943833969424723</v>
      </c>
      <c r="BE15" s="1">
        <f t="shared" si="15"/>
        <v>6.5731470650405633E-6</v>
      </c>
      <c r="BF15" s="1">
        <f t="shared" si="16"/>
        <v>18.049541328236973</v>
      </c>
      <c r="BG15" s="1">
        <f t="shared" si="17"/>
        <v>1.3943039320060667E-6</v>
      </c>
      <c r="BH15" s="1">
        <f t="shared" si="18"/>
        <v>10.573756333008005</v>
      </c>
      <c r="BI15" s="1">
        <f t="shared" si="19"/>
        <v>-8.5678391687216013</v>
      </c>
      <c r="BJ15" s="1">
        <f t="shared" si="20"/>
        <v>6.0258229288843723E-2</v>
      </c>
      <c r="BK15" s="1">
        <f t="shared" si="21"/>
        <v>-15.685815324898337</v>
      </c>
      <c r="BL15" s="1">
        <f t="shared" si="22"/>
        <v>6.3398287424832249</v>
      </c>
      <c r="BM15" s="1">
        <f t="shared" si="23"/>
        <v>-0.1096507801048047</v>
      </c>
      <c r="BN15" s="1">
        <f t="shared" si="24"/>
        <v>2.5208825148365421</v>
      </c>
      <c r="BO15" s="1">
        <f t="shared" si="25"/>
        <v>-11.536468554558947</v>
      </c>
      <c r="BQ15" s="1" t="str">
        <f t="shared" si="26"/>
        <v>Drymill CCS Fermentation Exhaust</v>
      </c>
      <c r="BR15" s="1">
        <f t="shared" si="27"/>
        <v>0</v>
      </c>
      <c r="BS15" s="1">
        <f t="shared" si="28"/>
        <v>0.80864948497396527</v>
      </c>
      <c r="BT15" s="1">
        <f t="array" ref="BT15">_xlfn.IFS(T15="Biomass_Corn", 1/W15/L15*AM15, T15="Biomass_Agri", 1/W15/L15*AL15, T15="Biomass_Wood", 1/W15/L15*AK15, T15="Biomass_Herb", 1/W15/L15*AJ15)</f>
        <v>54.226830181782276</v>
      </c>
      <c r="BU15" s="1">
        <f t="shared" si="29"/>
        <v>4.7120255863147689</v>
      </c>
      <c r="BV15" s="1">
        <f t="shared" si="30"/>
        <v>6.5731470650405633E-6</v>
      </c>
      <c r="BW15" s="1">
        <f t="shared" si="31"/>
        <v>1.3943039320060667E-6</v>
      </c>
      <c r="BX15" s="1">
        <f t="shared" si="32"/>
        <v>-8.5678391687216013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33"/>
        <v>1.7588666580000001</v>
      </c>
      <c r="CD15" s="10">
        <v>0.1828908353</v>
      </c>
      <c r="CE15" s="9">
        <v>0.23037490999999999</v>
      </c>
      <c r="CG15" s="10">
        <f t="shared" si="34"/>
        <v>0.56658349085470638</v>
      </c>
      <c r="CH15" s="10">
        <f t="shared" si="35"/>
        <v>5.9703910798172485E-2</v>
      </c>
      <c r="CI15" s="10">
        <f t="shared" si="36"/>
        <v>0.23037490999999999</v>
      </c>
      <c r="CK15" s="17">
        <f t="shared" si="37"/>
        <v>0.23143487956439487</v>
      </c>
      <c r="CL15" s="17">
        <f t="shared" si="38"/>
        <v>0.16447761030609043</v>
      </c>
      <c r="CM15" s="10">
        <f t="shared" si="39"/>
        <v>0</v>
      </c>
      <c r="CN15" s="10">
        <f t="shared" si="40"/>
        <v>0.22984973027306474</v>
      </c>
      <c r="CO15" s="10">
        <f t="shared" si="41"/>
        <v>0</v>
      </c>
      <c r="CP15" s="10">
        <f t="shared" si="42"/>
        <v>1.0794999999999999E-3</v>
      </c>
      <c r="CR15" s="1">
        <f t="shared" si="43"/>
        <v>-5.5431849067122396E-4</v>
      </c>
    </row>
    <row r="16" spans="2:112" x14ac:dyDescent="0.2">
      <c r="B16" s="22" t="s">
        <v>113</v>
      </c>
      <c r="C16" s="23" t="s">
        <v>93</v>
      </c>
      <c r="D16" s="23">
        <v>6</v>
      </c>
      <c r="E16" s="23" t="str">
        <f t="shared" si="0"/>
        <v>Drymill CCS Fermentation Exhaust</v>
      </c>
      <c r="F16" s="22">
        <v>1.4253091000000001E-2</v>
      </c>
      <c r="G16" s="22">
        <v>0</v>
      </c>
      <c r="H16" s="22">
        <v>0</v>
      </c>
      <c r="I16" s="22">
        <v>0</v>
      </c>
      <c r="J16" s="22">
        <v>0.95046638900000002</v>
      </c>
      <c r="K16" s="22">
        <v>0</v>
      </c>
      <c r="L16" s="28">
        <f t="shared" si="1"/>
        <v>0.95046638900000002</v>
      </c>
      <c r="M16" s="22">
        <v>0</v>
      </c>
      <c r="N16" s="22">
        <v>1.0794999999999999E-3</v>
      </c>
      <c r="O16" s="22">
        <v>246863.86249999999</v>
      </c>
      <c r="P16" s="22">
        <v>135253.823</v>
      </c>
      <c r="Q16" s="22">
        <v>10.050000000000001</v>
      </c>
      <c r="S16" s="17" t="str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105.21100300000001</v>
      </c>
      <c r="AI16" s="15">
        <v>-19.477884</v>
      </c>
      <c r="AJ16" s="15">
        <v>132.95547999999999</v>
      </c>
      <c r="AK16" s="15">
        <v>152.57709199999999</v>
      </c>
      <c r="AL16" s="15">
        <v>106.67488899999999</v>
      </c>
      <c r="AM16" s="15">
        <v>160</v>
      </c>
      <c r="AN16" s="15">
        <v>20.174973000000001</v>
      </c>
      <c r="AO16" s="15">
        <v>18.805643</v>
      </c>
      <c r="AP16" s="15">
        <v>13.326032</v>
      </c>
      <c r="AR16" s="1" t="str">
        <f t="shared" si="2"/>
        <v>TX_Ethanol_to_Diesel</v>
      </c>
      <c r="AS16" s="1" t="str">
        <f t="shared" si="3"/>
        <v>Ethanol</v>
      </c>
      <c r="AT16" s="11">
        <f t="shared" si="4"/>
        <v>104.17238617030243</v>
      </c>
      <c r="AU16" s="11">
        <f t="shared" si="5"/>
        <v>104.50278671299515</v>
      </c>
      <c r="AV16" s="5">
        <f t="shared" si="6"/>
        <v>-0.33040054269271479</v>
      </c>
      <c r="AW16" s="5">
        <f t="shared" si="7"/>
        <v>0.28200738510545376</v>
      </c>
      <c r="AX16" s="1">
        <f t="shared" si="8"/>
        <v>0</v>
      </c>
      <c r="AY16" s="1">
        <f t="shared" si="9"/>
        <v>0.58354481263372848</v>
      </c>
      <c r="AZ16" s="1">
        <f t="shared" si="10"/>
        <v>0</v>
      </c>
      <c r="BA16" s="1">
        <f t="shared" si="11"/>
        <v>0</v>
      </c>
      <c r="BB16" s="1">
        <f t="shared" si="12"/>
        <v>54.226830181782276</v>
      </c>
      <c r="BC16" s="1">
        <f t="shared" si="13"/>
        <v>4.5769368935928068</v>
      </c>
      <c r="BD16" s="1">
        <f t="shared" si="14"/>
        <v>32.943833969424723</v>
      </c>
      <c r="BE16" s="1">
        <f t="shared" si="15"/>
        <v>6.5731470650405633E-6</v>
      </c>
      <c r="BF16" s="1">
        <f t="shared" si="16"/>
        <v>18.049541328236973</v>
      </c>
      <c r="BG16" s="1">
        <f t="shared" si="17"/>
        <v>1.3943039320060667E-6</v>
      </c>
      <c r="BH16" s="1">
        <f t="shared" si="18"/>
        <v>10.573756333008005</v>
      </c>
      <c r="BI16" s="1">
        <f t="shared" si="19"/>
        <v>-8.5678391687216013</v>
      </c>
      <c r="BJ16" s="1">
        <f t="shared" si="20"/>
        <v>6.0258229288843723E-2</v>
      </c>
      <c r="BK16" s="1">
        <f t="shared" si="21"/>
        <v>-14.836062274694152</v>
      </c>
      <c r="BL16" s="1">
        <f t="shared" si="22"/>
        <v>6.3398287424832249</v>
      </c>
      <c r="BM16" s="1">
        <f t="shared" si="23"/>
        <v>-0.1096507801048047</v>
      </c>
      <c r="BN16" s="1">
        <f t="shared" si="24"/>
        <v>3.3706355650407263</v>
      </c>
      <c r="BO16" s="1">
        <f t="shared" si="25"/>
        <v>-11.536468554558947</v>
      </c>
      <c r="BQ16" s="1" t="str">
        <f t="shared" si="26"/>
        <v>Drymill CCS Fermentation Exhaust</v>
      </c>
      <c r="BR16" s="1">
        <f t="shared" si="27"/>
        <v>0</v>
      </c>
      <c r="BS16" s="1">
        <f t="shared" si="28"/>
        <v>0.58354481263372848</v>
      </c>
      <c r="BT16" s="1">
        <f t="array" ref="BT16">_xlfn.IFS(T16="Biomass_Corn", 1/W16/L16*AM16, T16="Biomass_Agri", 1/W16/L16*AL16, T16="Biomass_Wood", 1/W16/L16*AK16, T16="Biomass_Herb", 1/W16/L16*AJ16)</f>
        <v>54.226830181782276</v>
      </c>
      <c r="BU16" s="1">
        <f t="shared" si="29"/>
        <v>4.5769368935928068</v>
      </c>
      <c r="BV16" s="1">
        <f t="shared" si="30"/>
        <v>6.5731470650405633E-6</v>
      </c>
      <c r="BW16" s="1">
        <f t="shared" si="31"/>
        <v>1.3943039320060667E-6</v>
      </c>
      <c r="BX16" s="1">
        <f t="shared" si="32"/>
        <v>-8.5678391687216013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33"/>
        <v>1.7588666580000001</v>
      </c>
      <c r="CD16" s="10">
        <v>0.1828908353</v>
      </c>
      <c r="CE16" s="9">
        <v>0.23037490999999999</v>
      </c>
      <c r="CG16" s="10">
        <f t="shared" si="34"/>
        <v>0.56658349085470638</v>
      </c>
      <c r="CH16" s="10">
        <f t="shared" si="35"/>
        <v>5.9703910798172485E-2</v>
      </c>
      <c r="CI16" s="10">
        <f t="shared" si="36"/>
        <v>0.23037490999999999</v>
      </c>
      <c r="CK16" s="17">
        <f t="shared" si="37"/>
        <v>0.23143487956439487</v>
      </c>
      <c r="CL16" s="17">
        <f t="shared" si="38"/>
        <v>0.16447761030609043</v>
      </c>
      <c r="CM16" s="10">
        <f t="shared" si="39"/>
        <v>0</v>
      </c>
      <c r="CN16" s="10">
        <f t="shared" si="40"/>
        <v>0.22984973027306474</v>
      </c>
      <c r="CO16" s="10">
        <f t="shared" si="41"/>
        <v>0</v>
      </c>
      <c r="CP16" s="10">
        <f t="shared" si="42"/>
        <v>1.0794999999999999E-3</v>
      </c>
      <c r="CR16" s="1">
        <f t="shared" si="43"/>
        <v>-5.5431849067122396E-4</v>
      </c>
    </row>
    <row r="17" spans="2:96" x14ac:dyDescent="0.2">
      <c r="B17" s="22" t="s">
        <v>114</v>
      </c>
      <c r="C17" s="23" t="s">
        <v>93</v>
      </c>
      <c r="D17" s="23">
        <v>6</v>
      </c>
      <c r="E17" s="23" t="str">
        <f t="shared" si="0"/>
        <v>Drymill CCS Fermentation Exhaust</v>
      </c>
      <c r="F17" s="22">
        <v>1.4253091000000001E-2</v>
      </c>
      <c r="G17" s="22">
        <v>0</v>
      </c>
      <c r="H17" s="22">
        <v>0</v>
      </c>
      <c r="I17" s="22">
        <v>0</v>
      </c>
      <c r="J17" s="22">
        <v>0.95046638900000002</v>
      </c>
      <c r="K17" s="22">
        <v>0</v>
      </c>
      <c r="L17" s="28">
        <f t="shared" si="1"/>
        <v>0.95046638900000002</v>
      </c>
      <c r="M17" s="22">
        <v>0</v>
      </c>
      <c r="N17" s="22">
        <v>1.0794999999999999E-3</v>
      </c>
      <c r="O17" s="22">
        <v>246863.86249999999</v>
      </c>
      <c r="P17" s="22">
        <v>135253.823</v>
      </c>
      <c r="Q17" s="22">
        <v>10.050000000000001</v>
      </c>
      <c r="S17" s="17" t="str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105.21100300000001</v>
      </c>
      <c r="AI17" s="15">
        <v>-39.686463000000003</v>
      </c>
      <c r="AJ17" s="15">
        <v>100.757654</v>
      </c>
      <c r="AK17" s="15">
        <v>111.990773</v>
      </c>
      <c r="AL17" s="15">
        <v>89.243781999999996</v>
      </c>
      <c r="AM17" s="15">
        <v>160</v>
      </c>
      <c r="AN17" s="15">
        <v>30.713950000000001</v>
      </c>
      <c r="AO17" s="15">
        <v>27.816395</v>
      </c>
      <c r="AP17" s="15">
        <v>13.425922</v>
      </c>
      <c r="AR17" s="1" t="str">
        <f t="shared" si="2"/>
        <v>NCEN_Ethanol_to_Diesel</v>
      </c>
      <c r="AS17" s="1" t="str">
        <f t="shared" si="3"/>
        <v>Ethanol</v>
      </c>
      <c r="AT17" s="11">
        <f t="shared" si="4"/>
        <v>108.14373176466813</v>
      </c>
      <c r="AU17" s="11">
        <f t="shared" si="5"/>
        <v>108.47413230736083</v>
      </c>
      <c r="AV17" s="5">
        <f t="shared" si="6"/>
        <v>-0.33040054269270058</v>
      </c>
      <c r="AW17" s="5">
        <f t="shared" si="7"/>
        <v>0.41713164591130536</v>
      </c>
      <c r="AX17" s="1">
        <f t="shared" si="8"/>
        <v>0</v>
      </c>
      <c r="AY17" s="1">
        <f t="shared" si="9"/>
        <v>0.88837621730605054</v>
      </c>
      <c r="AZ17" s="1">
        <f t="shared" si="10"/>
        <v>0</v>
      </c>
      <c r="BA17" s="1">
        <f t="shared" si="11"/>
        <v>0</v>
      </c>
      <c r="BB17" s="1">
        <f t="shared" si="12"/>
        <v>54.226830181782276</v>
      </c>
      <c r="BC17" s="1">
        <f t="shared" si="13"/>
        <v>4.611244947655786</v>
      </c>
      <c r="BD17" s="1">
        <f t="shared" si="14"/>
        <v>32.943833969424723</v>
      </c>
      <c r="BE17" s="1">
        <f t="shared" si="15"/>
        <v>6.5731470650405633E-6</v>
      </c>
      <c r="BF17" s="1">
        <f t="shared" si="16"/>
        <v>18.049541328236973</v>
      </c>
      <c r="BG17" s="1">
        <f t="shared" si="17"/>
        <v>1.3943039320060667E-6</v>
      </c>
      <c r="BH17" s="1">
        <f t="shared" si="18"/>
        <v>10.573756333008005</v>
      </c>
      <c r="BI17" s="1">
        <f t="shared" si="19"/>
        <v>-8.5678391687216013</v>
      </c>
      <c r="BJ17" s="1">
        <f t="shared" si="20"/>
        <v>6.0258229288843723E-2</v>
      </c>
      <c r="BK17" s="1">
        <f t="shared" si="21"/>
        <v>-11.3389803998696</v>
      </c>
      <c r="BL17" s="1">
        <f t="shared" si="22"/>
        <v>6.3398287424832249</v>
      </c>
      <c r="BM17" s="1">
        <f t="shared" si="23"/>
        <v>-0.1096507801048047</v>
      </c>
      <c r="BN17" s="1">
        <f t="shared" si="24"/>
        <v>6.8677174398652792</v>
      </c>
      <c r="BO17" s="1">
        <f t="shared" si="25"/>
        <v>-11.536468554558947</v>
      </c>
      <c r="BQ17" s="1" t="str">
        <f t="shared" si="26"/>
        <v>Drymill CCS Fermentation Exhaust</v>
      </c>
      <c r="BR17" s="1">
        <f t="shared" si="27"/>
        <v>0</v>
      </c>
      <c r="BS17" s="1">
        <f t="shared" si="28"/>
        <v>0.88837621730605054</v>
      </c>
      <c r="BT17" s="1">
        <f t="array" ref="BT17">_xlfn.IFS(T17="Biomass_Corn", 1/W17/L17*AM17, T17="Biomass_Agri", 1/W17/L17*AL17, T17="Biomass_Wood", 1/W17/L17*AK17, T17="Biomass_Herb", 1/W17/L17*AJ17)</f>
        <v>54.226830181782276</v>
      </c>
      <c r="BU17" s="1">
        <f t="shared" si="29"/>
        <v>4.611244947655786</v>
      </c>
      <c r="BV17" s="1">
        <f t="shared" si="30"/>
        <v>6.5731470650405633E-6</v>
      </c>
      <c r="BW17" s="1">
        <f t="shared" si="31"/>
        <v>1.3943039320060667E-6</v>
      </c>
      <c r="BX17" s="1">
        <f t="shared" si="32"/>
        <v>-8.5678391687216013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33"/>
        <v>1.7588666580000001</v>
      </c>
      <c r="CD17" s="10">
        <v>0.1828908353</v>
      </c>
      <c r="CE17" s="9">
        <v>0.23037490999999999</v>
      </c>
      <c r="CG17" s="10">
        <f t="shared" si="34"/>
        <v>0.56658349085470638</v>
      </c>
      <c r="CH17" s="10">
        <f t="shared" si="35"/>
        <v>5.9703910798172485E-2</v>
      </c>
      <c r="CI17" s="10">
        <f t="shared" si="36"/>
        <v>0.23037490999999999</v>
      </c>
      <c r="CK17" s="17">
        <f t="shared" si="37"/>
        <v>0.23143487956439487</v>
      </c>
      <c r="CL17" s="17">
        <f t="shared" si="38"/>
        <v>0.16447761030609043</v>
      </c>
      <c r="CM17" s="10">
        <f t="shared" si="39"/>
        <v>0</v>
      </c>
      <c r="CN17" s="10">
        <f t="shared" si="40"/>
        <v>0.22984973027306474</v>
      </c>
      <c r="CO17" s="10">
        <f t="shared" si="41"/>
        <v>0</v>
      </c>
      <c r="CP17" s="10">
        <f t="shared" si="42"/>
        <v>1.0794999999999999E-3</v>
      </c>
      <c r="CR17" s="1">
        <f t="shared" si="43"/>
        <v>-5.5431849067122396E-4</v>
      </c>
    </row>
    <row r="18" spans="2:96" x14ac:dyDescent="0.2">
      <c r="B18" s="22" t="s">
        <v>115</v>
      </c>
      <c r="C18" s="23" t="s">
        <v>93</v>
      </c>
      <c r="D18" s="23">
        <v>6</v>
      </c>
      <c r="E18" s="23" t="str">
        <f t="shared" si="0"/>
        <v>Drymill CCS Fermentation Exhaust</v>
      </c>
      <c r="F18" s="22">
        <v>1.4253091000000001E-2</v>
      </c>
      <c r="G18" s="22">
        <v>0</v>
      </c>
      <c r="H18" s="22">
        <v>0</v>
      </c>
      <c r="I18" s="22">
        <v>0</v>
      </c>
      <c r="J18" s="22">
        <v>0.95046638900000002</v>
      </c>
      <c r="K18" s="22">
        <v>0</v>
      </c>
      <c r="L18" s="28">
        <f t="shared" si="1"/>
        <v>0.95046638900000002</v>
      </c>
      <c r="M18" s="22">
        <v>0</v>
      </c>
      <c r="N18" s="22">
        <v>1.0794999999999999E-3</v>
      </c>
      <c r="O18" s="22">
        <v>246863.86249999999</v>
      </c>
      <c r="P18" s="22">
        <v>135253.823</v>
      </c>
      <c r="Q18" s="22">
        <v>10.050000000000001</v>
      </c>
      <c r="S18" s="17" t="str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105.21100300000001</v>
      </c>
      <c r="AI18" s="15">
        <v>-29.672038000000001</v>
      </c>
      <c r="AJ18" s="15">
        <v>107.027154</v>
      </c>
      <c r="AK18" s="15">
        <v>122.865223</v>
      </c>
      <c r="AL18" s="15">
        <v>94.404420999999999</v>
      </c>
      <c r="AM18" s="15">
        <v>160</v>
      </c>
      <c r="AN18" s="15">
        <v>25.118154000000001</v>
      </c>
      <c r="AO18" s="15">
        <v>25.810506</v>
      </c>
      <c r="AP18" s="15">
        <v>13.425869</v>
      </c>
      <c r="AR18" s="1" t="str">
        <f t="shared" si="2"/>
        <v>CEN_Ethanol_to_Diesel</v>
      </c>
      <c r="AS18" s="1" t="str">
        <f t="shared" si="3"/>
        <v>Ethanol</v>
      </c>
      <c r="AT18" s="11">
        <f t="shared" si="4"/>
        <v>106.21878964154457</v>
      </c>
      <c r="AU18" s="11">
        <f t="shared" si="5"/>
        <v>106.54919018423729</v>
      </c>
      <c r="AV18" s="5">
        <f t="shared" si="6"/>
        <v>-0.33040054269271479</v>
      </c>
      <c r="AW18" s="5">
        <f t="shared" si="7"/>
        <v>0.38705155177669942</v>
      </c>
      <c r="AX18" s="1">
        <f t="shared" si="8"/>
        <v>0</v>
      </c>
      <c r="AY18" s="1">
        <f t="shared" si="9"/>
        <v>0.72652233386558362</v>
      </c>
      <c r="AZ18" s="1">
        <f t="shared" si="10"/>
        <v>0</v>
      </c>
      <c r="BA18" s="1">
        <f t="shared" si="11"/>
        <v>0</v>
      </c>
      <c r="BB18" s="1">
        <f t="shared" si="12"/>
        <v>54.226830181782276</v>
      </c>
      <c r="BC18" s="1">
        <f t="shared" si="13"/>
        <v>4.6112267443635115</v>
      </c>
      <c r="BD18" s="1">
        <f t="shared" si="14"/>
        <v>32.943833969424723</v>
      </c>
      <c r="BE18" s="1">
        <f t="shared" si="15"/>
        <v>6.5731470650405633E-6</v>
      </c>
      <c r="BF18" s="1">
        <f t="shared" si="16"/>
        <v>18.049541328236973</v>
      </c>
      <c r="BG18" s="1">
        <f t="shared" si="17"/>
        <v>1.3943039320060667E-6</v>
      </c>
      <c r="BH18" s="1">
        <f t="shared" si="18"/>
        <v>10.573756333008005</v>
      </c>
      <c r="BI18" s="1">
        <f t="shared" si="19"/>
        <v>-8.5678391687216013</v>
      </c>
      <c r="BJ18" s="1">
        <f t="shared" si="20"/>
        <v>6.0258229288843723E-2</v>
      </c>
      <c r="BK18" s="1">
        <f t="shared" si="21"/>
        <v>-13.071970342125802</v>
      </c>
      <c r="BL18" s="1">
        <f t="shared" si="22"/>
        <v>6.3398287424832249</v>
      </c>
      <c r="BM18" s="1">
        <f t="shared" si="23"/>
        <v>-0.1096507801048047</v>
      </c>
      <c r="BN18" s="1">
        <f t="shared" si="24"/>
        <v>5.1347274976090782</v>
      </c>
      <c r="BO18" s="1">
        <f t="shared" si="25"/>
        <v>-11.536468554558947</v>
      </c>
      <c r="BQ18" s="1" t="str">
        <f t="shared" si="26"/>
        <v>Drymill CCS Fermentation Exhaust</v>
      </c>
      <c r="BR18" s="1">
        <f t="shared" si="27"/>
        <v>0</v>
      </c>
      <c r="BS18" s="1">
        <f t="shared" si="28"/>
        <v>0.72652233386558362</v>
      </c>
      <c r="BT18" s="1">
        <f t="array" ref="BT18">_xlfn.IFS(T18="Biomass_Corn", 1/W18/L18*AM18, T18="Biomass_Agri", 1/W18/L18*AL18, T18="Biomass_Wood", 1/W18/L18*AK18, T18="Biomass_Herb", 1/W18/L18*AJ18)</f>
        <v>54.226830181782276</v>
      </c>
      <c r="BU18" s="1">
        <f t="shared" si="29"/>
        <v>4.6112267443635115</v>
      </c>
      <c r="BV18" s="1">
        <f t="shared" si="30"/>
        <v>6.5731470650405633E-6</v>
      </c>
      <c r="BW18" s="1">
        <f t="shared" si="31"/>
        <v>1.3943039320060667E-6</v>
      </c>
      <c r="BX18" s="1">
        <f t="shared" si="32"/>
        <v>-8.5678391687216013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33"/>
        <v>1.7588666580000001</v>
      </c>
      <c r="CD18" s="10">
        <v>0.1828908353</v>
      </c>
      <c r="CE18" s="9">
        <v>0.23037490999999999</v>
      </c>
      <c r="CG18" s="10">
        <f t="shared" si="34"/>
        <v>0.56658349085470638</v>
      </c>
      <c r="CH18" s="10">
        <f t="shared" si="35"/>
        <v>5.9703910798172485E-2</v>
      </c>
      <c r="CI18" s="10">
        <f t="shared" si="36"/>
        <v>0.23037490999999999</v>
      </c>
      <c r="CK18" s="17">
        <f t="shared" si="37"/>
        <v>0.23143487956439487</v>
      </c>
      <c r="CL18" s="17">
        <f t="shared" si="38"/>
        <v>0.16447761030609043</v>
      </c>
      <c r="CM18" s="10">
        <f t="shared" si="39"/>
        <v>0</v>
      </c>
      <c r="CN18" s="10">
        <f t="shared" si="40"/>
        <v>0.22984973027306474</v>
      </c>
      <c r="CO18" s="10">
        <f t="shared" si="41"/>
        <v>0</v>
      </c>
      <c r="CP18" s="10">
        <f t="shared" si="42"/>
        <v>1.0794999999999999E-3</v>
      </c>
      <c r="CR18" s="1">
        <f t="shared" si="43"/>
        <v>-5.5431849067122396E-4</v>
      </c>
    </row>
    <row r="19" spans="2:96" x14ac:dyDescent="0.2">
      <c r="B19" s="22" t="s">
        <v>116</v>
      </c>
      <c r="C19" s="23" t="s">
        <v>93</v>
      </c>
      <c r="D19" s="23">
        <v>6</v>
      </c>
      <c r="E19" s="23" t="str">
        <f t="shared" si="0"/>
        <v>Drymill CCS Fermentation Exhaust</v>
      </c>
      <c r="F19" s="22">
        <v>1.4253091000000001E-2</v>
      </c>
      <c r="G19" s="22">
        <v>0</v>
      </c>
      <c r="H19" s="22">
        <v>0</v>
      </c>
      <c r="I19" s="22">
        <v>0</v>
      </c>
      <c r="J19" s="22">
        <v>0.95046638900000002</v>
      </c>
      <c r="K19" s="22">
        <v>0</v>
      </c>
      <c r="L19" s="28">
        <f t="shared" si="1"/>
        <v>0.95046638900000002</v>
      </c>
      <c r="M19" s="22">
        <v>0</v>
      </c>
      <c r="N19" s="22">
        <v>1.0794999999999999E-3</v>
      </c>
      <c r="O19" s="22">
        <v>246863.86249999999</v>
      </c>
      <c r="P19" s="22">
        <v>135253.823</v>
      </c>
      <c r="Q19" s="22">
        <v>10.050000000000001</v>
      </c>
      <c r="S19" s="17" t="str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105.21100300000001</v>
      </c>
      <c r="AI19" s="15">
        <v>-45.510345000000001</v>
      </c>
      <c r="AJ19" s="15">
        <v>97.593261999999996</v>
      </c>
      <c r="AK19" s="15">
        <v>109.791234</v>
      </c>
      <c r="AL19" s="15">
        <v>86.911507</v>
      </c>
      <c r="AM19" s="15">
        <v>160</v>
      </c>
      <c r="AN19" s="15">
        <v>38.099075999999997</v>
      </c>
      <c r="AO19" s="15">
        <v>30.305277</v>
      </c>
      <c r="AP19" s="15">
        <v>13.425863</v>
      </c>
      <c r="AR19" s="1" t="str">
        <f t="shared" si="2"/>
        <v>SE_Ethanol_to_Diesel</v>
      </c>
      <c r="AS19" s="1" t="str">
        <f t="shared" si="3"/>
        <v>Ethanol</v>
      </c>
      <c r="AT19" s="11">
        <f t="shared" si="4"/>
        <v>109.4024624291642</v>
      </c>
      <c r="AU19" s="11">
        <f t="shared" si="5"/>
        <v>109.7328629718569</v>
      </c>
      <c r="AV19" s="5">
        <f t="shared" si="6"/>
        <v>-0.33040054269270058</v>
      </c>
      <c r="AW19" s="5">
        <f t="shared" si="7"/>
        <v>0.45445465074852531</v>
      </c>
      <c r="AX19" s="1">
        <f t="shared" si="8"/>
        <v>0</v>
      </c>
      <c r="AY19" s="1">
        <f t="shared" si="9"/>
        <v>1.101985026990528</v>
      </c>
      <c r="AZ19" s="1">
        <f t="shared" si="10"/>
        <v>0</v>
      </c>
      <c r="BA19" s="1">
        <f t="shared" si="11"/>
        <v>0</v>
      </c>
      <c r="BB19" s="1">
        <f t="shared" si="12"/>
        <v>54.226830181782276</v>
      </c>
      <c r="BC19" s="1">
        <f t="shared" si="13"/>
        <v>4.6112246836134423</v>
      </c>
      <c r="BD19" s="1">
        <f t="shared" si="14"/>
        <v>32.943833969424723</v>
      </c>
      <c r="BE19" s="1">
        <f t="shared" si="15"/>
        <v>6.5731470650405633E-6</v>
      </c>
      <c r="BF19" s="1">
        <f t="shared" si="16"/>
        <v>18.049541328236973</v>
      </c>
      <c r="BG19" s="1">
        <f t="shared" si="17"/>
        <v>1.3943039320060667E-6</v>
      </c>
      <c r="BH19" s="1">
        <f t="shared" si="18"/>
        <v>10.573756333008005</v>
      </c>
      <c r="BI19" s="1">
        <f t="shared" si="19"/>
        <v>-8.5678391687216013</v>
      </c>
      <c r="BJ19" s="1">
        <f t="shared" si="20"/>
        <v>6.0258229288843723E-2</v>
      </c>
      <c r="BK19" s="1">
        <f t="shared" si="21"/>
        <v>-10.331161285852875</v>
      </c>
      <c r="BL19" s="1">
        <f t="shared" si="22"/>
        <v>6.3398287424832249</v>
      </c>
      <c r="BM19" s="1">
        <f t="shared" si="23"/>
        <v>-0.1096507801048047</v>
      </c>
      <c r="BN19" s="1">
        <f t="shared" si="24"/>
        <v>7.8755365538820028</v>
      </c>
      <c r="BO19" s="1">
        <f t="shared" si="25"/>
        <v>-11.536468554558947</v>
      </c>
      <c r="BQ19" s="1" t="str">
        <f t="shared" si="26"/>
        <v>Drymill CCS Fermentation Exhaust</v>
      </c>
      <c r="BR19" s="1">
        <f t="shared" si="27"/>
        <v>0</v>
      </c>
      <c r="BS19" s="1">
        <f t="shared" si="28"/>
        <v>1.101985026990528</v>
      </c>
      <c r="BT19" s="1">
        <f t="array" ref="BT19">_xlfn.IFS(T19="Biomass_Corn", 1/W19/L19*AM19, T19="Biomass_Agri", 1/W19/L19*AL19, T19="Biomass_Wood", 1/W19/L19*AK19, T19="Biomass_Herb", 1/W19/L19*AJ19)</f>
        <v>54.226830181782276</v>
      </c>
      <c r="BU19" s="1">
        <f t="shared" si="29"/>
        <v>4.6112246836134423</v>
      </c>
      <c r="BV19" s="1">
        <f t="shared" si="30"/>
        <v>6.5731470650405633E-6</v>
      </c>
      <c r="BW19" s="1">
        <f t="shared" si="31"/>
        <v>1.3943039320060667E-6</v>
      </c>
      <c r="BX19" s="1">
        <f t="shared" si="32"/>
        <v>-8.5678391687216013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33"/>
        <v>1.7588666580000001</v>
      </c>
      <c r="CD19" s="10">
        <v>0.1828908353</v>
      </c>
      <c r="CE19" s="9">
        <v>0.23037490999999999</v>
      </c>
      <c r="CG19" s="10">
        <f t="shared" si="34"/>
        <v>0.56658349085470638</v>
      </c>
      <c r="CH19" s="10">
        <f t="shared" si="35"/>
        <v>5.9703910798172485E-2</v>
      </c>
      <c r="CI19" s="10">
        <f t="shared" si="36"/>
        <v>0.23037490999999999</v>
      </c>
      <c r="CK19" s="17">
        <f t="shared" si="37"/>
        <v>0.23143487956439487</v>
      </c>
      <c r="CL19" s="17">
        <f t="shared" si="38"/>
        <v>0.16447761030609043</v>
      </c>
      <c r="CM19" s="10">
        <f t="shared" si="39"/>
        <v>0</v>
      </c>
      <c r="CN19" s="10">
        <f t="shared" si="40"/>
        <v>0.22984973027306474</v>
      </c>
      <c r="CO19" s="10">
        <f t="shared" si="41"/>
        <v>0</v>
      </c>
      <c r="CP19" s="10">
        <f t="shared" si="42"/>
        <v>1.0794999999999999E-3</v>
      </c>
      <c r="CR19" s="1">
        <f t="shared" si="43"/>
        <v>-5.5431849067122396E-4</v>
      </c>
    </row>
    <row r="20" spans="2:96" x14ac:dyDescent="0.2">
      <c r="B20" s="22" t="s">
        <v>117</v>
      </c>
      <c r="C20" s="23" t="s">
        <v>93</v>
      </c>
      <c r="D20" s="23">
        <v>6</v>
      </c>
      <c r="E20" s="23" t="str">
        <f t="shared" si="0"/>
        <v>Drymill CCS Fermentation Exhaust</v>
      </c>
      <c r="F20" s="22">
        <v>1.4253091000000001E-2</v>
      </c>
      <c r="G20" s="22">
        <v>0</v>
      </c>
      <c r="H20" s="22">
        <v>0</v>
      </c>
      <c r="I20" s="22">
        <v>0</v>
      </c>
      <c r="J20" s="22">
        <v>0.95046638900000002</v>
      </c>
      <c r="K20" s="22">
        <v>0</v>
      </c>
      <c r="L20" s="28">
        <f t="shared" si="1"/>
        <v>0.95046638900000002</v>
      </c>
      <c r="M20" s="22">
        <v>0</v>
      </c>
      <c r="N20" s="22">
        <v>1.0794999999999999E-3</v>
      </c>
      <c r="O20" s="22">
        <v>246863.86249999999</v>
      </c>
      <c r="P20" s="22">
        <v>135253.823</v>
      </c>
      <c r="Q20" s="22">
        <v>10.050000000000001</v>
      </c>
      <c r="S20" s="17" t="str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105.21100300000001</v>
      </c>
      <c r="AI20" s="15">
        <v>-50.334515000000003</v>
      </c>
      <c r="AJ20" s="15">
        <v>98.707491000000005</v>
      </c>
      <c r="AK20" s="15">
        <v>106.53195700000001</v>
      </c>
      <c r="AL20" s="15">
        <v>87.469328000000004</v>
      </c>
      <c r="AM20" s="15">
        <v>160</v>
      </c>
      <c r="AN20" s="15">
        <v>39.29871</v>
      </c>
      <c r="AO20" s="15">
        <v>31.568805000000001</v>
      </c>
      <c r="AP20" s="15">
        <v>13.42643</v>
      </c>
      <c r="AR20" s="1" t="str">
        <f t="shared" si="2"/>
        <v>MIDAT_Ethanol_to_Diesel</v>
      </c>
      <c r="AS20" s="1" t="str">
        <f t="shared" si="3"/>
        <v>Ethanol</v>
      </c>
      <c r="AT20" s="11">
        <f t="shared" si="4"/>
        <v>110.29112292610947</v>
      </c>
      <c r="AU20" s="11">
        <f t="shared" si="5"/>
        <v>110.62152346880218</v>
      </c>
      <c r="AV20" s="5">
        <f t="shared" si="6"/>
        <v>-0.33040054269271479</v>
      </c>
      <c r="AW20" s="5">
        <f t="shared" si="7"/>
        <v>0.47340237975133176</v>
      </c>
      <c r="AX20" s="1">
        <f t="shared" si="8"/>
        <v>0</v>
      </c>
      <c r="AY20" s="1">
        <f t="shared" si="9"/>
        <v>1.1366834723247079</v>
      </c>
      <c r="AZ20" s="1">
        <f t="shared" si="10"/>
        <v>0</v>
      </c>
      <c r="BA20" s="1">
        <f t="shared" si="11"/>
        <v>0</v>
      </c>
      <c r="BB20" s="1">
        <f t="shared" si="12"/>
        <v>54.226830181782276</v>
      </c>
      <c r="BC20" s="1">
        <f t="shared" si="13"/>
        <v>4.6114194244949491</v>
      </c>
      <c r="BD20" s="1">
        <f t="shared" si="14"/>
        <v>32.943833969424723</v>
      </c>
      <c r="BE20" s="1">
        <f t="shared" si="15"/>
        <v>6.5731470650405633E-6</v>
      </c>
      <c r="BF20" s="1">
        <f t="shared" si="16"/>
        <v>18.049541328236973</v>
      </c>
      <c r="BG20" s="1">
        <f t="shared" si="17"/>
        <v>1.3943039320060667E-6</v>
      </c>
      <c r="BH20" s="1">
        <f t="shared" si="18"/>
        <v>10.573756333008005</v>
      </c>
      <c r="BI20" s="1">
        <f t="shared" si="19"/>
        <v>-8.5678391687216013</v>
      </c>
      <c r="BJ20" s="1">
        <f t="shared" si="20"/>
        <v>6.0258229288843723E-2</v>
      </c>
      <c r="BK20" s="1">
        <f t="shared" si="21"/>
        <v>-9.4963417041261078</v>
      </c>
      <c r="BL20" s="1">
        <f t="shared" si="22"/>
        <v>6.3398287424832249</v>
      </c>
      <c r="BM20" s="1">
        <f t="shared" si="23"/>
        <v>-0.1096507801048047</v>
      </c>
      <c r="BN20" s="1">
        <f t="shared" si="24"/>
        <v>8.7103561356087713</v>
      </c>
      <c r="BO20" s="1">
        <f t="shared" si="25"/>
        <v>-11.536468554558947</v>
      </c>
      <c r="BQ20" s="1" t="str">
        <f t="shared" si="26"/>
        <v>Drymill CCS Fermentation Exhaust</v>
      </c>
      <c r="BR20" s="1">
        <f t="shared" si="27"/>
        <v>0</v>
      </c>
      <c r="BS20" s="1">
        <f t="shared" si="28"/>
        <v>1.1366834723247079</v>
      </c>
      <c r="BT20" s="1">
        <f t="array" ref="BT20">_xlfn.IFS(T20="Biomass_Corn", 1/W20/L20*AM20, T20="Biomass_Agri", 1/W20/L20*AL20, T20="Biomass_Wood", 1/W20/L20*AK20, T20="Biomass_Herb", 1/W20/L20*AJ20)</f>
        <v>54.226830181782276</v>
      </c>
      <c r="BU20" s="1">
        <f t="shared" si="29"/>
        <v>4.6114194244949491</v>
      </c>
      <c r="BV20" s="1">
        <f t="shared" si="30"/>
        <v>6.5731470650405633E-6</v>
      </c>
      <c r="BW20" s="1">
        <f t="shared" si="31"/>
        <v>1.3943039320060667E-6</v>
      </c>
      <c r="BX20" s="1">
        <f t="shared" si="32"/>
        <v>-8.5678391687216013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33"/>
        <v>1.7588666580000001</v>
      </c>
      <c r="CD20" s="10">
        <v>0.1828908353</v>
      </c>
      <c r="CE20" s="9">
        <v>0.23037490999999999</v>
      </c>
      <c r="CG20" s="10">
        <f t="shared" si="34"/>
        <v>0.56658349085470638</v>
      </c>
      <c r="CH20" s="10">
        <f t="shared" si="35"/>
        <v>5.9703910798172485E-2</v>
      </c>
      <c r="CI20" s="10">
        <f t="shared" si="36"/>
        <v>0.23037490999999999</v>
      </c>
      <c r="CK20" s="17">
        <f t="shared" si="37"/>
        <v>0.23143487956439487</v>
      </c>
      <c r="CL20" s="17">
        <f t="shared" si="38"/>
        <v>0.16447761030609043</v>
      </c>
      <c r="CM20" s="10">
        <f t="shared" si="39"/>
        <v>0</v>
      </c>
      <c r="CN20" s="10">
        <f t="shared" si="40"/>
        <v>0.22984973027306474</v>
      </c>
      <c r="CO20" s="10">
        <f t="shared" si="41"/>
        <v>0</v>
      </c>
      <c r="CP20" s="10">
        <f t="shared" si="42"/>
        <v>1.0794999999999999E-3</v>
      </c>
      <c r="CR20" s="1">
        <f t="shared" si="43"/>
        <v>-5.5431849067122396E-4</v>
      </c>
    </row>
    <row r="21" spans="2:96" x14ac:dyDescent="0.2">
      <c r="B21" s="22" t="s">
        <v>118</v>
      </c>
      <c r="C21" s="23" t="s">
        <v>93</v>
      </c>
      <c r="D21" s="23">
        <v>6</v>
      </c>
      <c r="E21" s="23" t="str">
        <f t="shared" si="0"/>
        <v>Drymill CCS Fermentation Exhaust</v>
      </c>
      <c r="F21" s="22">
        <v>1.4253091000000001E-2</v>
      </c>
      <c r="G21" s="22">
        <v>0</v>
      </c>
      <c r="H21" s="22">
        <v>0</v>
      </c>
      <c r="I21" s="22">
        <v>0</v>
      </c>
      <c r="J21" s="22">
        <v>0.95046638900000002</v>
      </c>
      <c r="K21" s="22">
        <v>0</v>
      </c>
      <c r="L21" s="28">
        <f t="shared" si="1"/>
        <v>0.95046638900000002</v>
      </c>
      <c r="M21" s="22">
        <v>0</v>
      </c>
      <c r="N21" s="22">
        <v>1.0794999999999999E-3</v>
      </c>
      <c r="O21" s="22">
        <v>246863.86249999999</v>
      </c>
      <c r="P21" s="22">
        <v>135253.823</v>
      </c>
      <c r="Q21" s="22">
        <v>10.050000000000001</v>
      </c>
      <c r="S21" s="17" t="str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105.21100300000001</v>
      </c>
      <c r="AI21" s="15">
        <v>-58.833413</v>
      </c>
      <c r="AJ21" s="15">
        <v>99.493746999999999</v>
      </c>
      <c r="AK21" s="15">
        <v>105.21395800000001</v>
      </c>
      <c r="AL21" s="15">
        <v>89.700445000000002</v>
      </c>
      <c r="AM21" s="15">
        <v>160</v>
      </c>
      <c r="AN21" s="15">
        <v>47.365060999999997</v>
      </c>
      <c r="AO21" s="15">
        <v>33.373224</v>
      </c>
      <c r="AP21" s="15">
        <v>13.426278999999999</v>
      </c>
      <c r="AR21" s="1" t="str">
        <f t="shared" si="2"/>
        <v>NE_Ethanol_to_Diesel</v>
      </c>
      <c r="AS21" s="1" t="str">
        <f t="shared" si="3"/>
        <v>Ethanol</v>
      </c>
      <c r="AT21" s="11">
        <f t="shared" si="4"/>
        <v>112.02217157771227</v>
      </c>
      <c r="AU21" s="11">
        <f t="shared" si="5"/>
        <v>112.35257212040497</v>
      </c>
      <c r="AV21" s="5">
        <f t="shared" si="6"/>
        <v>-0.33040054269270058</v>
      </c>
      <c r="AW21" s="5">
        <f t="shared" si="7"/>
        <v>0.50046125159233168</v>
      </c>
      <c r="AX21" s="1">
        <f t="shared" si="8"/>
        <v>0</v>
      </c>
      <c r="AY21" s="1">
        <f t="shared" si="9"/>
        <v>1.3699961653792605</v>
      </c>
      <c r="AZ21" s="1">
        <f t="shared" si="10"/>
        <v>0</v>
      </c>
      <c r="BA21" s="1">
        <f t="shared" si="11"/>
        <v>0</v>
      </c>
      <c r="BB21" s="1">
        <f t="shared" si="12"/>
        <v>54.226830181782276</v>
      </c>
      <c r="BC21" s="1">
        <f t="shared" si="13"/>
        <v>4.6113675622848831</v>
      </c>
      <c r="BD21" s="1">
        <f t="shared" si="14"/>
        <v>32.943833969424723</v>
      </c>
      <c r="BE21" s="1">
        <f t="shared" si="15"/>
        <v>6.5731470650405633E-6</v>
      </c>
      <c r="BF21" s="1">
        <f t="shared" si="16"/>
        <v>18.049541328236973</v>
      </c>
      <c r="BG21" s="1">
        <f t="shared" si="17"/>
        <v>1.3943039320060667E-6</v>
      </c>
      <c r="BH21" s="1">
        <f t="shared" si="18"/>
        <v>10.573756333008005</v>
      </c>
      <c r="BI21" s="1">
        <f t="shared" si="19"/>
        <v>-8.5678391687216013</v>
      </c>
      <c r="BJ21" s="1">
        <f t="shared" si="20"/>
        <v>6.0258229288843723E-2</v>
      </c>
      <c r="BK21" s="1">
        <f t="shared" si="21"/>
        <v>-8.0256127552087868</v>
      </c>
      <c r="BL21" s="1">
        <f t="shared" si="22"/>
        <v>6.3398287424832249</v>
      </c>
      <c r="BM21" s="1">
        <f t="shared" si="23"/>
        <v>-0.1096507801048047</v>
      </c>
      <c r="BN21" s="1">
        <f t="shared" si="24"/>
        <v>10.181085084526092</v>
      </c>
      <c r="BO21" s="1">
        <f t="shared" si="25"/>
        <v>-11.536468554558947</v>
      </c>
      <c r="BQ21" s="1" t="str">
        <f t="shared" si="26"/>
        <v>Drymill CCS Fermentation Exhaust</v>
      </c>
      <c r="BR21" s="1">
        <f t="shared" si="27"/>
        <v>0</v>
      </c>
      <c r="BS21" s="1">
        <f t="shared" si="28"/>
        <v>1.3699961653792605</v>
      </c>
      <c r="BT21" s="1">
        <f t="array" ref="BT21">_xlfn.IFS(T21="Biomass_Corn", 1/W21/L21*AM21, T21="Biomass_Agri", 1/W21/L21*AL21, T21="Biomass_Wood", 1/W21/L21*AK21, T21="Biomass_Herb", 1/W21/L21*AJ21)</f>
        <v>54.226830181782276</v>
      </c>
      <c r="BU21" s="1">
        <f t="shared" si="29"/>
        <v>4.6113675622848831</v>
      </c>
      <c r="BV21" s="1">
        <f t="shared" si="30"/>
        <v>6.5731470650405633E-6</v>
      </c>
      <c r="BW21" s="1">
        <f t="shared" si="31"/>
        <v>1.3943039320060667E-6</v>
      </c>
      <c r="BX21" s="1">
        <f t="shared" si="32"/>
        <v>-8.5678391687216013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33"/>
        <v>1.7588666580000001</v>
      </c>
      <c r="CD21" s="10">
        <v>0.1828908353</v>
      </c>
      <c r="CE21" s="9">
        <v>0.23037490999999999</v>
      </c>
      <c r="CG21" s="10">
        <f t="shared" si="34"/>
        <v>0.56658349085470638</v>
      </c>
      <c r="CH21" s="10">
        <f t="shared" si="35"/>
        <v>5.9703910798172485E-2</v>
      </c>
      <c r="CI21" s="10">
        <f t="shared" si="36"/>
        <v>0.23037490999999999</v>
      </c>
      <c r="CK21" s="17">
        <f t="shared" si="37"/>
        <v>0.23143487956439487</v>
      </c>
      <c r="CL21" s="17">
        <f t="shared" si="38"/>
        <v>0.16447761030609043</v>
      </c>
      <c r="CM21" s="10">
        <f t="shared" si="39"/>
        <v>0</v>
      </c>
      <c r="CN21" s="10">
        <f t="shared" si="40"/>
        <v>0.22984973027306474</v>
      </c>
      <c r="CO21" s="10">
        <f t="shared" si="41"/>
        <v>0</v>
      </c>
      <c r="CP21" s="10">
        <f t="shared" si="42"/>
        <v>1.0794999999999999E-3</v>
      </c>
      <c r="CR21" s="1">
        <f t="shared" si="43"/>
        <v>-5.5431849067122396E-4</v>
      </c>
    </row>
    <row r="22" spans="2:96" x14ac:dyDescent="0.2">
      <c r="B22" s="22" t="s">
        <v>119</v>
      </c>
      <c r="C22" s="23" t="s">
        <v>93</v>
      </c>
      <c r="D22" s="23">
        <v>6</v>
      </c>
      <c r="E22" s="23" t="str">
        <f t="shared" si="0"/>
        <v>Drymill CCS Fermentation Exhaust</v>
      </c>
      <c r="F22" s="22">
        <v>2.3755150999999999E-2</v>
      </c>
      <c r="G22" s="22">
        <v>0</v>
      </c>
      <c r="H22" s="22">
        <v>0</v>
      </c>
      <c r="I22" s="22">
        <v>0</v>
      </c>
      <c r="J22" s="22">
        <v>0</v>
      </c>
      <c r="K22" s="22">
        <v>0.94693260599999995</v>
      </c>
      <c r="L22" s="28">
        <f t="shared" si="1"/>
        <v>0.94693260599999995</v>
      </c>
      <c r="M22" s="22">
        <v>0</v>
      </c>
      <c r="N22" s="22">
        <v>2.8694800000000002E-3</v>
      </c>
      <c r="O22" s="22">
        <v>331164.8345</v>
      </c>
      <c r="P22" s="22">
        <v>181441.3395</v>
      </c>
      <c r="Q22" s="22">
        <v>13.3</v>
      </c>
      <c r="S22" s="17" t="str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105.21100300000001</v>
      </c>
      <c r="AI22" s="15">
        <v>-6.4122130000000004</v>
      </c>
      <c r="AJ22" s="15">
        <v>313632.96735400002</v>
      </c>
      <c r="AK22" s="15">
        <v>154.036981</v>
      </c>
      <c r="AL22" s="15">
        <v>132.85973799999999</v>
      </c>
      <c r="AM22" s="15">
        <v>160</v>
      </c>
      <c r="AN22" s="15">
        <v>36.488697999999999</v>
      </c>
      <c r="AO22" s="15">
        <v>29.796641999999999</v>
      </c>
      <c r="AP22" s="15">
        <v>13.71857</v>
      </c>
      <c r="AR22" s="1" t="str">
        <f t="shared" si="2"/>
        <v>CA_Ethanol_to_JetFuel</v>
      </c>
      <c r="AS22" s="1" t="str">
        <f t="shared" si="3"/>
        <v>Ethanol</v>
      </c>
      <c r="AT22" s="11">
        <f t="shared" si="4"/>
        <v>124.1938214331721</v>
      </c>
      <c r="AU22" s="11">
        <f t="shared" si="5"/>
        <v>124.54584569542745</v>
      </c>
      <c r="AV22" s="5">
        <f t="shared" si="6"/>
        <v>-0.35202426225534111</v>
      </c>
      <c r="AW22" s="5">
        <f t="shared" si="7"/>
        <v>0.74749113666378697</v>
      </c>
      <c r="AX22" s="1">
        <f t="shared" si="8"/>
        <v>0</v>
      </c>
      <c r="AY22" s="1">
        <f t="shared" si="9"/>
        <v>1.0593447297554048</v>
      </c>
      <c r="AZ22" s="1">
        <f t="shared" si="10"/>
        <v>0</v>
      </c>
      <c r="BA22" s="1">
        <f t="shared" si="11"/>
        <v>0</v>
      </c>
      <c r="BB22" s="1">
        <f t="shared" si="12"/>
        <v>54.429195006296808</v>
      </c>
      <c r="BC22" s="1">
        <f t="shared" si="13"/>
        <v>4.7293407804320964</v>
      </c>
      <c r="BD22" s="1">
        <f t="shared" si="14"/>
        <v>44.358671135811861</v>
      </c>
      <c r="BE22" s="1">
        <f t="shared" si="15"/>
        <v>6.5976768734004846E-6</v>
      </c>
      <c r="BF22" s="1">
        <f t="shared" si="16"/>
        <v>24.303597093796171</v>
      </c>
      <c r="BG22" s="1">
        <f t="shared" si="17"/>
        <v>1.3995072247225035E-6</v>
      </c>
      <c r="BH22" s="1">
        <f t="shared" si="18"/>
        <v>14.045350129172764</v>
      </c>
      <c r="BI22" s="1">
        <f t="shared" si="19"/>
        <v>-8.5998128109948961</v>
      </c>
      <c r="BJ22" s="1">
        <f t="shared" si="20"/>
        <v>5.970390616657939E-2</v>
      </c>
      <c r="BK22" s="1">
        <f t="shared" si="21"/>
        <v>-17.16087161574967</v>
      </c>
      <c r="BL22" s="1">
        <f t="shared" si="22"/>
        <v>6.2815078508037034</v>
      </c>
      <c r="BM22" s="1">
        <f t="shared" si="23"/>
        <v>-0.11064536533607444</v>
      </c>
      <c r="BN22" s="1">
        <f t="shared" si="24"/>
        <v>1.1137703616192167</v>
      </c>
      <c r="BO22" s="1">
        <f t="shared" si="25"/>
        <v>-11.641109864309824</v>
      </c>
      <c r="BQ22" s="1" t="str">
        <f t="shared" si="26"/>
        <v>Drymill CCS Fermentation Exhaust</v>
      </c>
      <c r="BR22" s="1">
        <f t="shared" si="27"/>
        <v>0</v>
      </c>
      <c r="BS22" s="1">
        <f t="shared" si="28"/>
        <v>1.0593447297554048</v>
      </c>
      <c r="BT22" s="1">
        <f t="array" ref="BT22">_xlfn.IFS(T22="Biomass_Corn", 1/W22/L22*AM22, T22="Biomass_Agri", 1/W22/L22*AL22, T22="Biomass_Wood", 1/W22/L22*AK22, T22="Biomass_Herb", 1/W22/L22*AJ22)</f>
        <v>54.429195006296808</v>
      </c>
      <c r="BU22" s="1">
        <f t="shared" si="29"/>
        <v>4.7293407804320964</v>
      </c>
      <c r="BV22" s="1">
        <f t="shared" si="30"/>
        <v>6.5976768734004846E-6</v>
      </c>
      <c r="BW22" s="1">
        <f t="shared" si="31"/>
        <v>1.3995072247225035E-6</v>
      </c>
      <c r="BX22" s="1">
        <f t="shared" si="32"/>
        <v>-8.5998128109948961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33"/>
        <v>1.7588666580000001</v>
      </c>
      <c r="CD22" s="10">
        <v>0.1828908353</v>
      </c>
      <c r="CE22" s="9">
        <v>0.23037490999999999</v>
      </c>
      <c r="CG22" s="10">
        <f t="shared" si="34"/>
        <v>0.56658349085470638</v>
      </c>
      <c r="CH22" s="10">
        <f t="shared" si="35"/>
        <v>5.9703910798172485E-2</v>
      </c>
      <c r="CI22" s="10">
        <f t="shared" si="36"/>
        <v>0.23037490999999999</v>
      </c>
      <c r="CK22" s="17">
        <f t="shared" si="37"/>
        <v>0.23143487956439487</v>
      </c>
      <c r="CL22" s="17">
        <f t="shared" si="38"/>
        <v>0.16447761030609043</v>
      </c>
      <c r="CM22" s="10">
        <f t="shared" si="39"/>
        <v>0</v>
      </c>
      <c r="CN22" s="10">
        <f t="shared" si="40"/>
        <v>0</v>
      </c>
      <c r="CO22" s="10">
        <f t="shared" si="41"/>
        <v>0.22750542715080049</v>
      </c>
      <c r="CP22" s="10">
        <f t="shared" si="42"/>
        <v>2.8694800000000002E-3</v>
      </c>
      <c r="CR22" s="1">
        <f t="shared" si="43"/>
        <v>4.631593109039045E-9</v>
      </c>
    </row>
    <row r="23" spans="2:96" x14ac:dyDescent="0.2">
      <c r="B23" s="22" t="s">
        <v>120</v>
      </c>
      <c r="C23" s="23" t="s">
        <v>93</v>
      </c>
      <c r="D23" s="23">
        <v>6</v>
      </c>
      <c r="E23" s="23" t="str">
        <f t="shared" si="0"/>
        <v>Drymill CCS Fermentation Exhaust</v>
      </c>
      <c r="F23" s="22">
        <v>2.3755150999999999E-2</v>
      </c>
      <c r="G23" s="22">
        <v>0</v>
      </c>
      <c r="H23" s="22">
        <v>0</v>
      </c>
      <c r="I23" s="22">
        <v>0</v>
      </c>
      <c r="J23" s="22">
        <v>0</v>
      </c>
      <c r="K23" s="22">
        <v>0.94693260599999995</v>
      </c>
      <c r="L23" s="28">
        <f t="shared" si="1"/>
        <v>0.94693260599999995</v>
      </c>
      <c r="M23" s="22">
        <v>0</v>
      </c>
      <c r="N23" s="22">
        <v>2.8694800000000002E-3</v>
      </c>
      <c r="O23" s="22">
        <v>331164.8345</v>
      </c>
      <c r="P23" s="22">
        <v>181441.3395</v>
      </c>
      <c r="Q23" s="22">
        <v>13.3</v>
      </c>
      <c r="S23" s="17" t="str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105.21100300000001</v>
      </c>
      <c r="AI23" s="15">
        <v>-7.3796590000000002</v>
      </c>
      <c r="AJ23" s="15">
        <v>130.996602</v>
      </c>
      <c r="AK23" s="15">
        <v>149.05667199999999</v>
      </c>
      <c r="AL23" s="15">
        <v>112.26938</v>
      </c>
      <c r="AM23" s="15">
        <v>160</v>
      </c>
      <c r="AN23" s="15">
        <v>26.787863000000002</v>
      </c>
      <c r="AO23" s="15">
        <v>27.898395000000001</v>
      </c>
      <c r="AP23" s="15">
        <v>13.719440000000001</v>
      </c>
      <c r="AR23" s="1" t="str">
        <f t="shared" si="2"/>
        <v>NW_Ethanol_to_JetFuel</v>
      </c>
      <c r="AS23" s="1" t="str">
        <f t="shared" si="3"/>
        <v>Ethanol</v>
      </c>
      <c r="AT23" s="11">
        <f t="shared" si="4"/>
        <v>124.03290588822458</v>
      </c>
      <c r="AU23" s="11">
        <f t="shared" si="5"/>
        <v>124.38493015047995</v>
      </c>
      <c r="AV23" s="5">
        <f t="shared" si="6"/>
        <v>-0.35202426225536954</v>
      </c>
      <c r="AW23" s="5">
        <f t="shared" si="7"/>
        <v>0.69987091128071788</v>
      </c>
      <c r="AX23" s="1">
        <f t="shared" si="8"/>
        <v>0</v>
      </c>
      <c r="AY23" s="1">
        <f t="shared" si="9"/>
        <v>0.7777087987754403</v>
      </c>
      <c r="AZ23" s="1">
        <f t="shared" si="10"/>
        <v>0</v>
      </c>
      <c r="BA23" s="1">
        <f t="shared" si="11"/>
        <v>0</v>
      </c>
      <c r="BB23" s="1">
        <f t="shared" si="12"/>
        <v>54.429195006296808</v>
      </c>
      <c r="BC23" s="1">
        <f t="shared" si="13"/>
        <v>4.7296407042928914</v>
      </c>
      <c r="BD23" s="1">
        <f t="shared" si="14"/>
        <v>44.358671135811861</v>
      </c>
      <c r="BE23" s="1">
        <f t="shared" si="15"/>
        <v>6.5976768734004846E-6</v>
      </c>
      <c r="BF23" s="1">
        <f t="shared" si="16"/>
        <v>24.303597093796171</v>
      </c>
      <c r="BG23" s="1">
        <f t="shared" si="17"/>
        <v>1.3995072247225035E-6</v>
      </c>
      <c r="BH23" s="1">
        <f t="shared" si="18"/>
        <v>14.045350129172764</v>
      </c>
      <c r="BI23" s="1">
        <f t="shared" si="19"/>
        <v>-8.5998128109948961</v>
      </c>
      <c r="BJ23" s="1">
        <f t="shared" si="20"/>
        <v>5.970390616657939E-2</v>
      </c>
      <c r="BK23" s="1">
        <f t="shared" si="21"/>
        <v>-16.992830928194987</v>
      </c>
      <c r="BL23" s="1">
        <f t="shared" si="22"/>
        <v>6.2815078508037034</v>
      </c>
      <c r="BM23" s="1">
        <f t="shared" si="23"/>
        <v>-0.11064536533607444</v>
      </c>
      <c r="BN23" s="1">
        <f t="shared" si="24"/>
        <v>1.2818110491738977</v>
      </c>
      <c r="BO23" s="1">
        <f t="shared" si="25"/>
        <v>-11.641109864309824</v>
      </c>
      <c r="BQ23" s="1" t="str">
        <f t="shared" si="26"/>
        <v>Drymill CCS Fermentation Exhaust</v>
      </c>
      <c r="BR23" s="1">
        <f t="shared" si="27"/>
        <v>0</v>
      </c>
      <c r="BS23" s="1">
        <f t="shared" si="28"/>
        <v>0.7777087987754403</v>
      </c>
      <c r="BT23" s="1">
        <f t="array" ref="BT23">_xlfn.IFS(T23="Biomass_Corn", 1/W23/L23*AM23, T23="Biomass_Agri", 1/W23/L23*AL23, T23="Biomass_Wood", 1/W23/L23*AK23, T23="Biomass_Herb", 1/W23/L23*AJ23)</f>
        <v>54.429195006296808</v>
      </c>
      <c r="BU23" s="1">
        <f t="shared" si="29"/>
        <v>4.7296407042928914</v>
      </c>
      <c r="BV23" s="1">
        <f t="shared" si="30"/>
        <v>6.5976768734004846E-6</v>
      </c>
      <c r="BW23" s="1">
        <f t="shared" si="31"/>
        <v>1.3995072247225035E-6</v>
      </c>
      <c r="BX23" s="1">
        <f t="shared" si="32"/>
        <v>-8.5998128109948961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33"/>
        <v>1.7588666580000001</v>
      </c>
      <c r="CD23" s="10">
        <v>0.1828908353</v>
      </c>
      <c r="CE23" s="9">
        <v>0.23037490999999999</v>
      </c>
      <c r="CG23" s="10">
        <f t="shared" si="34"/>
        <v>0.56658349085470638</v>
      </c>
      <c r="CH23" s="10">
        <f t="shared" si="35"/>
        <v>5.9703910798172485E-2</v>
      </c>
      <c r="CI23" s="10">
        <f t="shared" si="36"/>
        <v>0.23037490999999999</v>
      </c>
      <c r="CK23" s="17">
        <f t="shared" si="37"/>
        <v>0.23143487956439487</v>
      </c>
      <c r="CL23" s="17">
        <f t="shared" si="38"/>
        <v>0.16447761030609043</v>
      </c>
      <c r="CM23" s="10">
        <f t="shared" si="39"/>
        <v>0</v>
      </c>
      <c r="CN23" s="10">
        <f t="shared" si="40"/>
        <v>0</v>
      </c>
      <c r="CO23" s="10">
        <f t="shared" si="41"/>
        <v>0.22750542715080049</v>
      </c>
      <c r="CP23" s="10">
        <f t="shared" si="42"/>
        <v>2.8694800000000002E-3</v>
      </c>
      <c r="CR23" s="1">
        <f t="shared" si="43"/>
        <v>4.631593109039045E-9</v>
      </c>
    </row>
    <row r="24" spans="2:96" x14ac:dyDescent="0.2">
      <c r="B24" s="22" t="s">
        <v>121</v>
      </c>
      <c r="C24" s="23" t="s">
        <v>93</v>
      </c>
      <c r="D24" s="23">
        <v>6</v>
      </c>
      <c r="E24" s="23" t="str">
        <f t="shared" si="0"/>
        <v>Drymill CCS Fermentation Exhaust</v>
      </c>
      <c r="F24" s="22">
        <v>2.3755150999999999E-2</v>
      </c>
      <c r="G24" s="22">
        <v>0</v>
      </c>
      <c r="H24" s="22">
        <v>0</v>
      </c>
      <c r="I24" s="22">
        <v>0</v>
      </c>
      <c r="J24" s="22">
        <v>0</v>
      </c>
      <c r="K24" s="22">
        <v>0.94693260599999995</v>
      </c>
      <c r="L24" s="28">
        <f t="shared" si="1"/>
        <v>0.94693260599999995</v>
      </c>
      <c r="M24" s="22">
        <v>0</v>
      </c>
      <c r="N24" s="22">
        <v>2.8694800000000002E-3</v>
      </c>
      <c r="O24" s="22">
        <v>331164.8345</v>
      </c>
      <c r="P24" s="22">
        <v>181441.3395</v>
      </c>
      <c r="Q24" s="22">
        <v>13.3</v>
      </c>
      <c r="S24" s="17" t="str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105.21100300000001</v>
      </c>
      <c r="AI24" s="15">
        <v>-14.567418</v>
      </c>
      <c r="AJ24" s="15">
        <v>120.282189</v>
      </c>
      <c r="AK24" s="15">
        <v>137.475031</v>
      </c>
      <c r="AL24" s="15">
        <v>107.559866</v>
      </c>
      <c r="AM24" s="15">
        <v>160</v>
      </c>
      <c r="AN24" s="15">
        <v>27.957547000000002</v>
      </c>
      <c r="AO24" s="15">
        <v>26.470402</v>
      </c>
      <c r="AP24" s="15">
        <v>13.719351</v>
      </c>
      <c r="AR24" s="1" t="str">
        <f t="shared" si="2"/>
        <v>SW_Ethanol_to_JetFuel</v>
      </c>
      <c r="AS24" s="1" t="str">
        <f t="shared" si="3"/>
        <v>Ethanol</v>
      </c>
      <c r="AT24" s="11">
        <f t="shared" si="4"/>
        <v>125.27948934063869</v>
      </c>
      <c r="AU24" s="11">
        <f t="shared" si="5"/>
        <v>125.63151360289403</v>
      </c>
      <c r="AV24" s="5">
        <f t="shared" si="6"/>
        <v>-0.35202426225534111</v>
      </c>
      <c r="AW24" s="5">
        <f t="shared" si="7"/>
        <v>0.66404767620886207</v>
      </c>
      <c r="AX24" s="1">
        <f t="shared" si="8"/>
        <v>0</v>
      </c>
      <c r="AY24" s="1">
        <f t="shared" si="9"/>
        <v>0.81166722011673398</v>
      </c>
      <c r="AZ24" s="1">
        <f t="shared" si="10"/>
        <v>0</v>
      </c>
      <c r="BA24" s="1">
        <f t="shared" si="11"/>
        <v>0</v>
      </c>
      <c r="BB24" s="1">
        <f t="shared" si="12"/>
        <v>54.429195006296808</v>
      </c>
      <c r="BC24" s="1">
        <f t="shared" si="13"/>
        <v>4.7296100224266713</v>
      </c>
      <c r="BD24" s="1">
        <f t="shared" si="14"/>
        <v>44.358671135811861</v>
      </c>
      <c r="BE24" s="1">
        <f t="shared" si="15"/>
        <v>6.5976768734004846E-6</v>
      </c>
      <c r="BF24" s="1">
        <f t="shared" si="16"/>
        <v>24.303597093796171</v>
      </c>
      <c r="BG24" s="1">
        <f t="shared" si="17"/>
        <v>1.3995072247225035E-6</v>
      </c>
      <c r="BH24" s="1">
        <f t="shared" si="18"/>
        <v>14.045350129172764</v>
      </c>
      <c r="BI24" s="1">
        <f t="shared" si="19"/>
        <v>-8.5998128109948961</v>
      </c>
      <c r="BJ24" s="1">
        <f t="shared" si="20"/>
        <v>5.970390616657939E-2</v>
      </c>
      <c r="BK24" s="1">
        <f t="shared" si="21"/>
        <v>-15.744351980184096</v>
      </c>
      <c r="BL24" s="1">
        <f t="shared" si="22"/>
        <v>6.2815078508037034</v>
      </c>
      <c r="BM24" s="1">
        <f t="shared" si="23"/>
        <v>-0.11064536533607444</v>
      </c>
      <c r="BN24" s="1">
        <f t="shared" si="24"/>
        <v>2.5302899971847914</v>
      </c>
      <c r="BO24" s="1">
        <f t="shared" si="25"/>
        <v>-11.641109864309824</v>
      </c>
      <c r="BQ24" s="1" t="str">
        <f t="shared" si="26"/>
        <v>Drymill CCS Fermentation Exhaust</v>
      </c>
      <c r="BR24" s="1">
        <f t="shared" si="27"/>
        <v>0</v>
      </c>
      <c r="BS24" s="1">
        <f t="shared" si="28"/>
        <v>0.81166722011673398</v>
      </c>
      <c r="BT24" s="1">
        <f t="array" ref="BT24">_xlfn.IFS(T24="Biomass_Corn", 1/W24/L24*AM24, T24="Biomass_Agri", 1/W24/L24*AL24, T24="Biomass_Wood", 1/W24/L24*AK24, T24="Biomass_Herb", 1/W24/L24*AJ24)</f>
        <v>54.429195006296808</v>
      </c>
      <c r="BU24" s="1">
        <f t="shared" si="29"/>
        <v>4.7296100224266713</v>
      </c>
      <c r="BV24" s="1">
        <f t="shared" si="30"/>
        <v>6.5976768734004846E-6</v>
      </c>
      <c r="BW24" s="1">
        <f t="shared" si="31"/>
        <v>1.3995072247225035E-6</v>
      </c>
      <c r="BX24" s="1">
        <f t="shared" si="32"/>
        <v>-8.5998128109948961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33"/>
        <v>1.7588666580000001</v>
      </c>
      <c r="CD24" s="10">
        <v>0.1828908353</v>
      </c>
      <c r="CE24" s="9">
        <v>0.23037490999999999</v>
      </c>
      <c r="CG24" s="10">
        <f t="shared" si="34"/>
        <v>0.56658349085470638</v>
      </c>
      <c r="CH24" s="10">
        <f t="shared" si="35"/>
        <v>5.9703910798172485E-2</v>
      </c>
      <c r="CI24" s="10">
        <f t="shared" si="36"/>
        <v>0.23037490999999999</v>
      </c>
      <c r="CK24" s="17">
        <f t="shared" si="37"/>
        <v>0.23143487956439487</v>
      </c>
      <c r="CL24" s="17">
        <f t="shared" si="38"/>
        <v>0.16447761030609043</v>
      </c>
      <c r="CM24" s="10">
        <f t="shared" si="39"/>
        <v>0</v>
      </c>
      <c r="CN24" s="10">
        <f t="shared" si="40"/>
        <v>0</v>
      </c>
      <c r="CO24" s="10">
        <f t="shared" si="41"/>
        <v>0.22750542715080049</v>
      </c>
      <c r="CP24" s="10">
        <f t="shared" si="42"/>
        <v>2.8694800000000002E-3</v>
      </c>
      <c r="CR24" s="1">
        <f t="shared" si="43"/>
        <v>4.631593109039045E-9</v>
      </c>
    </row>
    <row r="25" spans="2:96" x14ac:dyDescent="0.2">
      <c r="B25" s="22" t="s">
        <v>122</v>
      </c>
      <c r="C25" s="23" t="s">
        <v>93</v>
      </c>
      <c r="D25" s="23">
        <v>6</v>
      </c>
      <c r="E25" s="23" t="str">
        <f t="shared" si="0"/>
        <v>Drymill CCS Fermentation Exhaust</v>
      </c>
      <c r="F25" s="22">
        <v>2.3755150999999999E-2</v>
      </c>
      <c r="G25" s="22">
        <v>0</v>
      </c>
      <c r="H25" s="22">
        <v>0</v>
      </c>
      <c r="I25" s="22">
        <v>0</v>
      </c>
      <c r="J25" s="22">
        <v>0</v>
      </c>
      <c r="K25" s="22">
        <v>0.94693260599999995</v>
      </c>
      <c r="L25" s="28">
        <f t="shared" si="1"/>
        <v>0.94693260599999995</v>
      </c>
      <c r="M25" s="22">
        <v>0</v>
      </c>
      <c r="N25" s="22">
        <v>2.8694800000000002E-3</v>
      </c>
      <c r="O25" s="22">
        <v>331164.8345</v>
      </c>
      <c r="P25" s="22">
        <v>181441.3395</v>
      </c>
      <c r="Q25" s="22">
        <v>13.3</v>
      </c>
      <c r="S25" s="17" t="str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105.21100300000001</v>
      </c>
      <c r="AI25" s="15">
        <v>-19.477884</v>
      </c>
      <c r="AJ25" s="15">
        <v>132.95547999999999</v>
      </c>
      <c r="AK25" s="15">
        <v>152.57709199999999</v>
      </c>
      <c r="AL25" s="15">
        <v>106.67488899999999</v>
      </c>
      <c r="AM25" s="15">
        <v>160</v>
      </c>
      <c r="AN25" s="15">
        <v>20.174973000000001</v>
      </c>
      <c r="AO25" s="15">
        <v>18.805643</v>
      </c>
      <c r="AP25" s="15">
        <v>13.326032</v>
      </c>
      <c r="AR25" s="1" t="str">
        <f t="shared" si="2"/>
        <v>TX_Ethanol_to_JetFuel</v>
      </c>
      <c r="AS25" s="1" t="str">
        <f t="shared" si="3"/>
        <v>Ethanol</v>
      </c>
      <c r="AT25" s="11">
        <f t="shared" si="4"/>
        <v>125.57859459577367</v>
      </c>
      <c r="AU25" s="11">
        <f t="shared" si="5"/>
        <v>125.93061885802901</v>
      </c>
      <c r="AV25" s="5">
        <f t="shared" si="6"/>
        <v>-0.35202426225534111</v>
      </c>
      <c r="AW25" s="5">
        <f t="shared" si="7"/>
        <v>0.47176629708016726</v>
      </c>
      <c r="AX25" s="1">
        <f t="shared" si="8"/>
        <v>0</v>
      </c>
      <c r="AY25" s="1">
        <f t="shared" si="9"/>
        <v>0.58572249742941207</v>
      </c>
      <c r="AZ25" s="1">
        <f t="shared" si="10"/>
        <v>0</v>
      </c>
      <c r="BA25" s="1">
        <f t="shared" si="11"/>
        <v>0</v>
      </c>
      <c r="BB25" s="1">
        <f t="shared" si="12"/>
        <v>54.429195006296808</v>
      </c>
      <c r="BC25" s="1">
        <f t="shared" si="13"/>
        <v>4.5940172028821582</v>
      </c>
      <c r="BD25" s="1">
        <f t="shared" si="14"/>
        <v>44.358671135811861</v>
      </c>
      <c r="BE25" s="1">
        <f t="shared" si="15"/>
        <v>6.5976768734004846E-6</v>
      </c>
      <c r="BF25" s="1">
        <f t="shared" si="16"/>
        <v>24.303597093796171</v>
      </c>
      <c r="BG25" s="1">
        <f t="shared" si="17"/>
        <v>1.3995072247225035E-6</v>
      </c>
      <c r="BH25" s="1">
        <f t="shared" si="18"/>
        <v>14.045350129172764</v>
      </c>
      <c r="BI25" s="1">
        <f t="shared" si="19"/>
        <v>-8.5998128109948961</v>
      </c>
      <c r="BJ25" s="1">
        <f t="shared" si="20"/>
        <v>5.970390616657939E-2</v>
      </c>
      <c r="BK25" s="1">
        <f t="shared" si="21"/>
        <v>-14.891427803688574</v>
      </c>
      <c r="BL25" s="1">
        <f t="shared" si="22"/>
        <v>6.2815078508037034</v>
      </c>
      <c r="BM25" s="1">
        <f t="shared" si="23"/>
        <v>-0.11064536533607444</v>
      </c>
      <c r="BN25" s="1">
        <f t="shared" si="24"/>
        <v>3.3832141736803116</v>
      </c>
      <c r="BO25" s="1">
        <f t="shared" si="25"/>
        <v>-11.641109864309824</v>
      </c>
      <c r="BQ25" s="1" t="str">
        <f t="shared" si="26"/>
        <v>Drymill CCS Fermentation Exhaust</v>
      </c>
      <c r="BR25" s="1">
        <f t="shared" si="27"/>
        <v>0</v>
      </c>
      <c r="BS25" s="1">
        <f t="shared" si="28"/>
        <v>0.58572249742941207</v>
      </c>
      <c r="BT25" s="1">
        <f t="array" ref="BT25">_xlfn.IFS(T25="Biomass_Corn", 1/W25/L25*AM25, T25="Biomass_Agri", 1/W25/L25*AL25, T25="Biomass_Wood", 1/W25/L25*AK25, T25="Biomass_Herb", 1/W25/L25*AJ25)</f>
        <v>54.429195006296808</v>
      </c>
      <c r="BU25" s="1">
        <f t="shared" si="29"/>
        <v>4.5940172028821582</v>
      </c>
      <c r="BV25" s="1">
        <f t="shared" si="30"/>
        <v>6.5976768734004846E-6</v>
      </c>
      <c r="BW25" s="1">
        <f t="shared" si="31"/>
        <v>1.3995072247225035E-6</v>
      </c>
      <c r="BX25" s="1">
        <f t="shared" si="32"/>
        <v>-8.5998128109948961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33"/>
        <v>1.7588666580000001</v>
      </c>
      <c r="CD25" s="10">
        <v>0.1828908353</v>
      </c>
      <c r="CE25" s="9">
        <v>0.23037490999999999</v>
      </c>
      <c r="CG25" s="10">
        <f t="shared" si="34"/>
        <v>0.56658349085470638</v>
      </c>
      <c r="CH25" s="10">
        <f t="shared" si="35"/>
        <v>5.9703910798172485E-2</v>
      </c>
      <c r="CI25" s="10">
        <f t="shared" si="36"/>
        <v>0.23037490999999999</v>
      </c>
      <c r="CK25" s="17">
        <f t="shared" si="37"/>
        <v>0.23143487956439487</v>
      </c>
      <c r="CL25" s="17">
        <f t="shared" si="38"/>
        <v>0.16447761030609043</v>
      </c>
      <c r="CM25" s="10">
        <f t="shared" si="39"/>
        <v>0</v>
      </c>
      <c r="CN25" s="10">
        <f t="shared" si="40"/>
        <v>0</v>
      </c>
      <c r="CO25" s="10">
        <f t="shared" si="41"/>
        <v>0.22750542715080049</v>
      </c>
      <c r="CP25" s="10">
        <f t="shared" si="42"/>
        <v>2.8694800000000002E-3</v>
      </c>
      <c r="CR25" s="1">
        <f t="shared" si="43"/>
        <v>4.631593109039045E-9</v>
      </c>
    </row>
    <row r="26" spans="2:96" x14ac:dyDescent="0.2">
      <c r="B26" s="22" t="s">
        <v>123</v>
      </c>
      <c r="C26" s="23" t="s">
        <v>93</v>
      </c>
      <c r="D26" s="23">
        <v>6</v>
      </c>
      <c r="E26" s="23" t="str">
        <f t="shared" si="0"/>
        <v>Drymill CCS Fermentation Exhaust</v>
      </c>
      <c r="F26" s="22">
        <v>2.3755150999999999E-2</v>
      </c>
      <c r="G26" s="22">
        <v>0</v>
      </c>
      <c r="H26" s="22">
        <v>0</v>
      </c>
      <c r="I26" s="22">
        <v>0</v>
      </c>
      <c r="J26" s="22">
        <v>0</v>
      </c>
      <c r="K26" s="22">
        <v>0.94693260599999995</v>
      </c>
      <c r="L26" s="28">
        <f t="shared" si="1"/>
        <v>0.94693260599999995</v>
      </c>
      <c r="M26" s="22">
        <v>0</v>
      </c>
      <c r="N26" s="22">
        <v>2.8694800000000002E-3</v>
      </c>
      <c r="O26" s="22">
        <v>331164.8345</v>
      </c>
      <c r="P26" s="22">
        <v>181441.3395</v>
      </c>
      <c r="Q26" s="22">
        <v>13.3</v>
      </c>
      <c r="S26" s="17" t="str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105.21100300000001</v>
      </c>
      <c r="AI26" s="15">
        <v>-39.686463000000003</v>
      </c>
      <c r="AJ26" s="15">
        <v>100.757654</v>
      </c>
      <c r="AK26" s="15">
        <v>111.990773</v>
      </c>
      <c r="AL26" s="15">
        <v>89.243781999999996</v>
      </c>
      <c r="AM26" s="15">
        <v>160</v>
      </c>
      <c r="AN26" s="15">
        <v>30.713950000000001</v>
      </c>
      <c r="AO26" s="15">
        <v>27.816395</v>
      </c>
      <c r="AP26" s="15">
        <v>13.425922</v>
      </c>
      <c r="AR26" s="1" t="str">
        <f t="shared" si="2"/>
        <v>NCEN_Ethanol_to_JetFuel</v>
      </c>
      <c r="AS26" s="1" t="str">
        <f t="shared" si="3"/>
        <v>Ethanol</v>
      </c>
      <c r="AT26" s="11">
        <f t="shared" si="4"/>
        <v>129.65517954832197</v>
      </c>
      <c r="AU26" s="11">
        <f t="shared" si="5"/>
        <v>130.00720381057735</v>
      </c>
      <c r="AV26" s="5">
        <f t="shared" si="6"/>
        <v>-0.35202426225538375</v>
      </c>
      <c r="AW26" s="5">
        <f t="shared" si="7"/>
        <v>0.69781382467322595</v>
      </c>
      <c r="AX26" s="1">
        <f t="shared" si="8"/>
        <v>0</v>
      </c>
      <c r="AY26" s="1">
        <f t="shared" si="9"/>
        <v>0.89169147834408946</v>
      </c>
      <c r="AZ26" s="1">
        <f t="shared" si="10"/>
        <v>0</v>
      </c>
      <c r="BA26" s="1">
        <f t="shared" si="11"/>
        <v>0</v>
      </c>
      <c r="BB26" s="1">
        <f t="shared" si="12"/>
        <v>54.429195006296808</v>
      </c>
      <c r="BC26" s="1">
        <f t="shared" si="13"/>
        <v>4.6284532884623149</v>
      </c>
      <c r="BD26" s="1">
        <f t="shared" si="14"/>
        <v>44.358671135811861</v>
      </c>
      <c r="BE26" s="1">
        <f t="shared" si="15"/>
        <v>6.5976768734004846E-6</v>
      </c>
      <c r="BF26" s="1">
        <f t="shared" si="16"/>
        <v>24.303597093796171</v>
      </c>
      <c r="BG26" s="1">
        <f t="shared" si="17"/>
        <v>1.3995072247225035E-6</v>
      </c>
      <c r="BH26" s="1">
        <f t="shared" si="18"/>
        <v>14.045350129172764</v>
      </c>
      <c r="BI26" s="1">
        <f t="shared" si="19"/>
        <v>-8.5998128109948961</v>
      </c>
      <c r="BJ26" s="1">
        <f t="shared" si="20"/>
        <v>5.970390616657939E-2</v>
      </c>
      <c r="BK26" s="1">
        <f t="shared" si="21"/>
        <v>-11.381295445228163</v>
      </c>
      <c r="BL26" s="1">
        <f t="shared" si="22"/>
        <v>6.2815078508037034</v>
      </c>
      <c r="BM26" s="1">
        <f t="shared" si="23"/>
        <v>-0.11064536533607444</v>
      </c>
      <c r="BN26" s="1">
        <f t="shared" si="24"/>
        <v>6.8933465321407228</v>
      </c>
      <c r="BO26" s="1">
        <f t="shared" si="25"/>
        <v>-11.641109864309824</v>
      </c>
      <c r="BP26" s="16"/>
      <c r="BQ26" s="1" t="str">
        <f t="shared" si="26"/>
        <v>Drymill CCS Fermentation Exhaust</v>
      </c>
      <c r="BR26" s="1">
        <f t="shared" si="27"/>
        <v>0</v>
      </c>
      <c r="BS26" s="1">
        <f t="shared" si="28"/>
        <v>0.89169147834408946</v>
      </c>
      <c r="BT26" s="1">
        <f t="array" ref="BT26">_xlfn.IFS(T26="Biomass_Corn", 1/W26/L26*AM26, T26="Biomass_Agri", 1/W26/L26*AL26, T26="Biomass_Wood", 1/W26/L26*AK26, T26="Biomass_Herb", 1/W26/L26*AJ26)</f>
        <v>54.429195006296808</v>
      </c>
      <c r="BU26" s="1">
        <f t="shared" si="29"/>
        <v>4.6284532884623149</v>
      </c>
      <c r="BV26" s="1">
        <f t="shared" si="30"/>
        <v>6.5976768734004846E-6</v>
      </c>
      <c r="BW26" s="1">
        <f t="shared" si="31"/>
        <v>1.3995072247225035E-6</v>
      </c>
      <c r="BX26" s="1">
        <f t="shared" si="32"/>
        <v>-8.5998128109948961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33"/>
        <v>1.7588666580000001</v>
      </c>
      <c r="CD26" s="10">
        <v>0.1828908353</v>
      </c>
      <c r="CE26" s="9">
        <v>0.23037490999999999</v>
      </c>
      <c r="CG26" s="10">
        <f t="shared" si="34"/>
        <v>0.56658349085470638</v>
      </c>
      <c r="CH26" s="10">
        <f t="shared" si="35"/>
        <v>5.9703910798172485E-2</v>
      </c>
      <c r="CI26" s="10">
        <f t="shared" si="36"/>
        <v>0.23037490999999999</v>
      </c>
      <c r="CK26" s="17">
        <f t="shared" si="37"/>
        <v>0.23143487956439487</v>
      </c>
      <c r="CL26" s="17">
        <f t="shared" si="38"/>
        <v>0.16447761030609043</v>
      </c>
      <c r="CM26" s="10">
        <f t="shared" si="39"/>
        <v>0</v>
      </c>
      <c r="CN26" s="10">
        <f t="shared" si="40"/>
        <v>0</v>
      </c>
      <c r="CO26" s="10">
        <f t="shared" si="41"/>
        <v>0.22750542715080049</v>
      </c>
      <c r="CP26" s="10">
        <f t="shared" si="42"/>
        <v>2.8694800000000002E-3</v>
      </c>
      <c r="CR26" s="1">
        <f t="shared" si="43"/>
        <v>4.631593109039045E-9</v>
      </c>
    </row>
    <row r="27" spans="2:96" x14ac:dyDescent="0.2">
      <c r="B27" s="22" t="s">
        <v>124</v>
      </c>
      <c r="C27" s="23" t="s">
        <v>93</v>
      </c>
      <c r="D27" s="23">
        <v>6</v>
      </c>
      <c r="E27" s="23" t="str">
        <f t="shared" si="0"/>
        <v>Drymill CCS Fermentation Exhaust</v>
      </c>
      <c r="F27" s="22">
        <v>2.3755150999999999E-2</v>
      </c>
      <c r="G27" s="22">
        <v>0</v>
      </c>
      <c r="H27" s="22">
        <v>0</v>
      </c>
      <c r="I27" s="22">
        <v>0</v>
      </c>
      <c r="J27" s="22">
        <v>0</v>
      </c>
      <c r="K27" s="22">
        <v>0.94693260599999995</v>
      </c>
      <c r="L27" s="28">
        <f t="shared" si="1"/>
        <v>0.94693260599999995</v>
      </c>
      <c r="M27" s="22">
        <v>0</v>
      </c>
      <c r="N27" s="22">
        <v>2.8694800000000002E-3</v>
      </c>
      <c r="O27" s="22">
        <v>331164.8345</v>
      </c>
      <c r="P27" s="22">
        <v>181441.3395</v>
      </c>
      <c r="Q27" s="22">
        <v>13.3</v>
      </c>
      <c r="S27" s="17" t="str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105.21100300000001</v>
      </c>
      <c r="AI27" s="15">
        <v>-29.672038000000001</v>
      </c>
      <c r="AJ27" s="15">
        <v>107.027154</v>
      </c>
      <c r="AK27" s="15">
        <v>122.865223</v>
      </c>
      <c r="AL27" s="15">
        <v>94.404420999999999</v>
      </c>
      <c r="AM27" s="15">
        <v>160</v>
      </c>
      <c r="AN27" s="15">
        <v>25.118154000000001</v>
      </c>
      <c r="AO27" s="15">
        <v>25.810506</v>
      </c>
      <c r="AP27" s="15">
        <v>13.425869</v>
      </c>
      <c r="AR27" s="1" t="str">
        <f t="shared" si="2"/>
        <v>CEN_Ethanol_to_JetFuel</v>
      </c>
      <c r="AS27" s="1" t="str">
        <f t="shared" si="3"/>
        <v>Ethanol</v>
      </c>
      <c r="AT27" s="11">
        <f t="shared" si="4"/>
        <v>127.70292565536586</v>
      </c>
      <c r="AU27" s="11">
        <f t="shared" si="5"/>
        <v>128.05494991762123</v>
      </c>
      <c r="AV27" s="5">
        <f t="shared" si="6"/>
        <v>-0.35202426225536954</v>
      </c>
      <c r="AW27" s="5">
        <f t="shared" si="7"/>
        <v>0.64749324664864905</v>
      </c>
      <c r="AX27" s="1">
        <f t="shared" si="8"/>
        <v>0</v>
      </c>
      <c r="AY27" s="1">
        <f t="shared" si="9"/>
        <v>0.72923358517984505</v>
      </c>
      <c r="AZ27" s="1">
        <f t="shared" si="10"/>
        <v>0</v>
      </c>
      <c r="BA27" s="1">
        <f t="shared" si="11"/>
        <v>0</v>
      </c>
      <c r="BB27" s="1">
        <f t="shared" si="12"/>
        <v>54.429195006296808</v>
      </c>
      <c r="BC27" s="1">
        <f t="shared" si="13"/>
        <v>4.6284350172386111</v>
      </c>
      <c r="BD27" s="1">
        <f t="shared" si="14"/>
        <v>44.358671135811861</v>
      </c>
      <c r="BE27" s="1">
        <f t="shared" si="15"/>
        <v>6.5976768734004846E-6</v>
      </c>
      <c r="BF27" s="1">
        <f t="shared" si="16"/>
        <v>24.303597093796171</v>
      </c>
      <c r="BG27" s="1">
        <f t="shared" si="17"/>
        <v>1.3995072247225035E-6</v>
      </c>
      <c r="BH27" s="1">
        <f t="shared" si="18"/>
        <v>14.045350129172764</v>
      </c>
      <c r="BI27" s="1">
        <f t="shared" si="19"/>
        <v>-8.5998128109948961</v>
      </c>
      <c r="BJ27" s="1">
        <f t="shared" si="20"/>
        <v>5.970390616657939E-2</v>
      </c>
      <c r="BK27" s="1">
        <f t="shared" si="21"/>
        <v>-13.120752595771748</v>
      </c>
      <c r="BL27" s="1">
        <f t="shared" si="22"/>
        <v>6.2815078508037034</v>
      </c>
      <c r="BM27" s="1">
        <f t="shared" si="23"/>
        <v>-0.11064536533607444</v>
      </c>
      <c r="BN27" s="1">
        <f t="shared" si="24"/>
        <v>5.1538893815971392</v>
      </c>
      <c r="BO27" s="1">
        <f t="shared" si="25"/>
        <v>-11.641109864309824</v>
      </c>
      <c r="BQ27" s="1" t="str">
        <f t="shared" si="26"/>
        <v>Drymill CCS Fermentation Exhaust</v>
      </c>
      <c r="BR27" s="1">
        <f t="shared" si="27"/>
        <v>0</v>
      </c>
      <c r="BS27" s="1">
        <f t="shared" si="28"/>
        <v>0.72923358517984505</v>
      </c>
      <c r="BT27" s="1">
        <f t="array" ref="BT27">_xlfn.IFS(T27="Biomass_Corn", 1/W27/L27*AM27, T27="Biomass_Agri", 1/W27/L27*AL27, T27="Biomass_Wood", 1/W27/L27*AK27, T27="Biomass_Herb", 1/W27/L27*AJ27)</f>
        <v>54.429195006296808</v>
      </c>
      <c r="BU27" s="1">
        <f t="shared" si="29"/>
        <v>4.6284350172386111</v>
      </c>
      <c r="BV27" s="1">
        <f t="shared" si="30"/>
        <v>6.5976768734004846E-6</v>
      </c>
      <c r="BW27" s="1">
        <f t="shared" si="31"/>
        <v>1.3995072247225035E-6</v>
      </c>
      <c r="BX27" s="1">
        <f t="shared" si="32"/>
        <v>-8.5998128109948961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33"/>
        <v>1.7588666580000001</v>
      </c>
      <c r="CD27" s="10">
        <v>0.1828908353</v>
      </c>
      <c r="CE27" s="9">
        <v>0.23037490999999999</v>
      </c>
      <c r="CG27" s="10">
        <f t="shared" si="34"/>
        <v>0.56658349085470638</v>
      </c>
      <c r="CH27" s="10">
        <f t="shared" si="35"/>
        <v>5.9703910798172485E-2</v>
      </c>
      <c r="CI27" s="10">
        <f t="shared" si="36"/>
        <v>0.23037490999999999</v>
      </c>
      <c r="CK27" s="17">
        <f t="shared" si="37"/>
        <v>0.23143487956439487</v>
      </c>
      <c r="CL27" s="17">
        <f t="shared" si="38"/>
        <v>0.16447761030609043</v>
      </c>
      <c r="CM27" s="10">
        <f t="shared" si="39"/>
        <v>0</v>
      </c>
      <c r="CN27" s="10">
        <f t="shared" si="40"/>
        <v>0</v>
      </c>
      <c r="CO27" s="10">
        <f t="shared" si="41"/>
        <v>0.22750542715080049</v>
      </c>
      <c r="CP27" s="10">
        <f t="shared" si="42"/>
        <v>2.8694800000000002E-3</v>
      </c>
      <c r="CR27" s="1">
        <f t="shared" si="43"/>
        <v>4.631593109039045E-9</v>
      </c>
    </row>
    <row r="28" spans="2:96" x14ac:dyDescent="0.2">
      <c r="B28" s="22" t="s">
        <v>125</v>
      </c>
      <c r="C28" s="23" t="s">
        <v>93</v>
      </c>
      <c r="D28" s="23">
        <v>6</v>
      </c>
      <c r="E28" s="23" t="str">
        <f t="shared" si="0"/>
        <v>Drymill CCS Fermentation Exhaust</v>
      </c>
      <c r="F28" s="22">
        <v>2.3755150999999999E-2</v>
      </c>
      <c r="G28" s="22">
        <v>0</v>
      </c>
      <c r="H28" s="22">
        <v>0</v>
      </c>
      <c r="I28" s="22">
        <v>0</v>
      </c>
      <c r="J28" s="22">
        <v>0</v>
      </c>
      <c r="K28" s="22">
        <v>0.94693260599999995</v>
      </c>
      <c r="L28" s="28">
        <f t="shared" si="1"/>
        <v>0.94693260599999995</v>
      </c>
      <c r="M28" s="22">
        <v>0</v>
      </c>
      <c r="N28" s="22">
        <v>2.8694800000000002E-3</v>
      </c>
      <c r="O28" s="22">
        <v>331164.8345</v>
      </c>
      <c r="P28" s="22">
        <v>181441.3395</v>
      </c>
      <c r="Q28" s="22">
        <v>13.3</v>
      </c>
      <c r="S28" s="17" t="str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105.21100300000001</v>
      </c>
      <c r="AI28" s="15">
        <v>-45.510345000000001</v>
      </c>
      <c r="AJ28" s="15">
        <v>97.593261999999996</v>
      </c>
      <c r="AK28" s="15">
        <v>109.791234</v>
      </c>
      <c r="AL28" s="15">
        <v>86.911507</v>
      </c>
      <c r="AM28" s="15">
        <v>160</v>
      </c>
      <c r="AN28" s="15">
        <v>38.099075999999997</v>
      </c>
      <c r="AO28" s="15">
        <v>30.305277</v>
      </c>
      <c r="AP28" s="15">
        <v>13.425863</v>
      </c>
      <c r="AR28" s="1" t="str">
        <f t="shared" si="2"/>
        <v>SE_Ethanol_to_JetFuel</v>
      </c>
      <c r="AS28" s="1" t="str">
        <f t="shared" si="3"/>
        <v>Ethanol</v>
      </c>
      <c r="AT28" s="11">
        <f t="shared" si="4"/>
        <v>130.94358242702066</v>
      </c>
      <c r="AU28" s="11">
        <f t="shared" si="5"/>
        <v>131.29560668927604</v>
      </c>
      <c r="AV28" s="5">
        <f t="shared" si="6"/>
        <v>-0.35202426225538375</v>
      </c>
      <c r="AW28" s="5">
        <f t="shared" si="7"/>
        <v>0.76025096893941679</v>
      </c>
      <c r="AX28" s="1">
        <f t="shared" si="8"/>
        <v>0</v>
      </c>
      <c r="AY28" s="1">
        <f t="shared" si="9"/>
        <v>1.106097437873794</v>
      </c>
      <c r="AZ28" s="1">
        <f t="shared" si="10"/>
        <v>0</v>
      </c>
      <c r="BA28" s="1">
        <f t="shared" si="11"/>
        <v>0</v>
      </c>
      <c r="BB28" s="1">
        <f t="shared" si="12"/>
        <v>54.429195006296808</v>
      </c>
      <c r="BC28" s="1">
        <f t="shared" si="13"/>
        <v>4.6284329487981912</v>
      </c>
      <c r="BD28" s="1">
        <f t="shared" si="14"/>
        <v>44.358671135811861</v>
      </c>
      <c r="BE28" s="1">
        <f t="shared" si="15"/>
        <v>6.5976768734004846E-6</v>
      </c>
      <c r="BF28" s="1">
        <f t="shared" si="16"/>
        <v>24.303597093796171</v>
      </c>
      <c r="BG28" s="1">
        <f t="shared" si="17"/>
        <v>1.3995072247225035E-6</v>
      </c>
      <c r="BH28" s="1">
        <f t="shared" si="18"/>
        <v>14.045350129172764</v>
      </c>
      <c r="BI28" s="1">
        <f t="shared" si="19"/>
        <v>-8.5998128109948961</v>
      </c>
      <c r="BJ28" s="1">
        <f t="shared" si="20"/>
        <v>5.970390616657939E-2</v>
      </c>
      <c r="BK28" s="1">
        <f t="shared" si="21"/>
        <v>-10.36971533066122</v>
      </c>
      <c r="BL28" s="1">
        <f t="shared" si="22"/>
        <v>6.2815078508037034</v>
      </c>
      <c r="BM28" s="1">
        <f t="shared" si="23"/>
        <v>-0.11064536533607444</v>
      </c>
      <c r="BN28" s="1">
        <f t="shared" si="24"/>
        <v>7.9049266467076666</v>
      </c>
      <c r="BO28" s="1">
        <f t="shared" si="25"/>
        <v>-11.641109864309824</v>
      </c>
      <c r="BQ28" s="1" t="str">
        <f t="shared" si="26"/>
        <v>Drymill CCS Fermentation Exhaust</v>
      </c>
      <c r="BR28" s="1">
        <f t="shared" si="27"/>
        <v>0</v>
      </c>
      <c r="BS28" s="1">
        <f t="shared" si="28"/>
        <v>1.106097437873794</v>
      </c>
      <c r="BT28" s="1">
        <f t="array" ref="BT28">_xlfn.IFS(T28="Biomass_Corn", 1/W28/L28*AM28, T28="Biomass_Agri", 1/W28/L28*AL28, T28="Biomass_Wood", 1/W28/L28*AK28, T28="Biomass_Herb", 1/W28/L28*AJ28)</f>
        <v>54.429195006296808</v>
      </c>
      <c r="BU28" s="1">
        <f t="shared" si="29"/>
        <v>4.6284329487981912</v>
      </c>
      <c r="BV28" s="1">
        <f t="shared" si="30"/>
        <v>6.5976768734004846E-6</v>
      </c>
      <c r="BW28" s="1">
        <f t="shared" si="31"/>
        <v>1.3995072247225035E-6</v>
      </c>
      <c r="BX28" s="1">
        <f t="shared" si="32"/>
        <v>-8.5998128109948961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33"/>
        <v>1.7588666580000001</v>
      </c>
      <c r="CD28" s="10">
        <v>0.1828908353</v>
      </c>
      <c r="CE28" s="9">
        <v>0.23037490999999999</v>
      </c>
      <c r="CG28" s="10">
        <f t="shared" si="34"/>
        <v>0.56658349085470638</v>
      </c>
      <c r="CH28" s="10">
        <f t="shared" si="35"/>
        <v>5.9703910798172485E-2</v>
      </c>
      <c r="CI28" s="10">
        <f t="shared" si="36"/>
        <v>0.23037490999999999</v>
      </c>
      <c r="CK28" s="17">
        <f t="shared" si="37"/>
        <v>0.23143487956439487</v>
      </c>
      <c r="CL28" s="17">
        <f t="shared" si="38"/>
        <v>0.16447761030609043</v>
      </c>
      <c r="CM28" s="10">
        <f t="shared" si="39"/>
        <v>0</v>
      </c>
      <c r="CN28" s="10">
        <f t="shared" si="40"/>
        <v>0</v>
      </c>
      <c r="CO28" s="10">
        <f t="shared" si="41"/>
        <v>0.22750542715080049</v>
      </c>
      <c r="CP28" s="10">
        <f t="shared" si="42"/>
        <v>2.8694800000000002E-3</v>
      </c>
      <c r="CR28" s="1">
        <f t="shared" si="43"/>
        <v>4.631593109039045E-9</v>
      </c>
    </row>
    <row r="29" spans="2:96" x14ac:dyDescent="0.2">
      <c r="B29" s="22" t="s">
        <v>126</v>
      </c>
      <c r="C29" s="23" t="s">
        <v>93</v>
      </c>
      <c r="D29" s="23">
        <v>6</v>
      </c>
      <c r="E29" s="23" t="str">
        <f t="shared" si="0"/>
        <v>Drymill CCS Fermentation Exhaust</v>
      </c>
      <c r="F29" s="22">
        <v>2.3755150999999999E-2</v>
      </c>
      <c r="G29" s="22">
        <v>0</v>
      </c>
      <c r="H29" s="22">
        <v>0</v>
      </c>
      <c r="I29" s="22">
        <v>0</v>
      </c>
      <c r="J29" s="22">
        <v>0</v>
      </c>
      <c r="K29" s="22">
        <v>0.94693260599999995</v>
      </c>
      <c r="L29" s="28">
        <f t="shared" si="1"/>
        <v>0.94693260599999995</v>
      </c>
      <c r="M29" s="22">
        <v>0</v>
      </c>
      <c r="N29" s="22">
        <v>2.8694800000000002E-3</v>
      </c>
      <c r="O29" s="22">
        <v>331164.8345</v>
      </c>
      <c r="P29" s="22">
        <v>181441.3395</v>
      </c>
      <c r="Q29" s="22">
        <v>13.3</v>
      </c>
      <c r="S29" s="17" t="str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105.21100300000001</v>
      </c>
      <c r="AI29" s="15">
        <v>-50.334515000000003</v>
      </c>
      <c r="AJ29" s="15">
        <v>98.707491000000005</v>
      </c>
      <c r="AK29" s="15">
        <v>106.53195700000001</v>
      </c>
      <c r="AL29" s="15">
        <v>87.469328000000004</v>
      </c>
      <c r="AM29" s="15">
        <v>160</v>
      </c>
      <c r="AN29" s="15">
        <v>39.29871</v>
      </c>
      <c r="AO29" s="15">
        <v>31.568805000000001</v>
      </c>
      <c r="AP29" s="15">
        <v>13.42643</v>
      </c>
      <c r="AR29" s="1" t="str">
        <f t="shared" si="2"/>
        <v>MIDAT_Ethanol_to_JetFuel</v>
      </c>
      <c r="AS29" s="1" t="str">
        <f t="shared" si="3"/>
        <v>Ethanol</v>
      </c>
      <c r="AT29" s="11">
        <f t="shared" si="4"/>
        <v>131.84823820401922</v>
      </c>
      <c r="AU29" s="11">
        <f t="shared" si="5"/>
        <v>132.20026246627461</v>
      </c>
      <c r="AV29" s="5">
        <f t="shared" si="6"/>
        <v>-0.35202426225538375</v>
      </c>
      <c r="AW29" s="5">
        <f t="shared" si="7"/>
        <v>0.79194836561003901</v>
      </c>
      <c r="AX29" s="1">
        <f t="shared" si="8"/>
        <v>0</v>
      </c>
      <c r="AY29" s="1">
        <f t="shared" si="9"/>
        <v>1.1409253715955014</v>
      </c>
      <c r="AZ29" s="1">
        <f t="shared" si="10"/>
        <v>0</v>
      </c>
      <c r="BA29" s="1">
        <f t="shared" si="11"/>
        <v>0</v>
      </c>
      <c r="BB29" s="1">
        <f t="shared" si="12"/>
        <v>54.429195006296808</v>
      </c>
      <c r="BC29" s="1">
        <f t="shared" si="13"/>
        <v>4.6286284164178131</v>
      </c>
      <c r="BD29" s="1">
        <f t="shared" si="14"/>
        <v>44.358671135811861</v>
      </c>
      <c r="BE29" s="1">
        <f t="shared" si="15"/>
        <v>6.5976768734004846E-6</v>
      </c>
      <c r="BF29" s="1">
        <f t="shared" si="16"/>
        <v>24.303597093796171</v>
      </c>
      <c r="BG29" s="1">
        <f t="shared" si="17"/>
        <v>1.3995072247225035E-6</v>
      </c>
      <c r="BH29" s="1">
        <f t="shared" si="18"/>
        <v>14.045350129172764</v>
      </c>
      <c r="BI29" s="1">
        <f t="shared" si="19"/>
        <v>-8.5998128109948961</v>
      </c>
      <c r="BJ29" s="1">
        <f t="shared" si="20"/>
        <v>5.970390616657939E-2</v>
      </c>
      <c r="BK29" s="1">
        <f t="shared" si="21"/>
        <v>-9.5317803516746249</v>
      </c>
      <c r="BL29" s="1">
        <f t="shared" si="22"/>
        <v>6.2815078508037034</v>
      </c>
      <c r="BM29" s="1">
        <f t="shared" si="23"/>
        <v>-0.11064536533607444</v>
      </c>
      <c r="BN29" s="1">
        <f t="shared" si="24"/>
        <v>8.7428616256942622</v>
      </c>
      <c r="BO29" s="1">
        <f t="shared" si="25"/>
        <v>-11.641109864309824</v>
      </c>
      <c r="BQ29" s="1" t="str">
        <f t="shared" si="26"/>
        <v>Drymill CCS Fermentation Exhaust</v>
      </c>
      <c r="BR29" s="1">
        <f t="shared" si="27"/>
        <v>0</v>
      </c>
      <c r="BS29" s="1">
        <f t="shared" si="28"/>
        <v>1.1409253715955014</v>
      </c>
      <c r="BT29" s="1">
        <f t="array" ref="BT29">_xlfn.IFS(T29="Biomass_Corn", 1/W29/L29*AM29, T29="Biomass_Agri", 1/W29/L29*AL29, T29="Biomass_Wood", 1/W29/L29*AK29, T29="Biomass_Herb", 1/W29/L29*AJ29)</f>
        <v>54.429195006296808</v>
      </c>
      <c r="BU29" s="1">
        <f t="shared" si="29"/>
        <v>4.6286284164178131</v>
      </c>
      <c r="BV29" s="1">
        <f t="shared" si="30"/>
        <v>6.5976768734004846E-6</v>
      </c>
      <c r="BW29" s="1">
        <f t="shared" si="31"/>
        <v>1.3995072247225035E-6</v>
      </c>
      <c r="BX29" s="1">
        <f t="shared" si="32"/>
        <v>-8.5998128109948961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33"/>
        <v>1.7588666580000001</v>
      </c>
      <c r="CD29" s="10">
        <v>0.1828908353</v>
      </c>
      <c r="CE29" s="9">
        <v>0.23037490999999999</v>
      </c>
      <c r="CG29" s="10">
        <f t="shared" si="34"/>
        <v>0.56658349085470638</v>
      </c>
      <c r="CH29" s="10">
        <f t="shared" si="35"/>
        <v>5.9703910798172485E-2</v>
      </c>
      <c r="CI29" s="10">
        <f t="shared" si="36"/>
        <v>0.23037490999999999</v>
      </c>
      <c r="CK29" s="17">
        <f t="shared" si="37"/>
        <v>0.23143487956439487</v>
      </c>
      <c r="CL29" s="17">
        <f t="shared" si="38"/>
        <v>0.16447761030609043</v>
      </c>
      <c r="CM29" s="10">
        <f t="shared" si="39"/>
        <v>0</v>
      </c>
      <c r="CN29" s="10">
        <f t="shared" si="40"/>
        <v>0</v>
      </c>
      <c r="CO29" s="10">
        <f t="shared" si="41"/>
        <v>0.22750542715080049</v>
      </c>
      <c r="CP29" s="10">
        <f t="shared" si="42"/>
        <v>2.8694800000000002E-3</v>
      </c>
      <c r="CR29" s="1">
        <f t="shared" si="43"/>
        <v>4.631593109039045E-9</v>
      </c>
    </row>
    <row r="30" spans="2:96" x14ac:dyDescent="0.2">
      <c r="B30" s="22" t="s">
        <v>127</v>
      </c>
      <c r="C30" s="23" t="s">
        <v>93</v>
      </c>
      <c r="D30" s="23">
        <v>6</v>
      </c>
      <c r="E30" s="23" t="str">
        <f t="shared" si="0"/>
        <v>Drymill CCS Fermentation Exhaust</v>
      </c>
      <c r="F30" s="22">
        <v>2.3755150999999999E-2</v>
      </c>
      <c r="G30" s="22">
        <v>0</v>
      </c>
      <c r="H30" s="22">
        <v>0</v>
      </c>
      <c r="I30" s="22">
        <v>0</v>
      </c>
      <c r="J30" s="22">
        <v>0</v>
      </c>
      <c r="K30" s="22">
        <v>0.94693260599999995</v>
      </c>
      <c r="L30" s="28">
        <f t="shared" si="1"/>
        <v>0.94693260599999995</v>
      </c>
      <c r="M30" s="22">
        <v>0</v>
      </c>
      <c r="N30" s="22">
        <v>2.8694800000000002E-3</v>
      </c>
      <c r="O30" s="22">
        <v>331164.8345</v>
      </c>
      <c r="P30" s="22">
        <v>181441.3395</v>
      </c>
      <c r="Q30" s="22">
        <v>13.3</v>
      </c>
      <c r="S30" s="17" t="str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105.21100300000001</v>
      </c>
      <c r="AI30" s="15">
        <v>-58.833413</v>
      </c>
      <c r="AJ30" s="15">
        <v>99.493746999999999</v>
      </c>
      <c r="AK30" s="15">
        <v>105.21395800000001</v>
      </c>
      <c r="AL30" s="15">
        <v>89.700445000000002</v>
      </c>
      <c r="AM30" s="15">
        <v>160</v>
      </c>
      <c r="AN30" s="15">
        <v>47.365060999999997</v>
      </c>
      <c r="AO30" s="15">
        <v>33.373224</v>
      </c>
      <c r="AP30" s="15">
        <v>13.426278999999999</v>
      </c>
      <c r="AR30" s="1" t="str">
        <f t="shared" si="2"/>
        <v>NE_Ethanol_to_JetFuel</v>
      </c>
      <c r="AS30" s="1" t="str">
        <f t="shared" si="3"/>
        <v>Ethanol</v>
      </c>
      <c r="AT30" s="11">
        <f t="shared" si="4"/>
        <v>133.60385338522821</v>
      </c>
      <c r="AU30" s="11">
        <f t="shared" si="5"/>
        <v>133.95587764748359</v>
      </c>
      <c r="AV30" s="5">
        <f t="shared" si="6"/>
        <v>-0.35202426225538375</v>
      </c>
      <c r="AW30" s="5">
        <f t="shared" si="7"/>
        <v>0.83721478218569645</v>
      </c>
      <c r="AX30" s="1">
        <f t="shared" si="8"/>
        <v>0</v>
      </c>
      <c r="AY30" s="1">
        <f t="shared" si="9"/>
        <v>1.3751087458613422</v>
      </c>
      <c r="AZ30" s="1">
        <f t="shared" si="10"/>
        <v>0</v>
      </c>
      <c r="BA30" s="1">
        <f t="shared" si="11"/>
        <v>0</v>
      </c>
      <c r="BB30" s="1">
        <f t="shared" si="12"/>
        <v>54.429195006296808</v>
      </c>
      <c r="BC30" s="1">
        <f t="shared" si="13"/>
        <v>4.6285763606672612</v>
      </c>
      <c r="BD30" s="1">
        <f t="shared" si="14"/>
        <v>44.358671135811861</v>
      </c>
      <c r="BE30" s="1">
        <f t="shared" si="15"/>
        <v>6.5976768734004846E-6</v>
      </c>
      <c r="BF30" s="1">
        <f t="shared" si="16"/>
        <v>24.303597093796171</v>
      </c>
      <c r="BG30" s="1">
        <f t="shared" si="17"/>
        <v>1.3995072247225035E-6</v>
      </c>
      <c r="BH30" s="1">
        <f t="shared" si="18"/>
        <v>14.045350129172764</v>
      </c>
      <c r="BI30" s="1">
        <f t="shared" si="19"/>
        <v>-8.5998128109948961</v>
      </c>
      <c r="BJ30" s="1">
        <f t="shared" si="20"/>
        <v>5.970390616657939E-2</v>
      </c>
      <c r="BK30" s="1">
        <f t="shared" si="21"/>
        <v>-8.0555629055565952</v>
      </c>
      <c r="BL30" s="1">
        <f t="shared" si="22"/>
        <v>6.2815078508037034</v>
      </c>
      <c r="BM30" s="1">
        <f t="shared" si="23"/>
        <v>-0.11064536533607444</v>
      </c>
      <c r="BN30" s="1">
        <f t="shared" si="24"/>
        <v>10.219079071812292</v>
      </c>
      <c r="BO30" s="1">
        <f t="shared" si="25"/>
        <v>-11.641109864309824</v>
      </c>
      <c r="BQ30" s="1" t="str">
        <f t="shared" si="26"/>
        <v>Drymill CCS Fermentation Exhaust</v>
      </c>
      <c r="BR30" s="1">
        <f t="shared" si="27"/>
        <v>0</v>
      </c>
      <c r="BS30" s="1">
        <f t="shared" si="28"/>
        <v>1.3751087458613422</v>
      </c>
      <c r="BT30" s="1">
        <f t="array" ref="BT30">_xlfn.IFS(T30="Biomass_Corn", 1/W30/L30*AM30, T30="Biomass_Agri", 1/W30/L30*AL30, T30="Biomass_Wood", 1/W30/L30*AK30, T30="Biomass_Herb", 1/W30/L30*AJ30)</f>
        <v>54.429195006296808</v>
      </c>
      <c r="BU30" s="1">
        <f t="shared" si="29"/>
        <v>4.6285763606672612</v>
      </c>
      <c r="BV30" s="1">
        <f t="shared" si="30"/>
        <v>6.5976768734004846E-6</v>
      </c>
      <c r="BW30" s="1">
        <f t="shared" si="31"/>
        <v>1.3995072247225035E-6</v>
      </c>
      <c r="BX30" s="1">
        <f t="shared" si="32"/>
        <v>-8.5998128109948961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33"/>
        <v>1.7588666580000001</v>
      </c>
      <c r="CD30" s="10">
        <v>0.1828908353</v>
      </c>
      <c r="CE30" s="9">
        <v>0.23037490999999999</v>
      </c>
      <c r="CG30" s="10">
        <f t="shared" si="34"/>
        <v>0.56658349085470638</v>
      </c>
      <c r="CH30" s="10">
        <f t="shared" si="35"/>
        <v>5.9703910798172485E-2</v>
      </c>
      <c r="CI30" s="10">
        <f t="shared" si="36"/>
        <v>0.23037490999999999</v>
      </c>
      <c r="CK30" s="17">
        <f t="shared" si="37"/>
        <v>0.23143487956439487</v>
      </c>
      <c r="CL30" s="17">
        <f t="shared" si="38"/>
        <v>0.16447761030609043</v>
      </c>
      <c r="CM30" s="10">
        <f t="shared" si="39"/>
        <v>0</v>
      </c>
      <c r="CN30" s="10">
        <f t="shared" si="40"/>
        <v>0</v>
      </c>
      <c r="CO30" s="10">
        <f t="shared" si="41"/>
        <v>0.22750542715080049</v>
      </c>
      <c r="CP30" s="10">
        <f t="shared" si="42"/>
        <v>2.8694800000000002E-3</v>
      </c>
      <c r="CR30" s="1">
        <f t="shared" si="43"/>
        <v>4.631593109039045E-9</v>
      </c>
    </row>
    <row r="31" spans="2:96" x14ac:dyDescent="0.2">
      <c r="B31" s="22" t="s">
        <v>128</v>
      </c>
      <c r="C31" s="23" t="s">
        <v>93</v>
      </c>
      <c r="D31" s="23">
        <v>6</v>
      </c>
      <c r="E31" s="23" t="str">
        <f t="shared" si="0"/>
        <v>Drymill CCS Fermentation Exhaust</v>
      </c>
      <c r="F31" s="22">
        <v>0</v>
      </c>
      <c r="G31" s="22">
        <v>0</v>
      </c>
      <c r="H31" s="22">
        <v>0</v>
      </c>
      <c r="I31" s="22">
        <v>0.87460153200000001</v>
      </c>
      <c r="J31" s="22">
        <v>7.5453064E-2</v>
      </c>
      <c r="K31" s="22">
        <v>0</v>
      </c>
      <c r="L31" s="28">
        <f t="shared" si="1"/>
        <v>0.95005459599999997</v>
      </c>
      <c r="M31" s="22">
        <v>0</v>
      </c>
      <c r="N31" s="22">
        <v>2.0076299999999998E-3</v>
      </c>
      <c r="O31" s="22">
        <v>226211.70439999999</v>
      </c>
      <c r="P31" s="22">
        <v>123938.74709999999</v>
      </c>
      <c r="Q31" s="22">
        <v>6</v>
      </c>
      <c r="S31" s="17" t="str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105.21100300000001</v>
      </c>
      <c r="AI31" s="15">
        <v>-6.4122130000000004</v>
      </c>
      <c r="AJ31" s="15">
        <v>313632.96735400002</v>
      </c>
      <c r="AK31" s="15">
        <v>154.036981</v>
      </c>
      <c r="AL31" s="15">
        <v>132.85973799999999</v>
      </c>
      <c r="AM31" s="15">
        <v>160</v>
      </c>
      <c r="AN31" s="15">
        <v>36.488697999999999</v>
      </c>
      <c r="AO31" s="15">
        <v>29.796641999999999</v>
      </c>
      <c r="AP31" s="15">
        <v>13.71857</v>
      </c>
      <c r="AR31" s="1" t="str">
        <f t="shared" si="2"/>
        <v>CA_Ethanol_to_Gasoline_Diesel</v>
      </c>
      <c r="AS31" s="1" t="str">
        <f t="shared" si="3"/>
        <v>Ethanol</v>
      </c>
      <c r="AT31" s="11">
        <f t="shared" si="4"/>
        <v>93.75401870665867</v>
      </c>
      <c r="AU31" s="11">
        <f t="shared" si="5"/>
        <v>94.087687285477088</v>
      </c>
      <c r="AV31" s="5">
        <f t="shared" si="6"/>
        <v>-0.33366857881841838</v>
      </c>
      <c r="AW31" s="5">
        <f t="shared" si="7"/>
        <v>0</v>
      </c>
      <c r="AX31" s="1">
        <f t="shared" si="8"/>
        <v>0</v>
      </c>
      <c r="AY31" s="1">
        <f t="shared" si="9"/>
        <v>1.055863599653226</v>
      </c>
      <c r="AZ31" s="1">
        <f t="shared" si="10"/>
        <v>0</v>
      </c>
      <c r="BA31" s="1">
        <f t="shared" si="11"/>
        <v>0</v>
      </c>
      <c r="BB31" s="1">
        <f t="shared" si="12"/>
        <v>54.250334335306789</v>
      </c>
      <c r="BC31" s="1">
        <f t="shared" si="13"/>
        <v>4.7137996160766304</v>
      </c>
      <c r="BD31" s="1">
        <f t="shared" si="14"/>
        <v>30.200900542001456</v>
      </c>
      <c r="BE31" s="1">
        <f t="shared" si="15"/>
        <v>6.5759961391471998E-6</v>
      </c>
      <c r="BF31" s="1">
        <f t="shared" si="16"/>
        <v>16.546720181413264</v>
      </c>
      <c r="BG31" s="1">
        <f t="shared" si="17"/>
        <v>1.394908281062942E-6</v>
      </c>
      <c r="BH31" s="1">
        <f t="shared" si="18"/>
        <v>6.3154265294454719</v>
      </c>
      <c r="BI31" s="1">
        <f t="shared" si="19"/>
        <v>-8.5715528249784736</v>
      </c>
      <c r="BJ31" s="1">
        <f t="shared" si="20"/>
        <v>6.0326368628275784E-2</v>
      </c>
      <c r="BK31" s="1">
        <f t="shared" si="21"/>
        <v>-17.104478993892752</v>
      </c>
      <c r="BL31" s="1">
        <f t="shared" si="22"/>
        <v>6.3469977507286295</v>
      </c>
      <c r="BM31" s="1">
        <f t="shared" si="23"/>
        <v>-0.10962658579445965</v>
      </c>
      <c r="BN31" s="1">
        <f t="shared" si="24"/>
        <v>1.1101103825549488</v>
      </c>
      <c r="BO31" s="1">
        <f t="shared" si="25"/>
        <v>-11.533923046900652</v>
      </c>
      <c r="BQ31" s="1" t="str">
        <f t="shared" si="26"/>
        <v>Drymill CCS Fermentation Exhaust</v>
      </c>
      <c r="BR31" s="1">
        <f t="shared" si="27"/>
        <v>0</v>
      </c>
      <c r="BS31" s="1">
        <f t="shared" si="28"/>
        <v>1.055863599653226</v>
      </c>
      <c r="BT31" s="1">
        <f t="array" ref="BT31">_xlfn.IFS(T31="Biomass_Corn", 1/W31/L31*AM31, T31="Biomass_Agri", 1/W31/L31*AL31, T31="Biomass_Wood", 1/W31/L31*AK31, T31="Biomass_Herb", 1/W31/L31*AJ31)</f>
        <v>54.250334335306789</v>
      </c>
      <c r="BU31" s="1">
        <f t="shared" si="29"/>
        <v>4.7137996160766304</v>
      </c>
      <c r="BV31" s="1">
        <f t="shared" si="30"/>
        <v>6.5759961391471998E-6</v>
      </c>
      <c r="BW31" s="1">
        <f t="shared" si="31"/>
        <v>1.394908281062942E-6</v>
      </c>
      <c r="BX31" s="1">
        <f t="shared" si="32"/>
        <v>-8.5715528249784736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33"/>
        <v>1.7588666580000001</v>
      </c>
      <c r="CD31" s="10">
        <v>0.1828908353</v>
      </c>
      <c r="CE31" s="9">
        <v>0.23037490999999999</v>
      </c>
      <c r="CG31" s="10">
        <f t="shared" si="34"/>
        <v>0.56658349085470638</v>
      </c>
      <c r="CH31" s="10">
        <f t="shared" si="35"/>
        <v>5.9703910798172485E-2</v>
      </c>
      <c r="CI31" s="10">
        <f t="shared" si="36"/>
        <v>0.23037490999999999</v>
      </c>
      <c r="CK31" s="17">
        <f t="shared" si="37"/>
        <v>0.23143487956439487</v>
      </c>
      <c r="CL31" s="17">
        <f t="shared" si="38"/>
        <v>0.16447761030609043</v>
      </c>
      <c r="CM31" s="10">
        <f t="shared" si="39"/>
        <v>0.21074304871485972</v>
      </c>
      <c r="CN31" s="10">
        <f t="shared" si="40"/>
        <v>1.8246690897637086E-2</v>
      </c>
      <c r="CO31" s="10">
        <f t="shared" si="41"/>
        <v>0</v>
      </c>
      <c r="CP31" s="10">
        <f t="shared" si="42"/>
        <v>2.0076299999999998E-3</v>
      </c>
      <c r="CR31" s="1">
        <f t="shared" si="43"/>
        <v>-6.2245783010328459E-4</v>
      </c>
    </row>
    <row r="32" spans="2:96" x14ac:dyDescent="0.2">
      <c r="B32" s="22" t="s">
        <v>129</v>
      </c>
      <c r="C32" s="23" t="s">
        <v>93</v>
      </c>
      <c r="D32" s="23">
        <v>6</v>
      </c>
      <c r="E32" s="23" t="str">
        <f t="shared" si="0"/>
        <v>Drymill CCS Fermentation Exhaust</v>
      </c>
      <c r="F32" s="22">
        <v>0</v>
      </c>
      <c r="G32" s="22">
        <v>0</v>
      </c>
      <c r="H32" s="22">
        <v>0</v>
      </c>
      <c r="I32" s="22">
        <v>0.87460153200000001</v>
      </c>
      <c r="J32" s="22">
        <v>7.5453064E-2</v>
      </c>
      <c r="K32" s="22">
        <v>0</v>
      </c>
      <c r="L32" s="28">
        <f t="shared" si="1"/>
        <v>0.95005459599999997</v>
      </c>
      <c r="M32" s="22">
        <v>0</v>
      </c>
      <c r="N32" s="22">
        <v>2.0076299999999998E-3</v>
      </c>
      <c r="O32" s="22">
        <v>226211.70439999999</v>
      </c>
      <c r="P32" s="22">
        <v>123938.74709999999</v>
      </c>
      <c r="Q32" s="22">
        <v>6</v>
      </c>
      <c r="S32" s="17" t="str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105.21100300000001</v>
      </c>
      <c r="AI32" s="15">
        <v>-7.3796590000000002</v>
      </c>
      <c r="AJ32" s="15">
        <v>130.996602</v>
      </c>
      <c r="AK32" s="15">
        <v>149.05667199999999</v>
      </c>
      <c r="AL32" s="15">
        <v>112.26938</v>
      </c>
      <c r="AM32" s="15">
        <v>160</v>
      </c>
      <c r="AN32" s="15">
        <v>26.787863000000002</v>
      </c>
      <c r="AO32" s="15">
        <v>27.898395000000001</v>
      </c>
      <c r="AP32" s="15">
        <v>13.719440000000001</v>
      </c>
      <c r="AR32" s="1" t="str">
        <f t="shared" si="2"/>
        <v>NW_Ethanol_to_Gasoline_Diesel</v>
      </c>
      <c r="AS32" s="1" t="str">
        <f t="shared" si="3"/>
        <v>Ethanol</v>
      </c>
      <c r="AT32" s="11">
        <f t="shared" si="4"/>
        <v>93.641095688703189</v>
      </c>
      <c r="AU32" s="11">
        <f t="shared" si="5"/>
        <v>93.974764267521607</v>
      </c>
      <c r="AV32" s="5">
        <f t="shared" si="6"/>
        <v>-0.33366857881841838</v>
      </c>
      <c r="AW32" s="5">
        <f t="shared" si="7"/>
        <v>0</v>
      </c>
      <c r="AX32" s="1">
        <f t="shared" si="8"/>
        <v>0</v>
      </c>
      <c r="AY32" s="1">
        <f t="shared" si="9"/>
        <v>0.77515315712820076</v>
      </c>
      <c r="AZ32" s="1">
        <f t="shared" si="10"/>
        <v>0</v>
      </c>
      <c r="BA32" s="1">
        <f t="shared" si="11"/>
        <v>0</v>
      </c>
      <c r="BB32" s="1">
        <f t="shared" si="12"/>
        <v>54.250334335306789</v>
      </c>
      <c r="BC32" s="1">
        <f t="shared" si="13"/>
        <v>4.7140985543527041</v>
      </c>
      <c r="BD32" s="1">
        <f t="shared" si="14"/>
        <v>30.200900542001456</v>
      </c>
      <c r="BE32" s="1">
        <f t="shared" si="15"/>
        <v>6.5759961391471998E-6</v>
      </c>
      <c r="BF32" s="1">
        <f t="shared" si="16"/>
        <v>16.546720181413264</v>
      </c>
      <c r="BG32" s="1">
        <f t="shared" si="17"/>
        <v>1.394908281062942E-6</v>
      </c>
      <c r="BH32" s="1">
        <f t="shared" si="18"/>
        <v>6.3154265294454719</v>
      </c>
      <c r="BI32" s="1">
        <f t="shared" si="19"/>
        <v>-8.5715528249784736</v>
      </c>
      <c r="BJ32" s="1">
        <f t="shared" si="20"/>
        <v>6.0326368628275784E-2</v>
      </c>
      <c r="BK32" s="1">
        <f t="shared" si="21"/>
        <v>-16.93699050759929</v>
      </c>
      <c r="BL32" s="1">
        <f t="shared" si="22"/>
        <v>6.3469977507286295</v>
      </c>
      <c r="BM32" s="1">
        <f t="shared" si="23"/>
        <v>-0.10962658579445965</v>
      </c>
      <c r="BN32" s="1">
        <f t="shared" si="24"/>
        <v>1.2775988688484099</v>
      </c>
      <c r="BO32" s="1">
        <f t="shared" si="25"/>
        <v>-11.533923046900652</v>
      </c>
      <c r="BQ32" s="1" t="str">
        <f t="shared" si="26"/>
        <v>Drymill CCS Fermentation Exhaust</v>
      </c>
      <c r="BR32" s="1">
        <f t="shared" si="27"/>
        <v>0</v>
      </c>
      <c r="BS32" s="1">
        <f t="shared" si="28"/>
        <v>0.77515315712820076</v>
      </c>
      <c r="BT32" s="1">
        <f t="array" ref="BT32">_xlfn.IFS(T32="Biomass_Corn", 1/W32/L32*AM32, T32="Biomass_Agri", 1/W32/L32*AL32, T32="Biomass_Wood", 1/W32/L32*AK32, T32="Biomass_Herb", 1/W32/L32*AJ32)</f>
        <v>54.250334335306789</v>
      </c>
      <c r="BU32" s="1">
        <f t="shared" si="29"/>
        <v>4.7140985543527041</v>
      </c>
      <c r="BV32" s="1">
        <f t="shared" si="30"/>
        <v>6.5759961391471998E-6</v>
      </c>
      <c r="BW32" s="1">
        <f t="shared" si="31"/>
        <v>1.394908281062942E-6</v>
      </c>
      <c r="BX32" s="1">
        <f t="shared" si="32"/>
        <v>-8.5715528249784736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33"/>
        <v>1.7588666580000001</v>
      </c>
      <c r="CD32" s="10">
        <v>0.1828908353</v>
      </c>
      <c r="CE32" s="9">
        <v>0.23037490999999999</v>
      </c>
      <c r="CG32" s="10">
        <f t="shared" si="34"/>
        <v>0.56658349085470638</v>
      </c>
      <c r="CH32" s="10">
        <f t="shared" si="35"/>
        <v>5.9703910798172485E-2</v>
      </c>
      <c r="CI32" s="10">
        <f t="shared" si="36"/>
        <v>0.23037490999999999</v>
      </c>
      <c r="CK32" s="17">
        <f t="shared" si="37"/>
        <v>0.23143487956439487</v>
      </c>
      <c r="CL32" s="17">
        <f t="shared" si="38"/>
        <v>0.16447761030609043</v>
      </c>
      <c r="CM32" s="10">
        <f t="shared" si="39"/>
        <v>0.21074304871485972</v>
      </c>
      <c r="CN32" s="10">
        <f t="shared" si="40"/>
        <v>1.8246690897637086E-2</v>
      </c>
      <c r="CO32" s="10">
        <f t="shared" si="41"/>
        <v>0</v>
      </c>
      <c r="CP32" s="10">
        <f t="shared" si="42"/>
        <v>2.0076299999999998E-3</v>
      </c>
      <c r="CR32" s="1">
        <f t="shared" si="43"/>
        <v>-6.2245783010328459E-4</v>
      </c>
    </row>
    <row r="33" spans="2:96" x14ac:dyDescent="0.2">
      <c r="B33" s="22" t="s">
        <v>130</v>
      </c>
      <c r="C33" s="23" t="s">
        <v>93</v>
      </c>
      <c r="D33" s="23">
        <v>6</v>
      </c>
      <c r="E33" s="23" t="str">
        <f t="shared" si="0"/>
        <v>Drymill CCS Fermentation Exhaust</v>
      </c>
      <c r="F33" s="22">
        <v>0</v>
      </c>
      <c r="G33" s="22">
        <v>0</v>
      </c>
      <c r="H33" s="22">
        <v>0</v>
      </c>
      <c r="I33" s="22">
        <v>0.87460153200000001</v>
      </c>
      <c r="J33" s="22">
        <v>7.5453064E-2</v>
      </c>
      <c r="K33" s="22">
        <v>0</v>
      </c>
      <c r="L33" s="28">
        <f t="shared" si="1"/>
        <v>0.95005459599999997</v>
      </c>
      <c r="M33" s="22">
        <v>0</v>
      </c>
      <c r="N33" s="22">
        <v>2.0076299999999998E-3</v>
      </c>
      <c r="O33" s="22">
        <v>226211.70439999999</v>
      </c>
      <c r="P33" s="22">
        <v>123938.74709999999</v>
      </c>
      <c r="Q33" s="22">
        <v>6</v>
      </c>
      <c r="S33" s="17" t="str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105.21100300000001</v>
      </c>
      <c r="AI33" s="15">
        <v>-14.567418</v>
      </c>
      <c r="AJ33" s="15">
        <v>120.282189</v>
      </c>
      <c r="AK33" s="15">
        <v>137.475031</v>
      </c>
      <c r="AL33" s="15">
        <v>107.559866</v>
      </c>
      <c r="AM33" s="15">
        <v>160</v>
      </c>
      <c r="AN33" s="15">
        <v>27.957547000000002</v>
      </c>
      <c r="AO33" s="15">
        <v>26.470402</v>
      </c>
      <c r="AP33" s="15">
        <v>13.719351</v>
      </c>
      <c r="AR33" s="1" t="str">
        <f t="shared" si="2"/>
        <v>SW_Ethanol_to_Gasoline_Diesel</v>
      </c>
      <c r="AS33" s="1" t="str">
        <f t="shared" si="3"/>
        <v>Ethanol</v>
      </c>
      <c r="AT33" s="11">
        <f t="shared" si="4"/>
        <v>94.919288238526832</v>
      </c>
      <c r="AU33" s="11">
        <f t="shared" si="5"/>
        <v>95.25295681734525</v>
      </c>
      <c r="AV33" s="5">
        <f t="shared" si="6"/>
        <v>-0.33366857881841838</v>
      </c>
      <c r="AW33" s="5">
        <f t="shared" si="7"/>
        <v>0</v>
      </c>
      <c r="AX33" s="1">
        <f t="shared" si="8"/>
        <v>0</v>
      </c>
      <c r="AY33" s="1">
        <f t="shared" si="9"/>
        <v>0.80899998714380683</v>
      </c>
      <c r="AZ33" s="1">
        <f t="shared" si="10"/>
        <v>0</v>
      </c>
      <c r="BA33" s="1">
        <f t="shared" si="11"/>
        <v>0</v>
      </c>
      <c r="BB33" s="1">
        <f t="shared" si="12"/>
        <v>54.250334335306789</v>
      </c>
      <c r="BC33" s="1">
        <f t="shared" si="13"/>
        <v>4.7140679733106685</v>
      </c>
      <c r="BD33" s="1">
        <f t="shared" si="14"/>
        <v>30.200900542001456</v>
      </c>
      <c r="BE33" s="1">
        <f t="shared" si="15"/>
        <v>6.5759961391471998E-6</v>
      </c>
      <c r="BF33" s="1">
        <f t="shared" si="16"/>
        <v>16.546720181413264</v>
      </c>
      <c r="BG33" s="1">
        <f t="shared" si="17"/>
        <v>1.394908281062942E-6</v>
      </c>
      <c r="BH33" s="1">
        <f t="shared" si="18"/>
        <v>6.3154265294454719</v>
      </c>
      <c r="BI33" s="1">
        <f t="shared" si="19"/>
        <v>-8.5715528249784736</v>
      </c>
      <c r="BJ33" s="1">
        <f t="shared" si="20"/>
        <v>6.0326368628275784E-2</v>
      </c>
      <c r="BK33" s="1">
        <f t="shared" si="21"/>
        <v>-15.692614206749214</v>
      </c>
      <c r="BL33" s="1">
        <f t="shared" si="22"/>
        <v>6.3469977507286295</v>
      </c>
      <c r="BM33" s="1">
        <f t="shared" si="23"/>
        <v>-0.10962658579445965</v>
      </c>
      <c r="BN33" s="1">
        <f t="shared" si="24"/>
        <v>2.5219751696984867</v>
      </c>
      <c r="BO33" s="1">
        <f t="shared" si="25"/>
        <v>-11.533923046900652</v>
      </c>
      <c r="BQ33" s="1" t="str">
        <f t="shared" si="26"/>
        <v>Drymill CCS Fermentation Exhaust</v>
      </c>
      <c r="BR33" s="1">
        <f t="shared" si="27"/>
        <v>0</v>
      </c>
      <c r="BS33" s="1">
        <f t="shared" si="28"/>
        <v>0.80899998714380683</v>
      </c>
      <c r="BT33" s="1">
        <f t="array" ref="BT33">_xlfn.IFS(T33="Biomass_Corn", 1/W33/L33*AM33, T33="Biomass_Agri", 1/W33/L33*AL33, T33="Biomass_Wood", 1/W33/L33*AK33, T33="Biomass_Herb", 1/W33/L33*AJ33)</f>
        <v>54.250334335306789</v>
      </c>
      <c r="BU33" s="1">
        <f t="shared" si="29"/>
        <v>4.7140679733106685</v>
      </c>
      <c r="BV33" s="1">
        <f t="shared" si="30"/>
        <v>6.5759961391471998E-6</v>
      </c>
      <c r="BW33" s="1">
        <f t="shared" si="31"/>
        <v>1.394908281062942E-6</v>
      </c>
      <c r="BX33" s="1">
        <f t="shared" si="32"/>
        <v>-8.5715528249784736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33"/>
        <v>1.7588666580000001</v>
      </c>
      <c r="CD33" s="10">
        <v>0.1828908353</v>
      </c>
      <c r="CE33" s="9">
        <v>0.23037490999999999</v>
      </c>
      <c r="CG33" s="10">
        <f t="shared" si="34"/>
        <v>0.56658349085470638</v>
      </c>
      <c r="CH33" s="10">
        <f t="shared" si="35"/>
        <v>5.9703910798172485E-2</v>
      </c>
      <c r="CI33" s="10">
        <f t="shared" si="36"/>
        <v>0.23037490999999999</v>
      </c>
      <c r="CK33" s="17">
        <f t="shared" si="37"/>
        <v>0.23143487956439487</v>
      </c>
      <c r="CL33" s="17">
        <f t="shared" si="38"/>
        <v>0.16447761030609043</v>
      </c>
      <c r="CM33" s="10">
        <f t="shared" si="39"/>
        <v>0.21074304871485972</v>
      </c>
      <c r="CN33" s="10">
        <f t="shared" si="40"/>
        <v>1.8246690897637086E-2</v>
      </c>
      <c r="CO33" s="10">
        <f t="shared" si="41"/>
        <v>0</v>
      </c>
      <c r="CP33" s="10">
        <f t="shared" si="42"/>
        <v>2.0076299999999998E-3</v>
      </c>
      <c r="CR33" s="1">
        <f t="shared" si="43"/>
        <v>-6.2245783010328459E-4</v>
      </c>
    </row>
    <row r="34" spans="2:96" x14ac:dyDescent="0.2">
      <c r="B34" s="22" t="s">
        <v>131</v>
      </c>
      <c r="C34" s="23" t="s">
        <v>93</v>
      </c>
      <c r="D34" s="23">
        <v>6</v>
      </c>
      <c r="E34" s="23" t="str">
        <f t="shared" si="0"/>
        <v>Drymill CCS Fermentation Exhaust</v>
      </c>
      <c r="F34" s="22">
        <v>0</v>
      </c>
      <c r="G34" s="22">
        <v>0</v>
      </c>
      <c r="H34" s="22">
        <v>0</v>
      </c>
      <c r="I34" s="22">
        <v>0.87460153200000001</v>
      </c>
      <c r="J34" s="22">
        <v>7.5453064E-2</v>
      </c>
      <c r="K34" s="22">
        <v>0</v>
      </c>
      <c r="L34" s="28">
        <f t="shared" si="1"/>
        <v>0.95005459599999997</v>
      </c>
      <c r="M34" s="22">
        <v>0</v>
      </c>
      <c r="N34" s="22">
        <v>2.0076299999999998E-3</v>
      </c>
      <c r="O34" s="22">
        <v>226211.70439999999</v>
      </c>
      <c r="P34" s="22">
        <v>123938.74709999999</v>
      </c>
      <c r="Q34" s="22">
        <v>6</v>
      </c>
      <c r="S34" s="17" t="str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105.21100300000001</v>
      </c>
      <c r="AI34" s="15">
        <v>-19.477884</v>
      </c>
      <c r="AJ34" s="15">
        <v>132.95547999999999</v>
      </c>
      <c r="AK34" s="15">
        <v>152.57709199999999</v>
      </c>
      <c r="AL34" s="15">
        <v>106.67488899999999</v>
      </c>
      <c r="AM34" s="15">
        <v>160</v>
      </c>
      <c r="AN34" s="15">
        <v>20.174973000000001</v>
      </c>
      <c r="AO34" s="15">
        <v>18.805643</v>
      </c>
      <c r="AP34" s="15">
        <v>13.326032</v>
      </c>
      <c r="AR34" s="1" t="str">
        <f t="shared" si="2"/>
        <v>TX_Ethanol_to_Gasoline_Diesel</v>
      </c>
      <c r="AS34" s="1" t="str">
        <f t="shared" si="3"/>
        <v>Ethanol</v>
      </c>
      <c r="AT34" s="11">
        <f t="shared" si="4"/>
        <v>95.409060119107153</v>
      </c>
      <c r="AU34" s="11">
        <f t="shared" si="5"/>
        <v>95.742728697925557</v>
      </c>
      <c r="AV34" s="5">
        <f t="shared" si="6"/>
        <v>-0.33366857881840417</v>
      </c>
      <c r="AW34" s="5">
        <f t="shared" si="7"/>
        <v>0</v>
      </c>
      <c r="AX34" s="1">
        <f t="shared" si="8"/>
        <v>0</v>
      </c>
      <c r="AY34" s="1">
        <f t="shared" si="9"/>
        <v>0.58379774511786209</v>
      </c>
      <c r="AZ34" s="1">
        <f t="shared" si="10"/>
        <v>0</v>
      </c>
      <c r="BA34" s="1">
        <f t="shared" si="11"/>
        <v>0</v>
      </c>
      <c r="BB34" s="1">
        <f t="shared" si="12"/>
        <v>54.250334335306789</v>
      </c>
      <c r="BC34" s="1">
        <f t="shared" si="13"/>
        <v>4.5789207275557802</v>
      </c>
      <c r="BD34" s="1">
        <f t="shared" si="14"/>
        <v>30.200900542001456</v>
      </c>
      <c r="BE34" s="1">
        <f t="shared" si="15"/>
        <v>6.5759961391471998E-6</v>
      </c>
      <c r="BF34" s="1">
        <f t="shared" si="16"/>
        <v>16.546720181413264</v>
      </c>
      <c r="BG34" s="1">
        <f t="shared" si="17"/>
        <v>1.394908281062942E-6</v>
      </c>
      <c r="BH34" s="1">
        <f t="shared" si="18"/>
        <v>6.3154265294454719</v>
      </c>
      <c r="BI34" s="1">
        <f t="shared" si="19"/>
        <v>-8.5715528249784736</v>
      </c>
      <c r="BJ34" s="1">
        <f t="shared" si="20"/>
        <v>6.0326368628275784E-2</v>
      </c>
      <c r="BK34" s="1">
        <f t="shared" si="21"/>
        <v>-14.842492838388075</v>
      </c>
      <c r="BL34" s="1">
        <f t="shared" si="22"/>
        <v>6.3469977507286295</v>
      </c>
      <c r="BM34" s="1">
        <f t="shared" si="23"/>
        <v>-0.10962658579445965</v>
      </c>
      <c r="BN34" s="1">
        <f t="shared" si="24"/>
        <v>3.3720965380596231</v>
      </c>
      <c r="BO34" s="1">
        <f t="shared" si="25"/>
        <v>-11.533923046900652</v>
      </c>
      <c r="BQ34" s="1" t="str">
        <f t="shared" si="26"/>
        <v>Drymill CCS Fermentation Exhaust</v>
      </c>
      <c r="BR34" s="1">
        <f t="shared" si="27"/>
        <v>0</v>
      </c>
      <c r="BS34" s="1">
        <f t="shared" si="28"/>
        <v>0.58379774511786209</v>
      </c>
      <c r="BT34" s="1">
        <f t="array" ref="BT34">_xlfn.IFS(T34="Biomass_Corn", 1/W34/L34*AM34, T34="Biomass_Agri", 1/W34/L34*AL34, T34="Biomass_Wood", 1/W34/L34*AK34, T34="Biomass_Herb", 1/W34/L34*AJ34)</f>
        <v>54.250334335306789</v>
      </c>
      <c r="BU34" s="1">
        <f t="shared" si="29"/>
        <v>4.5789207275557802</v>
      </c>
      <c r="BV34" s="1">
        <f t="shared" si="30"/>
        <v>6.5759961391471998E-6</v>
      </c>
      <c r="BW34" s="1">
        <f t="shared" si="31"/>
        <v>1.394908281062942E-6</v>
      </c>
      <c r="BX34" s="1">
        <f t="shared" si="32"/>
        <v>-8.5715528249784736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33"/>
        <v>1.7588666580000001</v>
      </c>
      <c r="CD34" s="10">
        <v>0.1828908353</v>
      </c>
      <c r="CE34" s="9">
        <v>0.23037490999999999</v>
      </c>
      <c r="CG34" s="10">
        <f t="shared" si="34"/>
        <v>0.56658349085470638</v>
      </c>
      <c r="CH34" s="10">
        <f t="shared" si="35"/>
        <v>5.9703910798172485E-2</v>
      </c>
      <c r="CI34" s="10">
        <f t="shared" si="36"/>
        <v>0.23037490999999999</v>
      </c>
      <c r="CK34" s="17">
        <f t="shared" si="37"/>
        <v>0.23143487956439487</v>
      </c>
      <c r="CL34" s="17">
        <f t="shared" si="38"/>
        <v>0.16447761030609043</v>
      </c>
      <c r="CM34" s="10">
        <f t="shared" si="39"/>
        <v>0.21074304871485972</v>
      </c>
      <c r="CN34" s="10">
        <f t="shared" si="40"/>
        <v>1.8246690897637086E-2</v>
      </c>
      <c r="CO34" s="10">
        <f t="shared" si="41"/>
        <v>0</v>
      </c>
      <c r="CP34" s="10">
        <f t="shared" si="42"/>
        <v>2.0076299999999998E-3</v>
      </c>
      <c r="CR34" s="1">
        <f t="shared" si="43"/>
        <v>-6.2245783010328459E-4</v>
      </c>
    </row>
    <row r="35" spans="2:96" x14ac:dyDescent="0.2">
      <c r="B35" s="22" t="s">
        <v>132</v>
      </c>
      <c r="C35" s="23" t="s">
        <v>93</v>
      </c>
      <c r="D35" s="23">
        <v>6</v>
      </c>
      <c r="E35" s="23" t="str">
        <f t="shared" si="0"/>
        <v>Drymill CCS Fermentation Exhaust</v>
      </c>
      <c r="F35" s="22">
        <v>0</v>
      </c>
      <c r="G35" s="22">
        <v>0</v>
      </c>
      <c r="H35" s="22">
        <v>0</v>
      </c>
      <c r="I35" s="22">
        <v>0.87460153200000001</v>
      </c>
      <c r="J35" s="22">
        <v>7.5453064E-2</v>
      </c>
      <c r="K35" s="22">
        <v>0</v>
      </c>
      <c r="L35" s="28">
        <f t="shared" si="1"/>
        <v>0.95005459599999997</v>
      </c>
      <c r="M35" s="22">
        <v>0</v>
      </c>
      <c r="N35" s="22">
        <v>2.0076299999999998E-3</v>
      </c>
      <c r="O35" s="22">
        <v>226211.70439999999</v>
      </c>
      <c r="P35" s="22">
        <v>123938.74709999999</v>
      </c>
      <c r="Q35" s="22">
        <v>6</v>
      </c>
      <c r="S35" s="17" t="str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105.21100300000001</v>
      </c>
      <c r="AI35" s="15">
        <v>-39.686463000000003</v>
      </c>
      <c r="AJ35" s="15">
        <v>100.757654</v>
      </c>
      <c r="AK35" s="15">
        <v>111.990773</v>
      </c>
      <c r="AL35" s="15">
        <v>89.243781999999996</v>
      </c>
      <c r="AM35" s="15">
        <v>160</v>
      </c>
      <c r="AN35" s="15">
        <v>30.713950000000001</v>
      </c>
      <c r="AO35" s="15">
        <v>27.816395</v>
      </c>
      <c r="AP35" s="15">
        <v>13.425922</v>
      </c>
      <c r="AR35" s="1" t="str">
        <f t="shared" si="2"/>
        <v>NCEN_Ethanol_to_Gasoline_Diesel</v>
      </c>
      <c r="AS35" s="1" t="str">
        <f t="shared" si="3"/>
        <v>Ethanol</v>
      </c>
      <c r="AT35" s="11">
        <f t="shared" si="4"/>
        <v>99.246944229836075</v>
      </c>
      <c r="AU35" s="11">
        <f t="shared" si="5"/>
        <v>99.580612808654479</v>
      </c>
      <c r="AV35" s="5">
        <f t="shared" si="6"/>
        <v>-0.33366857881840417</v>
      </c>
      <c r="AW35" s="5">
        <f t="shared" si="7"/>
        <v>0</v>
      </c>
      <c r="AX35" s="1">
        <f t="shared" si="8"/>
        <v>0</v>
      </c>
      <c r="AY35" s="1">
        <f t="shared" si="9"/>
        <v>0.88876127634286095</v>
      </c>
      <c r="AZ35" s="1">
        <f t="shared" si="10"/>
        <v>0</v>
      </c>
      <c r="BA35" s="1">
        <f t="shared" si="11"/>
        <v>0</v>
      </c>
      <c r="BB35" s="1">
        <f t="shared" si="12"/>
        <v>54.250334335306789</v>
      </c>
      <c r="BC35" s="1">
        <f t="shared" si="13"/>
        <v>4.6132436521499534</v>
      </c>
      <c r="BD35" s="1">
        <f t="shared" si="14"/>
        <v>30.200900542001456</v>
      </c>
      <c r="BE35" s="1">
        <f t="shared" si="15"/>
        <v>6.5759961391471998E-6</v>
      </c>
      <c r="BF35" s="1">
        <f t="shared" si="16"/>
        <v>16.546720181413264</v>
      </c>
      <c r="BG35" s="1">
        <f t="shared" si="17"/>
        <v>1.394908281062942E-6</v>
      </c>
      <c r="BH35" s="1">
        <f t="shared" si="18"/>
        <v>6.3154265294454719</v>
      </c>
      <c r="BI35" s="1">
        <f t="shared" si="19"/>
        <v>-8.5715528249784736</v>
      </c>
      <c r="BJ35" s="1">
        <f t="shared" si="20"/>
        <v>6.0326368628275784E-2</v>
      </c>
      <c r="BK35" s="1">
        <f t="shared" si="21"/>
        <v>-11.343895183478313</v>
      </c>
      <c r="BL35" s="1">
        <f t="shared" si="22"/>
        <v>6.3469977507286295</v>
      </c>
      <c r="BM35" s="1">
        <f t="shared" si="23"/>
        <v>-0.10962658579445965</v>
      </c>
      <c r="BN35" s="1">
        <f t="shared" si="24"/>
        <v>6.8706941929693874</v>
      </c>
      <c r="BO35" s="1">
        <f t="shared" si="25"/>
        <v>-11.533923046900652</v>
      </c>
      <c r="BQ35" s="1" t="str">
        <f t="shared" si="26"/>
        <v>Drymill CCS Fermentation Exhaust</v>
      </c>
      <c r="BR35" s="1">
        <f t="shared" si="27"/>
        <v>0</v>
      </c>
      <c r="BS35" s="1">
        <f t="shared" si="28"/>
        <v>0.88876127634286095</v>
      </c>
      <c r="BT35" s="1">
        <f t="array" ref="BT35">_xlfn.IFS(T35="Biomass_Corn", 1/W35/L35*AM35, T35="Biomass_Agri", 1/W35/L35*AL35, T35="Biomass_Wood", 1/W35/L35*AK35, T35="Biomass_Herb", 1/W35/L35*AJ35)</f>
        <v>54.250334335306789</v>
      </c>
      <c r="BU35" s="1">
        <f t="shared" si="29"/>
        <v>4.6132436521499534</v>
      </c>
      <c r="BV35" s="1">
        <f t="shared" si="30"/>
        <v>6.5759961391471998E-6</v>
      </c>
      <c r="BW35" s="1">
        <f t="shared" si="31"/>
        <v>1.394908281062942E-6</v>
      </c>
      <c r="BX35" s="1">
        <f t="shared" si="32"/>
        <v>-8.5715528249784736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33"/>
        <v>1.7588666580000001</v>
      </c>
      <c r="CD35" s="10">
        <v>0.1828908353</v>
      </c>
      <c r="CE35" s="9">
        <v>0.23037490999999999</v>
      </c>
      <c r="CG35" s="10">
        <f t="shared" si="34"/>
        <v>0.56658349085470638</v>
      </c>
      <c r="CH35" s="10">
        <f t="shared" si="35"/>
        <v>5.9703910798172485E-2</v>
      </c>
      <c r="CI35" s="10">
        <f t="shared" si="36"/>
        <v>0.23037490999999999</v>
      </c>
      <c r="CK35" s="17">
        <f t="shared" si="37"/>
        <v>0.23143487956439487</v>
      </c>
      <c r="CL35" s="17">
        <f t="shared" si="38"/>
        <v>0.16447761030609043</v>
      </c>
      <c r="CM35" s="10">
        <f t="shared" si="39"/>
        <v>0.21074304871485972</v>
      </c>
      <c r="CN35" s="10">
        <f t="shared" si="40"/>
        <v>1.8246690897637086E-2</v>
      </c>
      <c r="CO35" s="10">
        <f t="shared" si="41"/>
        <v>0</v>
      </c>
      <c r="CP35" s="10">
        <f t="shared" si="42"/>
        <v>2.0076299999999998E-3</v>
      </c>
      <c r="CR35" s="1">
        <f t="shared" si="43"/>
        <v>-6.2245783010328459E-4</v>
      </c>
    </row>
    <row r="36" spans="2:96" x14ac:dyDescent="0.2">
      <c r="B36" s="22" t="s">
        <v>133</v>
      </c>
      <c r="C36" s="23" t="s">
        <v>93</v>
      </c>
      <c r="D36" s="23">
        <v>6</v>
      </c>
      <c r="E36" s="23" t="str">
        <f t="shared" ref="E36:E66" si="44">S36</f>
        <v>Drymill CCS Fermentation Exhaust</v>
      </c>
      <c r="F36" s="22">
        <v>0</v>
      </c>
      <c r="G36" s="22">
        <v>0</v>
      </c>
      <c r="H36" s="22">
        <v>0</v>
      </c>
      <c r="I36" s="22">
        <v>0.87460153200000001</v>
      </c>
      <c r="J36" s="22">
        <v>7.5453064E-2</v>
      </c>
      <c r="K36" s="22">
        <v>0</v>
      </c>
      <c r="L36" s="28">
        <f t="shared" ref="L36:L67" si="45">SUM(I36:K36)</f>
        <v>0.95005459599999997</v>
      </c>
      <c r="M36" s="22">
        <v>0</v>
      </c>
      <c r="N36" s="22">
        <v>2.0076299999999998E-3</v>
      </c>
      <c r="O36" s="22">
        <v>226211.70439999999</v>
      </c>
      <c r="P36" s="22">
        <v>123938.74709999999</v>
      </c>
      <c r="Q36" s="22">
        <v>6</v>
      </c>
      <c r="S36" s="17" t="str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105.21100300000001</v>
      </c>
      <c r="AI36" s="15">
        <v>-29.672038000000001</v>
      </c>
      <c r="AJ36" s="15">
        <v>107.027154</v>
      </c>
      <c r="AK36" s="15">
        <v>122.865223</v>
      </c>
      <c r="AL36" s="15">
        <v>94.404420999999999</v>
      </c>
      <c r="AM36" s="15">
        <v>160</v>
      </c>
      <c r="AN36" s="15">
        <v>25.118154000000001</v>
      </c>
      <c r="AO36" s="15">
        <v>25.810506</v>
      </c>
      <c r="AP36" s="15">
        <v>13.425869</v>
      </c>
      <c r="AR36" s="1" t="str">
        <f t="shared" ref="AR36:AR66" si="46">B36</f>
        <v>CEN_Ethanol_to_Gasoline_Diesel</v>
      </c>
      <c r="AS36" s="1" t="str">
        <f t="shared" ref="AS36:AS66" si="47">C36</f>
        <v>Ethanol</v>
      </c>
      <c r="AT36" s="11">
        <f t="shared" ref="AT36:AT66" si="48">SUM(AW36:BI36)+BK36+BL36</f>
        <v>97.351260889184843</v>
      </c>
      <c r="AU36" s="11">
        <f t="shared" ref="AU36:AU66" si="49">SUM(AW36:BI36)+BN36+BO36</f>
        <v>97.684929468003261</v>
      </c>
      <c r="AV36" s="5">
        <f t="shared" ref="AV36:AV67" si="50">AT36-AU36</f>
        <v>-0.33366857881841838</v>
      </c>
      <c r="AW36" s="5">
        <f t="shared" ref="AW36:AW66" si="51">F36/L36*AO36</f>
        <v>0</v>
      </c>
      <c r="AX36" s="1">
        <f t="shared" ref="AX36:AX66" si="52">G36/L36*AN36</f>
        <v>0</v>
      </c>
      <c r="AY36" s="1">
        <f t="shared" ref="AY36:AY66" si="53">BS36</f>
        <v>0.72683723872756645</v>
      </c>
      <c r="AZ36" s="1">
        <f t="shared" ref="AZ36:AZ66" si="54">H36/L36</f>
        <v>0</v>
      </c>
      <c r="BA36" s="1">
        <f t="shared" ref="BA36:BA66" si="55">BR36</f>
        <v>0</v>
      </c>
      <c r="BB36" s="1">
        <f t="shared" ref="BB36:BB66" si="56">BT36</f>
        <v>54.250334335306789</v>
      </c>
      <c r="BC36" s="1">
        <f t="shared" ref="BC36:BC66" si="57">BU36</f>
        <v>4.6132254409676188</v>
      </c>
      <c r="BD36" s="1">
        <f t="shared" ref="BD36:BD66" si="58">O36/L36/(0.9*8760)</f>
        <v>30.200900542001456</v>
      </c>
      <c r="BE36" s="1">
        <f t="shared" ref="BE36:BE66" si="59">BV36</f>
        <v>6.5759961391471998E-6</v>
      </c>
      <c r="BF36" s="1">
        <f t="shared" ref="BF36:BF66" si="60">P36/L36/(0.9*8760)</f>
        <v>16.546720181413264</v>
      </c>
      <c r="BG36" s="1">
        <f t="shared" ref="BG36:BG66" si="61">BW36</f>
        <v>1.394908281062942E-6</v>
      </c>
      <c r="BH36" s="1">
        <f t="shared" ref="BH36:BH66" si="62">Q36/L36</f>
        <v>6.3154265294454719</v>
      </c>
      <c r="BI36" s="1">
        <f t="shared" ref="BI36:BI66" si="63">BX36</f>
        <v>-8.5715528249784736</v>
      </c>
      <c r="BJ36" s="1">
        <f t="shared" ref="BJ36:BJ66" si="64">SUM(CK36:CP36)-CG36</f>
        <v>6.0326368628275784E-2</v>
      </c>
      <c r="BK36" s="1">
        <f t="shared" ref="BK36:BK66" si="65">((AH36+AI36)*-1*CL36)/L36</f>
        <v>-13.077636275331914</v>
      </c>
      <c r="BL36" s="1">
        <f t="shared" ref="BL36:BL66" si="66">BJ36*AH36</f>
        <v>6.3469977507286295</v>
      </c>
      <c r="BM36" s="1">
        <f t="shared" ref="BM36:BM66" si="67">(CK36+CM36+CN36+CO36+CP36-CG36)/L36</f>
        <v>-0.10962658579445965</v>
      </c>
      <c r="BN36" s="1">
        <f t="shared" ref="BN36:BN66" si="68">(CL36*AI36*-1)/L36</f>
        <v>5.1369531011157878</v>
      </c>
      <c r="BO36" s="1">
        <f t="shared" ref="BO36:BO66" si="69">BM36*AH36</f>
        <v>-11.533923046900652</v>
      </c>
      <c r="BQ36" s="1" t="str">
        <f t="shared" ref="BQ36:BQ66" si="70">S36</f>
        <v>Drymill CCS Fermentation Exhaust</v>
      </c>
      <c r="BR36" s="1">
        <f t="shared" ref="BR36:BR66" si="71">U36/W36/L36*AN36*-1</f>
        <v>0</v>
      </c>
      <c r="BS36" s="1">
        <f t="shared" ref="BS36:BS66" si="72">V36/W36/L36*AN36</f>
        <v>0.72683723872756645</v>
      </c>
      <c r="BT36" s="1">
        <f t="array" ref="BT36">_xlfn.IFS(T36="Biomass_Corn", 1/W36/L36*AM36, T36="Biomass_Agri", 1/W36/L36*AL36, T36="Biomass_Wood", 1/W36/L36*AK36, T36="Biomass_Herb", 1/W36/L36*AJ36)</f>
        <v>54.250334335306789</v>
      </c>
      <c r="BU36" s="1">
        <f t="shared" ref="BU36:BU66" si="73">X36/W36/L36*AP36</f>
        <v>4.6132254409676188</v>
      </c>
      <c r="BV36" s="1">
        <f t="shared" ref="BV36:BV66" si="74">AB36/W36/L36/(0.9*8760)</f>
        <v>6.5759961391471998E-6</v>
      </c>
      <c r="BW36" s="1">
        <f t="shared" ref="BW36:BW66" si="75">AC36/W36/L36/(0.9*8760)</f>
        <v>1.394908281062942E-6</v>
      </c>
      <c r="BX36" s="1">
        <f t="shared" ref="BX36:BX66" si="76">AF36/W36/L36</f>
        <v>-8.5715528249784736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77">Y36</f>
        <v>1.7588666580000001</v>
      </c>
      <c r="CD36" s="10">
        <v>0.1828908353</v>
      </c>
      <c r="CE36" s="9">
        <v>0.23037490999999999</v>
      </c>
      <c r="CG36" s="10">
        <f t="shared" ref="CG36:CG66" si="78">CC36/W36</f>
        <v>0.56658349085470638</v>
      </c>
      <c r="CH36" s="10">
        <f t="shared" ref="CH36:CH66" si="79">IF(X36=0, 0, CD36*X36/W36)</f>
        <v>5.9703910798172485E-2</v>
      </c>
      <c r="CI36" s="10">
        <f t="shared" ref="CI36:CI66" si="80">CE36</f>
        <v>0.23037490999999999</v>
      </c>
      <c r="CK36" s="17">
        <f t="shared" ref="CK36:CK66" si="81">(AA36+AC36)/W36</f>
        <v>0.23143487956439487</v>
      </c>
      <c r="CL36" s="17">
        <f t="shared" ref="CL36:CL66" si="82">(Z36+AB36)/W36</f>
        <v>0.16447761030609043</v>
      </c>
      <c r="CM36" s="10">
        <f t="shared" ref="CM36:CM66" si="83">BZ36*I36</f>
        <v>0.21074304871485972</v>
      </c>
      <c r="CN36" s="10">
        <f t="shared" ref="CN36:CN66" si="84">CA36*J36</f>
        <v>1.8246690897637086E-2</v>
      </c>
      <c r="CO36" s="10">
        <f t="shared" ref="CO36:CO66" si="85">CB36*K36</f>
        <v>0</v>
      </c>
      <c r="CP36" s="10">
        <f t="shared" ref="CP36:CP66" si="86">(N36)</f>
        <v>2.0076299999999998E-3</v>
      </c>
      <c r="CR36" s="1">
        <f t="shared" ref="CR36:CR66" si="87">SUM(CG36:CH36)-SUM(CK36:CP36)</f>
        <v>-6.2245783010328459E-4</v>
      </c>
    </row>
    <row r="37" spans="2:96" x14ac:dyDescent="0.2">
      <c r="B37" s="22" t="s">
        <v>134</v>
      </c>
      <c r="C37" s="23" t="s">
        <v>93</v>
      </c>
      <c r="D37" s="23">
        <v>6</v>
      </c>
      <c r="E37" s="23" t="str">
        <f t="shared" si="44"/>
        <v>Drymill CCS Fermentation Exhaust</v>
      </c>
      <c r="F37" s="22">
        <v>0</v>
      </c>
      <c r="G37" s="22">
        <v>0</v>
      </c>
      <c r="H37" s="22">
        <v>0</v>
      </c>
      <c r="I37" s="22">
        <v>0.87460153200000001</v>
      </c>
      <c r="J37" s="22">
        <v>7.5453064E-2</v>
      </c>
      <c r="K37" s="22">
        <v>0</v>
      </c>
      <c r="L37" s="28">
        <f t="shared" si="45"/>
        <v>0.95005459599999997</v>
      </c>
      <c r="M37" s="22">
        <v>0</v>
      </c>
      <c r="N37" s="22">
        <v>2.0076299999999998E-3</v>
      </c>
      <c r="O37" s="22">
        <v>226211.70439999999</v>
      </c>
      <c r="P37" s="22">
        <v>123938.74709999999</v>
      </c>
      <c r="Q37" s="22">
        <v>6</v>
      </c>
      <c r="S37" s="17" t="str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105.21100300000001</v>
      </c>
      <c r="AI37" s="15">
        <v>-45.510345000000001</v>
      </c>
      <c r="AJ37" s="15">
        <v>97.593261999999996</v>
      </c>
      <c r="AK37" s="15">
        <v>109.791234</v>
      </c>
      <c r="AL37" s="15">
        <v>86.911507</v>
      </c>
      <c r="AM37" s="15">
        <v>160</v>
      </c>
      <c r="AN37" s="15">
        <v>38.099075999999997</v>
      </c>
      <c r="AO37" s="15">
        <v>30.305277</v>
      </c>
      <c r="AP37" s="15">
        <v>13.425863</v>
      </c>
      <c r="AR37" s="1" t="str">
        <f t="shared" si="46"/>
        <v>SE_Ethanol_to_Gasoline_Diesel</v>
      </c>
      <c r="AS37" s="1" t="str">
        <f t="shared" si="47"/>
        <v>Ethanol</v>
      </c>
      <c r="AT37" s="11">
        <f t="shared" si="48"/>
        <v>100.4688812981484</v>
      </c>
      <c r="AU37" s="11">
        <f t="shared" si="49"/>
        <v>100.80254987696682</v>
      </c>
      <c r="AV37" s="5">
        <f t="shared" si="50"/>
        <v>-0.33366857881841838</v>
      </c>
      <c r="AW37" s="5">
        <f t="shared" si="51"/>
        <v>0</v>
      </c>
      <c r="AX37" s="1">
        <f t="shared" si="52"/>
        <v>0</v>
      </c>
      <c r="AY37" s="1">
        <f t="shared" si="53"/>
        <v>1.1024626729301721</v>
      </c>
      <c r="AZ37" s="1">
        <f t="shared" si="54"/>
        <v>0</v>
      </c>
      <c r="BA37" s="1">
        <f t="shared" si="55"/>
        <v>0</v>
      </c>
      <c r="BB37" s="1">
        <f t="shared" si="56"/>
        <v>54.250334335306789</v>
      </c>
      <c r="BC37" s="1">
        <f t="shared" si="57"/>
        <v>4.6132233793243351</v>
      </c>
      <c r="BD37" s="1">
        <f t="shared" si="58"/>
        <v>30.200900542001456</v>
      </c>
      <c r="BE37" s="1">
        <f t="shared" si="59"/>
        <v>6.5759961391471998E-6</v>
      </c>
      <c r="BF37" s="1">
        <f t="shared" si="60"/>
        <v>16.546720181413264</v>
      </c>
      <c r="BG37" s="1">
        <f t="shared" si="61"/>
        <v>1.394908281062942E-6</v>
      </c>
      <c r="BH37" s="1">
        <f t="shared" si="62"/>
        <v>6.3154265294454719</v>
      </c>
      <c r="BI37" s="1">
        <f t="shared" si="63"/>
        <v>-8.5715528249784736</v>
      </c>
      <c r="BJ37" s="1">
        <f t="shared" si="64"/>
        <v>6.0326368628275784E-2</v>
      </c>
      <c r="BK37" s="1">
        <f t="shared" si="65"/>
        <v>-10.335639238927676</v>
      </c>
      <c r="BL37" s="1">
        <f t="shared" si="66"/>
        <v>6.3469977507286295</v>
      </c>
      <c r="BM37" s="1">
        <f t="shared" si="67"/>
        <v>-0.10962658579445965</v>
      </c>
      <c r="BN37" s="1">
        <f t="shared" si="68"/>
        <v>7.8789501375200244</v>
      </c>
      <c r="BO37" s="1">
        <f t="shared" si="69"/>
        <v>-11.533923046900652</v>
      </c>
      <c r="BQ37" s="1" t="str">
        <f t="shared" si="70"/>
        <v>Drymill CCS Fermentation Exhaust</v>
      </c>
      <c r="BR37" s="1">
        <f t="shared" si="71"/>
        <v>0</v>
      </c>
      <c r="BS37" s="1">
        <f t="shared" si="72"/>
        <v>1.1024626729301721</v>
      </c>
      <c r="BT37" s="1">
        <f t="array" ref="BT37">_xlfn.IFS(T37="Biomass_Corn", 1/W37/L37*AM37, T37="Biomass_Agri", 1/W37/L37*AL37, T37="Biomass_Wood", 1/W37/L37*AK37, T37="Biomass_Herb", 1/W37/L37*AJ37)</f>
        <v>54.250334335306789</v>
      </c>
      <c r="BU37" s="1">
        <f t="shared" si="73"/>
        <v>4.6132233793243351</v>
      </c>
      <c r="BV37" s="1">
        <f t="shared" si="74"/>
        <v>6.5759961391471998E-6</v>
      </c>
      <c r="BW37" s="1">
        <f t="shared" si="75"/>
        <v>1.394908281062942E-6</v>
      </c>
      <c r="BX37" s="1">
        <f t="shared" si="76"/>
        <v>-8.5715528249784736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77"/>
        <v>1.7588666580000001</v>
      </c>
      <c r="CD37" s="10">
        <v>0.1828908353</v>
      </c>
      <c r="CE37" s="9">
        <v>0.23037490999999999</v>
      </c>
      <c r="CG37" s="10">
        <f t="shared" si="78"/>
        <v>0.56658349085470638</v>
      </c>
      <c r="CH37" s="10">
        <f t="shared" si="79"/>
        <v>5.9703910798172485E-2</v>
      </c>
      <c r="CI37" s="10">
        <f t="shared" si="80"/>
        <v>0.23037490999999999</v>
      </c>
      <c r="CK37" s="17">
        <f t="shared" si="81"/>
        <v>0.23143487956439487</v>
      </c>
      <c r="CL37" s="17">
        <f t="shared" si="82"/>
        <v>0.16447761030609043</v>
      </c>
      <c r="CM37" s="10">
        <f t="shared" si="83"/>
        <v>0.21074304871485972</v>
      </c>
      <c r="CN37" s="10">
        <f t="shared" si="84"/>
        <v>1.8246690897637086E-2</v>
      </c>
      <c r="CO37" s="10">
        <f t="shared" si="85"/>
        <v>0</v>
      </c>
      <c r="CP37" s="10">
        <f t="shared" si="86"/>
        <v>2.0076299999999998E-3</v>
      </c>
      <c r="CR37" s="1">
        <f t="shared" si="87"/>
        <v>-6.2245783010328459E-4</v>
      </c>
    </row>
    <row r="38" spans="2:96" x14ac:dyDescent="0.2">
      <c r="B38" s="22" t="s">
        <v>135</v>
      </c>
      <c r="C38" s="23" t="s">
        <v>93</v>
      </c>
      <c r="D38" s="23">
        <v>6</v>
      </c>
      <c r="E38" s="23" t="str">
        <f t="shared" si="44"/>
        <v>Drymill CCS Fermentation Exhaust</v>
      </c>
      <c r="F38" s="22">
        <v>0</v>
      </c>
      <c r="G38" s="22">
        <v>0</v>
      </c>
      <c r="H38" s="22">
        <v>0</v>
      </c>
      <c r="I38" s="22">
        <v>0.87460153200000001</v>
      </c>
      <c r="J38" s="22">
        <v>7.5453064E-2</v>
      </c>
      <c r="K38" s="22">
        <v>0</v>
      </c>
      <c r="L38" s="28">
        <f t="shared" si="45"/>
        <v>0.95005459599999997</v>
      </c>
      <c r="M38" s="22">
        <v>0</v>
      </c>
      <c r="N38" s="22">
        <v>2.0076299999999998E-3</v>
      </c>
      <c r="O38" s="22">
        <v>226211.70439999999</v>
      </c>
      <c r="P38" s="22">
        <v>123938.74709999999</v>
      </c>
      <c r="Q38" s="22">
        <v>6</v>
      </c>
      <c r="S38" s="17" t="str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105.21100300000001</v>
      </c>
      <c r="AI38" s="15">
        <v>-50.334515000000003</v>
      </c>
      <c r="AJ38" s="15">
        <v>98.707491000000005</v>
      </c>
      <c r="AK38" s="15">
        <v>106.53195700000001</v>
      </c>
      <c r="AL38" s="15">
        <v>87.469328000000004</v>
      </c>
      <c r="AM38" s="15">
        <v>160</v>
      </c>
      <c r="AN38" s="15">
        <v>39.29871</v>
      </c>
      <c r="AO38" s="15">
        <v>31.568805000000001</v>
      </c>
      <c r="AP38" s="15">
        <v>13.42643</v>
      </c>
      <c r="AR38" s="1" t="str">
        <f t="shared" si="46"/>
        <v>MIDAT_Ethanol_to_Gasoline_Diesel</v>
      </c>
      <c r="AS38" s="1" t="str">
        <f t="shared" si="47"/>
        <v>Ethanol</v>
      </c>
      <c r="AT38" s="11">
        <f t="shared" si="48"/>
        <v>101.33897103561593</v>
      </c>
      <c r="AU38" s="11">
        <f t="shared" si="49"/>
        <v>101.67263961443435</v>
      </c>
      <c r="AV38" s="5">
        <f t="shared" si="50"/>
        <v>-0.33366857881841838</v>
      </c>
      <c r="AW38" s="5">
        <f t="shared" si="51"/>
        <v>0</v>
      </c>
      <c r="AX38" s="1">
        <f t="shared" si="52"/>
        <v>0</v>
      </c>
      <c r="AY38" s="1">
        <f t="shared" si="53"/>
        <v>1.1371761580072883</v>
      </c>
      <c r="AZ38" s="1">
        <f t="shared" si="54"/>
        <v>0</v>
      </c>
      <c r="BA38" s="1">
        <f t="shared" si="55"/>
        <v>0</v>
      </c>
      <c r="BB38" s="1">
        <f t="shared" si="56"/>
        <v>54.250334335306789</v>
      </c>
      <c r="BC38" s="1">
        <f t="shared" si="57"/>
        <v>4.6134182046146037</v>
      </c>
      <c r="BD38" s="1">
        <f t="shared" si="58"/>
        <v>30.200900542001456</v>
      </c>
      <c r="BE38" s="1">
        <f t="shared" si="59"/>
        <v>6.5759961391471998E-6</v>
      </c>
      <c r="BF38" s="1">
        <f t="shared" si="60"/>
        <v>16.546720181413264</v>
      </c>
      <c r="BG38" s="1">
        <f t="shared" si="61"/>
        <v>1.394908281062942E-6</v>
      </c>
      <c r="BH38" s="1">
        <f t="shared" si="62"/>
        <v>6.3154265294454719</v>
      </c>
      <c r="BI38" s="1">
        <f t="shared" si="63"/>
        <v>-8.5715528249784736</v>
      </c>
      <c r="BJ38" s="1">
        <f t="shared" si="64"/>
        <v>6.0326368628275784E-2</v>
      </c>
      <c r="BK38" s="1">
        <f t="shared" si="65"/>
        <v>-9.5004578118275305</v>
      </c>
      <c r="BL38" s="1">
        <f t="shared" si="66"/>
        <v>6.3469977507286295</v>
      </c>
      <c r="BM38" s="1">
        <f t="shared" si="67"/>
        <v>-0.10962658579445965</v>
      </c>
      <c r="BN38" s="1">
        <f t="shared" si="68"/>
        <v>8.7141315646201694</v>
      </c>
      <c r="BO38" s="1">
        <f t="shared" si="69"/>
        <v>-11.533923046900652</v>
      </c>
      <c r="BQ38" s="1" t="str">
        <f t="shared" si="70"/>
        <v>Drymill CCS Fermentation Exhaust</v>
      </c>
      <c r="BR38" s="1">
        <f t="shared" si="71"/>
        <v>0</v>
      </c>
      <c r="BS38" s="1">
        <f t="shared" si="72"/>
        <v>1.1371761580072883</v>
      </c>
      <c r="BT38" s="1">
        <f t="array" ref="BT38">_xlfn.IFS(T38="Biomass_Corn", 1/W38/L38*AM38, T38="Biomass_Agri", 1/W38/L38*AL38, T38="Biomass_Wood", 1/W38/L38*AK38, T38="Biomass_Herb", 1/W38/L38*AJ38)</f>
        <v>54.250334335306789</v>
      </c>
      <c r="BU38" s="1">
        <f t="shared" si="73"/>
        <v>4.6134182046146037</v>
      </c>
      <c r="BV38" s="1">
        <f t="shared" si="74"/>
        <v>6.5759961391471998E-6</v>
      </c>
      <c r="BW38" s="1">
        <f t="shared" si="75"/>
        <v>1.394908281062942E-6</v>
      </c>
      <c r="BX38" s="1">
        <f t="shared" si="76"/>
        <v>-8.5715528249784736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77"/>
        <v>1.7588666580000001</v>
      </c>
      <c r="CD38" s="10">
        <v>0.1828908353</v>
      </c>
      <c r="CE38" s="9">
        <v>0.23037490999999999</v>
      </c>
      <c r="CG38" s="10">
        <f t="shared" si="78"/>
        <v>0.56658349085470638</v>
      </c>
      <c r="CH38" s="10">
        <f t="shared" si="79"/>
        <v>5.9703910798172485E-2</v>
      </c>
      <c r="CI38" s="10">
        <f t="shared" si="80"/>
        <v>0.23037490999999999</v>
      </c>
      <c r="CK38" s="17">
        <f t="shared" si="81"/>
        <v>0.23143487956439487</v>
      </c>
      <c r="CL38" s="17">
        <f t="shared" si="82"/>
        <v>0.16447761030609043</v>
      </c>
      <c r="CM38" s="10">
        <f t="shared" si="83"/>
        <v>0.21074304871485972</v>
      </c>
      <c r="CN38" s="10">
        <f t="shared" si="84"/>
        <v>1.8246690897637086E-2</v>
      </c>
      <c r="CO38" s="10">
        <f t="shared" si="85"/>
        <v>0</v>
      </c>
      <c r="CP38" s="10">
        <f t="shared" si="86"/>
        <v>2.0076299999999998E-3</v>
      </c>
      <c r="CR38" s="1">
        <f t="shared" si="87"/>
        <v>-6.2245783010328459E-4</v>
      </c>
    </row>
    <row r="39" spans="2:96" x14ac:dyDescent="0.2">
      <c r="B39" s="22" t="s">
        <v>136</v>
      </c>
      <c r="C39" s="23" t="s">
        <v>93</v>
      </c>
      <c r="D39" s="23">
        <v>6</v>
      </c>
      <c r="E39" s="23" t="str">
        <f t="shared" si="44"/>
        <v>Drymill CCS Fermentation Exhaust</v>
      </c>
      <c r="F39" s="22">
        <v>0</v>
      </c>
      <c r="G39" s="22">
        <v>0</v>
      </c>
      <c r="H39" s="22">
        <v>0</v>
      </c>
      <c r="I39" s="22">
        <v>0.87460153200000001</v>
      </c>
      <c r="J39" s="22">
        <v>7.5453064E-2</v>
      </c>
      <c r="K39" s="22">
        <v>0</v>
      </c>
      <c r="L39" s="28">
        <f t="shared" si="45"/>
        <v>0.95005459599999997</v>
      </c>
      <c r="M39" s="22">
        <v>0</v>
      </c>
      <c r="N39" s="22">
        <v>2.0076299999999998E-3</v>
      </c>
      <c r="O39" s="22">
        <v>226211.70439999999</v>
      </c>
      <c r="P39" s="22">
        <v>123938.74709999999</v>
      </c>
      <c r="Q39" s="22">
        <v>6</v>
      </c>
      <c r="S39" s="17" t="str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105.21100300000001</v>
      </c>
      <c r="AI39" s="15">
        <v>-58.833413</v>
      </c>
      <c r="AJ39" s="15">
        <v>99.493746999999999</v>
      </c>
      <c r="AK39" s="15">
        <v>105.21395800000001</v>
      </c>
      <c r="AL39" s="15">
        <v>89.700445000000002</v>
      </c>
      <c r="AM39" s="15">
        <v>160</v>
      </c>
      <c r="AN39" s="15">
        <v>47.365060999999997</v>
      </c>
      <c r="AO39" s="15">
        <v>33.373224</v>
      </c>
      <c r="AP39" s="15">
        <v>13.426278999999999</v>
      </c>
      <c r="AR39" s="1" t="str">
        <f t="shared" si="46"/>
        <v>NE_Ethanol_to_Gasoline_Diesel</v>
      </c>
      <c r="AS39" s="1" t="str">
        <f t="shared" si="47"/>
        <v>Ethanol</v>
      </c>
      <c r="AT39" s="11">
        <f t="shared" si="48"/>
        <v>103.04369939510393</v>
      </c>
      <c r="AU39" s="11">
        <f t="shared" si="49"/>
        <v>103.37736797392235</v>
      </c>
      <c r="AV39" s="5">
        <f t="shared" si="50"/>
        <v>-0.33366857881841838</v>
      </c>
      <c r="AW39" s="5">
        <f t="shared" si="51"/>
        <v>0</v>
      </c>
      <c r="AX39" s="1">
        <f t="shared" si="52"/>
        <v>0</v>
      </c>
      <c r="AY39" s="1">
        <f t="shared" si="53"/>
        <v>1.3705899784435887</v>
      </c>
      <c r="AZ39" s="1">
        <f t="shared" si="54"/>
        <v>0</v>
      </c>
      <c r="BA39" s="1">
        <f t="shared" si="55"/>
        <v>0</v>
      </c>
      <c r="BB39" s="1">
        <f t="shared" si="56"/>
        <v>54.250334335306789</v>
      </c>
      <c r="BC39" s="1">
        <f t="shared" si="57"/>
        <v>4.6133663199253077</v>
      </c>
      <c r="BD39" s="1">
        <f t="shared" si="58"/>
        <v>30.200900542001456</v>
      </c>
      <c r="BE39" s="1">
        <f t="shared" si="59"/>
        <v>6.5759961391471998E-6</v>
      </c>
      <c r="BF39" s="1">
        <f t="shared" si="60"/>
        <v>16.546720181413264</v>
      </c>
      <c r="BG39" s="1">
        <f t="shared" si="61"/>
        <v>1.394908281062942E-6</v>
      </c>
      <c r="BH39" s="1">
        <f t="shared" si="62"/>
        <v>6.3154265294454719</v>
      </c>
      <c r="BI39" s="1">
        <f t="shared" si="63"/>
        <v>-8.5715528249784736</v>
      </c>
      <c r="BJ39" s="1">
        <f t="shared" si="64"/>
        <v>6.0326368628275784E-2</v>
      </c>
      <c r="BK39" s="1">
        <f t="shared" si="65"/>
        <v>-8.02909138808654</v>
      </c>
      <c r="BL39" s="1">
        <f t="shared" si="66"/>
        <v>6.3469977507286295</v>
      </c>
      <c r="BM39" s="1">
        <f t="shared" si="67"/>
        <v>-0.10962658579445965</v>
      </c>
      <c r="BN39" s="1">
        <f t="shared" si="68"/>
        <v>10.18549798836116</v>
      </c>
      <c r="BO39" s="1">
        <f t="shared" si="69"/>
        <v>-11.533923046900652</v>
      </c>
      <c r="BQ39" s="1" t="str">
        <f t="shared" si="70"/>
        <v>Drymill CCS Fermentation Exhaust</v>
      </c>
      <c r="BR39" s="1">
        <f t="shared" si="71"/>
        <v>0</v>
      </c>
      <c r="BS39" s="1">
        <f t="shared" si="72"/>
        <v>1.3705899784435887</v>
      </c>
      <c r="BT39" s="1">
        <f t="array" ref="BT39">_xlfn.IFS(T39="Biomass_Corn", 1/W39/L39*AM39, T39="Biomass_Agri", 1/W39/L39*AL39, T39="Biomass_Wood", 1/W39/L39*AK39, T39="Biomass_Herb", 1/W39/L39*AJ39)</f>
        <v>54.250334335306789</v>
      </c>
      <c r="BU39" s="1">
        <f t="shared" si="73"/>
        <v>4.6133663199253077</v>
      </c>
      <c r="BV39" s="1">
        <f t="shared" si="74"/>
        <v>6.5759961391471998E-6</v>
      </c>
      <c r="BW39" s="1">
        <f t="shared" si="75"/>
        <v>1.394908281062942E-6</v>
      </c>
      <c r="BX39" s="1">
        <f t="shared" si="76"/>
        <v>-8.5715528249784736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77"/>
        <v>1.7588666580000001</v>
      </c>
      <c r="CD39" s="10">
        <v>0.1828908353</v>
      </c>
      <c r="CE39" s="9">
        <v>0.23037490999999999</v>
      </c>
      <c r="CG39" s="10">
        <f t="shared" si="78"/>
        <v>0.56658349085470638</v>
      </c>
      <c r="CH39" s="10">
        <f t="shared" si="79"/>
        <v>5.9703910798172485E-2</v>
      </c>
      <c r="CI39" s="10">
        <f t="shared" si="80"/>
        <v>0.23037490999999999</v>
      </c>
      <c r="CK39" s="17">
        <f t="shared" si="81"/>
        <v>0.23143487956439487</v>
      </c>
      <c r="CL39" s="17">
        <f t="shared" si="82"/>
        <v>0.16447761030609043</v>
      </c>
      <c r="CM39" s="10">
        <f t="shared" si="83"/>
        <v>0.21074304871485972</v>
      </c>
      <c r="CN39" s="10">
        <f t="shared" si="84"/>
        <v>1.8246690897637086E-2</v>
      </c>
      <c r="CO39" s="10">
        <f t="shared" si="85"/>
        <v>0</v>
      </c>
      <c r="CP39" s="10">
        <f t="shared" si="86"/>
        <v>2.0076299999999998E-3</v>
      </c>
      <c r="CR39" s="1">
        <f t="shared" si="87"/>
        <v>-6.2245783010328459E-4</v>
      </c>
    </row>
    <row r="40" spans="2:96" x14ac:dyDescent="0.2">
      <c r="B40" s="22"/>
      <c r="C40" s="23"/>
      <c r="D40" s="23">
        <v>6</v>
      </c>
      <c r="E40" s="23" t="str">
        <f t="shared" si="44"/>
        <v>Drymill CCS Fermentation Exhaust</v>
      </c>
      <c r="F40" s="22"/>
      <c r="G40" s="22"/>
      <c r="H40" s="22"/>
      <c r="I40" s="22"/>
      <c r="J40" s="22"/>
      <c r="K40" s="22"/>
      <c r="L40" s="28">
        <f t="shared" si="45"/>
        <v>0</v>
      </c>
      <c r="M40" s="22"/>
      <c r="N40" s="22"/>
      <c r="O40" s="22"/>
      <c r="P40" s="22"/>
      <c r="Q40" s="22"/>
      <c r="S40" s="17" t="str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/>
      <c r="AI40" s="15"/>
      <c r="AJ40" s="15"/>
      <c r="AK40" s="15"/>
      <c r="AL40" s="15"/>
      <c r="AM40" s="15"/>
      <c r="AN40" s="15"/>
      <c r="AO40" s="15"/>
      <c r="AP40" s="15"/>
      <c r="AR40" s="1">
        <f t="shared" si="46"/>
        <v>0</v>
      </c>
      <c r="AS40" s="1">
        <f t="shared" si="47"/>
        <v>0</v>
      </c>
      <c r="AT40" s="11" t="e">
        <f t="shared" si="48"/>
        <v>#DIV/0!</v>
      </c>
      <c r="AU40" s="11" t="e">
        <f t="shared" si="49"/>
        <v>#DIV/0!</v>
      </c>
      <c r="AV40" s="5" t="e">
        <f t="shared" si="50"/>
        <v>#DIV/0!</v>
      </c>
      <c r="AW40" s="5" t="e">
        <f t="shared" si="51"/>
        <v>#DIV/0!</v>
      </c>
      <c r="AX40" s="1" t="e">
        <f t="shared" si="52"/>
        <v>#DIV/0!</v>
      </c>
      <c r="AY40" s="1" t="e">
        <f t="shared" si="53"/>
        <v>#DIV/0!</v>
      </c>
      <c r="AZ40" s="1" t="e">
        <f t="shared" si="54"/>
        <v>#DIV/0!</v>
      </c>
      <c r="BA40" s="1" t="e">
        <f t="shared" si="55"/>
        <v>#DIV/0!</v>
      </c>
      <c r="BB40" s="1" t="e">
        <f t="shared" si="56"/>
        <v>#DIV/0!</v>
      </c>
      <c r="BC40" s="1" t="e">
        <f t="shared" si="57"/>
        <v>#DIV/0!</v>
      </c>
      <c r="BD40" s="1" t="e">
        <f t="shared" si="58"/>
        <v>#DIV/0!</v>
      </c>
      <c r="BE40" s="1" t="e">
        <f t="shared" si="59"/>
        <v>#DIV/0!</v>
      </c>
      <c r="BF40" s="1" t="e">
        <f t="shared" si="60"/>
        <v>#DIV/0!</v>
      </c>
      <c r="BG40" s="1" t="e">
        <f t="shared" si="61"/>
        <v>#DIV/0!</v>
      </c>
      <c r="BH40" s="1" t="e">
        <f t="shared" si="62"/>
        <v>#DIV/0!</v>
      </c>
      <c r="BI40" s="1" t="e">
        <f t="shared" si="63"/>
        <v>#DIV/0!</v>
      </c>
      <c r="BJ40" s="1">
        <f t="shared" si="64"/>
        <v>-0.17067100098422106</v>
      </c>
      <c r="BK40" s="1" t="e">
        <f t="shared" si="65"/>
        <v>#DIV/0!</v>
      </c>
      <c r="BL40" s="1">
        <f t="shared" si="66"/>
        <v>0</v>
      </c>
      <c r="BM40" s="1" t="e">
        <f t="shared" si="67"/>
        <v>#DIV/0!</v>
      </c>
      <c r="BN40" s="1" t="e">
        <f t="shared" si="68"/>
        <v>#DIV/0!</v>
      </c>
      <c r="BO40" s="1" t="e">
        <f t="shared" si="69"/>
        <v>#DIV/0!</v>
      </c>
      <c r="BQ40" s="1" t="str">
        <f t="shared" si="70"/>
        <v>Drymill CCS Fermentation Exhaust</v>
      </c>
      <c r="BR40" s="1" t="e">
        <f t="shared" si="71"/>
        <v>#DIV/0!</v>
      </c>
      <c r="BS40" s="1" t="e">
        <f t="shared" si="72"/>
        <v>#DIV/0!</v>
      </c>
      <c r="BT40" s="1" t="e">
        <f t="array" ref="BT40">_xlfn.IFS(T40="Biomass_Corn", 1/W40/L40*AM40, T40="Biomass_Agri", 1/W40/L40*AL40, T40="Biomass_Wood", 1/W40/L40*AK40, T40="Biomass_Herb", 1/W40/L40*AJ40)</f>
        <v>#DIV/0!</v>
      </c>
      <c r="BU40" s="1" t="e">
        <f t="shared" si="73"/>
        <v>#DIV/0!</v>
      </c>
      <c r="BV40" s="1" t="e">
        <f t="shared" si="74"/>
        <v>#DIV/0!</v>
      </c>
      <c r="BW40" s="1" t="e">
        <f t="shared" si="75"/>
        <v>#DIV/0!</v>
      </c>
      <c r="BX40" s="1" t="e">
        <f t="shared" si="76"/>
        <v>#DIV/0!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77"/>
        <v>1.7588666580000001</v>
      </c>
      <c r="CD40" s="10">
        <v>0.1828908353</v>
      </c>
      <c r="CE40" s="9">
        <v>0.23037490999999999</v>
      </c>
      <c r="CG40" s="10">
        <f t="shared" si="78"/>
        <v>0.56658349085470638</v>
      </c>
      <c r="CH40" s="10">
        <f t="shared" si="79"/>
        <v>5.9703910798172485E-2</v>
      </c>
      <c r="CI40" s="10">
        <f t="shared" si="80"/>
        <v>0.23037490999999999</v>
      </c>
      <c r="CK40" s="17">
        <f t="shared" si="81"/>
        <v>0.23143487956439487</v>
      </c>
      <c r="CL40" s="17">
        <f t="shared" si="82"/>
        <v>0.16447761030609043</v>
      </c>
      <c r="CM40" s="10">
        <f t="shared" si="83"/>
        <v>0</v>
      </c>
      <c r="CN40" s="10">
        <f t="shared" si="84"/>
        <v>0</v>
      </c>
      <c r="CO40" s="10">
        <f t="shared" si="85"/>
        <v>0</v>
      </c>
      <c r="CP40" s="10">
        <f t="shared" si="86"/>
        <v>0</v>
      </c>
      <c r="CR40" s="1">
        <f t="shared" si="87"/>
        <v>0.23037491178239355</v>
      </c>
    </row>
    <row r="41" spans="2:96" x14ac:dyDescent="0.2">
      <c r="B41" s="22"/>
      <c r="C41" s="23"/>
      <c r="D41" s="23">
        <v>6</v>
      </c>
      <c r="E41" s="23" t="str">
        <f t="shared" si="44"/>
        <v>Drymill CCS Fermentation Exhaust</v>
      </c>
      <c r="F41" s="22"/>
      <c r="G41" s="22"/>
      <c r="H41" s="22"/>
      <c r="I41" s="22"/>
      <c r="J41" s="22"/>
      <c r="K41" s="22"/>
      <c r="L41" s="28">
        <f t="shared" si="45"/>
        <v>0</v>
      </c>
      <c r="M41" s="22"/>
      <c r="N41" s="22"/>
      <c r="O41" s="22"/>
      <c r="P41" s="22"/>
      <c r="Q41" s="22"/>
      <c r="S41" s="17" t="str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/>
      <c r="AI41" s="15"/>
      <c r="AJ41" s="15"/>
      <c r="AK41" s="15"/>
      <c r="AL41" s="15"/>
      <c r="AM41" s="15"/>
      <c r="AN41" s="15"/>
      <c r="AO41" s="15"/>
      <c r="AP41" s="15"/>
      <c r="AR41" s="1">
        <f t="shared" si="46"/>
        <v>0</v>
      </c>
      <c r="AS41" s="1">
        <f t="shared" si="47"/>
        <v>0</v>
      </c>
      <c r="AT41" s="11" t="e">
        <f t="shared" si="48"/>
        <v>#DIV/0!</v>
      </c>
      <c r="AU41" s="11" t="e">
        <f t="shared" si="49"/>
        <v>#DIV/0!</v>
      </c>
      <c r="AV41" s="5" t="e">
        <f t="shared" si="50"/>
        <v>#DIV/0!</v>
      </c>
      <c r="AW41" s="5" t="e">
        <f t="shared" si="51"/>
        <v>#DIV/0!</v>
      </c>
      <c r="AX41" s="1" t="e">
        <f t="shared" si="52"/>
        <v>#DIV/0!</v>
      </c>
      <c r="AY41" s="1" t="e">
        <f t="shared" si="53"/>
        <v>#DIV/0!</v>
      </c>
      <c r="AZ41" s="1" t="e">
        <f t="shared" si="54"/>
        <v>#DIV/0!</v>
      </c>
      <c r="BA41" s="1" t="e">
        <f t="shared" si="55"/>
        <v>#DIV/0!</v>
      </c>
      <c r="BB41" s="1" t="e">
        <f t="shared" si="56"/>
        <v>#DIV/0!</v>
      </c>
      <c r="BC41" s="1" t="e">
        <f t="shared" si="57"/>
        <v>#DIV/0!</v>
      </c>
      <c r="BD41" s="1" t="e">
        <f t="shared" si="58"/>
        <v>#DIV/0!</v>
      </c>
      <c r="BE41" s="1" t="e">
        <f t="shared" si="59"/>
        <v>#DIV/0!</v>
      </c>
      <c r="BF41" s="1" t="e">
        <f t="shared" si="60"/>
        <v>#DIV/0!</v>
      </c>
      <c r="BG41" s="1" t="e">
        <f t="shared" si="61"/>
        <v>#DIV/0!</v>
      </c>
      <c r="BH41" s="1" t="e">
        <f t="shared" si="62"/>
        <v>#DIV/0!</v>
      </c>
      <c r="BI41" s="1" t="e">
        <f t="shared" si="63"/>
        <v>#DIV/0!</v>
      </c>
      <c r="BJ41" s="1">
        <f t="shared" si="64"/>
        <v>-0.17067100098422106</v>
      </c>
      <c r="BK41" s="1" t="e">
        <f t="shared" si="65"/>
        <v>#DIV/0!</v>
      </c>
      <c r="BL41" s="1">
        <f t="shared" si="66"/>
        <v>0</v>
      </c>
      <c r="BM41" s="1" t="e">
        <f t="shared" si="67"/>
        <v>#DIV/0!</v>
      </c>
      <c r="BN41" s="1" t="e">
        <f t="shared" si="68"/>
        <v>#DIV/0!</v>
      </c>
      <c r="BO41" s="1" t="e">
        <f t="shared" si="69"/>
        <v>#DIV/0!</v>
      </c>
      <c r="BQ41" s="1" t="str">
        <f t="shared" si="70"/>
        <v>Drymill CCS Fermentation Exhaust</v>
      </c>
      <c r="BR41" s="1" t="e">
        <f t="shared" si="71"/>
        <v>#DIV/0!</v>
      </c>
      <c r="BS41" s="1" t="e">
        <f t="shared" si="72"/>
        <v>#DIV/0!</v>
      </c>
      <c r="BT41" s="1" t="e">
        <f t="array" ref="BT41">_xlfn.IFS(T41="Biomass_Corn", 1/W41/L41*AM41, T41="Biomass_Agri", 1/W41/L41*AL41, T41="Biomass_Wood", 1/W41/L41*AK41, T41="Biomass_Herb", 1/W41/L41*AJ41)</f>
        <v>#DIV/0!</v>
      </c>
      <c r="BU41" s="1" t="e">
        <f t="shared" si="73"/>
        <v>#DIV/0!</v>
      </c>
      <c r="BV41" s="1" t="e">
        <f t="shared" si="74"/>
        <v>#DIV/0!</v>
      </c>
      <c r="BW41" s="1" t="e">
        <f t="shared" si="75"/>
        <v>#DIV/0!</v>
      </c>
      <c r="BX41" s="1" t="e">
        <f t="shared" si="76"/>
        <v>#DIV/0!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77"/>
        <v>1.7588666580000001</v>
      </c>
      <c r="CD41" s="10">
        <v>0.1828908353</v>
      </c>
      <c r="CE41" s="9">
        <v>0.23037490999999999</v>
      </c>
      <c r="CG41" s="10">
        <f t="shared" si="78"/>
        <v>0.56658349085470638</v>
      </c>
      <c r="CH41" s="10">
        <f t="shared" si="79"/>
        <v>5.9703910798172485E-2</v>
      </c>
      <c r="CI41" s="10">
        <f t="shared" si="80"/>
        <v>0.23037490999999999</v>
      </c>
      <c r="CK41" s="17">
        <f t="shared" si="81"/>
        <v>0.23143487956439487</v>
      </c>
      <c r="CL41" s="17">
        <f t="shared" si="82"/>
        <v>0.16447761030609043</v>
      </c>
      <c r="CM41" s="10">
        <f t="shared" si="83"/>
        <v>0</v>
      </c>
      <c r="CN41" s="10">
        <f t="shared" si="84"/>
        <v>0</v>
      </c>
      <c r="CO41" s="10">
        <f t="shared" si="85"/>
        <v>0</v>
      </c>
      <c r="CP41" s="10">
        <f t="shared" si="86"/>
        <v>0</v>
      </c>
      <c r="CR41" s="1">
        <f t="shared" si="87"/>
        <v>0.23037491178239355</v>
      </c>
    </row>
    <row r="42" spans="2:96" x14ac:dyDescent="0.2">
      <c r="B42" s="22"/>
      <c r="C42" s="23"/>
      <c r="D42" s="23">
        <v>6</v>
      </c>
      <c r="E42" s="23" t="str">
        <f t="shared" si="44"/>
        <v>Drymill CCS Fermentation Exhaust</v>
      </c>
      <c r="F42" s="22"/>
      <c r="G42" s="22"/>
      <c r="H42" s="22"/>
      <c r="I42" s="22"/>
      <c r="J42" s="22"/>
      <c r="K42" s="22"/>
      <c r="L42" s="28">
        <f t="shared" si="45"/>
        <v>0</v>
      </c>
      <c r="M42" s="22"/>
      <c r="N42" s="22"/>
      <c r="O42" s="22"/>
      <c r="P42" s="22"/>
      <c r="Q42" s="22"/>
      <c r="S42" s="17" t="str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/>
      <c r="AI42" s="15"/>
      <c r="AJ42" s="15"/>
      <c r="AK42" s="15"/>
      <c r="AL42" s="15"/>
      <c r="AM42" s="15"/>
      <c r="AN42" s="15"/>
      <c r="AO42" s="15"/>
      <c r="AP42" s="15"/>
      <c r="AR42" s="1">
        <f t="shared" si="46"/>
        <v>0</v>
      </c>
      <c r="AS42" s="1">
        <f t="shared" si="47"/>
        <v>0</v>
      </c>
      <c r="AT42" s="11" t="e">
        <f t="shared" si="48"/>
        <v>#DIV/0!</v>
      </c>
      <c r="AU42" s="11" t="e">
        <f t="shared" si="49"/>
        <v>#DIV/0!</v>
      </c>
      <c r="AV42" s="5" t="e">
        <f t="shared" si="50"/>
        <v>#DIV/0!</v>
      </c>
      <c r="AW42" s="5" t="e">
        <f t="shared" si="51"/>
        <v>#DIV/0!</v>
      </c>
      <c r="AX42" s="1" t="e">
        <f t="shared" si="52"/>
        <v>#DIV/0!</v>
      </c>
      <c r="AY42" s="1" t="e">
        <f t="shared" si="53"/>
        <v>#DIV/0!</v>
      </c>
      <c r="AZ42" s="1" t="e">
        <f t="shared" si="54"/>
        <v>#DIV/0!</v>
      </c>
      <c r="BA42" s="1" t="e">
        <f t="shared" si="55"/>
        <v>#DIV/0!</v>
      </c>
      <c r="BB42" s="1" t="e">
        <f t="shared" si="56"/>
        <v>#DIV/0!</v>
      </c>
      <c r="BC42" s="1" t="e">
        <f t="shared" si="57"/>
        <v>#DIV/0!</v>
      </c>
      <c r="BD42" s="1" t="e">
        <f t="shared" si="58"/>
        <v>#DIV/0!</v>
      </c>
      <c r="BE42" s="1" t="e">
        <f t="shared" si="59"/>
        <v>#DIV/0!</v>
      </c>
      <c r="BF42" s="1" t="e">
        <f t="shared" si="60"/>
        <v>#DIV/0!</v>
      </c>
      <c r="BG42" s="1" t="e">
        <f t="shared" si="61"/>
        <v>#DIV/0!</v>
      </c>
      <c r="BH42" s="1" t="e">
        <f t="shared" si="62"/>
        <v>#DIV/0!</v>
      </c>
      <c r="BI42" s="1" t="e">
        <f t="shared" si="63"/>
        <v>#DIV/0!</v>
      </c>
      <c r="BJ42" s="1">
        <f t="shared" si="64"/>
        <v>-0.17067100098422106</v>
      </c>
      <c r="BK42" s="1" t="e">
        <f t="shared" si="65"/>
        <v>#DIV/0!</v>
      </c>
      <c r="BL42" s="1">
        <f t="shared" si="66"/>
        <v>0</v>
      </c>
      <c r="BM42" s="1" t="e">
        <f t="shared" si="67"/>
        <v>#DIV/0!</v>
      </c>
      <c r="BN42" s="1" t="e">
        <f t="shared" si="68"/>
        <v>#DIV/0!</v>
      </c>
      <c r="BO42" s="1" t="e">
        <f t="shared" si="69"/>
        <v>#DIV/0!</v>
      </c>
      <c r="BQ42" s="1" t="str">
        <f t="shared" si="70"/>
        <v>Drymill CCS Fermentation Exhaust</v>
      </c>
      <c r="BR42" s="1" t="e">
        <f t="shared" si="71"/>
        <v>#DIV/0!</v>
      </c>
      <c r="BS42" s="1" t="e">
        <f t="shared" si="72"/>
        <v>#DIV/0!</v>
      </c>
      <c r="BT42" s="1" t="e">
        <f t="array" ref="BT42">_xlfn.IFS(T42="Biomass_Corn", 1/W42/L42*AM42, T42="Biomass_Agri", 1/W42/L42*AL42, T42="Biomass_Wood", 1/W42/L42*AK42, T42="Biomass_Herb", 1/W42/L42*AJ42)</f>
        <v>#DIV/0!</v>
      </c>
      <c r="BU42" s="1" t="e">
        <f t="shared" si="73"/>
        <v>#DIV/0!</v>
      </c>
      <c r="BV42" s="1" t="e">
        <f t="shared" si="74"/>
        <v>#DIV/0!</v>
      </c>
      <c r="BW42" s="1" t="e">
        <f t="shared" si="75"/>
        <v>#DIV/0!</v>
      </c>
      <c r="BX42" s="1" t="e">
        <f t="shared" si="76"/>
        <v>#DIV/0!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77"/>
        <v>1.7588666580000001</v>
      </c>
      <c r="CD42" s="10">
        <v>0.1828908353</v>
      </c>
      <c r="CE42" s="9">
        <v>0.23037490999999999</v>
      </c>
      <c r="CG42" s="10">
        <f t="shared" si="78"/>
        <v>0.56658349085470638</v>
      </c>
      <c r="CH42" s="10">
        <f t="shared" si="79"/>
        <v>5.9703910798172485E-2</v>
      </c>
      <c r="CI42" s="10">
        <f t="shared" si="80"/>
        <v>0.23037490999999999</v>
      </c>
      <c r="CK42" s="17">
        <f t="shared" si="81"/>
        <v>0.23143487956439487</v>
      </c>
      <c r="CL42" s="17">
        <f t="shared" si="82"/>
        <v>0.16447761030609043</v>
      </c>
      <c r="CM42" s="10">
        <f t="shared" si="83"/>
        <v>0</v>
      </c>
      <c r="CN42" s="10">
        <f t="shared" si="84"/>
        <v>0</v>
      </c>
      <c r="CO42" s="10">
        <f t="shared" si="85"/>
        <v>0</v>
      </c>
      <c r="CP42" s="10">
        <f t="shared" si="86"/>
        <v>0</v>
      </c>
      <c r="CR42" s="1">
        <f t="shared" si="87"/>
        <v>0.23037491178239355</v>
      </c>
    </row>
    <row r="43" spans="2:96" x14ac:dyDescent="0.2">
      <c r="B43" s="22"/>
      <c r="C43" s="23"/>
      <c r="D43" s="23">
        <v>6</v>
      </c>
      <c r="E43" s="23" t="str">
        <f t="shared" si="44"/>
        <v>Drymill CCS Fermentation Exhaust</v>
      </c>
      <c r="F43" s="22"/>
      <c r="G43" s="22"/>
      <c r="H43" s="22"/>
      <c r="I43" s="22"/>
      <c r="J43" s="22"/>
      <c r="K43" s="22"/>
      <c r="L43" s="28">
        <f t="shared" si="45"/>
        <v>0</v>
      </c>
      <c r="M43" s="22"/>
      <c r="N43" s="22"/>
      <c r="O43" s="22"/>
      <c r="P43" s="22"/>
      <c r="Q43" s="22"/>
      <c r="S43" s="17" t="str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/>
      <c r="AI43" s="15"/>
      <c r="AJ43" s="15"/>
      <c r="AK43" s="15"/>
      <c r="AL43" s="15"/>
      <c r="AM43" s="15"/>
      <c r="AN43" s="15"/>
      <c r="AO43" s="15"/>
      <c r="AP43" s="15"/>
      <c r="AR43" s="1">
        <f t="shared" si="46"/>
        <v>0</v>
      </c>
      <c r="AS43" s="1">
        <f t="shared" si="47"/>
        <v>0</v>
      </c>
      <c r="AT43" s="11" t="e">
        <f t="shared" si="48"/>
        <v>#DIV/0!</v>
      </c>
      <c r="AU43" s="11" t="e">
        <f t="shared" si="49"/>
        <v>#DIV/0!</v>
      </c>
      <c r="AV43" s="5" t="e">
        <f t="shared" si="50"/>
        <v>#DIV/0!</v>
      </c>
      <c r="AW43" s="5" t="e">
        <f t="shared" si="51"/>
        <v>#DIV/0!</v>
      </c>
      <c r="AX43" s="1" t="e">
        <f t="shared" si="52"/>
        <v>#DIV/0!</v>
      </c>
      <c r="AY43" s="1" t="e">
        <f t="shared" si="53"/>
        <v>#DIV/0!</v>
      </c>
      <c r="AZ43" s="1" t="e">
        <f t="shared" si="54"/>
        <v>#DIV/0!</v>
      </c>
      <c r="BA43" s="1" t="e">
        <f t="shared" si="55"/>
        <v>#DIV/0!</v>
      </c>
      <c r="BB43" s="1" t="e">
        <f t="shared" si="56"/>
        <v>#DIV/0!</v>
      </c>
      <c r="BC43" s="1" t="e">
        <f t="shared" si="57"/>
        <v>#DIV/0!</v>
      </c>
      <c r="BD43" s="1" t="e">
        <f t="shared" si="58"/>
        <v>#DIV/0!</v>
      </c>
      <c r="BE43" s="1" t="e">
        <f t="shared" si="59"/>
        <v>#DIV/0!</v>
      </c>
      <c r="BF43" s="1" t="e">
        <f t="shared" si="60"/>
        <v>#DIV/0!</v>
      </c>
      <c r="BG43" s="1" t="e">
        <f t="shared" si="61"/>
        <v>#DIV/0!</v>
      </c>
      <c r="BH43" s="1" t="e">
        <f t="shared" si="62"/>
        <v>#DIV/0!</v>
      </c>
      <c r="BI43" s="1" t="e">
        <f t="shared" si="63"/>
        <v>#DIV/0!</v>
      </c>
      <c r="BJ43" s="1">
        <f t="shared" si="64"/>
        <v>-0.17067100098422106</v>
      </c>
      <c r="BK43" s="1" t="e">
        <f t="shared" si="65"/>
        <v>#DIV/0!</v>
      </c>
      <c r="BL43" s="1">
        <f t="shared" si="66"/>
        <v>0</v>
      </c>
      <c r="BM43" s="1" t="e">
        <f t="shared" si="67"/>
        <v>#DIV/0!</v>
      </c>
      <c r="BN43" s="1" t="e">
        <f t="shared" si="68"/>
        <v>#DIV/0!</v>
      </c>
      <c r="BO43" s="1" t="e">
        <f t="shared" si="69"/>
        <v>#DIV/0!</v>
      </c>
      <c r="BQ43" s="1" t="str">
        <f t="shared" si="70"/>
        <v>Drymill CCS Fermentation Exhaust</v>
      </c>
      <c r="BR43" s="1" t="e">
        <f t="shared" si="71"/>
        <v>#DIV/0!</v>
      </c>
      <c r="BS43" s="1" t="e">
        <f t="shared" si="72"/>
        <v>#DIV/0!</v>
      </c>
      <c r="BT43" s="1" t="e">
        <f t="array" ref="BT43">_xlfn.IFS(T43="Biomass_Corn", 1/W43/L43*AM43, T43="Biomass_Agri", 1/W43/L43*AL43, T43="Biomass_Wood", 1/W43/L43*AK43, T43="Biomass_Herb", 1/W43/L43*AJ43)</f>
        <v>#DIV/0!</v>
      </c>
      <c r="BU43" s="1" t="e">
        <f t="shared" si="73"/>
        <v>#DIV/0!</v>
      </c>
      <c r="BV43" s="1" t="e">
        <f t="shared" si="74"/>
        <v>#DIV/0!</v>
      </c>
      <c r="BW43" s="1" t="e">
        <f t="shared" si="75"/>
        <v>#DIV/0!</v>
      </c>
      <c r="BX43" s="1" t="e">
        <f t="shared" si="76"/>
        <v>#DIV/0!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77"/>
        <v>1.7588666580000001</v>
      </c>
      <c r="CD43" s="10">
        <v>0.1828908353</v>
      </c>
      <c r="CE43" s="9">
        <v>0.23037490999999999</v>
      </c>
      <c r="CG43" s="10">
        <f t="shared" si="78"/>
        <v>0.56658349085470638</v>
      </c>
      <c r="CH43" s="10">
        <f t="shared" si="79"/>
        <v>5.9703910798172485E-2</v>
      </c>
      <c r="CI43" s="10">
        <f t="shared" si="80"/>
        <v>0.23037490999999999</v>
      </c>
      <c r="CK43" s="17">
        <f t="shared" si="81"/>
        <v>0.23143487956439487</v>
      </c>
      <c r="CL43" s="17">
        <f t="shared" si="82"/>
        <v>0.16447761030609043</v>
      </c>
      <c r="CM43" s="10">
        <f t="shared" si="83"/>
        <v>0</v>
      </c>
      <c r="CN43" s="10">
        <f t="shared" si="84"/>
        <v>0</v>
      </c>
      <c r="CO43" s="10">
        <f t="shared" si="85"/>
        <v>0</v>
      </c>
      <c r="CP43" s="10">
        <f t="shared" si="86"/>
        <v>0</v>
      </c>
      <c r="CR43" s="1">
        <f t="shared" si="87"/>
        <v>0.23037491178239355</v>
      </c>
    </row>
    <row r="44" spans="2:96" x14ac:dyDescent="0.2">
      <c r="B44" s="22"/>
      <c r="C44" s="23"/>
      <c r="D44" s="23">
        <v>6</v>
      </c>
      <c r="E44" s="23" t="str">
        <f t="shared" si="44"/>
        <v>Drymill CCS Fermentation Exhaust</v>
      </c>
      <c r="F44" s="22"/>
      <c r="G44" s="22"/>
      <c r="H44" s="22"/>
      <c r="I44" s="22"/>
      <c r="J44" s="22"/>
      <c r="K44" s="22"/>
      <c r="L44" s="28">
        <f t="shared" si="45"/>
        <v>0</v>
      </c>
      <c r="M44" s="22"/>
      <c r="N44" s="22"/>
      <c r="O44" s="22"/>
      <c r="P44" s="22"/>
      <c r="Q44" s="22"/>
      <c r="S44" s="17" t="str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/>
      <c r="AI44" s="15"/>
      <c r="AJ44" s="15"/>
      <c r="AK44" s="15"/>
      <c r="AL44" s="15"/>
      <c r="AM44" s="15"/>
      <c r="AN44" s="15"/>
      <c r="AO44" s="15"/>
      <c r="AP44" s="15"/>
      <c r="AR44" s="1">
        <f t="shared" si="46"/>
        <v>0</v>
      </c>
      <c r="AS44" s="1">
        <f t="shared" si="47"/>
        <v>0</v>
      </c>
      <c r="AT44" s="11" t="e">
        <f t="shared" si="48"/>
        <v>#DIV/0!</v>
      </c>
      <c r="AU44" s="11" t="e">
        <f t="shared" si="49"/>
        <v>#DIV/0!</v>
      </c>
      <c r="AV44" s="5" t="e">
        <f t="shared" si="50"/>
        <v>#DIV/0!</v>
      </c>
      <c r="AW44" s="5" t="e">
        <f t="shared" si="51"/>
        <v>#DIV/0!</v>
      </c>
      <c r="AX44" s="1" t="e">
        <f t="shared" si="52"/>
        <v>#DIV/0!</v>
      </c>
      <c r="AY44" s="1" t="e">
        <f t="shared" si="53"/>
        <v>#DIV/0!</v>
      </c>
      <c r="AZ44" s="1" t="e">
        <f t="shared" si="54"/>
        <v>#DIV/0!</v>
      </c>
      <c r="BA44" s="1" t="e">
        <f t="shared" si="55"/>
        <v>#DIV/0!</v>
      </c>
      <c r="BB44" s="1" t="e">
        <f t="shared" si="56"/>
        <v>#DIV/0!</v>
      </c>
      <c r="BC44" s="1" t="e">
        <f t="shared" si="57"/>
        <v>#DIV/0!</v>
      </c>
      <c r="BD44" s="1" t="e">
        <f t="shared" si="58"/>
        <v>#DIV/0!</v>
      </c>
      <c r="BE44" s="1" t="e">
        <f t="shared" si="59"/>
        <v>#DIV/0!</v>
      </c>
      <c r="BF44" s="1" t="e">
        <f t="shared" si="60"/>
        <v>#DIV/0!</v>
      </c>
      <c r="BG44" s="1" t="e">
        <f t="shared" si="61"/>
        <v>#DIV/0!</v>
      </c>
      <c r="BH44" s="1" t="e">
        <f t="shared" si="62"/>
        <v>#DIV/0!</v>
      </c>
      <c r="BI44" s="1" t="e">
        <f t="shared" si="63"/>
        <v>#DIV/0!</v>
      </c>
      <c r="BJ44" s="1">
        <f t="shared" si="64"/>
        <v>-0.17067100098422106</v>
      </c>
      <c r="BK44" s="1" t="e">
        <f t="shared" si="65"/>
        <v>#DIV/0!</v>
      </c>
      <c r="BL44" s="1">
        <f t="shared" si="66"/>
        <v>0</v>
      </c>
      <c r="BM44" s="1" t="e">
        <f t="shared" si="67"/>
        <v>#DIV/0!</v>
      </c>
      <c r="BN44" s="1" t="e">
        <f t="shared" si="68"/>
        <v>#DIV/0!</v>
      </c>
      <c r="BO44" s="1" t="e">
        <f t="shared" si="69"/>
        <v>#DIV/0!</v>
      </c>
      <c r="BQ44" s="1" t="str">
        <f t="shared" si="70"/>
        <v>Drymill CCS Fermentation Exhaust</v>
      </c>
      <c r="BR44" s="1" t="e">
        <f t="shared" si="71"/>
        <v>#DIV/0!</v>
      </c>
      <c r="BS44" s="1" t="e">
        <f t="shared" si="72"/>
        <v>#DIV/0!</v>
      </c>
      <c r="BT44" s="1" t="e">
        <f t="array" ref="BT44">_xlfn.IFS(T44="Biomass_Corn", 1/W44/L44*AM44, T44="Biomass_Agri", 1/W44/L44*AL44, T44="Biomass_Wood", 1/W44/L44*AK44, T44="Biomass_Herb", 1/W44/L44*AJ44)</f>
        <v>#DIV/0!</v>
      </c>
      <c r="BU44" s="1" t="e">
        <f t="shared" si="73"/>
        <v>#DIV/0!</v>
      </c>
      <c r="BV44" s="1" t="e">
        <f t="shared" si="74"/>
        <v>#DIV/0!</v>
      </c>
      <c r="BW44" s="1" t="e">
        <f t="shared" si="75"/>
        <v>#DIV/0!</v>
      </c>
      <c r="BX44" s="1" t="e">
        <f t="shared" si="76"/>
        <v>#DIV/0!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77"/>
        <v>1.7588666580000001</v>
      </c>
      <c r="CD44" s="10">
        <v>0.1828908353</v>
      </c>
      <c r="CE44" s="9">
        <v>0.23037490999999999</v>
      </c>
      <c r="CG44" s="10">
        <f t="shared" si="78"/>
        <v>0.56658349085470638</v>
      </c>
      <c r="CH44" s="10">
        <f t="shared" si="79"/>
        <v>5.9703910798172485E-2</v>
      </c>
      <c r="CI44" s="10">
        <f t="shared" si="80"/>
        <v>0.23037490999999999</v>
      </c>
      <c r="CK44" s="17">
        <f t="shared" si="81"/>
        <v>0.23143487956439487</v>
      </c>
      <c r="CL44" s="17">
        <f t="shared" si="82"/>
        <v>0.16447761030609043</v>
      </c>
      <c r="CM44" s="10">
        <f t="shared" si="83"/>
        <v>0</v>
      </c>
      <c r="CN44" s="10">
        <f t="shared" si="84"/>
        <v>0</v>
      </c>
      <c r="CO44" s="10">
        <f t="shared" si="85"/>
        <v>0</v>
      </c>
      <c r="CP44" s="10">
        <f t="shared" si="86"/>
        <v>0</v>
      </c>
      <c r="CR44" s="1">
        <f t="shared" si="87"/>
        <v>0.23037491178239355</v>
      </c>
    </row>
    <row r="45" spans="2:96" x14ac:dyDescent="0.2">
      <c r="B45" s="22"/>
      <c r="C45" s="23"/>
      <c r="D45" s="23">
        <v>6</v>
      </c>
      <c r="E45" s="23" t="str">
        <f t="shared" si="44"/>
        <v>Drymill CCS Fermentation Exhaust</v>
      </c>
      <c r="F45" s="22"/>
      <c r="G45" s="22"/>
      <c r="H45" s="22"/>
      <c r="I45" s="22"/>
      <c r="J45" s="22"/>
      <c r="K45" s="22"/>
      <c r="L45" s="28">
        <f t="shared" si="45"/>
        <v>0</v>
      </c>
      <c r="M45" s="22"/>
      <c r="N45" s="22"/>
      <c r="O45" s="22"/>
      <c r="P45" s="22"/>
      <c r="Q45" s="22"/>
      <c r="S45" s="17" t="str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/>
      <c r="AI45" s="15"/>
      <c r="AJ45" s="15"/>
      <c r="AK45" s="15"/>
      <c r="AL45" s="15"/>
      <c r="AM45" s="15"/>
      <c r="AN45" s="15"/>
      <c r="AO45" s="15"/>
      <c r="AP45" s="15"/>
      <c r="AR45" s="1">
        <f t="shared" si="46"/>
        <v>0</v>
      </c>
      <c r="AS45" s="1">
        <f t="shared" si="47"/>
        <v>0</v>
      </c>
      <c r="AT45" s="11" t="e">
        <f t="shared" si="48"/>
        <v>#DIV/0!</v>
      </c>
      <c r="AU45" s="11" t="e">
        <f t="shared" si="49"/>
        <v>#DIV/0!</v>
      </c>
      <c r="AV45" s="5" t="e">
        <f t="shared" si="50"/>
        <v>#DIV/0!</v>
      </c>
      <c r="AW45" s="5" t="e">
        <f t="shared" si="51"/>
        <v>#DIV/0!</v>
      </c>
      <c r="AX45" s="1" t="e">
        <f t="shared" si="52"/>
        <v>#DIV/0!</v>
      </c>
      <c r="AY45" s="1" t="e">
        <f t="shared" si="53"/>
        <v>#DIV/0!</v>
      </c>
      <c r="AZ45" s="1" t="e">
        <f t="shared" si="54"/>
        <v>#DIV/0!</v>
      </c>
      <c r="BA45" s="1" t="e">
        <f t="shared" si="55"/>
        <v>#DIV/0!</v>
      </c>
      <c r="BB45" s="1" t="e">
        <f t="shared" si="56"/>
        <v>#DIV/0!</v>
      </c>
      <c r="BC45" s="1" t="e">
        <f t="shared" si="57"/>
        <v>#DIV/0!</v>
      </c>
      <c r="BD45" s="1" t="e">
        <f t="shared" si="58"/>
        <v>#DIV/0!</v>
      </c>
      <c r="BE45" s="1" t="e">
        <f t="shared" si="59"/>
        <v>#DIV/0!</v>
      </c>
      <c r="BF45" s="1" t="e">
        <f t="shared" si="60"/>
        <v>#DIV/0!</v>
      </c>
      <c r="BG45" s="1" t="e">
        <f t="shared" si="61"/>
        <v>#DIV/0!</v>
      </c>
      <c r="BH45" s="1" t="e">
        <f t="shared" si="62"/>
        <v>#DIV/0!</v>
      </c>
      <c r="BI45" s="1" t="e">
        <f t="shared" si="63"/>
        <v>#DIV/0!</v>
      </c>
      <c r="BJ45" s="1">
        <f t="shared" si="64"/>
        <v>-0.17067100098422106</v>
      </c>
      <c r="BK45" s="1" t="e">
        <f t="shared" si="65"/>
        <v>#DIV/0!</v>
      </c>
      <c r="BL45" s="1">
        <f t="shared" si="66"/>
        <v>0</v>
      </c>
      <c r="BM45" s="1" t="e">
        <f t="shared" si="67"/>
        <v>#DIV/0!</v>
      </c>
      <c r="BN45" s="1" t="e">
        <f t="shared" si="68"/>
        <v>#DIV/0!</v>
      </c>
      <c r="BO45" s="1" t="e">
        <f t="shared" si="69"/>
        <v>#DIV/0!</v>
      </c>
      <c r="BQ45" s="1" t="str">
        <f t="shared" si="70"/>
        <v>Drymill CCS Fermentation Exhaust</v>
      </c>
      <c r="BR45" s="1" t="e">
        <f t="shared" si="71"/>
        <v>#DIV/0!</v>
      </c>
      <c r="BS45" s="1" t="e">
        <f t="shared" si="72"/>
        <v>#DIV/0!</v>
      </c>
      <c r="BT45" s="1" t="e">
        <f t="array" ref="BT45">_xlfn.IFS(T45="Biomass_Corn", 1/W45/L45*AM45, T45="Biomass_Agri", 1/W45/L45*AL45, T45="Biomass_Wood", 1/W45/L45*AK45, T45="Biomass_Herb", 1/W45/L45*AJ45)</f>
        <v>#DIV/0!</v>
      </c>
      <c r="BU45" s="1" t="e">
        <f t="shared" si="73"/>
        <v>#DIV/0!</v>
      </c>
      <c r="BV45" s="1" t="e">
        <f t="shared" si="74"/>
        <v>#DIV/0!</v>
      </c>
      <c r="BW45" s="1" t="e">
        <f t="shared" si="75"/>
        <v>#DIV/0!</v>
      </c>
      <c r="BX45" s="1" t="e">
        <f t="shared" si="76"/>
        <v>#DIV/0!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77"/>
        <v>1.7588666580000001</v>
      </c>
      <c r="CD45" s="10">
        <v>0.1828908353</v>
      </c>
      <c r="CE45" s="9">
        <v>0.23037490999999999</v>
      </c>
      <c r="CG45" s="10">
        <f t="shared" si="78"/>
        <v>0.56658349085470638</v>
      </c>
      <c r="CH45" s="10">
        <f t="shared" si="79"/>
        <v>5.9703910798172485E-2</v>
      </c>
      <c r="CI45" s="10">
        <f t="shared" si="80"/>
        <v>0.23037490999999999</v>
      </c>
      <c r="CK45" s="17">
        <f t="shared" si="81"/>
        <v>0.23143487956439487</v>
      </c>
      <c r="CL45" s="17">
        <f t="shared" si="82"/>
        <v>0.16447761030609043</v>
      </c>
      <c r="CM45" s="10">
        <f t="shared" si="83"/>
        <v>0</v>
      </c>
      <c r="CN45" s="10">
        <f t="shared" si="84"/>
        <v>0</v>
      </c>
      <c r="CO45" s="10">
        <f t="shared" si="85"/>
        <v>0</v>
      </c>
      <c r="CP45" s="10">
        <f t="shared" si="86"/>
        <v>0</v>
      </c>
      <c r="CR45" s="1">
        <f t="shared" si="87"/>
        <v>0.23037491178239355</v>
      </c>
    </row>
    <row r="46" spans="2:96" x14ac:dyDescent="0.2">
      <c r="B46" s="22"/>
      <c r="C46" s="23"/>
      <c r="D46" s="23">
        <v>6</v>
      </c>
      <c r="E46" s="23" t="str">
        <f t="shared" si="44"/>
        <v>Drymill CCS Fermentation Exhaust</v>
      </c>
      <c r="F46" s="22"/>
      <c r="G46" s="22"/>
      <c r="H46" s="22"/>
      <c r="I46" s="22"/>
      <c r="J46" s="22"/>
      <c r="K46" s="22"/>
      <c r="L46" s="28">
        <f t="shared" si="45"/>
        <v>0</v>
      </c>
      <c r="M46" s="22"/>
      <c r="N46" s="22"/>
      <c r="O46" s="22"/>
      <c r="P46" s="22"/>
      <c r="Q46" s="22"/>
      <c r="S46" s="17" t="str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/>
      <c r="AI46" s="15"/>
      <c r="AJ46" s="15"/>
      <c r="AK46" s="15"/>
      <c r="AL46" s="15"/>
      <c r="AM46" s="15"/>
      <c r="AN46" s="15"/>
      <c r="AO46" s="15"/>
      <c r="AP46" s="15"/>
      <c r="AR46" s="1">
        <f t="shared" si="46"/>
        <v>0</v>
      </c>
      <c r="AS46" s="1">
        <f t="shared" si="47"/>
        <v>0</v>
      </c>
      <c r="AT46" s="11" t="e">
        <f t="shared" si="48"/>
        <v>#DIV/0!</v>
      </c>
      <c r="AU46" s="11" t="e">
        <f t="shared" si="49"/>
        <v>#DIV/0!</v>
      </c>
      <c r="AV46" s="5" t="e">
        <f t="shared" si="50"/>
        <v>#DIV/0!</v>
      </c>
      <c r="AW46" s="5" t="e">
        <f t="shared" si="51"/>
        <v>#DIV/0!</v>
      </c>
      <c r="AX46" s="1" t="e">
        <f t="shared" si="52"/>
        <v>#DIV/0!</v>
      </c>
      <c r="AY46" s="1" t="e">
        <f t="shared" si="53"/>
        <v>#DIV/0!</v>
      </c>
      <c r="AZ46" s="1" t="e">
        <f t="shared" si="54"/>
        <v>#DIV/0!</v>
      </c>
      <c r="BA46" s="1" t="e">
        <f t="shared" si="55"/>
        <v>#DIV/0!</v>
      </c>
      <c r="BB46" s="1" t="e">
        <f t="shared" si="56"/>
        <v>#DIV/0!</v>
      </c>
      <c r="BC46" s="1" t="e">
        <f t="shared" si="57"/>
        <v>#DIV/0!</v>
      </c>
      <c r="BD46" s="1" t="e">
        <f t="shared" si="58"/>
        <v>#DIV/0!</v>
      </c>
      <c r="BE46" s="1" t="e">
        <f t="shared" si="59"/>
        <v>#DIV/0!</v>
      </c>
      <c r="BF46" s="1" t="e">
        <f t="shared" si="60"/>
        <v>#DIV/0!</v>
      </c>
      <c r="BG46" s="1" t="e">
        <f t="shared" si="61"/>
        <v>#DIV/0!</v>
      </c>
      <c r="BH46" s="1" t="e">
        <f t="shared" si="62"/>
        <v>#DIV/0!</v>
      </c>
      <c r="BI46" s="1" t="e">
        <f t="shared" si="63"/>
        <v>#DIV/0!</v>
      </c>
      <c r="BJ46" s="1">
        <f t="shared" si="64"/>
        <v>-0.17067100098422106</v>
      </c>
      <c r="BK46" s="1" t="e">
        <f t="shared" si="65"/>
        <v>#DIV/0!</v>
      </c>
      <c r="BL46" s="1">
        <f t="shared" si="66"/>
        <v>0</v>
      </c>
      <c r="BM46" s="1" t="e">
        <f t="shared" si="67"/>
        <v>#DIV/0!</v>
      </c>
      <c r="BN46" s="1" t="e">
        <f t="shared" si="68"/>
        <v>#DIV/0!</v>
      </c>
      <c r="BO46" s="1" t="e">
        <f t="shared" si="69"/>
        <v>#DIV/0!</v>
      </c>
      <c r="BQ46" s="1" t="str">
        <f t="shared" si="70"/>
        <v>Drymill CCS Fermentation Exhaust</v>
      </c>
      <c r="BR46" s="1" t="e">
        <f t="shared" si="71"/>
        <v>#DIV/0!</v>
      </c>
      <c r="BS46" s="1" t="e">
        <f t="shared" si="72"/>
        <v>#DIV/0!</v>
      </c>
      <c r="BT46" s="1" t="e">
        <f t="array" ref="BT46">_xlfn.IFS(T46="Biomass_Corn", 1/W46/L46*AM46, T46="Biomass_Agri", 1/W46/L46*AL46, T46="Biomass_Wood", 1/W46/L46*AK46, T46="Biomass_Herb", 1/W46/L46*AJ46)</f>
        <v>#DIV/0!</v>
      </c>
      <c r="BU46" s="1" t="e">
        <f t="shared" si="73"/>
        <v>#DIV/0!</v>
      </c>
      <c r="BV46" s="1" t="e">
        <f t="shared" si="74"/>
        <v>#DIV/0!</v>
      </c>
      <c r="BW46" s="1" t="e">
        <f t="shared" si="75"/>
        <v>#DIV/0!</v>
      </c>
      <c r="BX46" s="1" t="e">
        <f t="shared" si="76"/>
        <v>#DIV/0!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77"/>
        <v>1.7588666580000001</v>
      </c>
      <c r="CD46" s="10">
        <v>0.1828908353</v>
      </c>
      <c r="CE46" s="9">
        <v>0.23037490999999999</v>
      </c>
      <c r="CG46" s="10">
        <f t="shared" si="78"/>
        <v>0.56658349085470638</v>
      </c>
      <c r="CH46" s="10">
        <f t="shared" si="79"/>
        <v>5.9703910798172485E-2</v>
      </c>
      <c r="CI46" s="10">
        <f t="shared" si="80"/>
        <v>0.23037490999999999</v>
      </c>
      <c r="CK46" s="17">
        <f t="shared" si="81"/>
        <v>0.23143487956439487</v>
      </c>
      <c r="CL46" s="17">
        <f t="shared" si="82"/>
        <v>0.16447761030609043</v>
      </c>
      <c r="CM46" s="10">
        <f t="shared" si="83"/>
        <v>0</v>
      </c>
      <c r="CN46" s="10">
        <f t="shared" si="84"/>
        <v>0</v>
      </c>
      <c r="CO46" s="10">
        <f t="shared" si="85"/>
        <v>0</v>
      </c>
      <c r="CP46" s="10">
        <f t="shared" si="86"/>
        <v>0</v>
      </c>
      <c r="CR46" s="1">
        <f t="shared" si="87"/>
        <v>0.23037491178239355</v>
      </c>
    </row>
    <row r="47" spans="2:96" x14ac:dyDescent="0.2">
      <c r="B47" s="22"/>
      <c r="C47" s="23"/>
      <c r="D47" s="23">
        <v>6</v>
      </c>
      <c r="E47" s="23" t="str">
        <f t="shared" si="44"/>
        <v>Drymill CCS Fermentation Exhaust</v>
      </c>
      <c r="F47" s="22"/>
      <c r="G47" s="22"/>
      <c r="H47" s="22"/>
      <c r="I47" s="22"/>
      <c r="J47" s="22"/>
      <c r="K47" s="22"/>
      <c r="L47" s="28">
        <f t="shared" si="45"/>
        <v>0</v>
      </c>
      <c r="M47" s="22"/>
      <c r="N47" s="22"/>
      <c r="O47" s="22"/>
      <c r="P47" s="22"/>
      <c r="Q47" s="22"/>
      <c r="S47" s="17" t="str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/>
      <c r="AI47" s="15"/>
      <c r="AJ47" s="15"/>
      <c r="AK47" s="15"/>
      <c r="AL47" s="15"/>
      <c r="AM47" s="15"/>
      <c r="AN47" s="15"/>
      <c r="AO47" s="15"/>
      <c r="AP47" s="15"/>
      <c r="AR47" s="1">
        <f t="shared" si="46"/>
        <v>0</v>
      </c>
      <c r="AS47" s="1">
        <f t="shared" si="47"/>
        <v>0</v>
      </c>
      <c r="AT47" s="11" t="e">
        <f t="shared" si="48"/>
        <v>#DIV/0!</v>
      </c>
      <c r="AU47" s="11" t="e">
        <f t="shared" si="49"/>
        <v>#DIV/0!</v>
      </c>
      <c r="AV47" s="5" t="e">
        <f t="shared" si="50"/>
        <v>#DIV/0!</v>
      </c>
      <c r="AW47" s="5" t="e">
        <f t="shared" si="51"/>
        <v>#DIV/0!</v>
      </c>
      <c r="AX47" s="1" t="e">
        <f t="shared" si="52"/>
        <v>#DIV/0!</v>
      </c>
      <c r="AY47" s="1" t="e">
        <f t="shared" si="53"/>
        <v>#DIV/0!</v>
      </c>
      <c r="AZ47" s="1" t="e">
        <f t="shared" si="54"/>
        <v>#DIV/0!</v>
      </c>
      <c r="BA47" s="1" t="e">
        <f t="shared" si="55"/>
        <v>#DIV/0!</v>
      </c>
      <c r="BB47" s="1" t="e">
        <f t="shared" si="56"/>
        <v>#DIV/0!</v>
      </c>
      <c r="BC47" s="1" t="e">
        <f t="shared" si="57"/>
        <v>#DIV/0!</v>
      </c>
      <c r="BD47" s="1" t="e">
        <f t="shared" si="58"/>
        <v>#DIV/0!</v>
      </c>
      <c r="BE47" s="1" t="e">
        <f t="shared" si="59"/>
        <v>#DIV/0!</v>
      </c>
      <c r="BF47" s="1" t="e">
        <f t="shared" si="60"/>
        <v>#DIV/0!</v>
      </c>
      <c r="BG47" s="1" t="e">
        <f t="shared" si="61"/>
        <v>#DIV/0!</v>
      </c>
      <c r="BH47" s="1" t="e">
        <f t="shared" si="62"/>
        <v>#DIV/0!</v>
      </c>
      <c r="BI47" s="1" t="e">
        <f t="shared" si="63"/>
        <v>#DIV/0!</v>
      </c>
      <c r="BJ47" s="1">
        <f t="shared" si="64"/>
        <v>-0.17067100098422106</v>
      </c>
      <c r="BK47" s="1" t="e">
        <f t="shared" si="65"/>
        <v>#DIV/0!</v>
      </c>
      <c r="BL47" s="1">
        <f t="shared" si="66"/>
        <v>0</v>
      </c>
      <c r="BM47" s="1" t="e">
        <f t="shared" si="67"/>
        <v>#DIV/0!</v>
      </c>
      <c r="BN47" s="1" t="e">
        <f t="shared" si="68"/>
        <v>#DIV/0!</v>
      </c>
      <c r="BO47" s="1" t="e">
        <f t="shared" si="69"/>
        <v>#DIV/0!</v>
      </c>
      <c r="BQ47" s="1" t="str">
        <f t="shared" si="70"/>
        <v>Drymill CCS Fermentation Exhaust</v>
      </c>
      <c r="BR47" s="1" t="e">
        <f t="shared" si="71"/>
        <v>#DIV/0!</v>
      </c>
      <c r="BS47" s="1" t="e">
        <f t="shared" si="72"/>
        <v>#DIV/0!</v>
      </c>
      <c r="BT47" s="1" t="e">
        <f t="array" ref="BT47">_xlfn.IFS(T47="Biomass_Corn", 1/W47/L47*AM47, T47="Biomass_Agri", 1/W47/L47*AL47, T47="Biomass_Wood", 1/W47/L47*AK47, T47="Biomass_Herb", 1/W47/L47*AJ47)</f>
        <v>#DIV/0!</v>
      </c>
      <c r="BU47" s="1" t="e">
        <f t="shared" si="73"/>
        <v>#DIV/0!</v>
      </c>
      <c r="BV47" s="1" t="e">
        <f t="shared" si="74"/>
        <v>#DIV/0!</v>
      </c>
      <c r="BW47" s="1" t="e">
        <f t="shared" si="75"/>
        <v>#DIV/0!</v>
      </c>
      <c r="BX47" s="1" t="e">
        <f t="shared" si="76"/>
        <v>#DIV/0!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77"/>
        <v>1.7588666580000001</v>
      </c>
      <c r="CD47" s="10">
        <v>0.1828908353</v>
      </c>
      <c r="CE47" s="9">
        <v>0.23037490999999999</v>
      </c>
      <c r="CG47" s="10">
        <f t="shared" si="78"/>
        <v>0.56658349085470638</v>
      </c>
      <c r="CH47" s="10">
        <f t="shared" si="79"/>
        <v>5.9703910798172485E-2</v>
      </c>
      <c r="CI47" s="10">
        <f t="shared" si="80"/>
        <v>0.23037490999999999</v>
      </c>
      <c r="CK47" s="17">
        <f t="shared" si="81"/>
        <v>0.23143487956439487</v>
      </c>
      <c r="CL47" s="17">
        <f t="shared" si="82"/>
        <v>0.16447761030609043</v>
      </c>
      <c r="CM47" s="10">
        <f t="shared" si="83"/>
        <v>0</v>
      </c>
      <c r="CN47" s="10">
        <f t="shared" si="84"/>
        <v>0</v>
      </c>
      <c r="CO47" s="10">
        <f t="shared" si="85"/>
        <v>0</v>
      </c>
      <c r="CP47" s="10">
        <f t="shared" si="86"/>
        <v>0</v>
      </c>
      <c r="CR47" s="1">
        <f t="shared" si="87"/>
        <v>0.23037491178239355</v>
      </c>
    </row>
    <row r="48" spans="2:96" x14ac:dyDescent="0.2">
      <c r="B48" s="22"/>
      <c r="C48" s="23"/>
      <c r="D48" s="23">
        <v>6</v>
      </c>
      <c r="E48" s="23" t="str">
        <f t="shared" si="44"/>
        <v>Drymill CCS Fermentation Exhaust</v>
      </c>
      <c r="F48" s="22"/>
      <c r="G48" s="22"/>
      <c r="H48" s="22"/>
      <c r="I48" s="22"/>
      <c r="J48" s="22"/>
      <c r="K48" s="22"/>
      <c r="L48" s="28">
        <f t="shared" si="45"/>
        <v>0</v>
      </c>
      <c r="M48" s="22"/>
      <c r="N48" s="22"/>
      <c r="O48" s="22"/>
      <c r="P48" s="22"/>
      <c r="Q48" s="22"/>
      <c r="S48" s="17" t="str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/>
      <c r="AI48" s="15"/>
      <c r="AJ48" s="15"/>
      <c r="AK48" s="15"/>
      <c r="AL48" s="15"/>
      <c r="AM48" s="15"/>
      <c r="AN48" s="15"/>
      <c r="AO48" s="15"/>
      <c r="AP48" s="15"/>
      <c r="AR48" s="1">
        <f t="shared" si="46"/>
        <v>0</v>
      </c>
      <c r="AS48" s="1">
        <f t="shared" si="47"/>
        <v>0</v>
      </c>
      <c r="AT48" s="11" t="e">
        <f t="shared" si="48"/>
        <v>#DIV/0!</v>
      </c>
      <c r="AU48" s="11" t="e">
        <f t="shared" si="49"/>
        <v>#DIV/0!</v>
      </c>
      <c r="AV48" s="5" t="e">
        <f t="shared" si="50"/>
        <v>#DIV/0!</v>
      </c>
      <c r="AW48" s="5" t="e">
        <f t="shared" si="51"/>
        <v>#DIV/0!</v>
      </c>
      <c r="AX48" s="1" t="e">
        <f t="shared" si="52"/>
        <v>#DIV/0!</v>
      </c>
      <c r="AY48" s="1" t="e">
        <f t="shared" si="53"/>
        <v>#DIV/0!</v>
      </c>
      <c r="AZ48" s="1" t="e">
        <f t="shared" si="54"/>
        <v>#DIV/0!</v>
      </c>
      <c r="BA48" s="1" t="e">
        <f t="shared" si="55"/>
        <v>#DIV/0!</v>
      </c>
      <c r="BB48" s="1" t="e">
        <f t="shared" si="56"/>
        <v>#DIV/0!</v>
      </c>
      <c r="BC48" s="1" t="e">
        <f t="shared" si="57"/>
        <v>#DIV/0!</v>
      </c>
      <c r="BD48" s="1" t="e">
        <f t="shared" si="58"/>
        <v>#DIV/0!</v>
      </c>
      <c r="BE48" s="1" t="e">
        <f t="shared" si="59"/>
        <v>#DIV/0!</v>
      </c>
      <c r="BF48" s="1" t="e">
        <f t="shared" si="60"/>
        <v>#DIV/0!</v>
      </c>
      <c r="BG48" s="1" t="e">
        <f t="shared" si="61"/>
        <v>#DIV/0!</v>
      </c>
      <c r="BH48" s="1" t="e">
        <f t="shared" si="62"/>
        <v>#DIV/0!</v>
      </c>
      <c r="BI48" s="1" t="e">
        <f t="shared" si="63"/>
        <v>#DIV/0!</v>
      </c>
      <c r="BJ48" s="1">
        <f t="shared" si="64"/>
        <v>-0.17067100098422106</v>
      </c>
      <c r="BK48" s="1" t="e">
        <f t="shared" si="65"/>
        <v>#DIV/0!</v>
      </c>
      <c r="BL48" s="1">
        <f t="shared" si="66"/>
        <v>0</v>
      </c>
      <c r="BM48" s="1" t="e">
        <f t="shared" si="67"/>
        <v>#DIV/0!</v>
      </c>
      <c r="BN48" s="1" t="e">
        <f t="shared" si="68"/>
        <v>#DIV/0!</v>
      </c>
      <c r="BO48" s="1" t="e">
        <f t="shared" si="69"/>
        <v>#DIV/0!</v>
      </c>
      <c r="BQ48" s="1" t="str">
        <f t="shared" si="70"/>
        <v>Drymill CCS Fermentation Exhaust</v>
      </c>
      <c r="BR48" s="1" t="e">
        <f t="shared" si="71"/>
        <v>#DIV/0!</v>
      </c>
      <c r="BS48" s="1" t="e">
        <f t="shared" si="72"/>
        <v>#DIV/0!</v>
      </c>
      <c r="BT48" s="1" t="e">
        <f t="array" ref="BT48">_xlfn.IFS(T48="Biomass_Corn", 1/W48/L48*AM48, T48="Biomass_Agri", 1/W48/L48*AL48, T48="Biomass_Wood", 1/W48/L48*AK48, T48="Biomass_Herb", 1/W48/L48*AJ48)</f>
        <v>#DIV/0!</v>
      </c>
      <c r="BU48" s="1" t="e">
        <f t="shared" si="73"/>
        <v>#DIV/0!</v>
      </c>
      <c r="BV48" s="1" t="e">
        <f t="shared" si="74"/>
        <v>#DIV/0!</v>
      </c>
      <c r="BW48" s="1" t="e">
        <f t="shared" si="75"/>
        <v>#DIV/0!</v>
      </c>
      <c r="BX48" s="1" t="e">
        <f t="shared" si="76"/>
        <v>#DIV/0!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77"/>
        <v>1.7588666580000001</v>
      </c>
      <c r="CD48" s="10">
        <v>0.1828908353</v>
      </c>
      <c r="CE48" s="9">
        <v>0.23037490999999999</v>
      </c>
      <c r="CG48" s="10">
        <f t="shared" si="78"/>
        <v>0.56658349085470638</v>
      </c>
      <c r="CH48" s="10">
        <f t="shared" si="79"/>
        <v>5.9703910798172485E-2</v>
      </c>
      <c r="CI48" s="10">
        <f t="shared" si="80"/>
        <v>0.23037490999999999</v>
      </c>
      <c r="CK48" s="17">
        <f t="shared" si="81"/>
        <v>0.23143487956439487</v>
      </c>
      <c r="CL48" s="17">
        <f t="shared" si="82"/>
        <v>0.16447761030609043</v>
      </c>
      <c r="CM48" s="10">
        <f t="shared" si="83"/>
        <v>0</v>
      </c>
      <c r="CN48" s="10">
        <f t="shared" si="84"/>
        <v>0</v>
      </c>
      <c r="CO48" s="10">
        <f t="shared" si="85"/>
        <v>0</v>
      </c>
      <c r="CP48" s="10">
        <f t="shared" si="86"/>
        <v>0</v>
      </c>
      <c r="CR48" s="1">
        <f t="shared" si="87"/>
        <v>0.23037491178239355</v>
      </c>
    </row>
    <row r="49" spans="2:96" x14ac:dyDescent="0.2">
      <c r="B49" s="22"/>
      <c r="C49" s="23"/>
      <c r="D49" s="23">
        <v>6</v>
      </c>
      <c r="E49" s="23" t="str">
        <f t="shared" si="44"/>
        <v>Drymill CCS Fermentation Exhaust</v>
      </c>
      <c r="F49" s="22"/>
      <c r="G49" s="22"/>
      <c r="H49" s="22"/>
      <c r="I49" s="22"/>
      <c r="J49" s="22"/>
      <c r="K49" s="22"/>
      <c r="L49" s="28">
        <f t="shared" si="45"/>
        <v>0</v>
      </c>
      <c r="M49" s="22"/>
      <c r="N49" s="22"/>
      <c r="O49" s="22"/>
      <c r="P49" s="22"/>
      <c r="Q49" s="22"/>
      <c r="S49" s="17" t="str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/>
      <c r="AI49" s="15"/>
      <c r="AJ49" s="15"/>
      <c r="AK49" s="15"/>
      <c r="AL49" s="15"/>
      <c r="AM49" s="15"/>
      <c r="AN49" s="15"/>
      <c r="AO49" s="15"/>
      <c r="AP49" s="15"/>
      <c r="AR49" s="1">
        <f t="shared" si="46"/>
        <v>0</v>
      </c>
      <c r="AS49" s="1">
        <f t="shared" si="47"/>
        <v>0</v>
      </c>
      <c r="AT49" s="11" t="e">
        <f t="shared" si="48"/>
        <v>#DIV/0!</v>
      </c>
      <c r="AU49" s="11" t="e">
        <f t="shared" si="49"/>
        <v>#DIV/0!</v>
      </c>
      <c r="AV49" s="5" t="e">
        <f t="shared" si="50"/>
        <v>#DIV/0!</v>
      </c>
      <c r="AW49" s="5" t="e">
        <f t="shared" si="51"/>
        <v>#DIV/0!</v>
      </c>
      <c r="AX49" s="1" t="e">
        <f t="shared" si="52"/>
        <v>#DIV/0!</v>
      </c>
      <c r="AY49" s="1" t="e">
        <f t="shared" si="53"/>
        <v>#DIV/0!</v>
      </c>
      <c r="AZ49" s="1" t="e">
        <f t="shared" si="54"/>
        <v>#DIV/0!</v>
      </c>
      <c r="BA49" s="1" t="e">
        <f t="shared" si="55"/>
        <v>#DIV/0!</v>
      </c>
      <c r="BB49" s="1" t="e">
        <f t="shared" si="56"/>
        <v>#DIV/0!</v>
      </c>
      <c r="BC49" s="1" t="e">
        <f t="shared" si="57"/>
        <v>#DIV/0!</v>
      </c>
      <c r="BD49" s="1" t="e">
        <f t="shared" si="58"/>
        <v>#DIV/0!</v>
      </c>
      <c r="BE49" s="1" t="e">
        <f t="shared" si="59"/>
        <v>#DIV/0!</v>
      </c>
      <c r="BF49" s="1" t="e">
        <f t="shared" si="60"/>
        <v>#DIV/0!</v>
      </c>
      <c r="BG49" s="1" t="e">
        <f t="shared" si="61"/>
        <v>#DIV/0!</v>
      </c>
      <c r="BH49" s="1" t="e">
        <f t="shared" si="62"/>
        <v>#DIV/0!</v>
      </c>
      <c r="BI49" s="1" t="e">
        <f t="shared" si="63"/>
        <v>#DIV/0!</v>
      </c>
      <c r="BJ49" s="1">
        <f t="shared" si="64"/>
        <v>-0.17067100098422106</v>
      </c>
      <c r="BK49" s="1" t="e">
        <f t="shared" si="65"/>
        <v>#DIV/0!</v>
      </c>
      <c r="BL49" s="1">
        <f t="shared" si="66"/>
        <v>0</v>
      </c>
      <c r="BM49" s="1" t="e">
        <f t="shared" si="67"/>
        <v>#DIV/0!</v>
      </c>
      <c r="BN49" s="1" t="e">
        <f t="shared" si="68"/>
        <v>#DIV/0!</v>
      </c>
      <c r="BO49" s="1" t="e">
        <f t="shared" si="69"/>
        <v>#DIV/0!</v>
      </c>
      <c r="BQ49" s="1" t="str">
        <f t="shared" si="70"/>
        <v>Drymill CCS Fermentation Exhaust</v>
      </c>
      <c r="BR49" s="1" t="e">
        <f t="shared" si="71"/>
        <v>#DIV/0!</v>
      </c>
      <c r="BS49" s="1" t="e">
        <f t="shared" si="72"/>
        <v>#DIV/0!</v>
      </c>
      <c r="BT49" s="1" t="e">
        <f t="array" ref="BT49">_xlfn.IFS(T49="Biomass_Corn", 1/W49/L49*AM49, T49="Biomass_Agri", 1/W49/L49*AL49, T49="Biomass_Wood", 1/W49/L49*AK49, T49="Biomass_Herb", 1/W49/L49*AJ49)</f>
        <v>#DIV/0!</v>
      </c>
      <c r="BU49" s="1" t="e">
        <f t="shared" si="73"/>
        <v>#DIV/0!</v>
      </c>
      <c r="BV49" s="1" t="e">
        <f t="shared" si="74"/>
        <v>#DIV/0!</v>
      </c>
      <c r="BW49" s="1" t="e">
        <f t="shared" si="75"/>
        <v>#DIV/0!</v>
      </c>
      <c r="BX49" s="1" t="e">
        <f t="shared" si="76"/>
        <v>#DIV/0!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77"/>
        <v>1.7588666580000001</v>
      </c>
      <c r="CD49" s="10">
        <v>0.1828908353</v>
      </c>
      <c r="CE49" s="9">
        <v>0.23037490999999999</v>
      </c>
      <c r="CG49" s="10">
        <f t="shared" si="78"/>
        <v>0.56658349085470638</v>
      </c>
      <c r="CH49" s="10">
        <f t="shared" si="79"/>
        <v>5.9703910798172485E-2</v>
      </c>
      <c r="CI49" s="10">
        <f t="shared" si="80"/>
        <v>0.23037490999999999</v>
      </c>
      <c r="CK49" s="17">
        <f t="shared" si="81"/>
        <v>0.23143487956439487</v>
      </c>
      <c r="CL49" s="17">
        <f t="shared" si="82"/>
        <v>0.16447761030609043</v>
      </c>
      <c r="CM49" s="10">
        <f t="shared" si="83"/>
        <v>0</v>
      </c>
      <c r="CN49" s="10">
        <f t="shared" si="84"/>
        <v>0</v>
      </c>
      <c r="CO49" s="10">
        <f t="shared" si="85"/>
        <v>0</v>
      </c>
      <c r="CP49" s="10">
        <f t="shared" si="86"/>
        <v>0</v>
      </c>
      <c r="CR49" s="1">
        <f t="shared" si="87"/>
        <v>0.23037491178239355</v>
      </c>
    </row>
    <row r="50" spans="2:96" x14ac:dyDescent="0.2">
      <c r="B50" s="22"/>
      <c r="C50" s="23"/>
      <c r="D50" s="23">
        <v>6</v>
      </c>
      <c r="E50" s="23" t="str">
        <f t="shared" si="44"/>
        <v>Drymill CCS Fermentation Exhaust</v>
      </c>
      <c r="F50" s="22"/>
      <c r="G50" s="22"/>
      <c r="H50" s="22"/>
      <c r="I50" s="22"/>
      <c r="J50" s="22"/>
      <c r="K50" s="22"/>
      <c r="L50" s="28">
        <f t="shared" si="45"/>
        <v>0</v>
      </c>
      <c r="M50" s="22"/>
      <c r="N50" s="22"/>
      <c r="O50" s="22"/>
      <c r="P50" s="22"/>
      <c r="Q50" s="22"/>
      <c r="S50" s="17" t="str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/>
      <c r="AI50" s="15"/>
      <c r="AJ50" s="15"/>
      <c r="AK50" s="15"/>
      <c r="AL50" s="15"/>
      <c r="AM50" s="15"/>
      <c r="AN50" s="15"/>
      <c r="AO50" s="15"/>
      <c r="AP50" s="15"/>
      <c r="AR50" s="1">
        <f t="shared" si="46"/>
        <v>0</v>
      </c>
      <c r="AS50" s="1">
        <f t="shared" si="47"/>
        <v>0</v>
      </c>
      <c r="AT50" s="11" t="e">
        <f t="shared" si="48"/>
        <v>#DIV/0!</v>
      </c>
      <c r="AU50" s="11" t="e">
        <f t="shared" si="49"/>
        <v>#DIV/0!</v>
      </c>
      <c r="AV50" s="5" t="e">
        <f t="shared" si="50"/>
        <v>#DIV/0!</v>
      </c>
      <c r="AW50" s="5" t="e">
        <f t="shared" si="51"/>
        <v>#DIV/0!</v>
      </c>
      <c r="AX50" s="1" t="e">
        <f t="shared" si="52"/>
        <v>#DIV/0!</v>
      </c>
      <c r="AY50" s="1" t="e">
        <f t="shared" si="53"/>
        <v>#DIV/0!</v>
      </c>
      <c r="AZ50" s="1" t="e">
        <f t="shared" si="54"/>
        <v>#DIV/0!</v>
      </c>
      <c r="BA50" s="1" t="e">
        <f t="shared" si="55"/>
        <v>#DIV/0!</v>
      </c>
      <c r="BB50" s="1" t="e">
        <f t="shared" si="56"/>
        <v>#DIV/0!</v>
      </c>
      <c r="BC50" s="1" t="e">
        <f t="shared" si="57"/>
        <v>#DIV/0!</v>
      </c>
      <c r="BD50" s="1" t="e">
        <f t="shared" si="58"/>
        <v>#DIV/0!</v>
      </c>
      <c r="BE50" s="1" t="e">
        <f t="shared" si="59"/>
        <v>#DIV/0!</v>
      </c>
      <c r="BF50" s="1" t="e">
        <f t="shared" si="60"/>
        <v>#DIV/0!</v>
      </c>
      <c r="BG50" s="1" t="e">
        <f t="shared" si="61"/>
        <v>#DIV/0!</v>
      </c>
      <c r="BH50" s="1" t="e">
        <f t="shared" si="62"/>
        <v>#DIV/0!</v>
      </c>
      <c r="BI50" s="1" t="e">
        <f t="shared" si="63"/>
        <v>#DIV/0!</v>
      </c>
      <c r="BJ50" s="1">
        <f t="shared" si="64"/>
        <v>-0.17067100098422106</v>
      </c>
      <c r="BK50" s="1" t="e">
        <f t="shared" si="65"/>
        <v>#DIV/0!</v>
      </c>
      <c r="BL50" s="1">
        <f t="shared" si="66"/>
        <v>0</v>
      </c>
      <c r="BM50" s="1" t="e">
        <f t="shared" si="67"/>
        <v>#DIV/0!</v>
      </c>
      <c r="BN50" s="1" t="e">
        <f t="shared" si="68"/>
        <v>#DIV/0!</v>
      </c>
      <c r="BO50" s="1" t="e">
        <f t="shared" si="69"/>
        <v>#DIV/0!</v>
      </c>
      <c r="BQ50" s="1" t="str">
        <f t="shared" si="70"/>
        <v>Drymill CCS Fermentation Exhaust</v>
      </c>
      <c r="BR50" s="1" t="e">
        <f t="shared" si="71"/>
        <v>#DIV/0!</v>
      </c>
      <c r="BS50" s="1" t="e">
        <f t="shared" si="72"/>
        <v>#DIV/0!</v>
      </c>
      <c r="BT50" s="1" t="e">
        <f t="array" ref="BT50">_xlfn.IFS(T50="Biomass_Corn", 1/W50/L50*AM50, T50="Biomass_Agri", 1/W50/L50*AL50, T50="Biomass_Wood", 1/W50/L50*AK50, T50="Biomass_Herb", 1/W50/L50*AJ50)</f>
        <v>#DIV/0!</v>
      </c>
      <c r="BU50" s="1" t="e">
        <f t="shared" si="73"/>
        <v>#DIV/0!</v>
      </c>
      <c r="BV50" s="1" t="e">
        <f t="shared" si="74"/>
        <v>#DIV/0!</v>
      </c>
      <c r="BW50" s="1" t="e">
        <f t="shared" si="75"/>
        <v>#DIV/0!</v>
      </c>
      <c r="BX50" s="1" t="e">
        <f t="shared" si="76"/>
        <v>#DIV/0!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77"/>
        <v>1.7588666580000001</v>
      </c>
      <c r="CD50" s="10">
        <v>0.1828908353</v>
      </c>
      <c r="CE50" s="9">
        <v>0.23037490999999999</v>
      </c>
      <c r="CG50" s="10">
        <f t="shared" si="78"/>
        <v>0.56658349085470638</v>
      </c>
      <c r="CH50" s="10">
        <f t="shared" si="79"/>
        <v>5.9703910798172485E-2</v>
      </c>
      <c r="CI50" s="10">
        <f t="shared" si="80"/>
        <v>0.23037490999999999</v>
      </c>
      <c r="CK50" s="17">
        <f t="shared" si="81"/>
        <v>0.23143487956439487</v>
      </c>
      <c r="CL50" s="17">
        <f t="shared" si="82"/>
        <v>0.16447761030609043</v>
      </c>
      <c r="CM50" s="10">
        <f t="shared" si="83"/>
        <v>0</v>
      </c>
      <c r="CN50" s="10">
        <f t="shared" si="84"/>
        <v>0</v>
      </c>
      <c r="CO50" s="10">
        <f t="shared" si="85"/>
        <v>0</v>
      </c>
      <c r="CP50" s="10">
        <f t="shared" si="86"/>
        <v>0</v>
      </c>
      <c r="CR50" s="1">
        <f t="shared" si="87"/>
        <v>0.23037491178239355</v>
      </c>
    </row>
    <row r="51" spans="2:96" x14ac:dyDescent="0.2">
      <c r="B51" s="22"/>
      <c r="C51" s="23"/>
      <c r="D51" s="23">
        <v>6</v>
      </c>
      <c r="E51" s="23" t="str">
        <f t="shared" si="44"/>
        <v>Drymill CCS Fermentation Exhaust</v>
      </c>
      <c r="F51" s="22"/>
      <c r="G51" s="22"/>
      <c r="H51" s="22"/>
      <c r="I51" s="22"/>
      <c r="J51" s="22"/>
      <c r="K51" s="22"/>
      <c r="L51" s="28">
        <f t="shared" si="45"/>
        <v>0</v>
      </c>
      <c r="M51" s="22"/>
      <c r="N51" s="22"/>
      <c r="O51" s="22"/>
      <c r="P51" s="22"/>
      <c r="Q51" s="22"/>
      <c r="S51" s="17" t="str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/>
      <c r="AI51" s="15"/>
      <c r="AJ51" s="15"/>
      <c r="AK51" s="15"/>
      <c r="AL51" s="15"/>
      <c r="AM51" s="15"/>
      <c r="AN51" s="15"/>
      <c r="AO51" s="15"/>
      <c r="AP51" s="15"/>
      <c r="AR51" s="1">
        <f t="shared" si="46"/>
        <v>0</v>
      </c>
      <c r="AS51" s="1">
        <f t="shared" si="47"/>
        <v>0</v>
      </c>
      <c r="AT51" s="11" t="e">
        <f t="shared" si="48"/>
        <v>#DIV/0!</v>
      </c>
      <c r="AU51" s="11" t="e">
        <f t="shared" si="49"/>
        <v>#DIV/0!</v>
      </c>
      <c r="AV51" s="5" t="e">
        <f t="shared" si="50"/>
        <v>#DIV/0!</v>
      </c>
      <c r="AW51" s="5" t="e">
        <f t="shared" si="51"/>
        <v>#DIV/0!</v>
      </c>
      <c r="AX51" s="1" t="e">
        <f t="shared" si="52"/>
        <v>#DIV/0!</v>
      </c>
      <c r="AY51" s="1" t="e">
        <f t="shared" si="53"/>
        <v>#DIV/0!</v>
      </c>
      <c r="AZ51" s="1" t="e">
        <f t="shared" si="54"/>
        <v>#DIV/0!</v>
      </c>
      <c r="BA51" s="1" t="e">
        <f t="shared" si="55"/>
        <v>#DIV/0!</v>
      </c>
      <c r="BB51" s="1" t="e">
        <f t="shared" si="56"/>
        <v>#DIV/0!</v>
      </c>
      <c r="BC51" s="1" t="e">
        <f t="shared" si="57"/>
        <v>#DIV/0!</v>
      </c>
      <c r="BD51" s="1" t="e">
        <f t="shared" si="58"/>
        <v>#DIV/0!</v>
      </c>
      <c r="BE51" s="1" t="e">
        <f t="shared" si="59"/>
        <v>#DIV/0!</v>
      </c>
      <c r="BF51" s="1" t="e">
        <f t="shared" si="60"/>
        <v>#DIV/0!</v>
      </c>
      <c r="BG51" s="1" t="e">
        <f t="shared" si="61"/>
        <v>#DIV/0!</v>
      </c>
      <c r="BH51" s="1" t="e">
        <f t="shared" si="62"/>
        <v>#DIV/0!</v>
      </c>
      <c r="BI51" s="1" t="e">
        <f t="shared" si="63"/>
        <v>#DIV/0!</v>
      </c>
      <c r="BJ51" s="1">
        <f t="shared" si="64"/>
        <v>-0.17067100098422106</v>
      </c>
      <c r="BK51" s="1" t="e">
        <f t="shared" si="65"/>
        <v>#DIV/0!</v>
      </c>
      <c r="BL51" s="1">
        <f t="shared" si="66"/>
        <v>0</v>
      </c>
      <c r="BM51" s="1" t="e">
        <f t="shared" si="67"/>
        <v>#DIV/0!</v>
      </c>
      <c r="BN51" s="1" t="e">
        <f t="shared" si="68"/>
        <v>#DIV/0!</v>
      </c>
      <c r="BO51" s="1" t="e">
        <f t="shared" si="69"/>
        <v>#DIV/0!</v>
      </c>
      <c r="BQ51" s="1" t="str">
        <f t="shared" si="70"/>
        <v>Drymill CCS Fermentation Exhaust</v>
      </c>
      <c r="BR51" s="1" t="e">
        <f t="shared" si="71"/>
        <v>#DIV/0!</v>
      </c>
      <c r="BS51" s="1" t="e">
        <f t="shared" si="72"/>
        <v>#DIV/0!</v>
      </c>
      <c r="BT51" s="1" t="e">
        <f t="array" ref="BT51">_xlfn.IFS(T51="Biomass_Corn", 1/W51/L51*AM51, T51="Biomass_Agri", 1/W51/L51*AL51, T51="Biomass_Wood", 1/W51/L51*AK51, T51="Biomass_Herb", 1/W51/L51*AJ51)</f>
        <v>#DIV/0!</v>
      </c>
      <c r="BU51" s="1" t="e">
        <f t="shared" si="73"/>
        <v>#DIV/0!</v>
      </c>
      <c r="BV51" s="1" t="e">
        <f t="shared" si="74"/>
        <v>#DIV/0!</v>
      </c>
      <c r="BW51" s="1" t="e">
        <f t="shared" si="75"/>
        <v>#DIV/0!</v>
      </c>
      <c r="BX51" s="1" t="e">
        <f t="shared" si="76"/>
        <v>#DIV/0!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77"/>
        <v>1.7588666580000001</v>
      </c>
      <c r="CD51" s="10">
        <v>0.1828908353</v>
      </c>
      <c r="CE51" s="9">
        <v>0.23037490999999999</v>
      </c>
      <c r="CG51" s="10">
        <f t="shared" si="78"/>
        <v>0.56658349085470638</v>
      </c>
      <c r="CH51" s="10">
        <f t="shared" si="79"/>
        <v>5.9703910798172485E-2</v>
      </c>
      <c r="CI51" s="10">
        <f t="shared" si="80"/>
        <v>0.23037490999999999</v>
      </c>
      <c r="CK51" s="17">
        <f t="shared" si="81"/>
        <v>0.23143487956439487</v>
      </c>
      <c r="CL51" s="17">
        <f t="shared" si="82"/>
        <v>0.16447761030609043</v>
      </c>
      <c r="CM51" s="10">
        <f t="shared" si="83"/>
        <v>0</v>
      </c>
      <c r="CN51" s="10">
        <f t="shared" si="84"/>
        <v>0</v>
      </c>
      <c r="CO51" s="10">
        <f t="shared" si="85"/>
        <v>0</v>
      </c>
      <c r="CP51" s="10">
        <f t="shared" si="86"/>
        <v>0</v>
      </c>
      <c r="CR51" s="1">
        <f t="shared" si="87"/>
        <v>0.23037491178239355</v>
      </c>
    </row>
    <row r="52" spans="2:96" x14ac:dyDescent="0.2">
      <c r="B52" s="22"/>
      <c r="C52" s="23"/>
      <c r="D52" s="23">
        <v>6</v>
      </c>
      <c r="E52" s="23" t="str">
        <f t="shared" si="44"/>
        <v>Drymill CCS Fermentation Exhaust</v>
      </c>
      <c r="F52" s="22"/>
      <c r="G52" s="22"/>
      <c r="H52" s="22"/>
      <c r="I52" s="22"/>
      <c r="J52" s="22"/>
      <c r="K52" s="22"/>
      <c r="L52" s="28">
        <f t="shared" si="45"/>
        <v>0</v>
      </c>
      <c r="M52" s="22"/>
      <c r="N52" s="22"/>
      <c r="O52" s="22"/>
      <c r="P52" s="22"/>
      <c r="Q52" s="22"/>
      <c r="S52" s="17" t="str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/>
      <c r="AI52" s="15"/>
      <c r="AJ52" s="15"/>
      <c r="AK52" s="15"/>
      <c r="AL52" s="15"/>
      <c r="AM52" s="15"/>
      <c r="AN52" s="15"/>
      <c r="AO52" s="15"/>
      <c r="AP52" s="15"/>
      <c r="AR52" s="1">
        <f t="shared" si="46"/>
        <v>0</v>
      </c>
      <c r="AS52" s="1">
        <f t="shared" si="47"/>
        <v>0</v>
      </c>
      <c r="AT52" s="11" t="e">
        <f t="shared" si="48"/>
        <v>#DIV/0!</v>
      </c>
      <c r="AU52" s="11" t="e">
        <f t="shared" si="49"/>
        <v>#DIV/0!</v>
      </c>
      <c r="AV52" s="5" t="e">
        <f t="shared" si="50"/>
        <v>#DIV/0!</v>
      </c>
      <c r="AW52" s="5" t="e">
        <f t="shared" si="51"/>
        <v>#DIV/0!</v>
      </c>
      <c r="AX52" s="1" t="e">
        <f t="shared" si="52"/>
        <v>#DIV/0!</v>
      </c>
      <c r="AY52" s="1" t="e">
        <f t="shared" si="53"/>
        <v>#DIV/0!</v>
      </c>
      <c r="AZ52" s="1" t="e">
        <f t="shared" si="54"/>
        <v>#DIV/0!</v>
      </c>
      <c r="BA52" s="1" t="e">
        <f t="shared" si="55"/>
        <v>#DIV/0!</v>
      </c>
      <c r="BB52" s="1" t="e">
        <f t="shared" si="56"/>
        <v>#DIV/0!</v>
      </c>
      <c r="BC52" s="1" t="e">
        <f t="shared" si="57"/>
        <v>#DIV/0!</v>
      </c>
      <c r="BD52" s="1" t="e">
        <f t="shared" si="58"/>
        <v>#DIV/0!</v>
      </c>
      <c r="BE52" s="1" t="e">
        <f t="shared" si="59"/>
        <v>#DIV/0!</v>
      </c>
      <c r="BF52" s="1" t="e">
        <f t="shared" si="60"/>
        <v>#DIV/0!</v>
      </c>
      <c r="BG52" s="1" t="e">
        <f t="shared" si="61"/>
        <v>#DIV/0!</v>
      </c>
      <c r="BH52" s="1" t="e">
        <f t="shared" si="62"/>
        <v>#DIV/0!</v>
      </c>
      <c r="BI52" s="1" t="e">
        <f t="shared" si="63"/>
        <v>#DIV/0!</v>
      </c>
      <c r="BJ52" s="1">
        <f t="shared" si="64"/>
        <v>-0.17067100098422106</v>
      </c>
      <c r="BK52" s="1" t="e">
        <f t="shared" si="65"/>
        <v>#DIV/0!</v>
      </c>
      <c r="BL52" s="1">
        <f t="shared" si="66"/>
        <v>0</v>
      </c>
      <c r="BM52" s="1" t="e">
        <f t="shared" si="67"/>
        <v>#DIV/0!</v>
      </c>
      <c r="BN52" s="1" t="e">
        <f t="shared" si="68"/>
        <v>#DIV/0!</v>
      </c>
      <c r="BO52" s="1" t="e">
        <f t="shared" si="69"/>
        <v>#DIV/0!</v>
      </c>
      <c r="BQ52" s="1" t="str">
        <f t="shared" si="70"/>
        <v>Drymill CCS Fermentation Exhaust</v>
      </c>
      <c r="BR52" s="1" t="e">
        <f t="shared" si="71"/>
        <v>#DIV/0!</v>
      </c>
      <c r="BS52" s="1" t="e">
        <f t="shared" si="72"/>
        <v>#DIV/0!</v>
      </c>
      <c r="BT52" s="1" t="e">
        <f t="array" ref="BT52">_xlfn.IFS(T52="Biomass_Corn", 1/W52/L52*AM52, T52="Biomass_Agri", 1/W52/L52*AL52, T52="Biomass_Wood", 1/W52/L52*AK52, T52="Biomass_Herb", 1/W52/L52*AJ52)</f>
        <v>#DIV/0!</v>
      </c>
      <c r="BU52" s="1" t="e">
        <f t="shared" si="73"/>
        <v>#DIV/0!</v>
      </c>
      <c r="BV52" s="1" t="e">
        <f t="shared" si="74"/>
        <v>#DIV/0!</v>
      </c>
      <c r="BW52" s="1" t="e">
        <f t="shared" si="75"/>
        <v>#DIV/0!</v>
      </c>
      <c r="BX52" s="1" t="e">
        <f t="shared" si="76"/>
        <v>#DIV/0!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77"/>
        <v>1.7588666580000001</v>
      </c>
      <c r="CD52" s="10">
        <v>0.1828908353</v>
      </c>
      <c r="CE52" s="9">
        <v>0.23037490999999999</v>
      </c>
      <c r="CG52" s="10">
        <f t="shared" si="78"/>
        <v>0.56658349085470638</v>
      </c>
      <c r="CH52" s="10">
        <f t="shared" si="79"/>
        <v>5.9703910798172485E-2</v>
      </c>
      <c r="CI52" s="10">
        <f t="shared" si="80"/>
        <v>0.23037490999999999</v>
      </c>
      <c r="CK52" s="17">
        <f t="shared" si="81"/>
        <v>0.23143487956439487</v>
      </c>
      <c r="CL52" s="17">
        <f t="shared" si="82"/>
        <v>0.16447761030609043</v>
      </c>
      <c r="CM52" s="10">
        <f t="shared" si="83"/>
        <v>0</v>
      </c>
      <c r="CN52" s="10">
        <f t="shared" si="84"/>
        <v>0</v>
      </c>
      <c r="CO52" s="10">
        <f t="shared" si="85"/>
        <v>0</v>
      </c>
      <c r="CP52" s="10">
        <f t="shared" si="86"/>
        <v>0</v>
      </c>
      <c r="CR52" s="1">
        <f t="shared" si="87"/>
        <v>0.23037491178239355</v>
      </c>
    </row>
    <row r="53" spans="2:96" x14ac:dyDescent="0.2">
      <c r="B53" s="22"/>
      <c r="C53" s="23"/>
      <c r="D53" s="23">
        <v>6</v>
      </c>
      <c r="E53" s="23" t="str">
        <f t="shared" si="44"/>
        <v>Drymill CCS Fermentation Exhaust</v>
      </c>
      <c r="F53" s="22"/>
      <c r="G53" s="22"/>
      <c r="H53" s="22"/>
      <c r="I53" s="22"/>
      <c r="J53" s="22"/>
      <c r="K53" s="22"/>
      <c r="L53" s="28">
        <f t="shared" si="45"/>
        <v>0</v>
      </c>
      <c r="M53" s="22"/>
      <c r="N53" s="22"/>
      <c r="O53" s="22"/>
      <c r="P53" s="22"/>
      <c r="Q53" s="22"/>
      <c r="S53" s="17" t="str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/>
      <c r="AI53" s="15"/>
      <c r="AJ53" s="15"/>
      <c r="AK53" s="15"/>
      <c r="AL53" s="15"/>
      <c r="AM53" s="15"/>
      <c r="AN53" s="15"/>
      <c r="AO53" s="15"/>
      <c r="AP53" s="15"/>
      <c r="AR53" s="1">
        <f t="shared" si="46"/>
        <v>0</v>
      </c>
      <c r="AS53" s="1">
        <f t="shared" si="47"/>
        <v>0</v>
      </c>
      <c r="AT53" s="11" t="e">
        <f t="shared" si="48"/>
        <v>#DIV/0!</v>
      </c>
      <c r="AU53" s="11" t="e">
        <f t="shared" si="49"/>
        <v>#DIV/0!</v>
      </c>
      <c r="AV53" s="5" t="e">
        <f t="shared" si="50"/>
        <v>#DIV/0!</v>
      </c>
      <c r="AW53" s="5" t="e">
        <f t="shared" si="51"/>
        <v>#DIV/0!</v>
      </c>
      <c r="AX53" s="1" t="e">
        <f t="shared" si="52"/>
        <v>#DIV/0!</v>
      </c>
      <c r="AY53" s="1" t="e">
        <f t="shared" si="53"/>
        <v>#DIV/0!</v>
      </c>
      <c r="AZ53" s="1" t="e">
        <f t="shared" si="54"/>
        <v>#DIV/0!</v>
      </c>
      <c r="BA53" s="1" t="e">
        <f t="shared" si="55"/>
        <v>#DIV/0!</v>
      </c>
      <c r="BB53" s="1" t="e">
        <f t="shared" si="56"/>
        <v>#DIV/0!</v>
      </c>
      <c r="BC53" s="1" t="e">
        <f t="shared" si="57"/>
        <v>#DIV/0!</v>
      </c>
      <c r="BD53" s="1" t="e">
        <f t="shared" si="58"/>
        <v>#DIV/0!</v>
      </c>
      <c r="BE53" s="1" t="e">
        <f t="shared" si="59"/>
        <v>#DIV/0!</v>
      </c>
      <c r="BF53" s="1" t="e">
        <f t="shared" si="60"/>
        <v>#DIV/0!</v>
      </c>
      <c r="BG53" s="1" t="e">
        <f t="shared" si="61"/>
        <v>#DIV/0!</v>
      </c>
      <c r="BH53" s="1" t="e">
        <f t="shared" si="62"/>
        <v>#DIV/0!</v>
      </c>
      <c r="BI53" s="1" t="e">
        <f t="shared" si="63"/>
        <v>#DIV/0!</v>
      </c>
      <c r="BJ53" s="1">
        <f t="shared" si="64"/>
        <v>-0.17067100098422106</v>
      </c>
      <c r="BK53" s="1" t="e">
        <f t="shared" si="65"/>
        <v>#DIV/0!</v>
      </c>
      <c r="BL53" s="1">
        <f t="shared" si="66"/>
        <v>0</v>
      </c>
      <c r="BM53" s="1" t="e">
        <f t="shared" si="67"/>
        <v>#DIV/0!</v>
      </c>
      <c r="BN53" s="1" t="e">
        <f t="shared" si="68"/>
        <v>#DIV/0!</v>
      </c>
      <c r="BO53" s="1" t="e">
        <f t="shared" si="69"/>
        <v>#DIV/0!</v>
      </c>
      <c r="BQ53" s="1" t="str">
        <f t="shared" si="70"/>
        <v>Drymill CCS Fermentation Exhaust</v>
      </c>
      <c r="BR53" s="1" t="e">
        <f t="shared" si="71"/>
        <v>#DIV/0!</v>
      </c>
      <c r="BS53" s="1" t="e">
        <f t="shared" si="72"/>
        <v>#DIV/0!</v>
      </c>
      <c r="BT53" s="1" t="e">
        <f t="array" ref="BT53">_xlfn.IFS(T53="Biomass_Corn", 1/W53/L53*AM53, T53="Biomass_Agri", 1/W53/L53*AL53, T53="Biomass_Wood", 1/W53/L53*AK53, T53="Biomass_Herb", 1/W53/L53*AJ53)</f>
        <v>#DIV/0!</v>
      </c>
      <c r="BU53" s="1" t="e">
        <f t="shared" si="73"/>
        <v>#DIV/0!</v>
      </c>
      <c r="BV53" s="1" t="e">
        <f t="shared" si="74"/>
        <v>#DIV/0!</v>
      </c>
      <c r="BW53" s="1" t="e">
        <f t="shared" si="75"/>
        <v>#DIV/0!</v>
      </c>
      <c r="BX53" s="1" t="e">
        <f t="shared" si="76"/>
        <v>#DIV/0!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77"/>
        <v>1.7588666580000001</v>
      </c>
      <c r="CD53" s="10">
        <v>0.1828908353</v>
      </c>
      <c r="CE53" s="9">
        <v>0.23037490999999999</v>
      </c>
      <c r="CG53" s="10">
        <f t="shared" si="78"/>
        <v>0.56658349085470638</v>
      </c>
      <c r="CH53" s="10">
        <f t="shared" si="79"/>
        <v>5.9703910798172485E-2</v>
      </c>
      <c r="CI53" s="10">
        <f t="shared" si="80"/>
        <v>0.23037490999999999</v>
      </c>
      <c r="CK53" s="17">
        <f t="shared" si="81"/>
        <v>0.23143487956439487</v>
      </c>
      <c r="CL53" s="17">
        <f t="shared" si="82"/>
        <v>0.16447761030609043</v>
      </c>
      <c r="CM53" s="10">
        <f t="shared" si="83"/>
        <v>0</v>
      </c>
      <c r="CN53" s="10">
        <f t="shared" si="84"/>
        <v>0</v>
      </c>
      <c r="CO53" s="10">
        <f t="shared" si="85"/>
        <v>0</v>
      </c>
      <c r="CP53" s="10">
        <f t="shared" si="86"/>
        <v>0</v>
      </c>
      <c r="CR53" s="1">
        <f t="shared" si="87"/>
        <v>0.23037491178239355</v>
      </c>
    </row>
    <row r="54" spans="2:96" x14ac:dyDescent="0.2">
      <c r="B54" s="22"/>
      <c r="C54" s="23"/>
      <c r="D54" s="23">
        <v>6</v>
      </c>
      <c r="E54" s="23" t="str">
        <f t="shared" si="44"/>
        <v>Drymill CCS Fermentation Exhaust</v>
      </c>
      <c r="F54" s="22"/>
      <c r="G54" s="22"/>
      <c r="H54" s="22"/>
      <c r="I54" s="22"/>
      <c r="J54" s="22"/>
      <c r="K54" s="22"/>
      <c r="L54" s="28">
        <f t="shared" si="45"/>
        <v>0</v>
      </c>
      <c r="M54" s="22"/>
      <c r="N54" s="22"/>
      <c r="O54" s="22"/>
      <c r="P54" s="22"/>
      <c r="Q54" s="22"/>
      <c r="S54" s="17" t="str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/>
      <c r="AI54" s="15"/>
      <c r="AJ54" s="15"/>
      <c r="AK54" s="15"/>
      <c r="AL54" s="15"/>
      <c r="AM54" s="15"/>
      <c r="AN54" s="15"/>
      <c r="AO54" s="15"/>
      <c r="AP54" s="15"/>
      <c r="AR54" s="1">
        <f t="shared" si="46"/>
        <v>0</v>
      </c>
      <c r="AS54" s="1">
        <f t="shared" si="47"/>
        <v>0</v>
      </c>
      <c r="AT54" s="11" t="e">
        <f t="shared" si="48"/>
        <v>#DIV/0!</v>
      </c>
      <c r="AU54" s="11" t="e">
        <f t="shared" si="49"/>
        <v>#DIV/0!</v>
      </c>
      <c r="AV54" s="5" t="e">
        <f t="shared" si="50"/>
        <v>#DIV/0!</v>
      </c>
      <c r="AW54" s="5" t="e">
        <f t="shared" si="51"/>
        <v>#DIV/0!</v>
      </c>
      <c r="AX54" s="1" t="e">
        <f t="shared" si="52"/>
        <v>#DIV/0!</v>
      </c>
      <c r="AY54" s="1" t="e">
        <f t="shared" si="53"/>
        <v>#DIV/0!</v>
      </c>
      <c r="AZ54" s="1" t="e">
        <f t="shared" si="54"/>
        <v>#DIV/0!</v>
      </c>
      <c r="BA54" s="1" t="e">
        <f t="shared" si="55"/>
        <v>#DIV/0!</v>
      </c>
      <c r="BB54" s="1" t="e">
        <f t="shared" si="56"/>
        <v>#DIV/0!</v>
      </c>
      <c r="BC54" s="1" t="e">
        <f t="shared" si="57"/>
        <v>#DIV/0!</v>
      </c>
      <c r="BD54" s="1" t="e">
        <f t="shared" si="58"/>
        <v>#DIV/0!</v>
      </c>
      <c r="BE54" s="1" t="e">
        <f t="shared" si="59"/>
        <v>#DIV/0!</v>
      </c>
      <c r="BF54" s="1" t="e">
        <f t="shared" si="60"/>
        <v>#DIV/0!</v>
      </c>
      <c r="BG54" s="1" t="e">
        <f t="shared" si="61"/>
        <v>#DIV/0!</v>
      </c>
      <c r="BH54" s="1" t="e">
        <f t="shared" si="62"/>
        <v>#DIV/0!</v>
      </c>
      <c r="BI54" s="1" t="e">
        <f t="shared" si="63"/>
        <v>#DIV/0!</v>
      </c>
      <c r="BJ54" s="1">
        <f t="shared" si="64"/>
        <v>-0.17067100098422106</v>
      </c>
      <c r="BK54" s="1" t="e">
        <f t="shared" si="65"/>
        <v>#DIV/0!</v>
      </c>
      <c r="BL54" s="1">
        <f t="shared" si="66"/>
        <v>0</v>
      </c>
      <c r="BM54" s="1" t="e">
        <f t="shared" si="67"/>
        <v>#DIV/0!</v>
      </c>
      <c r="BN54" s="1" t="e">
        <f t="shared" si="68"/>
        <v>#DIV/0!</v>
      </c>
      <c r="BO54" s="1" t="e">
        <f t="shared" si="69"/>
        <v>#DIV/0!</v>
      </c>
      <c r="BQ54" s="1" t="str">
        <f t="shared" si="70"/>
        <v>Drymill CCS Fermentation Exhaust</v>
      </c>
      <c r="BR54" s="1" t="e">
        <f t="shared" si="71"/>
        <v>#DIV/0!</v>
      </c>
      <c r="BS54" s="1" t="e">
        <f t="shared" si="72"/>
        <v>#DIV/0!</v>
      </c>
      <c r="BT54" s="1" t="e">
        <f t="array" ref="BT54">_xlfn.IFS(T54="Biomass_Corn", 1/W54/L54*AM54, T54="Biomass_Agri", 1/W54/L54*AL54, T54="Biomass_Wood", 1/W54/L54*AK54, T54="Biomass_Herb", 1/W54/L54*AJ54)</f>
        <v>#DIV/0!</v>
      </c>
      <c r="BU54" s="1" t="e">
        <f t="shared" si="73"/>
        <v>#DIV/0!</v>
      </c>
      <c r="BV54" s="1" t="e">
        <f t="shared" si="74"/>
        <v>#DIV/0!</v>
      </c>
      <c r="BW54" s="1" t="e">
        <f t="shared" si="75"/>
        <v>#DIV/0!</v>
      </c>
      <c r="BX54" s="1" t="e">
        <f t="shared" si="76"/>
        <v>#DIV/0!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77"/>
        <v>1.7588666580000001</v>
      </c>
      <c r="CD54" s="10">
        <v>0.1828908353</v>
      </c>
      <c r="CE54" s="9">
        <v>0.23037490999999999</v>
      </c>
      <c r="CG54" s="10">
        <f t="shared" si="78"/>
        <v>0.56658349085470638</v>
      </c>
      <c r="CH54" s="10">
        <f t="shared" si="79"/>
        <v>5.9703910798172485E-2</v>
      </c>
      <c r="CI54" s="10">
        <f t="shared" si="80"/>
        <v>0.23037490999999999</v>
      </c>
      <c r="CK54" s="17">
        <f t="shared" si="81"/>
        <v>0.23143487956439487</v>
      </c>
      <c r="CL54" s="17">
        <f t="shared" si="82"/>
        <v>0.16447761030609043</v>
      </c>
      <c r="CM54" s="10">
        <f t="shared" si="83"/>
        <v>0</v>
      </c>
      <c r="CN54" s="10">
        <f t="shared" si="84"/>
        <v>0</v>
      </c>
      <c r="CO54" s="10">
        <f t="shared" si="85"/>
        <v>0</v>
      </c>
      <c r="CP54" s="10">
        <f t="shared" si="86"/>
        <v>0</v>
      </c>
      <c r="CR54" s="1">
        <f t="shared" si="87"/>
        <v>0.23037491178239355</v>
      </c>
    </row>
    <row r="55" spans="2:96" x14ac:dyDescent="0.2">
      <c r="B55" s="22"/>
      <c r="C55" s="23"/>
      <c r="D55" s="23">
        <v>6</v>
      </c>
      <c r="E55" s="23" t="str">
        <f t="shared" si="44"/>
        <v>Drymill CCS Fermentation Exhaust</v>
      </c>
      <c r="F55" s="22"/>
      <c r="G55" s="22"/>
      <c r="H55" s="22"/>
      <c r="I55" s="22"/>
      <c r="J55" s="22"/>
      <c r="K55" s="22"/>
      <c r="L55" s="28">
        <f t="shared" si="45"/>
        <v>0</v>
      </c>
      <c r="M55" s="22"/>
      <c r="N55" s="22"/>
      <c r="O55" s="22"/>
      <c r="P55" s="22"/>
      <c r="Q55" s="22"/>
      <c r="S55" s="17" t="str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/>
      <c r="AI55" s="15"/>
      <c r="AJ55" s="15"/>
      <c r="AK55" s="15"/>
      <c r="AL55" s="15"/>
      <c r="AM55" s="15"/>
      <c r="AN55" s="15"/>
      <c r="AO55" s="15"/>
      <c r="AP55" s="15"/>
      <c r="AR55" s="1">
        <f t="shared" si="46"/>
        <v>0</v>
      </c>
      <c r="AS55" s="1">
        <f t="shared" si="47"/>
        <v>0</v>
      </c>
      <c r="AT55" s="11" t="e">
        <f t="shared" si="48"/>
        <v>#DIV/0!</v>
      </c>
      <c r="AU55" s="11" t="e">
        <f t="shared" si="49"/>
        <v>#DIV/0!</v>
      </c>
      <c r="AV55" s="5" t="e">
        <f t="shared" si="50"/>
        <v>#DIV/0!</v>
      </c>
      <c r="AW55" s="5" t="e">
        <f t="shared" si="51"/>
        <v>#DIV/0!</v>
      </c>
      <c r="AX55" s="1" t="e">
        <f t="shared" si="52"/>
        <v>#DIV/0!</v>
      </c>
      <c r="AY55" s="1" t="e">
        <f t="shared" si="53"/>
        <v>#DIV/0!</v>
      </c>
      <c r="AZ55" s="1" t="e">
        <f t="shared" si="54"/>
        <v>#DIV/0!</v>
      </c>
      <c r="BA55" s="1" t="e">
        <f t="shared" si="55"/>
        <v>#DIV/0!</v>
      </c>
      <c r="BB55" s="1" t="e">
        <f t="shared" si="56"/>
        <v>#DIV/0!</v>
      </c>
      <c r="BC55" s="1" t="e">
        <f t="shared" si="57"/>
        <v>#DIV/0!</v>
      </c>
      <c r="BD55" s="1" t="e">
        <f t="shared" si="58"/>
        <v>#DIV/0!</v>
      </c>
      <c r="BE55" s="1" t="e">
        <f t="shared" si="59"/>
        <v>#DIV/0!</v>
      </c>
      <c r="BF55" s="1" t="e">
        <f t="shared" si="60"/>
        <v>#DIV/0!</v>
      </c>
      <c r="BG55" s="1" t="e">
        <f t="shared" si="61"/>
        <v>#DIV/0!</v>
      </c>
      <c r="BH55" s="1" t="e">
        <f t="shared" si="62"/>
        <v>#DIV/0!</v>
      </c>
      <c r="BI55" s="1" t="e">
        <f t="shared" si="63"/>
        <v>#DIV/0!</v>
      </c>
      <c r="BJ55" s="1">
        <f t="shared" si="64"/>
        <v>-0.17067100098422106</v>
      </c>
      <c r="BK55" s="1" t="e">
        <f t="shared" si="65"/>
        <v>#DIV/0!</v>
      </c>
      <c r="BL55" s="1">
        <f t="shared" si="66"/>
        <v>0</v>
      </c>
      <c r="BM55" s="1" t="e">
        <f t="shared" si="67"/>
        <v>#DIV/0!</v>
      </c>
      <c r="BN55" s="1" t="e">
        <f t="shared" si="68"/>
        <v>#DIV/0!</v>
      </c>
      <c r="BO55" s="1" t="e">
        <f t="shared" si="69"/>
        <v>#DIV/0!</v>
      </c>
      <c r="BQ55" s="1" t="str">
        <f t="shared" si="70"/>
        <v>Drymill CCS Fermentation Exhaust</v>
      </c>
      <c r="BR55" s="1" t="e">
        <f t="shared" si="71"/>
        <v>#DIV/0!</v>
      </c>
      <c r="BS55" s="1" t="e">
        <f t="shared" si="72"/>
        <v>#DIV/0!</v>
      </c>
      <c r="BT55" s="1" t="e">
        <f t="array" ref="BT55">_xlfn.IFS(T55="Biomass_Corn", 1/W55/L55*AM55, T55="Biomass_Agri", 1/W55/L55*AL55, T55="Biomass_Wood", 1/W55/L55*AK55, T55="Biomass_Herb", 1/W55/L55*AJ55)</f>
        <v>#DIV/0!</v>
      </c>
      <c r="BU55" s="1" t="e">
        <f t="shared" si="73"/>
        <v>#DIV/0!</v>
      </c>
      <c r="BV55" s="1" t="e">
        <f t="shared" si="74"/>
        <v>#DIV/0!</v>
      </c>
      <c r="BW55" s="1" t="e">
        <f t="shared" si="75"/>
        <v>#DIV/0!</v>
      </c>
      <c r="BX55" s="1" t="e">
        <f t="shared" si="76"/>
        <v>#DIV/0!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77"/>
        <v>1.7588666580000001</v>
      </c>
      <c r="CD55" s="10">
        <v>0.1828908353</v>
      </c>
      <c r="CE55" s="9">
        <v>0.23037490999999999</v>
      </c>
      <c r="CG55" s="10">
        <f t="shared" si="78"/>
        <v>0.56658349085470638</v>
      </c>
      <c r="CH55" s="10">
        <f t="shared" si="79"/>
        <v>5.9703910798172485E-2</v>
      </c>
      <c r="CI55" s="10">
        <f t="shared" si="80"/>
        <v>0.23037490999999999</v>
      </c>
      <c r="CK55" s="17">
        <f t="shared" si="81"/>
        <v>0.23143487956439487</v>
      </c>
      <c r="CL55" s="17">
        <f t="shared" si="82"/>
        <v>0.16447761030609043</v>
      </c>
      <c r="CM55" s="10">
        <f t="shared" si="83"/>
        <v>0</v>
      </c>
      <c r="CN55" s="10">
        <f t="shared" si="84"/>
        <v>0</v>
      </c>
      <c r="CO55" s="10">
        <f t="shared" si="85"/>
        <v>0</v>
      </c>
      <c r="CP55" s="10">
        <f t="shared" si="86"/>
        <v>0</v>
      </c>
      <c r="CR55" s="1">
        <f t="shared" si="87"/>
        <v>0.23037491178239355</v>
      </c>
    </row>
    <row r="56" spans="2:96" x14ac:dyDescent="0.2">
      <c r="B56" s="22"/>
      <c r="C56" s="23"/>
      <c r="D56" s="23">
        <v>6</v>
      </c>
      <c r="E56" s="23" t="str">
        <f t="shared" si="44"/>
        <v>Drymill CCS Fermentation Exhaust</v>
      </c>
      <c r="F56" s="22"/>
      <c r="G56" s="22"/>
      <c r="H56" s="22"/>
      <c r="I56" s="22"/>
      <c r="J56" s="22"/>
      <c r="K56" s="22"/>
      <c r="L56" s="28">
        <f t="shared" si="45"/>
        <v>0</v>
      </c>
      <c r="M56" s="22"/>
      <c r="N56" s="22"/>
      <c r="O56" s="22"/>
      <c r="P56" s="22"/>
      <c r="Q56" s="22"/>
      <c r="S56" s="17" t="str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/>
      <c r="AI56" s="15"/>
      <c r="AJ56" s="15"/>
      <c r="AK56" s="15"/>
      <c r="AL56" s="15"/>
      <c r="AM56" s="15"/>
      <c r="AN56" s="15"/>
      <c r="AO56" s="15"/>
      <c r="AP56" s="15"/>
      <c r="AR56" s="1">
        <f t="shared" si="46"/>
        <v>0</v>
      </c>
      <c r="AS56" s="1">
        <f t="shared" si="47"/>
        <v>0</v>
      </c>
      <c r="AT56" s="11" t="e">
        <f t="shared" si="48"/>
        <v>#DIV/0!</v>
      </c>
      <c r="AU56" s="11" t="e">
        <f t="shared" si="49"/>
        <v>#DIV/0!</v>
      </c>
      <c r="AV56" s="5" t="e">
        <f t="shared" si="50"/>
        <v>#DIV/0!</v>
      </c>
      <c r="AW56" s="5" t="e">
        <f t="shared" si="51"/>
        <v>#DIV/0!</v>
      </c>
      <c r="AX56" s="1" t="e">
        <f t="shared" si="52"/>
        <v>#DIV/0!</v>
      </c>
      <c r="AY56" s="1" t="e">
        <f t="shared" si="53"/>
        <v>#DIV/0!</v>
      </c>
      <c r="AZ56" s="1" t="e">
        <f t="shared" si="54"/>
        <v>#DIV/0!</v>
      </c>
      <c r="BA56" s="1" t="e">
        <f t="shared" si="55"/>
        <v>#DIV/0!</v>
      </c>
      <c r="BB56" s="1" t="e">
        <f t="shared" si="56"/>
        <v>#DIV/0!</v>
      </c>
      <c r="BC56" s="1" t="e">
        <f t="shared" si="57"/>
        <v>#DIV/0!</v>
      </c>
      <c r="BD56" s="1" t="e">
        <f t="shared" si="58"/>
        <v>#DIV/0!</v>
      </c>
      <c r="BE56" s="1" t="e">
        <f t="shared" si="59"/>
        <v>#DIV/0!</v>
      </c>
      <c r="BF56" s="1" t="e">
        <f t="shared" si="60"/>
        <v>#DIV/0!</v>
      </c>
      <c r="BG56" s="1" t="e">
        <f t="shared" si="61"/>
        <v>#DIV/0!</v>
      </c>
      <c r="BH56" s="1" t="e">
        <f t="shared" si="62"/>
        <v>#DIV/0!</v>
      </c>
      <c r="BI56" s="1" t="e">
        <f t="shared" si="63"/>
        <v>#DIV/0!</v>
      </c>
      <c r="BJ56" s="1">
        <f t="shared" si="64"/>
        <v>-0.17067100098422106</v>
      </c>
      <c r="BK56" s="1" t="e">
        <f t="shared" si="65"/>
        <v>#DIV/0!</v>
      </c>
      <c r="BL56" s="1">
        <f t="shared" si="66"/>
        <v>0</v>
      </c>
      <c r="BM56" s="1" t="e">
        <f t="shared" si="67"/>
        <v>#DIV/0!</v>
      </c>
      <c r="BN56" s="1" t="e">
        <f t="shared" si="68"/>
        <v>#DIV/0!</v>
      </c>
      <c r="BO56" s="1" t="e">
        <f t="shared" si="69"/>
        <v>#DIV/0!</v>
      </c>
      <c r="BQ56" s="1" t="str">
        <f t="shared" si="70"/>
        <v>Drymill CCS Fermentation Exhaust</v>
      </c>
      <c r="BR56" s="1" t="e">
        <f t="shared" si="71"/>
        <v>#DIV/0!</v>
      </c>
      <c r="BS56" s="1" t="e">
        <f t="shared" si="72"/>
        <v>#DIV/0!</v>
      </c>
      <c r="BT56" s="1" t="e">
        <f t="array" ref="BT56">_xlfn.IFS(T56="Biomass_Corn", 1/W56/L56*AM56, T56="Biomass_Agri", 1/W56/L56*AL56, T56="Biomass_Wood", 1/W56/L56*AK56, T56="Biomass_Herb", 1/W56/L56*AJ56)</f>
        <v>#DIV/0!</v>
      </c>
      <c r="BU56" s="1" t="e">
        <f t="shared" si="73"/>
        <v>#DIV/0!</v>
      </c>
      <c r="BV56" s="1" t="e">
        <f t="shared" si="74"/>
        <v>#DIV/0!</v>
      </c>
      <c r="BW56" s="1" t="e">
        <f t="shared" si="75"/>
        <v>#DIV/0!</v>
      </c>
      <c r="BX56" s="1" t="e">
        <f t="shared" si="76"/>
        <v>#DIV/0!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77"/>
        <v>1.7588666580000001</v>
      </c>
      <c r="CD56" s="10">
        <v>0.1828908353</v>
      </c>
      <c r="CE56" s="9">
        <v>0.23037490999999999</v>
      </c>
      <c r="CG56" s="10">
        <f t="shared" si="78"/>
        <v>0.56658349085470638</v>
      </c>
      <c r="CH56" s="10">
        <f t="shared" si="79"/>
        <v>5.9703910798172485E-2</v>
      </c>
      <c r="CI56" s="10">
        <f t="shared" si="80"/>
        <v>0.23037490999999999</v>
      </c>
      <c r="CK56" s="17">
        <f t="shared" si="81"/>
        <v>0.23143487956439487</v>
      </c>
      <c r="CL56" s="17">
        <f t="shared" si="82"/>
        <v>0.16447761030609043</v>
      </c>
      <c r="CM56" s="10">
        <f t="shared" si="83"/>
        <v>0</v>
      </c>
      <c r="CN56" s="10">
        <f t="shared" si="84"/>
        <v>0</v>
      </c>
      <c r="CO56" s="10">
        <f t="shared" si="85"/>
        <v>0</v>
      </c>
      <c r="CP56" s="10">
        <f t="shared" si="86"/>
        <v>0</v>
      </c>
      <c r="CR56" s="1">
        <f t="shared" si="87"/>
        <v>0.23037491178239355</v>
      </c>
    </row>
    <row r="57" spans="2:96" x14ac:dyDescent="0.2">
      <c r="B57" s="22"/>
      <c r="C57" s="23"/>
      <c r="D57" s="23">
        <v>6</v>
      </c>
      <c r="E57" s="23" t="str">
        <f t="shared" si="44"/>
        <v>Drymill CCS Fermentation Exhaust</v>
      </c>
      <c r="F57" s="22"/>
      <c r="G57" s="22"/>
      <c r="H57" s="22"/>
      <c r="I57" s="22"/>
      <c r="J57" s="22"/>
      <c r="K57" s="22"/>
      <c r="L57" s="28">
        <f t="shared" si="45"/>
        <v>0</v>
      </c>
      <c r="M57" s="22"/>
      <c r="N57" s="22"/>
      <c r="O57" s="22"/>
      <c r="P57" s="22"/>
      <c r="Q57" s="22"/>
      <c r="S57" s="17" t="str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/>
      <c r="AI57" s="15"/>
      <c r="AJ57" s="15"/>
      <c r="AK57" s="15"/>
      <c r="AL57" s="15"/>
      <c r="AM57" s="15"/>
      <c r="AN57" s="15"/>
      <c r="AO57" s="15"/>
      <c r="AP57" s="15"/>
      <c r="AR57" s="1">
        <f t="shared" si="46"/>
        <v>0</v>
      </c>
      <c r="AS57" s="1">
        <f t="shared" si="47"/>
        <v>0</v>
      </c>
      <c r="AT57" s="11" t="e">
        <f t="shared" si="48"/>
        <v>#DIV/0!</v>
      </c>
      <c r="AU57" s="11" t="e">
        <f t="shared" si="49"/>
        <v>#DIV/0!</v>
      </c>
      <c r="AV57" s="5" t="e">
        <f t="shared" si="50"/>
        <v>#DIV/0!</v>
      </c>
      <c r="AW57" s="5" t="e">
        <f t="shared" si="51"/>
        <v>#DIV/0!</v>
      </c>
      <c r="AX57" s="1" t="e">
        <f t="shared" si="52"/>
        <v>#DIV/0!</v>
      </c>
      <c r="AY57" s="1" t="e">
        <f t="shared" si="53"/>
        <v>#DIV/0!</v>
      </c>
      <c r="AZ57" s="1" t="e">
        <f t="shared" si="54"/>
        <v>#DIV/0!</v>
      </c>
      <c r="BA57" s="1" t="e">
        <f t="shared" si="55"/>
        <v>#DIV/0!</v>
      </c>
      <c r="BB57" s="1" t="e">
        <f t="shared" si="56"/>
        <v>#DIV/0!</v>
      </c>
      <c r="BC57" s="1" t="e">
        <f t="shared" si="57"/>
        <v>#DIV/0!</v>
      </c>
      <c r="BD57" s="1" t="e">
        <f t="shared" si="58"/>
        <v>#DIV/0!</v>
      </c>
      <c r="BE57" s="1" t="e">
        <f t="shared" si="59"/>
        <v>#DIV/0!</v>
      </c>
      <c r="BF57" s="1" t="e">
        <f t="shared" si="60"/>
        <v>#DIV/0!</v>
      </c>
      <c r="BG57" s="1" t="e">
        <f t="shared" si="61"/>
        <v>#DIV/0!</v>
      </c>
      <c r="BH57" s="1" t="e">
        <f t="shared" si="62"/>
        <v>#DIV/0!</v>
      </c>
      <c r="BI57" s="1" t="e">
        <f t="shared" si="63"/>
        <v>#DIV/0!</v>
      </c>
      <c r="BJ57" s="1">
        <f t="shared" si="64"/>
        <v>-0.17067100098422106</v>
      </c>
      <c r="BK57" s="1" t="e">
        <f t="shared" si="65"/>
        <v>#DIV/0!</v>
      </c>
      <c r="BL57" s="1">
        <f t="shared" si="66"/>
        <v>0</v>
      </c>
      <c r="BM57" s="1" t="e">
        <f t="shared" si="67"/>
        <v>#DIV/0!</v>
      </c>
      <c r="BN57" s="1" t="e">
        <f t="shared" si="68"/>
        <v>#DIV/0!</v>
      </c>
      <c r="BO57" s="1" t="e">
        <f t="shared" si="69"/>
        <v>#DIV/0!</v>
      </c>
      <c r="BQ57" s="1" t="str">
        <f t="shared" si="70"/>
        <v>Drymill CCS Fermentation Exhaust</v>
      </c>
      <c r="BR57" s="1" t="e">
        <f t="shared" si="71"/>
        <v>#DIV/0!</v>
      </c>
      <c r="BS57" s="1" t="e">
        <f t="shared" si="72"/>
        <v>#DIV/0!</v>
      </c>
      <c r="BT57" s="1" t="e">
        <f t="array" ref="BT57">_xlfn.IFS(T57="Biomass_Corn", 1/W57/L57*AM57, T57="Biomass_Agri", 1/W57/L57*AL57, T57="Biomass_Wood", 1/W57/L57*AK57, T57="Biomass_Herb", 1/W57/L57*AJ57)</f>
        <v>#DIV/0!</v>
      </c>
      <c r="BU57" s="1" t="e">
        <f t="shared" si="73"/>
        <v>#DIV/0!</v>
      </c>
      <c r="BV57" s="1" t="e">
        <f t="shared" si="74"/>
        <v>#DIV/0!</v>
      </c>
      <c r="BW57" s="1" t="e">
        <f t="shared" si="75"/>
        <v>#DIV/0!</v>
      </c>
      <c r="BX57" s="1" t="e">
        <f t="shared" si="76"/>
        <v>#DIV/0!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77"/>
        <v>1.7588666580000001</v>
      </c>
      <c r="CD57" s="10">
        <v>0.1828908353</v>
      </c>
      <c r="CE57" s="9">
        <v>0.23037490999999999</v>
      </c>
      <c r="CG57" s="10">
        <f t="shared" si="78"/>
        <v>0.56658349085470638</v>
      </c>
      <c r="CH57" s="10">
        <f t="shared" si="79"/>
        <v>5.9703910798172485E-2</v>
      </c>
      <c r="CI57" s="10">
        <f t="shared" si="80"/>
        <v>0.23037490999999999</v>
      </c>
      <c r="CK57" s="17">
        <f t="shared" si="81"/>
        <v>0.23143487956439487</v>
      </c>
      <c r="CL57" s="17">
        <f t="shared" si="82"/>
        <v>0.16447761030609043</v>
      </c>
      <c r="CM57" s="10">
        <f t="shared" si="83"/>
        <v>0</v>
      </c>
      <c r="CN57" s="10">
        <f t="shared" si="84"/>
        <v>0</v>
      </c>
      <c r="CO57" s="10">
        <f t="shared" si="85"/>
        <v>0</v>
      </c>
      <c r="CP57" s="10">
        <f t="shared" si="86"/>
        <v>0</v>
      </c>
      <c r="CR57" s="1">
        <f t="shared" si="87"/>
        <v>0.23037491178239355</v>
      </c>
    </row>
    <row r="58" spans="2:96" x14ac:dyDescent="0.2">
      <c r="B58" s="22"/>
      <c r="C58" s="23"/>
      <c r="D58" s="23">
        <v>6</v>
      </c>
      <c r="E58" s="23" t="str">
        <f t="shared" si="44"/>
        <v>Drymill CCS Fermentation Exhaust</v>
      </c>
      <c r="F58" s="22"/>
      <c r="G58" s="22"/>
      <c r="H58" s="22"/>
      <c r="I58" s="22"/>
      <c r="J58" s="22"/>
      <c r="K58" s="22"/>
      <c r="L58" s="28">
        <f t="shared" si="45"/>
        <v>0</v>
      </c>
      <c r="M58" s="22"/>
      <c r="N58" s="22"/>
      <c r="O58" s="22"/>
      <c r="P58" s="22"/>
      <c r="Q58" s="22"/>
      <c r="S58" s="17" t="str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/>
      <c r="AI58" s="15"/>
      <c r="AJ58" s="15"/>
      <c r="AK58" s="15"/>
      <c r="AL58" s="15"/>
      <c r="AM58" s="15"/>
      <c r="AN58" s="15"/>
      <c r="AO58" s="15"/>
      <c r="AP58" s="15"/>
      <c r="AR58" s="1">
        <f t="shared" si="46"/>
        <v>0</v>
      </c>
      <c r="AS58" s="1">
        <f t="shared" si="47"/>
        <v>0</v>
      </c>
      <c r="AT58" s="11" t="e">
        <f t="shared" si="48"/>
        <v>#DIV/0!</v>
      </c>
      <c r="AU58" s="11" t="e">
        <f t="shared" si="49"/>
        <v>#DIV/0!</v>
      </c>
      <c r="AV58" s="5" t="e">
        <f t="shared" si="50"/>
        <v>#DIV/0!</v>
      </c>
      <c r="AW58" s="5" t="e">
        <f t="shared" si="51"/>
        <v>#DIV/0!</v>
      </c>
      <c r="AX58" s="1" t="e">
        <f t="shared" si="52"/>
        <v>#DIV/0!</v>
      </c>
      <c r="AY58" s="1" t="e">
        <f t="shared" si="53"/>
        <v>#DIV/0!</v>
      </c>
      <c r="AZ58" s="1" t="e">
        <f t="shared" si="54"/>
        <v>#DIV/0!</v>
      </c>
      <c r="BA58" s="1" t="e">
        <f t="shared" si="55"/>
        <v>#DIV/0!</v>
      </c>
      <c r="BB58" s="1" t="e">
        <f t="shared" si="56"/>
        <v>#DIV/0!</v>
      </c>
      <c r="BC58" s="1" t="e">
        <f t="shared" si="57"/>
        <v>#DIV/0!</v>
      </c>
      <c r="BD58" s="1" t="e">
        <f t="shared" si="58"/>
        <v>#DIV/0!</v>
      </c>
      <c r="BE58" s="1" t="e">
        <f t="shared" si="59"/>
        <v>#DIV/0!</v>
      </c>
      <c r="BF58" s="1" t="e">
        <f t="shared" si="60"/>
        <v>#DIV/0!</v>
      </c>
      <c r="BG58" s="1" t="e">
        <f t="shared" si="61"/>
        <v>#DIV/0!</v>
      </c>
      <c r="BH58" s="1" t="e">
        <f t="shared" si="62"/>
        <v>#DIV/0!</v>
      </c>
      <c r="BI58" s="1" t="e">
        <f t="shared" si="63"/>
        <v>#DIV/0!</v>
      </c>
      <c r="BJ58" s="1">
        <f t="shared" si="64"/>
        <v>-0.17067100098422106</v>
      </c>
      <c r="BK58" s="1" t="e">
        <f t="shared" si="65"/>
        <v>#DIV/0!</v>
      </c>
      <c r="BL58" s="1">
        <f t="shared" si="66"/>
        <v>0</v>
      </c>
      <c r="BM58" s="1" t="e">
        <f t="shared" si="67"/>
        <v>#DIV/0!</v>
      </c>
      <c r="BN58" s="1" t="e">
        <f t="shared" si="68"/>
        <v>#DIV/0!</v>
      </c>
      <c r="BO58" s="1" t="e">
        <f t="shared" si="69"/>
        <v>#DIV/0!</v>
      </c>
      <c r="BQ58" s="1" t="str">
        <f t="shared" si="70"/>
        <v>Drymill CCS Fermentation Exhaust</v>
      </c>
      <c r="BR58" s="1" t="e">
        <f t="shared" si="71"/>
        <v>#DIV/0!</v>
      </c>
      <c r="BS58" s="1" t="e">
        <f t="shared" si="72"/>
        <v>#DIV/0!</v>
      </c>
      <c r="BT58" s="1" t="e">
        <f t="array" ref="BT58">_xlfn.IFS(T58="Biomass_Corn", 1/W58/L58*AM58, T58="Biomass_Agri", 1/W58/L58*AL58, T58="Biomass_Wood", 1/W58/L58*AK58, T58="Biomass_Herb", 1/W58/L58*AJ58)</f>
        <v>#DIV/0!</v>
      </c>
      <c r="BU58" s="1" t="e">
        <f t="shared" si="73"/>
        <v>#DIV/0!</v>
      </c>
      <c r="BV58" s="1" t="e">
        <f t="shared" si="74"/>
        <v>#DIV/0!</v>
      </c>
      <c r="BW58" s="1" t="e">
        <f t="shared" si="75"/>
        <v>#DIV/0!</v>
      </c>
      <c r="BX58" s="1" t="e">
        <f t="shared" si="76"/>
        <v>#DIV/0!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77"/>
        <v>1.7588666580000001</v>
      </c>
      <c r="CD58" s="10">
        <v>0.1828908353</v>
      </c>
      <c r="CE58" s="9">
        <v>0.23037490999999999</v>
      </c>
      <c r="CG58" s="10">
        <f t="shared" si="78"/>
        <v>0.56658349085470638</v>
      </c>
      <c r="CH58" s="10">
        <f t="shared" si="79"/>
        <v>5.9703910798172485E-2</v>
      </c>
      <c r="CI58" s="10">
        <f t="shared" si="80"/>
        <v>0.23037490999999999</v>
      </c>
      <c r="CK58" s="17">
        <f t="shared" si="81"/>
        <v>0.23143487956439487</v>
      </c>
      <c r="CL58" s="17">
        <f t="shared" si="82"/>
        <v>0.16447761030609043</v>
      </c>
      <c r="CM58" s="10">
        <f t="shared" si="83"/>
        <v>0</v>
      </c>
      <c r="CN58" s="10">
        <f t="shared" si="84"/>
        <v>0</v>
      </c>
      <c r="CO58" s="10">
        <f t="shared" si="85"/>
        <v>0</v>
      </c>
      <c r="CP58" s="10">
        <f t="shared" si="86"/>
        <v>0</v>
      </c>
      <c r="CR58" s="1">
        <f t="shared" si="87"/>
        <v>0.23037491178239355</v>
      </c>
    </row>
    <row r="59" spans="2:96" x14ac:dyDescent="0.2">
      <c r="B59" s="22"/>
      <c r="C59" s="23"/>
      <c r="D59" s="23">
        <v>6</v>
      </c>
      <c r="E59" s="23" t="str">
        <f t="shared" si="44"/>
        <v>Drymill CCS Fermentation Exhaust</v>
      </c>
      <c r="F59" s="22"/>
      <c r="G59" s="22"/>
      <c r="H59" s="22"/>
      <c r="I59" s="22"/>
      <c r="J59" s="22"/>
      <c r="K59" s="22"/>
      <c r="L59" s="28">
        <f t="shared" si="45"/>
        <v>0</v>
      </c>
      <c r="M59" s="22"/>
      <c r="N59" s="22"/>
      <c r="O59" s="22"/>
      <c r="P59" s="22"/>
      <c r="Q59" s="22"/>
      <c r="S59" s="17" t="str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/>
      <c r="AI59" s="15"/>
      <c r="AJ59" s="15"/>
      <c r="AK59" s="15"/>
      <c r="AL59" s="15"/>
      <c r="AM59" s="15"/>
      <c r="AN59" s="15"/>
      <c r="AO59" s="15"/>
      <c r="AP59" s="15"/>
      <c r="AR59" s="1">
        <f t="shared" si="46"/>
        <v>0</v>
      </c>
      <c r="AS59" s="1">
        <f t="shared" si="47"/>
        <v>0</v>
      </c>
      <c r="AT59" s="11" t="e">
        <f t="shared" si="48"/>
        <v>#DIV/0!</v>
      </c>
      <c r="AU59" s="11" t="e">
        <f t="shared" si="49"/>
        <v>#DIV/0!</v>
      </c>
      <c r="AV59" s="5" t="e">
        <f t="shared" si="50"/>
        <v>#DIV/0!</v>
      </c>
      <c r="AW59" s="5" t="e">
        <f t="shared" si="51"/>
        <v>#DIV/0!</v>
      </c>
      <c r="AX59" s="1" t="e">
        <f t="shared" si="52"/>
        <v>#DIV/0!</v>
      </c>
      <c r="AY59" s="1" t="e">
        <f t="shared" si="53"/>
        <v>#DIV/0!</v>
      </c>
      <c r="AZ59" s="1" t="e">
        <f t="shared" si="54"/>
        <v>#DIV/0!</v>
      </c>
      <c r="BA59" s="1" t="e">
        <f t="shared" si="55"/>
        <v>#DIV/0!</v>
      </c>
      <c r="BB59" s="1" t="e">
        <f t="shared" si="56"/>
        <v>#DIV/0!</v>
      </c>
      <c r="BC59" s="1" t="e">
        <f t="shared" si="57"/>
        <v>#DIV/0!</v>
      </c>
      <c r="BD59" s="1" t="e">
        <f t="shared" si="58"/>
        <v>#DIV/0!</v>
      </c>
      <c r="BE59" s="1" t="e">
        <f t="shared" si="59"/>
        <v>#DIV/0!</v>
      </c>
      <c r="BF59" s="1" t="e">
        <f t="shared" si="60"/>
        <v>#DIV/0!</v>
      </c>
      <c r="BG59" s="1" t="e">
        <f t="shared" si="61"/>
        <v>#DIV/0!</v>
      </c>
      <c r="BH59" s="1" t="e">
        <f t="shared" si="62"/>
        <v>#DIV/0!</v>
      </c>
      <c r="BI59" s="1" t="e">
        <f t="shared" si="63"/>
        <v>#DIV/0!</v>
      </c>
      <c r="BJ59" s="1">
        <f t="shared" si="64"/>
        <v>-0.17067100098422106</v>
      </c>
      <c r="BK59" s="1" t="e">
        <f t="shared" si="65"/>
        <v>#DIV/0!</v>
      </c>
      <c r="BL59" s="1">
        <f t="shared" si="66"/>
        <v>0</v>
      </c>
      <c r="BM59" s="1" t="e">
        <f t="shared" si="67"/>
        <v>#DIV/0!</v>
      </c>
      <c r="BN59" s="1" t="e">
        <f t="shared" si="68"/>
        <v>#DIV/0!</v>
      </c>
      <c r="BO59" s="1" t="e">
        <f t="shared" si="69"/>
        <v>#DIV/0!</v>
      </c>
      <c r="BQ59" s="1" t="str">
        <f t="shared" si="70"/>
        <v>Drymill CCS Fermentation Exhaust</v>
      </c>
      <c r="BR59" s="1" t="e">
        <f t="shared" si="71"/>
        <v>#DIV/0!</v>
      </c>
      <c r="BS59" s="1" t="e">
        <f t="shared" si="72"/>
        <v>#DIV/0!</v>
      </c>
      <c r="BT59" s="1" t="e">
        <f t="array" ref="BT59">_xlfn.IFS(T59="Biomass_Corn", 1/W59/L59*AM59, T59="Biomass_Agri", 1/W59/L59*AL59, T59="Biomass_Wood", 1/W59/L59*AK59, T59="Biomass_Herb", 1/W59/L59*AJ59)</f>
        <v>#DIV/0!</v>
      </c>
      <c r="BU59" s="1" t="e">
        <f t="shared" si="73"/>
        <v>#DIV/0!</v>
      </c>
      <c r="BV59" s="1" t="e">
        <f t="shared" si="74"/>
        <v>#DIV/0!</v>
      </c>
      <c r="BW59" s="1" t="e">
        <f t="shared" si="75"/>
        <v>#DIV/0!</v>
      </c>
      <c r="BX59" s="1" t="e">
        <f t="shared" si="76"/>
        <v>#DIV/0!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77"/>
        <v>1.7588666580000001</v>
      </c>
      <c r="CD59" s="10">
        <v>0.1828908353</v>
      </c>
      <c r="CE59" s="9">
        <v>0.23037490999999999</v>
      </c>
      <c r="CG59" s="10">
        <f t="shared" si="78"/>
        <v>0.56658349085470638</v>
      </c>
      <c r="CH59" s="10">
        <f t="shared" si="79"/>
        <v>5.9703910798172485E-2</v>
      </c>
      <c r="CI59" s="10">
        <f t="shared" si="80"/>
        <v>0.23037490999999999</v>
      </c>
      <c r="CK59" s="17">
        <f t="shared" si="81"/>
        <v>0.23143487956439487</v>
      </c>
      <c r="CL59" s="17">
        <f t="shared" si="82"/>
        <v>0.16447761030609043</v>
      </c>
      <c r="CM59" s="10">
        <f t="shared" si="83"/>
        <v>0</v>
      </c>
      <c r="CN59" s="10">
        <f t="shared" si="84"/>
        <v>0</v>
      </c>
      <c r="CO59" s="10">
        <f t="shared" si="85"/>
        <v>0</v>
      </c>
      <c r="CP59" s="10">
        <f t="shared" si="86"/>
        <v>0</v>
      </c>
      <c r="CR59" s="1">
        <f t="shared" si="87"/>
        <v>0.23037491178239355</v>
      </c>
    </row>
    <row r="60" spans="2:96" x14ac:dyDescent="0.2">
      <c r="B60" s="22"/>
      <c r="C60" s="23"/>
      <c r="D60" s="23">
        <v>6</v>
      </c>
      <c r="E60" s="23" t="str">
        <f t="shared" si="44"/>
        <v>Drymill CCS Fermentation Exhaust</v>
      </c>
      <c r="F60" s="22"/>
      <c r="G60" s="22"/>
      <c r="H60" s="22"/>
      <c r="I60" s="22"/>
      <c r="J60" s="22"/>
      <c r="K60" s="22"/>
      <c r="L60" s="28">
        <f t="shared" si="45"/>
        <v>0</v>
      </c>
      <c r="M60" s="22"/>
      <c r="N60" s="22"/>
      <c r="O60" s="22"/>
      <c r="P60" s="22"/>
      <c r="Q60" s="22"/>
      <c r="S60" s="17" t="str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/>
      <c r="AI60" s="15"/>
      <c r="AJ60" s="15"/>
      <c r="AK60" s="15"/>
      <c r="AL60" s="15"/>
      <c r="AM60" s="15"/>
      <c r="AN60" s="15"/>
      <c r="AO60" s="15"/>
      <c r="AP60" s="15"/>
      <c r="AR60" s="1">
        <f t="shared" si="46"/>
        <v>0</v>
      </c>
      <c r="AS60" s="1">
        <f t="shared" si="47"/>
        <v>0</v>
      </c>
      <c r="AT60" s="11" t="e">
        <f t="shared" si="48"/>
        <v>#DIV/0!</v>
      </c>
      <c r="AU60" s="11" t="e">
        <f t="shared" si="49"/>
        <v>#DIV/0!</v>
      </c>
      <c r="AV60" s="5" t="e">
        <f t="shared" si="50"/>
        <v>#DIV/0!</v>
      </c>
      <c r="AW60" s="5" t="e">
        <f t="shared" si="51"/>
        <v>#DIV/0!</v>
      </c>
      <c r="AX60" s="1" t="e">
        <f t="shared" si="52"/>
        <v>#DIV/0!</v>
      </c>
      <c r="AY60" s="1" t="e">
        <f t="shared" si="53"/>
        <v>#DIV/0!</v>
      </c>
      <c r="AZ60" s="1" t="e">
        <f t="shared" si="54"/>
        <v>#DIV/0!</v>
      </c>
      <c r="BA60" s="1" t="e">
        <f t="shared" si="55"/>
        <v>#DIV/0!</v>
      </c>
      <c r="BB60" s="1" t="e">
        <f t="shared" si="56"/>
        <v>#DIV/0!</v>
      </c>
      <c r="BC60" s="1" t="e">
        <f t="shared" si="57"/>
        <v>#DIV/0!</v>
      </c>
      <c r="BD60" s="1" t="e">
        <f t="shared" si="58"/>
        <v>#DIV/0!</v>
      </c>
      <c r="BE60" s="1" t="e">
        <f t="shared" si="59"/>
        <v>#DIV/0!</v>
      </c>
      <c r="BF60" s="1" t="e">
        <f t="shared" si="60"/>
        <v>#DIV/0!</v>
      </c>
      <c r="BG60" s="1" t="e">
        <f t="shared" si="61"/>
        <v>#DIV/0!</v>
      </c>
      <c r="BH60" s="1" t="e">
        <f t="shared" si="62"/>
        <v>#DIV/0!</v>
      </c>
      <c r="BI60" s="1" t="e">
        <f t="shared" si="63"/>
        <v>#DIV/0!</v>
      </c>
      <c r="BJ60" s="1">
        <f t="shared" si="64"/>
        <v>-0.17067100098422106</v>
      </c>
      <c r="BK60" s="1" t="e">
        <f t="shared" si="65"/>
        <v>#DIV/0!</v>
      </c>
      <c r="BL60" s="1">
        <f t="shared" si="66"/>
        <v>0</v>
      </c>
      <c r="BM60" s="1" t="e">
        <f t="shared" si="67"/>
        <v>#DIV/0!</v>
      </c>
      <c r="BN60" s="1" t="e">
        <f t="shared" si="68"/>
        <v>#DIV/0!</v>
      </c>
      <c r="BO60" s="1" t="e">
        <f t="shared" si="69"/>
        <v>#DIV/0!</v>
      </c>
      <c r="BQ60" s="1" t="str">
        <f t="shared" si="70"/>
        <v>Drymill CCS Fermentation Exhaust</v>
      </c>
      <c r="BR60" s="1" t="e">
        <f t="shared" si="71"/>
        <v>#DIV/0!</v>
      </c>
      <c r="BS60" s="1" t="e">
        <f t="shared" si="72"/>
        <v>#DIV/0!</v>
      </c>
      <c r="BT60" s="1" t="e">
        <f t="array" ref="BT60">_xlfn.IFS(T60="Biomass_Corn", 1/W60/L60*AM60, T60="Biomass_Agri", 1/W60/L60*AL60, T60="Biomass_Wood", 1/W60/L60*AK60, T60="Biomass_Herb", 1/W60/L60*AJ60)</f>
        <v>#DIV/0!</v>
      </c>
      <c r="BU60" s="1" t="e">
        <f t="shared" si="73"/>
        <v>#DIV/0!</v>
      </c>
      <c r="BV60" s="1" t="e">
        <f t="shared" si="74"/>
        <v>#DIV/0!</v>
      </c>
      <c r="BW60" s="1" t="e">
        <f t="shared" si="75"/>
        <v>#DIV/0!</v>
      </c>
      <c r="BX60" s="1" t="e">
        <f t="shared" si="76"/>
        <v>#DIV/0!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77"/>
        <v>1.7588666580000001</v>
      </c>
      <c r="CD60" s="10">
        <v>0.1828908353</v>
      </c>
      <c r="CE60" s="9">
        <v>0.23037490999999999</v>
      </c>
      <c r="CG60" s="10">
        <f t="shared" si="78"/>
        <v>0.56658349085470638</v>
      </c>
      <c r="CH60" s="10">
        <f t="shared" si="79"/>
        <v>5.9703910798172485E-2</v>
      </c>
      <c r="CI60" s="10">
        <f t="shared" si="80"/>
        <v>0.23037490999999999</v>
      </c>
      <c r="CK60" s="17">
        <f t="shared" si="81"/>
        <v>0.23143487956439487</v>
      </c>
      <c r="CL60" s="17">
        <f t="shared" si="82"/>
        <v>0.16447761030609043</v>
      </c>
      <c r="CM60" s="10">
        <f t="shared" si="83"/>
        <v>0</v>
      </c>
      <c r="CN60" s="10">
        <f t="shared" si="84"/>
        <v>0</v>
      </c>
      <c r="CO60" s="10">
        <f t="shared" si="85"/>
        <v>0</v>
      </c>
      <c r="CP60" s="10">
        <f t="shared" si="86"/>
        <v>0</v>
      </c>
      <c r="CR60" s="1">
        <f t="shared" si="87"/>
        <v>0.23037491178239355</v>
      </c>
    </row>
    <row r="61" spans="2:96" x14ac:dyDescent="0.2">
      <c r="B61" s="22"/>
      <c r="C61" s="23"/>
      <c r="D61" s="23">
        <v>6</v>
      </c>
      <c r="E61" s="23" t="str">
        <f t="shared" si="44"/>
        <v>Drymill CCS Fermentation Exhaust</v>
      </c>
      <c r="F61" s="22"/>
      <c r="G61" s="22"/>
      <c r="H61" s="22"/>
      <c r="I61" s="22"/>
      <c r="J61" s="22"/>
      <c r="K61" s="22"/>
      <c r="L61" s="28">
        <f t="shared" si="45"/>
        <v>0</v>
      </c>
      <c r="M61" s="22"/>
      <c r="N61" s="22"/>
      <c r="O61" s="22"/>
      <c r="P61" s="22"/>
      <c r="Q61" s="22"/>
      <c r="S61" s="17" t="str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/>
      <c r="AI61" s="15"/>
      <c r="AJ61" s="15"/>
      <c r="AK61" s="15"/>
      <c r="AL61" s="15"/>
      <c r="AM61" s="15"/>
      <c r="AN61" s="15"/>
      <c r="AO61" s="15"/>
      <c r="AP61" s="15"/>
      <c r="AR61" s="1">
        <f t="shared" si="46"/>
        <v>0</v>
      </c>
      <c r="AS61" s="1">
        <f t="shared" si="47"/>
        <v>0</v>
      </c>
      <c r="AT61" s="11" t="e">
        <f t="shared" si="48"/>
        <v>#DIV/0!</v>
      </c>
      <c r="AU61" s="11" t="e">
        <f t="shared" si="49"/>
        <v>#DIV/0!</v>
      </c>
      <c r="AV61" s="5" t="e">
        <f t="shared" si="50"/>
        <v>#DIV/0!</v>
      </c>
      <c r="AW61" s="5" t="e">
        <f t="shared" si="51"/>
        <v>#DIV/0!</v>
      </c>
      <c r="AX61" s="1" t="e">
        <f t="shared" si="52"/>
        <v>#DIV/0!</v>
      </c>
      <c r="AY61" s="1" t="e">
        <f t="shared" si="53"/>
        <v>#DIV/0!</v>
      </c>
      <c r="AZ61" s="1" t="e">
        <f t="shared" si="54"/>
        <v>#DIV/0!</v>
      </c>
      <c r="BA61" s="1" t="e">
        <f t="shared" si="55"/>
        <v>#DIV/0!</v>
      </c>
      <c r="BB61" s="1" t="e">
        <f t="shared" si="56"/>
        <v>#DIV/0!</v>
      </c>
      <c r="BC61" s="1" t="e">
        <f t="shared" si="57"/>
        <v>#DIV/0!</v>
      </c>
      <c r="BD61" s="1" t="e">
        <f t="shared" si="58"/>
        <v>#DIV/0!</v>
      </c>
      <c r="BE61" s="1" t="e">
        <f t="shared" si="59"/>
        <v>#DIV/0!</v>
      </c>
      <c r="BF61" s="1" t="e">
        <f t="shared" si="60"/>
        <v>#DIV/0!</v>
      </c>
      <c r="BG61" s="1" t="e">
        <f t="shared" si="61"/>
        <v>#DIV/0!</v>
      </c>
      <c r="BH61" s="1" t="e">
        <f t="shared" si="62"/>
        <v>#DIV/0!</v>
      </c>
      <c r="BI61" s="1" t="e">
        <f t="shared" si="63"/>
        <v>#DIV/0!</v>
      </c>
      <c r="BJ61" s="1">
        <f t="shared" si="64"/>
        <v>-0.17067100098422106</v>
      </c>
      <c r="BK61" s="1" t="e">
        <f t="shared" si="65"/>
        <v>#DIV/0!</v>
      </c>
      <c r="BL61" s="1">
        <f t="shared" si="66"/>
        <v>0</v>
      </c>
      <c r="BM61" s="1" t="e">
        <f t="shared" si="67"/>
        <v>#DIV/0!</v>
      </c>
      <c r="BN61" s="1" t="e">
        <f t="shared" si="68"/>
        <v>#DIV/0!</v>
      </c>
      <c r="BO61" s="1" t="e">
        <f t="shared" si="69"/>
        <v>#DIV/0!</v>
      </c>
      <c r="BQ61" s="1" t="str">
        <f t="shared" si="70"/>
        <v>Drymill CCS Fermentation Exhaust</v>
      </c>
      <c r="BR61" s="1" t="e">
        <f t="shared" si="71"/>
        <v>#DIV/0!</v>
      </c>
      <c r="BS61" s="1" t="e">
        <f t="shared" si="72"/>
        <v>#DIV/0!</v>
      </c>
      <c r="BT61" s="1" t="e">
        <f t="array" ref="BT61">_xlfn.IFS(T61="Biomass_Corn", 1/W61/L61*AM61, T61="Biomass_Agri", 1/W61/L61*AL61, T61="Biomass_Wood", 1/W61/L61*AK61, T61="Biomass_Herb", 1/W61/L61*AJ61)</f>
        <v>#DIV/0!</v>
      </c>
      <c r="BU61" s="1" t="e">
        <f t="shared" si="73"/>
        <v>#DIV/0!</v>
      </c>
      <c r="BV61" s="1" t="e">
        <f t="shared" si="74"/>
        <v>#DIV/0!</v>
      </c>
      <c r="BW61" s="1" t="e">
        <f t="shared" si="75"/>
        <v>#DIV/0!</v>
      </c>
      <c r="BX61" s="1" t="e">
        <f t="shared" si="76"/>
        <v>#DIV/0!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77"/>
        <v>1.7588666580000001</v>
      </c>
      <c r="CD61" s="10">
        <v>0.1828908353</v>
      </c>
      <c r="CE61" s="9">
        <v>0.23037490999999999</v>
      </c>
      <c r="CG61" s="10">
        <f t="shared" si="78"/>
        <v>0.56658349085470638</v>
      </c>
      <c r="CH61" s="10">
        <f t="shared" si="79"/>
        <v>5.9703910798172485E-2</v>
      </c>
      <c r="CI61" s="10">
        <f t="shared" si="80"/>
        <v>0.23037490999999999</v>
      </c>
      <c r="CK61" s="17">
        <f t="shared" si="81"/>
        <v>0.23143487956439487</v>
      </c>
      <c r="CL61" s="17">
        <f t="shared" si="82"/>
        <v>0.16447761030609043</v>
      </c>
      <c r="CM61" s="10">
        <f t="shared" si="83"/>
        <v>0</v>
      </c>
      <c r="CN61" s="10">
        <f t="shared" si="84"/>
        <v>0</v>
      </c>
      <c r="CO61" s="10">
        <f t="shared" si="85"/>
        <v>0</v>
      </c>
      <c r="CP61" s="10">
        <f t="shared" si="86"/>
        <v>0</v>
      </c>
      <c r="CR61" s="1">
        <f t="shared" si="87"/>
        <v>0.23037491178239355</v>
      </c>
    </row>
    <row r="62" spans="2:96" x14ac:dyDescent="0.2">
      <c r="B62" s="22"/>
      <c r="C62" s="23"/>
      <c r="D62" s="23">
        <v>6</v>
      </c>
      <c r="E62" s="23" t="str">
        <f t="shared" si="44"/>
        <v>Drymill CCS Fermentation Exhaust</v>
      </c>
      <c r="F62" s="22"/>
      <c r="G62" s="22"/>
      <c r="H62" s="22"/>
      <c r="I62" s="22"/>
      <c r="J62" s="22"/>
      <c r="K62" s="22"/>
      <c r="L62" s="28">
        <f t="shared" si="45"/>
        <v>0</v>
      </c>
      <c r="M62" s="22"/>
      <c r="N62" s="22"/>
      <c r="O62" s="22"/>
      <c r="P62" s="22"/>
      <c r="Q62" s="22"/>
      <c r="S62" s="17" t="str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/>
      <c r="AI62" s="15"/>
      <c r="AJ62" s="15"/>
      <c r="AK62" s="15"/>
      <c r="AL62" s="15"/>
      <c r="AM62" s="15"/>
      <c r="AN62" s="15"/>
      <c r="AO62" s="15"/>
      <c r="AP62" s="15"/>
      <c r="AR62" s="1">
        <f t="shared" si="46"/>
        <v>0</v>
      </c>
      <c r="AS62" s="1">
        <f t="shared" si="47"/>
        <v>0</v>
      </c>
      <c r="AT62" s="11" t="e">
        <f t="shared" si="48"/>
        <v>#DIV/0!</v>
      </c>
      <c r="AU62" s="11" t="e">
        <f t="shared" si="49"/>
        <v>#DIV/0!</v>
      </c>
      <c r="AV62" s="5" t="e">
        <f t="shared" si="50"/>
        <v>#DIV/0!</v>
      </c>
      <c r="AW62" s="5" t="e">
        <f t="shared" si="51"/>
        <v>#DIV/0!</v>
      </c>
      <c r="AX62" s="1" t="e">
        <f t="shared" si="52"/>
        <v>#DIV/0!</v>
      </c>
      <c r="AY62" s="1" t="e">
        <f t="shared" si="53"/>
        <v>#DIV/0!</v>
      </c>
      <c r="AZ62" s="1" t="e">
        <f t="shared" si="54"/>
        <v>#DIV/0!</v>
      </c>
      <c r="BA62" s="1" t="e">
        <f t="shared" si="55"/>
        <v>#DIV/0!</v>
      </c>
      <c r="BB62" s="1" t="e">
        <f t="shared" si="56"/>
        <v>#DIV/0!</v>
      </c>
      <c r="BC62" s="1" t="e">
        <f t="shared" si="57"/>
        <v>#DIV/0!</v>
      </c>
      <c r="BD62" s="1" t="e">
        <f t="shared" si="58"/>
        <v>#DIV/0!</v>
      </c>
      <c r="BE62" s="1" t="e">
        <f t="shared" si="59"/>
        <v>#DIV/0!</v>
      </c>
      <c r="BF62" s="1" t="e">
        <f t="shared" si="60"/>
        <v>#DIV/0!</v>
      </c>
      <c r="BG62" s="1" t="e">
        <f t="shared" si="61"/>
        <v>#DIV/0!</v>
      </c>
      <c r="BH62" s="1" t="e">
        <f t="shared" si="62"/>
        <v>#DIV/0!</v>
      </c>
      <c r="BI62" s="1" t="e">
        <f t="shared" si="63"/>
        <v>#DIV/0!</v>
      </c>
      <c r="BJ62" s="1">
        <f t="shared" si="64"/>
        <v>-0.17067100098422106</v>
      </c>
      <c r="BK62" s="1" t="e">
        <f t="shared" si="65"/>
        <v>#DIV/0!</v>
      </c>
      <c r="BL62" s="1">
        <f t="shared" si="66"/>
        <v>0</v>
      </c>
      <c r="BM62" s="1" t="e">
        <f t="shared" si="67"/>
        <v>#DIV/0!</v>
      </c>
      <c r="BN62" s="1" t="e">
        <f t="shared" si="68"/>
        <v>#DIV/0!</v>
      </c>
      <c r="BO62" s="1" t="e">
        <f t="shared" si="69"/>
        <v>#DIV/0!</v>
      </c>
      <c r="BQ62" s="1" t="str">
        <f t="shared" si="70"/>
        <v>Drymill CCS Fermentation Exhaust</v>
      </c>
      <c r="BR62" s="1" t="e">
        <f t="shared" si="71"/>
        <v>#DIV/0!</v>
      </c>
      <c r="BS62" s="1" t="e">
        <f t="shared" si="72"/>
        <v>#DIV/0!</v>
      </c>
      <c r="BT62" s="1" t="e">
        <f t="array" ref="BT62">_xlfn.IFS(T62="Biomass_Corn", 1/W62/L62*AM62, T62="Biomass_Agri", 1/W62/L62*AL62, T62="Biomass_Wood", 1/W62/L62*AK62, T62="Biomass_Herb", 1/W62/L62*AJ62)</f>
        <v>#DIV/0!</v>
      </c>
      <c r="BU62" s="1" t="e">
        <f t="shared" si="73"/>
        <v>#DIV/0!</v>
      </c>
      <c r="BV62" s="1" t="e">
        <f t="shared" si="74"/>
        <v>#DIV/0!</v>
      </c>
      <c r="BW62" s="1" t="e">
        <f t="shared" si="75"/>
        <v>#DIV/0!</v>
      </c>
      <c r="BX62" s="1" t="e">
        <f t="shared" si="76"/>
        <v>#DIV/0!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77"/>
        <v>1.7588666580000001</v>
      </c>
      <c r="CD62" s="10">
        <v>0.1828908353</v>
      </c>
      <c r="CE62" s="9">
        <v>0.23037490999999999</v>
      </c>
      <c r="CG62" s="10">
        <f t="shared" si="78"/>
        <v>0.56658349085470638</v>
      </c>
      <c r="CH62" s="10">
        <f t="shared" si="79"/>
        <v>5.9703910798172485E-2</v>
      </c>
      <c r="CI62" s="10">
        <f t="shared" si="80"/>
        <v>0.23037490999999999</v>
      </c>
      <c r="CK62" s="17">
        <f t="shared" si="81"/>
        <v>0.23143487956439487</v>
      </c>
      <c r="CL62" s="17">
        <f t="shared" si="82"/>
        <v>0.16447761030609043</v>
      </c>
      <c r="CM62" s="10">
        <f t="shared" si="83"/>
        <v>0</v>
      </c>
      <c r="CN62" s="10">
        <f t="shared" si="84"/>
        <v>0</v>
      </c>
      <c r="CO62" s="10">
        <f t="shared" si="85"/>
        <v>0</v>
      </c>
      <c r="CP62" s="10">
        <f t="shared" si="86"/>
        <v>0</v>
      </c>
      <c r="CR62" s="1">
        <f t="shared" si="87"/>
        <v>0.23037491178239355</v>
      </c>
    </row>
    <row r="63" spans="2:96" x14ac:dyDescent="0.2">
      <c r="B63" s="22"/>
      <c r="C63" s="23"/>
      <c r="D63" s="23">
        <v>6</v>
      </c>
      <c r="E63" s="23" t="str">
        <f t="shared" si="44"/>
        <v>Drymill CCS Fermentation Exhaust</v>
      </c>
      <c r="F63" s="22"/>
      <c r="G63" s="22"/>
      <c r="H63" s="22"/>
      <c r="I63" s="22"/>
      <c r="J63" s="22"/>
      <c r="K63" s="22"/>
      <c r="L63" s="28">
        <f t="shared" si="45"/>
        <v>0</v>
      </c>
      <c r="M63" s="22"/>
      <c r="N63" s="22"/>
      <c r="O63" s="22"/>
      <c r="P63" s="22"/>
      <c r="Q63" s="22"/>
      <c r="S63" s="17" t="str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/>
      <c r="AI63" s="15"/>
      <c r="AJ63" s="15"/>
      <c r="AK63" s="15"/>
      <c r="AL63" s="15"/>
      <c r="AM63" s="15"/>
      <c r="AN63" s="15"/>
      <c r="AO63" s="15"/>
      <c r="AP63" s="15"/>
      <c r="AR63" s="1">
        <f t="shared" si="46"/>
        <v>0</v>
      </c>
      <c r="AS63" s="1">
        <f t="shared" si="47"/>
        <v>0</v>
      </c>
      <c r="AT63" s="11" t="e">
        <f t="shared" si="48"/>
        <v>#DIV/0!</v>
      </c>
      <c r="AU63" s="11" t="e">
        <f t="shared" si="49"/>
        <v>#DIV/0!</v>
      </c>
      <c r="AV63" s="5" t="e">
        <f t="shared" si="50"/>
        <v>#DIV/0!</v>
      </c>
      <c r="AW63" s="5" t="e">
        <f t="shared" si="51"/>
        <v>#DIV/0!</v>
      </c>
      <c r="AX63" s="1" t="e">
        <f t="shared" si="52"/>
        <v>#DIV/0!</v>
      </c>
      <c r="AY63" s="1" t="e">
        <f t="shared" si="53"/>
        <v>#DIV/0!</v>
      </c>
      <c r="AZ63" s="1" t="e">
        <f t="shared" si="54"/>
        <v>#DIV/0!</v>
      </c>
      <c r="BA63" s="1" t="e">
        <f t="shared" si="55"/>
        <v>#DIV/0!</v>
      </c>
      <c r="BB63" s="1" t="e">
        <f t="shared" si="56"/>
        <v>#DIV/0!</v>
      </c>
      <c r="BC63" s="1" t="e">
        <f t="shared" si="57"/>
        <v>#DIV/0!</v>
      </c>
      <c r="BD63" s="1" t="e">
        <f t="shared" si="58"/>
        <v>#DIV/0!</v>
      </c>
      <c r="BE63" s="1" t="e">
        <f t="shared" si="59"/>
        <v>#DIV/0!</v>
      </c>
      <c r="BF63" s="1" t="e">
        <f t="shared" si="60"/>
        <v>#DIV/0!</v>
      </c>
      <c r="BG63" s="1" t="e">
        <f t="shared" si="61"/>
        <v>#DIV/0!</v>
      </c>
      <c r="BH63" s="1" t="e">
        <f t="shared" si="62"/>
        <v>#DIV/0!</v>
      </c>
      <c r="BI63" s="1" t="e">
        <f t="shared" si="63"/>
        <v>#DIV/0!</v>
      </c>
      <c r="BJ63" s="1">
        <f t="shared" si="64"/>
        <v>-0.17067100098422106</v>
      </c>
      <c r="BK63" s="1" t="e">
        <f t="shared" si="65"/>
        <v>#DIV/0!</v>
      </c>
      <c r="BL63" s="1">
        <f t="shared" si="66"/>
        <v>0</v>
      </c>
      <c r="BM63" s="1" t="e">
        <f t="shared" si="67"/>
        <v>#DIV/0!</v>
      </c>
      <c r="BN63" s="1" t="e">
        <f t="shared" si="68"/>
        <v>#DIV/0!</v>
      </c>
      <c r="BO63" s="1" t="e">
        <f t="shared" si="69"/>
        <v>#DIV/0!</v>
      </c>
      <c r="BQ63" s="1" t="str">
        <f t="shared" si="70"/>
        <v>Drymill CCS Fermentation Exhaust</v>
      </c>
      <c r="BR63" s="1" t="e">
        <f t="shared" si="71"/>
        <v>#DIV/0!</v>
      </c>
      <c r="BS63" s="1" t="e">
        <f t="shared" si="72"/>
        <v>#DIV/0!</v>
      </c>
      <c r="BT63" s="1" t="e">
        <f t="array" ref="BT63">_xlfn.IFS(T63="Biomass_Corn", 1/W63/L63*AM63, T63="Biomass_Agri", 1/W63/L63*AL63, T63="Biomass_Wood", 1/W63/L63*AK63, T63="Biomass_Herb", 1/W63/L63*AJ63)</f>
        <v>#DIV/0!</v>
      </c>
      <c r="BU63" s="1" t="e">
        <f t="shared" si="73"/>
        <v>#DIV/0!</v>
      </c>
      <c r="BV63" s="1" t="e">
        <f t="shared" si="74"/>
        <v>#DIV/0!</v>
      </c>
      <c r="BW63" s="1" t="e">
        <f t="shared" si="75"/>
        <v>#DIV/0!</v>
      </c>
      <c r="BX63" s="1" t="e">
        <f t="shared" si="76"/>
        <v>#DIV/0!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77"/>
        <v>1.7588666580000001</v>
      </c>
      <c r="CD63" s="10">
        <v>0.1828908353</v>
      </c>
      <c r="CE63" s="9">
        <v>0.23037490999999999</v>
      </c>
      <c r="CG63" s="10">
        <f t="shared" si="78"/>
        <v>0.56658349085470638</v>
      </c>
      <c r="CH63" s="10">
        <f t="shared" si="79"/>
        <v>5.9703910798172485E-2</v>
      </c>
      <c r="CI63" s="10">
        <f t="shared" si="80"/>
        <v>0.23037490999999999</v>
      </c>
      <c r="CK63" s="17">
        <f t="shared" si="81"/>
        <v>0.23143487956439487</v>
      </c>
      <c r="CL63" s="17">
        <f t="shared" si="82"/>
        <v>0.16447761030609043</v>
      </c>
      <c r="CM63" s="10">
        <f t="shared" si="83"/>
        <v>0</v>
      </c>
      <c r="CN63" s="10">
        <f t="shared" si="84"/>
        <v>0</v>
      </c>
      <c r="CO63" s="10">
        <f t="shared" si="85"/>
        <v>0</v>
      </c>
      <c r="CP63" s="10">
        <f t="shared" si="86"/>
        <v>0</v>
      </c>
      <c r="CR63" s="1">
        <f t="shared" si="87"/>
        <v>0.23037491178239355</v>
      </c>
    </row>
    <row r="64" spans="2:96" x14ac:dyDescent="0.2">
      <c r="B64" s="22"/>
      <c r="C64" s="23"/>
      <c r="D64" s="23">
        <v>6</v>
      </c>
      <c r="E64" s="23" t="str">
        <f t="shared" si="44"/>
        <v>Drymill CCS Fermentation Exhaust</v>
      </c>
      <c r="F64" s="22"/>
      <c r="G64" s="22"/>
      <c r="H64" s="22"/>
      <c r="I64" s="22"/>
      <c r="J64" s="22"/>
      <c r="K64" s="22"/>
      <c r="L64" s="28">
        <f t="shared" si="45"/>
        <v>0</v>
      </c>
      <c r="M64" s="22"/>
      <c r="N64" s="22"/>
      <c r="O64" s="22"/>
      <c r="P64" s="22"/>
      <c r="Q64" s="22"/>
      <c r="S64" s="17" t="str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/>
      <c r="AI64" s="15"/>
      <c r="AJ64" s="15"/>
      <c r="AK64" s="15"/>
      <c r="AL64" s="15"/>
      <c r="AM64" s="15"/>
      <c r="AN64" s="15"/>
      <c r="AO64" s="15"/>
      <c r="AP64" s="15"/>
      <c r="AR64" s="1">
        <f t="shared" si="46"/>
        <v>0</v>
      </c>
      <c r="AS64" s="1">
        <f t="shared" si="47"/>
        <v>0</v>
      </c>
      <c r="AT64" s="11" t="e">
        <f t="shared" si="48"/>
        <v>#DIV/0!</v>
      </c>
      <c r="AU64" s="11" t="e">
        <f t="shared" si="49"/>
        <v>#DIV/0!</v>
      </c>
      <c r="AV64" s="5" t="e">
        <f t="shared" si="50"/>
        <v>#DIV/0!</v>
      </c>
      <c r="AW64" s="5" t="e">
        <f t="shared" si="51"/>
        <v>#DIV/0!</v>
      </c>
      <c r="AX64" s="1" t="e">
        <f t="shared" si="52"/>
        <v>#DIV/0!</v>
      </c>
      <c r="AY64" s="1" t="e">
        <f t="shared" si="53"/>
        <v>#DIV/0!</v>
      </c>
      <c r="AZ64" s="1" t="e">
        <f t="shared" si="54"/>
        <v>#DIV/0!</v>
      </c>
      <c r="BA64" s="1" t="e">
        <f t="shared" si="55"/>
        <v>#DIV/0!</v>
      </c>
      <c r="BB64" s="1" t="e">
        <f t="shared" si="56"/>
        <v>#DIV/0!</v>
      </c>
      <c r="BC64" s="1" t="e">
        <f t="shared" si="57"/>
        <v>#DIV/0!</v>
      </c>
      <c r="BD64" s="1" t="e">
        <f t="shared" si="58"/>
        <v>#DIV/0!</v>
      </c>
      <c r="BE64" s="1" t="e">
        <f t="shared" si="59"/>
        <v>#DIV/0!</v>
      </c>
      <c r="BF64" s="1" t="e">
        <f t="shared" si="60"/>
        <v>#DIV/0!</v>
      </c>
      <c r="BG64" s="1" t="e">
        <f t="shared" si="61"/>
        <v>#DIV/0!</v>
      </c>
      <c r="BH64" s="1" t="e">
        <f t="shared" si="62"/>
        <v>#DIV/0!</v>
      </c>
      <c r="BI64" s="1" t="e">
        <f t="shared" si="63"/>
        <v>#DIV/0!</v>
      </c>
      <c r="BJ64" s="1">
        <f t="shared" si="64"/>
        <v>-0.17067100098422106</v>
      </c>
      <c r="BK64" s="1" t="e">
        <f t="shared" si="65"/>
        <v>#DIV/0!</v>
      </c>
      <c r="BL64" s="1">
        <f t="shared" si="66"/>
        <v>0</v>
      </c>
      <c r="BM64" s="1" t="e">
        <f t="shared" si="67"/>
        <v>#DIV/0!</v>
      </c>
      <c r="BN64" s="1" t="e">
        <f t="shared" si="68"/>
        <v>#DIV/0!</v>
      </c>
      <c r="BO64" s="1" t="e">
        <f t="shared" si="69"/>
        <v>#DIV/0!</v>
      </c>
      <c r="BQ64" s="1" t="str">
        <f t="shared" si="70"/>
        <v>Drymill CCS Fermentation Exhaust</v>
      </c>
      <c r="BR64" s="1" t="e">
        <f t="shared" si="71"/>
        <v>#DIV/0!</v>
      </c>
      <c r="BS64" s="1" t="e">
        <f t="shared" si="72"/>
        <v>#DIV/0!</v>
      </c>
      <c r="BT64" s="1" t="e">
        <f t="array" ref="BT64">_xlfn.IFS(T64="Biomass_Corn", 1/W64/L64*AM64, T64="Biomass_Agri", 1/W64/L64*AL64, T64="Biomass_Wood", 1/W64/L64*AK64, T64="Biomass_Herb", 1/W64/L64*AJ64)</f>
        <v>#DIV/0!</v>
      </c>
      <c r="BU64" s="1" t="e">
        <f t="shared" si="73"/>
        <v>#DIV/0!</v>
      </c>
      <c r="BV64" s="1" t="e">
        <f t="shared" si="74"/>
        <v>#DIV/0!</v>
      </c>
      <c r="BW64" s="1" t="e">
        <f t="shared" si="75"/>
        <v>#DIV/0!</v>
      </c>
      <c r="BX64" s="1" t="e">
        <f t="shared" si="76"/>
        <v>#DIV/0!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77"/>
        <v>1.7588666580000001</v>
      </c>
      <c r="CD64" s="10">
        <v>0.1828908353</v>
      </c>
      <c r="CE64" s="9">
        <v>0.23037490999999999</v>
      </c>
      <c r="CG64" s="10">
        <f t="shared" si="78"/>
        <v>0.56658349085470638</v>
      </c>
      <c r="CH64" s="10">
        <f t="shared" si="79"/>
        <v>5.9703910798172485E-2</v>
      </c>
      <c r="CI64" s="10">
        <f t="shared" si="80"/>
        <v>0.23037490999999999</v>
      </c>
      <c r="CK64" s="17">
        <f t="shared" si="81"/>
        <v>0.23143487956439487</v>
      </c>
      <c r="CL64" s="17">
        <f t="shared" si="82"/>
        <v>0.16447761030609043</v>
      </c>
      <c r="CM64" s="10">
        <f t="shared" si="83"/>
        <v>0</v>
      </c>
      <c r="CN64" s="10">
        <f t="shared" si="84"/>
        <v>0</v>
      </c>
      <c r="CO64" s="10">
        <f t="shared" si="85"/>
        <v>0</v>
      </c>
      <c r="CP64" s="10">
        <f t="shared" si="86"/>
        <v>0</v>
      </c>
      <c r="CR64" s="1">
        <f t="shared" si="87"/>
        <v>0.23037491178239355</v>
      </c>
    </row>
    <row r="65" spans="2:96" x14ac:dyDescent="0.2">
      <c r="B65" s="22"/>
      <c r="C65" s="23"/>
      <c r="D65" s="23">
        <v>6</v>
      </c>
      <c r="E65" s="23" t="str">
        <f t="shared" si="44"/>
        <v>Drymill CCS Fermentation Exhaust</v>
      </c>
      <c r="F65" s="22"/>
      <c r="G65" s="22"/>
      <c r="H65" s="22"/>
      <c r="I65" s="22"/>
      <c r="J65" s="22"/>
      <c r="K65" s="22"/>
      <c r="L65" s="28">
        <f t="shared" si="45"/>
        <v>0</v>
      </c>
      <c r="M65" s="22"/>
      <c r="N65" s="22"/>
      <c r="O65" s="22"/>
      <c r="P65" s="22"/>
      <c r="Q65" s="22"/>
      <c r="S65" s="17" t="str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/>
      <c r="AI65" s="15"/>
      <c r="AJ65" s="15"/>
      <c r="AK65" s="15"/>
      <c r="AL65" s="15"/>
      <c r="AM65" s="15"/>
      <c r="AN65" s="15"/>
      <c r="AO65" s="15"/>
      <c r="AP65" s="15"/>
      <c r="AR65" s="1">
        <f t="shared" si="46"/>
        <v>0</v>
      </c>
      <c r="AS65" s="1">
        <f t="shared" si="47"/>
        <v>0</v>
      </c>
      <c r="AT65" s="11" t="e">
        <f t="shared" si="48"/>
        <v>#DIV/0!</v>
      </c>
      <c r="AU65" s="11" t="e">
        <f t="shared" si="49"/>
        <v>#DIV/0!</v>
      </c>
      <c r="AV65" s="5" t="e">
        <f t="shared" si="50"/>
        <v>#DIV/0!</v>
      </c>
      <c r="AW65" s="5" t="e">
        <f t="shared" si="51"/>
        <v>#DIV/0!</v>
      </c>
      <c r="AX65" s="1" t="e">
        <f t="shared" si="52"/>
        <v>#DIV/0!</v>
      </c>
      <c r="AY65" s="1" t="e">
        <f t="shared" si="53"/>
        <v>#DIV/0!</v>
      </c>
      <c r="AZ65" s="1" t="e">
        <f t="shared" si="54"/>
        <v>#DIV/0!</v>
      </c>
      <c r="BA65" s="1" t="e">
        <f t="shared" si="55"/>
        <v>#DIV/0!</v>
      </c>
      <c r="BB65" s="1" t="e">
        <f t="shared" si="56"/>
        <v>#DIV/0!</v>
      </c>
      <c r="BC65" s="1" t="e">
        <f t="shared" si="57"/>
        <v>#DIV/0!</v>
      </c>
      <c r="BD65" s="1" t="e">
        <f t="shared" si="58"/>
        <v>#DIV/0!</v>
      </c>
      <c r="BE65" s="1" t="e">
        <f t="shared" si="59"/>
        <v>#DIV/0!</v>
      </c>
      <c r="BF65" s="1" t="e">
        <f t="shared" si="60"/>
        <v>#DIV/0!</v>
      </c>
      <c r="BG65" s="1" t="e">
        <f t="shared" si="61"/>
        <v>#DIV/0!</v>
      </c>
      <c r="BH65" s="1" t="e">
        <f t="shared" si="62"/>
        <v>#DIV/0!</v>
      </c>
      <c r="BI65" s="1" t="e">
        <f t="shared" si="63"/>
        <v>#DIV/0!</v>
      </c>
      <c r="BJ65" s="1">
        <f t="shared" si="64"/>
        <v>-0.17067100098422106</v>
      </c>
      <c r="BK65" s="1" t="e">
        <f t="shared" si="65"/>
        <v>#DIV/0!</v>
      </c>
      <c r="BL65" s="1">
        <f t="shared" si="66"/>
        <v>0</v>
      </c>
      <c r="BM65" s="1" t="e">
        <f t="shared" si="67"/>
        <v>#DIV/0!</v>
      </c>
      <c r="BN65" s="1" t="e">
        <f t="shared" si="68"/>
        <v>#DIV/0!</v>
      </c>
      <c r="BO65" s="1" t="e">
        <f t="shared" si="69"/>
        <v>#DIV/0!</v>
      </c>
      <c r="BQ65" s="1" t="str">
        <f t="shared" si="70"/>
        <v>Drymill CCS Fermentation Exhaust</v>
      </c>
      <c r="BR65" s="1" t="e">
        <f t="shared" si="71"/>
        <v>#DIV/0!</v>
      </c>
      <c r="BS65" s="1" t="e">
        <f t="shared" si="72"/>
        <v>#DIV/0!</v>
      </c>
      <c r="BT65" s="1" t="e">
        <f t="array" ref="BT65">_xlfn.IFS(T65="Biomass_Corn", 1/W65/L65*AM65, T65="Biomass_Agri", 1/W65/L65*AL65, T65="Biomass_Wood", 1/W65/L65*AK65, T65="Biomass_Herb", 1/W65/L65*AJ65)</f>
        <v>#DIV/0!</v>
      </c>
      <c r="BU65" s="1" t="e">
        <f t="shared" si="73"/>
        <v>#DIV/0!</v>
      </c>
      <c r="BV65" s="1" t="e">
        <f t="shared" si="74"/>
        <v>#DIV/0!</v>
      </c>
      <c r="BW65" s="1" t="e">
        <f t="shared" si="75"/>
        <v>#DIV/0!</v>
      </c>
      <c r="BX65" s="1" t="e">
        <f t="shared" si="76"/>
        <v>#DIV/0!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77"/>
        <v>1.7588666580000001</v>
      </c>
      <c r="CD65" s="10">
        <v>0.1828908353</v>
      </c>
      <c r="CE65" s="9">
        <v>0.23037490999999999</v>
      </c>
      <c r="CG65" s="10">
        <f t="shared" si="78"/>
        <v>0.56658349085470638</v>
      </c>
      <c r="CH65" s="10">
        <f t="shared" si="79"/>
        <v>5.9703910798172485E-2</v>
      </c>
      <c r="CI65" s="10">
        <f t="shared" si="80"/>
        <v>0.23037490999999999</v>
      </c>
      <c r="CK65" s="17">
        <f t="shared" si="81"/>
        <v>0.23143487956439487</v>
      </c>
      <c r="CL65" s="17">
        <f t="shared" si="82"/>
        <v>0.16447761030609043</v>
      </c>
      <c r="CM65" s="10">
        <f t="shared" si="83"/>
        <v>0</v>
      </c>
      <c r="CN65" s="10">
        <f t="shared" si="84"/>
        <v>0</v>
      </c>
      <c r="CO65" s="10">
        <f t="shared" si="85"/>
        <v>0</v>
      </c>
      <c r="CP65" s="10">
        <f t="shared" si="86"/>
        <v>0</v>
      </c>
      <c r="CR65" s="1">
        <f t="shared" si="87"/>
        <v>0.23037491178239355</v>
      </c>
    </row>
    <row r="66" spans="2:96" x14ac:dyDescent="0.2">
      <c r="B66" s="22"/>
      <c r="C66" s="23"/>
      <c r="D66" s="23">
        <v>6</v>
      </c>
      <c r="E66" s="23" t="str">
        <f t="shared" si="44"/>
        <v>Drymill CCS Fermentation Exhaust</v>
      </c>
      <c r="F66" s="22"/>
      <c r="G66" s="22"/>
      <c r="H66" s="22"/>
      <c r="I66" s="22"/>
      <c r="J66" s="22"/>
      <c r="K66" s="22"/>
      <c r="L66" s="28">
        <f t="shared" si="45"/>
        <v>0</v>
      </c>
      <c r="M66" s="22"/>
      <c r="N66" s="22"/>
      <c r="O66" s="22"/>
      <c r="P66" s="22"/>
      <c r="Q66" s="22"/>
      <c r="S66" s="17" t="str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/>
      <c r="AI66" s="15"/>
      <c r="AJ66" s="15"/>
      <c r="AK66" s="15"/>
      <c r="AL66" s="15"/>
      <c r="AM66" s="15"/>
      <c r="AN66" s="15"/>
      <c r="AO66" s="15"/>
      <c r="AP66" s="15"/>
      <c r="AR66" s="1">
        <f t="shared" si="46"/>
        <v>0</v>
      </c>
      <c r="AS66" s="1">
        <f t="shared" si="47"/>
        <v>0</v>
      </c>
      <c r="AT66" s="11" t="e">
        <f t="shared" si="48"/>
        <v>#DIV/0!</v>
      </c>
      <c r="AU66" s="11" t="e">
        <f t="shared" si="49"/>
        <v>#DIV/0!</v>
      </c>
      <c r="AV66" s="5" t="e">
        <f t="shared" si="50"/>
        <v>#DIV/0!</v>
      </c>
      <c r="AW66" s="5" t="e">
        <f t="shared" si="51"/>
        <v>#DIV/0!</v>
      </c>
      <c r="AX66" s="1" t="e">
        <f t="shared" si="52"/>
        <v>#DIV/0!</v>
      </c>
      <c r="AY66" s="1" t="e">
        <f t="shared" si="53"/>
        <v>#DIV/0!</v>
      </c>
      <c r="AZ66" s="1" t="e">
        <f t="shared" si="54"/>
        <v>#DIV/0!</v>
      </c>
      <c r="BA66" s="1" t="e">
        <f t="shared" si="55"/>
        <v>#DIV/0!</v>
      </c>
      <c r="BB66" s="1" t="e">
        <f t="shared" si="56"/>
        <v>#DIV/0!</v>
      </c>
      <c r="BC66" s="1" t="e">
        <f t="shared" si="57"/>
        <v>#DIV/0!</v>
      </c>
      <c r="BD66" s="1" t="e">
        <f t="shared" si="58"/>
        <v>#DIV/0!</v>
      </c>
      <c r="BE66" s="1" t="e">
        <f t="shared" si="59"/>
        <v>#DIV/0!</v>
      </c>
      <c r="BF66" s="1" t="e">
        <f t="shared" si="60"/>
        <v>#DIV/0!</v>
      </c>
      <c r="BG66" s="1" t="e">
        <f t="shared" si="61"/>
        <v>#DIV/0!</v>
      </c>
      <c r="BH66" s="1" t="e">
        <f t="shared" si="62"/>
        <v>#DIV/0!</v>
      </c>
      <c r="BI66" s="1" t="e">
        <f t="shared" si="63"/>
        <v>#DIV/0!</v>
      </c>
      <c r="BJ66" s="1">
        <f t="shared" si="64"/>
        <v>-0.17067100098422106</v>
      </c>
      <c r="BK66" s="1" t="e">
        <f t="shared" si="65"/>
        <v>#DIV/0!</v>
      </c>
      <c r="BL66" s="1">
        <f t="shared" si="66"/>
        <v>0</v>
      </c>
      <c r="BM66" s="1" t="e">
        <f t="shared" si="67"/>
        <v>#DIV/0!</v>
      </c>
      <c r="BN66" s="1" t="e">
        <f t="shared" si="68"/>
        <v>#DIV/0!</v>
      </c>
      <c r="BO66" s="1" t="e">
        <f t="shared" si="69"/>
        <v>#DIV/0!</v>
      </c>
      <c r="BQ66" s="1" t="str">
        <f t="shared" si="70"/>
        <v>Drymill CCS Fermentation Exhaust</v>
      </c>
      <c r="BR66" s="1" t="e">
        <f t="shared" si="71"/>
        <v>#DIV/0!</v>
      </c>
      <c r="BS66" s="1" t="e">
        <f t="shared" si="72"/>
        <v>#DIV/0!</v>
      </c>
      <c r="BT66" s="1" t="e">
        <f t="array" ref="BT66">_xlfn.IFS(T66="Biomass_Corn", 1/W66/L66*AM66, T66="Biomass_Agri", 1/W66/L66*AL66, T66="Biomass_Wood", 1/W66/L66*AK66, T66="Biomass_Herb", 1/W66/L66*AJ66)</f>
        <v>#DIV/0!</v>
      </c>
      <c r="BU66" s="1" t="e">
        <f t="shared" si="73"/>
        <v>#DIV/0!</v>
      </c>
      <c r="BV66" s="1" t="e">
        <f t="shared" si="74"/>
        <v>#DIV/0!</v>
      </c>
      <c r="BW66" s="1" t="e">
        <f t="shared" si="75"/>
        <v>#DIV/0!</v>
      </c>
      <c r="BX66" s="1" t="e">
        <f t="shared" si="76"/>
        <v>#DIV/0!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77"/>
        <v>1.7588666580000001</v>
      </c>
      <c r="CD66" s="10">
        <v>0.1828908353</v>
      </c>
      <c r="CE66" s="9">
        <v>0.23037490999999999</v>
      </c>
      <c r="CG66" s="10">
        <f t="shared" si="78"/>
        <v>0.56658349085470638</v>
      </c>
      <c r="CH66" s="10">
        <f t="shared" si="79"/>
        <v>5.9703910798172485E-2</v>
      </c>
      <c r="CI66" s="10">
        <f t="shared" si="80"/>
        <v>0.23037490999999999</v>
      </c>
      <c r="CK66" s="17">
        <f t="shared" si="81"/>
        <v>0.23143487956439487</v>
      </c>
      <c r="CL66" s="17">
        <f t="shared" si="82"/>
        <v>0.16447761030609043</v>
      </c>
      <c r="CM66" s="10">
        <f t="shared" si="83"/>
        <v>0</v>
      </c>
      <c r="CN66" s="10">
        <f t="shared" si="84"/>
        <v>0</v>
      </c>
      <c r="CO66" s="10">
        <f t="shared" si="85"/>
        <v>0</v>
      </c>
      <c r="CP66" s="10">
        <f t="shared" si="86"/>
        <v>0</v>
      </c>
      <c r="CR66" s="1">
        <f t="shared" si="87"/>
        <v>0.23037491178239355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2"/>
  <sheetViews>
    <sheetView tabSelected="1" topLeftCell="A34" zoomScale="60" workbookViewId="0">
      <selection activeCell="V75" sqref="V75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137</v>
      </c>
    </row>
    <row r="2" spans="1:18" ht="32" customHeight="1" x14ac:dyDescent="0.2">
      <c r="A2" s="19" t="s">
        <v>55</v>
      </c>
      <c r="B2" s="19" t="s">
        <v>59</v>
      </c>
      <c r="C2" s="19" t="s">
        <v>60</v>
      </c>
      <c r="D2" s="19" t="s">
        <v>61</v>
      </c>
      <c r="E2" s="4" t="s">
        <v>62</v>
      </c>
      <c r="F2" s="19" t="s">
        <v>63</v>
      </c>
      <c r="G2" s="19" t="s">
        <v>64</v>
      </c>
      <c r="H2" s="19" t="s">
        <v>65</v>
      </c>
      <c r="I2" s="19" t="s">
        <v>66</v>
      </c>
      <c r="J2" s="19" t="s">
        <v>67</v>
      </c>
      <c r="K2" s="19" t="s">
        <v>68</v>
      </c>
      <c r="L2" s="19" t="s">
        <v>69</v>
      </c>
      <c r="M2" s="19" t="s">
        <v>70</v>
      </c>
      <c r="N2" s="19" t="s">
        <v>71</v>
      </c>
      <c r="O2" s="20" t="s">
        <v>72</v>
      </c>
      <c r="P2" s="20" t="s">
        <v>73</v>
      </c>
      <c r="Q2" s="21" t="s">
        <v>138</v>
      </c>
    </row>
    <row r="3" spans="1:18" x14ac:dyDescent="0.2">
      <c r="A3" t="str">
        <f>lc_detailed!AR4</f>
        <v>CA_Ethanol_to_Gasoline</v>
      </c>
      <c r="B3" s="24">
        <f>lc_detailed!AW4</f>
        <v>0</v>
      </c>
      <c r="C3" s="24">
        <f>lc_detailed!AX4</f>
        <v>0</v>
      </c>
      <c r="D3" s="24">
        <f>lc_detailed!AY4</f>
        <v>1.0612220867874955</v>
      </c>
      <c r="E3" s="24">
        <f>lc_detailed!AZ4</f>
        <v>0</v>
      </c>
      <c r="F3" s="24">
        <f>lc_detailed!BA4</f>
        <v>0</v>
      </c>
      <c r="G3" s="24">
        <f>lc_detailed!BB4</f>
        <v>54.525653721883842</v>
      </c>
      <c r="H3" s="24">
        <f>lc_detailed!BC4</f>
        <v>4.7377220570098801</v>
      </c>
      <c r="I3" s="24">
        <f>lc_detailed!BD4</f>
        <v>29.766195291688515</v>
      </c>
      <c r="J3" s="24">
        <f>lc_detailed!BE4</f>
        <v>6.609369191043487E-6</v>
      </c>
      <c r="K3" s="24">
        <f>lc_detailed!BF4</f>
        <v>16.308550253477915</v>
      </c>
      <c r="L3" s="24">
        <f>lc_detailed!BG4</f>
        <v>1.4019874133296636E-6</v>
      </c>
      <c r="M3" s="24">
        <f>lc_detailed!BH4</f>
        <v>5.6915712187792975</v>
      </c>
      <c r="N3" s="24">
        <f>lc_detailed!BI4</f>
        <v>-8.6150532880576485</v>
      </c>
      <c r="O3" s="24">
        <f>lc_detailed!BK4</f>
        <v>-17.191283890526428</v>
      </c>
      <c r="P3" s="24">
        <f>lc_detailed!BL4</f>
        <v>6.205724556589689</v>
      </c>
      <c r="Q3" s="24">
        <f>lc_detailed!AT4</f>
        <v>92.490310018989177</v>
      </c>
      <c r="R3" s="24"/>
    </row>
    <row r="4" spans="1:18" x14ac:dyDescent="0.2">
      <c r="A4" t="str">
        <f>lc_detailed!AR5</f>
        <v>NW_Ethanol_to_Gasoline</v>
      </c>
      <c r="B4" s="24">
        <f>lc_detailed!AW5</f>
        <v>0</v>
      </c>
      <c r="C4" s="24">
        <f>lc_detailed!AX5</f>
        <v>0</v>
      </c>
      <c r="D4" s="24">
        <f>lc_detailed!AY5</f>
        <v>0.77908704425237485</v>
      </c>
      <c r="E4" s="24">
        <f>lc_detailed!AZ5</f>
        <v>0</v>
      </c>
      <c r="F4" s="24">
        <f>lc_detailed!BA5</f>
        <v>0</v>
      </c>
      <c r="G4" s="24">
        <f>lc_detailed!BB5</f>
        <v>54.525653721883842</v>
      </c>
      <c r="H4" s="24">
        <f>lc_detailed!BC5</f>
        <v>4.7380225123918622</v>
      </c>
      <c r="I4" s="24">
        <f>lc_detailed!BD5</f>
        <v>29.766195291688515</v>
      </c>
      <c r="J4" s="24">
        <f>lc_detailed!BE5</f>
        <v>6.609369191043487E-6</v>
      </c>
      <c r="K4" s="24">
        <f>lc_detailed!BF5</f>
        <v>16.308550253477915</v>
      </c>
      <c r="L4" s="24">
        <f>lc_detailed!BG5</f>
        <v>1.4019874133296636E-6</v>
      </c>
      <c r="M4" s="24">
        <f>lc_detailed!BH5</f>
        <v>5.6915712187792975</v>
      </c>
      <c r="N4" s="24">
        <f>lc_detailed!BI5</f>
        <v>-8.6150532880576485</v>
      </c>
      <c r="O4" s="24">
        <f>lc_detailed!BK5</f>
        <v>-17.022945403438133</v>
      </c>
      <c r="P4" s="24">
        <f>lc_detailed!BL5</f>
        <v>6.205724556589689</v>
      </c>
      <c r="Q4" s="24">
        <f>lc_detailed!AT5</f>
        <v>92.376813918924341</v>
      </c>
      <c r="R4" s="24"/>
    </row>
    <row r="5" spans="1:18" x14ac:dyDescent="0.2">
      <c r="A5" t="str">
        <f>lc_detailed!AR6</f>
        <v>SW_Ethanol_to_Gasoline</v>
      </c>
      <c r="B5" s="24">
        <f>lc_detailed!AW6</f>
        <v>0</v>
      </c>
      <c r="C5" s="24">
        <f>lc_detailed!AX6</f>
        <v>0</v>
      </c>
      <c r="D5" s="24">
        <f>lc_detailed!AY6</f>
        <v>0.81310564626886628</v>
      </c>
      <c r="E5" s="24">
        <f>lc_detailed!AZ6</f>
        <v>0</v>
      </c>
      <c r="F5" s="24">
        <f>lc_detailed!BA6</f>
        <v>0</v>
      </c>
      <c r="G5" s="24">
        <f>lc_detailed!BB6</f>
        <v>54.525653721883842</v>
      </c>
      <c r="H5" s="24">
        <f>lc_detailed!BC6</f>
        <v>4.7379917761516364</v>
      </c>
      <c r="I5" s="24">
        <f>lc_detailed!BD6</f>
        <v>29.766195291688515</v>
      </c>
      <c r="J5" s="24">
        <f>lc_detailed!BE6</f>
        <v>6.609369191043487E-6</v>
      </c>
      <c r="K5" s="24">
        <f>lc_detailed!BF6</f>
        <v>16.308550253477915</v>
      </c>
      <c r="L5" s="24">
        <f>lc_detailed!BG6</f>
        <v>1.4019874133296636E-6</v>
      </c>
      <c r="M5" s="24">
        <f>lc_detailed!BH6</f>
        <v>5.6915712187792975</v>
      </c>
      <c r="N5" s="24">
        <f>lc_detailed!BI6</f>
        <v>-8.6150532880576485</v>
      </c>
      <c r="O5" s="24">
        <f>lc_detailed!BK6</f>
        <v>-15.772253917179178</v>
      </c>
      <c r="P5" s="24">
        <f>lc_detailed!BL6</f>
        <v>6.205724556589689</v>
      </c>
      <c r="Q5" s="24">
        <f>lc_detailed!AT6</f>
        <v>93.661493270959554</v>
      </c>
      <c r="R5" s="24"/>
    </row>
    <row r="6" spans="1:18" x14ac:dyDescent="0.2">
      <c r="A6" t="str">
        <f>lc_detailed!AR7</f>
        <v>TX_Ethanol_to_Gasoline</v>
      </c>
      <c r="B6" s="24">
        <f>lc_detailed!AW7</f>
        <v>0</v>
      </c>
      <c r="C6" s="24">
        <f>lc_detailed!AX7</f>
        <v>0</v>
      </c>
      <c r="D6" s="24">
        <f>lc_detailed!AY7</f>
        <v>0.58676050726560269</v>
      </c>
      <c r="E6" s="24">
        <f>lc_detailed!AZ7</f>
        <v>0</v>
      </c>
      <c r="F6" s="24">
        <f>lc_detailed!BA7</f>
        <v>0</v>
      </c>
      <c r="G6" s="24">
        <f>lc_detailed!BB7</f>
        <v>54.525653721883842</v>
      </c>
      <c r="H6" s="24">
        <f>lc_detailed!BC7</f>
        <v>4.6021586607656255</v>
      </c>
      <c r="I6" s="24">
        <f>lc_detailed!BD7</f>
        <v>29.766195291688515</v>
      </c>
      <c r="J6" s="24">
        <f>lc_detailed!BE7</f>
        <v>6.609369191043487E-6</v>
      </c>
      <c r="K6" s="24">
        <f>lc_detailed!BF7</f>
        <v>16.308550253477915</v>
      </c>
      <c r="L6" s="24">
        <f>lc_detailed!BG7</f>
        <v>1.4019874133296636E-6</v>
      </c>
      <c r="M6" s="24">
        <f>lc_detailed!BH7</f>
        <v>5.6915712187792975</v>
      </c>
      <c r="N6" s="24">
        <f>lc_detailed!BI7</f>
        <v>-8.6150532880576485</v>
      </c>
      <c r="O6" s="24">
        <f>lc_detailed!BK7</f>
        <v>-14.917818199486907</v>
      </c>
      <c r="P6" s="24">
        <f>lc_detailed!BL7</f>
        <v>6.205724556589689</v>
      </c>
      <c r="Q6" s="24">
        <f>lc_detailed!AT7</f>
        <v>94.153750734262545</v>
      </c>
      <c r="R6" s="24"/>
    </row>
    <row r="7" spans="1:18" x14ac:dyDescent="0.2">
      <c r="A7" t="str">
        <f>lc_detailed!AR8</f>
        <v>NCEN_Ethanol_to_Gasoline</v>
      </c>
      <c r="B7" s="24">
        <f>lc_detailed!AW8</f>
        <v>0</v>
      </c>
      <c r="C7" s="24">
        <f>lc_detailed!AX8</f>
        <v>0</v>
      </c>
      <c r="D7" s="24">
        <f>lc_detailed!AY8</f>
        <v>0.89327172245188913</v>
      </c>
      <c r="E7" s="24">
        <f>lc_detailed!AZ8</f>
        <v>0</v>
      </c>
      <c r="F7" s="24">
        <f>lc_detailed!BA8</f>
        <v>0</v>
      </c>
      <c r="G7" s="24">
        <f>lc_detailed!BB8</f>
        <v>54.525653721883842</v>
      </c>
      <c r="H7" s="24">
        <f>lc_detailed!BC8</f>
        <v>4.6366557735313672</v>
      </c>
      <c r="I7" s="24">
        <f>lc_detailed!BD8</f>
        <v>29.766195291688515</v>
      </c>
      <c r="J7" s="24">
        <f>lc_detailed!BE8</f>
        <v>6.609369191043487E-6</v>
      </c>
      <c r="K7" s="24">
        <f>lc_detailed!BF8</f>
        <v>16.308550253477915</v>
      </c>
      <c r="L7" s="24">
        <f>lc_detailed!BG8</f>
        <v>1.4019874133296636E-6</v>
      </c>
      <c r="M7" s="24">
        <f>lc_detailed!BH8</f>
        <v>5.6915712187792975</v>
      </c>
      <c r="N7" s="24">
        <f>lc_detailed!BI8</f>
        <v>-8.6150532880576485</v>
      </c>
      <c r="O7" s="24">
        <f>lc_detailed!BK8</f>
        <v>-11.401465229849014</v>
      </c>
      <c r="P7" s="24">
        <f>lc_detailed!BL8</f>
        <v>6.205724556589689</v>
      </c>
      <c r="Q7" s="24">
        <f>lc_detailed!AT8</f>
        <v>98.011112031852477</v>
      </c>
      <c r="R7" s="24"/>
    </row>
    <row r="8" spans="1:18" x14ac:dyDescent="0.2">
      <c r="A8" t="str">
        <f>lc_detailed!AR9</f>
        <v>CEN_Ethanol_to_Gasoline</v>
      </c>
      <c r="B8" s="24">
        <f>lc_detailed!AW9</f>
        <v>0</v>
      </c>
      <c r="C8" s="24">
        <f>lc_detailed!AX9</f>
        <v>0</v>
      </c>
      <c r="D8" s="24">
        <f>lc_detailed!AY9</f>
        <v>0.73052592351006007</v>
      </c>
      <c r="E8" s="24">
        <f>lc_detailed!AZ9</f>
        <v>0</v>
      </c>
      <c r="F8" s="24">
        <f>lc_detailed!BA9</f>
        <v>0</v>
      </c>
      <c r="G8" s="24">
        <f>lc_detailed!BB9</f>
        <v>54.525653721883842</v>
      </c>
      <c r="H8" s="24">
        <f>lc_detailed!BC9</f>
        <v>4.6366374699276376</v>
      </c>
      <c r="I8" s="24">
        <f>lc_detailed!BD9</f>
        <v>29.766195291688515</v>
      </c>
      <c r="J8" s="24">
        <f>lc_detailed!BE9</f>
        <v>6.609369191043487E-6</v>
      </c>
      <c r="K8" s="24">
        <f>lc_detailed!BF9</f>
        <v>16.308550253477915</v>
      </c>
      <c r="L8" s="24">
        <f>lc_detailed!BG9</f>
        <v>1.4019874133296636E-6</v>
      </c>
      <c r="M8" s="24">
        <f>lc_detailed!BH9</f>
        <v>5.6915712187792975</v>
      </c>
      <c r="N8" s="24">
        <f>lc_detailed!BI9</f>
        <v>-8.6150532880576485</v>
      </c>
      <c r="O8" s="24">
        <f>lc_detailed!BK9</f>
        <v>-13.144005023862537</v>
      </c>
      <c r="P8" s="24">
        <f>lc_detailed!BL9</f>
        <v>6.205724556589689</v>
      </c>
      <c r="Q8" s="24">
        <f>lc_detailed!AT9</f>
        <v>96.105808135293387</v>
      </c>
      <c r="R8" s="24"/>
    </row>
    <row r="9" spans="1:18" x14ac:dyDescent="0.2">
      <c r="A9" t="str">
        <f>lc_detailed!AR10</f>
        <v>SE_Ethanol_to_Gasoline</v>
      </c>
      <c r="B9" s="24">
        <f>lc_detailed!AW10</f>
        <v>0</v>
      </c>
      <c r="C9" s="24">
        <f>lc_detailed!AX10</f>
        <v>0</v>
      </c>
      <c r="D9" s="24">
        <f>lc_detailed!AY10</f>
        <v>1.1080576494506706</v>
      </c>
      <c r="E9" s="24">
        <f>lc_detailed!AZ10</f>
        <v>0</v>
      </c>
      <c r="F9" s="24">
        <f>lc_detailed!BA10</f>
        <v>0</v>
      </c>
      <c r="G9" s="24">
        <f>lc_detailed!BB10</f>
        <v>54.525653721883842</v>
      </c>
      <c r="H9" s="24">
        <f>lc_detailed!BC10</f>
        <v>4.6366353978215544</v>
      </c>
      <c r="I9" s="24">
        <f>lc_detailed!BD10</f>
        <v>29.766195291688515</v>
      </c>
      <c r="J9" s="24">
        <f>lc_detailed!BE10</f>
        <v>6.609369191043487E-6</v>
      </c>
      <c r="K9" s="24">
        <f>lc_detailed!BF10</f>
        <v>16.308550253477915</v>
      </c>
      <c r="L9" s="24">
        <f>lc_detailed!BG10</f>
        <v>1.4019874133296636E-6</v>
      </c>
      <c r="M9" s="24">
        <f>lc_detailed!BH10</f>
        <v>5.6915712187792975</v>
      </c>
      <c r="N9" s="24">
        <f>lc_detailed!BI10</f>
        <v>-8.6150532880576485</v>
      </c>
      <c r="O9" s="24">
        <f>lc_detailed!BK10</f>
        <v>-10.388092406083391</v>
      </c>
      <c r="P9" s="24">
        <f>lc_detailed!BL10</f>
        <v>6.205724556589689</v>
      </c>
      <c r="Q9" s="24">
        <f>lc_detailed!AT10</f>
        <v>99.239250406907061</v>
      </c>
      <c r="R9" s="24"/>
    </row>
    <row r="10" spans="1:18" x14ac:dyDescent="0.2">
      <c r="A10" t="str">
        <f>lc_detailed!AR11</f>
        <v>MIDAT_Ethanol_to_Gasoline</v>
      </c>
      <c r="B10" s="24">
        <f>lc_detailed!AW11</f>
        <v>0</v>
      </c>
      <c r="C10" s="24">
        <f>lc_detailed!AX11</f>
        <v>0</v>
      </c>
      <c r="D10" s="24">
        <f>lc_detailed!AY11</f>
        <v>1.1429473047861729</v>
      </c>
      <c r="E10" s="24">
        <f>lc_detailed!AZ11</f>
        <v>0</v>
      </c>
      <c r="F10" s="24">
        <f>lc_detailed!BA11</f>
        <v>0</v>
      </c>
      <c r="G10" s="24">
        <f>lc_detailed!BB11</f>
        <v>54.525653721883842</v>
      </c>
      <c r="H10" s="24">
        <f>lc_detailed!BC11</f>
        <v>4.6368312118463635</v>
      </c>
      <c r="I10" s="24">
        <f>lc_detailed!BD11</f>
        <v>29.766195291688515</v>
      </c>
      <c r="J10" s="24">
        <f>lc_detailed!BE11</f>
        <v>6.609369191043487E-6</v>
      </c>
      <c r="K10" s="24">
        <f>lc_detailed!BF11</f>
        <v>16.308550253477915</v>
      </c>
      <c r="L10" s="24">
        <f>lc_detailed!BG11</f>
        <v>1.4019874133296636E-6</v>
      </c>
      <c r="M10" s="24">
        <f>lc_detailed!BH11</f>
        <v>5.6915712187792975</v>
      </c>
      <c r="N10" s="24">
        <f>lc_detailed!BI11</f>
        <v>-8.6150532880576485</v>
      </c>
      <c r="O10" s="24">
        <f>lc_detailed!BK11</f>
        <v>-9.5486724495620532</v>
      </c>
      <c r="P10" s="24">
        <f>lc_detailed!BL11</f>
        <v>6.205724556589689</v>
      </c>
      <c r="Q10" s="24">
        <f>lc_detailed!AT11</f>
        <v>100.11375583278871</v>
      </c>
      <c r="R10" s="24"/>
    </row>
    <row r="11" spans="1:18" x14ac:dyDescent="0.2">
      <c r="A11" t="str">
        <f>lc_detailed!AR12</f>
        <v>NE_Ethanol_to_Gasoline</v>
      </c>
      <c r="B11" s="24">
        <f>lc_detailed!AW12</f>
        <v>0</v>
      </c>
      <c r="C11" s="24">
        <f>lc_detailed!AX12</f>
        <v>0</v>
      </c>
      <c r="D11" s="24">
        <f>lc_detailed!AY12</f>
        <v>1.3775456957997521</v>
      </c>
      <c r="E11" s="24">
        <f>lc_detailed!AZ12</f>
        <v>0</v>
      </c>
      <c r="F11" s="24">
        <f>lc_detailed!BA12</f>
        <v>0</v>
      </c>
      <c r="G11" s="24">
        <f>lc_detailed!BB12</f>
        <v>54.525653721883842</v>
      </c>
      <c r="H11" s="24">
        <f>lc_detailed!BC12</f>
        <v>4.6367790638432833</v>
      </c>
      <c r="I11" s="24">
        <f>lc_detailed!BD12</f>
        <v>29.766195291688515</v>
      </c>
      <c r="J11" s="24">
        <f>lc_detailed!BE12</f>
        <v>6.609369191043487E-6</v>
      </c>
      <c r="K11" s="24">
        <f>lc_detailed!BF12</f>
        <v>16.308550253477915</v>
      </c>
      <c r="L11" s="24">
        <f>lc_detailed!BG12</f>
        <v>1.4019874133296636E-6</v>
      </c>
      <c r="M11" s="24">
        <f>lc_detailed!BH12</f>
        <v>5.6915712187792975</v>
      </c>
      <c r="N11" s="24">
        <f>lc_detailed!BI12</f>
        <v>-8.6150532880576485</v>
      </c>
      <c r="O11" s="24">
        <f>lc_detailed!BK12</f>
        <v>-8.0698388699744168</v>
      </c>
      <c r="P11" s="24">
        <f>lc_detailed!BL12</f>
        <v>6.205724556589689</v>
      </c>
      <c r="Q11" s="24">
        <f>lc_detailed!AT12</f>
        <v>101.82713565538684</v>
      </c>
      <c r="R11" s="24"/>
    </row>
    <row r="12" spans="1:18" x14ac:dyDescent="0.2">
      <c r="A12" t="str">
        <f>lc_detailed!AR13</f>
        <v>CA_Ethanol_to_Diesel</v>
      </c>
      <c r="B12" s="24">
        <f>lc_detailed!AW13</f>
        <v>0.44682721539185538</v>
      </c>
      <c r="C12" s="24">
        <f>lc_detailed!AX13</f>
        <v>0</v>
      </c>
      <c r="D12" s="24">
        <f>lc_detailed!AY13</f>
        <v>1.0554061429305852</v>
      </c>
      <c r="E12" s="24">
        <f>lc_detailed!AZ13</f>
        <v>0</v>
      </c>
      <c r="F12" s="24">
        <f>lc_detailed!BA13</f>
        <v>0</v>
      </c>
      <c r="G12" s="24">
        <f>lc_detailed!BB13</f>
        <v>54.226830181782276</v>
      </c>
      <c r="H12" s="24">
        <f>lc_detailed!BC13</f>
        <v>4.7117573453474728</v>
      </c>
      <c r="I12" s="24">
        <f>lc_detailed!BD13</f>
        <v>32.943833969424723</v>
      </c>
      <c r="J12" s="24">
        <f>lc_detailed!BE13</f>
        <v>6.5731470650405633E-6</v>
      </c>
      <c r="K12" s="24">
        <f>lc_detailed!BF13</f>
        <v>18.049541328236973</v>
      </c>
      <c r="L12" s="24">
        <f>lc_detailed!BG13</f>
        <v>1.3943039320060667E-6</v>
      </c>
      <c r="M12" s="24">
        <f>lc_detailed!BH13</f>
        <v>10.573756333008005</v>
      </c>
      <c r="N12" s="24">
        <f>lc_detailed!BI13</f>
        <v>-8.5678391687216013</v>
      </c>
      <c r="O12" s="24">
        <f>lc_detailed!BK13</f>
        <v>-17.097068416517427</v>
      </c>
      <c r="P12" s="24">
        <f>lc_detailed!BL13</f>
        <v>6.3398287424832249</v>
      </c>
      <c r="Q12" s="24">
        <f>lc_detailed!AT13</f>
        <v>102.68288164081707</v>
      </c>
      <c r="R12" s="24"/>
    </row>
    <row r="13" spans="1:18" x14ac:dyDescent="0.2">
      <c r="A13" t="str">
        <f>lc_detailed!AR14</f>
        <v>NW_Ethanol_to_Diesel</v>
      </c>
      <c r="B13" s="24">
        <f>lc_detailed!AW14</f>
        <v>0.41836130902777774</v>
      </c>
      <c r="C13" s="24">
        <f>lc_detailed!AX14</f>
        <v>0</v>
      </c>
      <c r="D13" s="24">
        <f>lc_detailed!AY14</f>
        <v>0.77481731921985653</v>
      </c>
      <c r="E13" s="24">
        <f>lc_detailed!AZ14</f>
        <v>0</v>
      </c>
      <c r="F13" s="24">
        <f>lc_detailed!BA14</f>
        <v>0</v>
      </c>
      <c r="G13" s="24">
        <f>lc_detailed!BB14</f>
        <v>54.226830181782276</v>
      </c>
      <c r="H13" s="24">
        <f>lc_detailed!BC14</f>
        <v>4.712056154107457</v>
      </c>
      <c r="I13" s="24">
        <f>lc_detailed!BD14</f>
        <v>32.943833969424723</v>
      </c>
      <c r="J13" s="24">
        <f>lc_detailed!BE14</f>
        <v>6.5731470650405633E-6</v>
      </c>
      <c r="K13" s="24">
        <f>lc_detailed!BF14</f>
        <v>18.049541328236973</v>
      </c>
      <c r="L13" s="24">
        <f>lc_detailed!BG14</f>
        <v>1.3943039320060667E-6</v>
      </c>
      <c r="M13" s="24">
        <f>lc_detailed!BH14</f>
        <v>10.573756333008005</v>
      </c>
      <c r="N13" s="24">
        <f>lc_detailed!BI14</f>
        <v>-8.5678391687216013</v>
      </c>
      <c r="O13" s="24">
        <f>lc_detailed!BK14</f>
        <v>-16.929652495216303</v>
      </c>
      <c r="P13" s="24">
        <f>lc_detailed!BL14</f>
        <v>6.3398287424832249</v>
      </c>
      <c r="Q13" s="24">
        <f>lc_detailed!AT14</f>
        <v>102.54154164080337</v>
      </c>
      <c r="R13" s="24"/>
    </row>
    <row r="14" spans="1:18" x14ac:dyDescent="0.2">
      <c r="A14" t="str">
        <f>lc_detailed!AR15</f>
        <v>SW_Ethanol_to_Diesel</v>
      </c>
      <c r="B14" s="24">
        <f>lc_detailed!AW15</f>
        <v>0.39694728070240265</v>
      </c>
      <c r="C14" s="24">
        <f>lc_detailed!AX15</f>
        <v>0</v>
      </c>
      <c r="D14" s="24">
        <f>lc_detailed!AY15</f>
        <v>0.80864948497396527</v>
      </c>
      <c r="E14" s="24">
        <f>lc_detailed!AZ15</f>
        <v>0</v>
      </c>
      <c r="F14" s="24">
        <f>lc_detailed!BA15</f>
        <v>0</v>
      </c>
      <c r="G14" s="24">
        <f>lc_detailed!BB15</f>
        <v>54.226830181782276</v>
      </c>
      <c r="H14" s="24">
        <f>lc_detailed!BC15</f>
        <v>4.7120255863147689</v>
      </c>
      <c r="I14" s="24">
        <f>lc_detailed!BD15</f>
        <v>32.943833969424723</v>
      </c>
      <c r="J14" s="24">
        <f>lc_detailed!BE15</f>
        <v>6.5731470650405633E-6</v>
      </c>
      <c r="K14" s="24">
        <f>lc_detailed!BF15</f>
        <v>18.049541328236973</v>
      </c>
      <c r="L14" s="24">
        <f>lc_detailed!BG15</f>
        <v>1.3943039320060667E-6</v>
      </c>
      <c r="M14" s="24">
        <f>lc_detailed!BH15</f>
        <v>10.573756333008005</v>
      </c>
      <c r="N14" s="24">
        <f>lc_detailed!BI15</f>
        <v>-8.5678391687216013</v>
      </c>
      <c r="O14" s="24">
        <f>lc_detailed!BK15</f>
        <v>-15.685815324898337</v>
      </c>
      <c r="P14" s="24">
        <f>lc_detailed!BL15</f>
        <v>6.3398287424832249</v>
      </c>
      <c r="Q14" s="24">
        <f>lc_detailed!AT15</f>
        <v>103.79776638075738</v>
      </c>
      <c r="R14" s="24"/>
    </row>
    <row r="15" spans="1:18" x14ac:dyDescent="0.2">
      <c r="A15" t="str">
        <f>lc_detailed!AR16</f>
        <v>TX_Ethanol_to_Diesel</v>
      </c>
      <c r="B15" s="24">
        <f>lc_detailed!AW16</f>
        <v>0.28200738510545376</v>
      </c>
      <c r="C15" s="24">
        <f>lc_detailed!AX16</f>
        <v>0</v>
      </c>
      <c r="D15" s="24">
        <f>lc_detailed!AY16</f>
        <v>0.58354481263372848</v>
      </c>
      <c r="E15" s="24">
        <f>lc_detailed!AZ16</f>
        <v>0</v>
      </c>
      <c r="F15" s="24">
        <f>lc_detailed!BA16</f>
        <v>0</v>
      </c>
      <c r="G15" s="24">
        <f>lc_detailed!BB16</f>
        <v>54.226830181782276</v>
      </c>
      <c r="H15" s="24">
        <f>lc_detailed!BC16</f>
        <v>4.5769368935928068</v>
      </c>
      <c r="I15" s="24">
        <f>lc_detailed!BD16</f>
        <v>32.943833969424723</v>
      </c>
      <c r="J15" s="24">
        <f>lc_detailed!BE16</f>
        <v>6.5731470650405633E-6</v>
      </c>
      <c r="K15" s="24">
        <f>lc_detailed!BF16</f>
        <v>18.049541328236973</v>
      </c>
      <c r="L15" s="24">
        <f>lc_detailed!BG16</f>
        <v>1.3943039320060667E-6</v>
      </c>
      <c r="M15" s="24">
        <f>lc_detailed!BH16</f>
        <v>10.573756333008005</v>
      </c>
      <c r="N15" s="24">
        <f>lc_detailed!BI16</f>
        <v>-8.5678391687216013</v>
      </c>
      <c r="O15" s="24">
        <f>lc_detailed!BK16</f>
        <v>-14.836062274694152</v>
      </c>
      <c r="P15" s="24">
        <f>lc_detailed!BL16</f>
        <v>6.3398287424832249</v>
      </c>
      <c r="Q15" s="24">
        <f>lc_detailed!AT16</f>
        <v>104.17238617030243</v>
      </c>
      <c r="R15" s="24"/>
    </row>
    <row r="16" spans="1:18" x14ac:dyDescent="0.2">
      <c r="A16" t="str">
        <f>lc_detailed!AR17</f>
        <v>NCEN_Ethanol_to_Diesel</v>
      </c>
      <c r="B16" s="24">
        <f>lc_detailed!AW17</f>
        <v>0.41713164591130536</v>
      </c>
      <c r="C16" s="24">
        <f>lc_detailed!AX17</f>
        <v>0</v>
      </c>
      <c r="D16" s="24">
        <f>lc_detailed!AY17</f>
        <v>0.88837621730605054</v>
      </c>
      <c r="E16" s="24">
        <f>lc_detailed!AZ17</f>
        <v>0</v>
      </c>
      <c r="F16" s="24">
        <f>lc_detailed!BA17</f>
        <v>0</v>
      </c>
      <c r="G16" s="24">
        <f>lc_detailed!BB17</f>
        <v>54.226830181782276</v>
      </c>
      <c r="H16" s="24">
        <f>lc_detailed!BC17</f>
        <v>4.611244947655786</v>
      </c>
      <c r="I16" s="24">
        <f>lc_detailed!BD17</f>
        <v>32.943833969424723</v>
      </c>
      <c r="J16" s="24">
        <f>lc_detailed!BE17</f>
        <v>6.5731470650405633E-6</v>
      </c>
      <c r="K16" s="24">
        <f>lc_detailed!BF17</f>
        <v>18.049541328236973</v>
      </c>
      <c r="L16" s="24">
        <f>lc_detailed!BG17</f>
        <v>1.3943039320060667E-6</v>
      </c>
      <c r="M16" s="24">
        <f>lc_detailed!BH17</f>
        <v>10.573756333008005</v>
      </c>
      <c r="N16" s="24">
        <f>lc_detailed!BI17</f>
        <v>-8.5678391687216013</v>
      </c>
      <c r="O16" s="24">
        <f>lc_detailed!BK17</f>
        <v>-11.3389803998696</v>
      </c>
      <c r="P16" s="24">
        <f>lc_detailed!BL17</f>
        <v>6.3398287424832249</v>
      </c>
      <c r="Q16" s="24">
        <f>lc_detailed!AT17</f>
        <v>108.14373176466813</v>
      </c>
      <c r="R16" s="24"/>
    </row>
    <row r="17" spans="1:18" x14ac:dyDescent="0.2">
      <c r="A17" t="str">
        <f>lc_detailed!AR18</f>
        <v>CEN_Ethanol_to_Diesel</v>
      </c>
      <c r="B17" s="24">
        <f>lc_detailed!AW18</f>
        <v>0.38705155177669942</v>
      </c>
      <c r="C17" s="24">
        <f>lc_detailed!AX18</f>
        <v>0</v>
      </c>
      <c r="D17" s="24">
        <f>lc_detailed!AY18</f>
        <v>0.72652233386558362</v>
      </c>
      <c r="E17" s="24">
        <f>lc_detailed!AZ18</f>
        <v>0</v>
      </c>
      <c r="F17" s="24">
        <f>lc_detailed!BA18</f>
        <v>0</v>
      </c>
      <c r="G17" s="24">
        <f>lc_detailed!BB18</f>
        <v>54.226830181782276</v>
      </c>
      <c r="H17" s="24">
        <f>lc_detailed!BC18</f>
        <v>4.6112267443635115</v>
      </c>
      <c r="I17" s="24">
        <f>lc_detailed!BD18</f>
        <v>32.943833969424723</v>
      </c>
      <c r="J17" s="24">
        <f>lc_detailed!BE18</f>
        <v>6.5731470650405633E-6</v>
      </c>
      <c r="K17" s="24">
        <f>lc_detailed!BF18</f>
        <v>18.049541328236973</v>
      </c>
      <c r="L17" s="24">
        <f>lc_detailed!BG18</f>
        <v>1.3943039320060667E-6</v>
      </c>
      <c r="M17" s="24">
        <f>lc_detailed!BH18</f>
        <v>10.573756333008005</v>
      </c>
      <c r="N17" s="24">
        <f>lc_detailed!BI18</f>
        <v>-8.5678391687216013</v>
      </c>
      <c r="O17" s="24">
        <f>lc_detailed!BK18</f>
        <v>-13.071970342125802</v>
      </c>
      <c r="P17" s="24">
        <f>lc_detailed!BL18</f>
        <v>6.3398287424832249</v>
      </c>
      <c r="Q17" s="24">
        <f>lc_detailed!AT18</f>
        <v>106.21878964154457</v>
      </c>
      <c r="R17" s="24"/>
    </row>
    <row r="18" spans="1:18" x14ac:dyDescent="0.2">
      <c r="A18" t="str">
        <f>lc_detailed!AR19</f>
        <v>SE_Ethanol_to_Diesel</v>
      </c>
      <c r="B18" s="24">
        <f>lc_detailed!AW19</f>
        <v>0.45445465074852531</v>
      </c>
      <c r="C18" s="24">
        <f>lc_detailed!AX19</f>
        <v>0</v>
      </c>
      <c r="D18" s="24">
        <f>lc_detailed!AY19</f>
        <v>1.101985026990528</v>
      </c>
      <c r="E18" s="24">
        <f>lc_detailed!AZ19</f>
        <v>0</v>
      </c>
      <c r="F18" s="24">
        <f>lc_detailed!BA19</f>
        <v>0</v>
      </c>
      <c r="G18" s="24">
        <f>lc_detailed!BB19</f>
        <v>54.226830181782276</v>
      </c>
      <c r="H18" s="24">
        <f>lc_detailed!BC19</f>
        <v>4.6112246836134423</v>
      </c>
      <c r="I18" s="24">
        <f>lc_detailed!BD19</f>
        <v>32.943833969424723</v>
      </c>
      <c r="J18" s="24">
        <f>lc_detailed!BE19</f>
        <v>6.5731470650405633E-6</v>
      </c>
      <c r="K18" s="24">
        <f>lc_detailed!BF19</f>
        <v>18.049541328236973</v>
      </c>
      <c r="L18" s="24">
        <f>lc_detailed!BG19</f>
        <v>1.3943039320060667E-6</v>
      </c>
      <c r="M18" s="24">
        <f>lc_detailed!BH19</f>
        <v>10.573756333008005</v>
      </c>
      <c r="N18" s="24">
        <f>lc_detailed!BI19</f>
        <v>-8.5678391687216013</v>
      </c>
      <c r="O18" s="24">
        <f>lc_detailed!BK19</f>
        <v>-10.331161285852875</v>
      </c>
      <c r="P18" s="24">
        <f>lc_detailed!BL19</f>
        <v>6.3398287424832249</v>
      </c>
      <c r="Q18" s="24">
        <f>lc_detailed!AT19</f>
        <v>109.4024624291642</v>
      </c>
      <c r="R18" s="24"/>
    </row>
    <row r="19" spans="1:18" x14ac:dyDescent="0.2">
      <c r="A19" t="str">
        <f>lc_detailed!AR20</f>
        <v>MIDAT_Ethanol_to_Diesel</v>
      </c>
      <c r="B19" s="24">
        <f>lc_detailed!AW20</f>
        <v>0.47340237975133176</v>
      </c>
      <c r="C19" s="24">
        <f>lc_detailed!AX20</f>
        <v>0</v>
      </c>
      <c r="D19" s="24">
        <f>lc_detailed!AY20</f>
        <v>1.1366834723247079</v>
      </c>
      <c r="E19" s="24">
        <f>lc_detailed!AZ20</f>
        <v>0</v>
      </c>
      <c r="F19" s="24">
        <f>lc_detailed!BA20</f>
        <v>0</v>
      </c>
      <c r="G19" s="24">
        <f>lc_detailed!BB20</f>
        <v>54.226830181782276</v>
      </c>
      <c r="H19" s="24">
        <f>lc_detailed!BC20</f>
        <v>4.6114194244949491</v>
      </c>
      <c r="I19" s="24">
        <f>lc_detailed!BD20</f>
        <v>32.943833969424723</v>
      </c>
      <c r="J19" s="24">
        <f>lc_detailed!BE20</f>
        <v>6.5731470650405633E-6</v>
      </c>
      <c r="K19" s="24">
        <f>lc_detailed!BF20</f>
        <v>18.049541328236973</v>
      </c>
      <c r="L19" s="24">
        <f>lc_detailed!BG20</f>
        <v>1.3943039320060667E-6</v>
      </c>
      <c r="M19" s="24">
        <f>lc_detailed!BH20</f>
        <v>10.573756333008005</v>
      </c>
      <c r="N19" s="24">
        <f>lc_detailed!BI20</f>
        <v>-8.5678391687216013</v>
      </c>
      <c r="O19" s="24">
        <f>lc_detailed!BK20</f>
        <v>-9.4963417041261078</v>
      </c>
      <c r="P19" s="24">
        <f>lc_detailed!BL20</f>
        <v>6.3398287424832249</v>
      </c>
      <c r="Q19" s="24">
        <f>lc_detailed!AT20</f>
        <v>110.29112292610947</v>
      </c>
      <c r="R19" s="24"/>
    </row>
    <row r="20" spans="1:18" x14ac:dyDescent="0.2">
      <c r="A20" t="str">
        <f>lc_detailed!AR21</f>
        <v>NE_Ethanol_to_Diesel</v>
      </c>
      <c r="B20" s="24">
        <f>lc_detailed!AW21</f>
        <v>0.50046125159233168</v>
      </c>
      <c r="C20" s="24">
        <f>lc_detailed!AX21</f>
        <v>0</v>
      </c>
      <c r="D20" s="24">
        <f>lc_detailed!AY21</f>
        <v>1.3699961653792605</v>
      </c>
      <c r="E20" s="24">
        <f>lc_detailed!AZ21</f>
        <v>0</v>
      </c>
      <c r="F20" s="24">
        <f>lc_detailed!BA21</f>
        <v>0</v>
      </c>
      <c r="G20" s="24">
        <f>lc_detailed!BB21</f>
        <v>54.226830181782276</v>
      </c>
      <c r="H20" s="24">
        <f>lc_detailed!BC21</f>
        <v>4.6113675622848831</v>
      </c>
      <c r="I20" s="24">
        <f>lc_detailed!BD21</f>
        <v>32.943833969424723</v>
      </c>
      <c r="J20" s="24">
        <f>lc_detailed!BE21</f>
        <v>6.5731470650405633E-6</v>
      </c>
      <c r="K20" s="24">
        <f>lc_detailed!BF21</f>
        <v>18.049541328236973</v>
      </c>
      <c r="L20" s="24">
        <f>lc_detailed!BG21</f>
        <v>1.3943039320060667E-6</v>
      </c>
      <c r="M20" s="24">
        <f>lc_detailed!BH21</f>
        <v>10.573756333008005</v>
      </c>
      <c r="N20" s="24">
        <f>lc_detailed!BI21</f>
        <v>-8.5678391687216013</v>
      </c>
      <c r="O20" s="24">
        <f>lc_detailed!BK21</f>
        <v>-8.0256127552087868</v>
      </c>
      <c r="P20" s="24">
        <f>lc_detailed!BL21</f>
        <v>6.3398287424832249</v>
      </c>
      <c r="Q20" s="24">
        <f>lc_detailed!AT21</f>
        <v>112.02217157771227</v>
      </c>
      <c r="R20" s="24"/>
    </row>
    <row r="21" spans="1:18" x14ac:dyDescent="0.2">
      <c r="A21" t="str">
        <f>lc_detailed!AR22</f>
        <v>CA_Ethanol_to_JetFuel</v>
      </c>
      <c r="B21" s="24">
        <f>lc_detailed!AW22</f>
        <v>0.74749113666378697</v>
      </c>
      <c r="C21" s="24">
        <f>lc_detailed!AX22</f>
        <v>0</v>
      </c>
      <c r="D21" s="24">
        <f>lc_detailed!AY22</f>
        <v>1.0593447297554048</v>
      </c>
      <c r="E21" s="24">
        <f>lc_detailed!AZ22</f>
        <v>0</v>
      </c>
      <c r="F21" s="24">
        <f>lc_detailed!BA22</f>
        <v>0</v>
      </c>
      <c r="G21" s="24">
        <f>lc_detailed!BB22</f>
        <v>54.429195006296808</v>
      </c>
      <c r="H21" s="24">
        <f>lc_detailed!BC22</f>
        <v>4.7293407804320964</v>
      </c>
      <c r="I21" s="24">
        <f>lc_detailed!BD22</f>
        <v>44.358671135811861</v>
      </c>
      <c r="J21" s="24">
        <f>lc_detailed!BE22</f>
        <v>6.5976768734004846E-6</v>
      </c>
      <c r="K21" s="24">
        <f>lc_detailed!BF22</f>
        <v>24.303597093796171</v>
      </c>
      <c r="L21" s="24">
        <f>lc_detailed!BG22</f>
        <v>1.3995072247225035E-6</v>
      </c>
      <c r="M21" s="24">
        <f>lc_detailed!BH22</f>
        <v>14.045350129172764</v>
      </c>
      <c r="N21" s="24">
        <f>lc_detailed!BI22</f>
        <v>-8.5998128109948961</v>
      </c>
      <c r="O21" s="24">
        <f>lc_detailed!BK22</f>
        <v>-17.16087161574967</v>
      </c>
      <c r="P21" s="24">
        <f>lc_detailed!BL22</f>
        <v>6.2815078508037034</v>
      </c>
      <c r="Q21" s="24">
        <f>lc_detailed!AT22</f>
        <v>124.1938214331721</v>
      </c>
      <c r="R21" s="24"/>
    </row>
    <row r="22" spans="1:18" x14ac:dyDescent="0.2">
      <c r="A22" t="str">
        <f>lc_detailed!AR23</f>
        <v>NW_Ethanol_to_JetFuel</v>
      </c>
      <c r="B22" s="24">
        <f>lc_detailed!AW23</f>
        <v>0.69987091128071788</v>
      </c>
      <c r="C22" s="24">
        <f>lc_detailed!AX23</f>
        <v>0</v>
      </c>
      <c r="D22" s="24">
        <f>lc_detailed!AY23</f>
        <v>0.7777087987754403</v>
      </c>
      <c r="E22" s="24">
        <f>lc_detailed!AZ23</f>
        <v>0</v>
      </c>
      <c r="F22" s="24">
        <f>lc_detailed!BA23</f>
        <v>0</v>
      </c>
      <c r="G22" s="24">
        <f>lc_detailed!BB23</f>
        <v>54.429195006296808</v>
      </c>
      <c r="H22" s="24">
        <f>lc_detailed!BC23</f>
        <v>4.7296407042928914</v>
      </c>
      <c r="I22" s="24">
        <f>lc_detailed!BD23</f>
        <v>44.358671135811861</v>
      </c>
      <c r="J22" s="24">
        <f>lc_detailed!BE23</f>
        <v>6.5976768734004846E-6</v>
      </c>
      <c r="K22" s="24">
        <f>lc_detailed!BF23</f>
        <v>24.303597093796171</v>
      </c>
      <c r="L22" s="24">
        <f>lc_detailed!BG23</f>
        <v>1.3995072247225035E-6</v>
      </c>
      <c r="M22" s="24">
        <f>lc_detailed!BH23</f>
        <v>14.045350129172764</v>
      </c>
      <c r="N22" s="24">
        <f>lc_detailed!BI23</f>
        <v>-8.5998128109948961</v>
      </c>
      <c r="O22" s="24">
        <f>lc_detailed!BK23</f>
        <v>-16.992830928194987</v>
      </c>
      <c r="P22" s="24">
        <f>lc_detailed!BL23</f>
        <v>6.2815078508037034</v>
      </c>
      <c r="Q22" s="24">
        <f>lc_detailed!AT23</f>
        <v>124.03290588822458</v>
      </c>
      <c r="R22" s="24"/>
    </row>
    <row r="23" spans="1:18" x14ac:dyDescent="0.2">
      <c r="A23" t="str">
        <f>lc_detailed!AR24</f>
        <v>SW_Ethanol_to_JetFuel</v>
      </c>
      <c r="B23" s="24">
        <f>lc_detailed!AW24</f>
        <v>0.66404767620886207</v>
      </c>
      <c r="C23" s="24">
        <f>lc_detailed!AX24</f>
        <v>0</v>
      </c>
      <c r="D23" s="24">
        <f>lc_detailed!AY24</f>
        <v>0.81166722011673398</v>
      </c>
      <c r="E23" s="24">
        <f>lc_detailed!AZ24</f>
        <v>0</v>
      </c>
      <c r="F23" s="24">
        <f>lc_detailed!BA24</f>
        <v>0</v>
      </c>
      <c r="G23" s="24">
        <f>lc_detailed!BB24</f>
        <v>54.429195006296808</v>
      </c>
      <c r="H23" s="24">
        <f>lc_detailed!BC24</f>
        <v>4.7296100224266713</v>
      </c>
      <c r="I23" s="24">
        <f>lc_detailed!BD24</f>
        <v>44.358671135811861</v>
      </c>
      <c r="J23" s="24">
        <f>lc_detailed!BE24</f>
        <v>6.5976768734004846E-6</v>
      </c>
      <c r="K23" s="24">
        <f>lc_detailed!BF24</f>
        <v>24.303597093796171</v>
      </c>
      <c r="L23" s="24">
        <f>lc_detailed!BG24</f>
        <v>1.3995072247225035E-6</v>
      </c>
      <c r="M23" s="24">
        <f>lc_detailed!BH24</f>
        <v>14.045350129172764</v>
      </c>
      <c r="N23" s="24">
        <f>lc_detailed!BI24</f>
        <v>-8.5998128109948961</v>
      </c>
      <c r="O23" s="24">
        <f>lc_detailed!BK24</f>
        <v>-15.744351980184096</v>
      </c>
      <c r="P23" s="24">
        <f>lc_detailed!BL24</f>
        <v>6.2815078508037034</v>
      </c>
      <c r="Q23" s="24">
        <f>lc_detailed!AT24</f>
        <v>125.27948934063869</v>
      </c>
      <c r="R23" s="24"/>
    </row>
    <row r="24" spans="1:18" x14ac:dyDescent="0.2">
      <c r="A24" t="str">
        <f>lc_detailed!AR25</f>
        <v>TX_Ethanol_to_JetFuel</v>
      </c>
      <c r="B24" s="24">
        <f>lc_detailed!AW25</f>
        <v>0.47176629708016726</v>
      </c>
      <c r="C24" s="24">
        <f>lc_detailed!AX25</f>
        <v>0</v>
      </c>
      <c r="D24" s="24">
        <f>lc_detailed!AY25</f>
        <v>0.58572249742941207</v>
      </c>
      <c r="E24" s="24">
        <f>lc_detailed!AZ25</f>
        <v>0</v>
      </c>
      <c r="F24" s="24">
        <f>lc_detailed!BA25</f>
        <v>0</v>
      </c>
      <c r="G24" s="24">
        <f>lc_detailed!BB25</f>
        <v>54.429195006296808</v>
      </c>
      <c r="H24" s="24">
        <f>lc_detailed!BC25</f>
        <v>4.5940172028821582</v>
      </c>
      <c r="I24" s="24">
        <f>lc_detailed!BD25</f>
        <v>44.358671135811861</v>
      </c>
      <c r="J24" s="24">
        <f>lc_detailed!BE25</f>
        <v>6.5976768734004846E-6</v>
      </c>
      <c r="K24" s="24">
        <f>lc_detailed!BF25</f>
        <v>24.303597093796171</v>
      </c>
      <c r="L24" s="24">
        <f>lc_detailed!BG25</f>
        <v>1.3995072247225035E-6</v>
      </c>
      <c r="M24" s="24">
        <f>lc_detailed!BH25</f>
        <v>14.045350129172764</v>
      </c>
      <c r="N24" s="24">
        <f>lc_detailed!BI25</f>
        <v>-8.5998128109948961</v>
      </c>
      <c r="O24" s="24">
        <f>lc_detailed!BK25</f>
        <v>-14.891427803688574</v>
      </c>
      <c r="P24" s="24">
        <f>lc_detailed!BL25</f>
        <v>6.2815078508037034</v>
      </c>
      <c r="Q24" s="24">
        <f>lc_detailed!AT25</f>
        <v>125.57859459577367</v>
      </c>
      <c r="R24" s="24"/>
    </row>
    <row r="25" spans="1:18" x14ac:dyDescent="0.2">
      <c r="A25" t="str">
        <f>lc_detailed!AR26</f>
        <v>NCEN_Ethanol_to_JetFuel</v>
      </c>
      <c r="B25" s="24">
        <f>lc_detailed!AW26</f>
        <v>0.69781382467322595</v>
      </c>
      <c r="C25" s="24">
        <f>lc_detailed!AX26</f>
        <v>0</v>
      </c>
      <c r="D25" s="24">
        <f>lc_detailed!AY26</f>
        <v>0.89169147834408946</v>
      </c>
      <c r="E25" s="24">
        <f>lc_detailed!AZ26</f>
        <v>0</v>
      </c>
      <c r="F25" s="24">
        <f>lc_detailed!BA26</f>
        <v>0</v>
      </c>
      <c r="G25" s="24">
        <f>lc_detailed!BB26</f>
        <v>54.429195006296808</v>
      </c>
      <c r="H25" s="24">
        <f>lc_detailed!BC26</f>
        <v>4.6284532884623149</v>
      </c>
      <c r="I25" s="24">
        <f>lc_detailed!BD26</f>
        <v>44.358671135811861</v>
      </c>
      <c r="J25" s="24">
        <f>lc_detailed!BE26</f>
        <v>6.5976768734004846E-6</v>
      </c>
      <c r="K25" s="24">
        <f>lc_detailed!BF26</f>
        <v>24.303597093796171</v>
      </c>
      <c r="L25" s="24">
        <f>lc_detailed!BG26</f>
        <v>1.3995072247225035E-6</v>
      </c>
      <c r="M25" s="24">
        <f>lc_detailed!BH26</f>
        <v>14.045350129172764</v>
      </c>
      <c r="N25" s="24">
        <f>lc_detailed!BI26</f>
        <v>-8.5998128109948961</v>
      </c>
      <c r="O25" s="24">
        <f>lc_detailed!BK26</f>
        <v>-11.381295445228163</v>
      </c>
      <c r="P25" s="24">
        <f>lc_detailed!BL26</f>
        <v>6.2815078508037034</v>
      </c>
      <c r="Q25" s="24">
        <f>lc_detailed!AT26</f>
        <v>129.65517954832197</v>
      </c>
      <c r="R25" s="24"/>
    </row>
    <row r="26" spans="1:18" x14ac:dyDescent="0.2">
      <c r="A26" t="str">
        <f>lc_detailed!AR27</f>
        <v>CEN_Ethanol_to_JetFuel</v>
      </c>
      <c r="B26" s="24">
        <f>lc_detailed!AW27</f>
        <v>0.64749324664864905</v>
      </c>
      <c r="C26" s="24">
        <f>lc_detailed!AX27</f>
        <v>0</v>
      </c>
      <c r="D26" s="24">
        <f>lc_detailed!AY27</f>
        <v>0.72923358517984505</v>
      </c>
      <c r="E26" s="24">
        <f>lc_detailed!AZ27</f>
        <v>0</v>
      </c>
      <c r="F26" s="24">
        <f>lc_detailed!BA27</f>
        <v>0</v>
      </c>
      <c r="G26" s="24">
        <f>lc_detailed!BB27</f>
        <v>54.429195006296808</v>
      </c>
      <c r="H26" s="24">
        <f>lc_detailed!BC27</f>
        <v>4.6284350172386111</v>
      </c>
      <c r="I26" s="24">
        <f>lc_detailed!BD27</f>
        <v>44.358671135811861</v>
      </c>
      <c r="J26" s="24">
        <f>lc_detailed!BE27</f>
        <v>6.5976768734004846E-6</v>
      </c>
      <c r="K26" s="24">
        <f>lc_detailed!BF27</f>
        <v>24.303597093796171</v>
      </c>
      <c r="L26" s="24">
        <f>lc_detailed!BG27</f>
        <v>1.3995072247225035E-6</v>
      </c>
      <c r="M26" s="24">
        <f>lc_detailed!BH27</f>
        <v>14.045350129172764</v>
      </c>
      <c r="N26" s="24">
        <f>lc_detailed!BI27</f>
        <v>-8.5998128109948961</v>
      </c>
      <c r="O26" s="24">
        <f>lc_detailed!BK27</f>
        <v>-13.120752595771748</v>
      </c>
      <c r="P26" s="24">
        <f>lc_detailed!BL27</f>
        <v>6.2815078508037034</v>
      </c>
      <c r="Q26" s="24">
        <f>lc_detailed!AT27</f>
        <v>127.70292565536586</v>
      </c>
      <c r="R26" s="24"/>
    </row>
    <row r="27" spans="1:18" x14ac:dyDescent="0.2">
      <c r="A27" t="str">
        <f>lc_detailed!AR28</f>
        <v>SE_Ethanol_to_JetFuel</v>
      </c>
      <c r="B27" s="24">
        <f>lc_detailed!AW28</f>
        <v>0.76025096893941679</v>
      </c>
      <c r="C27" s="24">
        <f>lc_detailed!AX28</f>
        <v>0</v>
      </c>
      <c r="D27" s="24">
        <f>lc_detailed!AY28</f>
        <v>1.106097437873794</v>
      </c>
      <c r="E27" s="24">
        <f>lc_detailed!AZ28</f>
        <v>0</v>
      </c>
      <c r="F27" s="24">
        <f>lc_detailed!BA28</f>
        <v>0</v>
      </c>
      <c r="G27" s="24">
        <f>lc_detailed!BB28</f>
        <v>54.429195006296808</v>
      </c>
      <c r="H27" s="24">
        <f>lc_detailed!BC28</f>
        <v>4.6284329487981912</v>
      </c>
      <c r="I27" s="24">
        <f>lc_detailed!BD28</f>
        <v>44.358671135811861</v>
      </c>
      <c r="J27" s="24">
        <f>lc_detailed!BE28</f>
        <v>6.5976768734004846E-6</v>
      </c>
      <c r="K27" s="24">
        <f>lc_detailed!BF28</f>
        <v>24.303597093796171</v>
      </c>
      <c r="L27" s="24">
        <f>lc_detailed!BG28</f>
        <v>1.3995072247225035E-6</v>
      </c>
      <c r="M27" s="24">
        <f>lc_detailed!BH28</f>
        <v>14.045350129172764</v>
      </c>
      <c r="N27" s="24">
        <f>lc_detailed!BI28</f>
        <v>-8.5998128109948961</v>
      </c>
      <c r="O27" s="24">
        <f>lc_detailed!BK28</f>
        <v>-10.36971533066122</v>
      </c>
      <c r="P27" s="24">
        <f>lc_detailed!BL28</f>
        <v>6.2815078508037034</v>
      </c>
      <c r="Q27" s="24">
        <f>lc_detailed!AT28</f>
        <v>130.94358242702066</v>
      </c>
      <c r="R27" s="24"/>
    </row>
    <row r="28" spans="1:18" x14ac:dyDescent="0.2">
      <c r="A28" t="str">
        <f>lc_detailed!AR29</f>
        <v>MIDAT_Ethanol_to_JetFuel</v>
      </c>
      <c r="B28" s="24">
        <f>lc_detailed!AW29</f>
        <v>0.79194836561003901</v>
      </c>
      <c r="C28" s="24">
        <f>lc_detailed!AX29</f>
        <v>0</v>
      </c>
      <c r="D28" s="24">
        <f>lc_detailed!AY29</f>
        <v>1.1409253715955014</v>
      </c>
      <c r="E28" s="24">
        <f>lc_detailed!AZ29</f>
        <v>0</v>
      </c>
      <c r="F28" s="24">
        <f>lc_detailed!BA29</f>
        <v>0</v>
      </c>
      <c r="G28" s="24">
        <f>lc_detailed!BB29</f>
        <v>54.429195006296808</v>
      </c>
      <c r="H28" s="24">
        <f>lc_detailed!BC29</f>
        <v>4.6286284164178131</v>
      </c>
      <c r="I28" s="24">
        <f>lc_detailed!BD29</f>
        <v>44.358671135811861</v>
      </c>
      <c r="J28" s="24">
        <f>lc_detailed!BE29</f>
        <v>6.5976768734004846E-6</v>
      </c>
      <c r="K28" s="24">
        <f>lc_detailed!BF29</f>
        <v>24.303597093796171</v>
      </c>
      <c r="L28" s="24">
        <f>lc_detailed!BG29</f>
        <v>1.3995072247225035E-6</v>
      </c>
      <c r="M28" s="24">
        <f>lc_detailed!BH29</f>
        <v>14.045350129172764</v>
      </c>
      <c r="N28" s="24">
        <f>lc_detailed!BI29</f>
        <v>-8.5998128109948961</v>
      </c>
      <c r="O28" s="24">
        <f>lc_detailed!BK29</f>
        <v>-9.5317803516746249</v>
      </c>
      <c r="P28" s="24">
        <f>lc_detailed!BL29</f>
        <v>6.2815078508037034</v>
      </c>
      <c r="Q28" s="24">
        <f>lc_detailed!AT29</f>
        <v>131.84823820401922</v>
      </c>
    </row>
    <row r="29" spans="1:18" x14ac:dyDescent="0.2">
      <c r="A29" t="str">
        <f>lc_detailed!AR30</f>
        <v>NE_Ethanol_to_JetFuel</v>
      </c>
      <c r="B29" s="24">
        <f>lc_detailed!AW30</f>
        <v>0.83721478218569645</v>
      </c>
      <c r="C29" s="24">
        <f>lc_detailed!AX30</f>
        <v>0</v>
      </c>
      <c r="D29" s="24">
        <f>lc_detailed!AY30</f>
        <v>1.3751087458613422</v>
      </c>
      <c r="E29" s="24">
        <f>lc_detailed!AZ30</f>
        <v>0</v>
      </c>
      <c r="F29" s="24">
        <f>lc_detailed!BA30</f>
        <v>0</v>
      </c>
      <c r="G29" s="24">
        <f>lc_detailed!BB30</f>
        <v>54.429195006296808</v>
      </c>
      <c r="H29" s="24">
        <f>lc_detailed!BC30</f>
        <v>4.6285763606672612</v>
      </c>
      <c r="I29" s="24">
        <f>lc_detailed!BD30</f>
        <v>44.358671135811861</v>
      </c>
      <c r="J29" s="24">
        <f>lc_detailed!BE30</f>
        <v>6.5976768734004846E-6</v>
      </c>
      <c r="K29" s="24">
        <f>lc_detailed!BF30</f>
        <v>24.303597093796171</v>
      </c>
      <c r="L29" s="24">
        <f>lc_detailed!BG30</f>
        <v>1.3995072247225035E-6</v>
      </c>
      <c r="M29" s="24">
        <f>lc_detailed!BH30</f>
        <v>14.045350129172764</v>
      </c>
      <c r="N29" s="24">
        <f>lc_detailed!BI30</f>
        <v>-8.5998128109948961</v>
      </c>
      <c r="O29" s="24">
        <f>lc_detailed!BK30</f>
        <v>-8.0555629055565952</v>
      </c>
      <c r="P29" s="24">
        <f>lc_detailed!BL30</f>
        <v>6.2815078508037034</v>
      </c>
      <c r="Q29" s="24">
        <f>lc_detailed!AT30</f>
        <v>133.60385338522821</v>
      </c>
    </row>
    <row r="30" spans="1:18" x14ac:dyDescent="0.2">
      <c r="A30" t="str">
        <f>lc_detailed!AR31</f>
        <v>CA_Ethanol_to_Gasoline_Diesel</v>
      </c>
      <c r="B30" s="24">
        <f>lc_detailed!AW31</f>
        <v>0</v>
      </c>
      <c r="C30" s="24">
        <f>lc_detailed!AX31</f>
        <v>0</v>
      </c>
      <c r="D30" s="24">
        <f>lc_detailed!AY31</f>
        <v>1.055863599653226</v>
      </c>
      <c r="E30" s="24">
        <f>lc_detailed!AZ31</f>
        <v>0</v>
      </c>
      <c r="F30" s="24">
        <f>lc_detailed!BA31</f>
        <v>0</v>
      </c>
      <c r="G30" s="24">
        <f>lc_detailed!BB31</f>
        <v>54.250334335306789</v>
      </c>
      <c r="H30" s="24">
        <f>lc_detailed!BC31</f>
        <v>4.7137996160766304</v>
      </c>
      <c r="I30" s="24">
        <f>lc_detailed!BD31</f>
        <v>30.200900542001456</v>
      </c>
      <c r="J30" s="24">
        <f>lc_detailed!BE31</f>
        <v>6.5759961391471998E-6</v>
      </c>
      <c r="K30" s="24">
        <f>lc_detailed!BF31</f>
        <v>16.546720181413264</v>
      </c>
      <c r="L30" s="24">
        <f>lc_detailed!BG31</f>
        <v>1.394908281062942E-6</v>
      </c>
      <c r="M30" s="24">
        <f>lc_detailed!BH31</f>
        <v>6.3154265294454719</v>
      </c>
      <c r="N30" s="24">
        <f>lc_detailed!BI31</f>
        <v>-8.5715528249784736</v>
      </c>
      <c r="O30" s="24">
        <f>lc_detailed!BK31</f>
        <v>-17.104478993892752</v>
      </c>
      <c r="P30" s="24">
        <f>lc_detailed!BL31</f>
        <v>6.3469977507286295</v>
      </c>
      <c r="Q30" s="24">
        <f>lc_detailed!AT31</f>
        <v>93.75401870665867</v>
      </c>
    </row>
    <row r="31" spans="1:18" x14ac:dyDescent="0.2">
      <c r="A31" t="str">
        <f>lc_detailed!AR32</f>
        <v>NW_Ethanol_to_Gasoline_Diesel</v>
      </c>
      <c r="B31" s="24">
        <f>lc_detailed!AW32</f>
        <v>0</v>
      </c>
      <c r="C31" s="24">
        <f>lc_detailed!AX32</f>
        <v>0</v>
      </c>
      <c r="D31" s="24">
        <f>lc_detailed!AY32</f>
        <v>0.77515315712820076</v>
      </c>
      <c r="E31" s="24">
        <f>lc_detailed!AZ32</f>
        <v>0</v>
      </c>
      <c r="F31" s="24">
        <f>lc_detailed!BA32</f>
        <v>0</v>
      </c>
      <c r="G31" s="24">
        <f>lc_detailed!BB32</f>
        <v>54.250334335306789</v>
      </c>
      <c r="H31" s="24">
        <f>lc_detailed!BC32</f>
        <v>4.7140985543527041</v>
      </c>
      <c r="I31" s="24">
        <f>lc_detailed!BD32</f>
        <v>30.200900542001456</v>
      </c>
      <c r="J31" s="24">
        <f>lc_detailed!BE32</f>
        <v>6.5759961391471998E-6</v>
      </c>
      <c r="K31" s="24">
        <f>lc_detailed!BF32</f>
        <v>16.546720181413264</v>
      </c>
      <c r="L31" s="24">
        <f>lc_detailed!BG32</f>
        <v>1.394908281062942E-6</v>
      </c>
      <c r="M31" s="24">
        <f>lc_detailed!BH32</f>
        <v>6.3154265294454719</v>
      </c>
      <c r="N31" s="24">
        <f>lc_detailed!BI32</f>
        <v>-8.5715528249784736</v>
      </c>
      <c r="O31" s="24">
        <f>lc_detailed!BK32</f>
        <v>-16.93699050759929</v>
      </c>
      <c r="P31" s="24">
        <f>lc_detailed!BL32</f>
        <v>6.3469977507286295</v>
      </c>
      <c r="Q31" s="24">
        <f>lc_detailed!AT32</f>
        <v>93.641095688703189</v>
      </c>
    </row>
    <row r="32" spans="1:18" x14ac:dyDescent="0.2">
      <c r="A32" t="str">
        <f>lc_detailed!AR33</f>
        <v>SW_Ethanol_to_Gasoline_Diesel</v>
      </c>
      <c r="B32" s="24">
        <f>lc_detailed!AW33</f>
        <v>0</v>
      </c>
      <c r="C32" s="24">
        <f>lc_detailed!AX33</f>
        <v>0</v>
      </c>
      <c r="D32" s="24">
        <f>lc_detailed!AY33</f>
        <v>0.80899998714380683</v>
      </c>
      <c r="E32" s="24">
        <f>lc_detailed!AZ33</f>
        <v>0</v>
      </c>
      <c r="F32" s="24">
        <f>lc_detailed!BA33</f>
        <v>0</v>
      </c>
      <c r="G32" s="24">
        <f>lc_detailed!BB33</f>
        <v>54.250334335306789</v>
      </c>
      <c r="H32" s="24">
        <f>lc_detailed!BC33</f>
        <v>4.7140679733106685</v>
      </c>
      <c r="I32" s="24">
        <f>lc_detailed!BD33</f>
        <v>30.200900542001456</v>
      </c>
      <c r="J32" s="24">
        <f>lc_detailed!BE33</f>
        <v>6.5759961391471998E-6</v>
      </c>
      <c r="K32" s="24">
        <f>lc_detailed!BF33</f>
        <v>16.546720181413264</v>
      </c>
      <c r="L32" s="24">
        <f>lc_detailed!BG33</f>
        <v>1.394908281062942E-6</v>
      </c>
      <c r="M32" s="24">
        <f>lc_detailed!BH33</f>
        <v>6.3154265294454719</v>
      </c>
      <c r="N32" s="24">
        <f>lc_detailed!BI33</f>
        <v>-8.5715528249784736</v>
      </c>
      <c r="O32" s="24">
        <f>lc_detailed!BK33</f>
        <v>-15.692614206749214</v>
      </c>
      <c r="P32" s="24">
        <f>lc_detailed!BL33</f>
        <v>6.3469977507286295</v>
      </c>
      <c r="Q32" s="24">
        <f>lc_detailed!AT33</f>
        <v>94.919288238526832</v>
      </c>
    </row>
    <row r="33" spans="1:17" x14ac:dyDescent="0.2">
      <c r="A33" t="str">
        <f>lc_detailed!AR34</f>
        <v>TX_Ethanol_to_Gasoline_Diesel</v>
      </c>
      <c r="B33" s="24">
        <f>lc_detailed!AW34</f>
        <v>0</v>
      </c>
      <c r="C33" s="24">
        <f>lc_detailed!AX34</f>
        <v>0</v>
      </c>
      <c r="D33" s="24">
        <f>lc_detailed!AY34</f>
        <v>0.58379774511786209</v>
      </c>
      <c r="E33" s="24">
        <f>lc_detailed!AZ34</f>
        <v>0</v>
      </c>
      <c r="F33" s="24">
        <f>lc_detailed!BA34</f>
        <v>0</v>
      </c>
      <c r="G33" s="24">
        <f>lc_detailed!BB34</f>
        <v>54.250334335306789</v>
      </c>
      <c r="H33" s="24">
        <f>lc_detailed!BC34</f>
        <v>4.5789207275557802</v>
      </c>
      <c r="I33" s="24">
        <f>lc_detailed!BD34</f>
        <v>30.200900542001456</v>
      </c>
      <c r="J33" s="24">
        <f>lc_detailed!BE34</f>
        <v>6.5759961391471998E-6</v>
      </c>
      <c r="K33" s="24">
        <f>lc_detailed!BF34</f>
        <v>16.546720181413264</v>
      </c>
      <c r="L33" s="24">
        <f>lc_detailed!BG34</f>
        <v>1.394908281062942E-6</v>
      </c>
      <c r="M33" s="24">
        <f>lc_detailed!BH34</f>
        <v>6.3154265294454719</v>
      </c>
      <c r="N33" s="24">
        <f>lc_detailed!BI34</f>
        <v>-8.5715528249784736</v>
      </c>
      <c r="O33" s="24">
        <f>lc_detailed!BK34</f>
        <v>-14.842492838388075</v>
      </c>
      <c r="P33" s="24">
        <f>lc_detailed!BL34</f>
        <v>6.3469977507286295</v>
      </c>
      <c r="Q33" s="24">
        <f>lc_detailed!AT34</f>
        <v>95.409060119107153</v>
      </c>
    </row>
    <row r="34" spans="1:17" x14ac:dyDescent="0.2">
      <c r="A34" t="str">
        <f>lc_detailed!AR35</f>
        <v>NCEN_Ethanol_to_Gasoline_Diesel</v>
      </c>
      <c r="B34" s="24">
        <f>lc_detailed!AW35</f>
        <v>0</v>
      </c>
      <c r="C34" s="24">
        <f>lc_detailed!AX35</f>
        <v>0</v>
      </c>
      <c r="D34" s="24">
        <f>lc_detailed!AY35</f>
        <v>0.88876127634286095</v>
      </c>
      <c r="E34" s="24">
        <f>lc_detailed!AZ35</f>
        <v>0</v>
      </c>
      <c r="F34" s="24">
        <f>lc_detailed!BA35</f>
        <v>0</v>
      </c>
      <c r="G34" s="24">
        <f>lc_detailed!BB35</f>
        <v>54.250334335306789</v>
      </c>
      <c r="H34" s="24">
        <f>lc_detailed!BC35</f>
        <v>4.6132436521499534</v>
      </c>
      <c r="I34" s="24">
        <f>lc_detailed!BD35</f>
        <v>30.200900542001456</v>
      </c>
      <c r="J34" s="24">
        <f>lc_detailed!BE35</f>
        <v>6.5759961391471998E-6</v>
      </c>
      <c r="K34" s="24">
        <f>lc_detailed!BF35</f>
        <v>16.546720181413264</v>
      </c>
      <c r="L34" s="24">
        <f>lc_detailed!BG35</f>
        <v>1.394908281062942E-6</v>
      </c>
      <c r="M34" s="24">
        <f>lc_detailed!BH35</f>
        <v>6.3154265294454719</v>
      </c>
      <c r="N34" s="24">
        <f>lc_detailed!BI35</f>
        <v>-8.5715528249784736</v>
      </c>
      <c r="O34" s="24">
        <f>lc_detailed!BK35</f>
        <v>-11.343895183478313</v>
      </c>
      <c r="P34" s="24">
        <f>lc_detailed!BL35</f>
        <v>6.3469977507286295</v>
      </c>
      <c r="Q34" s="24">
        <f>lc_detailed!AT35</f>
        <v>99.246944229836075</v>
      </c>
    </row>
    <row r="35" spans="1:17" x14ac:dyDescent="0.2">
      <c r="A35" t="str">
        <f>lc_detailed!AR36</f>
        <v>CEN_Ethanol_to_Gasoline_Diesel</v>
      </c>
      <c r="B35" s="24">
        <f>lc_detailed!AW36</f>
        <v>0</v>
      </c>
      <c r="C35" s="24">
        <f>lc_detailed!AX36</f>
        <v>0</v>
      </c>
      <c r="D35" s="24">
        <f>lc_detailed!AY36</f>
        <v>0.72683723872756645</v>
      </c>
      <c r="E35" s="24">
        <f>lc_detailed!AZ36</f>
        <v>0</v>
      </c>
      <c r="F35" s="24">
        <f>lc_detailed!BA36</f>
        <v>0</v>
      </c>
      <c r="G35" s="24">
        <f>lc_detailed!BB36</f>
        <v>54.250334335306789</v>
      </c>
      <c r="H35" s="24">
        <f>lc_detailed!BC36</f>
        <v>4.6132254409676188</v>
      </c>
      <c r="I35" s="24">
        <f>lc_detailed!BD36</f>
        <v>30.200900542001456</v>
      </c>
      <c r="J35" s="24">
        <f>lc_detailed!BE36</f>
        <v>6.5759961391471998E-6</v>
      </c>
      <c r="K35" s="24">
        <f>lc_detailed!BF36</f>
        <v>16.546720181413264</v>
      </c>
      <c r="L35" s="24">
        <f>lc_detailed!BG36</f>
        <v>1.394908281062942E-6</v>
      </c>
      <c r="M35" s="24">
        <f>lc_detailed!BH36</f>
        <v>6.3154265294454719</v>
      </c>
      <c r="N35" s="24">
        <f>lc_detailed!BI36</f>
        <v>-8.5715528249784736</v>
      </c>
      <c r="O35" s="24">
        <f>lc_detailed!BK36</f>
        <v>-13.077636275331914</v>
      </c>
      <c r="P35" s="24">
        <f>lc_detailed!BL36</f>
        <v>6.3469977507286295</v>
      </c>
      <c r="Q35" s="24">
        <f>lc_detailed!AT36</f>
        <v>97.351260889184843</v>
      </c>
    </row>
    <row r="36" spans="1:17" x14ac:dyDescent="0.2">
      <c r="A36" t="str">
        <f>lc_detailed!AR37</f>
        <v>SE_Ethanol_to_Gasoline_Diesel</v>
      </c>
      <c r="B36" s="24">
        <f>lc_detailed!AW37</f>
        <v>0</v>
      </c>
      <c r="C36" s="24">
        <f>lc_detailed!AX37</f>
        <v>0</v>
      </c>
      <c r="D36" s="24">
        <f>lc_detailed!AY37</f>
        <v>1.1024626729301721</v>
      </c>
      <c r="E36" s="24">
        <f>lc_detailed!AZ37</f>
        <v>0</v>
      </c>
      <c r="F36" s="24">
        <f>lc_detailed!BA37</f>
        <v>0</v>
      </c>
      <c r="G36" s="24">
        <f>lc_detailed!BB37</f>
        <v>54.250334335306789</v>
      </c>
      <c r="H36" s="24">
        <f>lc_detailed!BC37</f>
        <v>4.6132233793243351</v>
      </c>
      <c r="I36" s="24">
        <f>lc_detailed!BD37</f>
        <v>30.200900542001456</v>
      </c>
      <c r="J36" s="24">
        <f>lc_detailed!BE37</f>
        <v>6.5759961391471998E-6</v>
      </c>
      <c r="K36" s="24">
        <f>lc_detailed!BF37</f>
        <v>16.546720181413264</v>
      </c>
      <c r="L36" s="24">
        <f>lc_detailed!BG37</f>
        <v>1.394908281062942E-6</v>
      </c>
      <c r="M36" s="24">
        <f>lc_detailed!BH37</f>
        <v>6.3154265294454719</v>
      </c>
      <c r="N36" s="24">
        <f>lc_detailed!BI37</f>
        <v>-8.5715528249784736</v>
      </c>
      <c r="O36" s="24">
        <f>lc_detailed!BK37</f>
        <v>-10.335639238927676</v>
      </c>
      <c r="P36" s="24">
        <f>lc_detailed!BL37</f>
        <v>6.3469977507286295</v>
      </c>
      <c r="Q36" s="24">
        <f>lc_detailed!AT37</f>
        <v>100.4688812981484</v>
      </c>
    </row>
    <row r="37" spans="1:17" x14ac:dyDescent="0.2">
      <c r="A37" t="str">
        <f>lc_detailed!AR38</f>
        <v>MIDAT_Ethanol_to_Gasoline_Diesel</v>
      </c>
      <c r="B37" s="24">
        <f>lc_detailed!AW38</f>
        <v>0</v>
      </c>
      <c r="C37" s="24">
        <f>lc_detailed!AX38</f>
        <v>0</v>
      </c>
      <c r="D37" s="24">
        <f>lc_detailed!AY38</f>
        <v>1.1371761580072883</v>
      </c>
      <c r="E37" s="24">
        <f>lc_detailed!AZ38</f>
        <v>0</v>
      </c>
      <c r="F37" s="24">
        <f>lc_detailed!BA38</f>
        <v>0</v>
      </c>
      <c r="G37" s="24">
        <f>lc_detailed!BB38</f>
        <v>54.250334335306789</v>
      </c>
      <c r="H37" s="24">
        <f>lc_detailed!BC38</f>
        <v>4.6134182046146037</v>
      </c>
      <c r="I37" s="24">
        <f>lc_detailed!BD38</f>
        <v>30.200900542001456</v>
      </c>
      <c r="J37" s="24">
        <f>lc_detailed!BE38</f>
        <v>6.5759961391471998E-6</v>
      </c>
      <c r="K37" s="24">
        <f>lc_detailed!BF38</f>
        <v>16.546720181413264</v>
      </c>
      <c r="L37" s="24">
        <f>lc_detailed!BG38</f>
        <v>1.394908281062942E-6</v>
      </c>
      <c r="M37" s="24">
        <f>lc_detailed!BH38</f>
        <v>6.3154265294454719</v>
      </c>
      <c r="N37" s="24">
        <f>lc_detailed!BI38</f>
        <v>-8.5715528249784736</v>
      </c>
      <c r="O37" s="24">
        <f>lc_detailed!BK38</f>
        <v>-9.5004578118275305</v>
      </c>
      <c r="P37" s="24">
        <f>lc_detailed!BL38</f>
        <v>6.3469977507286295</v>
      </c>
      <c r="Q37" s="24">
        <f>lc_detailed!AT38</f>
        <v>101.33897103561593</v>
      </c>
    </row>
    <row r="38" spans="1:17" x14ac:dyDescent="0.2">
      <c r="A38" t="str">
        <f>lc_detailed!AR39</f>
        <v>NE_Ethanol_to_Gasoline_Diesel</v>
      </c>
      <c r="B38" s="24">
        <f>lc_detailed!AW39</f>
        <v>0</v>
      </c>
      <c r="C38" s="24">
        <f>lc_detailed!AX39</f>
        <v>0</v>
      </c>
      <c r="D38" s="24">
        <f>lc_detailed!AY39</f>
        <v>1.3705899784435887</v>
      </c>
      <c r="E38" s="24">
        <f>lc_detailed!AZ39</f>
        <v>0</v>
      </c>
      <c r="F38" s="24">
        <f>lc_detailed!BA39</f>
        <v>0</v>
      </c>
      <c r="G38" s="24">
        <f>lc_detailed!BB39</f>
        <v>54.250334335306789</v>
      </c>
      <c r="H38" s="24">
        <f>lc_detailed!BC39</f>
        <v>4.6133663199253077</v>
      </c>
      <c r="I38" s="24">
        <f>lc_detailed!BD39</f>
        <v>30.200900542001456</v>
      </c>
      <c r="J38" s="24">
        <f>lc_detailed!BE39</f>
        <v>6.5759961391471998E-6</v>
      </c>
      <c r="K38" s="24">
        <f>lc_detailed!BF39</f>
        <v>16.546720181413264</v>
      </c>
      <c r="L38" s="24">
        <f>lc_detailed!BG39</f>
        <v>1.394908281062942E-6</v>
      </c>
      <c r="M38" s="24">
        <f>lc_detailed!BH39</f>
        <v>6.3154265294454719</v>
      </c>
      <c r="N38" s="24">
        <f>lc_detailed!BI39</f>
        <v>-8.5715528249784736</v>
      </c>
      <c r="O38" s="24">
        <f>lc_detailed!BK39</f>
        <v>-8.02909138808654</v>
      </c>
      <c r="P38" s="24">
        <f>lc_detailed!BL39</f>
        <v>6.3469977507286295</v>
      </c>
      <c r="Q38" s="24">
        <f>lc_detailed!AT39</f>
        <v>103.04369939510393</v>
      </c>
    </row>
    <row r="39" spans="1:17" x14ac:dyDescent="0.2">
      <c r="A39">
        <f>lc_detailed!AR40</f>
        <v>0</v>
      </c>
      <c r="B39" s="24" t="e">
        <f>lc_detailed!AW40</f>
        <v>#DIV/0!</v>
      </c>
      <c r="C39" s="24" t="e">
        <f>lc_detailed!AX40</f>
        <v>#DIV/0!</v>
      </c>
      <c r="D39" s="24" t="e">
        <f>lc_detailed!AY40</f>
        <v>#DIV/0!</v>
      </c>
      <c r="E39" s="24" t="e">
        <f>lc_detailed!AZ40</f>
        <v>#DIV/0!</v>
      </c>
      <c r="F39" s="24" t="e">
        <f>lc_detailed!BA40</f>
        <v>#DIV/0!</v>
      </c>
      <c r="G39" s="24" t="e">
        <f>lc_detailed!BB40</f>
        <v>#DIV/0!</v>
      </c>
      <c r="H39" s="24" t="e">
        <f>lc_detailed!BC40</f>
        <v>#DIV/0!</v>
      </c>
      <c r="I39" s="24" t="e">
        <f>lc_detailed!BD40</f>
        <v>#DIV/0!</v>
      </c>
      <c r="J39" s="24" t="e">
        <f>lc_detailed!BE40</f>
        <v>#DIV/0!</v>
      </c>
      <c r="K39" s="24" t="e">
        <f>lc_detailed!BF40</f>
        <v>#DIV/0!</v>
      </c>
      <c r="L39" s="24" t="e">
        <f>lc_detailed!BG40</f>
        <v>#DIV/0!</v>
      </c>
      <c r="M39" s="24" t="e">
        <f>lc_detailed!BH40</f>
        <v>#DIV/0!</v>
      </c>
      <c r="N39" s="24" t="e">
        <f>lc_detailed!BI40</f>
        <v>#DIV/0!</v>
      </c>
      <c r="O39" s="24" t="e">
        <f>lc_detailed!BK40</f>
        <v>#DIV/0!</v>
      </c>
      <c r="P39" s="24">
        <f>lc_detailed!BL40</f>
        <v>0</v>
      </c>
      <c r="Q39" s="24" t="e">
        <f>lc_detailed!AT40</f>
        <v>#DIV/0!</v>
      </c>
    </row>
    <row r="40" spans="1:17" x14ac:dyDescent="0.2">
      <c r="A40">
        <f>lc_detailed!AR41</f>
        <v>0</v>
      </c>
      <c r="B40" s="24" t="e">
        <f>lc_detailed!AW41</f>
        <v>#DIV/0!</v>
      </c>
      <c r="C40" s="24" t="e">
        <f>lc_detailed!AX41</f>
        <v>#DIV/0!</v>
      </c>
      <c r="D40" s="24" t="e">
        <f>lc_detailed!AY41</f>
        <v>#DIV/0!</v>
      </c>
      <c r="E40" s="24" t="e">
        <f>lc_detailed!AZ41</f>
        <v>#DIV/0!</v>
      </c>
      <c r="F40" s="24" t="e">
        <f>lc_detailed!BA41</f>
        <v>#DIV/0!</v>
      </c>
      <c r="G40" s="24" t="e">
        <f>lc_detailed!BB41</f>
        <v>#DIV/0!</v>
      </c>
      <c r="H40" s="24" t="e">
        <f>lc_detailed!BC41</f>
        <v>#DIV/0!</v>
      </c>
      <c r="I40" s="24" t="e">
        <f>lc_detailed!BD41</f>
        <v>#DIV/0!</v>
      </c>
      <c r="J40" s="24" t="e">
        <f>lc_detailed!BE41</f>
        <v>#DIV/0!</v>
      </c>
      <c r="K40" s="24" t="e">
        <f>lc_detailed!BF41</f>
        <v>#DIV/0!</v>
      </c>
      <c r="L40" s="24" t="e">
        <f>lc_detailed!BG41</f>
        <v>#DIV/0!</v>
      </c>
      <c r="M40" s="24" t="e">
        <f>lc_detailed!BH41</f>
        <v>#DIV/0!</v>
      </c>
      <c r="N40" s="24" t="e">
        <f>lc_detailed!BI41</f>
        <v>#DIV/0!</v>
      </c>
      <c r="O40" s="24" t="e">
        <f>lc_detailed!BK41</f>
        <v>#DIV/0!</v>
      </c>
      <c r="P40" s="24">
        <f>lc_detailed!BL41</f>
        <v>0</v>
      </c>
      <c r="Q40" s="24" t="e">
        <f>lc_detailed!AT41</f>
        <v>#DIV/0!</v>
      </c>
    </row>
    <row r="41" spans="1:17" x14ac:dyDescent="0.2">
      <c r="A41">
        <f>lc_detailed!AR42</f>
        <v>0</v>
      </c>
      <c r="B41" s="24" t="e">
        <f>lc_detailed!AW42</f>
        <v>#DIV/0!</v>
      </c>
      <c r="C41" s="24" t="e">
        <f>lc_detailed!AX42</f>
        <v>#DIV/0!</v>
      </c>
      <c r="D41" s="24" t="e">
        <f>lc_detailed!AY42</f>
        <v>#DIV/0!</v>
      </c>
      <c r="E41" s="24" t="e">
        <f>lc_detailed!AZ42</f>
        <v>#DIV/0!</v>
      </c>
      <c r="F41" s="24" t="e">
        <f>lc_detailed!BA42</f>
        <v>#DIV/0!</v>
      </c>
      <c r="G41" s="24" t="e">
        <f>lc_detailed!BB42</f>
        <v>#DIV/0!</v>
      </c>
      <c r="H41" s="24" t="e">
        <f>lc_detailed!BC42</f>
        <v>#DIV/0!</v>
      </c>
      <c r="I41" s="24" t="e">
        <f>lc_detailed!BD42</f>
        <v>#DIV/0!</v>
      </c>
      <c r="J41" s="24" t="e">
        <f>lc_detailed!BE42</f>
        <v>#DIV/0!</v>
      </c>
      <c r="K41" s="24" t="e">
        <f>lc_detailed!BF42</f>
        <v>#DIV/0!</v>
      </c>
      <c r="L41" s="24" t="e">
        <f>lc_detailed!BG42</f>
        <v>#DIV/0!</v>
      </c>
      <c r="M41" s="24" t="e">
        <f>lc_detailed!BH42</f>
        <v>#DIV/0!</v>
      </c>
      <c r="N41" s="24" t="e">
        <f>lc_detailed!BI42</f>
        <v>#DIV/0!</v>
      </c>
      <c r="O41" s="24" t="e">
        <f>lc_detailed!BK42</f>
        <v>#DIV/0!</v>
      </c>
      <c r="P41" s="24">
        <f>lc_detailed!BL42</f>
        <v>0</v>
      </c>
      <c r="Q41" s="24" t="e">
        <f>lc_detailed!AT42</f>
        <v>#DIV/0!</v>
      </c>
    </row>
    <row r="42" spans="1:17" x14ac:dyDescent="0.2">
      <c r="A42">
        <f>lc_detailed!AR43</f>
        <v>0</v>
      </c>
      <c r="B42" s="24" t="e">
        <f>lc_detailed!AW43</f>
        <v>#DIV/0!</v>
      </c>
      <c r="C42" s="24" t="e">
        <f>lc_detailed!AX43</f>
        <v>#DIV/0!</v>
      </c>
      <c r="D42" s="24" t="e">
        <f>lc_detailed!AY43</f>
        <v>#DIV/0!</v>
      </c>
      <c r="E42" s="24" t="e">
        <f>lc_detailed!AZ43</f>
        <v>#DIV/0!</v>
      </c>
      <c r="F42" s="24" t="e">
        <f>lc_detailed!BA43</f>
        <v>#DIV/0!</v>
      </c>
      <c r="G42" s="24" t="e">
        <f>lc_detailed!BB43</f>
        <v>#DIV/0!</v>
      </c>
      <c r="H42" s="24" t="e">
        <f>lc_detailed!BC43</f>
        <v>#DIV/0!</v>
      </c>
      <c r="I42" s="24" t="e">
        <f>lc_detailed!BD43</f>
        <v>#DIV/0!</v>
      </c>
      <c r="J42" s="24" t="e">
        <f>lc_detailed!BE43</f>
        <v>#DIV/0!</v>
      </c>
      <c r="K42" s="24" t="e">
        <f>lc_detailed!BF43</f>
        <v>#DIV/0!</v>
      </c>
      <c r="L42" s="24" t="e">
        <f>lc_detailed!BG43</f>
        <v>#DIV/0!</v>
      </c>
      <c r="M42" s="24" t="e">
        <f>lc_detailed!BH43</f>
        <v>#DIV/0!</v>
      </c>
      <c r="N42" s="24" t="e">
        <f>lc_detailed!BI43</f>
        <v>#DIV/0!</v>
      </c>
      <c r="O42" s="24" t="e">
        <f>lc_detailed!BK43</f>
        <v>#DIV/0!</v>
      </c>
      <c r="P42" s="24">
        <f>lc_detailed!BL43</f>
        <v>0</v>
      </c>
      <c r="Q42" s="24" t="e">
        <f>lc_detailed!AT43</f>
        <v>#DIV/0!</v>
      </c>
    </row>
    <row r="43" spans="1:17" x14ac:dyDescent="0.2">
      <c r="A43">
        <f>lc_detailed!AR44</f>
        <v>0</v>
      </c>
      <c r="B43" s="24" t="e">
        <f>lc_detailed!AW44</f>
        <v>#DIV/0!</v>
      </c>
      <c r="C43" s="24" t="e">
        <f>lc_detailed!AX44</f>
        <v>#DIV/0!</v>
      </c>
      <c r="D43" s="24" t="e">
        <f>lc_detailed!AY44</f>
        <v>#DIV/0!</v>
      </c>
      <c r="E43" s="24" t="e">
        <f>lc_detailed!AZ44</f>
        <v>#DIV/0!</v>
      </c>
      <c r="F43" s="24" t="e">
        <f>lc_detailed!BA44</f>
        <v>#DIV/0!</v>
      </c>
      <c r="G43" s="24" t="e">
        <f>lc_detailed!BB44</f>
        <v>#DIV/0!</v>
      </c>
      <c r="H43" s="24" t="e">
        <f>lc_detailed!BC44</f>
        <v>#DIV/0!</v>
      </c>
      <c r="I43" s="24" t="e">
        <f>lc_detailed!BD44</f>
        <v>#DIV/0!</v>
      </c>
      <c r="J43" s="24" t="e">
        <f>lc_detailed!BE44</f>
        <v>#DIV/0!</v>
      </c>
      <c r="K43" s="24" t="e">
        <f>lc_detailed!BF44</f>
        <v>#DIV/0!</v>
      </c>
      <c r="L43" s="24" t="e">
        <f>lc_detailed!BG44</f>
        <v>#DIV/0!</v>
      </c>
      <c r="M43" s="24" t="e">
        <f>lc_detailed!BH44</f>
        <v>#DIV/0!</v>
      </c>
      <c r="N43" s="24" t="e">
        <f>lc_detailed!BI44</f>
        <v>#DIV/0!</v>
      </c>
      <c r="O43" s="24" t="e">
        <f>lc_detailed!BK44</f>
        <v>#DIV/0!</v>
      </c>
      <c r="P43" s="24">
        <f>lc_detailed!BL44</f>
        <v>0</v>
      </c>
      <c r="Q43" s="24" t="e">
        <f>lc_detailed!AT44</f>
        <v>#DIV/0!</v>
      </c>
    </row>
    <row r="44" spans="1:17" x14ac:dyDescent="0.2">
      <c r="A44">
        <f>lc_detailed!AR45</f>
        <v>0</v>
      </c>
      <c r="B44" s="24" t="e">
        <f>lc_detailed!AW45</f>
        <v>#DIV/0!</v>
      </c>
      <c r="C44" s="24" t="e">
        <f>lc_detailed!AX45</f>
        <v>#DIV/0!</v>
      </c>
      <c r="D44" s="24" t="e">
        <f>lc_detailed!AY45</f>
        <v>#DIV/0!</v>
      </c>
      <c r="E44" s="24" t="e">
        <f>lc_detailed!AZ45</f>
        <v>#DIV/0!</v>
      </c>
      <c r="F44" s="24" t="e">
        <f>lc_detailed!BA45</f>
        <v>#DIV/0!</v>
      </c>
      <c r="G44" s="24" t="e">
        <f>lc_detailed!BB45</f>
        <v>#DIV/0!</v>
      </c>
      <c r="H44" s="24" t="e">
        <f>lc_detailed!BC45</f>
        <v>#DIV/0!</v>
      </c>
      <c r="I44" s="24" t="e">
        <f>lc_detailed!BD45</f>
        <v>#DIV/0!</v>
      </c>
      <c r="J44" s="24" t="e">
        <f>lc_detailed!BE45</f>
        <v>#DIV/0!</v>
      </c>
      <c r="K44" s="24" t="e">
        <f>lc_detailed!BF45</f>
        <v>#DIV/0!</v>
      </c>
      <c r="L44" s="24" t="e">
        <f>lc_detailed!BG45</f>
        <v>#DIV/0!</v>
      </c>
      <c r="M44" s="24" t="e">
        <f>lc_detailed!BH45</f>
        <v>#DIV/0!</v>
      </c>
      <c r="N44" s="24" t="e">
        <f>lc_detailed!BI45</f>
        <v>#DIV/0!</v>
      </c>
      <c r="O44" s="24" t="e">
        <f>lc_detailed!BK45</f>
        <v>#DIV/0!</v>
      </c>
      <c r="P44" s="24">
        <f>lc_detailed!BL45</f>
        <v>0</v>
      </c>
      <c r="Q44" s="24" t="e">
        <f>lc_detailed!AT45</f>
        <v>#DIV/0!</v>
      </c>
    </row>
    <row r="45" spans="1:17" x14ac:dyDescent="0.2">
      <c r="A45">
        <f>lc_detailed!AR46</f>
        <v>0</v>
      </c>
      <c r="B45" s="24" t="e">
        <f>lc_detailed!AW46</f>
        <v>#DIV/0!</v>
      </c>
      <c r="C45" s="24" t="e">
        <f>lc_detailed!AX46</f>
        <v>#DIV/0!</v>
      </c>
      <c r="D45" s="24" t="e">
        <f>lc_detailed!AY46</f>
        <v>#DIV/0!</v>
      </c>
      <c r="E45" s="24" t="e">
        <f>lc_detailed!AZ46</f>
        <v>#DIV/0!</v>
      </c>
      <c r="F45" s="24" t="e">
        <f>lc_detailed!BA46</f>
        <v>#DIV/0!</v>
      </c>
      <c r="G45" s="24" t="e">
        <f>lc_detailed!BB46</f>
        <v>#DIV/0!</v>
      </c>
      <c r="H45" s="24" t="e">
        <f>lc_detailed!BC46</f>
        <v>#DIV/0!</v>
      </c>
      <c r="I45" s="24" t="e">
        <f>lc_detailed!BD46</f>
        <v>#DIV/0!</v>
      </c>
      <c r="J45" s="24" t="e">
        <f>lc_detailed!BE46</f>
        <v>#DIV/0!</v>
      </c>
      <c r="K45" s="24" t="e">
        <f>lc_detailed!BF46</f>
        <v>#DIV/0!</v>
      </c>
      <c r="L45" s="24" t="e">
        <f>lc_detailed!BG46</f>
        <v>#DIV/0!</v>
      </c>
      <c r="M45" s="24" t="e">
        <f>lc_detailed!BH46</f>
        <v>#DIV/0!</v>
      </c>
      <c r="N45" s="24" t="e">
        <f>lc_detailed!BI46</f>
        <v>#DIV/0!</v>
      </c>
      <c r="O45" s="24" t="e">
        <f>lc_detailed!BK46</f>
        <v>#DIV/0!</v>
      </c>
      <c r="P45" s="24">
        <f>lc_detailed!BL46</f>
        <v>0</v>
      </c>
      <c r="Q45" s="24" t="e">
        <f>lc_detailed!AT46</f>
        <v>#DIV/0!</v>
      </c>
    </row>
    <row r="46" spans="1:17" x14ac:dyDescent="0.2">
      <c r="A46">
        <f>lc_detailed!AR47</f>
        <v>0</v>
      </c>
      <c r="B46" s="24" t="e">
        <f>lc_detailed!AW47</f>
        <v>#DIV/0!</v>
      </c>
      <c r="C46" s="24" t="e">
        <f>lc_detailed!AX47</f>
        <v>#DIV/0!</v>
      </c>
      <c r="D46" s="24" t="e">
        <f>lc_detailed!AY47</f>
        <v>#DIV/0!</v>
      </c>
      <c r="E46" s="24" t="e">
        <f>lc_detailed!AZ47</f>
        <v>#DIV/0!</v>
      </c>
      <c r="F46" s="24" t="e">
        <f>lc_detailed!BA47</f>
        <v>#DIV/0!</v>
      </c>
      <c r="G46" s="24" t="e">
        <f>lc_detailed!BB47</f>
        <v>#DIV/0!</v>
      </c>
      <c r="H46" s="24" t="e">
        <f>lc_detailed!BC47</f>
        <v>#DIV/0!</v>
      </c>
      <c r="I46" s="24" t="e">
        <f>lc_detailed!BD47</f>
        <v>#DIV/0!</v>
      </c>
      <c r="J46" s="24" t="e">
        <f>lc_detailed!BE47</f>
        <v>#DIV/0!</v>
      </c>
      <c r="K46" s="24" t="e">
        <f>lc_detailed!BF47</f>
        <v>#DIV/0!</v>
      </c>
      <c r="L46" s="24" t="e">
        <f>lc_detailed!BG47</f>
        <v>#DIV/0!</v>
      </c>
      <c r="M46" s="24" t="e">
        <f>lc_detailed!BH47</f>
        <v>#DIV/0!</v>
      </c>
      <c r="N46" s="24" t="e">
        <f>lc_detailed!BI47</f>
        <v>#DIV/0!</v>
      </c>
      <c r="O46" s="24" t="e">
        <f>lc_detailed!BK47</f>
        <v>#DIV/0!</v>
      </c>
      <c r="P46" s="24">
        <f>lc_detailed!BL47</f>
        <v>0</v>
      </c>
      <c r="Q46" s="24" t="e">
        <f>lc_detailed!AT47</f>
        <v>#DIV/0!</v>
      </c>
    </row>
    <row r="47" spans="1:17" x14ac:dyDescent="0.2">
      <c r="A47">
        <f>lc_detailed!AR48</f>
        <v>0</v>
      </c>
      <c r="B47" s="24" t="e">
        <f>lc_detailed!AW48</f>
        <v>#DIV/0!</v>
      </c>
      <c r="C47" s="24" t="e">
        <f>lc_detailed!AX48</f>
        <v>#DIV/0!</v>
      </c>
      <c r="D47" s="24" t="e">
        <f>lc_detailed!AY48</f>
        <v>#DIV/0!</v>
      </c>
      <c r="E47" s="24" t="e">
        <f>lc_detailed!AZ48</f>
        <v>#DIV/0!</v>
      </c>
      <c r="F47" s="24" t="e">
        <f>lc_detailed!BA48</f>
        <v>#DIV/0!</v>
      </c>
      <c r="G47" s="24" t="e">
        <f>lc_detailed!BB48</f>
        <v>#DIV/0!</v>
      </c>
      <c r="H47" s="24" t="e">
        <f>lc_detailed!BC48</f>
        <v>#DIV/0!</v>
      </c>
      <c r="I47" s="24" t="e">
        <f>lc_detailed!BD48</f>
        <v>#DIV/0!</v>
      </c>
      <c r="J47" s="24" t="e">
        <f>lc_detailed!BE48</f>
        <v>#DIV/0!</v>
      </c>
      <c r="K47" s="24" t="e">
        <f>lc_detailed!BF48</f>
        <v>#DIV/0!</v>
      </c>
      <c r="L47" s="24" t="e">
        <f>lc_detailed!BG48</f>
        <v>#DIV/0!</v>
      </c>
      <c r="M47" s="24" t="e">
        <f>lc_detailed!BH48</f>
        <v>#DIV/0!</v>
      </c>
      <c r="N47" s="24" t="e">
        <f>lc_detailed!BI48</f>
        <v>#DIV/0!</v>
      </c>
      <c r="O47" s="24" t="e">
        <f>lc_detailed!BK48</f>
        <v>#DIV/0!</v>
      </c>
      <c r="P47" s="24">
        <f>lc_detailed!BL48</f>
        <v>0</v>
      </c>
      <c r="Q47" s="24" t="e">
        <f>lc_detailed!AT48</f>
        <v>#DIV/0!</v>
      </c>
    </row>
    <row r="48" spans="1:17" x14ac:dyDescent="0.2">
      <c r="A48">
        <f>lc_detailed!AR49</f>
        <v>0</v>
      </c>
      <c r="B48" s="24" t="e">
        <f>lc_detailed!AW49</f>
        <v>#DIV/0!</v>
      </c>
      <c r="C48" s="24" t="e">
        <f>lc_detailed!AX49</f>
        <v>#DIV/0!</v>
      </c>
      <c r="D48" s="24" t="e">
        <f>lc_detailed!AY49</f>
        <v>#DIV/0!</v>
      </c>
      <c r="E48" s="24" t="e">
        <f>lc_detailed!AZ49</f>
        <v>#DIV/0!</v>
      </c>
      <c r="F48" s="24" t="e">
        <f>lc_detailed!BA49</f>
        <v>#DIV/0!</v>
      </c>
      <c r="G48" s="24" t="e">
        <f>lc_detailed!BB49</f>
        <v>#DIV/0!</v>
      </c>
      <c r="H48" s="24" t="e">
        <f>lc_detailed!BC49</f>
        <v>#DIV/0!</v>
      </c>
      <c r="I48" s="24" t="e">
        <f>lc_detailed!BD49</f>
        <v>#DIV/0!</v>
      </c>
      <c r="J48" s="24" t="e">
        <f>lc_detailed!BE49</f>
        <v>#DIV/0!</v>
      </c>
      <c r="K48" s="24" t="e">
        <f>lc_detailed!BF49</f>
        <v>#DIV/0!</v>
      </c>
      <c r="L48" s="24" t="e">
        <f>lc_detailed!BG49</f>
        <v>#DIV/0!</v>
      </c>
      <c r="M48" s="24" t="e">
        <f>lc_detailed!BH49</f>
        <v>#DIV/0!</v>
      </c>
      <c r="N48" s="24" t="e">
        <f>lc_detailed!BI49</f>
        <v>#DIV/0!</v>
      </c>
      <c r="O48" s="24" t="e">
        <f>lc_detailed!BK49</f>
        <v>#DIV/0!</v>
      </c>
      <c r="P48" s="24">
        <f>lc_detailed!BL49</f>
        <v>0</v>
      </c>
      <c r="Q48" s="24" t="e">
        <f>lc_detailed!AT49</f>
        <v>#DIV/0!</v>
      </c>
    </row>
    <row r="49" spans="1:17" x14ac:dyDescent="0.2">
      <c r="A49">
        <f>lc_detailed!AR50</f>
        <v>0</v>
      </c>
      <c r="B49" s="24" t="e">
        <f>lc_detailed!AW50</f>
        <v>#DIV/0!</v>
      </c>
      <c r="C49" s="24" t="e">
        <f>lc_detailed!AX50</f>
        <v>#DIV/0!</v>
      </c>
      <c r="D49" s="24" t="e">
        <f>lc_detailed!AY50</f>
        <v>#DIV/0!</v>
      </c>
      <c r="E49" s="24" t="e">
        <f>lc_detailed!AZ50</f>
        <v>#DIV/0!</v>
      </c>
      <c r="F49" s="24" t="e">
        <f>lc_detailed!BA50</f>
        <v>#DIV/0!</v>
      </c>
      <c r="G49" s="24" t="e">
        <f>lc_detailed!BB50</f>
        <v>#DIV/0!</v>
      </c>
      <c r="H49" s="24" t="e">
        <f>lc_detailed!BC50</f>
        <v>#DIV/0!</v>
      </c>
      <c r="I49" s="24" t="e">
        <f>lc_detailed!BD50</f>
        <v>#DIV/0!</v>
      </c>
      <c r="J49" s="24" t="e">
        <f>lc_detailed!BE50</f>
        <v>#DIV/0!</v>
      </c>
      <c r="K49" s="24" t="e">
        <f>lc_detailed!BF50</f>
        <v>#DIV/0!</v>
      </c>
      <c r="L49" s="24" t="e">
        <f>lc_detailed!BG50</f>
        <v>#DIV/0!</v>
      </c>
      <c r="M49" s="24" t="e">
        <f>lc_detailed!BH50</f>
        <v>#DIV/0!</v>
      </c>
      <c r="N49" s="24" t="e">
        <f>lc_detailed!BI50</f>
        <v>#DIV/0!</v>
      </c>
      <c r="O49" s="24" t="e">
        <f>lc_detailed!BK50</f>
        <v>#DIV/0!</v>
      </c>
      <c r="P49" s="24">
        <f>lc_detailed!BL50</f>
        <v>0</v>
      </c>
      <c r="Q49" s="24" t="e">
        <f>lc_detailed!AT50</f>
        <v>#DIV/0!</v>
      </c>
    </row>
    <row r="50" spans="1:17" x14ac:dyDescent="0.2">
      <c r="A50">
        <f>lc_detailed!AR51</f>
        <v>0</v>
      </c>
      <c r="B50" s="24" t="e">
        <f>lc_detailed!AW51</f>
        <v>#DIV/0!</v>
      </c>
      <c r="C50" s="24" t="e">
        <f>lc_detailed!AX51</f>
        <v>#DIV/0!</v>
      </c>
      <c r="D50" s="24" t="e">
        <f>lc_detailed!AY51</f>
        <v>#DIV/0!</v>
      </c>
      <c r="E50" s="24" t="e">
        <f>lc_detailed!AZ51</f>
        <v>#DIV/0!</v>
      </c>
      <c r="F50" s="24" t="e">
        <f>lc_detailed!BA51</f>
        <v>#DIV/0!</v>
      </c>
      <c r="G50" s="24" t="e">
        <f>lc_detailed!BB51</f>
        <v>#DIV/0!</v>
      </c>
      <c r="H50" s="24" t="e">
        <f>lc_detailed!BC51</f>
        <v>#DIV/0!</v>
      </c>
      <c r="I50" s="24" t="e">
        <f>lc_detailed!BD51</f>
        <v>#DIV/0!</v>
      </c>
      <c r="J50" s="24" t="e">
        <f>lc_detailed!BE51</f>
        <v>#DIV/0!</v>
      </c>
      <c r="K50" s="24" t="e">
        <f>lc_detailed!BF51</f>
        <v>#DIV/0!</v>
      </c>
      <c r="L50" s="24" t="e">
        <f>lc_detailed!BG51</f>
        <v>#DIV/0!</v>
      </c>
      <c r="M50" s="24" t="e">
        <f>lc_detailed!BH51</f>
        <v>#DIV/0!</v>
      </c>
      <c r="N50" s="24" t="e">
        <f>lc_detailed!BI51</f>
        <v>#DIV/0!</v>
      </c>
      <c r="O50" s="24" t="e">
        <f>lc_detailed!BK51</f>
        <v>#DIV/0!</v>
      </c>
      <c r="P50" s="24">
        <f>lc_detailed!BL51</f>
        <v>0</v>
      </c>
      <c r="Q50" s="24" t="e">
        <f>lc_detailed!AT51</f>
        <v>#DIV/0!</v>
      </c>
    </row>
    <row r="51" spans="1:17" x14ac:dyDescent="0.2">
      <c r="A51">
        <f>lc_detailed!AR52</f>
        <v>0</v>
      </c>
      <c r="B51" s="24" t="e">
        <f>lc_detailed!AW52</f>
        <v>#DIV/0!</v>
      </c>
      <c r="C51" s="24" t="e">
        <f>lc_detailed!AX52</f>
        <v>#DIV/0!</v>
      </c>
      <c r="D51" s="24" t="e">
        <f>lc_detailed!AY52</f>
        <v>#DIV/0!</v>
      </c>
      <c r="E51" s="24" t="e">
        <f>lc_detailed!AZ52</f>
        <v>#DIV/0!</v>
      </c>
      <c r="F51" s="24" t="e">
        <f>lc_detailed!BA52</f>
        <v>#DIV/0!</v>
      </c>
      <c r="G51" s="24" t="e">
        <f>lc_detailed!BB52</f>
        <v>#DIV/0!</v>
      </c>
      <c r="H51" s="24" t="e">
        <f>lc_detailed!BC52</f>
        <v>#DIV/0!</v>
      </c>
      <c r="I51" s="24" t="e">
        <f>lc_detailed!BD52</f>
        <v>#DIV/0!</v>
      </c>
      <c r="J51" s="24" t="e">
        <f>lc_detailed!BE52</f>
        <v>#DIV/0!</v>
      </c>
      <c r="K51" s="24" t="e">
        <f>lc_detailed!BF52</f>
        <v>#DIV/0!</v>
      </c>
      <c r="L51" s="24" t="e">
        <f>lc_detailed!BG52</f>
        <v>#DIV/0!</v>
      </c>
      <c r="M51" s="24" t="e">
        <f>lc_detailed!BH52</f>
        <v>#DIV/0!</v>
      </c>
      <c r="N51" s="24" t="e">
        <f>lc_detailed!BI52</f>
        <v>#DIV/0!</v>
      </c>
      <c r="O51" s="24" t="e">
        <f>lc_detailed!BK52</f>
        <v>#DIV/0!</v>
      </c>
      <c r="P51" s="24">
        <f>lc_detailed!BL52</f>
        <v>0</v>
      </c>
      <c r="Q51" s="24" t="e">
        <f>lc_detailed!AT52</f>
        <v>#DIV/0!</v>
      </c>
    </row>
    <row r="52" spans="1:17" x14ac:dyDescent="0.2">
      <c r="A52">
        <f>lc_detailed!AR53</f>
        <v>0</v>
      </c>
      <c r="B52" s="24" t="e">
        <f>lc_detailed!AW53</f>
        <v>#DIV/0!</v>
      </c>
      <c r="C52" s="24" t="e">
        <f>lc_detailed!AX53</f>
        <v>#DIV/0!</v>
      </c>
      <c r="D52" s="24" t="e">
        <f>lc_detailed!AY53</f>
        <v>#DIV/0!</v>
      </c>
      <c r="E52" s="24" t="e">
        <f>lc_detailed!AZ53</f>
        <v>#DIV/0!</v>
      </c>
      <c r="F52" s="24" t="e">
        <f>lc_detailed!BA53</f>
        <v>#DIV/0!</v>
      </c>
      <c r="G52" s="24" t="e">
        <f>lc_detailed!BB53</f>
        <v>#DIV/0!</v>
      </c>
      <c r="H52" s="24" t="e">
        <f>lc_detailed!BC53</f>
        <v>#DIV/0!</v>
      </c>
      <c r="I52" s="24" t="e">
        <f>lc_detailed!BD53</f>
        <v>#DIV/0!</v>
      </c>
      <c r="J52" s="24" t="e">
        <f>lc_detailed!BE53</f>
        <v>#DIV/0!</v>
      </c>
      <c r="K52" s="24" t="e">
        <f>lc_detailed!BF53</f>
        <v>#DIV/0!</v>
      </c>
      <c r="L52" s="24" t="e">
        <f>lc_detailed!BG53</f>
        <v>#DIV/0!</v>
      </c>
      <c r="M52" s="24" t="e">
        <f>lc_detailed!BH53</f>
        <v>#DIV/0!</v>
      </c>
      <c r="N52" s="24" t="e">
        <f>lc_detailed!BI53</f>
        <v>#DIV/0!</v>
      </c>
      <c r="O52" s="24" t="e">
        <f>lc_detailed!BK53</f>
        <v>#DIV/0!</v>
      </c>
      <c r="P52" s="24">
        <f>lc_detailed!BL53</f>
        <v>0</v>
      </c>
      <c r="Q52" s="24" t="e">
        <f>lc_detailed!AT53</f>
        <v>#DIV/0!</v>
      </c>
    </row>
    <row r="53" spans="1:17" x14ac:dyDescent="0.2">
      <c r="A53">
        <f>lc_detailed!AR54</f>
        <v>0</v>
      </c>
      <c r="B53" s="24" t="e">
        <f>lc_detailed!AW54</f>
        <v>#DIV/0!</v>
      </c>
      <c r="C53" s="24" t="e">
        <f>lc_detailed!AX54</f>
        <v>#DIV/0!</v>
      </c>
      <c r="D53" s="24" t="e">
        <f>lc_detailed!AY54</f>
        <v>#DIV/0!</v>
      </c>
      <c r="E53" s="24" t="e">
        <f>lc_detailed!AZ54</f>
        <v>#DIV/0!</v>
      </c>
      <c r="F53" s="24" t="e">
        <f>lc_detailed!BA54</f>
        <v>#DIV/0!</v>
      </c>
      <c r="G53" s="24" t="e">
        <f>lc_detailed!BB54</f>
        <v>#DIV/0!</v>
      </c>
      <c r="H53" s="24" t="e">
        <f>lc_detailed!BC54</f>
        <v>#DIV/0!</v>
      </c>
      <c r="I53" s="24" t="e">
        <f>lc_detailed!BD54</f>
        <v>#DIV/0!</v>
      </c>
      <c r="J53" s="24" t="e">
        <f>lc_detailed!BE54</f>
        <v>#DIV/0!</v>
      </c>
      <c r="K53" s="24" t="e">
        <f>lc_detailed!BF54</f>
        <v>#DIV/0!</v>
      </c>
      <c r="L53" s="24" t="e">
        <f>lc_detailed!BG54</f>
        <v>#DIV/0!</v>
      </c>
      <c r="M53" s="24" t="e">
        <f>lc_detailed!BH54</f>
        <v>#DIV/0!</v>
      </c>
      <c r="N53" s="24" t="e">
        <f>lc_detailed!BI54</f>
        <v>#DIV/0!</v>
      </c>
      <c r="O53" s="24" t="e">
        <f>lc_detailed!BK54</f>
        <v>#DIV/0!</v>
      </c>
      <c r="P53" s="24">
        <f>lc_detailed!BL54</f>
        <v>0</v>
      </c>
      <c r="Q53" s="24" t="e">
        <f>lc_detailed!AT54</f>
        <v>#DIV/0!</v>
      </c>
    </row>
    <row r="54" spans="1:17" x14ac:dyDescent="0.2">
      <c r="A54">
        <f>lc_detailed!AR55</f>
        <v>0</v>
      </c>
      <c r="B54" s="24" t="e">
        <f>lc_detailed!AW55</f>
        <v>#DIV/0!</v>
      </c>
      <c r="C54" s="24" t="e">
        <f>lc_detailed!AX55</f>
        <v>#DIV/0!</v>
      </c>
      <c r="D54" s="24" t="e">
        <f>lc_detailed!AY55</f>
        <v>#DIV/0!</v>
      </c>
      <c r="E54" s="24" t="e">
        <f>lc_detailed!AZ55</f>
        <v>#DIV/0!</v>
      </c>
      <c r="F54" s="24" t="e">
        <f>lc_detailed!BA55</f>
        <v>#DIV/0!</v>
      </c>
      <c r="G54" s="24" t="e">
        <f>lc_detailed!BB55</f>
        <v>#DIV/0!</v>
      </c>
      <c r="H54" s="24" t="e">
        <f>lc_detailed!BC55</f>
        <v>#DIV/0!</v>
      </c>
      <c r="I54" s="24" t="e">
        <f>lc_detailed!BD55</f>
        <v>#DIV/0!</v>
      </c>
      <c r="J54" s="24" t="e">
        <f>lc_detailed!BE55</f>
        <v>#DIV/0!</v>
      </c>
      <c r="K54" s="24" t="e">
        <f>lc_detailed!BF55</f>
        <v>#DIV/0!</v>
      </c>
      <c r="L54" s="24" t="e">
        <f>lc_detailed!BG55</f>
        <v>#DIV/0!</v>
      </c>
      <c r="M54" s="24" t="e">
        <f>lc_detailed!BH55</f>
        <v>#DIV/0!</v>
      </c>
      <c r="N54" s="24" t="e">
        <f>lc_detailed!BI55</f>
        <v>#DIV/0!</v>
      </c>
      <c r="O54" s="24" t="e">
        <f>lc_detailed!BK55</f>
        <v>#DIV/0!</v>
      </c>
      <c r="P54" s="24">
        <f>lc_detailed!BL55</f>
        <v>0</v>
      </c>
      <c r="Q54" s="24" t="e">
        <f>lc_detailed!AT55</f>
        <v>#DIV/0!</v>
      </c>
    </row>
    <row r="55" spans="1:17" x14ac:dyDescent="0.2">
      <c r="A55">
        <f>lc_detailed!AR56</f>
        <v>0</v>
      </c>
      <c r="B55" s="24" t="e">
        <f>lc_detailed!AW56</f>
        <v>#DIV/0!</v>
      </c>
      <c r="C55" s="24" t="e">
        <f>lc_detailed!AX56</f>
        <v>#DIV/0!</v>
      </c>
      <c r="D55" s="24" t="e">
        <f>lc_detailed!AY56</f>
        <v>#DIV/0!</v>
      </c>
      <c r="E55" s="24" t="e">
        <f>lc_detailed!AZ56</f>
        <v>#DIV/0!</v>
      </c>
      <c r="F55" s="24" t="e">
        <f>lc_detailed!BA56</f>
        <v>#DIV/0!</v>
      </c>
      <c r="G55" s="24" t="e">
        <f>lc_detailed!BB56</f>
        <v>#DIV/0!</v>
      </c>
      <c r="H55" s="24" t="e">
        <f>lc_detailed!BC56</f>
        <v>#DIV/0!</v>
      </c>
      <c r="I55" s="24" t="e">
        <f>lc_detailed!BD56</f>
        <v>#DIV/0!</v>
      </c>
      <c r="J55" s="24" t="e">
        <f>lc_detailed!BE56</f>
        <v>#DIV/0!</v>
      </c>
      <c r="K55" s="24" t="e">
        <f>lc_detailed!BF56</f>
        <v>#DIV/0!</v>
      </c>
      <c r="L55" s="24" t="e">
        <f>lc_detailed!BG56</f>
        <v>#DIV/0!</v>
      </c>
      <c r="M55" s="24" t="e">
        <f>lc_detailed!BH56</f>
        <v>#DIV/0!</v>
      </c>
      <c r="N55" s="24" t="e">
        <f>lc_detailed!BI56</f>
        <v>#DIV/0!</v>
      </c>
      <c r="O55" s="24" t="e">
        <f>lc_detailed!BK56</f>
        <v>#DIV/0!</v>
      </c>
      <c r="P55" s="24">
        <f>lc_detailed!BL56</f>
        <v>0</v>
      </c>
      <c r="Q55" s="24" t="e">
        <f>lc_detailed!AT56</f>
        <v>#DIV/0!</v>
      </c>
    </row>
    <row r="56" spans="1:17" x14ac:dyDescent="0.2">
      <c r="A56">
        <f>lc_detailed!AR57</f>
        <v>0</v>
      </c>
      <c r="B56" s="24" t="e">
        <f>lc_detailed!AW57</f>
        <v>#DIV/0!</v>
      </c>
      <c r="C56" s="24" t="e">
        <f>lc_detailed!AX57</f>
        <v>#DIV/0!</v>
      </c>
      <c r="D56" s="24" t="e">
        <f>lc_detailed!AY57</f>
        <v>#DIV/0!</v>
      </c>
      <c r="E56" s="24" t="e">
        <f>lc_detailed!AZ57</f>
        <v>#DIV/0!</v>
      </c>
      <c r="F56" s="24" t="e">
        <f>lc_detailed!BA57</f>
        <v>#DIV/0!</v>
      </c>
      <c r="G56" s="24" t="e">
        <f>lc_detailed!BB57</f>
        <v>#DIV/0!</v>
      </c>
      <c r="H56" s="24" t="e">
        <f>lc_detailed!BC57</f>
        <v>#DIV/0!</v>
      </c>
      <c r="I56" s="24" t="e">
        <f>lc_detailed!BD57</f>
        <v>#DIV/0!</v>
      </c>
      <c r="J56" s="24" t="e">
        <f>lc_detailed!BE57</f>
        <v>#DIV/0!</v>
      </c>
      <c r="K56" s="24" t="e">
        <f>lc_detailed!BF57</f>
        <v>#DIV/0!</v>
      </c>
      <c r="L56" s="24" t="e">
        <f>lc_detailed!BG57</f>
        <v>#DIV/0!</v>
      </c>
      <c r="M56" s="24" t="e">
        <f>lc_detailed!BH57</f>
        <v>#DIV/0!</v>
      </c>
      <c r="N56" s="24" t="e">
        <f>lc_detailed!BI57</f>
        <v>#DIV/0!</v>
      </c>
      <c r="O56" s="24" t="e">
        <f>lc_detailed!BK57</f>
        <v>#DIV/0!</v>
      </c>
      <c r="P56" s="24">
        <f>lc_detailed!BL57</f>
        <v>0</v>
      </c>
      <c r="Q56" s="24" t="e">
        <f>lc_detailed!AT57</f>
        <v>#DIV/0!</v>
      </c>
    </row>
    <row r="57" spans="1:17" x14ac:dyDescent="0.2">
      <c r="A57">
        <f>lc_detailed!AR58</f>
        <v>0</v>
      </c>
      <c r="B57" s="24" t="e">
        <f>lc_detailed!AW58</f>
        <v>#DIV/0!</v>
      </c>
      <c r="C57" s="24" t="e">
        <f>lc_detailed!AX58</f>
        <v>#DIV/0!</v>
      </c>
      <c r="D57" s="24" t="e">
        <f>lc_detailed!AY58</f>
        <v>#DIV/0!</v>
      </c>
      <c r="E57" s="24" t="e">
        <f>lc_detailed!AZ58</f>
        <v>#DIV/0!</v>
      </c>
      <c r="F57" s="24" t="e">
        <f>lc_detailed!BA58</f>
        <v>#DIV/0!</v>
      </c>
      <c r="G57" s="24" t="e">
        <f>lc_detailed!BB58</f>
        <v>#DIV/0!</v>
      </c>
      <c r="H57" s="24" t="e">
        <f>lc_detailed!BC58</f>
        <v>#DIV/0!</v>
      </c>
      <c r="I57" s="24" t="e">
        <f>lc_detailed!BD58</f>
        <v>#DIV/0!</v>
      </c>
      <c r="J57" s="24" t="e">
        <f>lc_detailed!BE58</f>
        <v>#DIV/0!</v>
      </c>
      <c r="K57" s="24" t="e">
        <f>lc_detailed!BF58</f>
        <v>#DIV/0!</v>
      </c>
      <c r="L57" s="24" t="e">
        <f>lc_detailed!BG58</f>
        <v>#DIV/0!</v>
      </c>
      <c r="M57" s="24" t="e">
        <f>lc_detailed!BH58</f>
        <v>#DIV/0!</v>
      </c>
      <c r="N57" s="24" t="e">
        <f>lc_detailed!BI58</f>
        <v>#DIV/0!</v>
      </c>
      <c r="O57" s="24" t="e">
        <f>lc_detailed!BK58</f>
        <v>#DIV/0!</v>
      </c>
      <c r="P57" s="24">
        <f>lc_detailed!BL58</f>
        <v>0</v>
      </c>
      <c r="Q57" s="24" t="e">
        <f>lc_detailed!AT58</f>
        <v>#DIV/0!</v>
      </c>
    </row>
    <row r="58" spans="1:17" x14ac:dyDescent="0.2">
      <c r="A58">
        <f>lc_detailed!AR59</f>
        <v>0</v>
      </c>
      <c r="B58" s="24" t="e">
        <f>lc_detailed!AW59</f>
        <v>#DIV/0!</v>
      </c>
      <c r="C58" s="24" t="e">
        <f>lc_detailed!AX59</f>
        <v>#DIV/0!</v>
      </c>
      <c r="D58" s="24" t="e">
        <f>lc_detailed!AY59</f>
        <v>#DIV/0!</v>
      </c>
      <c r="E58" s="24" t="e">
        <f>lc_detailed!AZ59</f>
        <v>#DIV/0!</v>
      </c>
      <c r="F58" s="24" t="e">
        <f>lc_detailed!BA59</f>
        <v>#DIV/0!</v>
      </c>
      <c r="G58" s="24" t="e">
        <f>lc_detailed!BB59</f>
        <v>#DIV/0!</v>
      </c>
      <c r="H58" s="24" t="e">
        <f>lc_detailed!BC59</f>
        <v>#DIV/0!</v>
      </c>
      <c r="I58" s="24" t="e">
        <f>lc_detailed!BD59</f>
        <v>#DIV/0!</v>
      </c>
      <c r="J58" s="24" t="e">
        <f>lc_detailed!BE59</f>
        <v>#DIV/0!</v>
      </c>
      <c r="K58" s="24" t="e">
        <f>lc_detailed!BF59</f>
        <v>#DIV/0!</v>
      </c>
      <c r="L58" s="24" t="e">
        <f>lc_detailed!BG59</f>
        <v>#DIV/0!</v>
      </c>
      <c r="M58" s="24" t="e">
        <f>lc_detailed!BH59</f>
        <v>#DIV/0!</v>
      </c>
      <c r="N58" s="24" t="e">
        <f>lc_detailed!BI59</f>
        <v>#DIV/0!</v>
      </c>
      <c r="O58" s="24" t="e">
        <f>lc_detailed!BK59</f>
        <v>#DIV/0!</v>
      </c>
      <c r="P58" s="24">
        <f>lc_detailed!BL59</f>
        <v>0</v>
      </c>
      <c r="Q58" s="24" t="e">
        <f>lc_detailed!AT59</f>
        <v>#DIV/0!</v>
      </c>
    </row>
    <row r="59" spans="1:17" x14ac:dyDescent="0.2">
      <c r="A59">
        <f>lc_detailed!AR60</f>
        <v>0</v>
      </c>
      <c r="B59" s="24" t="e">
        <f>lc_detailed!AW60</f>
        <v>#DIV/0!</v>
      </c>
      <c r="C59" s="24" t="e">
        <f>lc_detailed!AX60</f>
        <v>#DIV/0!</v>
      </c>
      <c r="D59" s="24" t="e">
        <f>lc_detailed!AY60</f>
        <v>#DIV/0!</v>
      </c>
      <c r="E59" s="24" t="e">
        <f>lc_detailed!AZ60</f>
        <v>#DIV/0!</v>
      </c>
      <c r="F59" s="24" t="e">
        <f>lc_detailed!BA60</f>
        <v>#DIV/0!</v>
      </c>
      <c r="G59" s="24" t="e">
        <f>lc_detailed!BB60</f>
        <v>#DIV/0!</v>
      </c>
      <c r="H59" s="24" t="e">
        <f>lc_detailed!BC60</f>
        <v>#DIV/0!</v>
      </c>
      <c r="I59" s="24" t="e">
        <f>lc_detailed!BD60</f>
        <v>#DIV/0!</v>
      </c>
      <c r="J59" s="24" t="e">
        <f>lc_detailed!BE60</f>
        <v>#DIV/0!</v>
      </c>
      <c r="K59" s="24" t="e">
        <f>lc_detailed!BF60</f>
        <v>#DIV/0!</v>
      </c>
      <c r="L59" s="24" t="e">
        <f>lc_detailed!BG60</f>
        <v>#DIV/0!</v>
      </c>
      <c r="M59" s="24" t="e">
        <f>lc_detailed!BH60</f>
        <v>#DIV/0!</v>
      </c>
      <c r="N59" s="24" t="e">
        <f>lc_detailed!BI60</f>
        <v>#DIV/0!</v>
      </c>
      <c r="O59" s="24" t="e">
        <f>lc_detailed!BK60</f>
        <v>#DIV/0!</v>
      </c>
      <c r="P59" s="24">
        <f>lc_detailed!BL60</f>
        <v>0</v>
      </c>
      <c r="Q59" s="24" t="e">
        <f>lc_detailed!AT60</f>
        <v>#DIV/0!</v>
      </c>
    </row>
    <row r="60" spans="1:17" x14ac:dyDescent="0.2">
      <c r="A60">
        <f>lc_detailed!AR61</f>
        <v>0</v>
      </c>
      <c r="B60" s="24" t="e">
        <f>lc_detailed!AW61</f>
        <v>#DIV/0!</v>
      </c>
      <c r="C60" s="24" t="e">
        <f>lc_detailed!AX61</f>
        <v>#DIV/0!</v>
      </c>
      <c r="D60" s="24" t="e">
        <f>lc_detailed!AY61</f>
        <v>#DIV/0!</v>
      </c>
      <c r="E60" s="24" t="e">
        <f>lc_detailed!AZ61</f>
        <v>#DIV/0!</v>
      </c>
      <c r="F60" s="24" t="e">
        <f>lc_detailed!BA61</f>
        <v>#DIV/0!</v>
      </c>
      <c r="G60" s="24" t="e">
        <f>lc_detailed!BB61</f>
        <v>#DIV/0!</v>
      </c>
      <c r="H60" s="24" t="e">
        <f>lc_detailed!BC61</f>
        <v>#DIV/0!</v>
      </c>
      <c r="I60" s="24" t="e">
        <f>lc_detailed!BD61</f>
        <v>#DIV/0!</v>
      </c>
      <c r="J60" s="24" t="e">
        <f>lc_detailed!BE61</f>
        <v>#DIV/0!</v>
      </c>
      <c r="K60" s="24" t="e">
        <f>lc_detailed!BF61</f>
        <v>#DIV/0!</v>
      </c>
      <c r="L60" s="24" t="e">
        <f>lc_detailed!BG61</f>
        <v>#DIV/0!</v>
      </c>
      <c r="M60" s="24" t="e">
        <f>lc_detailed!BH61</f>
        <v>#DIV/0!</v>
      </c>
      <c r="N60" s="24" t="e">
        <f>lc_detailed!BI61</f>
        <v>#DIV/0!</v>
      </c>
      <c r="O60" s="24" t="e">
        <f>lc_detailed!BK61</f>
        <v>#DIV/0!</v>
      </c>
      <c r="P60" s="24">
        <f>lc_detailed!BL61</f>
        <v>0</v>
      </c>
      <c r="Q60" s="24" t="e">
        <f>lc_detailed!AT61</f>
        <v>#DIV/0!</v>
      </c>
    </row>
    <row r="61" spans="1:17" x14ac:dyDescent="0.2">
      <c r="A61">
        <f>lc_detailed!AR62</f>
        <v>0</v>
      </c>
      <c r="B61" s="24" t="e">
        <f>lc_detailed!AW62</f>
        <v>#DIV/0!</v>
      </c>
      <c r="C61" s="24" t="e">
        <f>lc_detailed!AX62</f>
        <v>#DIV/0!</v>
      </c>
      <c r="D61" s="24" t="e">
        <f>lc_detailed!AY62</f>
        <v>#DIV/0!</v>
      </c>
      <c r="E61" s="24" t="e">
        <f>lc_detailed!AZ62</f>
        <v>#DIV/0!</v>
      </c>
      <c r="F61" s="24" t="e">
        <f>lc_detailed!BA62</f>
        <v>#DIV/0!</v>
      </c>
      <c r="G61" s="24" t="e">
        <f>lc_detailed!BB62</f>
        <v>#DIV/0!</v>
      </c>
      <c r="H61" s="24" t="e">
        <f>lc_detailed!BC62</f>
        <v>#DIV/0!</v>
      </c>
      <c r="I61" s="24" t="e">
        <f>lc_detailed!BD62</f>
        <v>#DIV/0!</v>
      </c>
      <c r="J61" s="24" t="e">
        <f>lc_detailed!BE62</f>
        <v>#DIV/0!</v>
      </c>
      <c r="K61" s="24" t="e">
        <f>lc_detailed!BF62</f>
        <v>#DIV/0!</v>
      </c>
      <c r="L61" s="24" t="e">
        <f>lc_detailed!BG62</f>
        <v>#DIV/0!</v>
      </c>
      <c r="M61" s="24" t="e">
        <f>lc_detailed!BH62</f>
        <v>#DIV/0!</v>
      </c>
      <c r="N61" s="24" t="e">
        <f>lc_detailed!BI62</f>
        <v>#DIV/0!</v>
      </c>
      <c r="O61" s="24" t="e">
        <f>lc_detailed!BK62</f>
        <v>#DIV/0!</v>
      </c>
      <c r="P61" s="24">
        <f>lc_detailed!BL62</f>
        <v>0</v>
      </c>
      <c r="Q61" s="24" t="e">
        <f>lc_detailed!AT62</f>
        <v>#DIV/0!</v>
      </c>
    </row>
    <row r="62" spans="1:17" x14ac:dyDescent="0.2">
      <c r="A62">
        <f>lc_detailed!AR63</f>
        <v>0</v>
      </c>
      <c r="B62" s="24" t="e">
        <f>lc_detailed!AW63</f>
        <v>#DIV/0!</v>
      </c>
      <c r="C62" s="24" t="e">
        <f>lc_detailed!AX63</f>
        <v>#DIV/0!</v>
      </c>
      <c r="D62" s="24" t="e">
        <f>lc_detailed!AY63</f>
        <v>#DIV/0!</v>
      </c>
      <c r="E62" s="24" t="e">
        <f>lc_detailed!AZ63</f>
        <v>#DIV/0!</v>
      </c>
      <c r="F62" s="24" t="e">
        <f>lc_detailed!BA63</f>
        <v>#DIV/0!</v>
      </c>
      <c r="G62" s="24" t="e">
        <f>lc_detailed!BB63</f>
        <v>#DIV/0!</v>
      </c>
      <c r="H62" s="24" t="e">
        <f>lc_detailed!BC63</f>
        <v>#DIV/0!</v>
      </c>
      <c r="I62" s="24" t="e">
        <f>lc_detailed!BD63</f>
        <v>#DIV/0!</v>
      </c>
      <c r="J62" s="24" t="e">
        <f>lc_detailed!BE63</f>
        <v>#DIV/0!</v>
      </c>
      <c r="K62" s="24" t="e">
        <f>lc_detailed!BF63</f>
        <v>#DIV/0!</v>
      </c>
      <c r="L62" s="24" t="e">
        <f>lc_detailed!BG63</f>
        <v>#DIV/0!</v>
      </c>
      <c r="M62" s="24" t="e">
        <f>lc_detailed!BH63</f>
        <v>#DIV/0!</v>
      </c>
      <c r="N62" s="24" t="e">
        <f>lc_detailed!BI63</f>
        <v>#DIV/0!</v>
      </c>
      <c r="O62" s="24" t="e">
        <f>lc_detailed!BK63</f>
        <v>#DIV/0!</v>
      </c>
      <c r="P62" s="24">
        <f>lc_detailed!BL63</f>
        <v>0</v>
      </c>
      <c r="Q62" s="24" t="e">
        <f>lc_detailed!AT63</f>
        <v>#DIV/0!</v>
      </c>
    </row>
    <row r="63" spans="1:17" x14ac:dyDescent="0.2">
      <c r="A63">
        <f>lc_detailed!AR64</f>
        <v>0</v>
      </c>
      <c r="B63" s="24" t="e">
        <f>lc_detailed!AW64</f>
        <v>#DIV/0!</v>
      </c>
      <c r="C63" s="24" t="e">
        <f>lc_detailed!AX64</f>
        <v>#DIV/0!</v>
      </c>
      <c r="D63" s="24" t="e">
        <f>lc_detailed!AY64</f>
        <v>#DIV/0!</v>
      </c>
      <c r="E63" s="24" t="e">
        <f>lc_detailed!AZ64</f>
        <v>#DIV/0!</v>
      </c>
      <c r="F63" s="24" t="e">
        <f>lc_detailed!BA64</f>
        <v>#DIV/0!</v>
      </c>
      <c r="G63" s="24" t="e">
        <f>lc_detailed!BB64</f>
        <v>#DIV/0!</v>
      </c>
      <c r="H63" s="24" t="e">
        <f>lc_detailed!BC64</f>
        <v>#DIV/0!</v>
      </c>
      <c r="I63" s="24" t="e">
        <f>lc_detailed!BD64</f>
        <v>#DIV/0!</v>
      </c>
      <c r="J63" s="24" t="e">
        <f>lc_detailed!BE64</f>
        <v>#DIV/0!</v>
      </c>
      <c r="K63" s="24" t="e">
        <f>lc_detailed!BF64</f>
        <v>#DIV/0!</v>
      </c>
      <c r="L63" s="24" t="e">
        <f>lc_detailed!BG64</f>
        <v>#DIV/0!</v>
      </c>
      <c r="M63" s="24" t="e">
        <f>lc_detailed!BH64</f>
        <v>#DIV/0!</v>
      </c>
      <c r="N63" s="24" t="e">
        <f>lc_detailed!BI64</f>
        <v>#DIV/0!</v>
      </c>
      <c r="O63" s="24" t="e">
        <f>lc_detailed!BK64</f>
        <v>#DIV/0!</v>
      </c>
      <c r="P63" s="24">
        <f>lc_detailed!BL64</f>
        <v>0</v>
      </c>
      <c r="Q63" s="24" t="e">
        <f>lc_detailed!AT64</f>
        <v>#DIV/0!</v>
      </c>
    </row>
    <row r="64" spans="1:17" x14ac:dyDescent="0.2">
      <c r="A64">
        <f>lc_detailed!AR65</f>
        <v>0</v>
      </c>
      <c r="B64" s="24" t="e">
        <f>lc_detailed!AW65</f>
        <v>#DIV/0!</v>
      </c>
      <c r="C64" s="24" t="e">
        <f>lc_detailed!AX65</f>
        <v>#DIV/0!</v>
      </c>
      <c r="D64" s="24" t="e">
        <f>lc_detailed!AY65</f>
        <v>#DIV/0!</v>
      </c>
      <c r="E64" s="24" t="e">
        <f>lc_detailed!AZ65</f>
        <v>#DIV/0!</v>
      </c>
      <c r="F64" s="24" t="e">
        <f>lc_detailed!BA65</f>
        <v>#DIV/0!</v>
      </c>
      <c r="G64" s="24" t="e">
        <f>lc_detailed!BB65</f>
        <v>#DIV/0!</v>
      </c>
      <c r="H64" s="24" t="e">
        <f>lc_detailed!BC65</f>
        <v>#DIV/0!</v>
      </c>
      <c r="I64" s="24" t="e">
        <f>lc_detailed!BD65</f>
        <v>#DIV/0!</v>
      </c>
      <c r="J64" s="24" t="e">
        <f>lc_detailed!BE65</f>
        <v>#DIV/0!</v>
      </c>
      <c r="K64" s="24" t="e">
        <f>lc_detailed!BF65</f>
        <v>#DIV/0!</v>
      </c>
      <c r="L64" s="24" t="e">
        <f>lc_detailed!BG65</f>
        <v>#DIV/0!</v>
      </c>
      <c r="M64" s="24" t="e">
        <f>lc_detailed!BH65</f>
        <v>#DIV/0!</v>
      </c>
      <c r="N64" s="24" t="e">
        <f>lc_detailed!BI65</f>
        <v>#DIV/0!</v>
      </c>
      <c r="O64" s="24" t="e">
        <f>lc_detailed!BK65</f>
        <v>#DIV/0!</v>
      </c>
      <c r="P64" s="24">
        <f>lc_detailed!BL65</f>
        <v>0</v>
      </c>
      <c r="Q64" s="24" t="e">
        <f>lc_detailed!AT65</f>
        <v>#DIV/0!</v>
      </c>
    </row>
    <row r="65" spans="1:17" x14ac:dyDescent="0.2">
      <c r="A65">
        <f>lc_detailed!AR66</f>
        <v>0</v>
      </c>
      <c r="B65" s="24" t="e">
        <f>lc_detailed!AW66</f>
        <v>#DIV/0!</v>
      </c>
      <c r="C65" s="24" t="e">
        <f>lc_detailed!AX66</f>
        <v>#DIV/0!</v>
      </c>
      <c r="D65" s="24" t="e">
        <f>lc_detailed!AY66</f>
        <v>#DIV/0!</v>
      </c>
      <c r="E65" s="24" t="e">
        <f>lc_detailed!AZ66</f>
        <v>#DIV/0!</v>
      </c>
      <c r="F65" s="24" t="e">
        <f>lc_detailed!BA66</f>
        <v>#DIV/0!</v>
      </c>
      <c r="G65" s="24" t="e">
        <f>lc_detailed!BB66</f>
        <v>#DIV/0!</v>
      </c>
      <c r="H65" s="24" t="e">
        <f>lc_detailed!BC66</f>
        <v>#DIV/0!</v>
      </c>
      <c r="I65" s="24" t="e">
        <f>lc_detailed!BD66</f>
        <v>#DIV/0!</v>
      </c>
      <c r="J65" s="24" t="e">
        <f>lc_detailed!BE66</f>
        <v>#DIV/0!</v>
      </c>
      <c r="K65" s="24" t="e">
        <f>lc_detailed!BF66</f>
        <v>#DIV/0!</v>
      </c>
      <c r="L65" s="24" t="e">
        <f>lc_detailed!BG66</f>
        <v>#DIV/0!</v>
      </c>
      <c r="M65" s="24" t="e">
        <f>lc_detailed!BH66</f>
        <v>#DIV/0!</v>
      </c>
      <c r="N65" s="24" t="e">
        <f>lc_detailed!BI66</f>
        <v>#DIV/0!</v>
      </c>
      <c r="O65" s="24" t="e">
        <f>lc_detailed!BK66</f>
        <v>#DIV/0!</v>
      </c>
      <c r="P65" s="24">
        <f>lc_detailed!BL66</f>
        <v>0</v>
      </c>
      <c r="Q65" s="24" t="e">
        <f>lc_detailed!AT66</f>
        <v>#DIV/0!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2026-06-24T17:18:16Z</dcterms:modified>
</cp:coreProperties>
</file>