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0" autoFilterDateGrouping="1"/>
  </bookViews>
  <sheets>
    <sheet xmlns:r="http://schemas.openxmlformats.org/officeDocument/2006/relationships" name="lc_detailed" sheetId="1" state="visible" r:id="rId1"/>
    <sheet xmlns:r="http://schemas.openxmlformats.org/officeDocument/2006/relationships"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20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8E8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4" fillId="18" borderId="0" pivotButton="0" quotePrefix="0" xfId="0"/>
    <xf numFmtId="0" fontId="0" fillId="19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1.304361127893429</v>
                </pt>
                <pt idx="1">
                  <v>0.7360518117574211</v>
                </pt>
                <pt idx="2">
                  <v>1.00483237199334</v>
                </pt>
                <pt idx="3">
                  <v>0.7697008801892076</v>
                </pt>
                <pt idx="4">
                  <v>0.7360518117574211</v>
                </pt>
                <pt idx="5">
                  <v>1.00483237199334</v>
                </pt>
                <pt idx="6">
                  <v>0.5561594320343651</v>
                </pt>
                <pt idx="7">
                  <v>0.7697008801892076</v>
                </pt>
                <pt idx="8">
                  <v>0.5561594320343651</v>
                </pt>
                <pt idx="9">
                  <v>0.6962115810715788</v>
                </pt>
                <pt idx="10">
                  <v>0.6962115810715788</v>
                </pt>
                <pt idx="11">
                  <v>0.8442129170953</v>
                </pt>
                <pt idx="12">
                  <v>1.050681386499588</v>
                </pt>
                <pt idx="13">
                  <v>0.8442129170953</v>
                </pt>
                <pt idx="14">
                  <v>1.082049872275071</v>
                </pt>
                <pt idx="15">
                  <v>1.050681386499588</v>
                </pt>
                <pt idx="16">
                  <v>1.082049872275071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0.7697008801892076</v>
                </pt>
                <pt idx="22">
                  <v>0.8442129170953</v>
                </pt>
                <pt idx="23">
                  <v>1.00483237199334</v>
                </pt>
                <pt idx="24">
                  <v>1.050681386499588</v>
                </pt>
                <pt idx="25">
                  <v>1.082049872275071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1.121917381925237</v>
                </pt>
                <pt idx="2">
                  <v>1.121917381925237</v>
                </pt>
                <pt idx="3">
                  <v>1.121917381925237</v>
                </pt>
                <pt idx="4">
                  <v>1.845971685370083</v>
                </pt>
                <pt idx="5">
                  <v>1.845971685370083</v>
                </pt>
                <pt idx="6">
                  <v>1.121917381925237</v>
                </pt>
                <pt idx="7">
                  <v>1.845971685370083</v>
                </pt>
                <pt idx="8">
                  <v>1.845971685370083</v>
                </pt>
                <pt idx="9">
                  <v>1.121917381925237</v>
                </pt>
                <pt idx="10">
                  <v>1.845971685370083</v>
                </pt>
                <pt idx="11">
                  <v>1.121917381925237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1.845971685370083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7.835557847855159</v>
                </pt>
                <pt idx="2">
                  <v>7.835557847855159</v>
                </pt>
                <pt idx="3">
                  <v>7.835557847855159</v>
                </pt>
                <pt idx="4">
                  <v>8.232258905337231</v>
                </pt>
                <pt idx="5">
                  <v>8.232258905337231</v>
                </pt>
                <pt idx="6">
                  <v>7.835557847855159</v>
                </pt>
                <pt idx="7">
                  <v>8.232258905337231</v>
                </pt>
                <pt idx="8">
                  <v>8.232258905337231</v>
                </pt>
                <pt idx="9">
                  <v>7.835557847855159</v>
                </pt>
                <pt idx="10">
                  <v>8.232258905337231</v>
                </pt>
                <pt idx="11">
                  <v>7.835557847855159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8.232258905337231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-8.172434844679341</v>
                </pt>
                <pt idx="2">
                  <v>-8.172434844679341</v>
                </pt>
                <pt idx="3">
                  <v>-8.172434844679341</v>
                </pt>
                <pt idx="4">
                  <v>-8.143443156227582</v>
                </pt>
                <pt idx="5">
                  <v>-8.143443156227582</v>
                </pt>
                <pt idx="6">
                  <v>-8.172434844679341</v>
                </pt>
                <pt idx="7">
                  <v>-8.143443156227582</v>
                </pt>
                <pt idx="8">
                  <v>-8.143443156227582</v>
                </pt>
                <pt idx="9">
                  <v>-8.172434844679341</v>
                </pt>
                <pt idx="10">
                  <v>-8.143443156227582</v>
                </pt>
                <pt idx="11">
                  <v>-8.172434844679341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-8.143443156227582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 xmlns:a="http://schemas.openxmlformats.org/drawingml/2006/main">
              <a:schemeClr val="accent2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-5.398840508864385</v>
                </pt>
                <pt idx="1">
                  <v>-11.76703281777212</v>
                </pt>
                <pt idx="2">
                  <v>-11.86599481984712</v>
                </pt>
                <pt idx="3">
                  <v>-10.70194303918676</v>
                </pt>
                <pt idx="4">
                  <v>-11.76703281777212</v>
                </pt>
                <pt idx="5">
                  <v>-11.86599481984712</v>
                </pt>
                <pt idx="6">
                  <v>-10.13642665887811</v>
                </pt>
                <pt idx="7">
                  <v>-10.70194303918676</v>
                </pt>
                <pt idx="8">
                  <v>-10.13642665887811</v>
                </pt>
                <pt idx="9">
                  <v>-8.961535840378785</v>
                </pt>
                <pt idx="10">
                  <v>-8.961535840378785</v>
                </pt>
                <pt idx="11">
                  <v>-7.807741342265638</v>
                </pt>
                <pt idx="12">
                  <v>-7.118279514021063</v>
                </pt>
                <pt idx="13">
                  <v>-7.807741342265638</v>
                </pt>
                <pt idx="14">
                  <v>-6.379184937517909</v>
                </pt>
                <pt idx="15">
                  <v>-7.118279514021063</v>
                </pt>
                <pt idx="16">
                  <v>-6.379184937517909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 xmlns:a="http://schemas.openxmlformats.org/drawingml/2006/main">
              <a:schemeClr val="accent3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-25.22139812421864</v>
                </pt>
                <pt idx="1">
                  <v>2.085885814360691</v>
                </pt>
                <pt idx="2">
                  <v>2.085885814360691</v>
                </pt>
                <pt idx="3">
                  <v>2.085885814360691</v>
                </pt>
                <pt idx="4">
                  <v>2.085885814360691</v>
                </pt>
                <pt idx="5">
                  <v>2.085885814360691</v>
                </pt>
                <pt idx="6">
                  <v>2.085885814360691</v>
                </pt>
                <pt idx="7">
                  <v>2.085885814360691</v>
                </pt>
                <pt idx="8">
                  <v>2.085885814360691</v>
                </pt>
                <pt idx="9">
                  <v>2.085885814360691</v>
                </pt>
                <pt idx="10">
                  <v>2.085885814360691</v>
                </pt>
                <pt idx="11">
                  <v>2.085885814360691</v>
                </pt>
                <pt idx="12">
                  <v>2.085885814360691</v>
                </pt>
                <pt idx="13">
                  <v>2.085885814360691</v>
                </pt>
                <pt idx="14">
                  <v>2.085885814360691</v>
                </pt>
                <pt idx="15">
                  <v>2.085885814360691</v>
                </pt>
                <pt idx="16">
                  <v>2.085885814360691</v>
                </pt>
                <pt idx="17">
                  <v>2.085885814360691</v>
                </pt>
                <pt idx="18">
                  <v>2.085885814360691</v>
                </pt>
                <pt idx="19">
                  <v>2.085885814360691</v>
                </pt>
                <pt idx="20">
                  <v>2.085885814360691</v>
                </pt>
                <pt idx="21">
                  <v>2.085885814360691</v>
                </pt>
                <pt idx="22">
                  <v>2.085885814360691</v>
                </pt>
                <pt idx="23">
                  <v>2.085885814360691</v>
                </pt>
                <pt idx="24">
                  <v>2.085885814360691</v>
                </pt>
                <pt idx="25">
                  <v>2.085885814360691</v>
                </pt>
                <pt idx="26">
                  <v>2.085885814360691</v>
                </pt>
                <pt idx="27">
                  <v>2.086453080211965</v>
                </pt>
                <pt idx="28">
                  <v>2.08634503010552</v>
                </pt>
                <pt idx="29">
                  <v>2.085731698376275</v>
                </pt>
                <pt idx="30">
                  <v>2.086015365424356</v>
                </pt>
                <pt idx="31">
                  <v>2.085731698376327</v>
                </pt>
                <pt idx="32">
                  <v>2.085429472072523</v>
                </pt>
                <pt idx="33">
                  <v>2.08538122573008</v>
                </pt>
                <pt idx="34">
                  <v>2.085727662574092</v>
                </pt>
                <pt idx="35">
                  <v>2.085915636452611</v>
                </pt>
                <pt idx="36">
                  <v>2.085672011967737</v>
                </pt>
                <pt idx="37">
                  <v>2.085429488156162</v>
                </pt>
                <pt idx="38">
                  <v>2.086015381507643</v>
                </pt>
                <pt idx="39">
                  <v>2.085534980100502</v>
                </pt>
                <pt idx="40">
                  <v>2.08538122573008</v>
                </pt>
                <pt idx="41">
                  <v>2.08601536542433</v>
                </pt>
                <pt idx="42">
                  <v>2.086075610141338</v>
                </pt>
                <pt idx="43">
                  <v>2.086453080211952</v>
                </pt>
                <pt idx="44">
                  <v>2.086066287576032</v>
                </pt>
                <pt idx="45">
                  <v>2.08591565253601</v>
                </pt>
                <pt idx="46">
                  <v>2.086075626224633</v>
                </pt>
                <pt idx="47">
                  <v>2.085915636452623</v>
                </pt>
                <pt idx="48">
                  <v>2.085416863969469</v>
                </pt>
                <pt idx="49">
                  <v>2.085731714459778</v>
                </pt>
                <pt idx="50">
                  <v>2.086066303659311</v>
                </pt>
                <pt idx="51">
                  <v>2.085416863969504</v>
                </pt>
                <pt idx="52">
                  <v>2.086345030105496</v>
                </pt>
                <pt idx="53">
                  <v>2.085534980100514</v>
                </pt>
                <pt idx="54">
                  <v>2.085429472072523</v>
                </pt>
                <pt idx="55">
                  <v>2.085381241813778</v>
                </pt>
                <pt idx="56">
                  <v>2.085416880053173</v>
                </pt>
                <pt idx="57">
                  <v>2.086473150053378</v>
                </pt>
                <pt idx="58">
                  <v>2.086066287576055</v>
                </pt>
                <pt idx="59">
                  <v>2.086075610141362</v>
                </pt>
                <pt idx="60">
                  <v>2.085534996184113</v>
                </pt>
                <pt idx="61">
                  <v>2.086453096294997</v>
                </pt>
                <pt idx="62">
                  <v>2.085672011967784</v>
                </pt>
                <pt idx="63">
                  <v>2.08577420874786</v>
                </pt>
                <pt idx="64">
                  <v>2.086345046188609</v>
                </pt>
                <pt idx="65">
                  <v>2.085727662574079</v>
                </pt>
                <pt idx="66">
                  <v>2.085672028051245</v>
                </pt>
                <pt idx="67">
                  <v>2.086473150053354</v>
                </pt>
                <pt idx="68">
                  <v>2.085727678657541</v>
                </pt>
                <pt idx="69">
                  <v>2.085774208747848</v>
                </pt>
                <pt idx="70">
                  <v>2.086473166136344</v>
                </pt>
                <pt idx="71">
                  <v>2.085774224831308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0</v>
                </pt>
                <pt idx="1">
                  <v>CA_Gasoline_Gasification_Non_CCS_Herb</v>
                </pt>
                <pt idx="2">
                  <v>CA_Gasoline_Gasification_Non_CCS_Herb</v>
                </pt>
                <pt idx="3">
                  <v>CA_Gasoline_Gasification_Non_CCS_Herb</v>
                </pt>
                <pt idx="4">
                  <v>CA_Gasoline_Gasification_Non_CCS_Herb</v>
                </pt>
                <pt idx="5">
                  <v>CA_Gasoline_Gasification_Non_CCS_Herb</v>
                </pt>
                <pt idx="6">
                  <v>CA_Gasoline_Gasification_Non_CCS_Herb</v>
                </pt>
                <pt idx="7">
                  <v>0</v>
                </pt>
                <pt idx="8">
                  <v>0</v>
                </pt>
                <pt idx="9">
                  <v>CA_Gasoline_Gasification_Non_CCS_Herb</v>
                </pt>
                <pt idx="10">
                  <v>0</v>
                </pt>
                <pt idx="11">
                  <v>CA_Gasoline_Gasification_Non_CCS_Herb</v>
                </pt>
                <pt idx="12">
                  <v>CA_Gasoline_Gasification_Non_CCS_Herb</v>
                </pt>
                <pt idx="13">
                  <v>0</v>
                </pt>
                <pt idx="14">
                  <v>CA_Gasoline_Gasification_Non_CCS_Herb</v>
                </pt>
                <pt idx="15">
                  <v>0</v>
                </pt>
                <pt idx="16">
                  <v>0</v>
                </pt>
                <pt idx="17">
                  <v>CA_Gasoline_Gasification_Non_CCS_Herb</v>
                </pt>
                <pt idx="18">
                  <v>CA_Gasoline_Gasification_Non_CCS_Herb</v>
                </pt>
                <pt idx="19">
                  <v>CA_Gasoline_Gasification_Non_CCS_Herb</v>
                </pt>
                <pt idx="20">
                  <v>CA_Gasoline_Gasification_Non_CCS_Herb</v>
                </pt>
                <pt idx="21">
                  <v>CA_Gasoline_Gasification_Non_CCS_Herb</v>
                </pt>
                <pt idx="22">
                  <v>CA_Gasoline_Gasification_Non_CCS_Herb</v>
                </pt>
                <pt idx="23">
                  <v>CA_Gasoline_Gasification_Non_CCS_Herb</v>
                </pt>
                <pt idx="24">
                  <v>CA_Gasoline_Gasification_Non_CCS_Herb</v>
                </pt>
                <pt idx="25">
                  <v>CA_Gasoline_Gasification_Non_CCS_Herb</v>
                </pt>
                <pt idx="26">
                  <v>CA_Gasoline_Gasification_Non_CCS_Herb</v>
                </pt>
                <pt idx="27">
                  <v>CA_Gasoline_Gasification_Non_CCS_Herb</v>
                </pt>
                <pt idx="28">
                  <v>CA_Gasoline_Gasification_Non_CCS_Herb</v>
                </pt>
                <pt idx="29">
                  <v>CA_Gasoline_Gasification_Non_CCS_Herb</v>
                </pt>
                <pt idx="30">
                  <v>CA_Gasoline_Gasification_Non_CCS_Herb</v>
                </pt>
                <pt idx="31">
                  <v>CA_Gasoline_Gasification_Non_CCS_Herb</v>
                </pt>
                <pt idx="32">
                  <v>CA_Gasoline_Gasification_Non_CCS_Herb</v>
                </pt>
                <pt idx="33">
                  <v>CA_Gasoline_Gasification_Non_CCS_Herb</v>
                </pt>
                <pt idx="34">
                  <v>CA_Gasoline_Gasification_Non_CCS_Herb</v>
                </pt>
                <pt idx="35">
                  <v>CA_Gasoline_Gasification_Non_CCS_Herb</v>
                </pt>
                <pt idx="36">
                  <v>CA_Gasoline_Gasification_Non_CCS_Herb</v>
                </pt>
                <pt idx="37">
                  <v>CA_Gasoline_Gasification_Non_CCS_Herb</v>
                </pt>
                <pt idx="38">
                  <v>CA_Gasoline_Gasification_Non_CCS_Herb</v>
                </pt>
                <pt idx="39">
                  <v>CA_Gasoline_Gasification_Non_CCS_Herb</v>
                </pt>
                <pt idx="40">
                  <v>CA_Gasoline_Gasification_Non_CCS_Herb</v>
                </pt>
                <pt idx="41">
                  <v>CA_Gasoline_Gasification_Non_CCS_Herb</v>
                </pt>
                <pt idx="42">
                  <v>CA_Gasoline_Gasification_Non_CCS_Herb</v>
                </pt>
                <pt idx="43">
                  <v>CA_Gasoline_Gasification_Non_CCS_Herb</v>
                </pt>
                <pt idx="44">
                  <v>CA_Gasoline_Gasification_Non_CCS_Herb</v>
                </pt>
                <pt idx="45">
                  <v>CA_Gasoline_Gasification_Non_CCS_Herb</v>
                </pt>
                <pt idx="46">
                  <v>CA_Gasoline_Gasification_Non_CCS_Herb</v>
                </pt>
                <pt idx="47">
                  <v>CA_Gasoline_Gasification_Non_CCS_Herb</v>
                </pt>
                <pt idx="48">
                  <v>CA_Gasoline_Gasification_Non_CCS_Herb</v>
                </pt>
                <pt idx="49">
                  <v>CA_Gasoline_Gasification_Non_CCS_Herb</v>
                </pt>
                <pt idx="50">
                  <v>CA_Gasoline_Gasification_Non_CCS_Herb</v>
                </pt>
                <pt idx="51">
                  <v>CA_Gasoline_Gasification_Non_CCS_Herb</v>
                </pt>
                <pt idx="52">
                  <v>CA_Gasoline_Gasification_Non_CCS_Herb</v>
                </pt>
                <pt idx="53">
                  <v>CA_Gasoline_Gasification_Non_CCS_Herb</v>
                </pt>
                <pt idx="54">
                  <v>CA_Gasoline_Gasification_Non_CCS_Herb</v>
                </pt>
                <pt idx="55">
                  <v>CA_Gasoline_Gasification_Non_CCS_Herb</v>
                </pt>
                <pt idx="56">
                  <v>CA_Gasoline_Gasification_Non_CCS_Herb</v>
                </pt>
                <pt idx="57">
                  <v>CA_Gasoline_Gasification_Non_CCS_Herb</v>
                </pt>
                <pt idx="58">
                  <v>CA_Gasoline_Gasification_Non_CCS_Herb</v>
                </pt>
                <pt idx="59">
                  <v>CA_Gasoline_Gasification_Non_CCS_Herb</v>
                </pt>
                <pt idx="60">
                  <v>CA_Gasoline_Gasification_Non_CCS_Herb</v>
                </pt>
                <pt idx="61">
                  <v>CA_Gasoline_Gasification_Non_CCS_Herb</v>
                </pt>
                <pt idx="62">
                  <v>CA_Gasoline_Gasification_Non_CCS_Herb</v>
                </pt>
                <pt idx="63">
                  <v>CA_Gasoline_Gasification_Non_CCS_Herb</v>
                </pt>
                <pt idx="64">
                  <v>CA_Gasoline_Gasification_Non_CCS_Herb</v>
                </pt>
                <pt idx="65">
                  <v>CA_Gasoline_Gasification_Non_CCS_Herb</v>
                </pt>
                <pt idx="66">
                  <v>CA_Gasoline_Gasification_Non_CCS_Herb</v>
                </pt>
                <pt idx="67">
                  <v>CA_Gasoline_Gasification_Non_CCS_Herb</v>
                </pt>
                <pt idx="68">
                  <v>CA_Gasoline_Gasification_Non_CCS_Herb</v>
                </pt>
                <pt idx="69">
                  <v>CA_Gasoline_Gasification_Non_CCS_Herb</v>
                </pt>
                <pt idx="70">
                  <v>CA_Gasoline_Gasification_Non_CCS_Herb</v>
                </pt>
                <pt idx="71">
                  <v>CA_Gasoline_Gasification_Non_CCS_Herb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27.38098811594712</v>
                </pt>
                <pt idx="1">
                  <v>46.60202338010404</v>
                </pt>
                <pt idx="2">
                  <v>46.77184193826495</v>
                </pt>
                <pt idx="3">
                  <v>47.70076222712119</v>
                </pt>
                <pt idx="4">
                  <v>47.7517704294827</v>
                </pt>
                <pt idx="5">
                  <v>47.92158898764363</v>
                </pt>
                <pt idx="6">
                  <v>48.052737159275</v>
                </pt>
                <pt idx="7">
                  <v>48.85050927649986</v>
                </pt>
                <pt idx="8">
                  <v>49.20248420865366</v>
                </pt>
                <pt idx="9">
                  <v>49.36768012681154</v>
                </pt>
                <pt idx="10">
                  <v>50.5174271761902</v>
                </pt>
                <pt idx="11">
                  <v>50.66947596094839</v>
                </pt>
                <pt idx="12">
                  <v>51.56540625859726</v>
                </pt>
                <pt idx="13">
                  <v>51.81922301032707</v>
                </pt>
                <pt idx="14">
                  <v>52.33586932087589</v>
                </pt>
                <pt idx="15">
                  <v>52.71515330797593</v>
                </pt>
                <pt idx="16">
                  <v>53.48561637025458</v>
                </pt>
                <pt idx="17">
                  <v>53.53852500514778</v>
                </pt>
                <pt idx="18">
                  <v>56.4396758312863</v>
                </pt>
                <pt idx="19">
                  <v>56.57972798032352</v>
                </pt>
                <pt idx="20">
                  <v>56.61956821100936</v>
                </pt>
                <pt idx="21">
                  <v>56.65321727944114</v>
                </pt>
                <pt idx="22">
                  <v>56.72772931634724</v>
                </pt>
                <pt idx="23">
                  <v>56.88834877124528</v>
                </pt>
                <pt idx="24">
                  <v>56.93419778575153</v>
                </pt>
                <pt idx="25">
                  <v>56.96556627152701</v>
                </pt>
                <pt idx="26">
                  <v>57.18787752714537</v>
                </pt>
                <pt idx="27">
                  <v>68.12102608542325</v>
                </pt>
                <pt idx="28">
                  <v>70.26177098655756</v>
                </pt>
                <pt idx="29">
                  <v>70.38411466176812</v>
                </pt>
                <pt idx="30">
                  <v>71.52502748920273</v>
                </pt>
                <pt idx="31">
                  <v>71.97886293153812</v>
                </pt>
                <pt idx="32">
                  <v>72.39809676245902</v>
                </pt>
                <pt idx="33">
                  <v>72.4683501568129</v>
                </pt>
                <pt idx="34">
                  <v>72.65125174844442</v>
                </pt>
                <pt idx="35">
                  <v>73.23996345868815</v>
                </pt>
                <pt idx="36">
                  <v>73.55133570507206</v>
                </pt>
                <pt idx="37">
                  <v>73.73879255649656</v>
                </pt>
                <pt idx="38">
                  <v>73.77788663587556</v>
                </pt>
                <pt idx="39">
                  <v>74.04612498455026</v>
                </pt>
                <pt idx="40">
                  <v>74.06004252779381</v>
                </pt>
                <pt idx="41">
                  <v>74.07050491897468</v>
                </pt>
                <pt idx="42">
                  <v>74.16046292227017</v>
                </pt>
                <pt idx="43">
                  <v>74.79563431007789</v>
                </pt>
                <pt idx="44">
                  <v>74.99701158815571</v>
                </pt>
                <pt idx="45">
                  <v>75.17631131323185</v>
                </pt>
                <pt idx="46">
                  <v>75.20308891495623</v>
                </pt>
                <pt idx="47">
                  <v>75.57453930031062</v>
                </pt>
                <pt idx="48">
                  <v>75.78192217430329</v>
                </pt>
                <pt idx="49">
                  <v>75.97417672936226</v>
                </pt>
                <pt idx="50">
                  <v>76.12867231364568</v>
                </pt>
                <pt idx="51">
                  <v>76.43424130346</v>
                </pt>
                <pt idx="52">
                  <v>76.45589913042804</v>
                </pt>
                <pt idx="53">
                  <v>76.52110199709487</v>
                </pt>
                <pt idx="54">
                  <v>77.57007901548778</v>
                </pt>
                <pt idx="55">
                  <v>77.66841849075892</v>
                </pt>
                <pt idx="56">
                  <v>77.90774543896899</v>
                </pt>
                <pt idx="57">
                  <v>78.42330091609931</v>
                </pt>
                <pt idx="58">
                  <v>78.73776838000521</v>
                </pt>
                <pt idx="59">
                  <v>78.99989380809166</v>
                </pt>
                <pt idx="60">
                  <v>80.16259577483035</v>
                </pt>
                <pt idx="61">
                  <v>80.77019037754502</v>
                </pt>
                <pt idx="62">
                  <v>80.89961886836703</v>
                </pt>
                <pt idx="63">
                  <v>81.83829339415084</v>
                </pt>
                <pt idx="64">
                  <v>81.89481970916161</v>
                </pt>
                <pt idx="65">
                  <v>83.33356011163565</v>
                </pt>
                <pt idx="66">
                  <v>86.42262251681377</v>
                </pt>
                <pt idx="67">
                  <v>89.41278261729495</v>
                </pt>
                <pt idx="68">
                  <v>91.10623960517108</v>
                </pt>
                <pt idx="69">
                  <v>94.87090197791044</v>
                </pt>
                <pt idx="70">
                  <v>96.71146078319458</v>
                </pt>
                <pt idx="71">
                  <v>102.564508630852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"/>
  <sheetViews>
    <sheetView tabSelected="1" topLeftCell="Y1" zoomScale="86" zoomScaleNormal="157" workbookViewId="0">
      <selection activeCell="AF21" sqref="AF21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4" bestFit="1" customWidth="1" style="1" min="6" max="6"/>
    <col width="31.1640625" bestFit="1" customWidth="1" style="1" min="7" max="7"/>
    <col width="30.1640625" bestFit="1" customWidth="1" style="1" min="8" max="8"/>
    <col width="30.1640625" customWidth="1" style="1" min="9" max="9"/>
    <col width="28.33203125" bestFit="1" customWidth="1" style="1" min="10" max="10"/>
    <col width="27.83203125" bestFit="1" customWidth="1" style="1" min="11" max="11"/>
    <col width="2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18.83203125" bestFit="1" customWidth="1" style="1" min="23" max="23"/>
    <col width="3.33203125" customWidth="1" min="24" max="24"/>
    <col width="37.83203125" bestFit="1" customWidth="1" style="1" min="25" max="25"/>
    <col width="19.83203125" customWidth="1" style="1" min="26" max="26"/>
    <col width="18.83203125" bestFit="1" customWidth="1" style="1" min="27" max="28"/>
    <col width="27.83203125" bestFit="1" customWidth="1" style="1" min="29" max="29"/>
    <col width="12.6640625" bestFit="1" customWidth="1" style="1" min="30" max="30"/>
    <col width="15.1640625" bestFit="1" customWidth="1" style="1" min="31" max="31"/>
    <col width="18.5" bestFit="1" customWidth="1" style="1" min="32" max="32"/>
    <col width="13.6640625" bestFit="1" customWidth="1" style="1" min="33" max="33"/>
    <col width="12.1640625" bestFit="1" customWidth="1" style="1" min="34" max="34"/>
    <col width="14.5" bestFit="1" customWidth="1" style="1" min="35" max="35"/>
    <col width="10.5" customWidth="1" style="1" min="36" max="36"/>
    <col width="17.83203125" bestFit="1" customWidth="1" style="1" min="37" max="37"/>
    <col width="19.6640625" bestFit="1" customWidth="1" style="1" min="38" max="38"/>
    <col width="12.1640625" customWidth="1" style="1" min="39" max="39"/>
    <col width="17.83203125" bestFit="1" customWidth="1" style="1" min="40" max="40"/>
    <col width="19.33203125" bestFit="1" customWidth="1" style="1" min="41" max="41"/>
    <col width="3.33203125" customWidth="1" style="1" min="42" max="42"/>
    <col width="27.6640625" bestFit="1" customWidth="1" style="1" min="43" max="43"/>
    <col width="26.5" bestFit="1" customWidth="1" style="1" min="44" max="44"/>
    <col width="22.33203125" bestFit="1" customWidth="1" style="1" min="45" max="45"/>
    <col width="23.83203125" bestFit="1" customWidth="1" style="1" min="46" max="46"/>
    <col width="24.1640625" bestFit="1" customWidth="1" style="1" min="47" max="47"/>
    <col width="3.6640625" customWidth="1" style="1" min="48" max="48"/>
    <col width="24.5" bestFit="1" customWidth="1" style="1" min="49" max="49"/>
    <col width="3.33203125" customWidth="1" style="1" min="50" max="50"/>
    <col width="25.83203125" bestFit="1" customWidth="1" style="1" min="51" max="51"/>
    <col width="23.83203125" bestFit="1" customWidth="1" style="1" min="52" max="52"/>
    <col width="24.5" bestFit="1" customWidth="1" style="1" min="53" max="53"/>
    <col width="33.1640625" bestFit="1" customWidth="1" style="1" min="54" max="54"/>
    <col width="32.33203125" bestFit="1" customWidth="1" style="1" min="55" max="55"/>
    <col width="10.83203125" customWidth="1" style="1" min="56" max="56"/>
    <col width="19.1640625" bestFit="1" customWidth="1" style="1" min="57" max="57"/>
    <col width="10.83203125" customWidth="1" style="1" min="58" max="74"/>
    <col width="10.83203125" customWidth="1" style="1" min="75" max="16384"/>
  </cols>
  <sheetData>
    <row r="1" ht="15" customHeight="1">
      <c r="X1" s="1" t="n"/>
      <c r="AD1" s="17" t="n"/>
      <c r="AE1" s="17" t="n"/>
      <c r="AF1" s="17" t="n"/>
      <c r="AG1" s="17" t="n"/>
      <c r="AH1" s="17" t="n"/>
      <c r="AI1" s="17" t="n"/>
      <c r="AJ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Y2" s="1" t="inlineStr">
        <is>
          <t>LCOE for ethanol production ($/MWh-ethanol)</t>
        </is>
      </c>
      <c r="AA2" s="1" t="inlineStr">
        <is>
          <t>CI</t>
        </is>
      </c>
      <c r="AB2" s="1" t="inlineStr">
        <is>
          <t>CREDIT</t>
        </is>
      </c>
      <c r="AJ2" s="1" t="inlineStr">
        <is>
          <t>NET CARBON INTENSITY + credit for capture</t>
        </is>
      </c>
      <c r="AM2" s="1" t="inlineStr">
        <is>
          <t>CREDIT for capture/storage + PAY for storage</t>
        </is>
      </c>
      <c r="AQ2" s="1" t="inlineStr">
        <is>
          <t>Carbon Content</t>
        </is>
      </c>
      <c r="AW2" s="1" t="inlineStr">
        <is>
          <t>Carbon Inputs</t>
        </is>
      </c>
      <c r="AY2" s="1" t="inlineStr">
        <is>
          <t>Carbon Outputs</t>
        </is>
      </c>
      <c r="BE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gasoline_production (MWh-gasoline/t-bio)</t>
        </is>
      </c>
      <c r="G3" s="2" t="inlineStr">
        <is>
          <t>jetfuel_production (MWh-jetfuel/t-bio)</t>
        </is>
      </c>
      <c r="H3" s="2" t="inlineStr">
        <is>
          <t>diesel_production (MWh-diesel/t-bio)</t>
        </is>
      </c>
      <c r="I3" s="7" t="inlineStr">
        <is>
          <t>fuel_production (MWh-fuel/t-bio)</t>
        </is>
      </c>
      <c r="J3" s="2" t="inlineStr">
        <is>
          <t>co2_biomass_content (t-CO2/t-bio)</t>
        </is>
      </c>
      <c r="K3" s="2" t="inlineStr">
        <is>
          <t>process_capture_rate (t-CO2/t-bio)</t>
        </is>
      </c>
      <c r="L3" s="2" t="inlineStr">
        <is>
          <t>process_emission_rate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elec_demand ($/MWh)</t>
        </is>
      </c>
      <c r="Y3" s="4" t="inlineStr">
        <is>
          <t>id_LC</t>
        </is>
      </c>
      <c r="Z3" s="4" t="inlineStr">
        <is>
          <t>commodity_LC</t>
        </is>
      </c>
      <c r="AA3" s="3" t="inlineStr">
        <is>
          <t>LCOE ($/MWh-ethanol)</t>
        </is>
      </c>
      <c r="AB3" s="6" t="inlineStr">
        <is>
          <t>LCOE ($/MWh-ethanol)</t>
        </is>
      </c>
      <c r="AC3" s="7" t="inlineStr">
        <is>
          <t>Diff. Between Methods ($/MWh)</t>
        </is>
      </c>
      <c r="AD3" s="4" t="inlineStr">
        <is>
          <t>elec_production</t>
        </is>
      </c>
      <c r="AE3" s="4" t="inlineStr">
        <is>
          <t>elec_consumption</t>
        </is>
      </c>
      <c r="AF3" s="4" t="inlineStr">
        <is>
          <t>biomass_consumption</t>
        </is>
      </c>
      <c r="AG3" s="4" t="inlineStr">
        <is>
          <t>investment_cost</t>
        </is>
      </c>
      <c r="AH3" s="4" t="inlineStr">
        <is>
          <t>fixed_om_cost</t>
        </is>
      </c>
      <c r="AI3" s="4" t="inlineStr">
        <is>
          <t>variable_om_cost</t>
        </is>
      </c>
      <c r="AJ3" s="3" t="inlineStr">
        <is>
          <t>CI</t>
        </is>
      </c>
      <c r="AK3" s="3" t="inlineStr">
        <is>
          <t>modified capture cost</t>
        </is>
      </c>
      <c r="AL3" s="3" t="inlineStr">
        <is>
          <t>modified emissions cost</t>
        </is>
      </c>
      <c r="AM3" s="6" t="inlineStr">
        <is>
          <t>CI</t>
        </is>
      </c>
      <c r="AN3" s="6" t="inlineStr">
        <is>
          <t>modified capture cost</t>
        </is>
      </c>
      <c r="AO3" s="6" t="inlineStr">
        <is>
          <t>modified emissions cost</t>
        </is>
      </c>
      <c r="AQ3" s="7" t="inlineStr">
        <is>
          <t>Biomass CO2 content (t-CO2/t-bio)</t>
        </is>
      </c>
      <c r="AR3" s="7" t="inlineStr">
        <is>
          <t>Gasoline (t-CO2/MWh-gasoline)</t>
        </is>
      </c>
      <c r="AS3" s="7" t="inlineStr">
        <is>
          <t>Diesel (t-CO2/MWh-diesel)</t>
        </is>
      </c>
      <c r="AT3" s="7" t="inlineStr">
        <is>
          <t>JetFuel (t-CO2/MWh-jetfuel)</t>
        </is>
      </c>
      <c r="AU3" s="7" t="inlineStr">
        <is>
          <t>Ethanol (t-CO2/MWh-ethanol)</t>
        </is>
      </c>
      <c r="AW3" s="7" t="inlineStr">
        <is>
          <t>Biomass (t-CO2/t-bio)</t>
        </is>
      </c>
      <c r="AY3" s="7" t="inlineStr">
        <is>
          <t>Gasoline (t-CO2/t-bio)</t>
        </is>
      </c>
      <c r="AZ3" s="7" t="inlineStr">
        <is>
          <t>Diesel (t-CO2/t-bio)</t>
        </is>
      </c>
      <c r="BA3" s="7" t="inlineStr">
        <is>
          <t>JetFuel (t-CO2/t-bio)</t>
        </is>
      </c>
      <c r="BB3" s="7" t="inlineStr">
        <is>
          <t>Process Emissions (t-CO2/t-bio)</t>
        </is>
      </c>
      <c r="BC3" s="7" t="inlineStr">
        <is>
          <t>Process Captured (t-CO2/t-bio)</t>
        </is>
      </c>
      <c r="BE3" s="7" t="inlineStr">
        <is>
          <t>Carbon INPUT - OUTPUT</t>
        </is>
      </c>
    </row>
    <row r="4">
      <c r="B4" s="13" t="inlineStr">
        <is>
          <t>CA_Gasoline_Gasification_Non_CCS_Herb</t>
        </is>
      </c>
      <c r="C4" s="12" t="inlineStr">
        <is>
          <t>Biomass_Herb</t>
        </is>
      </c>
      <c r="D4" s="12" t="n">
        <v>0</v>
      </c>
      <c r="E4" s="12" t="n">
        <v>0</v>
      </c>
      <c r="F4" s="12" t="n">
        <v>2.0204</v>
      </c>
      <c r="G4" s="12" t="n">
        <v>0</v>
      </c>
      <c r="H4" s="12" t="n">
        <v>0</v>
      </c>
      <c r="I4" s="24">
        <f>F4+G4+H4</f>
        <v/>
      </c>
      <c r="J4" s="12" t="n">
        <v>1.721</v>
      </c>
      <c r="K4" s="12" t="n">
        <v>0</v>
      </c>
      <c r="L4" s="12" t="n">
        <v>1.228078285371346</v>
      </c>
      <c r="M4" s="12" t="n">
        <v>356053.6</v>
      </c>
      <c r="N4" s="12" t="n">
        <v>283503.36</v>
      </c>
      <c r="O4" s="12" t="n">
        <v>22.0416</v>
      </c>
      <c r="Q4" s="15" t="n">
        <v>110.892214</v>
      </c>
      <c r="R4" s="15" t="n">
        <v>-6.493396</v>
      </c>
      <c r="S4" s="15" t="n">
        <v>160</v>
      </c>
      <c r="T4" s="15" t="n">
        <v>1539.150891</v>
      </c>
      <c r="U4" s="15" t="n">
        <v>162.083504</v>
      </c>
      <c r="V4" s="15" t="n">
        <v>140.323815</v>
      </c>
      <c r="W4" s="15" t="n">
        <v>36.566419</v>
      </c>
      <c r="Y4" s="1">
        <f>B4</f>
        <v/>
      </c>
      <c r="Z4" s="1">
        <f>C4</f>
        <v/>
      </c>
      <c r="AA4" s="11">
        <f>SUM(AD4:AI4)+AK4+AL4</f>
        <v/>
      </c>
      <c r="AB4" s="11">
        <f>SUM(AD4:AI4)+AN4+AO4</f>
        <v/>
      </c>
      <c r="AC4" s="5">
        <f>AA4-AB4</f>
        <v/>
      </c>
      <c r="AD4" s="1">
        <f>D4/H4*W4*-1</f>
        <v/>
      </c>
      <c r="AE4" s="1">
        <f>E4/H4*W4</f>
        <v/>
      </c>
      <c r="AF4" s="1">
        <f t="array" ref="AF4">_xlfn.IFS(C4="Biomass_Corn", 1/H4*S4, C4="Biomass_Agri", 1/H4*V4, C4="Biomass_Wood", 1/H4*U4, C4="Biomass_Herb", 1/H4*T4)</f>
        <v/>
      </c>
      <c r="AG4" s="1">
        <f>M4/H4/(0.9*8760)</f>
        <v/>
      </c>
      <c r="AH4" s="1">
        <f>N4/H4/(0.9*8760)</f>
        <v/>
      </c>
      <c r="AI4" s="1">
        <f>O4/H4</f>
        <v/>
      </c>
      <c r="AJ4" s="1">
        <f>(AY4+AZ4+BA4+BB4+BC4-AW4)/I4</f>
        <v/>
      </c>
      <c r="AK4" s="1">
        <f>(Q4+R4)*-1*K4/I4</f>
        <v/>
      </c>
      <c r="AL4" s="1">
        <f>AJ4*Q4</f>
        <v/>
      </c>
      <c r="AM4" s="1">
        <f>(SUM(AY4:BB4)-AW4)/I4</f>
        <v/>
      </c>
      <c r="AN4" s="1">
        <f>K4/I4*-1*R4</f>
        <v/>
      </c>
      <c r="AO4" s="1">
        <f>AM4*Q4</f>
        <v/>
      </c>
      <c r="AQ4" s="9">
        <f>J4</f>
        <v/>
      </c>
      <c r="AR4" s="9" t="n">
        <v>0.243968185</v>
      </c>
      <c r="AS4" s="9" t="n">
        <v>0.249427613</v>
      </c>
      <c r="AT4" s="10" t="n">
        <v>0.246356685</v>
      </c>
      <c r="AU4" s="9" t="n">
        <v>0.23037491</v>
      </c>
      <c r="AW4" s="10">
        <f>AQ4</f>
        <v/>
      </c>
      <c r="AY4" s="10">
        <f>AR4*F4</f>
        <v/>
      </c>
      <c r="AZ4" s="10">
        <f>AS4*H4</f>
        <v/>
      </c>
      <c r="BA4" s="10">
        <f>AT4*G4</f>
        <v/>
      </c>
      <c r="BB4" s="10">
        <f>L4</f>
        <v/>
      </c>
      <c r="BC4" s="10">
        <f>K4</f>
        <v/>
      </c>
      <c r="BE4" s="1">
        <f>AW4-SUM(AY4:BC4)</f>
        <v/>
      </c>
    </row>
    <row r="5">
      <c r="B5" s="13" t="inlineStr">
        <is>
          <t>NW_Gasoline_Gasification_Non_CCS_Herb</t>
        </is>
      </c>
      <c r="C5" s="12" t="inlineStr">
        <is>
          <t>Biomass_Herb</t>
        </is>
      </c>
      <c r="D5" s="12" t="n">
        <v>0</v>
      </c>
      <c r="E5" s="12" t="n">
        <v>0</v>
      </c>
      <c r="F5" s="12" t="n">
        <v>2.0249</v>
      </c>
      <c r="G5" s="12" t="n">
        <v>0</v>
      </c>
      <c r="H5" s="12" t="n">
        <v>0</v>
      </c>
      <c r="I5" s="24">
        <f>F5+G5+H5</f>
        <v/>
      </c>
      <c r="J5" s="12" t="n">
        <v>1.726</v>
      </c>
      <c r="K5" s="12" t="n">
        <v>0</v>
      </c>
      <c r="L5" s="12" t="n">
        <v>1.231994345372162</v>
      </c>
      <c r="M5" s="12" t="n">
        <v>356053.6</v>
      </c>
      <c r="N5" s="12" t="n">
        <v>283503.36</v>
      </c>
      <c r="O5" s="12" t="n">
        <v>22.0416</v>
      </c>
      <c r="Q5" s="15" t="n">
        <v>110.892214</v>
      </c>
      <c r="R5" s="15" t="n">
        <v>-7.381741</v>
      </c>
      <c r="S5" s="15" t="n">
        <v>160</v>
      </c>
      <c r="T5" s="15" t="n">
        <v>140.805445</v>
      </c>
      <c r="U5" s="15" t="n">
        <v>159.375106</v>
      </c>
      <c r="V5" s="15" t="n">
        <v>121.714108</v>
      </c>
      <c r="W5" s="15" t="n">
        <v>26.767046</v>
      </c>
      <c r="Y5" s="1">
        <f>B5</f>
        <v/>
      </c>
      <c r="Z5" s="1">
        <f>C5</f>
        <v/>
      </c>
      <c r="AA5" s="11">
        <f>SUM(AD5:AI5)+AK5+AL5</f>
        <v/>
      </c>
      <c r="AB5" s="11">
        <f>SUM(AD5:AI5)+AN5+AO5</f>
        <v/>
      </c>
      <c r="AC5" s="5">
        <f>AA5-AB5</f>
        <v/>
      </c>
      <c r="AD5" s="1">
        <f>D5/H5*W5*-1</f>
        <v/>
      </c>
      <c r="AE5" s="1">
        <f>E5/H5*W5</f>
        <v/>
      </c>
      <c r="AF5" s="1">
        <f t="array" ref="AF5">_xlfn.IFS(C5="Biomass_Corn", 1/H5*S5, C5="Biomass_Agri", 1/H5*V5, C5="Biomass_Wood", 1/H5*U5, C5="Biomass_Herb", 1/H5*T5)</f>
        <v/>
      </c>
      <c r="AG5" s="1">
        <f>M5/H5/(0.9*8760)</f>
        <v/>
      </c>
      <c r="AH5" s="1">
        <f>N5/H5/(0.9*8760)</f>
        <v/>
      </c>
      <c r="AI5" s="1">
        <f>O5/H5</f>
        <v/>
      </c>
      <c r="AJ5" s="1">
        <f>(AY5+AZ5+BA5+BB5+BC5-AW5)/I5</f>
        <v/>
      </c>
      <c r="AK5" s="1">
        <f>(Q5+R5)*-1*K5/I5</f>
        <v/>
      </c>
      <c r="AL5" s="1">
        <f>AJ5*Q5</f>
        <v/>
      </c>
      <c r="AM5" s="1">
        <f>(SUM(AY5:BB5)-AW5)/I5</f>
        <v/>
      </c>
      <c r="AN5" s="1">
        <f>K5/I5*-1*R5</f>
        <v/>
      </c>
      <c r="AO5" s="1">
        <f>AM5*Q5</f>
        <v/>
      </c>
      <c r="AQ5" s="9">
        <f>J5</f>
        <v/>
      </c>
      <c r="AR5" s="9" t="n">
        <v>0.243968185</v>
      </c>
      <c r="AS5" s="9" t="n">
        <v>0.249427613</v>
      </c>
      <c r="AT5" s="10" t="n">
        <v>0.246356685</v>
      </c>
      <c r="AU5" s="9" t="n">
        <v>0.23037491</v>
      </c>
      <c r="AW5" s="10">
        <f>AQ5</f>
        <v/>
      </c>
      <c r="AY5" s="10">
        <f>AR5*F5</f>
        <v/>
      </c>
      <c r="AZ5" s="10">
        <f>AS5*H5</f>
        <v/>
      </c>
      <c r="BA5" s="10">
        <f>AT5*G5</f>
        <v/>
      </c>
      <c r="BB5" s="10">
        <f>L5</f>
        <v/>
      </c>
      <c r="BC5" s="10">
        <f>K5</f>
        <v/>
      </c>
      <c r="BE5" s="1">
        <f>AW5-SUM(AY5:BC5)</f>
        <v/>
      </c>
    </row>
    <row r="6">
      <c r="B6" s="13" t="inlineStr">
        <is>
          <t>SW_Gasoline_Gasification_Non_CCS_Herb</t>
        </is>
      </c>
      <c r="C6" s="12" t="inlineStr">
        <is>
          <t>Biomass_Herb</t>
        </is>
      </c>
      <c r="D6" s="12" t="n">
        <v>0</v>
      </c>
      <c r="E6" s="12" t="n">
        <v>0</v>
      </c>
      <c r="F6" s="12" t="n">
        <v>2.0115</v>
      </c>
      <c r="G6" s="12" t="n">
        <v>0</v>
      </c>
      <c r="H6" s="12" t="n">
        <v>0</v>
      </c>
      <c r="I6" s="24">
        <f>F6+G6+H6</f>
        <v/>
      </c>
      <c r="J6" s="12" t="n">
        <v>1.71</v>
      </c>
      <c r="K6" s="12" t="n">
        <v>0</v>
      </c>
      <c r="L6" s="12" t="n">
        <v>1.219246165369713</v>
      </c>
      <c r="M6" s="12" t="n">
        <v>356053.6</v>
      </c>
      <c r="N6" s="12" t="n">
        <v>283503.36</v>
      </c>
      <c r="O6" s="12" t="n">
        <v>22.0416</v>
      </c>
      <c r="Q6" s="15" t="n">
        <v>110.892214</v>
      </c>
      <c r="R6" s="15" t="n">
        <v>-16.594224</v>
      </c>
      <c r="S6" s="15" t="n">
        <v>160</v>
      </c>
      <c r="T6" s="15" t="n">
        <v>125.807546</v>
      </c>
      <c r="U6" s="15" t="n">
        <v>143.289826</v>
      </c>
      <c r="V6" s="15" t="n">
        <v>114.17137</v>
      </c>
      <c r="W6" s="15" t="n">
        <v>28.012186</v>
      </c>
      <c r="Y6" s="1">
        <f>B6</f>
        <v/>
      </c>
      <c r="Z6" s="1">
        <f>C6</f>
        <v/>
      </c>
      <c r="AA6" s="11">
        <f>SUM(AD6:AI6)+AK6+AL6</f>
        <v/>
      </c>
      <c r="AB6" s="11">
        <f>SUM(AD6:AI6)+AN6+AO6</f>
        <v/>
      </c>
      <c r="AC6" s="5">
        <f>AA6-AB6</f>
        <v/>
      </c>
      <c r="AD6" s="1">
        <f>D6/H6*W6*-1</f>
        <v/>
      </c>
      <c r="AE6" s="1">
        <f>E6/H6*W6</f>
        <v/>
      </c>
      <c r="AF6" s="1">
        <f t="array" ref="AF6">_xlfn.IFS(C6="Biomass_Corn", 1/H6*S6, C6="Biomass_Agri", 1/H6*V6, C6="Biomass_Wood", 1/H6*U6, C6="Biomass_Herb", 1/H6*T6)</f>
        <v/>
      </c>
      <c r="AG6" s="1">
        <f>M6/H6/(0.9*8760)</f>
        <v/>
      </c>
      <c r="AH6" s="1">
        <f>N6/H6/(0.9*8760)</f>
        <v/>
      </c>
      <c r="AI6" s="1">
        <f>O6/H6</f>
        <v/>
      </c>
      <c r="AJ6" s="1">
        <f>(AY6+AZ6+BA6+BB6+BC6-AW6)/I6</f>
        <v/>
      </c>
      <c r="AK6" s="1">
        <f>(Q6+R6)*-1*K6/I6</f>
        <v/>
      </c>
      <c r="AL6" s="1">
        <f>AJ6*Q6</f>
        <v/>
      </c>
      <c r="AM6" s="1">
        <f>(SUM(AY6:BB6)-AW6)/I6</f>
        <v/>
      </c>
      <c r="AN6" s="1">
        <f>K6/I6*-1*R6</f>
        <v/>
      </c>
      <c r="AO6" s="1">
        <f>AM6*Q6</f>
        <v/>
      </c>
      <c r="AQ6" s="9">
        <f>J6</f>
        <v/>
      </c>
      <c r="AR6" s="9" t="n">
        <v>0.243968185</v>
      </c>
      <c r="AS6" s="9" t="n">
        <v>0.249427613</v>
      </c>
      <c r="AT6" s="10" t="n">
        <v>0.246356685</v>
      </c>
      <c r="AU6" s="9" t="n">
        <v>0.23037491</v>
      </c>
      <c r="AW6" s="10">
        <f>AQ6</f>
        <v/>
      </c>
      <c r="AY6" s="10">
        <f>AR6*F6</f>
        <v/>
      </c>
      <c r="AZ6" s="10">
        <f>AS6*H6</f>
        <v/>
      </c>
      <c r="BA6" s="10">
        <f>AT6*G6</f>
        <v/>
      </c>
      <c r="BB6" s="10">
        <f>L6</f>
        <v/>
      </c>
      <c r="BC6" s="10">
        <f>K6</f>
        <v/>
      </c>
      <c r="BE6" s="1">
        <f>AW6-SUM(AY6:BC6)</f>
        <v/>
      </c>
    </row>
    <row r="7">
      <c r="B7" s="13" t="inlineStr">
        <is>
          <t>TX_Gasoline_Gasification_Non_CCS_Herb</t>
        </is>
      </c>
      <c r="C7" s="12" t="inlineStr">
        <is>
          <t>Biomass_Herb</t>
        </is>
      </c>
      <c r="D7" s="12" t="n">
        <v>0</v>
      </c>
      <c r="E7" s="12" t="n">
        <v>0</v>
      </c>
      <c r="F7" s="12" t="n">
        <v>2.016</v>
      </c>
      <c r="G7" s="12" t="n">
        <v>0</v>
      </c>
      <c r="H7" s="12" t="n">
        <v>0</v>
      </c>
      <c r="I7" s="24">
        <f>F7+G7+H7</f>
        <v/>
      </c>
      <c r="J7" s="12" t="n">
        <v>1.714</v>
      </c>
      <c r="K7" s="12" t="n">
        <v>0</v>
      </c>
      <c r="L7" s="12" t="n">
        <v>1.222162225370529</v>
      </c>
      <c r="M7" s="12" t="n">
        <v>356053.6</v>
      </c>
      <c r="N7" s="12" t="n">
        <v>283503.36</v>
      </c>
      <c r="O7" s="12" t="n">
        <v>22.0416</v>
      </c>
      <c r="Q7" s="15" t="n">
        <v>110.892214</v>
      </c>
      <c r="R7" s="15" t="n">
        <v>-21.499827</v>
      </c>
      <c r="S7" s="15" t="n">
        <v>160</v>
      </c>
      <c r="T7" s="15" t="n">
        <v>140.297617</v>
      </c>
      <c r="U7" s="15" t="n">
        <v>160.374377</v>
      </c>
      <c r="V7" s="15" t="n">
        <v>113.606838</v>
      </c>
      <c r="W7" s="15" t="n">
        <v>20.240713</v>
      </c>
      <c r="Y7" s="1">
        <f>B7</f>
        <v/>
      </c>
      <c r="Z7" s="1">
        <f>C7</f>
        <v/>
      </c>
      <c r="AA7" s="11">
        <f>SUM(AD7:AI7)+AK7+AL7</f>
        <v/>
      </c>
      <c r="AB7" s="11">
        <f>SUM(AD7:AI7)+AN7+AO7</f>
        <v/>
      </c>
      <c r="AC7" s="5">
        <f>AA7-AB7</f>
        <v/>
      </c>
      <c r="AD7" s="1">
        <f>D7/H7*W7*-1</f>
        <v/>
      </c>
      <c r="AE7" s="1">
        <f>E7/H7*W7</f>
        <v/>
      </c>
      <c r="AF7" s="1">
        <f t="array" ref="AF7">_xlfn.IFS(C7="Biomass_Corn", 1/H7*S7, C7="Biomass_Agri", 1/H7*V7, C7="Biomass_Wood", 1/H7*U7, C7="Biomass_Herb", 1/H7*T7)</f>
        <v/>
      </c>
      <c r="AG7" s="1">
        <f>M7/H7/(0.9*8760)</f>
        <v/>
      </c>
      <c r="AH7" s="1">
        <f>N7/H7/(0.9*8760)</f>
        <v/>
      </c>
      <c r="AI7" s="1">
        <f>O7/H7</f>
        <v/>
      </c>
      <c r="AJ7" s="1">
        <f>(AY7+AZ7+BA7+BB7+BC7-AW7)/I7</f>
        <v/>
      </c>
      <c r="AK7" s="1">
        <f>(Q7+R7)*-1*K7/I7</f>
        <v/>
      </c>
      <c r="AL7" s="1">
        <f>AJ7*Q7</f>
        <v/>
      </c>
      <c r="AM7" s="1">
        <f>(SUM(AY7:BB7)-AW7)/I7</f>
        <v/>
      </c>
      <c r="AN7" s="1">
        <f>K7/I7*-1*R7</f>
        <v/>
      </c>
      <c r="AO7" s="1">
        <f>AM7*Q7</f>
        <v/>
      </c>
      <c r="AQ7" s="9">
        <f>J7</f>
        <v/>
      </c>
      <c r="AR7" s="9" t="n">
        <v>0.243968185</v>
      </c>
      <c r="AS7" s="9" t="n">
        <v>0.249427613</v>
      </c>
      <c r="AT7" s="10" t="n">
        <v>0.246356685</v>
      </c>
      <c r="AU7" s="9" t="n">
        <v>0.23037491</v>
      </c>
      <c r="AW7" s="10">
        <f>AQ7</f>
        <v/>
      </c>
      <c r="AY7" s="10">
        <f>AR7*F7</f>
        <v/>
      </c>
      <c r="AZ7" s="10">
        <f>AS7*H7</f>
        <v/>
      </c>
      <c r="BA7" s="10">
        <f>AT7*G7</f>
        <v/>
      </c>
      <c r="BB7" s="10">
        <f>L7</f>
        <v/>
      </c>
      <c r="BC7" s="10">
        <f>K7</f>
        <v/>
      </c>
      <c r="BE7" s="1">
        <f>AW7-SUM(AY7:BC7)</f>
        <v/>
      </c>
    </row>
    <row r="8">
      <c r="B8" s="13" t="inlineStr">
        <is>
          <t>NCEN_Gasoline_Gasification_Non_CCS_Herb</t>
        </is>
      </c>
      <c r="C8" s="12" t="inlineStr">
        <is>
          <t>Biomass_Herb</t>
        </is>
      </c>
      <c r="D8" s="12" t="n">
        <v>0</v>
      </c>
      <c r="E8" s="12" t="n">
        <v>0</v>
      </c>
      <c r="F8" s="12" t="n">
        <v>2.0371</v>
      </c>
      <c r="G8" s="12" t="n">
        <v>0</v>
      </c>
      <c r="H8" s="12" t="n">
        <v>0</v>
      </c>
      <c r="I8" s="24">
        <f>F8+G8+H8</f>
        <v/>
      </c>
      <c r="J8" s="12" t="n">
        <v>1.74</v>
      </c>
      <c r="K8" s="12" t="n">
        <v>0</v>
      </c>
      <c r="L8" s="12" t="n">
        <v>1.243013510374408</v>
      </c>
      <c r="M8" s="12" t="n">
        <v>356053.6</v>
      </c>
      <c r="N8" s="12" t="n">
        <v>283503.36</v>
      </c>
      <c r="O8" s="12" t="n">
        <v>22.0416</v>
      </c>
      <c r="Q8" s="15" t="n">
        <v>110.892214</v>
      </c>
      <c r="R8" s="15" t="n">
        <v>-41.711711</v>
      </c>
      <c r="S8" s="15" t="n">
        <v>160</v>
      </c>
      <c r="T8" s="15" t="n">
        <v>106.368089</v>
      </c>
      <c r="U8" s="15" t="n">
        <v>117.804824</v>
      </c>
      <c r="V8" s="15" t="n">
        <v>93.32494199999999</v>
      </c>
      <c r="W8" s="15" t="n">
        <v>30.728803</v>
      </c>
      <c r="Y8" s="1">
        <f>B8</f>
        <v/>
      </c>
      <c r="Z8" s="1">
        <f>C8</f>
        <v/>
      </c>
      <c r="AA8" s="11">
        <f>SUM(AD8:AI8)+AK8+AL8</f>
        <v/>
      </c>
      <c r="AB8" s="11">
        <f>SUM(AD8:AI8)+AN8+AO8</f>
        <v/>
      </c>
      <c r="AC8" s="5">
        <f>AA8-AB8</f>
        <v/>
      </c>
      <c r="AD8" s="1">
        <f>D8/H8*W8*-1</f>
        <v/>
      </c>
      <c r="AE8" s="1">
        <f>E8/H8*W8</f>
        <v/>
      </c>
      <c r="AF8" s="1">
        <f t="array" ref="AF8">_xlfn.IFS(C8="Biomass_Corn", 1/H8*S8, C8="Biomass_Agri", 1/H8*V8, C8="Biomass_Wood", 1/H8*U8, C8="Biomass_Herb", 1/H8*T8)</f>
        <v/>
      </c>
      <c r="AG8" s="1">
        <f>M8/H8/(0.9*8760)</f>
        <v/>
      </c>
      <c r="AH8" s="1">
        <f>N8/H8/(0.9*8760)</f>
        <v/>
      </c>
      <c r="AI8" s="1">
        <f>O8/H8</f>
        <v/>
      </c>
      <c r="AJ8" s="1">
        <f>(AY8+AZ8+BA8+BB8+BC8-AW8)/I8</f>
        <v/>
      </c>
      <c r="AK8" s="1">
        <f>(Q8+R8)*-1*K8/I8</f>
        <v/>
      </c>
      <c r="AL8" s="1">
        <f>AJ8*Q8</f>
        <v/>
      </c>
      <c r="AM8" s="1">
        <f>(SUM(AY8:BB8)-AW8)/I8</f>
        <v/>
      </c>
      <c r="AN8" s="1">
        <f>K8/I8*-1*R8</f>
        <v/>
      </c>
      <c r="AO8" s="1">
        <f>AM8*Q8</f>
        <v/>
      </c>
      <c r="AQ8" s="9">
        <f>J8</f>
        <v/>
      </c>
      <c r="AR8" s="9" t="n">
        <v>0.243968185</v>
      </c>
      <c r="AS8" s="9" t="n">
        <v>0.249427613</v>
      </c>
      <c r="AT8" s="10" t="n">
        <v>0.246356685</v>
      </c>
      <c r="AU8" s="9" t="n">
        <v>0.23037491</v>
      </c>
      <c r="AW8" s="10">
        <f>AQ8</f>
        <v/>
      </c>
      <c r="AY8" s="10">
        <f>AR8*F8</f>
        <v/>
      </c>
      <c r="AZ8" s="10">
        <f>AS8*H8</f>
        <v/>
      </c>
      <c r="BA8" s="10">
        <f>AT8*G8</f>
        <v/>
      </c>
      <c r="BB8" s="10">
        <f>L8</f>
        <v/>
      </c>
      <c r="BC8" s="10">
        <f>K8</f>
        <v/>
      </c>
      <c r="BE8" s="1">
        <f>AW8-SUM(AY8:BC8)</f>
        <v/>
      </c>
    </row>
    <row r="9" ht="17" customHeight="1">
      <c r="B9" s="13" t="inlineStr">
        <is>
          <t>CEN_Gasoline_Gasification_Non_CCS_Herb</t>
        </is>
      </c>
      <c r="C9" s="12" t="inlineStr">
        <is>
          <t>Biomass_Herb</t>
        </is>
      </c>
      <c r="D9" s="12" t="n">
        <v>0</v>
      </c>
      <c r="E9" s="12" t="n">
        <v>0</v>
      </c>
      <c r="F9" s="12" t="n">
        <v>2.0249</v>
      </c>
      <c r="G9" s="12" t="n">
        <v>0</v>
      </c>
      <c r="H9" s="12" t="n">
        <v>0</v>
      </c>
      <c r="I9" s="24">
        <f>F9+G9+H9</f>
        <v/>
      </c>
      <c r="J9" s="12" t="n">
        <v>1.723</v>
      </c>
      <c r="K9" s="12" t="n">
        <v>0</v>
      </c>
      <c r="L9" s="12" t="n">
        <v>1.228994345372163</v>
      </c>
      <c r="M9" s="12" t="n">
        <v>356053.6</v>
      </c>
      <c r="N9" s="12" t="n">
        <v>283503.36</v>
      </c>
      <c r="O9" s="12" t="n">
        <v>22.0416</v>
      </c>
      <c r="Q9" s="15" t="n">
        <v>110.892214</v>
      </c>
      <c r="R9" s="15" t="n">
        <v>-31.698788</v>
      </c>
      <c r="S9" s="15" t="n">
        <v>160</v>
      </c>
      <c r="T9" s="15" t="n">
        <v>112.646846</v>
      </c>
      <c r="U9" s="15" t="n">
        <v>129.719823</v>
      </c>
      <c r="V9" s="15" t="n">
        <v>101.234661</v>
      </c>
      <c r="W9" s="15" t="n">
        <v>25.375037</v>
      </c>
      <c r="Y9" s="1">
        <f>B9</f>
        <v/>
      </c>
      <c r="Z9" s="1">
        <f>C9</f>
        <v/>
      </c>
      <c r="AA9" s="11">
        <f>SUM(AD9:AI9)+AK9+AL9</f>
        <v/>
      </c>
      <c r="AB9" s="11">
        <f>SUM(AD9:AI9)+AN9+AO9</f>
        <v/>
      </c>
      <c r="AC9" s="5">
        <f>AA9-AB9</f>
        <v/>
      </c>
      <c r="AD9" s="1">
        <f>D9/H9*W9*-1</f>
        <v/>
      </c>
      <c r="AE9" s="1">
        <f>E9/H9*W9</f>
        <v/>
      </c>
      <c r="AF9" s="1">
        <f t="array" ref="AF9">_xlfn.IFS(C9="Biomass_Corn", 1/H9*S9, C9="Biomass_Agri", 1/H9*V9, C9="Biomass_Wood", 1/H9*U9, C9="Biomass_Herb", 1/H9*T9)</f>
        <v/>
      </c>
      <c r="AG9" s="1">
        <f>M9/H9/(0.9*8760)</f>
        <v/>
      </c>
      <c r="AH9" s="1">
        <f>N9/H9/(0.9*8760)</f>
        <v/>
      </c>
      <c r="AI9" s="1">
        <f>O9/H9</f>
        <v/>
      </c>
      <c r="AJ9" s="1">
        <f>(AY9+AZ9+BA9+BB9+BC9-AW9)/I9</f>
        <v/>
      </c>
      <c r="AK9" s="1">
        <f>(Q9+R9)*-1*K9/I9</f>
        <v/>
      </c>
      <c r="AL9" s="1">
        <f>AJ9*Q9</f>
        <v/>
      </c>
      <c r="AM9" s="1">
        <f>(SUM(AY9:BB9)-AW9)/I9</f>
        <v/>
      </c>
      <c r="AN9" s="1">
        <f>K9/I9*-1*R9</f>
        <v/>
      </c>
      <c r="AO9" s="1">
        <f>AM9*Q9</f>
        <v/>
      </c>
      <c r="AQ9" s="9">
        <f>J9</f>
        <v/>
      </c>
      <c r="AR9" s="9" t="n">
        <v>0.243968185</v>
      </c>
      <c r="AS9" s="9" t="n">
        <v>0.249427613</v>
      </c>
      <c r="AT9" s="10" t="n">
        <v>0.246356685</v>
      </c>
      <c r="AU9" s="9" t="n">
        <v>0.23037491</v>
      </c>
      <c r="AW9" s="10">
        <f>AQ9</f>
        <v/>
      </c>
      <c r="AY9" s="10">
        <f>AR9*F9</f>
        <v/>
      </c>
      <c r="AZ9" s="10">
        <f>AS9*H9</f>
        <v/>
      </c>
      <c r="BA9" s="10">
        <f>AT9*G9</f>
        <v/>
      </c>
      <c r="BB9" s="10">
        <f>L9</f>
        <v/>
      </c>
      <c r="BC9" s="10">
        <f>K9</f>
        <v/>
      </c>
      <c r="BE9" s="1">
        <f>AW9-SUM(AY9:BC9)</f>
        <v/>
      </c>
    </row>
    <row r="10">
      <c r="B10" s="13" t="inlineStr">
        <is>
          <t>SE_Gasoline_Gasification_Non_CCS_Herb</t>
        </is>
      </c>
      <c r="C10" s="12" t="inlineStr">
        <is>
          <t>Biomass_Herb</t>
        </is>
      </c>
      <c r="D10" s="12" t="n">
        <v>0</v>
      </c>
      <c r="E10" s="12" t="n">
        <v>0</v>
      </c>
      <c r="F10" s="12" t="n">
        <v>2.0215</v>
      </c>
      <c r="G10" s="12" t="n">
        <v>0</v>
      </c>
      <c r="H10" s="12" t="n">
        <v>0</v>
      </c>
      <c r="I10" s="24">
        <f>F10+G10+H10</f>
        <v/>
      </c>
      <c r="J10" s="12" t="n">
        <v>1.717</v>
      </c>
      <c r="K10" s="12" t="n">
        <v>0</v>
      </c>
      <c r="L10" s="12" t="n">
        <v>1.22380730037155</v>
      </c>
      <c r="M10" s="12" t="n">
        <v>356053.6</v>
      </c>
      <c r="N10" s="12" t="n">
        <v>283503.36</v>
      </c>
      <c r="O10" s="12" t="n">
        <v>22.0416</v>
      </c>
      <c r="Q10" s="15" t="n">
        <v>110.892214</v>
      </c>
      <c r="R10" s="15" t="n">
        <v>-47.684613</v>
      </c>
      <c r="S10" s="15" t="n">
        <v>160</v>
      </c>
      <c r="T10" s="15" t="n">
        <v>100.406702</v>
      </c>
      <c r="U10" s="15" t="n">
        <v>115.539531</v>
      </c>
      <c r="V10" s="15" t="n">
        <v>89.577806</v>
      </c>
      <c r="W10" s="15" t="n">
        <v>38.228295</v>
      </c>
      <c r="Y10" s="1">
        <f>B10</f>
        <v/>
      </c>
      <c r="Z10" s="1">
        <f>C10</f>
        <v/>
      </c>
      <c r="AA10" s="11">
        <f>SUM(AD10:AI10)+AK10+AL10</f>
        <v/>
      </c>
      <c r="AB10" s="11">
        <f>SUM(AD10:AI10)+AN10+AO10</f>
        <v/>
      </c>
      <c r="AC10" s="5">
        <f>AA10-AB10</f>
        <v/>
      </c>
      <c r="AD10" s="1">
        <f>D10/H10*W10*-1</f>
        <v/>
      </c>
      <c r="AE10" s="1">
        <f>E10/H10*W10</f>
        <v/>
      </c>
      <c r="AF10" s="1">
        <f t="array" ref="AF10">_xlfn.IFS(C10="Biomass_Corn", 1/H10*S10, C10="Biomass_Agri", 1/H10*V10, C10="Biomass_Wood", 1/H10*U10, C10="Biomass_Herb", 1/H10*T10)</f>
        <v/>
      </c>
      <c r="AG10" s="1">
        <f>M10/H10/(0.9*8760)</f>
        <v/>
      </c>
      <c r="AH10" s="1">
        <f>N10/H10/(0.9*8760)</f>
        <v/>
      </c>
      <c r="AI10" s="1">
        <f>O10/H10</f>
        <v/>
      </c>
      <c r="AJ10" s="1">
        <f>(AY10+AZ10+BA10+BB10+BC10-AW10)/I10</f>
        <v/>
      </c>
      <c r="AK10" s="1">
        <f>(Q10+R10)*-1*K10/I10</f>
        <v/>
      </c>
      <c r="AL10" s="1">
        <f>AJ10*Q10</f>
        <v/>
      </c>
      <c r="AM10" s="1">
        <f>(SUM(AY10:BB10)-AW10)/I10</f>
        <v/>
      </c>
      <c r="AN10" s="1">
        <f>K10/I10*-1*R10</f>
        <v/>
      </c>
      <c r="AO10" s="1">
        <f>AM10*Q10</f>
        <v/>
      </c>
      <c r="AQ10" s="9">
        <f>J10</f>
        <v/>
      </c>
      <c r="AR10" s="9" t="n">
        <v>0.243968185</v>
      </c>
      <c r="AS10" s="9" t="n">
        <v>0.249427613</v>
      </c>
      <c r="AT10" s="10" t="n">
        <v>0.246356685</v>
      </c>
      <c r="AU10" s="9" t="n">
        <v>0.23037491</v>
      </c>
      <c r="AW10" s="10">
        <f>AQ10</f>
        <v/>
      </c>
      <c r="AY10" s="10">
        <f>AR10*F10</f>
        <v/>
      </c>
      <c r="AZ10" s="10">
        <f>AS10*H10</f>
        <v/>
      </c>
      <c r="BA10" s="10">
        <f>AT10*G10</f>
        <v/>
      </c>
      <c r="BB10" s="10">
        <f>L10</f>
        <v/>
      </c>
      <c r="BC10" s="10">
        <f>K10</f>
        <v/>
      </c>
      <c r="BE10" s="1">
        <f>AW10-SUM(AY10:BC10)</f>
        <v/>
      </c>
    </row>
    <row r="11">
      <c r="B11" s="13" t="inlineStr">
        <is>
          <t>MIDAT_Gasoline_Gasification_Non_CCS_Herb</t>
        </is>
      </c>
      <c r="C11" s="12" t="inlineStr">
        <is>
          <t>Biomass_Herb</t>
        </is>
      </c>
      <c r="D11" s="12" t="n">
        <v>0</v>
      </c>
      <c r="E11" s="12" t="n">
        <v>0</v>
      </c>
      <c r="F11" s="12" t="n">
        <v>2.0327</v>
      </c>
      <c r="G11" s="12" t="n">
        <v>0</v>
      </c>
      <c r="H11" s="12" t="n">
        <v>0</v>
      </c>
      <c r="I11" s="24">
        <f>F11+G11+H11</f>
        <v/>
      </c>
      <c r="J11" s="12" t="n">
        <v>1.736</v>
      </c>
      <c r="K11" s="12" t="n">
        <v>0</v>
      </c>
      <c r="L11" s="12" t="n">
        <v>1.240097450373591</v>
      </c>
      <c r="M11" s="12" t="n">
        <v>356053.6</v>
      </c>
      <c r="N11" s="12" t="n">
        <v>283503.36</v>
      </c>
      <c r="O11" s="12" t="n">
        <v>22.0416</v>
      </c>
      <c r="Q11" s="15" t="n">
        <v>110.892214</v>
      </c>
      <c r="R11" s="15" t="n">
        <v>-54.368796</v>
      </c>
      <c r="S11" s="15" t="n">
        <v>160</v>
      </c>
      <c r="T11" s="15" t="n">
        <v>101.540719</v>
      </c>
      <c r="U11" s="15" t="n">
        <v>109.472766</v>
      </c>
      <c r="V11" s="15" t="n">
        <v>90.14609900000001</v>
      </c>
      <c r="W11" s="15" t="n">
        <v>39.376329</v>
      </c>
      <c r="Y11" s="1">
        <f>B11</f>
        <v/>
      </c>
      <c r="Z11" s="1">
        <f>C11</f>
        <v/>
      </c>
      <c r="AA11" s="11">
        <f>SUM(AD11:AI11)+AK11+AL11</f>
        <v/>
      </c>
      <c r="AB11" s="11">
        <f>SUM(AD11:AI11)+AN11+AO11</f>
        <v/>
      </c>
      <c r="AC11" s="5">
        <f>AA11-AB11</f>
        <v/>
      </c>
      <c r="AD11" s="1">
        <f>D11/H11*W11*-1</f>
        <v/>
      </c>
      <c r="AE11" s="1">
        <f>E11/H11*W11</f>
        <v/>
      </c>
      <c r="AF11" s="1">
        <f t="array" ref="AF11">_xlfn.IFS(C11="Biomass_Corn", 1/H11*S11, C11="Biomass_Agri", 1/H11*V11, C11="Biomass_Wood", 1/H11*U11, C11="Biomass_Herb", 1/H11*T11)</f>
        <v/>
      </c>
      <c r="AG11" s="1">
        <f>M11/H11/(0.9*8760)</f>
        <v/>
      </c>
      <c r="AH11" s="1">
        <f>N11/H11/(0.9*8760)</f>
        <v/>
      </c>
      <c r="AI11" s="1">
        <f>O11/H11</f>
        <v/>
      </c>
      <c r="AJ11" s="1">
        <f>(AY11+AZ11+BA11+BB11+BC11-AW11)/I11</f>
        <v/>
      </c>
      <c r="AK11" s="1">
        <f>(Q11+R11)*-1*K11/I11</f>
        <v/>
      </c>
      <c r="AL11" s="1">
        <f>AJ11*Q11</f>
        <v/>
      </c>
      <c r="AM11" s="1">
        <f>(SUM(AY11:BB11)-AW11)/I11</f>
        <v/>
      </c>
      <c r="AN11" s="1">
        <f>K11/I11*-1*R11</f>
        <v/>
      </c>
      <c r="AO11" s="1">
        <f>AM11*Q11</f>
        <v/>
      </c>
      <c r="AQ11" s="9">
        <f>J11</f>
        <v/>
      </c>
      <c r="AR11" s="9" t="n">
        <v>0.243968185</v>
      </c>
      <c r="AS11" s="9" t="n">
        <v>0.249427613</v>
      </c>
      <c r="AT11" s="10" t="n">
        <v>0.246356685</v>
      </c>
      <c r="AU11" s="9" t="n">
        <v>0.23037491</v>
      </c>
      <c r="AW11" s="10">
        <f>AQ11</f>
        <v/>
      </c>
      <c r="AY11" s="10">
        <f>AR11*F11</f>
        <v/>
      </c>
      <c r="AZ11" s="10">
        <f>AS11*H11</f>
        <v/>
      </c>
      <c r="BA11" s="10">
        <f>AT11*G11</f>
        <v/>
      </c>
      <c r="BB11" s="10">
        <f>L11</f>
        <v/>
      </c>
      <c r="BC11" s="10">
        <f>K11</f>
        <v/>
      </c>
      <c r="BE11" s="1">
        <f>AW11-SUM(AY11:BC11)</f>
        <v/>
      </c>
    </row>
    <row r="12">
      <c r="B12" s="13" t="inlineStr">
        <is>
          <t>NE_Gasoline_Gasification_Non_CCS_Herb</t>
        </is>
      </c>
      <c r="C12" s="12" t="inlineStr">
        <is>
          <t>Biomass_Herb</t>
        </is>
      </c>
      <c r="D12" s="12" t="n">
        <v>0</v>
      </c>
      <c r="E12" s="12" t="n">
        <v>0</v>
      </c>
      <c r="F12" s="12" t="n">
        <v>2.0404</v>
      </c>
      <c r="G12" s="12" t="n">
        <v>0</v>
      </c>
      <c r="H12" s="12" t="n">
        <v>0</v>
      </c>
      <c r="I12" s="24">
        <f>F12+G12+H12</f>
        <v/>
      </c>
      <c r="J12" s="12" t="n">
        <v>1.745</v>
      </c>
      <c r="K12" s="12" t="n">
        <v>0</v>
      </c>
      <c r="L12" s="12" t="n">
        <v>1.247200555375021</v>
      </c>
      <c r="M12" s="12" t="n">
        <v>356053.6</v>
      </c>
      <c r="N12" s="12" t="n">
        <v>283503.36</v>
      </c>
      <c r="O12" s="12" t="n">
        <v>22.0416</v>
      </c>
      <c r="Q12" s="15" t="n">
        <v>110.892214</v>
      </c>
      <c r="R12" s="15" t="n">
        <v>-62.623722</v>
      </c>
      <c r="S12" s="15" t="n">
        <v>160</v>
      </c>
      <c r="T12" s="15" t="n">
        <v>102.353041</v>
      </c>
      <c r="U12" s="15" t="n">
        <v>108.140489</v>
      </c>
      <c r="V12" s="15" t="n">
        <v>92.430212</v>
      </c>
      <c r="W12" s="15" t="n">
        <v>47.48771</v>
      </c>
      <c r="Y12" s="1">
        <f>B12</f>
        <v/>
      </c>
      <c r="Z12" s="1">
        <f>C12</f>
        <v/>
      </c>
      <c r="AA12" s="11">
        <f>SUM(AD12:AI12)+AK12+AL12</f>
        <v/>
      </c>
      <c r="AB12" s="11">
        <f>SUM(AD12:AI12)+AN12+AO12</f>
        <v/>
      </c>
      <c r="AC12" s="5">
        <f>AA12-AB12</f>
        <v/>
      </c>
      <c r="AD12" s="1">
        <f>D12/H12*W12*-1</f>
        <v/>
      </c>
      <c r="AE12" s="1">
        <f>E12/H12*W12</f>
        <v/>
      </c>
      <c r="AF12" s="1">
        <f t="array" ref="AF12">_xlfn.IFS(C12="Biomass_Corn", 1/H12*S12, C12="Biomass_Agri", 1/H12*V12, C12="Biomass_Wood", 1/H12*U12, C12="Biomass_Herb", 1/H12*T12)</f>
        <v/>
      </c>
      <c r="AG12" s="1">
        <f>M12/H12/(0.9*8760)</f>
        <v/>
      </c>
      <c r="AH12" s="1">
        <f>N12/H12/(0.9*8760)</f>
        <v/>
      </c>
      <c r="AI12" s="1">
        <f>O12/H12</f>
        <v/>
      </c>
      <c r="AJ12" s="1">
        <f>(AY12+AZ12+BA12+BB12+BC12-AW12)/I12</f>
        <v/>
      </c>
      <c r="AK12" s="1">
        <f>(Q12+R12)*-1*K12/I12</f>
        <v/>
      </c>
      <c r="AL12" s="1">
        <f>AJ12*Q12</f>
        <v/>
      </c>
      <c r="AM12" s="1">
        <f>(SUM(AY12:BB12)-AW12)/I12</f>
        <v/>
      </c>
      <c r="AN12" s="1">
        <f>K12/I12*-1*R12</f>
        <v/>
      </c>
      <c r="AO12" s="1">
        <f>AM12*Q12</f>
        <v/>
      </c>
      <c r="AQ12" s="9">
        <f>J12</f>
        <v/>
      </c>
      <c r="AR12" s="9" t="n">
        <v>0.243968185</v>
      </c>
      <c r="AS12" s="9" t="n">
        <v>0.249427613</v>
      </c>
      <c r="AT12" s="10" t="n">
        <v>0.246356685</v>
      </c>
      <c r="AU12" s="9" t="n">
        <v>0.23037491</v>
      </c>
      <c r="AW12" s="10">
        <f>AQ12</f>
        <v/>
      </c>
      <c r="AY12" s="10">
        <f>AR12*F12</f>
        <v/>
      </c>
      <c r="AZ12" s="10">
        <f>AS12*H12</f>
        <v/>
      </c>
      <c r="BA12" s="10">
        <f>AT12*G12</f>
        <v/>
      </c>
      <c r="BB12" s="10">
        <f>L12</f>
        <v/>
      </c>
      <c r="BC12" s="10">
        <f>K12</f>
        <v/>
      </c>
      <c r="BE12" s="1">
        <f>AW12-SUM(AY12:BC12)</f>
        <v/>
      </c>
    </row>
    <row r="13">
      <c r="B13" s="13" t="inlineStr">
        <is>
          <t>CA_Gasoline_Gasification_Non_CCS_Wood</t>
        </is>
      </c>
      <c r="C13" s="12" t="inlineStr">
        <is>
          <t>Biomass_Wood</t>
        </is>
      </c>
      <c r="D13" s="12" t="n">
        <v>0</v>
      </c>
      <c r="E13" s="12" t="n">
        <v>0</v>
      </c>
      <c r="F13" s="12" t="n">
        <v>2.1504</v>
      </c>
      <c r="G13" s="12" t="n">
        <v>0</v>
      </c>
      <c r="H13" s="12" t="n">
        <v>0</v>
      </c>
      <c r="I13" s="24">
        <f>F13+G13+H13</f>
        <v/>
      </c>
      <c r="J13" s="12" t="n">
        <v>1.843</v>
      </c>
      <c r="K13" s="12" t="n">
        <v>0</v>
      </c>
      <c r="L13" s="12" t="n">
        <v>1.318373040395231</v>
      </c>
      <c r="M13" s="12" t="n">
        <v>356053.6</v>
      </c>
      <c r="N13" s="12" t="n">
        <v>283503.36</v>
      </c>
      <c r="O13" s="12" t="n">
        <v>22.0416</v>
      </c>
      <c r="Q13" s="15" t="n">
        <v>110.892214</v>
      </c>
      <c r="R13" s="15" t="n">
        <v>-6.493396</v>
      </c>
      <c r="S13" s="15" t="n">
        <v>160</v>
      </c>
      <c r="T13" s="15" t="n">
        <v>1539.150891</v>
      </c>
      <c r="U13" s="15" t="n">
        <v>162.083504</v>
      </c>
      <c r="V13" s="15" t="n">
        <v>140.323815</v>
      </c>
      <c r="W13" s="15" t="n">
        <v>36.566419</v>
      </c>
      <c r="Y13" s="1">
        <f>B13</f>
        <v/>
      </c>
      <c r="Z13" s="1">
        <f>C13</f>
        <v/>
      </c>
      <c r="AA13" s="11">
        <f>SUM(AD13:AI13)+AK13+AL13</f>
        <v/>
      </c>
      <c r="AB13" s="11">
        <f>SUM(AD13:AI13)+AN13+AO13</f>
        <v/>
      </c>
      <c r="AC13" s="5">
        <f>AA13-AB13</f>
        <v/>
      </c>
      <c r="AD13" s="1">
        <f>D13/H13*W13*-1</f>
        <v/>
      </c>
      <c r="AE13" s="1">
        <f>E13/H13*W13</f>
        <v/>
      </c>
      <c r="AF13" s="1">
        <f t="array" ref="AF13">_xlfn.IFS(C13="Biomass_Corn", 1/H13*S13, C13="Biomass_Agri", 1/H13*V13, C13="Biomass_Wood", 1/H13*U13, C13="Biomass_Herb", 1/H13*T13)</f>
        <v/>
      </c>
      <c r="AG13" s="1">
        <f>M13/H13/(0.9*8760)</f>
        <v/>
      </c>
      <c r="AH13" s="1">
        <f>N13/H13/(0.9*8760)</f>
        <v/>
      </c>
      <c r="AI13" s="1">
        <f>O13/H13</f>
        <v/>
      </c>
      <c r="AJ13" s="1">
        <f>(AY13+AZ13+BA13+BB13+BC13-AW13)/I13</f>
        <v/>
      </c>
      <c r="AK13" s="1">
        <f>(Q13+R13)*-1*K13/I13</f>
        <v/>
      </c>
      <c r="AL13" s="1">
        <f>AJ13*Q13</f>
        <v/>
      </c>
      <c r="AM13" s="1">
        <f>(SUM(AY13:BB13)-AW13)/I13</f>
        <v/>
      </c>
      <c r="AN13" s="1">
        <f>K13/I13*-1*R13</f>
        <v/>
      </c>
      <c r="AO13" s="1">
        <f>AM13*Q13</f>
        <v/>
      </c>
      <c r="AQ13" s="9">
        <f>J13</f>
        <v/>
      </c>
      <c r="AR13" s="9" t="n">
        <v>0.243968185</v>
      </c>
      <c r="AS13" s="9" t="n">
        <v>0.249427613</v>
      </c>
      <c r="AT13" s="10" t="n">
        <v>0.246356685</v>
      </c>
      <c r="AU13" s="9" t="n">
        <v>0.23037491</v>
      </c>
      <c r="AW13" s="10">
        <f>AQ13</f>
        <v/>
      </c>
      <c r="AY13" s="10">
        <f>AR13*F13</f>
        <v/>
      </c>
      <c r="AZ13" s="10">
        <f>AS13*H13</f>
        <v/>
      </c>
      <c r="BA13" s="10">
        <f>AT13*G13</f>
        <v/>
      </c>
      <c r="BB13" s="10">
        <f>L13</f>
        <v/>
      </c>
      <c r="BC13" s="10">
        <f>K13</f>
        <v/>
      </c>
      <c r="BE13" s="1">
        <f>AW13-SUM(AY13:BC13)</f>
        <v/>
      </c>
    </row>
    <row r="14">
      <c r="B14" s="13" t="inlineStr">
        <is>
          <t>NW_Gasoline_Gasification_Non_CCS_Wood</t>
        </is>
      </c>
      <c r="C14" s="12" t="inlineStr">
        <is>
          <t>Biomass_Wood</t>
        </is>
      </c>
      <c r="D14" s="12" t="n">
        <v>0</v>
      </c>
      <c r="E14" s="12" t="n">
        <v>0</v>
      </c>
      <c r="F14" s="12" t="n">
        <v>2.1459</v>
      </c>
      <c r="G14" s="12" t="n">
        <v>0</v>
      </c>
      <c r="H14" s="12" t="n">
        <v>0</v>
      </c>
      <c r="I14" s="24">
        <f>F14+G14+H14</f>
        <v/>
      </c>
      <c r="J14" s="12" t="n">
        <v>1.818</v>
      </c>
      <c r="K14" s="12" t="n">
        <v>0</v>
      </c>
      <c r="L14" s="12" t="n">
        <v>1.294456980394415</v>
      </c>
      <c r="M14" s="12" t="n">
        <v>356053.6</v>
      </c>
      <c r="N14" s="12" t="n">
        <v>283503.36</v>
      </c>
      <c r="O14" s="12" t="n">
        <v>22.0416</v>
      </c>
      <c r="Q14" s="15" t="n">
        <v>110.892214</v>
      </c>
      <c r="R14" s="15" t="n">
        <v>-7.381741</v>
      </c>
      <c r="S14" s="15" t="n">
        <v>160</v>
      </c>
      <c r="T14" s="15" t="n">
        <v>140.805445</v>
      </c>
      <c r="U14" s="15" t="n">
        <v>159.375106</v>
      </c>
      <c r="V14" s="15" t="n">
        <v>121.714108</v>
      </c>
      <c r="W14" s="15" t="n">
        <v>26.767046</v>
      </c>
      <c r="Y14" s="1">
        <f>B14</f>
        <v/>
      </c>
      <c r="Z14" s="1">
        <f>C14</f>
        <v/>
      </c>
      <c r="AA14" s="11">
        <f>SUM(AD14:AI14)+AK14+AL14</f>
        <v/>
      </c>
      <c r="AB14" s="11">
        <f>SUM(AD14:AI14)+AN14+AO14</f>
        <v/>
      </c>
      <c r="AC14" s="5">
        <f>AA14-AB14</f>
        <v/>
      </c>
      <c r="AD14" s="1">
        <f>D14/H14*W14*-1</f>
        <v/>
      </c>
      <c r="AE14" s="1">
        <f>E14/H14*W14</f>
        <v/>
      </c>
      <c r="AF14" s="1">
        <f t="array" ref="AF14">_xlfn.IFS(C14="Biomass_Corn", 1/H14*S14, C14="Biomass_Agri", 1/H14*V14, C14="Biomass_Wood", 1/H14*U14, C14="Biomass_Herb", 1/H14*T14)</f>
        <v/>
      </c>
      <c r="AG14" s="1">
        <f>M14/H14/(0.9*8760)</f>
        <v/>
      </c>
      <c r="AH14" s="1">
        <f>N14/H14/(0.9*8760)</f>
        <v/>
      </c>
      <c r="AI14" s="1">
        <f>O14/H14</f>
        <v/>
      </c>
      <c r="AJ14" s="1">
        <f>(AY14+AZ14+BA14+BB14+BC14-AW14)/I14</f>
        <v/>
      </c>
      <c r="AK14" s="1">
        <f>(Q14+R14)*-1*K14/I14</f>
        <v/>
      </c>
      <c r="AL14" s="1">
        <f>AJ14*Q14</f>
        <v/>
      </c>
      <c r="AM14" s="1">
        <f>(SUM(AY14:BB14)-AW14)/I14</f>
        <v/>
      </c>
      <c r="AN14" s="1">
        <f>K14/I14*-1*R14</f>
        <v/>
      </c>
      <c r="AO14" s="1">
        <f>AM14*Q14</f>
        <v/>
      </c>
      <c r="AQ14" s="9">
        <f>J14</f>
        <v/>
      </c>
      <c r="AR14" s="9" t="n">
        <v>0.243968185</v>
      </c>
      <c r="AS14" s="9" t="n">
        <v>0.249427613</v>
      </c>
      <c r="AT14" s="10" t="n">
        <v>0.246356685</v>
      </c>
      <c r="AU14" s="9" t="n">
        <v>0.23037491</v>
      </c>
      <c r="AW14" s="10">
        <f>AQ14</f>
        <v/>
      </c>
      <c r="AY14" s="10">
        <f>AR14*F14</f>
        <v/>
      </c>
      <c r="AZ14" s="10">
        <f>AS14*H14</f>
        <v/>
      </c>
      <c r="BA14" s="10">
        <f>AT14*G14</f>
        <v/>
      </c>
      <c r="BB14" s="10">
        <f>L14</f>
        <v/>
      </c>
      <c r="BC14" s="10">
        <f>K14</f>
        <v/>
      </c>
      <c r="BE14" s="1">
        <f>AW14-SUM(AY14:BC14)</f>
        <v/>
      </c>
    </row>
    <row r="15">
      <c r="B15" s="13" t="inlineStr">
        <is>
          <t>SW_Gasoline_Gasification_Non_CCS_Wood</t>
        </is>
      </c>
      <c r="C15" s="12" t="inlineStr">
        <is>
          <t>Biomass_Wood</t>
        </is>
      </c>
      <c r="D15" s="12" t="n">
        <v>0</v>
      </c>
      <c r="E15" s="12" t="n">
        <v>0</v>
      </c>
      <c r="F15" s="12" t="n">
        <v>2.126</v>
      </c>
      <c r="G15" s="12" t="n">
        <v>0</v>
      </c>
      <c r="H15" s="12" t="n">
        <v>0</v>
      </c>
      <c r="I15" s="24">
        <f>F15+G15+H15</f>
        <v/>
      </c>
      <c r="J15" s="12" t="n">
        <v>1.798</v>
      </c>
      <c r="K15" s="12" t="n">
        <v>0</v>
      </c>
      <c r="L15" s="12" t="n">
        <v>1.27933471039074</v>
      </c>
      <c r="M15" s="12" t="n">
        <v>356053.6</v>
      </c>
      <c r="N15" s="12" t="n">
        <v>283503.36</v>
      </c>
      <c r="O15" s="12" t="n">
        <v>22.0416</v>
      </c>
      <c r="Q15" s="15" t="n">
        <v>110.892214</v>
      </c>
      <c r="R15" s="15" t="n">
        <v>-16.594224</v>
      </c>
      <c r="S15" s="15" t="n">
        <v>160</v>
      </c>
      <c r="T15" s="15" t="n">
        <v>125.807546</v>
      </c>
      <c r="U15" s="15" t="n">
        <v>143.289826</v>
      </c>
      <c r="V15" s="15" t="n">
        <v>114.17137</v>
      </c>
      <c r="W15" s="15" t="n">
        <v>28.012186</v>
      </c>
      <c r="Y15" s="1">
        <f>B15</f>
        <v/>
      </c>
      <c r="Z15" s="1">
        <f>C15</f>
        <v/>
      </c>
      <c r="AA15" s="11">
        <f>SUM(AD15:AI15)+AK15+AL15</f>
        <v/>
      </c>
      <c r="AB15" s="11">
        <f>SUM(AD15:AI15)+AN15+AO15</f>
        <v/>
      </c>
      <c r="AC15" s="5">
        <f>AA15-AB15</f>
        <v/>
      </c>
      <c r="AD15" s="1">
        <f>D15/H15*W15*-1</f>
        <v/>
      </c>
      <c r="AE15" s="1">
        <f>E15/H15*W15</f>
        <v/>
      </c>
      <c r="AF15" s="1">
        <f t="array" ref="AF15">_xlfn.IFS(C15="Biomass_Corn", 1/H15*S15, C15="Biomass_Agri", 1/H15*V15, C15="Biomass_Wood", 1/H15*U15, C15="Biomass_Herb", 1/H15*T15)</f>
        <v/>
      </c>
      <c r="AG15" s="1">
        <f>M15/H15/(0.9*8760)</f>
        <v/>
      </c>
      <c r="AH15" s="1">
        <f>N15/H15/(0.9*8760)</f>
        <v/>
      </c>
      <c r="AI15" s="1">
        <f>O15/H15</f>
        <v/>
      </c>
      <c r="AJ15" s="1">
        <f>(AY15+AZ15+BA15+BB15+BC15-AW15)/I15</f>
        <v/>
      </c>
      <c r="AK15" s="1">
        <f>(Q15+R15)*-1*K15/I15</f>
        <v/>
      </c>
      <c r="AL15" s="1">
        <f>AJ15*Q15</f>
        <v/>
      </c>
      <c r="AM15" s="1">
        <f>(SUM(AY15:BB15)-AW15)/I15</f>
        <v/>
      </c>
      <c r="AN15" s="1">
        <f>K15/I15*-1*R15</f>
        <v/>
      </c>
      <c r="AO15" s="1">
        <f>AM15*Q15</f>
        <v/>
      </c>
      <c r="AQ15" s="9">
        <f>J15</f>
        <v/>
      </c>
      <c r="AR15" s="9" t="n">
        <v>0.243968185</v>
      </c>
      <c r="AS15" s="9" t="n">
        <v>0.249427613</v>
      </c>
      <c r="AT15" s="10" t="n">
        <v>0.246356685</v>
      </c>
      <c r="AU15" s="9" t="n">
        <v>0.23037491</v>
      </c>
      <c r="AW15" s="10">
        <f>AQ15</f>
        <v/>
      </c>
      <c r="AY15" s="10">
        <f>AR15*F15</f>
        <v/>
      </c>
      <c r="AZ15" s="10">
        <f>AS15*H15</f>
        <v/>
      </c>
      <c r="BA15" s="10">
        <f>AT15*G15</f>
        <v/>
      </c>
      <c r="BB15" s="10">
        <f>L15</f>
        <v/>
      </c>
      <c r="BC15" s="10">
        <f>K15</f>
        <v/>
      </c>
      <c r="BE15" s="1">
        <f>AW15-SUM(AY15:BC15)</f>
        <v/>
      </c>
    </row>
    <row r="16">
      <c r="B16" s="13" t="inlineStr">
        <is>
          <t>TX_Gasoline_Gasification_Non_CCS_Wood</t>
        </is>
      </c>
      <c r="C16" s="12" t="inlineStr">
        <is>
          <t>Biomass_Wood</t>
        </is>
      </c>
      <c r="D16" s="12" t="n">
        <v>0</v>
      </c>
      <c r="E16" s="12" t="n">
        <v>0</v>
      </c>
      <c r="F16" s="12" t="n">
        <v>2.1093</v>
      </c>
      <c r="G16" s="12" t="n">
        <v>0</v>
      </c>
      <c r="H16" s="12" t="n">
        <v>0</v>
      </c>
      <c r="I16" s="24">
        <f>F16+G16+H16</f>
        <v/>
      </c>
      <c r="J16" s="12" t="n">
        <v>1.821</v>
      </c>
      <c r="K16" s="12" t="n">
        <v>0</v>
      </c>
      <c r="L16" s="12" t="n">
        <v>1.306399485387678</v>
      </c>
      <c r="M16" s="12" t="n">
        <v>356053.6</v>
      </c>
      <c r="N16" s="12" t="n">
        <v>283503.36</v>
      </c>
      <c r="O16" s="12" t="n">
        <v>22.0416</v>
      </c>
      <c r="Q16" s="15" t="n">
        <v>110.892214</v>
      </c>
      <c r="R16" s="15" t="n">
        <v>-21.499827</v>
      </c>
      <c r="S16" s="15" t="n">
        <v>160</v>
      </c>
      <c r="T16" s="15" t="n">
        <v>140.297617</v>
      </c>
      <c r="U16" s="15" t="n">
        <v>160.374377</v>
      </c>
      <c r="V16" s="15" t="n">
        <v>113.606838</v>
      </c>
      <c r="W16" s="15" t="n">
        <v>20.240713</v>
      </c>
      <c r="Y16" s="1">
        <f>B16</f>
        <v/>
      </c>
      <c r="Z16" s="1">
        <f>C16</f>
        <v/>
      </c>
      <c r="AA16" s="11">
        <f>SUM(AD16:AI16)+AK16+AL16</f>
        <v/>
      </c>
      <c r="AB16" s="11">
        <f>SUM(AD16:AI16)+AN16+AO16</f>
        <v/>
      </c>
      <c r="AC16" s="5">
        <f>AA16-AB16</f>
        <v/>
      </c>
      <c r="AD16" s="1">
        <f>D16/H16*W16*-1</f>
        <v/>
      </c>
      <c r="AE16" s="1">
        <f>E16/H16*W16</f>
        <v/>
      </c>
      <c r="AF16" s="1">
        <f t="array" ref="AF16">_xlfn.IFS(C16="Biomass_Corn", 1/H16*S16, C16="Biomass_Agri", 1/H16*V16, C16="Biomass_Wood", 1/H16*U16, C16="Biomass_Herb", 1/H16*T16)</f>
        <v/>
      </c>
      <c r="AG16" s="1">
        <f>M16/H16/(0.9*8760)</f>
        <v/>
      </c>
      <c r="AH16" s="1">
        <f>N16/H16/(0.9*8760)</f>
        <v/>
      </c>
      <c r="AI16" s="1">
        <f>O16/H16</f>
        <v/>
      </c>
      <c r="AJ16" s="1">
        <f>(AY16+AZ16+BA16+BB16+BC16-AW16)/I16</f>
        <v/>
      </c>
      <c r="AK16" s="1">
        <f>(Q16+R16)*-1*K16/I16</f>
        <v/>
      </c>
      <c r="AL16" s="1">
        <f>AJ16*Q16</f>
        <v/>
      </c>
      <c r="AM16" s="1">
        <f>(SUM(AY16:BB16)-AW16)/I16</f>
        <v/>
      </c>
      <c r="AN16" s="1">
        <f>K16/I16*-1*R16</f>
        <v/>
      </c>
      <c r="AO16" s="1">
        <f>AM16*Q16</f>
        <v/>
      </c>
      <c r="AQ16" s="9">
        <f>J16</f>
        <v/>
      </c>
      <c r="AR16" s="9" t="n">
        <v>0.243968185</v>
      </c>
      <c r="AS16" s="9" t="n">
        <v>0.249427613</v>
      </c>
      <c r="AT16" s="10" t="n">
        <v>0.246356685</v>
      </c>
      <c r="AU16" s="9" t="n">
        <v>0.23037491</v>
      </c>
      <c r="AW16" s="10">
        <f>AQ16</f>
        <v/>
      </c>
      <c r="AY16" s="10">
        <f>AR16*F16</f>
        <v/>
      </c>
      <c r="AZ16" s="10">
        <f>AS16*H16</f>
        <v/>
      </c>
      <c r="BA16" s="10">
        <f>AT16*G16</f>
        <v/>
      </c>
      <c r="BB16" s="10">
        <f>L16</f>
        <v/>
      </c>
      <c r="BC16" s="10">
        <f>K16</f>
        <v/>
      </c>
      <c r="BE16" s="1">
        <f>AW16-SUM(AY16:BC16)</f>
        <v/>
      </c>
    </row>
    <row r="17">
      <c r="B17" s="13" t="inlineStr">
        <is>
          <t>NCEN_Gasoline_Gasification_Non_CCS_Wood</t>
        </is>
      </c>
      <c r="C17" s="12" t="inlineStr">
        <is>
          <t>Biomass_Wood</t>
        </is>
      </c>
      <c r="D17" s="12" t="n">
        <v>0</v>
      </c>
      <c r="E17" s="12" t="n">
        <v>0</v>
      </c>
      <c r="F17" s="12" t="n">
        <v>2.1171</v>
      </c>
      <c r="G17" s="12" t="n">
        <v>0</v>
      </c>
      <c r="H17" s="12" t="n">
        <v>0</v>
      </c>
      <c r="I17" s="24">
        <f>F17+G17+H17</f>
        <v/>
      </c>
      <c r="J17" s="12" t="n">
        <v>1.802</v>
      </c>
      <c r="K17" s="12" t="n">
        <v>0</v>
      </c>
      <c r="L17" s="12" t="n">
        <v>1.285502590389107</v>
      </c>
      <c r="M17" s="12" t="n">
        <v>356053.6</v>
      </c>
      <c r="N17" s="12" t="n">
        <v>283503.36</v>
      </c>
      <c r="O17" s="12" t="n">
        <v>22.0416</v>
      </c>
      <c r="Q17" s="15" t="n">
        <v>110.892214</v>
      </c>
      <c r="R17" s="15" t="n">
        <v>-41.711711</v>
      </c>
      <c r="S17" s="15" t="n">
        <v>160</v>
      </c>
      <c r="T17" s="15" t="n">
        <v>106.368089</v>
      </c>
      <c r="U17" s="15" t="n">
        <v>117.804824</v>
      </c>
      <c r="V17" s="15" t="n">
        <v>93.32494199999999</v>
      </c>
      <c r="W17" s="15" t="n">
        <v>30.728803</v>
      </c>
      <c r="Y17" s="1">
        <f>B17</f>
        <v/>
      </c>
      <c r="Z17" s="1">
        <f>C17</f>
        <v/>
      </c>
      <c r="AA17" s="11">
        <f>SUM(AD17:AI17)+AK17+AL17</f>
        <v/>
      </c>
      <c r="AB17" s="11">
        <f>SUM(AD17:AI17)+AN17+AO17</f>
        <v/>
      </c>
      <c r="AC17" s="5">
        <f>AA17-AB17</f>
        <v/>
      </c>
      <c r="AD17" s="1">
        <f>D17/H17*W17*-1</f>
        <v/>
      </c>
      <c r="AE17" s="1">
        <f>E17/H17*W17</f>
        <v/>
      </c>
      <c r="AF17" s="1">
        <f t="array" ref="AF17">_xlfn.IFS(C17="Biomass_Corn", 1/H17*S17, C17="Biomass_Agri", 1/H17*V17, C17="Biomass_Wood", 1/H17*U17, C17="Biomass_Herb", 1/H17*T17)</f>
        <v/>
      </c>
      <c r="AG17" s="1">
        <f>M17/H17/(0.9*8760)</f>
        <v/>
      </c>
      <c r="AH17" s="1">
        <f>N17/H17/(0.9*8760)</f>
        <v/>
      </c>
      <c r="AI17" s="1">
        <f>O17/H17</f>
        <v/>
      </c>
      <c r="AJ17" s="1">
        <f>(AY17+AZ17+BA17+BB17+BC17-AW17)/I17</f>
        <v/>
      </c>
      <c r="AK17" s="1">
        <f>(Q17+R17)*-1*K17/I17</f>
        <v/>
      </c>
      <c r="AL17" s="1">
        <f>AJ17*Q17</f>
        <v/>
      </c>
      <c r="AM17" s="1">
        <f>(SUM(AY17:BB17)-AW17)/I17</f>
        <v/>
      </c>
      <c r="AN17" s="1">
        <f>K17/I17*-1*R17</f>
        <v/>
      </c>
      <c r="AO17" s="1">
        <f>AM17*Q17</f>
        <v/>
      </c>
      <c r="AQ17" s="9">
        <f>J17</f>
        <v/>
      </c>
      <c r="AR17" s="9" t="n">
        <v>0.243968185</v>
      </c>
      <c r="AS17" s="9" t="n">
        <v>0.249427613</v>
      </c>
      <c r="AT17" s="10" t="n">
        <v>0.246356685</v>
      </c>
      <c r="AU17" s="9" t="n">
        <v>0.23037491</v>
      </c>
      <c r="AW17" s="10">
        <f>AQ17</f>
        <v/>
      </c>
      <c r="AY17" s="10">
        <f>AR17*F17</f>
        <v/>
      </c>
      <c r="AZ17" s="10">
        <f>AS17*H17</f>
        <v/>
      </c>
      <c r="BA17" s="10">
        <f>AT17*G17</f>
        <v/>
      </c>
      <c r="BB17" s="10">
        <f>L17</f>
        <v/>
      </c>
      <c r="BC17" s="10">
        <f>K17</f>
        <v/>
      </c>
      <c r="BE17" s="1">
        <f>AW17-SUM(AY17:BC17)</f>
        <v/>
      </c>
    </row>
    <row r="18">
      <c r="B18" s="13" t="inlineStr">
        <is>
          <t>CEN_Gasoline_Gasification_Non_CCS_Wood</t>
        </is>
      </c>
      <c r="C18" s="12" t="inlineStr">
        <is>
          <t>Biomass_Wood</t>
        </is>
      </c>
      <c r="D18" s="12" t="n">
        <v>0</v>
      </c>
      <c r="E18" s="12" t="n">
        <v>0</v>
      </c>
      <c r="F18" s="12" t="n">
        <v>2.1182</v>
      </c>
      <c r="G18" s="12" t="n">
        <v>0</v>
      </c>
      <c r="H18" s="12" t="n">
        <v>0</v>
      </c>
      <c r="I18" s="24">
        <f>F18+G18+H18</f>
        <v/>
      </c>
      <c r="J18" s="12" t="n">
        <v>1.802</v>
      </c>
      <c r="K18" s="12" t="n">
        <v>0</v>
      </c>
      <c r="L18" s="12" t="n">
        <v>1.285231605389311</v>
      </c>
      <c r="M18" s="12" t="n">
        <v>356053.6</v>
      </c>
      <c r="N18" s="12" t="n">
        <v>283503.36</v>
      </c>
      <c r="O18" s="12" t="n">
        <v>22.0416</v>
      </c>
      <c r="Q18" s="15" t="n">
        <v>110.892214</v>
      </c>
      <c r="R18" s="15" t="n">
        <v>-31.698788</v>
      </c>
      <c r="S18" s="15" t="n">
        <v>160</v>
      </c>
      <c r="T18" s="15" t="n">
        <v>112.646846</v>
      </c>
      <c r="U18" s="15" t="n">
        <v>129.719823</v>
      </c>
      <c r="V18" s="15" t="n">
        <v>101.234661</v>
      </c>
      <c r="W18" s="15" t="n">
        <v>25.375037</v>
      </c>
      <c r="Y18" s="1">
        <f>B18</f>
        <v/>
      </c>
      <c r="Z18" s="1">
        <f>C18</f>
        <v/>
      </c>
      <c r="AA18" s="11">
        <f>SUM(AD18:AI18)+AK18+AL18</f>
        <v/>
      </c>
      <c r="AB18" s="11">
        <f>SUM(AD18:AI18)+AN18+AO18</f>
        <v/>
      </c>
      <c r="AC18" s="5">
        <f>AA18-AB18</f>
        <v/>
      </c>
      <c r="AD18" s="1">
        <f>D18/H18*W18*-1</f>
        <v/>
      </c>
      <c r="AE18" s="1">
        <f>E18/H18*W18</f>
        <v/>
      </c>
      <c r="AF18" s="1">
        <f t="array" ref="AF18">_xlfn.IFS(C18="Biomass_Corn", 1/H18*S18, C18="Biomass_Agri", 1/H18*V18, C18="Biomass_Wood", 1/H18*U18, C18="Biomass_Herb", 1/H18*T18)</f>
        <v/>
      </c>
      <c r="AG18" s="1">
        <f>M18/H18/(0.9*8760)</f>
        <v/>
      </c>
      <c r="AH18" s="1">
        <f>N18/H18/(0.9*8760)</f>
        <v/>
      </c>
      <c r="AI18" s="1">
        <f>O18/H18</f>
        <v/>
      </c>
      <c r="AJ18" s="1">
        <f>(AY18+AZ18+BA18+BB18+BC18-AW18)/I18</f>
        <v/>
      </c>
      <c r="AK18" s="1">
        <f>(Q18+R18)*-1*K18/I18</f>
        <v/>
      </c>
      <c r="AL18" s="1">
        <f>AJ18*Q18</f>
        <v/>
      </c>
      <c r="AM18" s="1">
        <f>(SUM(AY18:BB18)-AW18)/I18</f>
        <v/>
      </c>
      <c r="AN18" s="1">
        <f>K18/I18*-1*R18</f>
        <v/>
      </c>
      <c r="AO18" s="1">
        <f>AM18*Q18</f>
        <v/>
      </c>
      <c r="AQ18" s="9">
        <f>J18</f>
        <v/>
      </c>
      <c r="AR18" s="9" t="n">
        <v>0.243968185</v>
      </c>
      <c r="AS18" s="9" t="n">
        <v>0.249427613</v>
      </c>
      <c r="AT18" s="10" t="n">
        <v>0.246356685</v>
      </c>
      <c r="AU18" s="9" t="n">
        <v>0.23037491</v>
      </c>
      <c r="AW18" s="10">
        <f>AQ18</f>
        <v/>
      </c>
      <c r="AY18" s="10">
        <f>AR18*F18</f>
        <v/>
      </c>
      <c r="AZ18" s="10">
        <f>AS18*H18</f>
        <v/>
      </c>
      <c r="BA18" s="10">
        <f>AT18*G18</f>
        <v/>
      </c>
      <c r="BB18" s="10">
        <f>L18</f>
        <v/>
      </c>
      <c r="BC18" s="10">
        <f>K18</f>
        <v/>
      </c>
      <c r="BE18" s="1">
        <f>AW18-SUM(AY18:BC18)</f>
        <v/>
      </c>
    </row>
    <row r="19">
      <c r="B19" s="13" t="inlineStr">
        <is>
          <t>SE_Gasoline_Gasification_Non_CCS_Wood</t>
        </is>
      </c>
      <c r="C19" s="12" t="inlineStr">
        <is>
          <t>Biomass_Wood</t>
        </is>
      </c>
      <c r="D19" s="12" t="n">
        <v>0</v>
      </c>
      <c r="E19" s="12" t="n">
        <v>0</v>
      </c>
      <c r="F19" s="12" t="n">
        <v>2.126</v>
      </c>
      <c r="G19" s="12" t="n">
        <v>0</v>
      </c>
      <c r="H19" s="12" t="n">
        <v>0</v>
      </c>
      <c r="I19" s="24">
        <f>F19+G19+H19</f>
        <v/>
      </c>
      <c r="J19" s="12" t="n">
        <v>1.821</v>
      </c>
      <c r="K19" s="12" t="n">
        <v>0</v>
      </c>
      <c r="L19" s="12" t="n">
        <v>1.30233471039074</v>
      </c>
      <c r="M19" s="12" t="n">
        <v>356053.6</v>
      </c>
      <c r="N19" s="12" t="n">
        <v>283503.36</v>
      </c>
      <c r="O19" s="12" t="n">
        <v>22.0416</v>
      </c>
      <c r="Q19" s="15" t="n">
        <v>110.892214</v>
      </c>
      <c r="R19" s="15" t="n">
        <v>-47.684613</v>
      </c>
      <c r="S19" s="15" t="n">
        <v>160</v>
      </c>
      <c r="T19" s="15" t="n">
        <v>100.406702</v>
      </c>
      <c r="U19" s="15" t="n">
        <v>115.539531</v>
      </c>
      <c r="V19" s="15" t="n">
        <v>89.577806</v>
      </c>
      <c r="W19" s="15" t="n">
        <v>38.228295</v>
      </c>
      <c r="Y19" s="1">
        <f>B19</f>
        <v/>
      </c>
      <c r="Z19" s="1">
        <f>C19</f>
        <v/>
      </c>
      <c r="AA19" s="11">
        <f>SUM(AD19:AI19)+AK19+AL19</f>
        <v/>
      </c>
      <c r="AB19" s="11">
        <f>SUM(AD19:AI19)+AN19+AO19</f>
        <v/>
      </c>
      <c r="AC19" s="5">
        <f>AA19-AB19</f>
        <v/>
      </c>
      <c r="AD19" s="1">
        <f>D19/H19*W19*-1</f>
        <v/>
      </c>
      <c r="AE19" s="1">
        <f>E19/H19*W19</f>
        <v/>
      </c>
      <c r="AF19" s="1">
        <f t="array" ref="AF19">_xlfn.IFS(C19="Biomass_Corn", 1/H19*S19, C19="Biomass_Agri", 1/H19*V19, C19="Biomass_Wood", 1/H19*U19, C19="Biomass_Herb", 1/H19*T19)</f>
        <v/>
      </c>
      <c r="AG19" s="1">
        <f>M19/H19/(0.9*8760)</f>
        <v/>
      </c>
      <c r="AH19" s="1">
        <f>N19/H19/(0.9*8760)</f>
        <v/>
      </c>
      <c r="AI19" s="1">
        <f>O19/H19</f>
        <v/>
      </c>
      <c r="AJ19" s="1">
        <f>(AY19+AZ19+BA19+BB19+BC19-AW19)/I19</f>
        <v/>
      </c>
      <c r="AK19" s="1">
        <f>(Q19+R19)*-1*K19/I19</f>
        <v/>
      </c>
      <c r="AL19" s="1">
        <f>AJ19*Q19</f>
        <v/>
      </c>
      <c r="AM19" s="1">
        <f>(SUM(AY19:BB19)-AW19)/I19</f>
        <v/>
      </c>
      <c r="AN19" s="1">
        <f>K19/I19*-1*R19</f>
        <v/>
      </c>
      <c r="AO19" s="1">
        <f>AM19*Q19</f>
        <v/>
      </c>
      <c r="AQ19" s="9">
        <f>J19</f>
        <v/>
      </c>
      <c r="AR19" s="9" t="n">
        <v>0.243968185</v>
      </c>
      <c r="AS19" s="9" t="n">
        <v>0.249427613</v>
      </c>
      <c r="AT19" s="10" t="n">
        <v>0.246356685</v>
      </c>
      <c r="AU19" s="9" t="n">
        <v>0.23037491</v>
      </c>
      <c r="AW19" s="10">
        <f>AQ19</f>
        <v/>
      </c>
      <c r="AY19" s="10">
        <f>AR19*F19</f>
        <v/>
      </c>
      <c r="AZ19" s="10">
        <f>AS19*H19</f>
        <v/>
      </c>
      <c r="BA19" s="10">
        <f>AT19*G19</f>
        <v/>
      </c>
      <c r="BB19" s="10">
        <f>L19</f>
        <v/>
      </c>
      <c r="BC19" s="10">
        <f>K19</f>
        <v/>
      </c>
      <c r="BE19" s="1">
        <f>AW19-SUM(AY19:BC19)</f>
        <v/>
      </c>
    </row>
    <row r="20">
      <c r="B20" s="13" t="inlineStr">
        <is>
          <t>MIDAT_Gasoline_Gasification_Non_CCS_Wood</t>
        </is>
      </c>
      <c r="C20" s="12" t="inlineStr">
        <is>
          <t>Biomass_Wood</t>
        </is>
      </c>
      <c r="D20" s="12" t="n">
        <v>0</v>
      </c>
      <c r="E20" s="12" t="n">
        <v>0</v>
      </c>
      <c r="F20" s="12" t="n">
        <v>2.1115</v>
      </c>
      <c r="G20" s="12" t="n">
        <v>0</v>
      </c>
      <c r="H20" s="12" t="n">
        <v>0</v>
      </c>
      <c r="I20" s="24">
        <f>F20+G20+H20</f>
        <v/>
      </c>
      <c r="J20" s="12" t="n">
        <v>1.806</v>
      </c>
      <c r="K20" s="12" t="n">
        <v>0</v>
      </c>
      <c r="L20" s="12" t="n">
        <v>1.290857515388086</v>
      </c>
      <c r="M20" s="12" t="n">
        <v>356053.6</v>
      </c>
      <c r="N20" s="12" t="n">
        <v>283503.36</v>
      </c>
      <c r="O20" s="12" t="n">
        <v>22.0416</v>
      </c>
      <c r="Q20" s="15" t="n">
        <v>110.892214</v>
      </c>
      <c r="R20" s="15" t="n">
        <v>-54.368796</v>
      </c>
      <c r="S20" s="15" t="n">
        <v>160</v>
      </c>
      <c r="T20" s="15" t="n">
        <v>101.540719</v>
      </c>
      <c r="U20" s="15" t="n">
        <v>109.472766</v>
      </c>
      <c r="V20" s="15" t="n">
        <v>90.14609900000001</v>
      </c>
      <c r="W20" s="15" t="n">
        <v>39.376329</v>
      </c>
      <c r="Y20" s="1">
        <f>B20</f>
        <v/>
      </c>
      <c r="Z20" s="1">
        <f>C20</f>
        <v/>
      </c>
      <c r="AA20" s="11">
        <f>SUM(AD20:AI20)+AK20+AL20</f>
        <v/>
      </c>
      <c r="AB20" s="11">
        <f>SUM(AD20:AI20)+AN20+AO20</f>
        <v/>
      </c>
      <c r="AC20" s="5">
        <f>AA20-AB20</f>
        <v/>
      </c>
      <c r="AD20" s="1">
        <f>D20/H20*W20*-1</f>
        <v/>
      </c>
      <c r="AE20" s="1">
        <f>E20/H20*W20</f>
        <v/>
      </c>
      <c r="AF20" s="1">
        <f t="array" ref="AF20">_xlfn.IFS(C20="Biomass_Corn", 1/H20*S20, C20="Biomass_Agri", 1/H20*V20, C20="Biomass_Wood", 1/H20*U20, C20="Biomass_Herb", 1/H20*T20)</f>
        <v/>
      </c>
      <c r="AG20" s="1">
        <f>M20/H20/(0.9*8760)</f>
        <v/>
      </c>
      <c r="AH20" s="1">
        <f>N20/H20/(0.9*8760)</f>
        <v/>
      </c>
      <c r="AI20" s="1">
        <f>O20/H20</f>
        <v/>
      </c>
      <c r="AJ20" s="1">
        <f>(AY20+AZ20+BA20+BB20+BC20-AW20)/I20</f>
        <v/>
      </c>
      <c r="AK20" s="1">
        <f>(Q20+R20)*-1*K20/I20</f>
        <v/>
      </c>
      <c r="AL20" s="1">
        <f>AJ20*Q20</f>
        <v/>
      </c>
      <c r="AM20" s="1">
        <f>(SUM(AY20:BB20)-AW20)/I20</f>
        <v/>
      </c>
      <c r="AN20" s="1">
        <f>K20/I20*-1*R20</f>
        <v/>
      </c>
      <c r="AO20" s="1">
        <f>AM20*Q20</f>
        <v/>
      </c>
      <c r="AQ20" s="9">
        <f>J20</f>
        <v/>
      </c>
      <c r="AR20" s="9" t="n">
        <v>0.243968185</v>
      </c>
      <c r="AS20" s="9" t="n">
        <v>0.249427613</v>
      </c>
      <c r="AT20" s="10" t="n">
        <v>0.246356685</v>
      </c>
      <c r="AU20" s="9" t="n">
        <v>0.23037491</v>
      </c>
      <c r="AW20" s="10">
        <f>AQ20</f>
        <v/>
      </c>
      <c r="AY20" s="10">
        <f>AR20*F20</f>
        <v/>
      </c>
      <c r="AZ20" s="10">
        <f>AS20*H20</f>
        <v/>
      </c>
      <c r="BA20" s="10">
        <f>AT20*G20</f>
        <v/>
      </c>
      <c r="BB20" s="10">
        <f>L20</f>
        <v/>
      </c>
      <c r="BC20" s="10">
        <f>K20</f>
        <v/>
      </c>
      <c r="BE20" s="1">
        <f>AW20-SUM(AY20:BC20)</f>
        <v/>
      </c>
    </row>
    <row r="21">
      <c r="B21" s="13" t="inlineStr">
        <is>
          <t>NE_Gasoline_Gasification_Non_CCS_Wood</t>
        </is>
      </c>
      <c r="C21" s="12" t="inlineStr">
        <is>
          <t>Biomass_Wood</t>
        </is>
      </c>
      <c r="D21" s="12" t="n">
        <v>0</v>
      </c>
      <c r="E21" s="12" t="n">
        <v>0</v>
      </c>
      <c r="F21" s="12" t="n">
        <v>2.0982</v>
      </c>
      <c r="G21" s="12" t="n">
        <v>0</v>
      </c>
      <c r="H21" s="12" t="n">
        <v>0</v>
      </c>
      <c r="I21" s="24">
        <f>F21+G21+H21</f>
        <v/>
      </c>
      <c r="J21" s="12" t="n">
        <v>1.826</v>
      </c>
      <c r="K21" s="12" t="n">
        <v>0</v>
      </c>
      <c r="L21" s="12" t="n">
        <v>1.314109335385636</v>
      </c>
      <c r="M21" s="12" t="n">
        <v>356053.6</v>
      </c>
      <c r="N21" s="12" t="n">
        <v>283503.36</v>
      </c>
      <c r="O21" s="12" t="n">
        <v>22.0416</v>
      </c>
      <c r="Q21" s="15" t="n">
        <v>110.892214</v>
      </c>
      <c r="R21" s="15" t="n">
        <v>-62.623722</v>
      </c>
      <c r="S21" s="15" t="n">
        <v>160</v>
      </c>
      <c r="T21" s="15" t="n">
        <v>102.353041</v>
      </c>
      <c r="U21" s="15" t="n">
        <v>108.140489</v>
      </c>
      <c r="V21" s="15" t="n">
        <v>92.430212</v>
      </c>
      <c r="W21" s="15" t="n">
        <v>47.48771</v>
      </c>
      <c r="Y21" s="1">
        <f>B21</f>
        <v/>
      </c>
      <c r="Z21" s="1">
        <f>C21</f>
        <v/>
      </c>
      <c r="AA21" s="11">
        <f>SUM(AD21:AI21)+AK21+AL21</f>
        <v/>
      </c>
      <c r="AB21" s="11">
        <f>SUM(AD21:AI21)+AN21+AO21</f>
        <v/>
      </c>
      <c r="AC21" s="5">
        <f>AA21-AB21</f>
        <v/>
      </c>
      <c r="AD21" s="1">
        <f>D21/H21*W21*-1</f>
        <v/>
      </c>
      <c r="AE21" s="1">
        <f>E21/H21*W21</f>
        <v/>
      </c>
      <c r="AF21" s="1">
        <f t="array" ref="AF21">_xlfn.IFS(C21="Biomass_Corn", 1/H21*S21, C21="Biomass_Agri", 1/H21*V21, C21="Biomass_Wood", 1/H21*U21, C21="Biomass_Herb", 1/H21*T21)</f>
        <v/>
      </c>
      <c r="AG21" s="1">
        <f>M21/H21/(0.9*8760)</f>
        <v/>
      </c>
      <c r="AH21" s="1">
        <f>N21/H21/(0.9*8760)</f>
        <v/>
      </c>
      <c r="AI21" s="1">
        <f>O21/H21</f>
        <v/>
      </c>
      <c r="AJ21" s="1">
        <f>(AY21+AZ21+BA21+BB21+BC21-AW21)/I21</f>
        <v/>
      </c>
      <c r="AK21" s="1">
        <f>(Q21+R21)*-1*K21/I21</f>
        <v/>
      </c>
      <c r="AL21" s="1">
        <f>AJ21*Q21</f>
        <v/>
      </c>
      <c r="AM21" s="1">
        <f>(SUM(AY21:BB21)-AW21)/I21</f>
        <v/>
      </c>
      <c r="AN21" s="1">
        <f>K21/I21*-1*R21</f>
        <v/>
      </c>
      <c r="AO21" s="1">
        <f>AM21*Q21</f>
        <v/>
      </c>
      <c r="AQ21" s="9">
        <f>J21</f>
        <v/>
      </c>
      <c r="AR21" s="9" t="n">
        <v>0.243968185</v>
      </c>
      <c r="AS21" s="9" t="n">
        <v>0.249427613</v>
      </c>
      <c r="AT21" s="10" t="n">
        <v>0.246356685</v>
      </c>
      <c r="AU21" s="9" t="n">
        <v>0.23037491</v>
      </c>
      <c r="AW21" s="10">
        <f>AQ21</f>
        <v/>
      </c>
      <c r="AY21" s="10">
        <f>AR21*F21</f>
        <v/>
      </c>
      <c r="AZ21" s="10">
        <f>AS21*H21</f>
        <v/>
      </c>
      <c r="BA21" s="10">
        <f>AT21*G21</f>
        <v/>
      </c>
      <c r="BB21" s="10">
        <f>L21</f>
        <v/>
      </c>
      <c r="BC21" s="10">
        <f>K21</f>
        <v/>
      </c>
      <c r="BE21" s="1">
        <f>AW21-SUM(AY21:BC21)</f>
        <v/>
      </c>
    </row>
    <row r="22">
      <c r="B22" s="13" t="inlineStr">
        <is>
          <t>CA_Gasoline_Gasification_Non_CCS_Agri</t>
        </is>
      </c>
      <c r="C22" s="12" t="inlineStr">
        <is>
          <t>Biomass_Agri</t>
        </is>
      </c>
      <c r="D22" s="12" t="n">
        <v>0</v>
      </c>
      <c r="E22" s="12" t="n">
        <v>0</v>
      </c>
      <c r="F22" s="12" t="n">
        <v>2.0315</v>
      </c>
      <c r="G22" s="12" t="n">
        <v>0</v>
      </c>
      <c r="H22" s="12" t="n">
        <v>0</v>
      </c>
      <c r="I22" s="24">
        <f>F22+G22+H22</f>
        <v/>
      </c>
      <c r="J22" s="12" t="n">
        <v>1.719</v>
      </c>
      <c r="K22" s="12" t="n">
        <v>0</v>
      </c>
      <c r="L22" s="12" t="n">
        <v>1.223368435373387</v>
      </c>
      <c r="M22" s="12" t="n">
        <v>356053.6</v>
      </c>
      <c r="N22" s="12" t="n">
        <v>283503.36</v>
      </c>
      <c r="O22" s="12" t="n">
        <v>22.0416</v>
      </c>
      <c r="Q22" s="15" t="n">
        <v>110.892214</v>
      </c>
      <c r="R22" s="15" t="n">
        <v>-6.493396</v>
      </c>
      <c r="S22" s="15" t="n">
        <v>160</v>
      </c>
      <c r="T22" s="15" t="n">
        <v>1539.150891</v>
      </c>
      <c r="U22" s="15" t="n">
        <v>162.083504</v>
      </c>
      <c r="V22" s="15" t="n">
        <v>140.323815</v>
      </c>
      <c r="W22" s="15" t="n">
        <v>36.566419</v>
      </c>
      <c r="Y22" s="1">
        <f>B22</f>
        <v/>
      </c>
      <c r="Z22" s="1">
        <f>C22</f>
        <v/>
      </c>
      <c r="AA22" s="11">
        <f>SUM(AD22:AI22)+AK22+AL22</f>
        <v/>
      </c>
      <c r="AB22" s="11">
        <f>SUM(AD22:AI22)+AN22+AO22</f>
        <v/>
      </c>
      <c r="AC22" s="5">
        <f>AA22-AB22</f>
        <v/>
      </c>
      <c r="AD22" s="1">
        <f>D22/H22*W22*-1</f>
        <v/>
      </c>
      <c r="AE22" s="1">
        <f>E22/H22*W22</f>
        <v/>
      </c>
      <c r="AF22" s="1">
        <f t="array" ref="AF22">_xlfn.IFS(C22="Biomass_Corn", 1/H22*S22, C22="Biomass_Agri", 1/H22*V22, C22="Biomass_Wood", 1/H22*U22, C22="Biomass_Herb", 1/H22*T22)</f>
        <v/>
      </c>
      <c r="AG22" s="1">
        <f>M22/H22/(0.9*8760)</f>
        <v/>
      </c>
      <c r="AH22" s="1">
        <f>N22/H22/(0.9*8760)</f>
        <v/>
      </c>
      <c r="AI22" s="1">
        <f>O22/H22</f>
        <v/>
      </c>
      <c r="AJ22" s="1">
        <f>(AY22+AZ22+BA22+BB22+BC22-AW22)/I22</f>
        <v/>
      </c>
      <c r="AK22" s="1">
        <f>(Q22+R22)*-1*K22/I22</f>
        <v/>
      </c>
      <c r="AL22" s="1">
        <f>AJ22*Q22</f>
        <v/>
      </c>
      <c r="AM22" s="1">
        <f>(SUM(AY22:BB22)-AW22)/I22</f>
        <v/>
      </c>
      <c r="AN22" s="1">
        <f>K22/I22*-1*R22</f>
        <v/>
      </c>
      <c r="AO22" s="1">
        <f>AM22*Q22</f>
        <v/>
      </c>
      <c r="AQ22" s="9">
        <f>J22</f>
        <v/>
      </c>
      <c r="AR22" s="9" t="n">
        <v>0.243968185</v>
      </c>
      <c r="AS22" s="9" t="n">
        <v>0.249427613</v>
      </c>
      <c r="AT22" s="10" t="n">
        <v>0.246356685</v>
      </c>
      <c r="AU22" s="9" t="n">
        <v>0.23037491</v>
      </c>
      <c r="AW22" s="10">
        <f>AQ22</f>
        <v/>
      </c>
      <c r="AY22" s="10">
        <f>AR22*F22</f>
        <v/>
      </c>
      <c r="AZ22" s="10">
        <f>AS22*H22</f>
        <v/>
      </c>
      <c r="BA22" s="10">
        <f>AT22*G22</f>
        <v/>
      </c>
      <c r="BB22" s="10">
        <f>L22</f>
        <v/>
      </c>
      <c r="BC22" s="10">
        <f>K22</f>
        <v/>
      </c>
      <c r="BE22" s="1">
        <f>AW22-SUM(AY22:BC22)</f>
        <v/>
      </c>
    </row>
    <row r="23">
      <c r="B23" s="13" t="inlineStr">
        <is>
          <t>NW_Gasoline_Gasification_Non_CCS_Agri</t>
        </is>
      </c>
      <c r="C23" s="12" t="inlineStr">
        <is>
          <t>Biomass_Agri</t>
        </is>
      </c>
      <c r="D23" s="12" t="n">
        <v>0</v>
      </c>
      <c r="E23" s="12" t="n">
        <v>0</v>
      </c>
      <c r="F23" s="12" t="n">
        <v>1.8572</v>
      </c>
      <c r="G23" s="12" t="n">
        <v>0</v>
      </c>
      <c r="H23" s="12" t="n">
        <v>0</v>
      </c>
      <c r="I23" s="24">
        <f>F23+G23+H23</f>
        <v/>
      </c>
      <c r="J23" s="12" t="n">
        <v>1.664</v>
      </c>
      <c r="K23" s="12" t="n">
        <v>0</v>
      </c>
      <c r="L23" s="12" t="n">
        <v>1.210913080341336</v>
      </c>
      <c r="M23" s="12" t="n">
        <v>356053.6</v>
      </c>
      <c r="N23" s="12" t="n">
        <v>283503.36</v>
      </c>
      <c r="O23" s="12" t="n">
        <v>22.0416</v>
      </c>
      <c r="Q23" s="15" t="n">
        <v>110.892214</v>
      </c>
      <c r="R23" s="15" t="n">
        <v>-7.381741</v>
      </c>
      <c r="S23" s="15" t="n">
        <v>160</v>
      </c>
      <c r="T23" s="15" t="n">
        <v>140.805445</v>
      </c>
      <c r="U23" s="15" t="n">
        <v>159.375106</v>
      </c>
      <c r="V23" s="15" t="n">
        <v>121.714108</v>
      </c>
      <c r="W23" s="15" t="n">
        <v>26.767046</v>
      </c>
      <c r="Y23" s="1">
        <f>B23</f>
        <v/>
      </c>
      <c r="Z23" s="1">
        <f>C23</f>
        <v/>
      </c>
      <c r="AA23" s="11">
        <f>SUM(AD23:AI23)+AK23+AL23</f>
        <v/>
      </c>
      <c r="AB23" s="11">
        <f>SUM(AD23:AI23)+AN23+AO23</f>
        <v/>
      </c>
      <c r="AC23" s="5">
        <f>AA23-AB23</f>
        <v/>
      </c>
      <c r="AD23" s="1">
        <f>D23/H23*W23*-1</f>
        <v/>
      </c>
      <c r="AE23" s="1">
        <f>E23/H23*W23</f>
        <v/>
      </c>
      <c r="AF23" s="1">
        <f t="array" ref="AF23">_xlfn.IFS(C23="Biomass_Corn", 1/H23*S23, C23="Biomass_Agri", 1/H23*V23, C23="Biomass_Wood", 1/H23*U23, C23="Biomass_Herb", 1/H23*T23)</f>
        <v/>
      </c>
      <c r="AG23" s="1">
        <f>M23/H23/(0.9*8760)</f>
        <v/>
      </c>
      <c r="AH23" s="1">
        <f>N23/H23/(0.9*8760)</f>
        <v/>
      </c>
      <c r="AI23" s="1">
        <f>O23/H23</f>
        <v/>
      </c>
      <c r="AJ23" s="1">
        <f>(AY23+AZ23+BA23+BB23+BC23-AW23)/I23</f>
        <v/>
      </c>
      <c r="AK23" s="1">
        <f>(Q23+R23)*-1*K23/I23</f>
        <v/>
      </c>
      <c r="AL23" s="1">
        <f>AJ23*Q23</f>
        <v/>
      </c>
      <c r="AM23" s="1">
        <f>(SUM(AY23:BB23)-AW23)/I23</f>
        <v/>
      </c>
      <c r="AN23" s="1">
        <f>K23/I23*-1*R23</f>
        <v/>
      </c>
      <c r="AO23" s="1">
        <f>AM23*Q23</f>
        <v/>
      </c>
      <c r="AQ23" s="9">
        <f>J23</f>
        <v/>
      </c>
      <c r="AR23" s="9" t="n">
        <v>0.243968185</v>
      </c>
      <c r="AS23" s="9" t="n">
        <v>0.249427613</v>
      </c>
      <c r="AT23" s="10" t="n">
        <v>0.246356685</v>
      </c>
      <c r="AU23" s="9" t="n">
        <v>0.23037491</v>
      </c>
      <c r="AW23" s="10">
        <f>AQ23</f>
        <v/>
      </c>
      <c r="AY23" s="10">
        <f>AR23*F23</f>
        <v/>
      </c>
      <c r="AZ23" s="10">
        <f>AS23*H23</f>
        <v/>
      </c>
      <c r="BA23" s="10">
        <f>AT23*G23</f>
        <v/>
      </c>
      <c r="BB23" s="10">
        <f>L23</f>
        <v/>
      </c>
      <c r="BC23" s="10">
        <f>K23</f>
        <v/>
      </c>
      <c r="BE23" s="1">
        <f>AW23-SUM(AY23:BC23)</f>
        <v/>
      </c>
    </row>
    <row r="24">
      <c r="B24" s="13" t="inlineStr">
        <is>
          <t>SW_Gasoline_Gasification_Non_CCS_Agri</t>
        </is>
      </c>
      <c r="C24" s="12" t="inlineStr">
        <is>
          <t>Biomass_Agri</t>
        </is>
      </c>
      <c r="D24" s="12" t="n">
        <v>0</v>
      </c>
      <c r="E24" s="12" t="n">
        <v>0</v>
      </c>
      <c r="F24" s="12" t="n">
        <v>1.8916</v>
      </c>
      <c r="G24" s="12" t="n">
        <v>0</v>
      </c>
      <c r="H24" s="12" t="n">
        <v>0</v>
      </c>
      <c r="I24" s="24">
        <f>F24+G24+H24</f>
        <v/>
      </c>
      <c r="J24" s="12" t="n">
        <v>1.687</v>
      </c>
      <c r="K24" s="12" t="n">
        <v>0</v>
      </c>
      <c r="L24" s="12" t="n">
        <v>1.225512545347664</v>
      </c>
      <c r="M24" s="12" t="n">
        <v>356053.6</v>
      </c>
      <c r="N24" s="12" t="n">
        <v>283503.36</v>
      </c>
      <c r="O24" s="12" t="n">
        <v>22.0416</v>
      </c>
      <c r="Q24" s="15" t="n">
        <v>110.892214</v>
      </c>
      <c r="R24" s="15" t="n">
        <v>-16.594224</v>
      </c>
      <c r="S24" s="15" t="n">
        <v>160</v>
      </c>
      <c r="T24" s="15" t="n">
        <v>125.807546</v>
      </c>
      <c r="U24" s="15" t="n">
        <v>143.289826</v>
      </c>
      <c r="V24" s="15" t="n">
        <v>114.17137</v>
      </c>
      <c r="W24" s="15" t="n">
        <v>28.012186</v>
      </c>
      <c r="Y24" s="1">
        <f>B24</f>
        <v/>
      </c>
      <c r="Z24" s="1">
        <f>C24</f>
        <v/>
      </c>
      <c r="AA24" s="11">
        <f>SUM(AD24:AI24)+AK24+AL24</f>
        <v/>
      </c>
      <c r="AB24" s="11">
        <f>SUM(AD24:AI24)+AN24+AO24</f>
        <v/>
      </c>
      <c r="AC24" s="5">
        <f>AA24-AB24</f>
        <v/>
      </c>
      <c r="AD24" s="1">
        <f>D24/H24*W24*-1</f>
        <v/>
      </c>
      <c r="AE24" s="1">
        <f>E24/H24*W24</f>
        <v/>
      </c>
      <c r="AF24" s="1">
        <f t="array" ref="AF24">_xlfn.IFS(C24="Biomass_Corn", 1/H24*S24, C24="Biomass_Agri", 1/H24*V24, C24="Biomass_Wood", 1/H24*U24, C24="Biomass_Herb", 1/H24*T24)</f>
        <v/>
      </c>
      <c r="AG24" s="1">
        <f>M24/H24/(0.9*8760)</f>
        <v/>
      </c>
      <c r="AH24" s="1">
        <f>N24/H24/(0.9*8760)</f>
        <v/>
      </c>
      <c r="AI24" s="1">
        <f>O24/H24</f>
        <v/>
      </c>
      <c r="AJ24" s="1">
        <f>(AY24+AZ24+BA24+BB24+BC24-AW24)/I24</f>
        <v/>
      </c>
      <c r="AK24" s="1">
        <f>(Q24+R24)*-1*K24/I24</f>
        <v/>
      </c>
      <c r="AL24" s="1">
        <f>AJ24*Q24</f>
        <v/>
      </c>
      <c r="AM24" s="1">
        <f>(SUM(AY24:BB24)-AW24)/I24</f>
        <v/>
      </c>
      <c r="AN24" s="1">
        <f>K24/I24*-1*R24</f>
        <v/>
      </c>
      <c r="AO24" s="1">
        <f>AM24*Q24</f>
        <v/>
      </c>
      <c r="AQ24" s="9">
        <f>J24</f>
        <v/>
      </c>
      <c r="AR24" s="9" t="n">
        <v>0.243968185</v>
      </c>
      <c r="AS24" s="9" t="n">
        <v>0.249427613</v>
      </c>
      <c r="AT24" s="10" t="n">
        <v>0.246356685</v>
      </c>
      <c r="AU24" s="9" t="n">
        <v>0.23037491</v>
      </c>
      <c r="AW24" s="10">
        <f>AQ24</f>
        <v/>
      </c>
      <c r="AY24" s="10">
        <f>AR24*F24</f>
        <v/>
      </c>
      <c r="AZ24" s="10">
        <f>AS24*H24</f>
        <v/>
      </c>
      <c r="BA24" s="10">
        <f>AT24*G24</f>
        <v/>
      </c>
      <c r="BB24" s="10">
        <f>L24</f>
        <v/>
      </c>
      <c r="BC24" s="10">
        <f>K24</f>
        <v/>
      </c>
      <c r="BE24" s="1">
        <f>AW24-SUM(AY24:BC24)</f>
        <v/>
      </c>
    </row>
    <row r="25">
      <c r="B25" s="13" t="inlineStr">
        <is>
          <t>TX_Gasoline_Gasification_Non_CCS_Agri</t>
        </is>
      </c>
      <c r="C25" s="12" t="inlineStr">
        <is>
          <t>Biomass_Agri</t>
        </is>
      </c>
      <c r="D25" s="12" t="n">
        <v>0</v>
      </c>
      <c r="E25" s="12" t="n">
        <v>0</v>
      </c>
      <c r="F25" s="12" t="n">
        <v>1.8427</v>
      </c>
      <c r="G25" s="12" t="n">
        <v>0</v>
      </c>
      <c r="H25" s="12" t="n">
        <v>0</v>
      </c>
      <c r="I25" s="24">
        <f>F25+G25+H25</f>
        <v/>
      </c>
      <c r="J25" s="12" t="n">
        <v>1.633</v>
      </c>
      <c r="K25" s="12" t="n">
        <v>0</v>
      </c>
      <c r="L25" s="12" t="n">
        <v>1.183435885338682</v>
      </c>
      <c r="M25" s="12" t="n">
        <v>356053.6</v>
      </c>
      <c r="N25" s="12" t="n">
        <v>283503.36</v>
      </c>
      <c r="O25" s="12" t="n">
        <v>22.0416</v>
      </c>
      <c r="Q25" s="15" t="n">
        <v>110.892214</v>
      </c>
      <c r="R25" s="15" t="n">
        <v>-21.499827</v>
      </c>
      <c r="S25" s="15" t="n">
        <v>160</v>
      </c>
      <c r="T25" s="15" t="n">
        <v>140.297617</v>
      </c>
      <c r="U25" s="15" t="n">
        <v>160.374377</v>
      </c>
      <c r="V25" s="15" t="n">
        <v>113.606838</v>
      </c>
      <c r="W25" s="15" t="n">
        <v>20.240713</v>
      </c>
      <c r="Y25" s="1">
        <f>B25</f>
        <v/>
      </c>
      <c r="Z25" s="1">
        <f>C25</f>
        <v/>
      </c>
      <c r="AA25" s="11">
        <f>SUM(AD25:AI25)+AK25+AL25</f>
        <v/>
      </c>
      <c r="AB25" s="11">
        <f>SUM(AD25:AI25)+AN25+AO25</f>
        <v/>
      </c>
      <c r="AC25" s="5">
        <f>AA25-AB25</f>
        <v/>
      </c>
      <c r="AD25" s="1">
        <f>D25/H25*W25*-1</f>
        <v/>
      </c>
      <c r="AE25" s="1">
        <f>E25/H25*W25</f>
        <v/>
      </c>
      <c r="AF25" s="1">
        <f t="array" ref="AF25">_xlfn.IFS(C25="Biomass_Corn", 1/H25*S25, C25="Biomass_Agri", 1/H25*V25, C25="Biomass_Wood", 1/H25*U25, C25="Biomass_Herb", 1/H25*T25)</f>
        <v/>
      </c>
      <c r="AG25" s="1">
        <f>M25/H25/(0.9*8760)</f>
        <v/>
      </c>
      <c r="AH25" s="1">
        <f>N25/H25/(0.9*8760)</f>
        <v/>
      </c>
      <c r="AI25" s="1">
        <f>O25/H25</f>
        <v/>
      </c>
      <c r="AJ25" s="1">
        <f>(AY25+AZ25+BA25+BB25+BC25-AW25)/I25</f>
        <v/>
      </c>
      <c r="AK25" s="1">
        <f>(Q25+R25)*-1*K25/I25</f>
        <v/>
      </c>
      <c r="AL25" s="1">
        <f>AJ25*Q25</f>
        <v/>
      </c>
      <c r="AM25" s="1">
        <f>(SUM(AY25:BB25)-AW25)/I25</f>
        <v/>
      </c>
      <c r="AN25" s="1">
        <f>K25/I25*-1*R25</f>
        <v/>
      </c>
      <c r="AO25" s="1">
        <f>AM25*Q25</f>
        <v/>
      </c>
      <c r="AQ25" s="9">
        <f>J25</f>
        <v/>
      </c>
      <c r="AR25" s="9" t="n">
        <v>0.243968185</v>
      </c>
      <c r="AS25" s="9" t="n">
        <v>0.249427613</v>
      </c>
      <c r="AT25" s="10" t="n">
        <v>0.246356685</v>
      </c>
      <c r="AU25" s="9" t="n">
        <v>0.23037491</v>
      </c>
      <c r="AW25" s="10">
        <f>AQ25</f>
        <v/>
      </c>
      <c r="AY25" s="10">
        <f>AR25*F25</f>
        <v/>
      </c>
      <c r="AZ25" s="10">
        <f>AS25*H25</f>
        <v/>
      </c>
      <c r="BA25" s="10">
        <f>AT25*G25</f>
        <v/>
      </c>
      <c r="BB25" s="10">
        <f>L25</f>
        <v/>
      </c>
      <c r="BC25" s="10">
        <f>K25</f>
        <v/>
      </c>
      <c r="BE25" s="1">
        <f>AW25-SUM(AY25:BC25)</f>
        <v/>
      </c>
    </row>
    <row r="26">
      <c r="B26" s="13" t="inlineStr">
        <is>
          <t>NCEN_Gasoline_Gasification_Non_CCS_Agri</t>
        </is>
      </c>
      <c r="C26" s="12" t="inlineStr">
        <is>
          <t>Biomass_Agri</t>
        </is>
      </c>
      <c r="D26" s="12" t="n">
        <v>0</v>
      </c>
      <c r="E26" s="12" t="n">
        <v>0</v>
      </c>
      <c r="F26" s="12" t="n">
        <v>1.9216</v>
      </c>
      <c r="G26" s="12" t="n">
        <v>0</v>
      </c>
      <c r="H26" s="12" t="n">
        <v>0</v>
      </c>
      <c r="I26" s="24">
        <f>F26+G26+H26</f>
        <v/>
      </c>
      <c r="J26" s="12" t="n">
        <v>1.71</v>
      </c>
      <c r="K26" s="12" t="n">
        <v>0</v>
      </c>
      <c r="L26" s="12" t="n">
        <v>1.241195950353176</v>
      </c>
      <c r="M26" s="12" t="n">
        <v>356053.6</v>
      </c>
      <c r="N26" s="12" t="n">
        <v>283503.36</v>
      </c>
      <c r="O26" s="12" t="n">
        <v>22.0416</v>
      </c>
      <c r="Q26" s="15" t="n">
        <v>110.892214</v>
      </c>
      <c r="R26" s="15" t="n">
        <v>-41.711711</v>
      </c>
      <c r="S26" s="15" t="n">
        <v>160</v>
      </c>
      <c r="T26" s="15" t="n">
        <v>106.368089</v>
      </c>
      <c r="U26" s="15" t="n">
        <v>117.804824</v>
      </c>
      <c r="V26" s="15" t="n">
        <v>93.32494199999999</v>
      </c>
      <c r="W26" s="15" t="n">
        <v>30.728803</v>
      </c>
      <c r="Y26" s="1">
        <f>B26</f>
        <v/>
      </c>
      <c r="Z26" s="1">
        <f>C26</f>
        <v/>
      </c>
      <c r="AA26" s="11">
        <f>SUM(AD26:AI26)+AK26+AL26</f>
        <v/>
      </c>
      <c r="AB26" s="11">
        <f>SUM(AD26:AI26)+AN26+AO26</f>
        <v/>
      </c>
      <c r="AC26" s="5">
        <f>AA26-AB26</f>
        <v/>
      </c>
      <c r="AD26" s="1">
        <f>D26/H26*W26*-1</f>
        <v/>
      </c>
      <c r="AE26" s="1">
        <f>E26/H26*W26</f>
        <v/>
      </c>
      <c r="AF26" s="1">
        <f t="array" ref="AF26">_xlfn.IFS(C26="Biomass_Corn", 1/H26*S26, C26="Biomass_Agri", 1/H26*V26, C26="Biomass_Wood", 1/H26*U26, C26="Biomass_Herb", 1/H26*T26)</f>
        <v/>
      </c>
      <c r="AG26" s="1">
        <f>M26/H26/(0.9*8760)</f>
        <v/>
      </c>
      <c r="AH26" s="1">
        <f>N26/H26/(0.9*8760)</f>
        <v/>
      </c>
      <c r="AI26" s="1">
        <f>O26/H26</f>
        <v/>
      </c>
      <c r="AJ26" s="1">
        <f>(AY26+AZ26+BA26+BB26+BC26-AW26)/I26</f>
        <v/>
      </c>
      <c r="AK26" s="1">
        <f>(Q26+R26)*-1*K26/I26</f>
        <v/>
      </c>
      <c r="AL26" s="1">
        <f>AJ26*Q26</f>
        <v/>
      </c>
      <c r="AM26" s="1">
        <f>(SUM(AY26:BB26)-AW26)/I26</f>
        <v/>
      </c>
      <c r="AN26" s="1">
        <f>K26/I26*-1*R26</f>
        <v/>
      </c>
      <c r="AO26" s="1">
        <f>AM26*Q26</f>
        <v/>
      </c>
      <c r="AQ26" s="9">
        <f>J26</f>
        <v/>
      </c>
      <c r="AR26" s="9" t="n">
        <v>0.243968185</v>
      </c>
      <c r="AS26" s="9" t="n">
        <v>0.249427613</v>
      </c>
      <c r="AT26" s="10" t="n">
        <v>0.246356685</v>
      </c>
      <c r="AU26" s="9" t="n">
        <v>0.23037491</v>
      </c>
      <c r="AW26" s="10">
        <f>AQ26</f>
        <v/>
      </c>
      <c r="AY26" s="10">
        <f>AR26*F26</f>
        <v/>
      </c>
      <c r="AZ26" s="10">
        <f>AS26*H26</f>
        <v/>
      </c>
      <c r="BA26" s="10">
        <f>AT26*G26</f>
        <v/>
      </c>
      <c r="BB26" s="10">
        <f>L26</f>
        <v/>
      </c>
      <c r="BC26" s="10">
        <f>K26</f>
        <v/>
      </c>
      <c r="BE26" s="1">
        <f>AW26-SUM(AY26:BC26)</f>
        <v/>
      </c>
    </row>
    <row r="27">
      <c r="B27" s="13" t="inlineStr">
        <is>
          <t>CEN_Gasoline_Gasification_Non_CCS_Agri</t>
        </is>
      </c>
      <c r="C27" s="12" t="inlineStr">
        <is>
          <t>Biomass_Agri</t>
        </is>
      </c>
      <c r="D27" s="12" t="n">
        <v>0</v>
      </c>
      <c r="E27" s="12" t="n">
        <v>0</v>
      </c>
      <c r="F27" s="12" t="n">
        <v>1.9071</v>
      </c>
      <c r="G27" s="12" t="n">
        <v>0</v>
      </c>
      <c r="H27" s="12" t="n">
        <v>0</v>
      </c>
      <c r="I27" s="24">
        <f>F27+G27+H27</f>
        <v/>
      </c>
      <c r="J27" s="12" t="n">
        <v>1.7</v>
      </c>
      <c r="K27" s="12" t="n">
        <v>0</v>
      </c>
      <c r="L27" s="12" t="n">
        <v>1.234718755350523</v>
      </c>
      <c r="M27" s="12" t="n">
        <v>356053.6</v>
      </c>
      <c r="N27" s="12" t="n">
        <v>283503.36</v>
      </c>
      <c r="O27" s="12" t="n">
        <v>22.0416</v>
      </c>
      <c r="Q27" s="15" t="n">
        <v>110.892214</v>
      </c>
      <c r="R27" s="15" t="n">
        <v>-31.698788</v>
      </c>
      <c r="S27" s="15" t="n">
        <v>160</v>
      </c>
      <c r="T27" s="15" t="n">
        <v>112.646846</v>
      </c>
      <c r="U27" s="15" t="n">
        <v>129.719823</v>
      </c>
      <c r="V27" s="15" t="n">
        <v>101.234661</v>
      </c>
      <c r="W27" s="15" t="n">
        <v>25.375037</v>
      </c>
      <c r="Y27" s="1">
        <f>B27</f>
        <v/>
      </c>
      <c r="Z27" s="1">
        <f>C27</f>
        <v/>
      </c>
      <c r="AA27" s="11">
        <f>SUM(AD27:AI27)+AK27+AL27</f>
        <v/>
      </c>
      <c r="AB27" s="11">
        <f>SUM(AD27:AI27)+AN27+AO27</f>
        <v/>
      </c>
      <c r="AC27" s="5">
        <f>AA27-AB27</f>
        <v/>
      </c>
      <c r="AD27" s="1">
        <f>D27/H27*W27*-1</f>
        <v/>
      </c>
      <c r="AE27" s="1">
        <f>E27/H27*W27</f>
        <v/>
      </c>
      <c r="AF27" s="1">
        <f t="array" ref="AF27">_xlfn.IFS(C27="Biomass_Corn", 1/H27*S27, C27="Biomass_Agri", 1/H27*V27, C27="Biomass_Wood", 1/H27*U27, C27="Biomass_Herb", 1/H27*T27)</f>
        <v/>
      </c>
      <c r="AG27" s="1">
        <f>M27/H27/(0.9*8760)</f>
        <v/>
      </c>
      <c r="AH27" s="1">
        <f>N27/H27/(0.9*8760)</f>
        <v/>
      </c>
      <c r="AI27" s="1">
        <f>O27/H27</f>
        <v/>
      </c>
      <c r="AJ27" s="1">
        <f>(AY27+AZ27+BA27+BB27+BC27-AW27)/I27</f>
        <v/>
      </c>
      <c r="AK27" s="1">
        <f>(Q27+R27)*-1*K27/I27</f>
        <v/>
      </c>
      <c r="AL27" s="1">
        <f>AJ27*Q27</f>
        <v/>
      </c>
      <c r="AM27" s="1">
        <f>(SUM(AY27:BB27)-AW27)/I27</f>
        <v/>
      </c>
      <c r="AN27" s="1">
        <f>K27/I27*-1*R27</f>
        <v/>
      </c>
      <c r="AO27" s="1">
        <f>AM27*Q27</f>
        <v/>
      </c>
      <c r="AQ27" s="9">
        <f>J27</f>
        <v/>
      </c>
      <c r="AR27" s="9" t="n">
        <v>0.243968185</v>
      </c>
      <c r="AS27" s="9" t="n">
        <v>0.249427613</v>
      </c>
      <c r="AT27" s="10" t="n">
        <v>0.246356685</v>
      </c>
      <c r="AU27" s="9" t="n">
        <v>0.23037491</v>
      </c>
      <c r="AW27" s="10">
        <f>AQ27</f>
        <v/>
      </c>
      <c r="AY27" s="10">
        <f>AR27*F27</f>
        <v/>
      </c>
      <c r="AZ27" s="10">
        <f>AS27*H27</f>
        <v/>
      </c>
      <c r="BA27" s="10">
        <f>AT27*G27</f>
        <v/>
      </c>
      <c r="BB27" s="10">
        <f>L27</f>
        <v/>
      </c>
      <c r="BC27" s="10">
        <f>K27</f>
        <v/>
      </c>
      <c r="BE27" s="1">
        <f>AW27-SUM(AY27:BC27)</f>
        <v/>
      </c>
    </row>
    <row r="28">
      <c r="B28" s="13" t="inlineStr">
        <is>
          <t>SE_Gasoline_Gasification_Non_CCS_Agri</t>
        </is>
      </c>
      <c r="C28" s="12" t="inlineStr">
        <is>
          <t>Biomass_Agri</t>
        </is>
      </c>
      <c r="D28" s="12" t="n">
        <v>0</v>
      </c>
      <c r="E28" s="12" t="n">
        <v>0</v>
      </c>
      <c r="F28" s="12" t="n">
        <v>1.9138</v>
      </c>
      <c r="G28" s="12" t="n">
        <v>0</v>
      </c>
      <c r="H28" s="12" t="n">
        <v>0</v>
      </c>
      <c r="I28" s="24">
        <f>F28+G28+H28</f>
        <v/>
      </c>
      <c r="J28" s="12" t="n">
        <v>1.689</v>
      </c>
      <c r="K28" s="12" t="n">
        <v>0</v>
      </c>
      <c r="L28" s="12" t="n">
        <v>1.222092845351748</v>
      </c>
      <c r="M28" s="12" t="n">
        <v>356053.6</v>
      </c>
      <c r="N28" s="12" t="n">
        <v>283503.36</v>
      </c>
      <c r="O28" s="12" t="n">
        <v>22.0416</v>
      </c>
      <c r="Q28" s="15" t="n">
        <v>110.892214</v>
      </c>
      <c r="R28" s="15" t="n">
        <v>-47.684613</v>
      </c>
      <c r="S28" s="15" t="n">
        <v>160</v>
      </c>
      <c r="T28" s="15" t="n">
        <v>100.406702</v>
      </c>
      <c r="U28" s="15" t="n">
        <v>115.539531</v>
      </c>
      <c r="V28" s="15" t="n">
        <v>89.577806</v>
      </c>
      <c r="W28" s="15" t="n">
        <v>38.228295</v>
      </c>
      <c r="Y28">
        <f>B28</f>
        <v/>
      </c>
      <c r="Z28">
        <f>C28</f>
        <v/>
      </c>
      <c r="AA28" s="11">
        <f>SUM(AD28:AI28)+AK28+AL28</f>
        <v/>
      </c>
      <c r="AB28" s="11">
        <f>SUM(AD28:AI28)+AN28+AO28</f>
        <v/>
      </c>
      <c r="AC28" s="5">
        <f>AA28-AB28</f>
        <v/>
      </c>
      <c r="AD28">
        <f>D28/H28*W28*-1</f>
        <v/>
      </c>
      <c r="AE28">
        <f>E28/H28*W28</f>
        <v/>
      </c>
      <c r="AF28" s="1">
        <f t="array" ref="AF28">_xlfn.IFS(C28="Biomass_Corn", 1/H28*S28, C28="Biomass_Agri", 1/H28*V28, C28="Biomass_Wood", 1/H28*U28, C28="Biomass_Herb", 1/H28*T28)</f>
        <v/>
      </c>
      <c r="AG28">
        <f>M28/H28/(0.9*8760)</f>
        <v/>
      </c>
      <c r="AH28">
        <f>N28/H28/(0.9*8760)</f>
        <v/>
      </c>
      <c r="AI28">
        <f>O28/H28</f>
        <v/>
      </c>
      <c r="AJ28" s="1">
        <f>(AY28+AZ28+BA28+BB28+BC28-AW28)/I28</f>
        <v/>
      </c>
      <c r="AK28" s="1">
        <f>(Q28+R28)*-1*K28/I28</f>
        <v/>
      </c>
      <c r="AL28">
        <f>AJ28*Q28</f>
        <v/>
      </c>
      <c r="AM28" s="1">
        <f>(SUM(AY28:BB28)-AW28)/I28</f>
        <v/>
      </c>
      <c r="AN28" s="1">
        <f>K28/I28*-1*R28</f>
        <v/>
      </c>
      <c r="AO28">
        <f>AM28*Q28</f>
        <v/>
      </c>
      <c r="AQ28" s="9">
        <f>J28</f>
        <v/>
      </c>
      <c r="AR28" s="9" t="n">
        <v>0.243968185</v>
      </c>
      <c r="AS28" s="9" t="n">
        <v>0.249427613</v>
      </c>
      <c r="AT28" s="10" t="n">
        <v>0.246356685</v>
      </c>
      <c r="AU28" s="9" t="n">
        <v>0.23037491</v>
      </c>
      <c r="AW28" s="10">
        <f>AQ28</f>
        <v/>
      </c>
      <c r="AY28" s="10">
        <f>AR28*F28</f>
        <v/>
      </c>
      <c r="AZ28" s="10">
        <f>AS28*H28</f>
        <v/>
      </c>
      <c r="BA28" s="10">
        <f>AT28*G28</f>
        <v/>
      </c>
      <c r="BB28" s="10">
        <f>L28</f>
        <v/>
      </c>
      <c r="BC28" s="10">
        <f>K28</f>
        <v/>
      </c>
      <c r="BE28" s="1">
        <f>AW28-SUM(AY28:BC28)</f>
        <v/>
      </c>
    </row>
    <row r="29">
      <c r="B29" s="13" t="inlineStr">
        <is>
          <t>MIDAT_Gasoline_Gasification_Non_CCS_Agri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1.9194</v>
      </c>
      <c r="G29" s="12" t="n">
        <v>0</v>
      </c>
      <c r="H29" s="12" t="n">
        <v>0</v>
      </c>
      <c r="I29" s="24">
        <f>F29+G29+H29</f>
        <v/>
      </c>
      <c r="J29" s="12" t="n">
        <v>1.708</v>
      </c>
      <c r="K29" s="12" t="n">
        <v>0</v>
      </c>
      <c r="L29" s="12" t="n">
        <v>1.239737920352768</v>
      </c>
      <c r="M29" s="12" t="n">
        <v>356053.6</v>
      </c>
      <c r="N29" s="12" t="n">
        <v>283503.36</v>
      </c>
      <c r="O29" s="12" t="n">
        <v>22.0416</v>
      </c>
      <c r="Q29" s="15" t="n">
        <v>110.892214</v>
      </c>
      <c r="R29" s="15" t="n">
        <v>-54.368796</v>
      </c>
      <c r="S29" s="15" t="n">
        <v>160</v>
      </c>
      <c r="T29" s="15" t="n">
        <v>101.540719</v>
      </c>
      <c r="U29" s="15" t="n">
        <v>109.472766</v>
      </c>
      <c r="V29" s="15" t="n">
        <v>90.14609900000001</v>
      </c>
      <c r="W29" s="15" t="n">
        <v>39.376329</v>
      </c>
      <c r="Y29">
        <f>B29</f>
        <v/>
      </c>
      <c r="Z29">
        <f>C29</f>
        <v/>
      </c>
      <c r="AA29" s="11">
        <f>SUM(AD29:AI29)+AK29+AL29</f>
        <v/>
      </c>
      <c r="AB29" s="11">
        <f>SUM(AD29:AI29)+AN29+AO29</f>
        <v/>
      </c>
      <c r="AC29" s="5">
        <f>AA29-AB29</f>
        <v/>
      </c>
      <c r="AD29">
        <f>D29/H29*W29*-1</f>
        <v/>
      </c>
      <c r="AE29">
        <f>E29/H29*W29</f>
        <v/>
      </c>
      <c r="AF29" s="1">
        <f t="array" ref="AF29">_xlfn.IFS(C29="Biomass_Corn", 1/H29*S29, C29="Biomass_Agri", 1/H29*V29, C29="Biomass_Wood", 1/H29*U29, C29="Biomass_Herb", 1/H29*T29)</f>
        <v/>
      </c>
      <c r="AG29">
        <f>M29/H29/(0.9*8760)</f>
        <v/>
      </c>
      <c r="AH29">
        <f>N29/H29/(0.9*8760)</f>
        <v/>
      </c>
      <c r="AI29">
        <f>O29/H29</f>
        <v/>
      </c>
      <c r="AJ29" s="1">
        <f>(AY29+AZ29+BA29+BB29+BC29-AW29)/I29</f>
        <v/>
      </c>
      <c r="AK29" s="1">
        <f>(Q29+R29)*-1*K29/I29</f>
        <v/>
      </c>
      <c r="AL29">
        <f>AJ29*Q29</f>
        <v/>
      </c>
      <c r="AM29" s="1">
        <f>(SUM(AY29:BB29)-AW29)/I29</f>
        <v/>
      </c>
      <c r="AN29" s="1">
        <f>K29/I29*-1*R29</f>
        <v/>
      </c>
      <c r="AO29">
        <f>AM29*Q29</f>
        <v/>
      </c>
      <c r="AQ29" s="9">
        <f>J29</f>
        <v/>
      </c>
      <c r="AR29" s="9" t="n">
        <v>0.243968185</v>
      </c>
      <c r="AS29" s="9" t="n">
        <v>0.249427613</v>
      </c>
      <c r="AT29" s="10" t="n">
        <v>0.246356685</v>
      </c>
      <c r="AU29" s="9" t="n">
        <v>0.23037491</v>
      </c>
      <c r="AW29" s="10">
        <f>AQ29</f>
        <v/>
      </c>
      <c r="AY29" s="10">
        <f>AR29*F29</f>
        <v/>
      </c>
      <c r="AZ29" s="10">
        <f>AS29*H29</f>
        <v/>
      </c>
      <c r="BA29" s="10">
        <f>AT29*G29</f>
        <v/>
      </c>
      <c r="BB29" s="10">
        <f>L29</f>
        <v/>
      </c>
      <c r="BC29" s="10">
        <f>K29</f>
        <v/>
      </c>
      <c r="BE29" s="1">
        <f>AW29-SUM(AY29:BC29)</f>
        <v/>
      </c>
    </row>
    <row r="30">
      <c r="B30" s="13" t="inlineStr">
        <is>
          <t>NE_Gasoline_Gasification_Non_CCS_Agri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1.9416</v>
      </c>
      <c r="G30" s="12" t="n">
        <v>0</v>
      </c>
      <c r="H30" s="12" t="n">
        <v>0</v>
      </c>
      <c r="I30" s="24">
        <f>F30+G30+H30</f>
        <v/>
      </c>
      <c r="J30" s="12" t="n">
        <v>1.715</v>
      </c>
      <c r="K30" s="12" t="n">
        <v>0</v>
      </c>
      <c r="L30" s="12" t="n">
        <v>1.241318220356851</v>
      </c>
      <c r="M30" s="12" t="n">
        <v>356053.6</v>
      </c>
      <c r="N30" s="12" t="n">
        <v>283503.36</v>
      </c>
      <c r="O30" s="12" t="n">
        <v>22.0416</v>
      </c>
      <c r="Q30" s="15" t="n">
        <v>110.892214</v>
      </c>
      <c r="R30" s="15" t="n">
        <v>-62.623722</v>
      </c>
      <c r="S30" s="15" t="n">
        <v>160</v>
      </c>
      <c r="T30" s="15" t="n">
        <v>102.353041</v>
      </c>
      <c r="U30" s="15" t="n">
        <v>108.140489</v>
      </c>
      <c r="V30" s="15" t="n">
        <v>92.430212</v>
      </c>
      <c r="W30" s="15" t="n">
        <v>47.48771</v>
      </c>
      <c r="Y30">
        <f>B30</f>
        <v/>
      </c>
      <c r="Z30">
        <f>C30</f>
        <v/>
      </c>
      <c r="AA30" s="11">
        <f>SUM(AD30:AI30)+AK30+AL30</f>
        <v/>
      </c>
      <c r="AB30" s="11">
        <f>SUM(AD30:AI30)+AN30+AO30</f>
        <v/>
      </c>
      <c r="AC30" s="5">
        <f>AA30-AB30</f>
        <v/>
      </c>
      <c r="AD30">
        <f>D30/H30*W30*-1</f>
        <v/>
      </c>
      <c r="AE30">
        <f>E30/H30*W30</f>
        <v/>
      </c>
      <c r="AF30" s="1">
        <f t="array" ref="AF30">_xlfn.IFS(C30="Biomass_Corn", 1/H30*S30, C30="Biomass_Agri", 1/H30*V30, C30="Biomass_Wood", 1/H30*U30, C30="Biomass_Herb", 1/H30*T30)</f>
        <v/>
      </c>
      <c r="AG30">
        <f>M30/H30/(0.9*8760)</f>
        <v/>
      </c>
      <c r="AH30">
        <f>N30/H30/(0.9*8760)</f>
        <v/>
      </c>
      <c r="AI30">
        <f>O30/H30</f>
        <v/>
      </c>
      <c r="AJ30" s="1">
        <f>(AY30+AZ30+BA30+BB30+BC30-AW30)/I30</f>
        <v/>
      </c>
      <c r="AK30" s="1">
        <f>(Q30+R30)*-1*K30/I30</f>
        <v/>
      </c>
      <c r="AL30">
        <f>AJ30*Q30</f>
        <v/>
      </c>
      <c r="AM30" s="1">
        <f>(SUM(AY30:BB30)-AW30)/I30</f>
        <v/>
      </c>
      <c r="AN30" s="1">
        <f>K30/I30*-1*R30</f>
        <v/>
      </c>
      <c r="AO30">
        <f>AM30*Q30</f>
        <v/>
      </c>
      <c r="AQ30" s="9">
        <f>J30</f>
        <v/>
      </c>
      <c r="AR30" s="9" t="n">
        <v>0.243968185</v>
      </c>
      <c r="AS30" s="9" t="n">
        <v>0.249427613</v>
      </c>
      <c r="AT30" s="10" t="n">
        <v>0.246356685</v>
      </c>
      <c r="AU30" s="9" t="n">
        <v>0.23037491</v>
      </c>
      <c r="AW30" s="10">
        <f>AQ30</f>
        <v/>
      </c>
      <c r="AY30" s="10">
        <f>AR30*F30</f>
        <v/>
      </c>
      <c r="AZ30" s="10">
        <f>AS30*H30</f>
        <v/>
      </c>
      <c r="BA30" s="10">
        <f>AT30*G30</f>
        <v/>
      </c>
      <c r="BB30" s="10">
        <f>L30</f>
        <v/>
      </c>
      <c r="BC30" s="10">
        <f>K30</f>
        <v/>
      </c>
      <c r="BE30" s="1">
        <f>AW30-SUM(AY30:BC30)</f>
        <v/>
      </c>
    </row>
    <row r="31">
      <c r="B31" s="13" t="inlineStr">
        <is>
          <t>CA_Gasoline_Gasification_CCS_31_Herb</t>
        </is>
      </c>
      <c r="C31" s="12" t="inlineStr">
        <is>
          <t>Biomass_Herb</t>
        </is>
      </c>
      <c r="D31" s="12" t="n">
        <v>0</v>
      </c>
      <c r="E31" s="12" t="n">
        <v>0.1041</v>
      </c>
      <c r="F31" s="12" t="n">
        <v>2.0204</v>
      </c>
      <c r="G31" s="12" t="n">
        <v>0</v>
      </c>
      <c r="H31" s="12" t="n">
        <v>0</v>
      </c>
      <c r="I31" s="24">
        <f>F31+G31+H31</f>
        <v/>
      </c>
      <c r="J31" s="12" t="n">
        <v>1.721</v>
      </c>
      <c r="K31" s="12" t="n">
        <v>0.3810726919507287</v>
      </c>
      <c r="L31" s="12" t="n">
        <v>0.8470055934206172</v>
      </c>
      <c r="M31" s="12" t="n">
        <v>434628.32</v>
      </c>
      <c r="N31" s="12" t="n">
        <v>354088</v>
      </c>
      <c r="O31" s="12" t="n">
        <v>23.5872</v>
      </c>
      <c r="Q31" s="15" t="n">
        <v>110.892214</v>
      </c>
      <c r="R31" s="15" t="n">
        <v>-6.493396</v>
      </c>
      <c r="S31" s="15" t="n">
        <v>160</v>
      </c>
      <c r="T31" s="15" t="n">
        <v>1539.150891</v>
      </c>
      <c r="U31" s="15" t="n">
        <v>162.083504</v>
      </c>
      <c r="V31" s="15" t="n">
        <v>140.323815</v>
      </c>
      <c r="W31" s="15" t="n">
        <v>36.566419</v>
      </c>
      <c r="Y31">
        <f>B31</f>
        <v/>
      </c>
      <c r="Z31">
        <f>C31</f>
        <v/>
      </c>
      <c r="AA31" s="11">
        <f>SUM(AD31:AI31)+AK31+AL31</f>
        <v/>
      </c>
      <c r="AB31" s="11">
        <f>SUM(AD31:AI31)+AN31+AO31</f>
        <v/>
      </c>
      <c r="AC31" s="5">
        <f>AA31-AB31</f>
        <v/>
      </c>
      <c r="AD31">
        <f>D31/H31*W31*-1</f>
        <v/>
      </c>
      <c r="AE31">
        <f>E31/H31*W31</f>
        <v/>
      </c>
      <c r="AF31" s="1">
        <f t="array" ref="AF31">_xlfn.IFS(C31="Biomass_Corn", 1/H31*S31, C31="Biomass_Agri", 1/H31*V31, C31="Biomass_Wood", 1/H31*U31, C31="Biomass_Herb", 1/H31*T31)</f>
        <v/>
      </c>
      <c r="AG31">
        <f>M31/H31/(0.9*8760)</f>
        <v/>
      </c>
      <c r="AH31">
        <f>N31/H31/(0.9*8760)</f>
        <v/>
      </c>
      <c r="AI31">
        <f>O31/H31</f>
        <v/>
      </c>
      <c r="AJ31" s="1">
        <f>(AY31+AZ31+BA31+BB31+BC31-AW31)/I31</f>
        <v/>
      </c>
      <c r="AK31" s="1">
        <f>(Q31+R31)*-1*K31/I31</f>
        <v/>
      </c>
      <c r="AL31">
        <f>AJ31*Q31</f>
        <v/>
      </c>
      <c r="AM31" s="1">
        <f>(SUM(AY31:BB31)-AW31)/I31</f>
        <v/>
      </c>
      <c r="AN31" s="1">
        <f>K31/I31*-1*R31</f>
        <v/>
      </c>
      <c r="AO31">
        <f>AM31*Q31</f>
        <v/>
      </c>
      <c r="AQ31" s="9">
        <f>J31</f>
        <v/>
      </c>
      <c r="AR31" s="9" t="n">
        <v>0.243968185</v>
      </c>
      <c r="AS31" s="9" t="n">
        <v>0.249427613</v>
      </c>
      <c r="AT31" s="10" t="n">
        <v>0.246356685</v>
      </c>
      <c r="AU31" s="9" t="n">
        <v>0.23037491</v>
      </c>
      <c r="AW31" s="10">
        <f>AQ31</f>
        <v/>
      </c>
      <c r="AY31" s="10">
        <f>AR31*F31</f>
        <v/>
      </c>
      <c r="AZ31" s="10">
        <f>AS31*H31</f>
        <v/>
      </c>
      <c r="BA31" s="10">
        <f>AT31*G31</f>
        <v/>
      </c>
      <c r="BB31" s="10">
        <f>L31</f>
        <v/>
      </c>
      <c r="BC31" s="10">
        <f>K31</f>
        <v/>
      </c>
      <c r="BE31" s="1">
        <f>AW31-SUM(AY31:BC31)</f>
        <v/>
      </c>
    </row>
    <row r="32">
      <c r="B32" s="13" t="inlineStr">
        <is>
          <t>NW_Gasoline_Gasification_CCS_31_Herb</t>
        </is>
      </c>
      <c r="C32" s="12" t="inlineStr">
        <is>
          <t>Biomass_Herb</t>
        </is>
      </c>
      <c r="D32" s="12" t="n">
        <v>0</v>
      </c>
      <c r="E32" s="12" t="n">
        <v>0.1041</v>
      </c>
      <c r="F32" s="12" t="n">
        <v>2.0249</v>
      </c>
      <c r="G32" s="12" t="n">
        <v>0</v>
      </c>
      <c r="H32" s="12" t="n">
        <v>0</v>
      </c>
      <c r="I32" s="24">
        <f>F32+G32+H32</f>
        <v/>
      </c>
      <c r="J32" s="12" t="n">
        <v>1.726</v>
      </c>
      <c r="K32" s="12" t="n">
        <v>0.3822878453689819</v>
      </c>
      <c r="L32" s="12" t="n">
        <v>0.8497065000031803</v>
      </c>
      <c r="M32" s="12" t="n">
        <v>434628.32</v>
      </c>
      <c r="N32" s="12" t="n">
        <v>354088</v>
      </c>
      <c r="O32" s="12" t="n">
        <v>23.5872</v>
      </c>
      <c r="Q32" s="15" t="n">
        <v>110.892214</v>
      </c>
      <c r="R32" s="15" t="n">
        <v>-7.381741</v>
      </c>
      <c r="S32" s="15" t="n">
        <v>160</v>
      </c>
      <c r="T32" s="15" t="n">
        <v>140.805445</v>
      </c>
      <c r="U32" s="15" t="n">
        <v>159.375106</v>
      </c>
      <c r="V32" s="15" t="n">
        <v>121.714108</v>
      </c>
      <c r="W32" s="15" t="n">
        <v>26.767046</v>
      </c>
      <c r="Y32">
        <f>B32</f>
        <v/>
      </c>
      <c r="Z32">
        <f>C32</f>
        <v/>
      </c>
      <c r="AA32" s="11">
        <f>SUM(AD32:AI32)+AK32+AL32</f>
        <v/>
      </c>
      <c r="AB32" s="11">
        <f>SUM(AD32:AI32)+AN32+AO32</f>
        <v/>
      </c>
      <c r="AC32" s="5">
        <f>AA32-AB32</f>
        <v/>
      </c>
      <c r="AD32">
        <f>D32/H32*W32*-1</f>
        <v/>
      </c>
      <c r="AE32">
        <f>E32/H32*W32</f>
        <v/>
      </c>
      <c r="AF32" s="1">
        <f t="array" ref="AF32">_xlfn.IFS(C32="Biomass_Corn", 1/H32*S32, C32="Biomass_Agri", 1/H32*V32, C32="Biomass_Wood", 1/H32*U32, C32="Biomass_Herb", 1/H32*T32)</f>
        <v/>
      </c>
      <c r="AG32">
        <f>M32/H32/(0.9*8760)</f>
        <v/>
      </c>
      <c r="AH32">
        <f>N32/H32/(0.9*8760)</f>
        <v/>
      </c>
      <c r="AI32">
        <f>O32/H32</f>
        <v/>
      </c>
      <c r="AJ32" s="1">
        <f>(AY32+AZ32+BA32+BB32+BC32-AW32)/I32</f>
        <v/>
      </c>
      <c r="AK32" s="1">
        <f>(Q32+R32)*-1*K32/I32</f>
        <v/>
      </c>
      <c r="AL32">
        <f>AJ32*Q32</f>
        <v/>
      </c>
      <c r="AM32" s="1">
        <f>(SUM(AY32:BB32)-AW32)/I32</f>
        <v/>
      </c>
      <c r="AN32" s="1">
        <f>K32/I32*-1*R32</f>
        <v/>
      </c>
      <c r="AO32">
        <f>AM32*Q32</f>
        <v/>
      </c>
      <c r="AQ32" s="9">
        <f>J32</f>
        <v/>
      </c>
      <c r="AR32" s="9" t="n">
        <v>0.243968185</v>
      </c>
      <c r="AS32" s="9" t="n">
        <v>0.249427613</v>
      </c>
      <c r="AT32" s="10" t="n">
        <v>0.246356685</v>
      </c>
      <c r="AU32" s="9" t="n">
        <v>0.23037491</v>
      </c>
      <c r="AW32" s="10">
        <f>AQ32</f>
        <v/>
      </c>
      <c r="AY32" s="10">
        <f>AR32*F32</f>
        <v/>
      </c>
      <c r="AZ32" s="10">
        <f>AS32*H32</f>
        <v/>
      </c>
      <c r="BA32" s="10">
        <f>AT32*G32</f>
        <v/>
      </c>
      <c r="BB32" s="10">
        <f>L32</f>
        <v/>
      </c>
      <c r="BC32" s="10">
        <f>K32</f>
        <v/>
      </c>
      <c r="BE32" s="1">
        <f>AW32-SUM(AY32:BC32)</f>
        <v/>
      </c>
    </row>
    <row r="33">
      <c r="B33" s="13" t="inlineStr">
        <is>
          <t>SW_Gasoline_Gasification_CCS_31_Herb</t>
        </is>
      </c>
      <c r="C33" s="12" t="inlineStr">
        <is>
          <t>Biomass_Herb</t>
        </is>
      </c>
      <c r="D33" s="12" t="n">
        <v>0</v>
      </c>
      <c r="E33" s="12" t="n">
        <v>0.1041</v>
      </c>
      <c r="F33" s="12" t="n">
        <v>2.0115</v>
      </c>
      <c r="G33" s="12" t="n">
        <v>0</v>
      </c>
      <c r="H33" s="12" t="n">
        <v>0</v>
      </c>
      <c r="I33" s="24">
        <f>F33+G33+H33</f>
        <v/>
      </c>
      <c r="J33" s="12" t="n">
        <v>1.71</v>
      </c>
      <c r="K33" s="12" t="n">
        <v>0.3783320851142218</v>
      </c>
      <c r="L33" s="12" t="n">
        <v>0.8409140802554907</v>
      </c>
      <c r="M33" s="12" t="n">
        <v>434628.32</v>
      </c>
      <c r="N33" s="12" t="n">
        <v>354088</v>
      </c>
      <c r="O33" s="12" t="n">
        <v>23.5872</v>
      </c>
      <c r="Q33" s="15" t="n">
        <v>110.892214</v>
      </c>
      <c r="R33" s="15" t="n">
        <v>-16.594224</v>
      </c>
      <c r="S33" s="15" t="n">
        <v>160</v>
      </c>
      <c r="T33" s="15" t="n">
        <v>125.807546</v>
      </c>
      <c r="U33" s="15" t="n">
        <v>143.289826</v>
      </c>
      <c r="V33" s="15" t="n">
        <v>114.17137</v>
      </c>
      <c r="W33" s="15" t="n">
        <v>28.012186</v>
      </c>
      <c r="Y33">
        <f>B33</f>
        <v/>
      </c>
      <c r="Z33">
        <f>C33</f>
        <v/>
      </c>
      <c r="AA33" s="11">
        <f>SUM(AD33:AI33)+AK33+AL33</f>
        <v/>
      </c>
      <c r="AB33" s="11">
        <f>SUM(AD33:AI33)+AN33+AO33</f>
        <v/>
      </c>
      <c r="AC33" s="5">
        <f>AA33-AB33</f>
        <v/>
      </c>
      <c r="AD33">
        <f>D33/H33*W33*-1</f>
        <v/>
      </c>
      <c r="AE33">
        <f>E33/H33*W33</f>
        <v/>
      </c>
      <c r="AF33" s="1">
        <f t="array" ref="AF33">_xlfn.IFS(C33="Biomass_Corn", 1/H33*S33, C33="Biomass_Agri", 1/H33*V33, C33="Biomass_Wood", 1/H33*U33, C33="Biomass_Herb", 1/H33*T33)</f>
        <v/>
      </c>
      <c r="AG33">
        <f>M33/H33/(0.9*8760)</f>
        <v/>
      </c>
      <c r="AH33">
        <f>N33/H33/(0.9*8760)</f>
        <v/>
      </c>
      <c r="AI33">
        <f>O33/H33</f>
        <v/>
      </c>
      <c r="AJ33" s="1">
        <f>(AY33+AZ33+BA33+BB33+BC33-AW33)/I33</f>
        <v/>
      </c>
      <c r="AK33" s="1">
        <f>(Q33+R33)*-1*K33/I33</f>
        <v/>
      </c>
      <c r="AL33">
        <f>AJ33*Q33</f>
        <v/>
      </c>
      <c r="AM33" s="1">
        <f>(SUM(AY33:BB33)-AW33)/I33</f>
        <v/>
      </c>
      <c r="AN33" s="1">
        <f>K33/I33*-1*R33</f>
        <v/>
      </c>
      <c r="AO33">
        <f>AM33*Q33</f>
        <v/>
      </c>
      <c r="AQ33" s="9">
        <f>J33</f>
        <v/>
      </c>
      <c r="AR33" s="9" t="n">
        <v>0.243968185</v>
      </c>
      <c r="AS33" s="9" t="n">
        <v>0.249427613</v>
      </c>
      <c r="AT33" s="10" t="n">
        <v>0.246356685</v>
      </c>
      <c r="AU33" s="9" t="n">
        <v>0.23037491</v>
      </c>
      <c r="AW33" s="10">
        <f>AQ33</f>
        <v/>
      </c>
      <c r="AY33" s="10">
        <f>AR33*F33</f>
        <v/>
      </c>
      <c r="AZ33" s="10">
        <f>AS33*H33</f>
        <v/>
      </c>
      <c r="BA33" s="10">
        <f>AT33*G33</f>
        <v/>
      </c>
      <c r="BB33" s="10">
        <f>L33</f>
        <v/>
      </c>
      <c r="BC33" s="10">
        <f>K33</f>
        <v/>
      </c>
      <c r="BE33" s="1">
        <f>AW33-SUM(AY33:BC33)</f>
        <v/>
      </c>
    </row>
    <row r="34">
      <c r="B34" s="13" t="inlineStr">
        <is>
          <t>TX_Gasoline_Gasification_CCS_31_Herb</t>
        </is>
      </c>
      <c r="C34" s="12" t="inlineStr">
        <is>
          <t>Biomass_Herb</t>
        </is>
      </c>
      <c r="D34" s="12" t="n">
        <v>0</v>
      </c>
      <c r="E34" s="12" t="n">
        <v>0.1041</v>
      </c>
      <c r="F34" s="12" t="n">
        <v>2.016</v>
      </c>
      <c r="G34" s="12" t="n">
        <v>0</v>
      </c>
      <c r="H34" s="12" t="n">
        <v>0</v>
      </c>
      <c r="I34" s="24">
        <f>F34+G34+H34</f>
        <v/>
      </c>
      <c r="J34" s="12" t="n">
        <v>1.714</v>
      </c>
      <c r="K34" s="12" t="n">
        <v>0.3792369385324752</v>
      </c>
      <c r="L34" s="12" t="n">
        <v>0.842925286838054</v>
      </c>
      <c r="M34" s="12" t="n">
        <v>434628.32</v>
      </c>
      <c r="N34" s="12" t="n">
        <v>354088</v>
      </c>
      <c r="O34" s="12" t="n">
        <v>23.5872</v>
      </c>
      <c r="Q34" s="15" t="n">
        <v>110.892214</v>
      </c>
      <c r="R34" s="15" t="n">
        <v>-21.499827</v>
      </c>
      <c r="S34" s="15" t="n">
        <v>160</v>
      </c>
      <c r="T34" s="15" t="n">
        <v>140.297617</v>
      </c>
      <c r="U34" s="15" t="n">
        <v>160.374377</v>
      </c>
      <c r="V34" s="15" t="n">
        <v>113.606838</v>
      </c>
      <c r="W34" s="15" t="n">
        <v>20.240713</v>
      </c>
      <c r="Y34">
        <f>B34</f>
        <v/>
      </c>
      <c r="Z34">
        <f>C34</f>
        <v/>
      </c>
      <c r="AA34" s="11">
        <f>SUM(AD34:AI34)+AK34+AL34</f>
        <v/>
      </c>
      <c r="AB34" s="11">
        <f>SUM(AD34:AI34)+AN34+AO34</f>
        <v/>
      </c>
      <c r="AC34" s="5">
        <f>AA34-AB34</f>
        <v/>
      </c>
      <c r="AD34">
        <f>D34/H34*W34*-1</f>
        <v/>
      </c>
      <c r="AE34">
        <f>E34/H34*W34</f>
        <v/>
      </c>
      <c r="AF34" s="1">
        <f t="array" ref="AF34">_xlfn.IFS(C34="Biomass_Corn", 1/H34*S34, C34="Biomass_Agri", 1/H34*V34, C34="Biomass_Wood", 1/H34*U34, C34="Biomass_Herb", 1/H34*T34)</f>
        <v/>
      </c>
      <c r="AG34">
        <f>M34/H34/(0.9*8760)</f>
        <v/>
      </c>
      <c r="AH34">
        <f>N34/H34/(0.9*8760)</f>
        <v/>
      </c>
      <c r="AI34">
        <f>O34/H34</f>
        <v/>
      </c>
      <c r="AJ34" s="1">
        <f>(AY34+AZ34+BA34+BB34+BC34-AW34)/I34</f>
        <v/>
      </c>
      <c r="AK34" s="1">
        <f>(Q34+R34)*-1*K34/I34</f>
        <v/>
      </c>
      <c r="AL34">
        <f>AJ34*Q34</f>
        <v/>
      </c>
      <c r="AM34" s="1">
        <f>(SUM(AY34:BB34)-AW34)/I34</f>
        <v/>
      </c>
      <c r="AN34" s="1">
        <f>K34/I34*-1*R34</f>
        <v/>
      </c>
      <c r="AO34">
        <f>AM34*Q34</f>
        <v/>
      </c>
      <c r="AQ34" s="9">
        <f>J34</f>
        <v/>
      </c>
      <c r="AR34" s="9" t="n">
        <v>0.243968185</v>
      </c>
      <c r="AS34" s="9" t="n">
        <v>0.249427613</v>
      </c>
      <c r="AT34" s="10" t="n">
        <v>0.246356685</v>
      </c>
      <c r="AU34" s="9" t="n">
        <v>0.23037491</v>
      </c>
      <c r="AW34" s="10">
        <f>AQ34</f>
        <v/>
      </c>
      <c r="AY34" s="10">
        <f>AR34*F34</f>
        <v/>
      </c>
      <c r="AZ34" s="10">
        <f>AS34*H34</f>
        <v/>
      </c>
      <c r="BA34" s="10">
        <f>AT34*G34</f>
        <v/>
      </c>
      <c r="BB34" s="10">
        <f>L34</f>
        <v/>
      </c>
      <c r="BC34" s="10">
        <f>K34</f>
        <v/>
      </c>
      <c r="BE34" s="1">
        <f>AW34-SUM(AY34:BC34)</f>
        <v/>
      </c>
    </row>
    <row r="35">
      <c r="B35" s="13" t="inlineStr">
        <is>
          <t>NCEN_Gasoline_Gasification_CCS_31_Herb</t>
        </is>
      </c>
      <c r="C35" s="12" t="inlineStr">
        <is>
          <t>Biomass_Herb</t>
        </is>
      </c>
      <c r="D35" s="12" t="n">
        <v>0</v>
      </c>
      <c r="E35" s="12" t="n">
        <v>0.1041</v>
      </c>
      <c r="F35" s="12" t="n">
        <v>2.0371</v>
      </c>
      <c r="G35" s="12" t="n">
        <v>0</v>
      </c>
      <c r="H35" s="12" t="n">
        <v>0</v>
      </c>
      <c r="I35" s="24">
        <f>F35+G35+H35</f>
        <v/>
      </c>
      <c r="J35" s="12" t="n">
        <v>1.74</v>
      </c>
      <c r="K35" s="12" t="n">
        <v>0.3857070922691788</v>
      </c>
      <c r="L35" s="12" t="n">
        <v>0.8573064181052291</v>
      </c>
      <c r="M35" s="12" t="n">
        <v>434628.32</v>
      </c>
      <c r="N35" s="12" t="n">
        <v>354088</v>
      </c>
      <c r="O35" s="12" t="n">
        <v>23.5872</v>
      </c>
      <c r="Q35" s="15" t="n">
        <v>110.892214</v>
      </c>
      <c r="R35" s="15" t="n">
        <v>-41.711711</v>
      </c>
      <c r="S35" s="15" t="n">
        <v>160</v>
      </c>
      <c r="T35" s="15" t="n">
        <v>106.368089</v>
      </c>
      <c r="U35" s="15" t="n">
        <v>117.804824</v>
      </c>
      <c r="V35" s="15" t="n">
        <v>93.32494199999999</v>
      </c>
      <c r="W35" s="15" t="n">
        <v>30.728803</v>
      </c>
      <c r="Y35">
        <f>B35</f>
        <v/>
      </c>
      <c r="Z35">
        <f>C35</f>
        <v/>
      </c>
      <c r="AA35" s="11">
        <f>SUM(AD35:AI35)+AK35+AL35</f>
        <v/>
      </c>
      <c r="AB35" s="11">
        <f>SUM(AD35:AI35)+AN35+AO35</f>
        <v/>
      </c>
      <c r="AC35" s="5">
        <f>AA35-AB35</f>
        <v/>
      </c>
      <c r="AD35">
        <f>D35/H35*W35*-1</f>
        <v/>
      </c>
      <c r="AE35">
        <f>E35/H35*W35</f>
        <v/>
      </c>
      <c r="AF35" s="1">
        <f t="array" ref="AF35">_xlfn.IFS(C35="Biomass_Corn", 1/H35*S35, C35="Biomass_Agri", 1/H35*V35, C35="Biomass_Wood", 1/H35*U35, C35="Biomass_Herb", 1/H35*T35)</f>
        <v/>
      </c>
      <c r="AG35">
        <f>M35/H35/(0.9*8760)</f>
        <v/>
      </c>
      <c r="AH35">
        <f>N35/H35/(0.9*8760)</f>
        <v/>
      </c>
      <c r="AI35">
        <f>O35/H35</f>
        <v/>
      </c>
      <c r="AJ35" s="1">
        <f>(AY35+AZ35+BA35+BB35+BC35-AW35)/I35</f>
        <v/>
      </c>
      <c r="AK35" s="1">
        <f>(Q35+R35)*-1*K35/I35</f>
        <v/>
      </c>
      <c r="AL35">
        <f>AJ35*Q35</f>
        <v/>
      </c>
      <c r="AM35" s="1">
        <f>(SUM(AY35:BB35)-AW35)/I35</f>
        <v/>
      </c>
      <c r="AN35" s="1">
        <f>K35/I35*-1*R35</f>
        <v/>
      </c>
      <c r="AO35">
        <f>AM35*Q35</f>
        <v/>
      </c>
      <c r="AQ35" s="9">
        <f>J35</f>
        <v/>
      </c>
      <c r="AR35" s="9" t="n">
        <v>0.243968185</v>
      </c>
      <c r="AS35" s="9" t="n">
        <v>0.249427613</v>
      </c>
      <c r="AT35" s="10" t="n">
        <v>0.246356685</v>
      </c>
      <c r="AU35" s="9" t="n">
        <v>0.23037491</v>
      </c>
      <c r="AW35" s="10">
        <f>AQ35</f>
        <v/>
      </c>
      <c r="AY35" s="10">
        <f>AR35*F35</f>
        <v/>
      </c>
      <c r="AZ35" s="10">
        <f>AS35*H35</f>
        <v/>
      </c>
      <c r="BA35" s="10">
        <f>AT35*G35</f>
        <v/>
      </c>
      <c r="BB35" s="10">
        <f>L35</f>
        <v/>
      </c>
      <c r="BC35" s="10">
        <f>K35</f>
        <v/>
      </c>
      <c r="BE35" s="1">
        <f>AW35-SUM(AY35:BC35)</f>
        <v/>
      </c>
    </row>
    <row r="36">
      <c r="B36" s="13" t="inlineStr">
        <is>
          <t>CEN_Gasoline_Gasification_CCS_31_Herb</t>
        </is>
      </c>
      <c r="C36" s="12" t="inlineStr">
        <is>
          <t>Biomass_Herb</t>
        </is>
      </c>
      <c r="D36" s="12" t="n">
        <v>0</v>
      </c>
      <c r="E36" s="12" t="n">
        <v>0.1041</v>
      </c>
      <c r="F36" s="12" t="n">
        <v>2.0249</v>
      </c>
      <c r="G36" s="12" t="n">
        <v>0</v>
      </c>
      <c r="H36" s="12" t="n">
        <v>0</v>
      </c>
      <c r="I36" s="24">
        <f>F36+G36+H36</f>
        <v/>
      </c>
      <c r="J36" s="12" t="n">
        <v>1.723</v>
      </c>
      <c r="K36" s="12" t="n">
        <v>0.381356945368982</v>
      </c>
      <c r="L36" s="12" t="n">
        <v>0.8476374000031806</v>
      </c>
      <c r="M36" s="12" t="n">
        <v>434628.32</v>
      </c>
      <c r="N36" s="12" t="n">
        <v>354088</v>
      </c>
      <c r="O36" s="12" t="n">
        <v>23.5872</v>
      </c>
      <c r="Q36" s="15" t="n">
        <v>110.892214</v>
      </c>
      <c r="R36" s="15" t="n">
        <v>-31.698788</v>
      </c>
      <c r="S36" s="15" t="n">
        <v>160</v>
      </c>
      <c r="T36" s="15" t="n">
        <v>112.646846</v>
      </c>
      <c r="U36" s="15" t="n">
        <v>129.719823</v>
      </c>
      <c r="V36" s="15" t="n">
        <v>101.234661</v>
      </c>
      <c r="W36" s="15" t="n">
        <v>25.375037</v>
      </c>
      <c r="Y36">
        <f>B36</f>
        <v/>
      </c>
      <c r="Z36">
        <f>C36</f>
        <v/>
      </c>
      <c r="AA36" s="11">
        <f>SUM(AD36:AI36)+AK36+AL36</f>
        <v/>
      </c>
      <c r="AB36" s="11">
        <f>SUM(AD36:AI36)+AN36+AO36</f>
        <v/>
      </c>
      <c r="AC36" s="5">
        <f>AA36-AB36</f>
        <v/>
      </c>
      <c r="AD36">
        <f>D36/H36*W36*-1</f>
        <v/>
      </c>
      <c r="AE36">
        <f>E36/H36*W36</f>
        <v/>
      </c>
      <c r="AF36" s="1">
        <f t="array" ref="AF36">_xlfn.IFS(C36="Biomass_Corn", 1/H36*S36, C36="Biomass_Agri", 1/H36*V36, C36="Biomass_Wood", 1/H36*U36, C36="Biomass_Herb", 1/H36*T36)</f>
        <v/>
      </c>
      <c r="AG36">
        <f>M36/H36/(0.9*8760)</f>
        <v/>
      </c>
      <c r="AH36">
        <f>N36/H36/(0.9*8760)</f>
        <v/>
      </c>
      <c r="AI36">
        <f>O36/H36</f>
        <v/>
      </c>
      <c r="AJ36" s="1">
        <f>(AY36+AZ36+BA36+BB36+BC36-AW36)/I36</f>
        <v/>
      </c>
      <c r="AK36" s="1">
        <f>(Q36+R36)*-1*K36/I36</f>
        <v/>
      </c>
      <c r="AL36">
        <f>AJ36*Q36</f>
        <v/>
      </c>
      <c r="AM36" s="1">
        <f>(SUM(AY36:BB36)-AW36)/I36</f>
        <v/>
      </c>
      <c r="AN36" s="1">
        <f>K36/I36*-1*R36</f>
        <v/>
      </c>
      <c r="AO36">
        <f>AM36*Q36</f>
        <v/>
      </c>
      <c r="AQ36" s="9">
        <f>J36</f>
        <v/>
      </c>
      <c r="AR36" s="9" t="n">
        <v>0.243968185</v>
      </c>
      <c r="AS36" s="9" t="n">
        <v>0.249427613</v>
      </c>
      <c r="AT36" s="10" t="n">
        <v>0.246356685</v>
      </c>
      <c r="AU36" s="9" t="n">
        <v>0.23037491</v>
      </c>
      <c r="AW36" s="10">
        <f>AQ36</f>
        <v/>
      </c>
      <c r="AY36" s="10">
        <f>AR36*F36</f>
        <v/>
      </c>
      <c r="AZ36" s="10">
        <f>AS36*H36</f>
        <v/>
      </c>
      <c r="BA36" s="10">
        <f>AT36*G36</f>
        <v/>
      </c>
      <c r="BB36" s="10">
        <f>L36</f>
        <v/>
      </c>
      <c r="BC36" s="10">
        <f>K36</f>
        <v/>
      </c>
      <c r="BE36" s="1">
        <f>AW36-SUM(AY36:BC36)</f>
        <v/>
      </c>
    </row>
    <row r="37">
      <c r="B37" s="13" t="inlineStr">
        <is>
          <t>SE_Gasoline_Gasification_CCS_31_Herb</t>
        </is>
      </c>
      <c r="C37" s="12" t="inlineStr">
        <is>
          <t>Biomass_Herb</t>
        </is>
      </c>
      <c r="D37" s="12" t="n">
        <v>0</v>
      </c>
      <c r="E37" s="12" t="n">
        <v>0.1041</v>
      </c>
      <c r="F37" s="12" t="n">
        <v>2.0215</v>
      </c>
      <c r="G37" s="12" t="n">
        <v>0</v>
      </c>
      <c r="H37" s="12" t="n">
        <v>0</v>
      </c>
      <c r="I37" s="24">
        <f>F37+G37+H37</f>
        <v/>
      </c>
      <c r="J37" s="12" t="n">
        <v>1.717</v>
      </c>
      <c r="K37" s="12" t="n">
        <v>0.379747405305292</v>
      </c>
      <c r="L37" s="12" t="n">
        <v>0.8440598950662581</v>
      </c>
      <c r="M37" s="12" t="n">
        <v>434628.32</v>
      </c>
      <c r="N37" s="12" t="n">
        <v>354088</v>
      </c>
      <c r="O37" s="12" t="n">
        <v>23.5872</v>
      </c>
      <c r="Q37" s="15" t="n">
        <v>110.892214</v>
      </c>
      <c r="R37" s="15" t="n">
        <v>-47.684613</v>
      </c>
      <c r="S37" s="15" t="n">
        <v>160</v>
      </c>
      <c r="T37" s="15" t="n">
        <v>100.406702</v>
      </c>
      <c r="U37" s="15" t="n">
        <v>115.539531</v>
      </c>
      <c r="V37" s="15" t="n">
        <v>89.577806</v>
      </c>
      <c r="W37" s="15" t="n">
        <v>38.228295</v>
      </c>
      <c r="Y37">
        <f>B37</f>
        <v/>
      </c>
      <c r="Z37">
        <f>C37</f>
        <v/>
      </c>
      <c r="AA37" s="11">
        <f>SUM(AD37:AI37)+AK37+AL37</f>
        <v/>
      </c>
      <c r="AB37" s="11">
        <f>SUM(AD37:AI37)+AN37+AO37</f>
        <v/>
      </c>
      <c r="AC37" s="5">
        <f>AA37-AB37</f>
        <v/>
      </c>
      <c r="AD37">
        <f>D37/H37*W37*-1</f>
        <v/>
      </c>
      <c r="AE37">
        <f>E37/H37*W37</f>
        <v/>
      </c>
      <c r="AF37" s="1">
        <f t="array" ref="AF37">_xlfn.IFS(C37="Biomass_Corn", 1/H37*S37, C37="Biomass_Agri", 1/H37*V37, C37="Biomass_Wood", 1/H37*U37, C37="Biomass_Herb", 1/H37*T37)</f>
        <v/>
      </c>
      <c r="AG37">
        <f>M37/H37/(0.9*8760)</f>
        <v/>
      </c>
      <c r="AH37">
        <f>N37/H37/(0.9*8760)</f>
        <v/>
      </c>
      <c r="AI37">
        <f>O37/H37</f>
        <v/>
      </c>
      <c r="AJ37" s="1">
        <f>(AY37+AZ37+BA37+BB37+BC37-AW37)/I37</f>
        <v/>
      </c>
      <c r="AK37" s="1">
        <f>(Q37+R37)*-1*K37/I37</f>
        <v/>
      </c>
      <c r="AL37">
        <f>AJ37*Q37</f>
        <v/>
      </c>
      <c r="AM37" s="1">
        <f>(SUM(AY37:BB37)-AW37)/I37</f>
        <v/>
      </c>
      <c r="AN37" s="1">
        <f>K37/I37*-1*R37</f>
        <v/>
      </c>
      <c r="AO37">
        <f>AM37*Q37</f>
        <v/>
      </c>
      <c r="AQ37" s="9">
        <f>J37</f>
        <v/>
      </c>
      <c r="AR37" s="9" t="n">
        <v>0.243968185</v>
      </c>
      <c r="AS37" s="9" t="n">
        <v>0.249427613</v>
      </c>
      <c r="AT37" s="10" t="n">
        <v>0.246356685</v>
      </c>
      <c r="AU37" s="9" t="n">
        <v>0.23037491</v>
      </c>
      <c r="AW37" s="10">
        <f>AQ37</f>
        <v/>
      </c>
      <c r="AY37" s="10">
        <f>AR37*F37</f>
        <v/>
      </c>
      <c r="AZ37" s="10">
        <f>AS37*H37</f>
        <v/>
      </c>
      <c r="BA37" s="10">
        <f>AT37*G37</f>
        <v/>
      </c>
      <c r="BB37" s="10">
        <f>L37</f>
        <v/>
      </c>
      <c r="BC37" s="10">
        <f>K37</f>
        <v/>
      </c>
      <c r="BE37" s="1">
        <f>AW37-SUM(AY37:BC37)</f>
        <v/>
      </c>
    </row>
    <row r="38">
      <c r="B38" s="13" t="inlineStr">
        <is>
          <t>MIDAT_Gasoline_Gasification_CCS_31_Herb</t>
        </is>
      </c>
      <c r="C38" s="12" t="inlineStr">
        <is>
          <t>Biomass_Herb</t>
        </is>
      </c>
      <c r="D38" s="12" t="n">
        <v>0</v>
      </c>
      <c r="E38" s="12" t="n">
        <v>0.1041</v>
      </c>
      <c r="F38" s="12" t="n">
        <v>2.0327</v>
      </c>
      <c r="G38" s="12" t="n">
        <v>0</v>
      </c>
      <c r="H38" s="12" t="n">
        <v>0</v>
      </c>
      <c r="I38" s="24">
        <f>F38+G38+H38</f>
        <v/>
      </c>
      <c r="J38" s="12" t="n">
        <v>1.736</v>
      </c>
      <c r="K38" s="12" t="n">
        <v>0.3848022388509254</v>
      </c>
      <c r="L38" s="12" t="n">
        <v>0.8552952115226659</v>
      </c>
      <c r="M38" s="12" t="n">
        <v>434628.32</v>
      </c>
      <c r="N38" s="12" t="n">
        <v>354088</v>
      </c>
      <c r="O38" s="12" t="n">
        <v>23.5872</v>
      </c>
      <c r="Q38" s="15" t="n">
        <v>110.892214</v>
      </c>
      <c r="R38" s="15" t="n">
        <v>-54.368796</v>
      </c>
      <c r="S38" s="15" t="n">
        <v>160</v>
      </c>
      <c r="T38" s="15" t="n">
        <v>101.540719</v>
      </c>
      <c r="U38" s="15" t="n">
        <v>109.472766</v>
      </c>
      <c r="V38" s="15" t="n">
        <v>90.14609900000001</v>
      </c>
      <c r="W38" s="15" t="n">
        <v>39.376329</v>
      </c>
      <c r="Y38">
        <f>B38</f>
        <v/>
      </c>
      <c r="Z38">
        <f>C38</f>
        <v/>
      </c>
      <c r="AA38" s="11">
        <f>SUM(AD38:AI38)+AK38+AL38</f>
        <v/>
      </c>
      <c r="AB38" s="11">
        <f>SUM(AD38:AI38)+AN38+AO38</f>
        <v/>
      </c>
      <c r="AC38" s="5">
        <f>AA38-AB38</f>
        <v/>
      </c>
      <c r="AD38">
        <f>D38/H38*W38*-1</f>
        <v/>
      </c>
      <c r="AE38">
        <f>E38/H38*W38</f>
        <v/>
      </c>
      <c r="AF38" s="1">
        <f t="array" ref="AF38">_xlfn.IFS(C38="Biomass_Corn", 1/H38*S38, C38="Biomass_Agri", 1/H38*V38, C38="Biomass_Wood", 1/H38*U38, C38="Biomass_Herb", 1/H38*T38)</f>
        <v/>
      </c>
      <c r="AG38">
        <f>M38/H38/(0.9*8760)</f>
        <v/>
      </c>
      <c r="AH38">
        <f>N38/H38/(0.9*8760)</f>
        <v/>
      </c>
      <c r="AI38">
        <f>O38/H38</f>
        <v/>
      </c>
      <c r="AJ38" s="1">
        <f>(AY38+AZ38+BA38+BB38+BC38-AW38)/I38</f>
        <v/>
      </c>
      <c r="AK38" s="1">
        <f>(Q38+R38)*-1*K38/I38</f>
        <v/>
      </c>
      <c r="AL38">
        <f>AJ38*Q38</f>
        <v/>
      </c>
      <c r="AM38" s="1">
        <f>(SUM(AY38:BB38)-AW38)/I38</f>
        <v/>
      </c>
      <c r="AN38" s="1">
        <f>K38/I38*-1*R38</f>
        <v/>
      </c>
      <c r="AO38">
        <f>AM38*Q38</f>
        <v/>
      </c>
      <c r="AQ38" s="9">
        <f>J38</f>
        <v/>
      </c>
      <c r="AR38" s="9" t="n">
        <v>0.243968185</v>
      </c>
      <c r="AS38" s="9" t="n">
        <v>0.249427613</v>
      </c>
      <c r="AT38" s="10" t="n">
        <v>0.246356685</v>
      </c>
      <c r="AU38" s="9" t="n">
        <v>0.23037491</v>
      </c>
      <c r="AW38" s="10">
        <f>AQ38</f>
        <v/>
      </c>
      <c r="AY38" s="10">
        <f>AR38*F38</f>
        <v/>
      </c>
      <c r="AZ38" s="10">
        <f>AS38*H38</f>
        <v/>
      </c>
      <c r="BA38" s="10">
        <f>AT38*G38</f>
        <v/>
      </c>
      <c r="BB38" s="10">
        <f>L38</f>
        <v/>
      </c>
      <c r="BC38" s="10">
        <f>K38</f>
        <v/>
      </c>
      <c r="BE38" s="1">
        <f>AW38-SUM(AY38:BC38)</f>
        <v/>
      </c>
    </row>
    <row r="39">
      <c r="B39" s="13" t="inlineStr">
        <is>
          <t>NE_Gasoline_Gasification_CCS_31_Herb</t>
        </is>
      </c>
      <c r="C39" s="12" t="inlineStr">
        <is>
          <t>Biomass_Herb</t>
        </is>
      </c>
      <c r="D39" s="12" t="n">
        <v>0</v>
      </c>
      <c r="E39" s="12" t="n">
        <v>0.1041</v>
      </c>
      <c r="F39" s="12" t="n">
        <v>2.0404</v>
      </c>
      <c r="G39" s="12" t="n">
        <v>0</v>
      </c>
      <c r="H39" s="12" t="n">
        <v>0</v>
      </c>
      <c r="I39" s="24">
        <f>F39+G39+H39</f>
        <v/>
      </c>
      <c r="J39" s="12" t="n">
        <v>1.745</v>
      </c>
      <c r="K39" s="12" t="n">
        <v>0.3870063323328689</v>
      </c>
      <c r="L39" s="12" t="n">
        <v>0.8601942230421517</v>
      </c>
      <c r="M39" s="12" t="n">
        <v>434628.32</v>
      </c>
      <c r="N39" s="12" t="n">
        <v>354088</v>
      </c>
      <c r="O39" s="12" t="n">
        <v>23.5872</v>
      </c>
      <c r="Q39" s="15" t="n">
        <v>110.892214</v>
      </c>
      <c r="R39" s="15" t="n">
        <v>-62.623722</v>
      </c>
      <c r="S39" s="15" t="n">
        <v>160</v>
      </c>
      <c r="T39" s="15" t="n">
        <v>102.353041</v>
      </c>
      <c r="U39" s="15" t="n">
        <v>108.140489</v>
      </c>
      <c r="V39" s="15" t="n">
        <v>92.430212</v>
      </c>
      <c r="W39" s="15" t="n">
        <v>47.48771</v>
      </c>
      <c r="Y39">
        <f>B39</f>
        <v/>
      </c>
      <c r="Z39">
        <f>C39</f>
        <v/>
      </c>
      <c r="AA39" s="11">
        <f>SUM(AD39:AI39)+AK39+AL39</f>
        <v/>
      </c>
      <c r="AB39" s="11">
        <f>SUM(AD39:AI39)+AN39+AO39</f>
        <v/>
      </c>
      <c r="AC39" s="5">
        <f>AA39-AB39</f>
        <v/>
      </c>
      <c r="AD39">
        <f>D39/H39*W39*-1</f>
        <v/>
      </c>
      <c r="AE39">
        <f>E39/H39*W39</f>
        <v/>
      </c>
      <c r="AF39" s="1">
        <f t="array" ref="AF39">_xlfn.IFS(C39="Biomass_Corn", 1/H39*S39, C39="Biomass_Agri", 1/H39*V39, C39="Biomass_Wood", 1/H39*U39, C39="Biomass_Herb", 1/H39*T39)</f>
        <v/>
      </c>
      <c r="AG39">
        <f>M39/H39/(0.9*8760)</f>
        <v/>
      </c>
      <c r="AH39">
        <f>N39/H39/(0.9*8760)</f>
        <v/>
      </c>
      <c r="AI39">
        <f>O39/H39</f>
        <v/>
      </c>
      <c r="AJ39" s="1">
        <f>(AY39+AZ39+BA39+BB39+BC39-AW39)/I39</f>
        <v/>
      </c>
      <c r="AK39" s="1">
        <f>(Q39+R39)*-1*K39/I39</f>
        <v/>
      </c>
      <c r="AL39">
        <f>AJ39*Q39</f>
        <v/>
      </c>
      <c r="AM39" s="1">
        <f>(SUM(AY39:BB39)-AW39)/I39</f>
        <v/>
      </c>
      <c r="AN39" s="1">
        <f>K39/I39*-1*R39</f>
        <v/>
      </c>
      <c r="AO39">
        <f>AM39*Q39</f>
        <v/>
      </c>
      <c r="AQ39" s="9">
        <f>J39</f>
        <v/>
      </c>
      <c r="AR39" s="9" t="n">
        <v>0.243968185</v>
      </c>
      <c r="AS39" s="9" t="n">
        <v>0.249427613</v>
      </c>
      <c r="AT39" s="10" t="n">
        <v>0.246356685</v>
      </c>
      <c r="AU39" s="9" t="n">
        <v>0.23037491</v>
      </c>
      <c r="AW39" s="10">
        <f>AQ39</f>
        <v/>
      </c>
      <c r="AY39" s="10">
        <f>AR39*F39</f>
        <v/>
      </c>
      <c r="AZ39" s="10">
        <f>AS39*H39</f>
        <v/>
      </c>
      <c r="BA39" s="10">
        <f>AT39*G39</f>
        <v/>
      </c>
      <c r="BB39" s="10">
        <f>L39</f>
        <v/>
      </c>
      <c r="BC39" s="10">
        <f>K39</f>
        <v/>
      </c>
      <c r="BE39" s="1">
        <f>AW39-SUM(AY39:BC39)</f>
        <v/>
      </c>
    </row>
    <row r="40">
      <c r="B40" s="13" t="inlineStr">
        <is>
          <t>CA_Gasoline_Gasification_CCS_31_Wood</t>
        </is>
      </c>
      <c r="C40" s="12" t="inlineStr">
        <is>
          <t>Biomass_Wood</t>
        </is>
      </c>
      <c r="D40" s="12" t="n">
        <v>0</v>
      </c>
      <c r="E40" s="12" t="n">
        <v>0.1041</v>
      </c>
      <c r="F40" s="12" t="n">
        <v>2.1504</v>
      </c>
      <c r="G40" s="12" t="n">
        <v>0</v>
      </c>
      <c r="H40" s="12" t="n">
        <v>0</v>
      </c>
      <c r="I40" s="24">
        <f>F40+G40+H40</f>
        <v/>
      </c>
      <c r="J40" s="12" t="n">
        <v>1.843</v>
      </c>
      <c r="K40" s="12" t="n">
        <v>0.4090911544346403</v>
      </c>
      <c r="L40" s="12" t="n">
        <v>0.9092818859605908</v>
      </c>
      <c r="M40" s="12" t="n">
        <v>434628.32</v>
      </c>
      <c r="N40" s="12" t="n">
        <v>354088</v>
      </c>
      <c r="O40" s="12" t="n">
        <v>23.5872</v>
      </c>
      <c r="Q40" s="15" t="n">
        <v>110.892214</v>
      </c>
      <c r="R40" s="15" t="n">
        <v>-6.493396</v>
      </c>
      <c r="S40" s="15" t="n">
        <v>160</v>
      </c>
      <c r="T40" s="15" t="n">
        <v>1539.150891</v>
      </c>
      <c r="U40" s="15" t="n">
        <v>162.083504</v>
      </c>
      <c r="V40" s="15" t="n">
        <v>140.323815</v>
      </c>
      <c r="W40" s="15" t="n">
        <v>36.566419</v>
      </c>
      <c r="Y40">
        <f>B40</f>
        <v/>
      </c>
      <c r="Z40">
        <f>C40</f>
        <v/>
      </c>
      <c r="AA40" s="11">
        <f>SUM(AD40:AI40)+AK40+AL40</f>
        <v/>
      </c>
      <c r="AB40" s="11">
        <f>SUM(AD40:AI40)+AN40+AO40</f>
        <v/>
      </c>
      <c r="AC40" s="5">
        <f>AA40-AB40</f>
        <v/>
      </c>
      <c r="AD40">
        <f>D40/H40*W40*-1</f>
        <v/>
      </c>
      <c r="AE40">
        <f>E40/H40*W40</f>
        <v/>
      </c>
      <c r="AF40" s="1">
        <f t="array" ref="AF40">_xlfn.IFS(C40="Biomass_Corn", 1/H40*S40, C40="Biomass_Agri", 1/H40*V40, C40="Biomass_Wood", 1/H40*U40, C40="Biomass_Herb", 1/H40*T40)</f>
        <v/>
      </c>
      <c r="AG40">
        <f>M40/H40/(0.9*8760)</f>
        <v/>
      </c>
      <c r="AH40">
        <f>N40/H40/(0.9*8760)</f>
        <v/>
      </c>
      <c r="AI40">
        <f>O40/H40</f>
        <v/>
      </c>
      <c r="AJ40" s="1">
        <f>(AY40+AZ40+BA40+BB40+BC40-AW40)/I40</f>
        <v/>
      </c>
      <c r="AK40" s="1">
        <f>(Q40+R40)*-1*K40/I40</f>
        <v/>
      </c>
      <c r="AL40">
        <f>AJ40*Q40</f>
        <v/>
      </c>
      <c r="AM40" s="1">
        <f>(SUM(AY40:BB40)-AW40)/I40</f>
        <v/>
      </c>
      <c r="AN40" s="1">
        <f>K40/I40*-1*R40</f>
        <v/>
      </c>
      <c r="AO40">
        <f>AM40*Q40</f>
        <v/>
      </c>
      <c r="AQ40" s="9">
        <f>J40</f>
        <v/>
      </c>
      <c r="AR40" s="9" t="n">
        <v>0.243968185</v>
      </c>
      <c r="AS40" s="9" t="n">
        <v>0.249427613</v>
      </c>
      <c r="AT40" s="10" t="n">
        <v>0.246356685</v>
      </c>
      <c r="AU40" s="9" t="n">
        <v>0.23037491</v>
      </c>
      <c r="AW40" s="10">
        <f>AQ40</f>
        <v/>
      </c>
      <c r="AY40" s="10">
        <f>AR40*F40</f>
        <v/>
      </c>
      <c r="AZ40" s="10">
        <f>AS40*H40</f>
        <v/>
      </c>
      <c r="BA40" s="10">
        <f>AT40*G40</f>
        <v/>
      </c>
      <c r="BB40" s="10">
        <f>L40</f>
        <v/>
      </c>
      <c r="BC40" s="10">
        <f>K40</f>
        <v/>
      </c>
      <c r="BE40" s="1">
        <f>AW40-SUM(AY40:BC40)</f>
        <v/>
      </c>
    </row>
    <row r="41">
      <c r="B41" s="13" t="inlineStr">
        <is>
          <t>NW_Gasoline_Gasification_CCS_31_Wood</t>
        </is>
      </c>
      <c r="C41" s="12" t="inlineStr">
        <is>
          <t>Biomass_Wood</t>
        </is>
      </c>
      <c r="D41" s="12" t="n">
        <v>0</v>
      </c>
      <c r="E41" s="12" t="n">
        <v>0.1041</v>
      </c>
      <c r="F41" s="12" t="n">
        <v>2.1459</v>
      </c>
      <c r="G41" s="12" t="n">
        <v>0</v>
      </c>
      <c r="H41" s="12" t="n">
        <v>0</v>
      </c>
      <c r="I41" s="24">
        <f>F41+G41+H41</f>
        <v/>
      </c>
      <c r="J41" s="12" t="n">
        <v>1.818</v>
      </c>
      <c r="K41" s="12" t="n">
        <v>0.4016700010163869</v>
      </c>
      <c r="L41" s="12" t="n">
        <v>0.8927869793780278</v>
      </c>
      <c r="M41" s="12" t="n">
        <v>434628.32</v>
      </c>
      <c r="N41" s="12" t="n">
        <v>354088</v>
      </c>
      <c r="O41" s="12" t="n">
        <v>23.5872</v>
      </c>
      <c r="Q41" s="15" t="n">
        <v>110.892214</v>
      </c>
      <c r="R41" s="15" t="n">
        <v>-7.381741</v>
      </c>
      <c r="S41" s="15" t="n">
        <v>160</v>
      </c>
      <c r="T41" s="15" t="n">
        <v>140.805445</v>
      </c>
      <c r="U41" s="15" t="n">
        <v>159.375106</v>
      </c>
      <c r="V41" s="15" t="n">
        <v>121.714108</v>
      </c>
      <c r="W41" s="15" t="n">
        <v>26.767046</v>
      </c>
      <c r="Y41">
        <f>B41</f>
        <v/>
      </c>
      <c r="Z41">
        <f>C41</f>
        <v/>
      </c>
      <c r="AA41" s="11">
        <f>SUM(AD41:AI41)+AK41+AL41</f>
        <v/>
      </c>
      <c r="AB41" s="11">
        <f>SUM(AD41:AI41)+AN41+AO41</f>
        <v/>
      </c>
      <c r="AC41" s="5">
        <f>AA41-AB41</f>
        <v/>
      </c>
      <c r="AD41">
        <f>D41/H41*W41*-1</f>
        <v/>
      </c>
      <c r="AE41">
        <f>E41/H41*W41</f>
        <v/>
      </c>
      <c r="AF41" s="1">
        <f t="array" ref="AF41">_xlfn.IFS(C41="Biomass_Corn", 1/H41*S41, C41="Biomass_Agri", 1/H41*V41, C41="Biomass_Wood", 1/H41*U41, C41="Biomass_Herb", 1/H41*T41)</f>
        <v/>
      </c>
      <c r="AG41">
        <f>M41/H41/(0.9*8760)</f>
        <v/>
      </c>
      <c r="AH41">
        <f>N41/H41/(0.9*8760)</f>
        <v/>
      </c>
      <c r="AI41">
        <f>O41/H41</f>
        <v/>
      </c>
      <c r="AJ41" s="1">
        <f>(AY41+AZ41+BA41+BB41+BC41-AW41)/I41</f>
        <v/>
      </c>
      <c r="AK41" s="1">
        <f>(Q41+R41)*-1*K41/I41</f>
        <v/>
      </c>
      <c r="AL41">
        <f>AJ41*Q41</f>
        <v/>
      </c>
      <c r="AM41" s="1">
        <f>(SUM(AY41:BB41)-AW41)/I41</f>
        <v/>
      </c>
      <c r="AN41" s="1">
        <f>K41/I41*-1*R41</f>
        <v/>
      </c>
      <c r="AO41">
        <f>AM41*Q41</f>
        <v/>
      </c>
      <c r="AQ41" s="9">
        <f>J41</f>
        <v/>
      </c>
      <c r="AR41" s="9" t="n">
        <v>0.243968185</v>
      </c>
      <c r="AS41" s="9" t="n">
        <v>0.249427613</v>
      </c>
      <c r="AT41" s="10" t="n">
        <v>0.246356685</v>
      </c>
      <c r="AU41" s="9" t="n">
        <v>0.23037491</v>
      </c>
      <c r="AW41" s="10">
        <f>AQ41</f>
        <v/>
      </c>
      <c r="AY41" s="10">
        <f>AR41*F41</f>
        <v/>
      </c>
      <c r="AZ41" s="10">
        <f>AS41*H41</f>
        <v/>
      </c>
      <c r="BA41" s="10">
        <f>AT41*G41</f>
        <v/>
      </c>
      <c r="BB41" s="10">
        <f>L41</f>
        <v/>
      </c>
      <c r="BC41" s="10">
        <f>K41</f>
        <v/>
      </c>
      <c r="BE41" s="1">
        <f>AW41-SUM(AY41:BC41)</f>
        <v/>
      </c>
    </row>
    <row r="42">
      <c r="B42" s="13" t="inlineStr">
        <is>
          <t>SW_Gasoline_Gasification_CCS_31_Wood</t>
        </is>
      </c>
      <c r="C42" s="12" t="inlineStr">
        <is>
          <t>Biomass_Wood</t>
        </is>
      </c>
      <c r="D42" s="12" t="n">
        <v>0</v>
      </c>
      <c r="E42" s="12" t="n">
        <v>0.1041</v>
      </c>
      <c r="F42" s="12" t="n">
        <v>2.126</v>
      </c>
      <c r="G42" s="12" t="n">
        <v>0</v>
      </c>
      <c r="H42" s="12" t="n">
        <v>0</v>
      </c>
      <c r="I42" s="24">
        <f>F42+G42+H42</f>
        <v/>
      </c>
      <c r="J42" s="12" t="n">
        <v>1.798</v>
      </c>
      <c r="K42" s="12" t="n">
        <v>0.3969775606342466</v>
      </c>
      <c r="L42" s="12" t="n">
        <v>0.8823571497564934</v>
      </c>
      <c r="M42" s="12" t="n">
        <v>434628.32</v>
      </c>
      <c r="N42" s="12" t="n">
        <v>354088</v>
      </c>
      <c r="O42" s="12" t="n">
        <v>23.5872</v>
      </c>
      <c r="Q42" s="15" t="n">
        <v>110.892214</v>
      </c>
      <c r="R42" s="15" t="n">
        <v>-16.594224</v>
      </c>
      <c r="S42" s="15" t="n">
        <v>160</v>
      </c>
      <c r="T42" s="15" t="n">
        <v>125.807546</v>
      </c>
      <c r="U42" s="15" t="n">
        <v>143.289826</v>
      </c>
      <c r="V42" s="15" t="n">
        <v>114.17137</v>
      </c>
      <c r="W42" s="15" t="n">
        <v>28.012186</v>
      </c>
      <c r="Y42">
        <f>B42</f>
        <v/>
      </c>
      <c r="Z42">
        <f>C42</f>
        <v/>
      </c>
      <c r="AA42" s="11">
        <f>SUM(AD42:AI42)+AK42+AL42</f>
        <v/>
      </c>
      <c r="AB42" s="11">
        <f>SUM(AD42:AI42)+AN42+AO42</f>
        <v/>
      </c>
      <c r="AC42" s="5">
        <f>AA42-AB42</f>
        <v/>
      </c>
      <c r="AD42">
        <f>D42/H42*W42*-1</f>
        <v/>
      </c>
      <c r="AE42">
        <f>E42/H42*W42</f>
        <v/>
      </c>
      <c r="AF42" s="1">
        <f t="array" ref="AF42">_xlfn.IFS(C42="Biomass_Corn", 1/H42*S42, C42="Biomass_Agri", 1/H42*V42, C42="Biomass_Wood", 1/H42*U42, C42="Biomass_Herb", 1/H42*T42)</f>
        <v/>
      </c>
      <c r="AG42">
        <f>M42/H42/(0.9*8760)</f>
        <v/>
      </c>
      <c r="AH42">
        <f>N42/H42/(0.9*8760)</f>
        <v/>
      </c>
      <c r="AI42">
        <f>O42/H42</f>
        <v/>
      </c>
      <c r="AJ42" s="1">
        <f>(AY42+AZ42+BA42+BB42+BC42-AW42)/I42</f>
        <v/>
      </c>
      <c r="AK42" s="1">
        <f>(Q42+R42)*-1*K42/I42</f>
        <v/>
      </c>
      <c r="AL42">
        <f>AJ42*Q42</f>
        <v/>
      </c>
      <c r="AM42" s="1">
        <f>(SUM(AY42:BB42)-AW42)/I42</f>
        <v/>
      </c>
      <c r="AN42" s="1">
        <f>K42/I42*-1*R42</f>
        <v/>
      </c>
      <c r="AO42">
        <f>AM42*Q42</f>
        <v/>
      </c>
      <c r="AQ42" s="9">
        <f>J42</f>
        <v/>
      </c>
      <c r="AR42" s="9" t="n">
        <v>0.243968185</v>
      </c>
      <c r="AS42" s="9" t="n">
        <v>0.249427613</v>
      </c>
      <c r="AT42" s="10" t="n">
        <v>0.246356685</v>
      </c>
      <c r="AU42" s="9" t="n">
        <v>0.23037491</v>
      </c>
      <c r="AW42" s="10">
        <f>AQ42</f>
        <v/>
      </c>
      <c r="AY42" s="10">
        <f>AR42*F42</f>
        <v/>
      </c>
      <c r="AZ42" s="10">
        <f>AS42*H42</f>
        <v/>
      </c>
      <c r="BA42" s="10">
        <f>AT42*G42</f>
        <v/>
      </c>
      <c r="BB42" s="10">
        <f>L42</f>
        <v/>
      </c>
      <c r="BC42" s="10">
        <f>K42</f>
        <v/>
      </c>
      <c r="BE42" s="1">
        <f>AW42-SUM(AY42:BC42)</f>
        <v/>
      </c>
    </row>
    <row r="43">
      <c r="B43" s="13" t="inlineStr">
        <is>
          <t>TX_Gasoline_Gasification_CCS_31_Wood</t>
        </is>
      </c>
      <c r="C43" s="12" t="inlineStr">
        <is>
          <t>Biomass_Wood</t>
        </is>
      </c>
      <c r="D43" s="12" t="n">
        <v>0</v>
      </c>
      <c r="E43" s="12" t="n">
        <v>0.1041</v>
      </c>
      <c r="F43" s="12" t="n">
        <v>2.1093</v>
      </c>
      <c r="G43" s="12" t="n">
        <v>0</v>
      </c>
      <c r="H43" s="12" t="n">
        <v>0</v>
      </c>
      <c r="I43" s="24">
        <f>F43+G43+H43</f>
        <v/>
      </c>
      <c r="J43" s="12" t="n">
        <v>1.821</v>
      </c>
      <c r="K43" s="12" t="n">
        <v>0.4053757603157963</v>
      </c>
      <c r="L43" s="12" t="n">
        <v>0.9010237250718812</v>
      </c>
      <c r="M43" s="12" t="n">
        <v>434628.32</v>
      </c>
      <c r="N43" s="12" t="n">
        <v>354088</v>
      </c>
      <c r="O43" s="12" t="n">
        <v>23.5872</v>
      </c>
      <c r="Q43" s="15" t="n">
        <v>110.892214</v>
      </c>
      <c r="R43" s="15" t="n">
        <v>-21.499827</v>
      </c>
      <c r="S43" s="15" t="n">
        <v>160</v>
      </c>
      <c r="T43" s="15" t="n">
        <v>140.297617</v>
      </c>
      <c r="U43" s="15" t="n">
        <v>160.374377</v>
      </c>
      <c r="V43" s="15" t="n">
        <v>113.606838</v>
      </c>
      <c r="W43" s="15" t="n">
        <v>20.240713</v>
      </c>
      <c r="Y43">
        <f>B43</f>
        <v/>
      </c>
      <c r="Z43">
        <f>C43</f>
        <v/>
      </c>
      <c r="AA43" s="11">
        <f>SUM(AD43:AI43)+AK43+AL43</f>
        <v/>
      </c>
      <c r="AB43" s="11">
        <f>SUM(AD43:AI43)+AN43+AO43</f>
        <v/>
      </c>
      <c r="AC43" s="5">
        <f>AA43-AB43</f>
        <v/>
      </c>
      <c r="AD43">
        <f>D43/H43*W43*-1</f>
        <v/>
      </c>
      <c r="AE43">
        <f>E43/H43*W43</f>
        <v/>
      </c>
      <c r="AF43" s="1">
        <f t="array" ref="AF43">_xlfn.IFS(C43="Biomass_Corn", 1/H43*S43, C43="Biomass_Agri", 1/H43*V43, C43="Biomass_Wood", 1/H43*U43, C43="Biomass_Herb", 1/H43*T43)</f>
        <v/>
      </c>
      <c r="AG43">
        <f>M43/H43/(0.9*8760)</f>
        <v/>
      </c>
      <c r="AH43">
        <f>N43/H43/(0.9*8760)</f>
        <v/>
      </c>
      <c r="AI43">
        <f>O43/H43</f>
        <v/>
      </c>
      <c r="AJ43" s="1">
        <f>(AY43+AZ43+BA43+BB43+BC43-AW43)/I43</f>
        <v/>
      </c>
      <c r="AK43" s="1">
        <f>(Q43+R43)*-1*K43/I43</f>
        <v/>
      </c>
      <c r="AL43">
        <f>AJ43*Q43</f>
        <v/>
      </c>
      <c r="AM43" s="1">
        <f>(SUM(AY43:BB43)-AW43)/I43</f>
        <v/>
      </c>
      <c r="AN43" s="1">
        <f>K43/I43*-1*R43</f>
        <v/>
      </c>
      <c r="AO43">
        <f>AM43*Q43</f>
        <v/>
      </c>
      <c r="AQ43" s="9">
        <f>J43</f>
        <v/>
      </c>
      <c r="AR43" s="9" t="n">
        <v>0.243968185</v>
      </c>
      <c r="AS43" s="9" t="n">
        <v>0.249427613</v>
      </c>
      <c r="AT43" s="10" t="n">
        <v>0.246356685</v>
      </c>
      <c r="AU43" s="9" t="n">
        <v>0.23037491</v>
      </c>
      <c r="AW43" s="10">
        <f>AQ43</f>
        <v/>
      </c>
      <c r="AY43" s="10">
        <f>AR43*F43</f>
        <v/>
      </c>
      <c r="AZ43" s="10">
        <f>AS43*H43</f>
        <v/>
      </c>
      <c r="BA43" s="10">
        <f>AT43*G43</f>
        <v/>
      </c>
      <c r="BB43" s="10">
        <f>L43</f>
        <v/>
      </c>
      <c r="BC43" s="10">
        <f>K43</f>
        <v/>
      </c>
      <c r="BE43" s="1">
        <f>AW43-SUM(AY43:BC43)</f>
        <v/>
      </c>
    </row>
    <row r="44">
      <c r="B44" s="13" t="inlineStr">
        <is>
          <t>NCEN_Gasoline_Gasification_CCS_31_Wood</t>
        </is>
      </c>
      <c r="C44" s="12" t="inlineStr">
        <is>
          <t>Biomass_Wood</t>
        </is>
      </c>
      <c r="D44" s="12" t="n">
        <v>0</v>
      </c>
      <c r="E44" s="12" t="n">
        <v>0.1041</v>
      </c>
      <c r="F44" s="12" t="n">
        <v>2.1171</v>
      </c>
      <c r="G44" s="12" t="n">
        <v>0</v>
      </c>
      <c r="H44" s="12" t="n">
        <v>0</v>
      </c>
      <c r="I44" s="24">
        <f>F44+G44+H44</f>
        <v/>
      </c>
      <c r="J44" s="12" t="n">
        <v>1.802</v>
      </c>
      <c r="K44" s="12" t="n">
        <v>0.3988914537977399</v>
      </c>
      <c r="L44" s="12" t="n">
        <v>0.8866111365913669</v>
      </c>
      <c r="M44" s="12" t="n">
        <v>434628.32</v>
      </c>
      <c r="N44" s="12" t="n">
        <v>354088</v>
      </c>
      <c r="O44" s="12" t="n">
        <v>23.5872</v>
      </c>
      <c r="Q44" s="15" t="n">
        <v>110.892214</v>
      </c>
      <c r="R44" s="15" t="n">
        <v>-41.711711</v>
      </c>
      <c r="S44" s="15" t="n">
        <v>160</v>
      </c>
      <c r="T44" s="15" t="n">
        <v>106.368089</v>
      </c>
      <c r="U44" s="15" t="n">
        <v>117.804824</v>
      </c>
      <c r="V44" s="15" t="n">
        <v>93.32494199999999</v>
      </c>
      <c r="W44" s="15" t="n">
        <v>30.728803</v>
      </c>
      <c r="Y44">
        <f>B44</f>
        <v/>
      </c>
      <c r="Z44">
        <f>C44</f>
        <v/>
      </c>
      <c r="AA44" s="11">
        <f>SUM(AD44:AI44)+AK44+AL44</f>
        <v/>
      </c>
      <c r="AB44" s="11">
        <f>SUM(AD44:AI44)+AN44+AO44</f>
        <v/>
      </c>
      <c r="AC44" s="5">
        <f>AA44-AB44</f>
        <v/>
      </c>
      <c r="AD44">
        <f>D44/H44*W44*-1</f>
        <v/>
      </c>
      <c r="AE44">
        <f>E44/H44*W44</f>
        <v/>
      </c>
      <c r="AF44" s="1">
        <f t="array" ref="AF44">_xlfn.IFS(C44="Biomass_Corn", 1/H44*S44, C44="Biomass_Agri", 1/H44*V44, C44="Biomass_Wood", 1/H44*U44, C44="Biomass_Herb", 1/H44*T44)</f>
        <v/>
      </c>
      <c r="AG44">
        <f>M44/H44/(0.9*8760)</f>
        <v/>
      </c>
      <c r="AH44">
        <f>N44/H44/(0.9*8760)</f>
        <v/>
      </c>
      <c r="AI44">
        <f>O44/H44</f>
        <v/>
      </c>
      <c r="AJ44" s="1">
        <f>(AY44+AZ44+BA44+BB44+BC44-AW44)/I44</f>
        <v/>
      </c>
      <c r="AK44" s="1">
        <f>(Q44+R44)*-1*K44/I44</f>
        <v/>
      </c>
      <c r="AL44">
        <f>AJ44*Q44</f>
        <v/>
      </c>
      <c r="AM44" s="1">
        <f>(SUM(AY44:BB44)-AW44)/I44</f>
        <v/>
      </c>
      <c r="AN44" s="1">
        <f>K44/I44*-1*R44</f>
        <v/>
      </c>
      <c r="AO44">
        <f>AM44*Q44</f>
        <v/>
      </c>
      <c r="AQ44" s="9">
        <f>J44</f>
        <v/>
      </c>
      <c r="AR44" s="9" t="n">
        <v>0.243968185</v>
      </c>
      <c r="AS44" s="9" t="n">
        <v>0.249427613</v>
      </c>
      <c r="AT44" s="10" t="n">
        <v>0.246356685</v>
      </c>
      <c r="AU44" s="9" t="n">
        <v>0.23037491</v>
      </c>
      <c r="AW44" s="10">
        <f>AQ44</f>
        <v/>
      </c>
      <c r="AY44" s="10">
        <f>AR44*F44</f>
        <v/>
      </c>
      <c r="AZ44" s="10">
        <f>AS44*H44</f>
        <v/>
      </c>
      <c r="BA44" s="10">
        <f>AT44*G44</f>
        <v/>
      </c>
      <c r="BB44" s="10">
        <f>L44</f>
        <v/>
      </c>
      <c r="BC44" s="10">
        <f>K44</f>
        <v/>
      </c>
      <c r="BE44" s="1">
        <f>AW44-SUM(AY44:BC44)</f>
        <v/>
      </c>
    </row>
    <row r="45">
      <c r="B45" s="13" t="inlineStr">
        <is>
          <t>CEN_Gasoline_Gasification_CCS_31_Wood</t>
        </is>
      </c>
      <c r="C45" s="12" t="inlineStr">
        <is>
          <t>Biomass_Wood</t>
        </is>
      </c>
      <c r="D45" s="12" t="n">
        <v>0</v>
      </c>
      <c r="E45" s="12" t="n">
        <v>0.1041</v>
      </c>
      <c r="F45" s="12" t="n">
        <v>2.1182</v>
      </c>
      <c r="G45" s="12" t="n">
        <v>0</v>
      </c>
      <c r="H45" s="12" t="n">
        <v>0</v>
      </c>
      <c r="I45" s="24">
        <f>F45+G45+H45</f>
        <v/>
      </c>
      <c r="J45" s="12" t="n">
        <v>1.802</v>
      </c>
      <c r="K45" s="12" t="n">
        <v>0.3988073671523032</v>
      </c>
      <c r="L45" s="12" t="n">
        <v>0.8864242382370077</v>
      </c>
      <c r="M45" s="12" t="n">
        <v>434628.32</v>
      </c>
      <c r="N45" s="12" t="n">
        <v>354088</v>
      </c>
      <c r="O45" s="12" t="n">
        <v>23.5872</v>
      </c>
      <c r="Q45" s="15" t="n">
        <v>110.892214</v>
      </c>
      <c r="R45" s="15" t="n">
        <v>-31.698788</v>
      </c>
      <c r="S45" s="15" t="n">
        <v>160</v>
      </c>
      <c r="T45" s="15" t="n">
        <v>112.646846</v>
      </c>
      <c r="U45" s="15" t="n">
        <v>129.719823</v>
      </c>
      <c r="V45" s="15" t="n">
        <v>101.234661</v>
      </c>
      <c r="W45" s="15" t="n">
        <v>25.375037</v>
      </c>
      <c r="Y45">
        <f>B45</f>
        <v/>
      </c>
      <c r="Z45">
        <f>C45</f>
        <v/>
      </c>
      <c r="AA45" s="11">
        <f>SUM(AD45:AI45)+AK45+AL45</f>
        <v/>
      </c>
      <c r="AB45" s="11">
        <f>SUM(AD45:AI45)+AN45+AO45</f>
        <v/>
      </c>
      <c r="AC45" s="5">
        <f>AA45-AB45</f>
        <v/>
      </c>
      <c r="AD45">
        <f>D45/H45*W45*-1</f>
        <v/>
      </c>
      <c r="AE45">
        <f>E45/H45*W45</f>
        <v/>
      </c>
      <c r="AF45" s="1">
        <f t="array" ref="AF45">_xlfn.IFS(C45="Biomass_Corn", 1/H45*S45, C45="Biomass_Agri", 1/H45*V45, C45="Biomass_Wood", 1/H45*U45, C45="Biomass_Herb", 1/H45*T45)</f>
        <v/>
      </c>
      <c r="AG45">
        <f>M45/H45/(0.9*8760)</f>
        <v/>
      </c>
      <c r="AH45">
        <f>N45/H45/(0.9*8760)</f>
        <v/>
      </c>
      <c r="AI45">
        <f>O45/H45</f>
        <v/>
      </c>
      <c r="AJ45" s="1">
        <f>(AY45+AZ45+BA45+BB45+BC45-AW45)/I45</f>
        <v/>
      </c>
      <c r="AK45" s="1">
        <f>(Q45+R45)*-1*K45/I45</f>
        <v/>
      </c>
      <c r="AL45">
        <f>AJ45*Q45</f>
        <v/>
      </c>
      <c r="AM45" s="1">
        <f>(SUM(AY45:BB45)-AW45)/I45</f>
        <v/>
      </c>
      <c r="AN45" s="1">
        <f>K45/I45*-1*R45</f>
        <v/>
      </c>
      <c r="AO45">
        <f>AM45*Q45</f>
        <v/>
      </c>
      <c r="AQ45" s="9">
        <f>J45</f>
        <v/>
      </c>
      <c r="AR45" s="9" t="n">
        <v>0.243968185</v>
      </c>
      <c r="AS45" s="9" t="n">
        <v>0.249427613</v>
      </c>
      <c r="AT45" s="10" t="n">
        <v>0.246356685</v>
      </c>
      <c r="AU45" s="9" t="n">
        <v>0.23037491</v>
      </c>
      <c r="AW45" s="10">
        <f>AQ45</f>
        <v/>
      </c>
      <c r="AY45" s="10">
        <f>AR45*F45</f>
        <v/>
      </c>
      <c r="AZ45" s="10">
        <f>AS45*H45</f>
        <v/>
      </c>
      <c r="BA45" s="10">
        <f>AT45*G45</f>
        <v/>
      </c>
      <c r="BB45" s="10">
        <f>L45</f>
        <v/>
      </c>
      <c r="BC45" s="10">
        <f>K45</f>
        <v/>
      </c>
      <c r="BE45" s="1">
        <f>AW45-SUM(AY45:BC45)</f>
        <v/>
      </c>
    </row>
    <row r="46">
      <c r="B46" s="13" t="inlineStr">
        <is>
          <t>SE_Gasoline_Gasification_CCS_31_Wood</t>
        </is>
      </c>
      <c r="C46" s="12" t="inlineStr">
        <is>
          <t>Biomass_Wood</t>
        </is>
      </c>
      <c r="D46" s="12" t="n">
        <v>0</v>
      </c>
      <c r="E46" s="12" t="n">
        <v>0.1041</v>
      </c>
      <c r="F46" s="12" t="n">
        <v>2.126</v>
      </c>
      <c r="G46" s="12" t="n">
        <v>0</v>
      </c>
      <c r="H46" s="12" t="n">
        <v>0</v>
      </c>
      <c r="I46" s="24">
        <f>F46+G46+H46</f>
        <v/>
      </c>
      <c r="J46" s="12" t="n">
        <v>1.821</v>
      </c>
      <c r="K46" s="12" t="n">
        <v>0.4041144606342465</v>
      </c>
      <c r="L46" s="12" t="n">
        <v>0.8982202497564932</v>
      </c>
      <c r="M46" s="12" t="n">
        <v>434628.32</v>
      </c>
      <c r="N46" s="12" t="n">
        <v>354088</v>
      </c>
      <c r="O46" s="12" t="n">
        <v>23.5872</v>
      </c>
      <c r="Q46" s="15" t="n">
        <v>110.892214</v>
      </c>
      <c r="R46" s="15" t="n">
        <v>-47.684613</v>
      </c>
      <c r="S46" s="15" t="n">
        <v>160</v>
      </c>
      <c r="T46" s="15" t="n">
        <v>100.406702</v>
      </c>
      <c r="U46" s="15" t="n">
        <v>115.539531</v>
      </c>
      <c r="V46" s="15" t="n">
        <v>89.577806</v>
      </c>
      <c r="W46" s="15" t="n">
        <v>38.228295</v>
      </c>
      <c r="Y46">
        <f>B46</f>
        <v/>
      </c>
      <c r="Z46">
        <f>C46</f>
        <v/>
      </c>
      <c r="AA46" s="11">
        <f>SUM(AD46:AI46)+AK46+AL46</f>
        <v/>
      </c>
      <c r="AB46" s="11">
        <f>SUM(AD46:AI46)+AN46+AO46</f>
        <v/>
      </c>
      <c r="AC46" s="5">
        <f>AA46-AB46</f>
        <v/>
      </c>
      <c r="AD46">
        <f>D46/H46*W46*-1</f>
        <v/>
      </c>
      <c r="AE46">
        <f>E46/H46*W46</f>
        <v/>
      </c>
      <c r="AF46" s="1">
        <f t="array" ref="AF46">_xlfn.IFS(C46="Biomass_Corn", 1/H46*S46, C46="Biomass_Agri", 1/H46*V46, C46="Biomass_Wood", 1/H46*U46, C46="Biomass_Herb", 1/H46*T46)</f>
        <v/>
      </c>
      <c r="AG46">
        <f>M46/H46/(0.9*8760)</f>
        <v/>
      </c>
      <c r="AH46">
        <f>N46/H46/(0.9*8760)</f>
        <v/>
      </c>
      <c r="AI46">
        <f>O46/H46</f>
        <v/>
      </c>
      <c r="AJ46" s="1">
        <f>(AY46+AZ46+BA46+BB46+BC46-AW46)/I46</f>
        <v/>
      </c>
      <c r="AK46" s="1">
        <f>(Q46+R46)*-1*K46/I46</f>
        <v/>
      </c>
      <c r="AL46">
        <f>AJ46*Q46</f>
        <v/>
      </c>
      <c r="AM46" s="1">
        <f>(SUM(AY46:BB46)-AW46)/I46</f>
        <v/>
      </c>
      <c r="AN46" s="1">
        <f>K46/I46*-1*R46</f>
        <v/>
      </c>
      <c r="AO46">
        <f>AM46*Q46</f>
        <v/>
      </c>
      <c r="AQ46" s="9">
        <f>J46</f>
        <v/>
      </c>
      <c r="AR46" s="9" t="n">
        <v>0.243968185</v>
      </c>
      <c r="AS46" s="9" t="n">
        <v>0.249427613</v>
      </c>
      <c r="AT46" s="10" t="n">
        <v>0.246356685</v>
      </c>
      <c r="AU46" s="9" t="n">
        <v>0.23037491</v>
      </c>
      <c r="AW46" s="10">
        <f>AQ46</f>
        <v/>
      </c>
      <c r="AY46" s="10">
        <f>AR46*F46</f>
        <v/>
      </c>
      <c r="AZ46" s="10">
        <f>AS46*H46</f>
        <v/>
      </c>
      <c r="BA46" s="10">
        <f>AT46*G46</f>
        <v/>
      </c>
      <c r="BB46" s="10">
        <f>L46</f>
        <v/>
      </c>
      <c r="BC46" s="10">
        <f>K46</f>
        <v/>
      </c>
      <c r="BE46" s="1">
        <f>AW46-SUM(AY46:BC46)</f>
        <v/>
      </c>
    </row>
    <row r="47">
      <c r="B47" s="13" t="inlineStr">
        <is>
          <t>MIDAT_Gasoline_Gasification_CCS_31_Wood</t>
        </is>
      </c>
      <c r="C47" s="12" t="inlineStr">
        <is>
          <t>Biomass_Wood</t>
        </is>
      </c>
      <c r="D47" s="12" t="n">
        <v>0</v>
      </c>
      <c r="E47" s="12" t="n">
        <v>0.1041</v>
      </c>
      <c r="F47" s="12" t="n">
        <v>2.1115</v>
      </c>
      <c r="G47" s="12" t="n">
        <v>0</v>
      </c>
      <c r="H47" s="12" t="n">
        <v>0</v>
      </c>
      <c r="I47" s="24">
        <f>F47+G47+H47</f>
        <v/>
      </c>
      <c r="J47" s="12" t="n">
        <v>1.806</v>
      </c>
      <c r="K47" s="12" t="n">
        <v>0.4005530870249231</v>
      </c>
      <c r="L47" s="12" t="n">
        <v>0.8903044283631628</v>
      </c>
      <c r="M47" s="12" t="n">
        <v>434628.32</v>
      </c>
      <c r="N47" s="12" t="n">
        <v>354088</v>
      </c>
      <c r="O47" s="12" t="n">
        <v>23.5872</v>
      </c>
      <c r="Q47" s="15" t="n">
        <v>110.892214</v>
      </c>
      <c r="R47" s="15" t="n">
        <v>-54.368796</v>
      </c>
      <c r="S47" s="15" t="n">
        <v>160</v>
      </c>
      <c r="T47" s="15" t="n">
        <v>101.540719</v>
      </c>
      <c r="U47" s="15" t="n">
        <v>109.472766</v>
      </c>
      <c r="V47" s="15" t="n">
        <v>90.14609900000001</v>
      </c>
      <c r="W47" s="15" t="n">
        <v>39.376329</v>
      </c>
      <c r="Y47">
        <f>B47</f>
        <v/>
      </c>
      <c r="Z47">
        <f>C47</f>
        <v/>
      </c>
      <c r="AA47" s="11">
        <f>SUM(AD47:AI47)+AK47+AL47</f>
        <v/>
      </c>
      <c r="AB47" s="11">
        <f>SUM(AD47:AI47)+AN47+AO47</f>
        <v/>
      </c>
      <c r="AC47" s="5">
        <f>AA47-AB47</f>
        <v/>
      </c>
      <c r="AD47">
        <f>D47/H47*W47*-1</f>
        <v/>
      </c>
      <c r="AE47">
        <f>E47/H47*W47</f>
        <v/>
      </c>
      <c r="AF47" s="1">
        <f t="array" ref="AF47">_xlfn.IFS(C47="Biomass_Corn", 1/H47*S47, C47="Biomass_Agri", 1/H47*V47, C47="Biomass_Wood", 1/H47*U47, C47="Biomass_Herb", 1/H47*T47)</f>
        <v/>
      </c>
      <c r="AG47">
        <f>M47/H47/(0.9*8760)</f>
        <v/>
      </c>
      <c r="AH47">
        <f>N47/H47/(0.9*8760)</f>
        <v/>
      </c>
      <c r="AI47">
        <f>O47/H47</f>
        <v/>
      </c>
      <c r="AJ47" s="1">
        <f>(AY47+AZ47+BA47+BB47+BC47-AW47)/I47</f>
        <v/>
      </c>
      <c r="AK47" s="1">
        <f>(Q47+R47)*-1*K47/I47</f>
        <v/>
      </c>
      <c r="AL47">
        <f>AJ47*Q47</f>
        <v/>
      </c>
      <c r="AM47" s="1">
        <f>(SUM(AY47:BB47)-AW47)/I47</f>
        <v/>
      </c>
      <c r="AN47" s="1">
        <f>K47/I47*-1*R47</f>
        <v/>
      </c>
      <c r="AO47">
        <f>AM47*Q47</f>
        <v/>
      </c>
      <c r="AQ47" s="9">
        <f>J47</f>
        <v/>
      </c>
      <c r="AR47" s="9" t="n">
        <v>0.243968185</v>
      </c>
      <c r="AS47" s="9" t="n">
        <v>0.249427613</v>
      </c>
      <c r="AT47" s="10" t="n">
        <v>0.246356685</v>
      </c>
      <c r="AU47" s="9" t="n">
        <v>0.23037491</v>
      </c>
      <c r="AW47" s="10">
        <f>AQ47</f>
        <v/>
      </c>
      <c r="AY47" s="10">
        <f>AR47*F47</f>
        <v/>
      </c>
      <c r="AZ47" s="10">
        <f>AS47*H47</f>
        <v/>
      </c>
      <c r="BA47" s="10">
        <f>AT47*G47</f>
        <v/>
      </c>
      <c r="BB47" s="10">
        <f>L47</f>
        <v/>
      </c>
      <c r="BC47" s="10">
        <f>K47</f>
        <v/>
      </c>
      <c r="BE47" s="1">
        <f>AW47-SUM(AY47:BC47)</f>
        <v/>
      </c>
    </row>
    <row r="48">
      <c r="B48" s="13" t="inlineStr">
        <is>
          <t>NE_Gasoline_Gasification_CCS_31_Wood</t>
        </is>
      </c>
      <c r="C48" s="12" t="inlineStr">
        <is>
          <t>Biomass_Wood</t>
        </is>
      </c>
      <c r="D48" s="12" t="n">
        <v>0</v>
      </c>
      <c r="E48" s="12" t="n">
        <v>0.1041</v>
      </c>
      <c r="F48" s="12" t="n">
        <v>2.0982</v>
      </c>
      <c r="G48" s="12" t="n">
        <v>0</v>
      </c>
      <c r="H48" s="12" t="n">
        <v>0</v>
      </c>
      <c r="I48" s="24">
        <f>F48+G48+H48</f>
        <v/>
      </c>
      <c r="J48" s="12" t="n">
        <v>1.826</v>
      </c>
      <c r="K48" s="12" t="n">
        <v>0.407768126770163</v>
      </c>
      <c r="L48" s="12" t="n">
        <v>0.9063412086154734</v>
      </c>
      <c r="M48" s="12" t="n">
        <v>434628.32</v>
      </c>
      <c r="N48" s="12" t="n">
        <v>354088</v>
      </c>
      <c r="O48" s="12" t="n">
        <v>23.5872</v>
      </c>
      <c r="Q48" s="15" t="n">
        <v>110.892214</v>
      </c>
      <c r="R48" s="15" t="n">
        <v>-62.623722</v>
      </c>
      <c r="S48" s="15" t="n">
        <v>160</v>
      </c>
      <c r="T48" s="15" t="n">
        <v>102.353041</v>
      </c>
      <c r="U48" s="15" t="n">
        <v>108.140489</v>
      </c>
      <c r="V48" s="15" t="n">
        <v>92.430212</v>
      </c>
      <c r="W48" s="15" t="n">
        <v>47.48771</v>
      </c>
      <c r="Y48">
        <f>B48</f>
        <v/>
      </c>
      <c r="Z48">
        <f>C48</f>
        <v/>
      </c>
      <c r="AA48" s="11">
        <f>SUM(AD48:AI48)+AK48+AL48</f>
        <v/>
      </c>
      <c r="AB48" s="11">
        <f>SUM(AD48:AI48)+AN48+AO48</f>
        <v/>
      </c>
      <c r="AC48" s="5">
        <f>AA48-AB48</f>
        <v/>
      </c>
      <c r="AD48">
        <f>D48/H48*W48*-1</f>
        <v/>
      </c>
      <c r="AE48">
        <f>E48/H48*W48</f>
        <v/>
      </c>
      <c r="AF48" s="1">
        <f t="array" ref="AF48">_xlfn.IFS(C48="Biomass_Corn", 1/H48*S48, C48="Biomass_Agri", 1/H48*V48, C48="Biomass_Wood", 1/H48*U48, C48="Biomass_Herb", 1/H48*T48)</f>
        <v/>
      </c>
      <c r="AG48">
        <f>M48/H48/(0.9*8760)</f>
        <v/>
      </c>
      <c r="AH48">
        <f>N48/H48/(0.9*8760)</f>
        <v/>
      </c>
      <c r="AI48">
        <f>O48/H48</f>
        <v/>
      </c>
      <c r="AJ48" s="1">
        <f>(AY48+AZ48+BA48+BB48+BC48-AW48)/I48</f>
        <v/>
      </c>
      <c r="AK48" s="1">
        <f>(Q48+R48)*-1*K48/I48</f>
        <v/>
      </c>
      <c r="AL48">
        <f>AJ48*Q48</f>
        <v/>
      </c>
      <c r="AM48" s="1">
        <f>(SUM(AY48:BB48)-AW48)/I48</f>
        <v/>
      </c>
      <c r="AN48" s="1">
        <f>K48/I48*-1*R48</f>
        <v/>
      </c>
      <c r="AO48">
        <f>AM48*Q48</f>
        <v/>
      </c>
      <c r="AQ48" s="9">
        <f>J48</f>
        <v/>
      </c>
      <c r="AR48" s="9" t="n">
        <v>0.243968185</v>
      </c>
      <c r="AS48" s="9" t="n">
        <v>0.249427613</v>
      </c>
      <c r="AT48" s="10" t="n">
        <v>0.246356685</v>
      </c>
      <c r="AU48" s="9" t="n">
        <v>0.23037491</v>
      </c>
      <c r="AW48" s="10">
        <f>AQ48</f>
        <v/>
      </c>
      <c r="AY48" s="10">
        <f>AR48*F48</f>
        <v/>
      </c>
      <c r="AZ48" s="10">
        <f>AS48*H48</f>
        <v/>
      </c>
      <c r="BA48" s="10">
        <f>AT48*G48</f>
        <v/>
      </c>
      <c r="BB48" s="10">
        <f>L48</f>
        <v/>
      </c>
      <c r="BC48" s="10">
        <f>K48</f>
        <v/>
      </c>
      <c r="BE48" s="1">
        <f>AW48-SUM(AY48:BC48)</f>
        <v/>
      </c>
    </row>
    <row r="49">
      <c r="B49" s="13" t="inlineStr">
        <is>
          <t>CA_Gasoline_Gasification_CCS_31_Agri</t>
        </is>
      </c>
      <c r="C49" s="12" t="inlineStr">
        <is>
          <t>Biomass_Agri</t>
        </is>
      </c>
      <c r="D49" s="12" t="n">
        <v>0</v>
      </c>
      <c r="E49" s="12" t="n">
        <v>0.1041</v>
      </c>
      <c r="F49" s="12" t="n">
        <v>2.0315</v>
      </c>
      <c r="G49" s="12" t="n">
        <v>0</v>
      </c>
      <c r="H49" s="12" t="n">
        <v>0</v>
      </c>
      <c r="I49" s="24">
        <f>F49+G49+H49</f>
        <v/>
      </c>
      <c r="J49" s="12" t="n">
        <v>1.719</v>
      </c>
      <c r="K49" s="12" t="n">
        <v>0.3796112254963621</v>
      </c>
      <c r="L49" s="12" t="n">
        <v>0.8437572098770252</v>
      </c>
      <c r="M49" s="12" t="n">
        <v>434628.32</v>
      </c>
      <c r="N49" s="12" t="n">
        <v>354088</v>
      </c>
      <c r="O49" s="12" t="n">
        <v>23.5872</v>
      </c>
      <c r="Q49" s="15" t="n">
        <v>110.892214</v>
      </c>
      <c r="R49" s="15" t="n">
        <v>-6.493396</v>
      </c>
      <c r="S49" s="15" t="n">
        <v>160</v>
      </c>
      <c r="T49" s="15" t="n">
        <v>1539.150891</v>
      </c>
      <c r="U49" s="15" t="n">
        <v>162.083504</v>
      </c>
      <c r="V49" s="15" t="n">
        <v>140.323815</v>
      </c>
      <c r="W49" s="15" t="n">
        <v>36.566419</v>
      </c>
      <c r="Y49">
        <f>B49</f>
        <v/>
      </c>
      <c r="Z49">
        <f>C49</f>
        <v/>
      </c>
      <c r="AA49" s="11">
        <f>SUM(AD49:AI49)+AK49+AL49</f>
        <v/>
      </c>
      <c r="AB49" s="11">
        <f>SUM(AD49:AI49)+AN49+AO49</f>
        <v/>
      </c>
      <c r="AC49" s="5">
        <f>AA49-AB49</f>
        <v/>
      </c>
      <c r="AD49">
        <f>D49/H49*W49*-1</f>
        <v/>
      </c>
      <c r="AE49">
        <f>E49/H49*W49</f>
        <v/>
      </c>
      <c r="AF49" s="1">
        <f t="array" ref="AF49">_xlfn.IFS(C49="Biomass_Corn", 1/H49*S49, C49="Biomass_Agri", 1/H49*V49, C49="Biomass_Wood", 1/H49*U49, C49="Biomass_Herb", 1/H49*T49)</f>
        <v/>
      </c>
      <c r="AG49">
        <f>M49/H49/(0.9*8760)</f>
        <v/>
      </c>
      <c r="AH49">
        <f>N49/H49/(0.9*8760)</f>
        <v/>
      </c>
      <c r="AI49">
        <f>O49/H49</f>
        <v/>
      </c>
      <c r="AJ49" s="1">
        <f>(AY49+AZ49+BA49+BB49+BC49-AW49)/I49</f>
        <v/>
      </c>
      <c r="AK49" s="1">
        <f>(Q49+R49)*-1*K49/I49</f>
        <v/>
      </c>
      <c r="AL49">
        <f>AJ49*Q49</f>
        <v/>
      </c>
      <c r="AM49" s="1">
        <f>(SUM(AY49:BB49)-AW49)/I49</f>
        <v/>
      </c>
      <c r="AN49" s="1">
        <f>K49/I49*-1*R49</f>
        <v/>
      </c>
      <c r="AO49">
        <f>AM49*Q49</f>
        <v/>
      </c>
      <c r="AQ49" s="9">
        <f>J49</f>
        <v/>
      </c>
      <c r="AR49" s="9" t="n">
        <v>0.243968185</v>
      </c>
      <c r="AS49" s="9" t="n">
        <v>0.249427613</v>
      </c>
      <c r="AT49" s="10" t="n">
        <v>0.246356685</v>
      </c>
      <c r="AU49" s="9" t="n">
        <v>0.23037491</v>
      </c>
      <c r="AW49" s="10">
        <f>AQ49</f>
        <v/>
      </c>
      <c r="AY49" s="10">
        <f>AR49*F49</f>
        <v/>
      </c>
      <c r="AZ49" s="10">
        <f>AS49*H49</f>
        <v/>
      </c>
      <c r="BA49" s="10">
        <f>AT49*G49</f>
        <v/>
      </c>
      <c r="BB49" s="10">
        <f>L49</f>
        <v/>
      </c>
      <c r="BC49" s="10">
        <f>K49</f>
        <v/>
      </c>
      <c r="BE49" s="1">
        <f>AW49-SUM(AY49:BC49)</f>
        <v/>
      </c>
    </row>
    <row r="50">
      <c r="B50" s="13" t="inlineStr">
        <is>
          <t>NW_Gasoline_Gasification_CCS_31_Agri</t>
        </is>
      </c>
      <c r="C50" s="12" t="inlineStr">
        <is>
          <t>Biomass_Agri</t>
        </is>
      </c>
      <c r="D50" s="12" t="n">
        <v>0</v>
      </c>
      <c r="E50" s="12" t="n">
        <v>0.1041</v>
      </c>
      <c r="F50" s="12" t="n">
        <v>1.8572</v>
      </c>
      <c r="G50" s="12" t="n">
        <v>0</v>
      </c>
      <c r="H50" s="12" t="n">
        <v>0</v>
      </c>
      <c r="I50" s="24">
        <f>F50+G50+H50</f>
        <v/>
      </c>
      <c r="J50" s="12" t="n">
        <v>1.664</v>
      </c>
      <c r="K50" s="12" t="n">
        <v>0.3757463288299165</v>
      </c>
      <c r="L50" s="12" t="n">
        <v>0.8351667515114194</v>
      </c>
      <c r="M50" s="12" t="n">
        <v>434628.32</v>
      </c>
      <c r="N50" s="12" t="n">
        <v>354088</v>
      </c>
      <c r="O50" s="12" t="n">
        <v>23.5872</v>
      </c>
      <c r="Q50" s="15" t="n">
        <v>110.892214</v>
      </c>
      <c r="R50" s="15" t="n">
        <v>-7.381741</v>
      </c>
      <c r="S50" s="15" t="n">
        <v>160</v>
      </c>
      <c r="T50" s="15" t="n">
        <v>140.805445</v>
      </c>
      <c r="U50" s="15" t="n">
        <v>159.375106</v>
      </c>
      <c r="V50" s="15" t="n">
        <v>121.714108</v>
      </c>
      <c r="W50" s="15" t="n">
        <v>26.767046</v>
      </c>
      <c r="Y50">
        <f>B50</f>
        <v/>
      </c>
      <c r="Z50">
        <f>C50</f>
        <v/>
      </c>
      <c r="AA50" s="11">
        <f>SUM(AD50:AI50)+AK50+AL50</f>
        <v/>
      </c>
      <c r="AB50" s="11">
        <f>SUM(AD50:AI50)+AN50+AO50</f>
        <v/>
      </c>
      <c r="AC50" s="5">
        <f>AA50-AB50</f>
        <v/>
      </c>
      <c r="AD50">
        <f>D50/H50*W50*-1</f>
        <v/>
      </c>
      <c r="AE50">
        <f>E50/H50*W50</f>
        <v/>
      </c>
      <c r="AF50" s="1">
        <f t="array" ref="AF50">_xlfn.IFS(C50="Biomass_Corn", 1/H50*S50, C50="Biomass_Agri", 1/H50*V50, C50="Biomass_Wood", 1/H50*U50, C50="Biomass_Herb", 1/H50*T50)</f>
        <v/>
      </c>
      <c r="AG50">
        <f>M50/H50/(0.9*8760)</f>
        <v/>
      </c>
      <c r="AH50">
        <f>N50/H50/(0.9*8760)</f>
        <v/>
      </c>
      <c r="AI50">
        <f>O50/H50</f>
        <v/>
      </c>
      <c r="AJ50" s="1">
        <f>(AY50+AZ50+BA50+BB50+BC50-AW50)/I50</f>
        <v/>
      </c>
      <c r="AK50" s="1">
        <f>(Q50+R50)*-1*K50/I50</f>
        <v/>
      </c>
      <c r="AL50">
        <f>AJ50*Q50</f>
        <v/>
      </c>
      <c r="AM50" s="1">
        <f>(SUM(AY50:BB50)-AW50)/I50</f>
        <v/>
      </c>
      <c r="AN50" s="1">
        <f>K50/I50*-1*R50</f>
        <v/>
      </c>
      <c r="AO50">
        <f>AM50*Q50</f>
        <v/>
      </c>
      <c r="AQ50" s="9">
        <f>J50</f>
        <v/>
      </c>
      <c r="AR50" s="9" t="n">
        <v>0.243968185</v>
      </c>
      <c r="AS50" s="9" t="n">
        <v>0.249427613</v>
      </c>
      <c r="AT50" s="10" t="n">
        <v>0.246356685</v>
      </c>
      <c r="AU50" s="9" t="n">
        <v>0.23037491</v>
      </c>
      <c r="AW50" s="10">
        <f>AQ50</f>
        <v/>
      </c>
      <c r="AY50" s="10">
        <f>AR50*F50</f>
        <v/>
      </c>
      <c r="AZ50" s="10">
        <f>AS50*H50</f>
        <v/>
      </c>
      <c r="BA50" s="10">
        <f>AT50*G50</f>
        <v/>
      </c>
      <c r="BB50" s="10">
        <f>L50</f>
        <v/>
      </c>
      <c r="BC50" s="10">
        <f>K50</f>
        <v/>
      </c>
      <c r="BE50" s="1">
        <f>AW50-SUM(AY50:BC50)</f>
        <v/>
      </c>
    </row>
    <row r="51">
      <c r="B51" s="13" t="inlineStr">
        <is>
          <t>SW_Gasoline_Gasification_CCS_31_Agri</t>
        </is>
      </c>
      <c r="C51" s="12" t="inlineStr">
        <is>
          <t>Biomass_Agri</t>
        </is>
      </c>
      <c r="D51" s="12" t="n">
        <v>0</v>
      </c>
      <c r="E51" s="12" t="n">
        <v>0.1041</v>
      </c>
      <c r="F51" s="12" t="n">
        <v>1.8916</v>
      </c>
      <c r="G51" s="12" t="n">
        <v>0</v>
      </c>
      <c r="H51" s="12" t="n">
        <v>0</v>
      </c>
      <c r="I51" s="24">
        <f>F51+G51+H51</f>
        <v/>
      </c>
      <c r="J51" s="12" t="n">
        <v>1.687</v>
      </c>
      <c r="K51" s="12" t="n">
        <v>0.3802765428213803</v>
      </c>
      <c r="L51" s="12" t="n">
        <v>0.8452360025262842</v>
      </c>
      <c r="M51" s="12" t="n">
        <v>434628.32</v>
      </c>
      <c r="N51" s="12" t="n">
        <v>354088</v>
      </c>
      <c r="O51" s="12" t="n">
        <v>23.5872</v>
      </c>
      <c r="Q51" s="15" t="n">
        <v>110.892214</v>
      </c>
      <c r="R51" s="15" t="n">
        <v>-16.594224</v>
      </c>
      <c r="S51" s="15" t="n">
        <v>160</v>
      </c>
      <c r="T51" s="15" t="n">
        <v>125.807546</v>
      </c>
      <c r="U51" s="15" t="n">
        <v>143.289826</v>
      </c>
      <c r="V51" s="15" t="n">
        <v>114.17137</v>
      </c>
      <c r="W51" s="15" t="n">
        <v>28.012186</v>
      </c>
      <c r="Y51">
        <f>B51</f>
        <v/>
      </c>
      <c r="Z51">
        <f>C51</f>
        <v/>
      </c>
      <c r="AA51" s="11">
        <f>SUM(AD51:AI51)+AK51+AL51</f>
        <v/>
      </c>
      <c r="AB51" s="11">
        <f>SUM(AD51:AI51)+AN51+AO51</f>
        <v/>
      </c>
      <c r="AC51" s="5">
        <f>AA51-AB51</f>
        <v/>
      </c>
      <c r="AD51">
        <f>D51/H51*W51*-1</f>
        <v/>
      </c>
      <c r="AE51">
        <f>E51/H51*W51</f>
        <v/>
      </c>
      <c r="AF51" s="1">
        <f t="array" ref="AF51">_xlfn.IFS(C51="Biomass_Corn", 1/H51*S51, C51="Biomass_Agri", 1/H51*V51, C51="Biomass_Wood", 1/H51*U51, C51="Biomass_Herb", 1/H51*T51)</f>
        <v/>
      </c>
      <c r="AG51">
        <f>M51/H51/(0.9*8760)</f>
        <v/>
      </c>
      <c r="AH51">
        <f>N51/H51/(0.9*8760)</f>
        <v/>
      </c>
      <c r="AI51">
        <f>O51/H51</f>
        <v/>
      </c>
      <c r="AJ51" s="1">
        <f>(AY51+AZ51+BA51+BB51+BC51-AW51)/I51</f>
        <v/>
      </c>
      <c r="AK51" s="1">
        <f>(Q51+R51)*-1*K51/I51</f>
        <v/>
      </c>
      <c r="AL51">
        <f>AJ51*Q51</f>
        <v/>
      </c>
      <c r="AM51" s="1">
        <f>(SUM(AY51:BB51)-AW51)/I51</f>
        <v/>
      </c>
      <c r="AN51" s="1">
        <f>K51/I51*-1*R51</f>
        <v/>
      </c>
      <c r="AO51">
        <f>AM51*Q51</f>
        <v/>
      </c>
      <c r="AQ51" s="9">
        <f>J51</f>
        <v/>
      </c>
      <c r="AR51" s="9" t="n">
        <v>0.243968185</v>
      </c>
      <c r="AS51" s="9" t="n">
        <v>0.249427613</v>
      </c>
      <c r="AT51" s="10" t="n">
        <v>0.246356685</v>
      </c>
      <c r="AU51" s="9" t="n">
        <v>0.23037491</v>
      </c>
      <c r="AW51" s="10">
        <f>AQ51</f>
        <v/>
      </c>
      <c r="AY51" s="10">
        <f>AR51*F51</f>
        <v/>
      </c>
      <c r="AZ51" s="10">
        <f>AS51*H51</f>
        <v/>
      </c>
      <c r="BA51" s="10">
        <f>AT51*G51</f>
        <v/>
      </c>
      <c r="BB51" s="10">
        <f>L51</f>
        <v/>
      </c>
      <c r="BC51" s="10">
        <f>K51</f>
        <v/>
      </c>
      <c r="BE51" s="1">
        <f>AW51-SUM(AY51:BC51)</f>
        <v/>
      </c>
    </row>
    <row r="52">
      <c r="B52" s="13" t="inlineStr">
        <is>
          <t>TX_Gasoline_Gasification_CCS_31_Agri</t>
        </is>
      </c>
      <c r="C52" s="12" t="inlineStr">
        <is>
          <t>Biomass_Agri</t>
        </is>
      </c>
      <c r="D52" s="12" t="n">
        <v>0</v>
      </c>
      <c r="E52" s="12" t="n">
        <v>0.1041</v>
      </c>
      <c r="F52" s="12" t="n">
        <v>1.8427</v>
      </c>
      <c r="G52" s="12" t="n">
        <v>0</v>
      </c>
      <c r="H52" s="12" t="n">
        <v>0</v>
      </c>
      <c r="I52" s="24">
        <f>F52+G52+H52</f>
        <v/>
      </c>
      <c r="J52" s="12" t="n">
        <v>1.633</v>
      </c>
      <c r="K52" s="12" t="n">
        <v>0.3672201552205931</v>
      </c>
      <c r="L52" s="12" t="n">
        <v>0.816215730118089</v>
      </c>
      <c r="M52" s="12" t="n">
        <v>434628.32</v>
      </c>
      <c r="N52" s="12" t="n">
        <v>354088</v>
      </c>
      <c r="O52" s="12" t="n">
        <v>23.5872</v>
      </c>
      <c r="Q52" s="15" t="n">
        <v>110.892214</v>
      </c>
      <c r="R52" s="15" t="n">
        <v>-21.499827</v>
      </c>
      <c r="S52" s="15" t="n">
        <v>160</v>
      </c>
      <c r="T52" s="15" t="n">
        <v>140.297617</v>
      </c>
      <c r="U52" s="15" t="n">
        <v>160.374377</v>
      </c>
      <c r="V52" s="15" t="n">
        <v>113.606838</v>
      </c>
      <c r="W52" s="15" t="n">
        <v>20.240713</v>
      </c>
      <c r="Y52">
        <f>B52</f>
        <v/>
      </c>
      <c r="Z52">
        <f>C52</f>
        <v/>
      </c>
      <c r="AA52" s="11">
        <f>SUM(AD52:AI52)+AK52+AL52</f>
        <v/>
      </c>
      <c r="AB52" s="11">
        <f>SUM(AD52:AI52)+AN52+AO52</f>
        <v/>
      </c>
      <c r="AC52" s="5">
        <f>AA52-AB52</f>
        <v/>
      </c>
      <c r="AD52">
        <f>D52/H52*W52*-1</f>
        <v/>
      </c>
      <c r="AE52">
        <f>E52/H52*W52</f>
        <v/>
      </c>
      <c r="AF52" s="1">
        <f t="array" ref="AF52">_xlfn.IFS(C52="Biomass_Corn", 1/H52*S52, C52="Biomass_Agri", 1/H52*V52, C52="Biomass_Wood", 1/H52*U52, C52="Biomass_Herb", 1/H52*T52)</f>
        <v/>
      </c>
      <c r="AG52">
        <f>M52/H52/(0.9*8760)</f>
        <v/>
      </c>
      <c r="AH52">
        <f>N52/H52/(0.9*8760)</f>
        <v/>
      </c>
      <c r="AI52">
        <f>O52/H52</f>
        <v/>
      </c>
      <c r="AJ52" s="1">
        <f>(AY52+AZ52+BA52+BB52+BC52-AW52)/I52</f>
        <v/>
      </c>
      <c r="AK52" s="1">
        <f>(Q52+R52)*-1*K52/I52</f>
        <v/>
      </c>
      <c r="AL52">
        <f>AJ52*Q52</f>
        <v/>
      </c>
      <c r="AM52" s="1">
        <f>(SUM(AY52:BB52)-AW52)/I52</f>
        <v/>
      </c>
      <c r="AN52" s="1">
        <f>K52/I52*-1*R52</f>
        <v/>
      </c>
      <c r="AO52">
        <f>AM52*Q52</f>
        <v/>
      </c>
      <c r="AQ52" s="9">
        <f>J52</f>
        <v/>
      </c>
      <c r="AR52" s="9" t="n">
        <v>0.243968185</v>
      </c>
      <c r="AS52" s="9" t="n">
        <v>0.249427613</v>
      </c>
      <c r="AT52" s="10" t="n">
        <v>0.246356685</v>
      </c>
      <c r="AU52" s="9" t="n">
        <v>0.23037491</v>
      </c>
      <c r="AW52" s="10">
        <f>AQ52</f>
        <v/>
      </c>
      <c r="AY52" s="10">
        <f>AR52*F52</f>
        <v/>
      </c>
      <c r="AZ52" s="10">
        <f>AS52*H52</f>
        <v/>
      </c>
      <c r="BA52" s="10">
        <f>AT52*G52</f>
        <v/>
      </c>
      <c r="BB52" s="10">
        <f>L52</f>
        <v/>
      </c>
      <c r="BC52" s="10">
        <f>K52</f>
        <v/>
      </c>
      <c r="BE52" s="1">
        <f>AW52-SUM(AY52:BC52)</f>
        <v/>
      </c>
    </row>
    <row r="53">
      <c r="B53" s="13" t="inlineStr">
        <is>
          <t>NCEN_Gasoline_Gasification_CCS_31_Agri</t>
        </is>
      </c>
      <c r="C53" s="12" t="inlineStr">
        <is>
          <t>Biomass_Agri</t>
        </is>
      </c>
      <c r="D53" s="12" t="n">
        <v>0</v>
      </c>
      <c r="E53" s="12" t="n">
        <v>0.1041</v>
      </c>
      <c r="F53" s="12" t="n">
        <v>1.9216</v>
      </c>
      <c r="G53" s="12" t="n">
        <v>0</v>
      </c>
      <c r="H53" s="12" t="n">
        <v>0</v>
      </c>
      <c r="I53" s="24">
        <f>F53+G53+H53</f>
        <v/>
      </c>
      <c r="J53" s="12" t="n">
        <v>1.71</v>
      </c>
      <c r="K53" s="12" t="n">
        <v>0.3851431033945907</v>
      </c>
      <c r="L53" s="12" t="n">
        <v>0.8560528469585857</v>
      </c>
      <c r="M53" s="12" t="n">
        <v>434628.32</v>
      </c>
      <c r="N53" s="12" t="n">
        <v>354088</v>
      </c>
      <c r="O53" s="12" t="n">
        <v>23.5872</v>
      </c>
      <c r="Q53" s="15" t="n">
        <v>110.892214</v>
      </c>
      <c r="R53" s="15" t="n">
        <v>-41.711711</v>
      </c>
      <c r="S53" s="15" t="n">
        <v>160</v>
      </c>
      <c r="T53" s="15" t="n">
        <v>106.368089</v>
      </c>
      <c r="U53" s="15" t="n">
        <v>117.804824</v>
      </c>
      <c r="V53" s="15" t="n">
        <v>93.32494199999999</v>
      </c>
      <c r="W53" s="15" t="n">
        <v>30.728803</v>
      </c>
      <c r="Y53">
        <f>B53</f>
        <v/>
      </c>
      <c r="Z53">
        <f>C53</f>
        <v/>
      </c>
      <c r="AA53" s="11">
        <f>SUM(AD53:AI53)+AK53+AL53</f>
        <v/>
      </c>
      <c r="AB53" s="11">
        <f>SUM(AD53:AI53)+AN53+AO53</f>
        <v/>
      </c>
      <c r="AC53" s="5">
        <f>AA53-AB53</f>
        <v/>
      </c>
      <c r="AD53">
        <f>D53/H53*W53*-1</f>
        <v/>
      </c>
      <c r="AE53">
        <f>E53/H53*W53</f>
        <v/>
      </c>
      <c r="AF53" s="1">
        <f t="array" ref="AF53">_xlfn.IFS(C53="Biomass_Corn", 1/H53*S53, C53="Biomass_Agri", 1/H53*V53, C53="Biomass_Wood", 1/H53*U53, C53="Biomass_Herb", 1/H53*T53)</f>
        <v/>
      </c>
      <c r="AG53">
        <f>M53/H53/(0.9*8760)</f>
        <v/>
      </c>
      <c r="AH53">
        <f>N53/H53/(0.9*8760)</f>
        <v/>
      </c>
      <c r="AI53">
        <f>O53/H53</f>
        <v/>
      </c>
      <c r="AJ53" s="1">
        <f>(AY53+AZ53+BA53+BB53+BC53-AW53)/I53</f>
        <v/>
      </c>
      <c r="AK53" s="1">
        <f>(Q53+R53)*-1*K53/I53</f>
        <v/>
      </c>
      <c r="AL53">
        <f>AJ53*Q53</f>
        <v/>
      </c>
      <c r="AM53" s="1">
        <f>(SUM(AY53:BB53)-AW53)/I53</f>
        <v/>
      </c>
      <c r="AN53" s="1">
        <f>K53/I53*-1*R53</f>
        <v/>
      </c>
      <c r="AO53">
        <f>AM53*Q53</f>
        <v/>
      </c>
      <c r="AQ53" s="9">
        <f>J53</f>
        <v/>
      </c>
      <c r="AR53" s="9" t="n">
        <v>0.243968185</v>
      </c>
      <c r="AS53" s="9" t="n">
        <v>0.249427613</v>
      </c>
      <c r="AT53" s="10" t="n">
        <v>0.246356685</v>
      </c>
      <c r="AU53" s="9" t="n">
        <v>0.23037491</v>
      </c>
      <c r="AW53" s="10">
        <f>AQ53</f>
        <v/>
      </c>
      <c r="AY53" s="10">
        <f>AR53*F53</f>
        <v/>
      </c>
      <c r="AZ53" s="10">
        <f>AS53*H53</f>
        <v/>
      </c>
      <c r="BA53" s="10">
        <f>AT53*G53</f>
        <v/>
      </c>
      <c r="BB53" s="10">
        <f>L53</f>
        <v/>
      </c>
      <c r="BC53" s="10">
        <f>K53</f>
        <v/>
      </c>
      <c r="BE53" s="1">
        <f>AW53-SUM(AY53:BC53)</f>
        <v/>
      </c>
    </row>
    <row r="54">
      <c r="B54" s="13" t="inlineStr">
        <is>
          <t>CEN_Gasoline_Gasification_CCS_31_Agri</t>
        </is>
      </c>
      <c r="C54" s="12" t="inlineStr">
        <is>
          <t>Biomass_Agri</t>
        </is>
      </c>
      <c r="D54" s="12" t="n">
        <v>0</v>
      </c>
      <c r="E54" s="12" t="n">
        <v>0.1041</v>
      </c>
      <c r="F54" s="12" t="n">
        <v>1.9071</v>
      </c>
      <c r="G54" s="12" t="n">
        <v>0</v>
      </c>
      <c r="H54" s="12" t="n">
        <v>0</v>
      </c>
      <c r="I54" s="24">
        <f>F54+G54+H54</f>
        <v/>
      </c>
      <c r="J54" s="12" t="n">
        <v>1.7</v>
      </c>
      <c r="K54" s="12" t="n">
        <v>0.3831332297852671</v>
      </c>
      <c r="L54" s="12" t="n">
        <v>0.8515855255652554</v>
      </c>
      <c r="M54" s="12" t="n">
        <v>434628.32</v>
      </c>
      <c r="N54" s="12" t="n">
        <v>354088</v>
      </c>
      <c r="O54" s="12" t="n">
        <v>23.5872</v>
      </c>
      <c r="Q54" s="15" t="n">
        <v>110.892214</v>
      </c>
      <c r="R54" s="15" t="n">
        <v>-31.698788</v>
      </c>
      <c r="S54" s="15" t="n">
        <v>160</v>
      </c>
      <c r="T54" s="15" t="n">
        <v>112.646846</v>
      </c>
      <c r="U54" s="15" t="n">
        <v>129.719823</v>
      </c>
      <c r="V54" s="15" t="n">
        <v>101.234661</v>
      </c>
      <c r="W54" s="15" t="n">
        <v>25.375037</v>
      </c>
      <c r="Y54">
        <f>B54</f>
        <v/>
      </c>
      <c r="Z54">
        <f>C54</f>
        <v/>
      </c>
      <c r="AA54" s="11">
        <f>SUM(AD54:AI54)+AK54+AL54</f>
        <v/>
      </c>
      <c r="AB54" s="11">
        <f>SUM(AD54:AI54)+AN54+AO54</f>
        <v/>
      </c>
      <c r="AC54" s="5">
        <f>AA54-AB54</f>
        <v/>
      </c>
      <c r="AD54">
        <f>D54/H54*W54*-1</f>
        <v/>
      </c>
      <c r="AE54">
        <f>E54/H54*W54</f>
        <v/>
      </c>
      <c r="AF54" s="1">
        <f t="array" ref="AF54">_xlfn.IFS(C54="Biomass_Corn", 1/H54*S54, C54="Biomass_Agri", 1/H54*V54, C54="Biomass_Wood", 1/H54*U54, C54="Biomass_Herb", 1/H54*T54)</f>
        <v/>
      </c>
      <c r="AG54">
        <f>M54/H54/(0.9*8760)</f>
        <v/>
      </c>
      <c r="AH54">
        <f>N54/H54/(0.9*8760)</f>
        <v/>
      </c>
      <c r="AI54">
        <f>O54/H54</f>
        <v/>
      </c>
      <c r="AJ54" s="1">
        <f>(AY54+AZ54+BA54+BB54+BC54-AW54)/I54</f>
        <v/>
      </c>
      <c r="AK54" s="1">
        <f>(Q54+R54)*-1*K54/I54</f>
        <v/>
      </c>
      <c r="AL54">
        <f>AJ54*Q54</f>
        <v/>
      </c>
      <c r="AM54" s="1">
        <f>(SUM(AY54:BB54)-AW54)/I54</f>
        <v/>
      </c>
      <c r="AN54" s="1">
        <f>K54/I54*-1*R54</f>
        <v/>
      </c>
      <c r="AO54">
        <f>AM54*Q54</f>
        <v/>
      </c>
      <c r="AQ54" s="9">
        <f>J54</f>
        <v/>
      </c>
      <c r="AR54" s="9" t="n">
        <v>0.243968185</v>
      </c>
      <c r="AS54" s="9" t="n">
        <v>0.249427613</v>
      </c>
      <c r="AT54" s="10" t="n">
        <v>0.246356685</v>
      </c>
      <c r="AU54" s="9" t="n">
        <v>0.23037491</v>
      </c>
      <c r="AW54" s="10">
        <f>AQ54</f>
        <v/>
      </c>
      <c r="AY54" s="10">
        <f>AR54*F54</f>
        <v/>
      </c>
      <c r="AZ54" s="10">
        <f>AS54*H54</f>
        <v/>
      </c>
      <c r="BA54" s="10">
        <f>AT54*G54</f>
        <v/>
      </c>
      <c r="BB54" s="10">
        <f>L54</f>
        <v/>
      </c>
      <c r="BC54" s="10">
        <f>K54</f>
        <v/>
      </c>
      <c r="BE54" s="1">
        <f>AW54-SUM(AY54:BC54)</f>
        <v/>
      </c>
    </row>
    <row r="55">
      <c r="B55" s="13" t="inlineStr">
        <is>
          <t>SE_Gasoline_Gasification_CCS_31_Agri</t>
        </is>
      </c>
      <c r="C55" s="12" t="inlineStr">
        <is>
          <t>Biomass_Agri</t>
        </is>
      </c>
      <c r="D55" s="12" t="n">
        <v>0</v>
      </c>
      <c r="E55" s="12" t="n">
        <v>0.1041</v>
      </c>
      <c r="F55" s="12" t="n">
        <v>1.9138</v>
      </c>
      <c r="G55" s="12" t="n">
        <v>0</v>
      </c>
      <c r="H55" s="12" t="n">
        <v>0</v>
      </c>
      <c r="I55" s="24">
        <f>F55+G55+H55</f>
        <v/>
      </c>
      <c r="J55" s="12" t="n">
        <v>1.689</v>
      </c>
      <c r="K55" s="12" t="n">
        <v>0.3792154099126473</v>
      </c>
      <c r="L55" s="12" t="n">
        <v>0.8428774354391003</v>
      </c>
      <c r="M55" s="12" t="n">
        <v>434628.32</v>
      </c>
      <c r="N55" s="12" t="n">
        <v>354088</v>
      </c>
      <c r="O55" s="12" t="n">
        <v>23.5872</v>
      </c>
      <c r="Q55" s="15" t="n">
        <v>110.892214</v>
      </c>
      <c r="R55" s="15" t="n">
        <v>-47.684613</v>
      </c>
      <c r="S55" s="15" t="n">
        <v>160</v>
      </c>
      <c r="T55" s="15" t="n">
        <v>100.406702</v>
      </c>
      <c r="U55" s="15" t="n">
        <v>115.539531</v>
      </c>
      <c r="V55" s="15" t="n">
        <v>89.577806</v>
      </c>
      <c r="W55" s="15" t="n">
        <v>38.228295</v>
      </c>
      <c r="Y55">
        <f>B55</f>
        <v/>
      </c>
      <c r="Z55">
        <f>C55</f>
        <v/>
      </c>
      <c r="AA55" s="11">
        <f>SUM(AD55:AI55)+AK55+AL55</f>
        <v/>
      </c>
      <c r="AB55" s="11">
        <f>SUM(AD55:AI55)+AN55+AO55</f>
        <v/>
      </c>
      <c r="AC55" s="5">
        <f>AA55-AB55</f>
        <v/>
      </c>
      <c r="AD55">
        <f>D55/H55*W55*-1</f>
        <v/>
      </c>
      <c r="AE55">
        <f>E55/H55*W55</f>
        <v/>
      </c>
      <c r="AF55" s="1">
        <f t="array" ref="AF55">_xlfn.IFS(C55="Biomass_Corn", 1/H55*S55, C55="Biomass_Agri", 1/H55*V55, C55="Biomass_Wood", 1/H55*U55, C55="Biomass_Herb", 1/H55*T55)</f>
        <v/>
      </c>
      <c r="AG55">
        <f>M55/H55/(0.9*8760)</f>
        <v/>
      </c>
      <c r="AH55">
        <f>N55/H55/(0.9*8760)</f>
        <v/>
      </c>
      <c r="AI55">
        <f>O55/H55</f>
        <v/>
      </c>
      <c r="AJ55" s="1">
        <f>(AY55+AZ55+BA55+BB55+BC55-AW55)/I55</f>
        <v/>
      </c>
      <c r="AK55" s="1">
        <f>(Q55+R55)*-1*K55/I55</f>
        <v/>
      </c>
      <c r="AL55">
        <f>AJ55*Q55</f>
        <v/>
      </c>
      <c r="AM55" s="1">
        <f>(SUM(AY55:BB55)-AW55)/I55</f>
        <v/>
      </c>
      <c r="AN55" s="1">
        <f>K55/I55*-1*R55</f>
        <v/>
      </c>
      <c r="AO55">
        <f>AM55*Q55</f>
        <v/>
      </c>
      <c r="AQ55" s="9">
        <f>J55</f>
        <v/>
      </c>
      <c r="AR55" s="9" t="n">
        <v>0.243968185</v>
      </c>
      <c r="AS55" s="9" t="n">
        <v>0.249427613</v>
      </c>
      <c r="AT55" s="10" t="n">
        <v>0.246356685</v>
      </c>
      <c r="AU55" s="9" t="n">
        <v>0.23037491</v>
      </c>
      <c r="AW55" s="10">
        <f>AQ55</f>
        <v/>
      </c>
      <c r="AY55" s="10">
        <f>AR55*F55</f>
        <v/>
      </c>
      <c r="AZ55" s="10">
        <f>AS55*H55</f>
        <v/>
      </c>
      <c r="BA55" s="10">
        <f>AT55*G55</f>
        <v/>
      </c>
      <c r="BB55" s="10">
        <f>L55</f>
        <v/>
      </c>
      <c r="BC55" s="10">
        <f>K55</f>
        <v/>
      </c>
      <c r="BE55" s="1">
        <f>AW55-SUM(AY55:BC55)</f>
        <v/>
      </c>
    </row>
    <row r="56">
      <c r="B56" s="13" t="inlineStr">
        <is>
          <t>MIDAT_Gasoline_Gasification_CCS_31_Agri</t>
        </is>
      </c>
      <c r="C56" s="12" t="inlineStr">
        <is>
          <t>Biomass_Agri</t>
        </is>
      </c>
      <c r="D56" s="12" t="n">
        <v>0</v>
      </c>
      <c r="E56" s="12" t="n">
        <v>0.1041</v>
      </c>
      <c r="F56" s="12" t="n">
        <v>1.9194</v>
      </c>
      <c r="G56" s="12" t="n">
        <v>0</v>
      </c>
      <c r="H56" s="12" t="n">
        <v>0</v>
      </c>
      <c r="I56" s="24">
        <f>F56+G56+H56</f>
        <v/>
      </c>
      <c r="J56" s="12" t="n">
        <v>1.708</v>
      </c>
      <c r="K56" s="12" t="n">
        <v>0.384690676685464</v>
      </c>
      <c r="L56" s="12" t="n">
        <v>0.8550472436673041</v>
      </c>
      <c r="M56" s="12" t="n">
        <v>434628.32</v>
      </c>
      <c r="N56" s="12" t="n">
        <v>354088</v>
      </c>
      <c r="O56" s="12" t="n">
        <v>23.5872</v>
      </c>
      <c r="Q56" s="15" t="n">
        <v>110.892214</v>
      </c>
      <c r="R56" s="15" t="n">
        <v>-54.368796</v>
      </c>
      <c r="S56" s="15" t="n">
        <v>160</v>
      </c>
      <c r="T56" s="15" t="n">
        <v>101.540719</v>
      </c>
      <c r="U56" s="15" t="n">
        <v>109.472766</v>
      </c>
      <c r="V56" s="15" t="n">
        <v>90.14609900000001</v>
      </c>
      <c r="W56" s="15" t="n">
        <v>39.376329</v>
      </c>
      <c r="Y56">
        <f>B56</f>
        <v/>
      </c>
      <c r="Z56">
        <f>C56</f>
        <v/>
      </c>
      <c r="AA56" s="11">
        <f>SUM(AD56:AI56)+AK56+AL56</f>
        <v/>
      </c>
      <c r="AB56" s="11">
        <f>SUM(AD56:AI56)+AN56+AO56</f>
        <v/>
      </c>
      <c r="AC56" s="5">
        <f>AA56-AB56</f>
        <v/>
      </c>
      <c r="AD56">
        <f>D56/H56*W56*-1</f>
        <v/>
      </c>
      <c r="AE56">
        <f>E56/H56*W56</f>
        <v/>
      </c>
      <c r="AF56" s="1">
        <f t="array" ref="AF56">_xlfn.IFS(C56="Biomass_Corn", 1/H56*S56, C56="Biomass_Agri", 1/H56*V56, C56="Biomass_Wood", 1/H56*U56, C56="Biomass_Herb", 1/H56*T56)</f>
        <v/>
      </c>
      <c r="AG56">
        <f>M56/H56/(0.9*8760)</f>
        <v/>
      </c>
      <c r="AH56">
        <f>N56/H56/(0.9*8760)</f>
        <v/>
      </c>
      <c r="AI56">
        <f>O56/H56</f>
        <v/>
      </c>
      <c r="AJ56" s="1">
        <f>(AY56+AZ56+BA56+BB56+BC56-AW56)/I56</f>
        <v/>
      </c>
      <c r="AK56" s="1">
        <f>(Q56+R56)*-1*K56/I56</f>
        <v/>
      </c>
      <c r="AL56">
        <f>AJ56*Q56</f>
        <v/>
      </c>
      <c r="AM56" s="1">
        <f>(SUM(AY56:BB56)-AW56)/I56</f>
        <v/>
      </c>
      <c r="AN56" s="1">
        <f>K56/I56*-1*R56</f>
        <v/>
      </c>
      <c r="AO56">
        <f>AM56*Q56</f>
        <v/>
      </c>
      <c r="AQ56" s="9">
        <f>J56</f>
        <v/>
      </c>
      <c r="AR56" s="9" t="n">
        <v>0.243968185</v>
      </c>
      <c r="AS56" s="9" t="n">
        <v>0.249427613</v>
      </c>
      <c r="AT56" s="10" t="n">
        <v>0.246356685</v>
      </c>
      <c r="AU56" s="9" t="n">
        <v>0.23037491</v>
      </c>
      <c r="AW56" s="10">
        <f>AQ56</f>
        <v/>
      </c>
      <c r="AY56" s="10">
        <f>AR56*F56</f>
        <v/>
      </c>
      <c r="AZ56" s="10">
        <f>AS56*H56</f>
        <v/>
      </c>
      <c r="BA56" s="10">
        <f>AT56*G56</f>
        <v/>
      </c>
      <c r="BB56" s="10">
        <f>L56</f>
        <v/>
      </c>
      <c r="BC56" s="10">
        <f>K56</f>
        <v/>
      </c>
      <c r="BE56" s="1">
        <f>AW56-SUM(AY56:BC56)</f>
        <v/>
      </c>
    </row>
    <row r="57">
      <c r="B57" s="13" t="inlineStr">
        <is>
          <t>NE_Gasoline_Gasification_CCS_31_Agri</t>
        </is>
      </c>
      <c r="C57" s="12" t="inlineStr">
        <is>
          <t>Biomass_Agri</t>
        </is>
      </c>
      <c r="D57" s="12" t="n">
        <v>0</v>
      </c>
      <c r="E57" s="12" t="n">
        <v>0.1041</v>
      </c>
      <c r="F57" s="12" t="n">
        <v>1.9416</v>
      </c>
      <c r="G57" s="12" t="n">
        <v>0</v>
      </c>
      <c r="H57" s="12" t="n">
        <v>0</v>
      </c>
      <c r="I57" s="24">
        <f>F57+G57+H57</f>
        <v/>
      </c>
      <c r="J57" s="12" t="n">
        <v>1.715</v>
      </c>
      <c r="K57" s="12" t="n">
        <v>0.385181043776731</v>
      </c>
      <c r="L57" s="12" t="n">
        <v>0.8561371765801203</v>
      </c>
      <c r="M57" s="12" t="n">
        <v>434628.32</v>
      </c>
      <c r="N57" s="12" t="n">
        <v>354088</v>
      </c>
      <c r="O57" s="12" t="n">
        <v>23.5872</v>
      </c>
      <c r="Q57" s="15" t="n">
        <v>110.892214</v>
      </c>
      <c r="R57" s="15" t="n">
        <v>-62.623722</v>
      </c>
      <c r="S57" s="15" t="n">
        <v>160</v>
      </c>
      <c r="T57" s="15" t="n">
        <v>102.353041</v>
      </c>
      <c r="U57" s="15" t="n">
        <v>108.140489</v>
      </c>
      <c r="V57" s="15" t="n">
        <v>92.430212</v>
      </c>
      <c r="W57" s="15" t="n">
        <v>47.48771</v>
      </c>
      <c r="Y57">
        <f>B57</f>
        <v/>
      </c>
      <c r="Z57">
        <f>C57</f>
        <v/>
      </c>
      <c r="AA57" s="11">
        <f>SUM(AD57:AI57)+AK57+AL57</f>
        <v/>
      </c>
      <c r="AB57" s="11">
        <f>SUM(AD57:AI57)+AN57+AO57</f>
        <v/>
      </c>
      <c r="AC57" s="5">
        <f>AA57-AB57</f>
        <v/>
      </c>
      <c r="AD57">
        <f>D57/H57*W57*-1</f>
        <v/>
      </c>
      <c r="AE57">
        <f>E57/H57*W57</f>
        <v/>
      </c>
      <c r="AF57" s="1">
        <f t="array" ref="AF57">_xlfn.IFS(C57="Biomass_Corn", 1/H57*S57, C57="Biomass_Agri", 1/H57*V57, C57="Biomass_Wood", 1/H57*U57, C57="Biomass_Herb", 1/H57*T57)</f>
        <v/>
      </c>
      <c r="AG57">
        <f>M57/H57/(0.9*8760)</f>
        <v/>
      </c>
      <c r="AH57">
        <f>N57/H57/(0.9*8760)</f>
        <v/>
      </c>
      <c r="AI57">
        <f>O57/H57</f>
        <v/>
      </c>
      <c r="AJ57" s="1">
        <f>(AY57+AZ57+BA57+BB57+BC57-AW57)/I57</f>
        <v/>
      </c>
      <c r="AK57" s="1">
        <f>(Q57+R57)*-1*K57/I57</f>
        <v/>
      </c>
      <c r="AL57">
        <f>AJ57*Q57</f>
        <v/>
      </c>
      <c r="AM57" s="1">
        <f>(SUM(AY57:BB57)-AW57)/I57</f>
        <v/>
      </c>
      <c r="AN57" s="1">
        <f>K57/I57*-1*R57</f>
        <v/>
      </c>
      <c r="AO57">
        <f>AM57*Q57</f>
        <v/>
      </c>
      <c r="AQ57" s="9">
        <f>J57</f>
        <v/>
      </c>
      <c r="AR57" s="9" t="n">
        <v>0.243968185</v>
      </c>
      <c r="AS57" s="9" t="n">
        <v>0.249427613</v>
      </c>
      <c r="AT57" s="10" t="n">
        <v>0.246356685</v>
      </c>
      <c r="AU57" s="9" t="n">
        <v>0.23037491</v>
      </c>
      <c r="AW57" s="10">
        <f>AQ57</f>
        <v/>
      </c>
      <c r="AY57" s="10">
        <f>AR57*F57</f>
        <v/>
      </c>
      <c r="AZ57" s="10">
        <f>AS57*H57</f>
        <v/>
      </c>
      <c r="BA57" s="10">
        <f>AT57*G57</f>
        <v/>
      </c>
      <c r="BB57" s="10">
        <f>L57</f>
        <v/>
      </c>
      <c r="BC57" s="10">
        <f>K57</f>
        <v/>
      </c>
      <c r="BE57" s="1">
        <f>AW57-SUM(AY57:BC57)</f>
        <v/>
      </c>
    </row>
    <row r="58">
      <c r="B58" s="13" t="inlineStr">
        <is>
          <t>CA_Gasoline_Gasification_CCS_99_Herb</t>
        </is>
      </c>
      <c r="C58" s="12" t="inlineStr">
        <is>
          <t>Biomass_Herb</t>
        </is>
      </c>
      <c r="D58" s="12" t="n">
        <v>0</v>
      </c>
      <c r="E58" s="12" t="n">
        <v>1.1596</v>
      </c>
      <c r="F58" s="12" t="n">
        <v>2.0204</v>
      </c>
      <c r="G58" s="12" t="n">
        <v>0</v>
      </c>
      <c r="H58" s="12" t="n">
        <v>0</v>
      </c>
      <c r="I58" s="24">
        <f>F58+G58+H58</f>
        <v/>
      </c>
      <c r="J58" s="12" t="n">
        <v>1.721</v>
      </c>
      <c r="K58" s="12" t="n">
        <v>1.219604545202284</v>
      </c>
      <c r="L58" s="12" t="n">
        <v>0.008473740169062299</v>
      </c>
      <c r="M58" s="12" t="n">
        <v>590486.4</v>
      </c>
      <c r="N58" s="12" t="n">
        <v>434613.76</v>
      </c>
      <c r="O58" s="12" t="n">
        <v>28.7392</v>
      </c>
      <c r="Q58" s="16" t="n">
        <v>110.892214</v>
      </c>
      <c r="R58" s="16" t="n">
        <v>-6.493396</v>
      </c>
      <c r="S58" s="16" t="n">
        <v>160</v>
      </c>
      <c r="T58" s="15" t="n">
        <v>1539.150891</v>
      </c>
      <c r="U58" s="15" t="n">
        <v>162.083504</v>
      </c>
      <c r="V58" s="15" t="n">
        <v>140.323815</v>
      </c>
      <c r="W58" s="15" t="n">
        <v>36.566419</v>
      </c>
      <c r="Y58">
        <f>B58</f>
        <v/>
      </c>
      <c r="Z58">
        <f>C58</f>
        <v/>
      </c>
      <c r="AA58" s="11">
        <f>SUM(AD58:AI58)+AK58+AL58</f>
        <v/>
      </c>
      <c r="AB58" s="11">
        <f>SUM(AD58:AI58)+AN58+AO58</f>
        <v/>
      </c>
      <c r="AC58" s="5">
        <f>AA58-AB58</f>
        <v/>
      </c>
      <c r="AD58">
        <f>D58/H58*W58*-1</f>
        <v/>
      </c>
      <c r="AE58">
        <f>E58/H58*W58</f>
        <v/>
      </c>
      <c r="AF58" s="1">
        <f t="array" ref="AF58">_xlfn.IFS(C58="Biomass_Corn", 1/H58*S58, C58="Biomass_Agri", 1/H58*V58, C58="Biomass_Wood", 1/H58*U58, C58="Biomass_Herb", 1/H58*T58)</f>
        <v/>
      </c>
      <c r="AG58">
        <f>M58/H58/(0.9*8760)</f>
        <v/>
      </c>
      <c r="AH58">
        <f>N58/H58/(0.9*8760)</f>
        <v/>
      </c>
      <c r="AI58">
        <f>O58/H58</f>
        <v/>
      </c>
      <c r="AJ58" s="1">
        <f>(AY58+AZ58+BA58+BB58+BC58-AW58)/I58</f>
        <v/>
      </c>
      <c r="AK58" s="1">
        <f>(Q58+R58)*-1*K58/I58</f>
        <v/>
      </c>
      <c r="AL58">
        <f>AJ58*Q58</f>
        <v/>
      </c>
      <c r="AM58" s="1">
        <f>(SUM(AY58:BB58)-AW58)/I58</f>
        <v/>
      </c>
      <c r="AN58" s="1">
        <f>K58/I58*-1*R58</f>
        <v/>
      </c>
      <c r="AO58">
        <f>AM58*Q58</f>
        <v/>
      </c>
      <c r="AQ58" s="9">
        <f>J58</f>
        <v/>
      </c>
      <c r="AR58" s="9" t="n">
        <v>0.243968185</v>
      </c>
      <c r="AS58" s="9" t="n">
        <v>0.249427613</v>
      </c>
      <c r="AT58" s="10" t="n">
        <v>0.246356685</v>
      </c>
      <c r="AU58" s="9" t="n">
        <v>0.23037491</v>
      </c>
      <c r="AW58" s="10">
        <f>AQ58</f>
        <v/>
      </c>
      <c r="AY58" s="10">
        <f>AR58*F58</f>
        <v/>
      </c>
      <c r="AZ58" s="10">
        <f>AS58*H58</f>
        <v/>
      </c>
      <c r="BA58" s="10">
        <f>AT58*G58</f>
        <v/>
      </c>
      <c r="BB58" s="10">
        <f>L58</f>
        <v/>
      </c>
      <c r="BC58" s="10">
        <f>K58</f>
        <v/>
      </c>
      <c r="BE58" s="1">
        <f>AW58-SUM(AY58:BC58)</f>
        <v/>
      </c>
    </row>
    <row r="59">
      <c r="B59" s="13" t="inlineStr">
        <is>
          <t>NW_Gasoline_Gasification_CCS_99_Herb</t>
        </is>
      </c>
      <c r="C59" s="12" t="inlineStr">
        <is>
          <t>Biomass_Herb</t>
        </is>
      </c>
      <c r="D59" s="12" t="n">
        <v>0</v>
      </c>
      <c r="E59" s="12" t="n">
        <v>1.1596</v>
      </c>
      <c r="F59" s="12" t="n">
        <v>2.0249</v>
      </c>
      <c r="G59" s="12" t="n">
        <v>0</v>
      </c>
      <c r="H59" s="12" t="n">
        <v>0</v>
      </c>
      <c r="I59" s="24">
        <f>F59+G59+H59</f>
        <v/>
      </c>
      <c r="J59" s="12" t="n">
        <v>1.726</v>
      </c>
      <c r="K59" s="12" t="n">
        <v>1.223493584389094</v>
      </c>
      <c r="L59" s="12" t="n">
        <v>0.008500760983067899</v>
      </c>
      <c r="M59" s="12" t="n">
        <v>590486.4</v>
      </c>
      <c r="N59" s="12" t="n">
        <v>434613.76</v>
      </c>
      <c r="O59" s="12" t="n">
        <v>28.7392</v>
      </c>
      <c r="Q59" s="16" t="n">
        <v>110.892214</v>
      </c>
      <c r="R59" s="16" t="n">
        <v>-7.381741</v>
      </c>
      <c r="S59" s="16" t="n">
        <v>160</v>
      </c>
      <c r="T59" s="15" t="n">
        <v>140.805445</v>
      </c>
      <c r="U59" s="15" t="n">
        <v>159.375106</v>
      </c>
      <c r="V59" s="15" t="n">
        <v>121.714108</v>
      </c>
      <c r="W59" s="15" t="n">
        <v>26.767046</v>
      </c>
      <c r="Y59">
        <f>B59</f>
        <v/>
      </c>
      <c r="Z59">
        <f>C59</f>
        <v/>
      </c>
      <c r="AA59" s="11">
        <f>SUM(AD59:AI59)+AK59+AL59</f>
        <v/>
      </c>
      <c r="AB59" s="11">
        <f>SUM(AD59:AI59)+AN59+AO59</f>
        <v/>
      </c>
      <c r="AC59" s="5">
        <f>AA59-AB59</f>
        <v/>
      </c>
      <c r="AD59">
        <f>D59/H59*W59*-1</f>
        <v/>
      </c>
      <c r="AE59">
        <f>E59/H59*W59</f>
        <v/>
      </c>
      <c r="AF59" s="1">
        <f t="array" ref="AF59">_xlfn.IFS(C59="Biomass_Corn", 1/H59*S59, C59="Biomass_Agri", 1/H59*V59, C59="Biomass_Wood", 1/H59*U59, C59="Biomass_Herb", 1/H59*T59)</f>
        <v/>
      </c>
      <c r="AG59">
        <f>M59/H59/(0.9*8760)</f>
        <v/>
      </c>
      <c r="AH59">
        <f>N59/H59/(0.9*8760)</f>
        <v/>
      </c>
      <c r="AI59">
        <f>O59/H59</f>
        <v/>
      </c>
      <c r="AJ59" s="1">
        <f>(AY59+AZ59+BA59+BB59+BC59-AW59)/I59</f>
        <v/>
      </c>
      <c r="AK59" s="1">
        <f>(Q59+R59)*-1*K59/I59</f>
        <v/>
      </c>
      <c r="AL59">
        <f>AJ59*Q59</f>
        <v/>
      </c>
      <c r="AM59" s="1">
        <f>(SUM(AY59:BB59)-AW59)/I59</f>
        <v/>
      </c>
      <c r="AN59" s="1">
        <f>K59/I59*-1*R59</f>
        <v/>
      </c>
      <c r="AO59">
        <f>AM59*Q59</f>
        <v/>
      </c>
      <c r="AQ59" s="9">
        <f>J59</f>
        <v/>
      </c>
      <c r="AR59" s="9" t="n">
        <v>0.243968185</v>
      </c>
      <c r="AS59" s="9" t="n">
        <v>0.249427613</v>
      </c>
      <c r="AT59" s="10" t="n">
        <v>0.246356685</v>
      </c>
      <c r="AU59" s="9" t="n">
        <v>0.23037491</v>
      </c>
      <c r="AW59" s="10">
        <f>AQ59</f>
        <v/>
      </c>
      <c r="AY59" s="10">
        <f>AR59*F59</f>
        <v/>
      </c>
      <c r="AZ59" s="10">
        <f>AS59*H59</f>
        <v/>
      </c>
      <c r="BA59" s="10">
        <f>AT59*G59</f>
        <v/>
      </c>
      <c r="BB59" s="10">
        <f>L59</f>
        <v/>
      </c>
      <c r="BC59" s="10">
        <f>K59</f>
        <v/>
      </c>
      <c r="BE59" s="1">
        <f>AW59-SUM(AY59:BC59)</f>
        <v/>
      </c>
    </row>
    <row r="60">
      <c r="B60" s="13" t="inlineStr">
        <is>
          <t>SW_Gasoline_Gasification_CCS_99_Herb</t>
        </is>
      </c>
      <c r="C60" s="12" t="inlineStr">
        <is>
          <t>Biomass_Herb</t>
        </is>
      </c>
      <c r="D60" s="12" t="n">
        <v>0</v>
      </c>
      <c r="E60" s="12" t="n">
        <v>1.1596</v>
      </c>
      <c r="F60" s="12" t="n">
        <v>2.0115</v>
      </c>
      <c r="G60" s="12" t="n">
        <v>0</v>
      </c>
      <c r="H60" s="12" t="n">
        <v>0</v>
      </c>
      <c r="I60" s="24">
        <f>F60+G60+H60</f>
        <v/>
      </c>
      <c r="J60" s="12" t="n">
        <v>1.71</v>
      </c>
      <c r="K60" s="12" t="n">
        <v>1.210833366828661</v>
      </c>
      <c r="L60" s="12" t="n">
        <v>0.008412798541051</v>
      </c>
      <c r="M60" s="12" t="n">
        <v>590486.4</v>
      </c>
      <c r="N60" s="12" t="n">
        <v>434613.76</v>
      </c>
      <c r="O60" s="12" t="n">
        <v>28.7392</v>
      </c>
      <c r="Q60" s="16" t="n">
        <v>110.892214</v>
      </c>
      <c r="R60" s="16" t="n">
        <v>-16.594224</v>
      </c>
      <c r="S60" s="16" t="n">
        <v>160</v>
      </c>
      <c r="T60" s="15" t="n">
        <v>125.807546</v>
      </c>
      <c r="U60" s="15" t="n">
        <v>143.289826</v>
      </c>
      <c r="V60" s="15" t="n">
        <v>114.17137</v>
      </c>
      <c r="W60" s="15" t="n">
        <v>28.012186</v>
      </c>
      <c r="Y60">
        <f>B60</f>
        <v/>
      </c>
      <c r="Z60">
        <f>C60</f>
        <v/>
      </c>
      <c r="AA60" s="11">
        <f>SUM(AD60:AI60)+AK60+AL60</f>
        <v/>
      </c>
      <c r="AB60" s="11">
        <f>SUM(AD60:AI60)+AN60+AO60</f>
        <v/>
      </c>
      <c r="AC60" s="5">
        <f>AA60-AB60</f>
        <v/>
      </c>
      <c r="AD60">
        <f>D60/H60*W60*-1</f>
        <v/>
      </c>
      <c r="AE60">
        <f>E60/H60*W60</f>
        <v/>
      </c>
      <c r="AF60" s="1">
        <f t="array" ref="AF60">_xlfn.IFS(C60="Biomass_Corn", 1/H60*S60, C60="Biomass_Agri", 1/H60*V60, C60="Biomass_Wood", 1/H60*U60, C60="Biomass_Herb", 1/H60*T60)</f>
        <v/>
      </c>
      <c r="AG60">
        <f>M60/H60/(0.9*8760)</f>
        <v/>
      </c>
      <c r="AH60">
        <f>N60/H60/(0.9*8760)</f>
        <v/>
      </c>
      <c r="AI60">
        <f>O60/H60</f>
        <v/>
      </c>
      <c r="AJ60" s="1">
        <f>(AY60+AZ60+BA60+BB60+BC60-AW60)/I60</f>
        <v/>
      </c>
      <c r="AK60" s="1">
        <f>(Q60+R60)*-1*K60/I60</f>
        <v/>
      </c>
      <c r="AL60">
        <f>AJ60*Q60</f>
        <v/>
      </c>
      <c r="AM60" s="1">
        <f>(SUM(AY60:BB60)-AW60)/I60</f>
        <v/>
      </c>
      <c r="AN60" s="1">
        <f>K60/I60*-1*R60</f>
        <v/>
      </c>
      <c r="AO60">
        <f>AM60*Q60</f>
        <v/>
      </c>
      <c r="AQ60" s="9">
        <f>J60</f>
        <v/>
      </c>
      <c r="AR60" s="9" t="n">
        <v>0.243968185</v>
      </c>
      <c r="AS60" s="9" t="n">
        <v>0.249427613</v>
      </c>
      <c r="AT60" s="10" t="n">
        <v>0.246356685</v>
      </c>
      <c r="AU60" s="9" t="n">
        <v>0.23037491</v>
      </c>
      <c r="AW60" s="10">
        <f>AQ60</f>
        <v/>
      </c>
      <c r="AY60" s="10">
        <f>AR60*F60</f>
        <v/>
      </c>
      <c r="AZ60" s="10">
        <f>AS60*H60</f>
        <v/>
      </c>
      <c r="BA60" s="10">
        <f>AT60*G60</f>
        <v/>
      </c>
      <c r="BB60" s="10">
        <f>L60</f>
        <v/>
      </c>
      <c r="BC60" s="10">
        <f>K60</f>
        <v/>
      </c>
      <c r="BE60" s="1">
        <f>AW60-SUM(AY60:BC60)</f>
        <v/>
      </c>
    </row>
    <row r="61">
      <c r="B61" s="13" t="inlineStr">
        <is>
          <t>TX_Gasoline_Gasification_CCS_99_Herb</t>
        </is>
      </c>
      <c r="C61" s="12" t="inlineStr">
        <is>
          <t>Biomass_Herb</t>
        </is>
      </c>
      <c r="D61" s="12" t="n">
        <v>0</v>
      </c>
      <c r="E61" s="12" t="n">
        <v>1.1596</v>
      </c>
      <c r="F61" s="12" t="n">
        <v>2.016</v>
      </c>
      <c r="G61" s="12" t="n">
        <v>0</v>
      </c>
      <c r="H61" s="12" t="n">
        <v>0</v>
      </c>
      <c r="I61" s="24">
        <f>F61+G61+H61</f>
        <v/>
      </c>
      <c r="J61" s="12" t="n">
        <v>1.714</v>
      </c>
      <c r="K61" s="12" t="n">
        <v>1.213729306015473</v>
      </c>
      <c r="L61" s="12" t="n">
        <v>0.008432919355056599</v>
      </c>
      <c r="M61" s="12" t="n">
        <v>590486.4</v>
      </c>
      <c r="N61" s="12" t="n">
        <v>434613.76</v>
      </c>
      <c r="O61" s="12" t="n">
        <v>28.7392</v>
      </c>
      <c r="Q61" s="16" t="n">
        <v>110.892214</v>
      </c>
      <c r="R61" s="16" t="n">
        <v>-21.499827</v>
      </c>
      <c r="S61" s="16" t="n">
        <v>160</v>
      </c>
      <c r="T61" s="15" t="n">
        <v>140.297617</v>
      </c>
      <c r="U61" s="15" t="n">
        <v>160.374377</v>
      </c>
      <c r="V61" s="15" t="n">
        <v>113.606838</v>
      </c>
      <c r="W61" s="15" t="n">
        <v>20.240713</v>
      </c>
      <c r="Y61">
        <f>B61</f>
        <v/>
      </c>
      <c r="Z61">
        <f>C61</f>
        <v/>
      </c>
      <c r="AA61" s="11">
        <f>SUM(AD61:AI61)+AK61+AL61</f>
        <v/>
      </c>
      <c r="AB61" s="11">
        <f>SUM(AD61:AI61)+AN61+AO61</f>
        <v/>
      </c>
      <c r="AC61" s="5">
        <f>AA61-AB61</f>
        <v/>
      </c>
      <c r="AD61">
        <f>D61/H61*W61*-1</f>
        <v/>
      </c>
      <c r="AE61">
        <f>E61/H61*W61</f>
        <v/>
      </c>
      <c r="AF61" s="1">
        <f t="array" ref="AF61">_xlfn.IFS(C61="Biomass_Corn", 1/H61*S61, C61="Biomass_Agri", 1/H61*V61, C61="Biomass_Wood", 1/H61*U61, C61="Biomass_Herb", 1/H61*T61)</f>
        <v/>
      </c>
      <c r="AG61">
        <f>M61/H61/(0.9*8760)</f>
        <v/>
      </c>
      <c r="AH61">
        <f>N61/H61/(0.9*8760)</f>
        <v/>
      </c>
      <c r="AI61">
        <f>O61/H61</f>
        <v/>
      </c>
      <c r="AJ61" s="1">
        <f>(AY61+AZ61+BA61+BB61+BC61-AW61)/I61</f>
        <v/>
      </c>
      <c r="AK61" s="1">
        <f>(Q61+R61)*-1*K61/I61</f>
        <v/>
      </c>
      <c r="AL61">
        <f>AJ61*Q61</f>
        <v/>
      </c>
      <c r="AM61" s="1">
        <f>(SUM(AY61:BB61)-AW61)/I61</f>
        <v/>
      </c>
      <c r="AN61" s="1">
        <f>K61/I61*-1*R61</f>
        <v/>
      </c>
      <c r="AO61">
        <f>AM61*Q61</f>
        <v/>
      </c>
      <c r="AQ61" s="9">
        <f>J61</f>
        <v/>
      </c>
      <c r="AR61" s="9" t="n">
        <v>0.243968185</v>
      </c>
      <c r="AS61" s="9" t="n">
        <v>0.249427613</v>
      </c>
      <c r="AT61" s="10" t="n">
        <v>0.246356685</v>
      </c>
      <c r="AU61" s="9" t="n">
        <v>0.23037491</v>
      </c>
      <c r="AW61" s="10">
        <f>AQ61</f>
        <v/>
      </c>
      <c r="AY61" s="10">
        <f>AR61*F61</f>
        <v/>
      </c>
      <c r="AZ61" s="10">
        <f>AS61*H61</f>
        <v/>
      </c>
      <c r="BA61" s="10">
        <f>AT61*G61</f>
        <v/>
      </c>
      <c r="BB61" s="10">
        <f>L61</f>
        <v/>
      </c>
      <c r="BC61" s="10">
        <f>K61</f>
        <v/>
      </c>
      <c r="BE61" s="1">
        <f>AW61-SUM(AY61:BC61)</f>
        <v/>
      </c>
    </row>
    <row r="62">
      <c r="B62" s="13" t="inlineStr">
        <is>
          <t>NCEN_Gasoline_Gasification_CCS_99_Herb</t>
        </is>
      </c>
      <c r="C62" s="12" t="inlineStr">
        <is>
          <t>Biomass_Herb</t>
        </is>
      </c>
      <c r="D62" s="12" t="n">
        <v>0</v>
      </c>
      <c r="E62" s="12" t="n">
        <v>1.1596</v>
      </c>
      <c r="F62" s="12" t="n">
        <v>2.0371</v>
      </c>
      <c r="G62" s="12" t="n">
        <v>0</v>
      </c>
      <c r="H62" s="12" t="n">
        <v>0</v>
      </c>
      <c r="I62" s="24">
        <f>F62+G62+H62</f>
        <v/>
      </c>
      <c r="J62" s="12" t="n">
        <v>1.74</v>
      </c>
      <c r="K62" s="12" t="n">
        <v>1.234436717152824</v>
      </c>
      <c r="L62" s="12" t="n">
        <v>0.0085767932215834</v>
      </c>
      <c r="M62" s="12" t="n">
        <v>590486.4</v>
      </c>
      <c r="N62" s="12" t="n">
        <v>434613.76</v>
      </c>
      <c r="O62" s="12" t="n">
        <v>28.7392</v>
      </c>
      <c r="Q62" s="16" t="n">
        <v>110.892214</v>
      </c>
      <c r="R62" s="16" t="n">
        <v>-41.711711</v>
      </c>
      <c r="S62" s="16" t="n">
        <v>160</v>
      </c>
      <c r="T62" s="15" t="n">
        <v>106.368089</v>
      </c>
      <c r="U62" s="15" t="n">
        <v>117.804824</v>
      </c>
      <c r="V62" s="15" t="n">
        <v>93.32494199999999</v>
      </c>
      <c r="W62" s="15" t="n">
        <v>30.728803</v>
      </c>
      <c r="Y62">
        <f>B62</f>
        <v/>
      </c>
      <c r="Z62">
        <f>C62</f>
        <v/>
      </c>
      <c r="AA62" s="11">
        <f>SUM(AD62:AI62)+AK62+AL62</f>
        <v/>
      </c>
      <c r="AB62" s="11">
        <f>SUM(AD62:AI62)+AN62+AO62</f>
        <v/>
      </c>
      <c r="AC62" s="5">
        <f>AA62-AB62</f>
        <v/>
      </c>
      <c r="AD62">
        <f>D62/H62*W62*-1</f>
        <v/>
      </c>
      <c r="AE62">
        <f>E62/H62*W62</f>
        <v/>
      </c>
      <c r="AF62" s="1">
        <f t="array" ref="AF62">_xlfn.IFS(C62="Biomass_Corn", 1/H62*S62, C62="Biomass_Agri", 1/H62*V62, C62="Biomass_Wood", 1/H62*U62, C62="Biomass_Herb", 1/H62*T62)</f>
        <v/>
      </c>
      <c r="AG62">
        <f>M62/H62/(0.9*8760)</f>
        <v/>
      </c>
      <c r="AH62">
        <f>N62/H62/(0.9*8760)</f>
        <v/>
      </c>
      <c r="AI62">
        <f>O62/H62</f>
        <v/>
      </c>
      <c r="AJ62" s="1">
        <f>(AY62+AZ62+BA62+BB62+BC62-AW62)/I62</f>
        <v/>
      </c>
      <c r="AK62" s="1">
        <f>(Q62+R62)*-1*K62/I62</f>
        <v/>
      </c>
      <c r="AL62">
        <f>AJ62*Q62</f>
        <v/>
      </c>
      <c r="AM62" s="1">
        <f>(SUM(AY62:BB62)-AW62)/I62</f>
        <v/>
      </c>
      <c r="AN62" s="1">
        <f>K62/I62*-1*R62</f>
        <v/>
      </c>
      <c r="AO62">
        <f>AM62*Q62</f>
        <v/>
      </c>
      <c r="AQ62" s="9">
        <f>J62</f>
        <v/>
      </c>
      <c r="AR62" s="9" t="n">
        <v>0.243968185</v>
      </c>
      <c r="AS62" s="9" t="n">
        <v>0.249427613</v>
      </c>
      <c r="AT62" s="10" t="n">
        <v>0.246356685</v>
      </c>
      <c r="AU62" s="9" t="n">
        <v>0.23037491</v>
      </c>
      <c r="AW62" s="10">
        <f>AQ62</f>
        <v/>
      </c>
      <c r="AY62" s="10">
        <f>AR62*F62</f>
        <v/>
      </c>
      <c r="AZ62" s="10">
        <f>AS62*H62</f>
        <v/>
      </c>
      <c r="BA62" s="10">
        <f>AT62*G62</f>
        <v/>
      </c>
      <c r="BB62" s="10">
        <f>L62</f>
        <v/>
      </c>
      <c r="BC62" s="10">
        <f>K62</f>
        <v/>
      </c>
      <c r="BE62" s="1">
        <f>AW62-SUM(AY62:BC62)</f>
        <v/>
      </c>
    </row>
    <row r="63">
      <c r="B63" s="13" t="inlineStr">
        <is>
          <t>CEN_Gasoline_Gasification_CCS_99_Herb</t>
        </is>
      </c>
      <c r="C63" s="12" t="inlineStr">
        <is>
          <t>Biomass_Herb</t>
        </is>
      </c>
      <c r="D63" s="12" t="n">
        <v>0</v>
      </c>
      <c r="E63" s="12" t="n">
        <v>1.1596</v>
      </c>
      <c r="F63" s="12" t="n">
        <v>2.0249</v>
      </c>
      <c r="G63" s="12" t="n">
        <v>0</v>
      </c>
      <c r="H63" s="12" t="n">
        <v>0</v>
      </c>
      <c r="I63" s="24">
        <f>F63+G63+H63</f>
        <v/>
      </c>
      <c r="J63" s="12" t="n">
        <v>1.723</v>
      </c>
      <c r="K63" s="12" t="n">
        <v>1.220514284389095</v>
      </c>
      <c r="L63" s="12" t="n">
        <v>0.008480060983067901</v>
      </c>
      <c r="M63" s="12" t="n">
        <v>590486.4</v>
      </c>
      <c r="N63" s="12" t="n">
        <v>434613.76</v>
      </c>
      <c r="O63" s="12" t="n">
        <v>28.7392</v>
      </c>
      <c r="Q63" s="16" t="n">
        <v>110.892214</v>
      </c>
      <c r="R63" s="16" t="n">
        <v>-31.698788</v>
      </c>
      <c r="S63" s="16" t="n">
        <v>160</v>
      </c>
      <c r="T63" s="15" t="n">
        <v>112.646846</v>
      </c>
      <c r="U63" s="15" t="n">
        <v>129.719823</v>
      </c>
      <c r="V63" s="15" t="n">
        <v>101.234661</v>
      </c>
      <c r="W63" s="15" t="n">
        <v>25.375037</v>
      </c>
      <c r="Y63">
        <f>B63</f>
        <v/>
      </c>
      <c r="Z63">
        <f>C63</f>
        <v/>
      </c>
      <c r="AA63" s="11">
        <f>SUM(AD63:AI63)+AK63+AL63</f>
        <v/>
      </c>
      <c r="AB63" s="11">
        <f>SUM(AD63:AI63)+AN63+AO63</f>
        <v/>
      </c>
      <c r="AC63" s="5">
        <f>AA63-AB63</f>
        <v/>
      </c>
      <c r="AD63">
        <f>D63/H63*W63*-1</f>
        <v/>
      </c>
      <c r="AE63">
        <f>E63/H63*W63</f>
        <v/>
      </c>
      <c r="AF63" s="1">
        <f t="array" ref="AF63">_xlfn.IFS(C63="Biomass_Corn", 1/H63*S63, C63="Biomass_Agri", 1/H63*V63, C63="Biomass_Wood", 1/H63*U63, C63="Biomass_Herb", 1/H63*T63)</f>
        <v/>
      </c>
      <c r="AG63">
        <f>M63/H63/(0.9*8760)</f>
        <v/>
      </c>
      <c r="AH63">
        <f>N63/H63/(0.9*8760)</f>
        <v/>
      </c>
      <c r="AI63">
        <f>O63/H63</f>
        <v/>
      </c>
      <c r="AJ63" s="1">
        <f>(AY63+AZ63+BA63+BB63+BC63-AW63)/I63</f>
        <v/>
      </c>
      <c r="AK63" s="1">
        <f>(Q63+R63)*-1*K63/I63</f>
        <v/>
      </c>
      <c r="AL63">
        <f>AJ63*Q63</f>
        <v/>
      </c>
      <c r="AM63" s="1">
        <f>(SUM(AY63:BB63)-AW63)/I63</f>
        <v/>
      </c>
      <c r="AN63" s="1">
        <f>K63/I63*-1*R63</f>
        <v/>
      </c>
      <c r="AO63">
        <f>AM63*Q63</f>
        <v/>
      </c>
      <c r="AQ63" s="9">
        <f>J63</f>
        <v/>
      </c>
      <c r="AR63" s="9" t="n">
        <v>0.243968185</v>
      </c>
      <c r="AS63" s="9" t="n">
        <v>0.249427613</v>
      </c>
      <c r="AT63" s="10" t="n">
        <v>0.246356685</v>
      </c>
      <c r="AU63" s="9" t="n">
        <v>0.23037491</v>
      </c>
      <c r="AW63" s="10">
        <f>AQ63</f>
        <v/>
      </c>
      <c r="AY63" s="10">
        <f>AR63*F63</f>
        <v/>
      </c>
      <c r="AZ63" s="10">
        <f>AS63*H63</f>
        <v/>
      </c>
      <c r="BA63" s="10">
        <f>AT63*G63</f>
        <v/>
      </c>
      <c r="BB63" s="10">
        <f>L63</f>
        <v/>
      </c>
      <c r="BC63" s="10">
        <f>K63</f>
        <v/>
      </c>
      <c r="BE63" s="1">
        <f>AW63-SUM(AY63:BC63)</f>
        <v/>
      </c>
    </row>
    <row r="64">
      <c r="B64" s="13" t="inlineStr">
        <is>
          <t>SE_Gasoline_Gasification_CCS_99_Herb</t>
        </is>
      </c>
      <c r="C64" s="12" t="inlineStr">
        <is>
          <t>Biomass_Herb</t>
        </is>
      </c>
      <c r="D64" s="12" t="n">
        <v>0</v>
      </c>
      <c r="E64" s="12" t="n">
        <v>1.1596</v>
      </c>
      <c r="F64" s="12" t="n">
        <v>2.0215</v>
      </c>
      <c r="G64" s="12" t="n">
        <v>0</v>
      </c>
      <c r="H64" s="12" t="n">
        <v>0</v>
      </c>
      <c r="I64" s="24">
        <f>F64+G64+H64</f>
        <v/>
      </c>
      <c r="J64" s="12" t="n">
        <v>1.717</v>
      </c>
      <c r="K64" s="12" t="n">
        <v>1.215363029998986</v>
      </c>
      <c r="L64" s="12" t="n">
        <v>0.008444270372563701</v>
      </c>
      <c r="M64" s="12" t="n">
        <v>590486.4</v>
      </c>
      <c r="N64" s="12" t="n">
        <v>434613.76</v>
      </c>
      <c r="O64" s="12" t="n">
        <v>28.7392</v>
      </c>
      <c r="Q64" s="16" t="n">
        <v>110.892214</v>
      </c>
      <c r="R64" s="16" t="n">
        <v>-47.684613</v>
      </c>
      <c r="S64" s="16" t="n">
        <v>160</v>
      </c>
      <c r="T64" s="15" t="n">
        <v>100.406702</v>
      </c>
      <c r="U64" s="15" t="n">
        <v>115.539531</v>
      </c>
      <c r="V64" s="15" t="n">
        <v>89.577806</v>
      </c>
      <c r="W64" s="15" t="n">
        <v>38.228295</v>
      </c>
      <c r="Y64">
        <f>B64</f>
        <v/>
      </c>
      <c r="Z64">
        <f>C64</f>
        <v/>
      </c>
      <c r="AA64" s="11">
        <f>SUM(AD64:AI64)+AK64+AL64</f>
        <v/>
      </c>
      <c r="AB64" s="11">
        <f>SUM(AD64:AI64)+AN64+AO64</f>
        <v/>
      </c>
      <c r="AC64" s="5">
        <f>AA64-AB64</f>
        <v/>
      </c>
      <c r="AD64">
        <f>D64/H64*W64*-1</f>
        <v/>
      </c>
      <c r="AE64">
        <f>E64/H64*W64</f>
        <v/>
      </c>
      <c r="AF64" s="1">
        <f t="array" ref="AF64">_xlfn.IFS(C64="Biomass_Corn", 1/H64*S64, C64="Biomass_Agri", 1/H64*V64, C64="Biomass_Wood", 1/H64*U64, C64="Biomass_Herb", 1/H64*T64)</f>
        <v/>
      </c>
      <c r="AG64">
        <f>M64/H64/(0.9*8760)</f>
        <v/>
      </c>
      <c r="AH64">
        <f>N64/H64/(0.9*8760)</f>
        <v/>
      </c>
      <c r="AI64">
        <f>O64/H64</f>
        <v/>
      </c>
      <c r="AJ64" s="1">
        <f>(AY64+AZ64+BA64+BB64+BC64-AW64)/I64</f>
        <v/>
      </c>
      <c r="AK64" s="1">
        <f>(Q64+R64)*-1*K64/I64</f>
        <v/>
      </c>
      <c r="AL64">
        <f>AJ64*Q64</f>
        <v/>
      </c>
      <c r="AM64" s="1">
        <f>(SUM(AY64:BB64)-AW64)/I64</f>
        <v/>
      </c>
      <c r="AN64" s="1">
        <f>K64/I64*-1*R64</f>
        <v/>
      </c>
      <c r="AO64">
        <f>AM64*Q64</f>
        <v/>
      </c>
      <c r="AQ64" s="9">
        <f>J64</f>
        <v/>
      </c>
      <c r="AR64" s="9" t="n">
        <v>0.243968185</v>
      </c>
      <c r="AS64" s="9" t="n">
        <v>0.249427613</v>
      </c>
      <c r="AT64" s="10" t="n">
        <v>0.246356685</v>
      </c>
      <c r="AU64" s="9" t="n">
        <v>0.23037491</v>
      </c>
      <c r="AW64" s="10">
        <f>AQ64</f>
        <v/>
      </c>
      <c r="AY64" s="10">
        <f>AR64*F64</f>
        <v/>
      </c>
      <c r="AZ64" s="10">
        <f>AS64*H64</f>
        <v/>
      </c>
      <c r="BA64" s="10">
        <f>AT64*G64</f>
        <v/>
      </c>
      <c r="BB64" s="10">
        <f>L64</f>
        <v/>
      </c>
      <c r="BC64" s="10">
        <f>K64</f>
        <v/>
      </c>
      <c r="BE64" s="1">
        <f>AW64-SUM(AY64:BC64)</f>
        <v/>
      </c>
    </row>
    <row r="65">
      <c r="B65" s="13" t="inlineStr">
        <is>
          <t>MIDAT_Gasoline_Gasification_CCS_99_Herb</t>
        </is>
      </c>
      <c r="C65" s="12" t="inlineStr">
        <is>
          <t>Biomass_Herb</t>
        </is>
      </c>
      <c r="D65" s="12" t="n">
        <v>0</v>
      </c>
      <c r="E65" s="12" t="n">
        <v>1.1596</v>
      </c>
      <c r="F65" s="12" t="n">
        <v>2.0327</v>
      </c>
      <c r="G65" s="12" t="n">
        <v>0</v>
      </c>
      <c r="H65" s="12" t="n">
        <v>0</v>
      </c>
      <c r="I65" s="24">
        <f>F65+G65+H65</f>
        <v/>
      </c>
      <c r="J65" s="12" t="n">
        <v>1.736</v>
      </c>
      <c r="K65" s="12" t="n">
        <v>1.231540777966014</v>
      </c>
      <c r="L65" s="12" t="n">
        <v>0.008556672407577799</v>
      </c>
      <c r="M65" s="12" t="n">
        <v>590486.4</v>
      </c>
      <c r="N65" s="12" t="n">
        <v>434613.76</v>
      </c>
      <c r="O65" s="12" t="n">
        <v>28.7392</v>
      </c>
      <c r="Q65" s="16" t="n">
        <v>110.892214</v>
      </c>
      <c r="R65" s="16" t="n">
        <v>-54.368796</v>
      </c>
      <c r="S65" s="16" t="n">
        <v>160</v>
      </c>
      <c r="T65" s="15" t="n">
        <v>101.540719</v>
      </c>
      <c r="U65" s="15" t="n">
        <v>109.472766</v>
      </c>
      <c r="V65" s="15" t="n">
        <v>90.14609900000001</v>
      </c>
      <c r="W65" s="15" t="n">
        <v>39.376329</v>
      </c>
      <c r="Y65">
        <f>B65</f>
        <v/>
      </c>
      <c r="Z65">
        <f>C65</f>
        <v/>
      </c>
      <c r="AA65" s="11">
        <f>SUM(AD65:AI65)+AK65+AL65</f>
        <v/>
      </c>
      <c r="AB65" s="11">
        <f>SUM(AD65:AI65)+AN65+AO65</f>
        <v/>
      </c>
      <c r="AC65" s="5">
        <f>AA65-AB65</f>
        <v/>
      </c>
      <c r="AD65">
        <f>D65/H65*W65*-1</f>
        <v/>
      </c>
      <c r="AE65">
        <f>E65/H65*W65</f>
        <v/>
      </c>
      <c r="AF65" s="1">
        <f t="array" ref="AF65">_xlfn.IFS(C65="Biomass_Corn", 1/H65*S65, C65="Biomass_Agri", 1/H65*V65, C65="Biomass_Wood", 1/H65*U65, C65="Biomass_Herb", 1/H65*T65)</f>
        <v/>
      </c>
      <c r="AG65">
        <f>M65/H65/(0.9*8760)</f>
        <v/>
      </c>
      <c r="AH65">
        <f>N65/H65/(0.9*8760)</f>
        <v/>
      </c>
      <c r="AI65">
        <f>O65/H65</f>
        <v/>
      </c>
      <c r="AJ65" s="1">
        <f>(AY65+AZ65+BA65+BB65+BC65-AW65)/I65</f>
        <v/>
      </c>
      <c r="AK65" s="1">
        <f>(Q65+R65)*-1*K65/I65</f>
        <v/>
      </c>
      <c r="AL65">
        <f>AJ65*Q65</f>
        <v/>
      </c>
      <c r="AM65" s="1">
        <f>(SUM(AY65:BB65)-AW65)/I65</f>
        <v/>
      </c>
      <c r="AN65" s="1">
        <f>K65/I65*-1*R65</f>
        <v/>
      </c>
      <c r="AO65">
        <f>AM65*Q65</f>
        <v/>
      </c>
      <c r="AQ65" s="9">
        <f>J65</f>
        <v/>
      </c>
      <c r="AR65" s="9" t="n">
        <v>0.243968185</v>
      </c>
      <c r="AS65" s="9" t="n">
        <v>0.249427613</v>
      </c>
      <c r="AT65" s="10" t="n">
        <v>0.246356685</v>
      </c>
      <c r="AU65" s="9" t="n">
        <v>0.23037491</v>
      </c>
      <c r="AW65" s="10">
        <f>AQ65</f>
        <v/>
      </c>
      <c r="AY65" s="10">
        <f>AR65*F65</f>
        <v/>
      </c>
      <c r="AZ65" s="10">
        <f>AS65*H65</f>
        <v/>
      </c>
      <c r="BA65" s="10">
        <f>AT65*G65</f>
        <v/>
      </c>
      <c r="BB65" s="10">
        <f>L65</f>
        <v/>
      </c>
      <c r="BC65" s="10">
        <f>K65</f>
        <v/>
      </c>
      <c r="BE65" s="1">
        <f>AW65-SUM(AY65:BC65)</f>
        <v/>
      </c>
    </row>
    <row r="66">
      <c r="B66" s="13" t="inlineStr">
        <is>
          <t>NE_Gasoline_Gasification_CCS_99_Herb</t>
        </is>
      </c>
      <c r="C66" s="12" t="inlineStr">
        <is>
          <t>Biomass_Herb</t>
        </is>
      </c>
      <c r="D66" s="12" t="n">
        <v>0</v>
      </c>
      <c r="E66" s="12" t="n">
        <v>1.1596</v>
      </c>
      <c r="F66" s="12" t="n">
        <v>2.0404</v>
      </c>
      <c r="G66" s="12" t="n">
        <v>0</v>
      </c>
      <c r="H66" s="12" t="n">
        <v>0</v>
      </c>
      <c r="I66" s="24">
        <f>F66+G66+H66</f>
        <v/>
      </c>
      <c r="J66" s="12" t="n">
        <v>1.745</v>
      </c>
      <c r="K66" s="12" t="n">
        <v>1.238594871542933</v>
      </c>
      <c r="L66" s="12" t="n">
        <v>0.0086056838320876</v>
      </c>
      <c r="M66" s="12" t="n">
        <v>590486.4</v>
      </c>
      <c r="N66" s="12" t="n">
        <v>434613.76</v>
      </c>
      <c r="O66" s="12" t="n">
        <v>28.7392</v>
      </c>
      <c r="Q66" s="16" t="n">
        <v>110.892214</v>
      </c>
      <c r="R66" s="16" t="n">
        <v>-62.623722</v>
      </c>
      <c r="S66" s="16" t="n">
        <v>160</v>
      </c>
      <c r="T66" s="15" t="n">
        <v>102.353041</v>
      </c>
      <c r="U66" s="15" t="n">
        <v>108.140489</v>
      </c>
      <c r="V66" s="15" t="n">
        <v>92.430212</v>
      </c>
      <c r="W66" s="15" t="n">
        <v>47.48771</v>
      </c>
      <c r="Y66">
        <f>B66</f>
        <v/>
      </c>
      <c r="Z66">
        <f>C66</f>
        <v/>
      </c>
      <c r="AA66" s="11">
        <f>SUM(AD66:AI66)+AK66+AL66</f>
        <v/>
      </c>
      <c r="AB66" s="11">
        <f>SUM(AD66:AI66)+AN66+AO66</f>
        <v/>
      </c>
      <c r="AC66" s="5">
        <f>AA66-AB66</f>
        <v/>
      </c>
      <c r="AD66">
        <f>D66/H66*W66*-1</f>
        <v/>
      </c>
      <c r="AE66">
        <f>E66/H66*W66</f>
        <v/>
      </c>
      <c r="AF66" s="1">
        <f t="array" ref="AF66">_xlfn.IFS(C66="Biomass_Corn", 1/H66*S66, C66="Biomass_Agri", 1/H66*V66, C66="Biomass_Wood", 1/H66*U66, C66="Biomass_Herb", 1/H66*T66)</f>
        <v/>
      </c>
      <c r="AG66">
        <f>M66/H66/(0.9*8760)</f>
        <v/>
      </c>
      <c r="AH66">
        <f>N66/H66/(0.9*8760)</f>
        <v/>
      </c>
      <c r="AI66">
        <f>O66/H66</f>
        <v/>
      </c>
      <c r="AJ66" s="1">
        <f>(AY66+AZ66+BA66+BB66+BC66-AW66)/I66</f>
        <v/>
      </c>
      <c r="AK66" s="1">
        <f>(Q66+R66)*-1*K66/I66</f>
        <v/>
      </c>
      <c r="AL66">
        <f>AJ66*Q66</f>
        <v/>
      </c>
      <c r="AM66" s="1">
        <f>(SUM(AY66:BB66)-AW66)/I66</f>
        <v/>
      </c>
      <c r="AN66" s="1">
        <f>K66/I66*-1*R66</f>
        <v/>
      </c>
      <c r="AO66">
        <f>AM66*Q66</f>
        <v/>
      </c>
      <c r="AQ66" s="9">
        <f>J66</f>
        <v/>
      </c>
      <c r="AR66" s="9" t="n">
        <v>0.243968185</v>
      </c>
      <c r="AS66" s="9" t="n">
        <v>0.249427613</v>
      </c>
      <c r="AT66" s="10" t="n">
        <v>0.246356685</v>
      </c>
      <c r="AU66" s="9" t="n">
        <v>0.23037491</v>
      </c>
      <c r="AW66" s="10">
        <f>AQ66</f>
        <v/>
      </c>
      <c r="AY66" s="10">
        <f>AR66*F66</f>
        <v/>
      </c>
      <c r="AZ66" s="10">
        <f>AS66*H66</f>
        <v/>
      </c>
      <c r="BA66" s="10">
        <f>AT66*G66</f>
        <v/>
      </c>
      <c r="BB66" s="10">
        <f>L66</f>
        <v/>
      </c>
      <c r="BC66" s="10">
        <f>K66</f>
        <v/>
      </c>
      <c r="BE66" s="1">
        <f>AW66-SUM(AY66:BC66)</f>
        <v/>
      </c>
    </row>
    <row r="67">
      <c r="B67" s="13" t="inlineStr">
        <is>
          <t>CA_Gasoline_Gasification_CCS_99_Wood</t>
        </is>
      </c>
      <c r="C67" s="22" t="inlineStr">
        <is>
          <t>Biomass_Wood</t>
        </is>
      </c>
      <c r="D67" s="22" t="n">
        <v>0</v>
      </c>
      <c r="E67" s="22" t="n">
        <v>1.1596</v>
      </c>
      <c r="F67" s="22" t="n">
        <v>2.1504</v>
      </c>
      <c r="G67" s="22" t="n">
        <v>0</v>
      </c>
      <c r="H67" s="22" t="n">
        <v>0</v>
      </c>
      <c r="I67" s="24">
        <f>F67+G67+H67</f>
        <v/>
      </c>
      <c r="J67" s="22" t="n">
        <v>1.843</v>
      </c>
      <c r="K67" s="22" t="n">
        <v>1.309276266416504</v>
      </c>
      <c r="L67" s="22" t="n">
        <v>0.0090967739787271</v>
      </c>
      <c r="M67" s="22" t="n">
        <v>590486.4</v>
      </c>
      <c r="N67" s="22" t="n">
        <v>434613.76</v>
      </c>
      <c r="O67" s="22" t="n">
        <v>28.7392</v>
      </c>
      <c r="Q67" s="21" t="n">
        <v>110.892214</v>
      </c>
      <c r="R67" s="21" t="n">
        <v>-6.493396</v>
      </c>
      <c r="S67" s="21" t="n">
        <v>160</v>
      </c>
      <c r="T67" s="21" t="n">
        <v>1539.150891</v>
      </c>
      <c r="U67" s="21" t="n">
        <v>162.083504</v>
      </c>
      <c r="V67" s="21" t="n">
        <v>140.323815</v>
      </c>
      <c r="W67" s="21" t="n">
        <v>36.566419</v>
      </c>
      <c r="Y67">
        <f>B67</f>
        <v/>
      </c>
      <c r="Z67">
        <f>C67</f>
        <v/>
      </c>
      <c r="AA67" s="20">
        <f>SUM(AD67:AI67)+AK67+AL67</f>
        <v/>
      </c>
      <c r="AB67" s="20">
        <f>SUM(AD67:AI67)+AN67+AO67</f>
        <v/>
      </c>
      <c r="AC67" s="5">
        <f>AA67-AB67</f>
        <v/>
      </c>
      <c r="AD67">
        <f>D67/H67*W67*-1</f>
        <v/>
      </c>
      <c r="AE67">
        <f>E67/H67*W67</f>
        <v/>
      </c>
      <c r="AF67" s="1">
        <f t="array" ref="AF67">_xlfn.IFS(C67="Biomass_Corn", 1/H67*S67, C67="Biomass_Agri", 1/H67*V67, C67="Biomass_Wood", 1/H67*U67, C67="Biomass_Herb", 1/H67*T67)</f>
        <v/>
      </c>
      <c r="AG67">
        <f>M67/H67/(0.9*8760)</f>
        <v/>
      </c>
      <c r="AH67">
        <f>N67/H67/(0.9*8760)</f>
        <v/>
      </c>
      <c r="AI67">
        <f>O67/H67</f>
        <v/>
      </c>
      <c r="AJ67" s="1">
        <f>(AY67+AZ67+BA67+BB67+BC67-AW67)/I67</f>
        <v/>
      </c>
      <c r="AK67" s="1">
        <f>(Q67+R67)*-1*K67/I67</f>
        <v/>
      </c>
      <c r="AL67">
        <f>AJ67*Q67</f>
        <v/>
      </c>
      <c r="AM67" s="1">
        <f>(SUM(AY67:BB67)-AW67)/I67</f>
        <v/>
      </c>
      <c r="AN67" s="1">
        <f>K67/I67*-1*R67</f>
        <v/>
      </c>
      <c r="AO67">
        <f>AM67*Q67</f>
        <v/>
      </c>
      <c r="AQ67" s="19">
        <f>J67</f>
        <v/>
      </c>
      <c r="AR67" s="9" t="n">
        <v>0.243968185</v>
      </c>
      <c r="AS67" s="9" t="n">
        <v>0.249427613</v>
      </c>
      <c r="AT67" s="10" t="n">
        <v>0.246356685</v>
      </c>
      <c r="AU67" s="19" t="n">
        <v>0.23037491</v>
      </c>
      <c r="AW67" s="10">
        <f>AQ67</f>
        <v/>
      </c>
      <c r="AY67" s="10">
        <f>AR67*F67</f>
        <v/>
      </c>
      <c r="AZ67" s="10">
        <f>AS67*H67</f>
        <v/>
      </c>
      <c r="BA67" s="10">
        <f>AT67*G67</f>
        <v/>
      </c>
      <c r="BB67" s="10">
        <f>L67</f>
        <v/>
      </c>
      <c r="BC67" s="10">
        <f>K67</f>
        <v/>
      </c>
      <c r="BE67" s="1">
        <f>AW67-SUM(AY67:BC67)</f>
        <v/>
      </c>
    </row>
    <row r="68">
      <c r="B68" s="13" t="inlineStr">
        <is>
          <t>NW_Gasoline_Gasification_CCS_99_Wood</t>
        </is>
      </c>
      <c r="C68" s="22" t="inlineStr">
        <is>
          <t>Biomass_Wood</t>
        </is>
      </c>
      <c r="D68" s="22" t="n">
        <v>0</v>
      </c>
      <c r="E68" s="22" t="n">
        <v>1.1596</v>
      </c>
      <c r="F68" s="22" t="n">
        <v>2.1459</v>
      </c>
      <c r="G68" s="22" t="n">
        <v>0</v>
      </c>
      <c r="H68" s="22" t="n">
        <v>0</v>
      </c>
      <c r="I68" s="24">
        <f>F68+G68+H68</f>
        <v/>
      </c>
      <c r="J68" s="22" t="n">
        <v>1.818</v>
      </c>
      <c r="K68" s="22" t="n">
        <v>1.285525227229693</v>
      </c>
      <c r="L68" s="22" t="n">
        <v>0.0089317531647214</v>
      </c>
      <c r="M68" s="22" t="n">
        <v>590486.4</v>
      </c>
      <c r="N68" s="22" t="n">
        <v>434613.76</v>
      </c>
      <c r="O68" s="22" t="n">
        <v>28.7392</v>
      </c>
      <c r="Q68" s="21" t="n">
        <v>110.892214</v>
      </c>
      <c r="R68" s="21" t="n">
        <v>-7.381741</v>
      </c>
      <c r="S68" s="21" t="n">
        <v>160</v>
      </c>
      <c r="T68" s="21" t="n">
        <v>140.805445</v>
      </c>
      <c r="U68" s="21" t="n">
        <v>159.375106</v>
      </c>
      <c r="V68" s="21" t="n">
        <v>121.714108</v>
      </c>
      <c r="W68" s="21" t="n">
        <v>26.767046</v>
      </c>
      <c r="Y68">
        <f>B68</f>
        <v/>
      </c>
      <c r="Z68">
        <f>C68</f>
        <v/>
      </c>
      <c r="AA68" s="20">
        <f>SUM(AD68:AI68)+AK68+AL68</f>
        <v/>
      </c>
      <c r="AB68" s="20">
        <f>SUM(AD68:AI68)+AN68+AO68</f>
        <v/>
      </c>
      <c r="AC68" s="5">
        <f>AA68-AB68</f>
        <v/>
      </c>
      <c r="AD68">
        <f>D68/H68*W68*-1</f>
        <v/>
      </c>
      <c r="AE68">
        <f>E68/H68*W68</f>
        <v/>
      </c>
      <c r="AF68" s="1">
        <f t="array" ref="AF68">_xlfn.IFS(C68="Biomass_Corn", 1/H68*S68, C68="Biomass_Agri", 1/H68*V68, C68="Biomass_Wood", 1/H68*U68, C68="Biomass_Herb", 1/H68*T68)</f>
        <v/>
      </c>
      <c r="AG68">
        <f>M68/H68/(0.9*8760)</f>
        <v/>
      </c>
      <c r="AH68">
        <f>N68/H68/(0.9*8760)</f>
        <v/>
      </c>
      <c r="AI68">
        <f>O68/H68</f>
        <v/>
      </c>
      <c r="AJ68" s="1">
        <f>(AY68+AZ68+BA68+BB68+BC68-AW68)/I68</f>
        <v/>
      </c>
      <c r="AK68" s="1">
        <f>(Q68+R68)*-1*K68/I68</f>
        <v/>
      </c>
      <c r="AL68">
        <f>AJ68*Q68</f>
        <v/>
      </c>
      <c r="AM68" s="1">
        <f>(SUM(AY68:BB68)-AW68)/I68</f>
        <v/>
      </c>
      <c r="AN68" s="1">
        <f>K68/I68*-1*R68</f>
        <v/>
      </c>
      <c r="AO68">
        <f>AM68*Q68</f>
        <v/>
      </c>
      <c r="AQ68" s="19">
        <f>J68</f>
        <v/>
      </c>
      <c r="AR68" s="9" t="n">
        <v>0.243968185</v>
      </c>
      <c r="AS68" s="9" t="n">
        <v>0.249427613</v>
      </c>
      <c r="AT68" s="10" t="n">
        <v>0.246356685</v>
      </c>
      <c r="AU68" s="19" t="n">
        <v>0.23037491</v>
      </c>
      <c r="AW68" s="10">
        <f>AQ68</f>
        <v/>
      </c>
      <c r="AY68" s="10">
        <f>AR68*F68</f>
        <v/>
      </c>
      <c r="AZ68" s="10">
        <f>AS68*H68</f>
        <v/>
      </c>
      <c r="BA68" s="10">
        <f>AT68*G68</f>
        <v/>
      </c>
      <c r="BB68" s="10">
        <f>L68</f>
        <v/>
      </c>
      <c r="BC68" s="10">
        <f>K68</f>
        <v/>
      </c>
      <c r="BE68" s="1">
        <f>AW68-SUM(AY68:BC68)</f>
        <v/>
      </c>
    </row>
    <row r="69">
      <c r="B69" s="23" t="inlineStr">
        <is>
          <t>SW_Gasoline_Gasification_CCS_99_Wood</t>
        </is>
      </c>
      <c r="C69" s="22" t="inlineStr">
        <is>
          <t>Biomass_Wood</t>
        </is>
      </c>
      <c r="D69" s="22" t="n">
        <v>0</v>
      </c>
      <c r="E69" s="22" t="n">
        <v>1.1596</v>
      </c>
      <c r="F69" s="22" t="n">
        <v>2.126</v>
      </c>
      <c r="G69" s="22" t="n">
        <v>0</v>
      </c>
      <c r="H69" s="22" t="n">
        <v>0</v>
      </c>
      <c r="I69" s="24">
        <f>F69+G69+H69</f>
        <v/>
      </c>
      <c r="J69" s="22" t="n">
        <v>1.798</v>
      </c>
      <c r="K69" s="22" t="n">
        <v>1.270507300889044</v>
      </c>
      <c r="L69" s="22" t="n">
        <v>0.008827409501696099</v>
      </c>
      <c r="M69" s="22" t="n">
        <v>590486.4</v>
      </c>
      <c r="N69" s="22" t="n">
        <v>434613.76</v>
      </c>
      <c r="O69" s="22" t="n">
        <v>28.7392</v>
      </c>
      <c r="Q69" s="21" t="n">
        <v>110.892214</v>
      </c>
      <c r="R69" s="21" t="n">
        <v>-16.594224</v>
      </c>
      <c r="S69" s="21" t="n">
        <v>160</v>
      </c>
      <c r="T69" s="21" t="n">
        <v>125.807546</v>
      </c>
      <c r="U69" s="21" t="n">
        <v>143.289826</v>
      </c>
      <c r="V69" s="21" t="n">
        <v>114.17137</v>
      </c>
      <c r="W69" s="21" t="n">
        <v>28.012186</v>
      </c>
      <c r="Y69">
        <f>B69</f>
        <v/>
      </c>
      <c r="Z69">
        <f>C69</f>
        <v/>
      </c>
      <c r="AA69" s="20">
        <f>SUM(AD69:AI69)+AK69+AL69</f>
        <v/>
      </c>
      <c r="AB69" s="20">
        <f>SUM(AD69:AI69)+AN69+AO69</f>
        <v/>
      </c>
      <c r="AC69" s="5">
        <f>AA69-AB69</f>
        <v/>
      </c>
      <c r="AD69">
        <f>D69/H69*W69*-1</f>
        <v/>
      </c>
      <c r="AE69">
        <f>E69/H69*W69</f>
        <v/>
      </c>
      <c r="AF69" s="1">
        <f t="array" ref="AF69">_xlfn.IFS(C69="Biomass_Corn", 1/H69*S69, C69="Biomass_Agri", 1/H69*V69, C69="Biomass_Wood", 1/H69*U69, C69="Biomass_Herb", 1/H69*T69)</f>
        <v/>
      </c>
      <c r="AG69">
        <f>M69/H69/(0.9*8760)</f>
        <v/>
      </c>
      <c r="AH69">
        <f>N69/H69/(0.9*8760)</f>
        <v/>
      </c>
      <c r="AI69">
        <f>O69/H69</f>
        <v/>
      </c>
      <c r="AJ69" s="1">
        <f>(AY69+AZ69+BA69+BB69+BC69-AW69)/I69</f>
        <v/>
      </c>
      <c r="AK69" s="1">
        <f>(Q69+R69)*-1*K69/I69</f>
        <v/>
      </c>
      <c r="AL69">
        <f>AJ69*Q69</f>
        <v/>
      </c>
      <c r="AM69" s="1">
        <f>(SUM(AY69:BB69)-AW69)/I69</f>
        <v/>
      </c>
      <c r="AN69" s="1">
        <f>K69/I69*-1*R69</f>
        <v/>
      </c>
      <c r="AO69">
        <f>AM69*Q69</f>
        <v/>
      </c>
      <c r="AQ69" s="19">
        <f>J69</f>
        <v/>
      </c>
      <c r="AR69" s="9" t="n">
        <v>0.243968185</v>
      </c>
      <c r="AS69" s="9" t="n">
        <v>0.249427613</v>
      </c>
      <c r="AT69" s="10" t="n">
        <v>0.246356685</v>
      </c>
      <c r="AU69" s="19" t="n">
        <v>0.23037491</v>
      </c>
      <c r="AW69" s="10">
        <f>AQ69</f>
        <v/>
      </c>
      <c r="AY69" s="10">
        <f>AR69*F69</f>
        <v/>
      </c>
      <c r="AZ69" s="10">
        <f>AS69*H69</f>
        <v/>
      </c>
      <c r="BA69" s="10">
        <f>AT69*G69</f>
        <v/>
      </c>
      <c r="BB69" s="10">
        <f>L69</f>
        <v/>
      </c>
      <c r="BC69" s="10">
        <f>K69</f>
        <v/>
      </c>
      <c r="BE69" s="1">
        <f>AW69-SUM(AY69:BC69)</f>
        <v/>
      </c>
    </row>
    <row r="70">
      <c r="B70" s="23" t="inlineStr">
        <is>
          <t>TX_Gasoline_Gasification_CCS_99_Wood</t>
        </is>
      </c>
      <c r="C70" s="22" t="inlineStr">
        <is>
          <t>Biomass_Wood</t>
        </is>
      </c>
      <c r="D70" s="22" t="n">
        <v>0</v>
      </c>
      <c r="E70" s="22" t="n">
        <v>1.1596</v>
      </c>
      <c r="F70" s="22" t="n">
        <v>2.1093</v>
      </c>
      <c r="G70" s="22" t="n">
        <v>0</v>
      </c>
      <c r="H70" s="22" t="n">
        <v>0</v>
      </c>
      <c r="I70" s="24">
        <f>F70+G70+H70</f>
        <v/>
      </c>
      <c r="J70" s="22" t="n">
        <v>1.821</v>
      </c>
      <c r="K70" s="22" t="n">
        <v>1.297385328938502</v>
      </c>
      <c r="L70" s="22" t="n">
        <v>0.009014156449174899</v>
      </c>
      <c r="M70" s="22" t="n">
        <v>590486.4</v>
      </c>
      <c r="N70" s="22" t="n">
        <v>434613.76</v>
      </c>
      <c r="O70" s="22" t="n">
        <v>28.7392</v>
      </c>
      <c r="Q70" s="21" t="n">
        <v>110.892214</v>
      </c>
      <c r="R70" s="21" t="n">
        <v>-21.499827</v>
      </c>
      <c r="S70" s="21" t="n">
        <v>160</v>
      </c>
      <c r="T70" s="21" t="n">
        <v>140.297617</v>
      </c>
      <c r="U70" s="21" t="n">
        <v>160.374377</v>
      </c>
      <c r="V70" s="21" t="n">
        <v>113.606838</v>
      </c>
      <c r="W70" s="21" t="n">
        <v>20.240713</v>
      </c>
      <c r="Y70">
        <f>B70</f>
        <v/>
      </c>
      <c r="Z70">
        <f>C70</f>
        <v/>
      </c>
      <c r="AA70" s="20">
        <f>SUM(AD70:AI70)+AK70+AL70</f>
        <v/>
      </c>
      <c r="AB70" s="20">
        <f>SUM(AD70:AI70)+AN70+AO70</f>
        <v/>
      </c>
      <c r="AC70" s="5">
        <f>AA70-AB70</f>
        <v/>
      </c>
      <c r="AD70">
        <f>D70/H70*W70*-1</f>
        <v/>
      </c>
      <c r="AE70">
        <f>E70/H70*W70</f>
        <v/>
      </c>
      <c r="AF70" s="1">
        <f t="array" ref="AF70">_xlfn.IFS(C70="Biomass_Corn", 1/H70*S70, C70="Biomass_Agri", 1/H70*V70, C70="Biomass_Wood", 1/H70*U70, C70="Biomass_Herb", 1/H70*T70)</f>
        <v/>
      </c>
      <c r="AG70">
        <f>M70/H70/(0.9*8760)</f>
        <v/>
      </c>
      <c r="AH70">
        <f>N70/H70/(0.9*8760)</f>
        <v/>
      </c>
      <c r="AI70">
        <f>O70/H70</f>
        <v/>
      </c>
      <c r="AJ70" s="1">
        <f>(AY70+AZ70+BA70+BB70+BC70-AW70)/I70</f>
        <v/>
      </c>
      <c r="AK70" s="1">
        <f>(Q70+R70)*-1*K70/I70</f>
        <v/>
      </c>
      <c r="AL70">
        <f>AJ70*Q70</f>
        <v/>
      </c>
      <c r="AM70" s="1">
        <f>(SUM(AY70:BB70)-AW70)/I70</f>
        <v/>
      </c>
      <c r="AN70" s="1">
        <f>K70/I70*-1*R70</f>
        <v/>
      </c>
      <c r="AO70">
        <f>AM70*Q70</f>
        <v/>
      </c>
      <c r="AQ70" s="19">
        <f>J70</f>
        <v/>
      </c>
      <c r="AR70" s="9" t="n">
        <v>0.243968185</v>
      </c>
      <c r="AS70" s="9" t="n">
        <v>0.249427613</v>
      </c>
      <c r="AT70" s="10" t="n">
        <v>0.246356685</v>
      </c>
      <c r="AU70" s="19" t="n">
        <v>0.23037491</v>
      </c>
      <c r="AW70" s="10">
        <f>AQ70</f>
        <v/>
      </c>
      <c r="AY70" s="10">
        <f>AR70*F70</f>
        <v/>
      </c>
      <c r="AZ70" s="10">
        <f>AS70*H70</f>
        <v/>
      </c>
      <c r="BA70" s="10">
        <f>AT70*G70</f>
        <v/>
      </c>
      <c r="BB70" s="10">
        <f>L70</f>
        <v/>
      </c>
      <c r="BC70" s="10">
        <f>K70</f>
        <v/>
      </c>
      <c r="BE70" s="1">
        <f>AW70-SUM(AY70:BC70)</f>
        <v/>
      </c>
    </row>
    <row r="71">
      <c r="B71" s="23" t="inlineStr">
        <is>
          <t>NCEN_Gasoline_Gasification_CCS_99_Wood</t>
        </is>
      </c>
      <c r="C71" s="22" t="inlineStr">
        <is>
          <t>Biomass_Wood</t>
        </is>
      </c>
      <c r="D71" s="22" t="n">
        <v>0</v>
      </c>
      <c r="E71" s="22" t="n">
        <v>1.1596</v>
      </c>
      <c r="F71" s="22" t="n">
        <v>2.1171</v>
      </c>
      <c r="G71" s="22" t="n">
        <v>0</v>
      </c>
      <c r="H71" s="22" t="n">
        <v>0</v>
      </c>
      <c r="I71" s="24">
        <f>F71+G71+H71</f>
        <v/>
      </c>
      <c r="J71" s="22" t="n">
        <v>1.802</v>
      </c>
      <c r="K71" s="22" t="n">
        <v>1.276632622515422</v>
      </c>
      <c r="L71" s="22" t="n">
        <v>0.008869967873684799</v>
      </c>
      <c r="M71" s="22" t="n">
        <v>590486.4</v>
      </c>
      <c r="N71" s="22" t="n">
        <v>434613.76</v>
      </c>
      <c r="O71" s="22" t="n">
        <v>28.7392</v>
      </c>
      <c r="Q71" s="21" t="n">
        <v>110.892214</v>
      </c>
      <c r="R71" s="21" t="n">
        <v>-41.711711</v>
      </c>
      <c r="S71" s="21" t="n">
        <v>160</v>
      </c>
      <c r="T71" s="21" t="n">
        <v>106.368089</v>
      </c>
      <c r="U71" s="21" t="n">
        <v>117.804824</v>
      </c>
      <c r="V71" s="21" t="n">
        <v>93.32494199999999</v>
      </c>
      <c r="W71" s="21" t="n">
        <v>30.728803</v>
      </c>
      <c r="Y71">
        <f>B71</f>
        <v/>
      </c>
      <c r="Z71">
        <f>C71</f>
        <v/>
      </c>
      <c r="AA71" s="20">
        <f>SUM(AD71:AI71)+AK71+AL71</f>
        <v/>
      </c>
      <c r="AB71" s="20">
        <f>SUM(AD71:AI71)+AN71+AO71</f>
        <v/>
      </c>
      <c r="AC71" s="5">
        <f>AA71-AB71</f>
        <v/>
      </c>
      <c r="AD71">
        <f>D71/H71*W71*-1</f>
        <v/>
      </c>
      <c r="AE71">
        <f>E71/H71*W71</f>
        <v/>
      </c>
      <c r="AF71" s="1">
        <f t="array" ref="AF71">_xlfn.IFS(C71="Biomass_Corn", 1/H71*S71, C71="Biomass_Agri", 1/H71*V71, C71="Biomass_Wood", 1/H71*U71, C71="Biomass_Herb", 1/H71*T71)</f>
        <v/>
      </c>
      <c r="AG71">
        <f>M71/H71/(0.9*8760)</f>
        <v/>
      </c>
      <c r="AH71">
        <f>N71/H71/(0.9*8760)</f>
        <v/>
      </c>
      <c r="AI71">
        <f>O71/H71</f>
        <v/>
      </c>
      <c r="AJ71" s="1">
        <f>(AY71+AZ71+BA71+BB71+BC71-AW71)/I71</f>
        <v/>
      </c>
      <c r="AK71" s="1">
        <f>(Q71+R71)*-1*K71/I71</f>
        <v/>
      </c>
      <c r="AL71">
        <f>AJ71*Q71</f>
        <v/>
      </c>
      <c r="AM71" s="1">
        <f>(SUM(AY71:BB71)-AW71)/I71</f>
        <v/>
      </c>
      <c r="AN71" s="1">
        <f>K71/I71*-1*R71</f>
        <v/>
      </c>
      <c r="AO71">
        <f>AM71*Q71</f>
        <v/>
      </c>
      <c r="AQ71" s="19">
        <f>J71</f>
        <v/>
      </c>
      <c r="AR71" s="9" t="n">
        <v>0.243968185</v>
      </c>
      <c r="AS71" s="9" t="n">
        <v>0.249427613</v>
      </c>
      <c r="AT71" s="10" t="n">
        <v>0.246356685</v>
      </c>
      <c r="AU71" s="19" t="n">
        <v>0.23037491</v>
      </c>
      <c r="AW71" s="10">
        <f>AQ71</f>
        <v/>
      </c>
      <c r="AY71" s="10">
        <f>AR71*F71</f>
        <v/>
      </c>
      <c r="AZ71" s="10">
        <f>AS71*H71</f>
        <v/>
      </c>
      <c r="BA71" s="10">
        <f>AT71*G71</f>
        <v/>
      </c>
      <c r="BB71" s="10">
        <f>L71</f>
        <v/>
      </c>
      <c r="BC71" s="10">
        <f>K71</f>
        <v/>
      </c>
      <c r="BE71" s="1">
        <f>AW71-SUM(AY71:BC71)</f>
        <v/>
      </c>
    </row>
    <row r="72">
      <c r="B72" s="23" t="inlineStr">
        <is>
          <t>CEN_Gasoline_Gasification_CCS_99_Wood</t>
        </is>
      </c>
      <c r="C72" s="22" t="inlineStr">
        <is>
          <t>Biomass_Wood</t>
        </is>
      </c>
      <c r="D72" s="22" t="n">
        <v>0</v>
      </c>
      <c r="E72" s="22" t="n">
        <v>1.1596</v>
      </c>
      <c r="F72" s="22" t="n">
        <v>2.1182</v>
      </c>
      <c r="G72" s="22" t="n">
        <v>0</v>
      </c>
      <c r="H72" s="22" t="n">
        <v>0</v>
      </c>
      <c r="I72" s="24">
        <f>F72+G72+H72</f>
        <v/>
      </c>
      <c r="J72" s="22" t="n">
        <v>1.802</v>
      </c>
      <c r="K72" s="22" t="n">
        <v>1.276363507312125</v>
      </c>
      <c r="L72" s="22" t="n">
        <v>0.0088680980771862</v>
      </c>
      <c r="M72" s="22" t="n">
        <v>590486.4</v>
      </c>
      <c r="N72" s="22" t="n">
        <v>434613.76</v>
      </c>
      <c r="O72" s="22" t="n">
        <v>28.7392</v>
      </c>
      <c r="Q72" s="21" t="n">
        <v>110.892214</v>
      </c>
      <c r="R72" s="21" t="n">
        <v>-31.698788</v>
      </c>
      <c r="S72" s="21" t="n">
        <v>160</v>
      </c>
      <c r="T72" s="21" t="n">
        <v>112.646846</v>
      </c>
      <c r="U72" s="21" t="n">
        <v>129.719823</v>
      </c>
      <c r="V72" s="21" t="n">
        <v>101.234661</v>
      </c>
      <c r="W72" s="21" t="n">
        <v>25.375037</v>
      </c>
      <c r="Y72">
        <f>B72</f>
        <v/>
      </c>
      <c r="Z72">
        <f>C72</f>
        <v/>
      </c>
      <c r="AA72" s="20">
        <f>SUM(AD72:AI72)+AK72+AL72</f>
        <v/>
      </c>
      <c r="AB72" s="20">
        <f>SUM(AD72:AI72)+AN72+AO72</f>
        <v/>
      </c>
      <c r="AC72" s="5">
        <f>AA72-AB72</f>
        <v/>
      </c>
      <c r="AD72">
        <f>D72/H72*W72*-1</f>
        <v/>
      </c>
      <c r="AE72">
        <f>E72/H72*W72</f>
        <v/>
      </c>
      <c r="AF72" s="1">
        <f t="array" ref="AF72">_xlfn.IFS(C72="Biomass_Corn", 1/H72*S72, C72="Biomass_Agri", 1/H72*V72, C72="Biomass_Wood", 1/H72*U72, C72="Biomass_Herb", 1/H72*T72)</f>
        <v/>
      </c>
      <c r="AG72">
        <f>M72/H72/(0.9*8760)</f>
        <v/>
      </c>
      <c r="AH72">
        <f>N72/H72/(0.9*8760)</f>
        <v/>
      </c>
      <c r="AI72">
        <f>O72/H72</f>
        <v/>
      </c>
      <c r="AJ72" s="1">
        <f>(AY72+AZ72+BA72+BB72+BC72-AW72)/I72</f>
        <v/>
      </c>
      <c r="AK72" s="1">
        <f>(Q72+R72)*-1*K72/I72</f>
        <v/>
      </c>
      <c r="AL72">
        <f>AJ72*Q72</f>
        <v/>
      </c>
      <c r="AM72" s="1">
        <f>(SUM(AY72:BB72)-AW72)/I72</f>
        <v/>
      </c>
      <c r="AN72" s="1">
        <f>K72/I72*-1*R72</f>
        <v/>
      </c>
      <c r="AO72">
        <f>AM72*Q72</f>
        <v/>
      </c>
      <c r="AQ72" s="19">
        <f>J72</f>
        <v/>
      </c>
      <c r="AR72" s="9" t="n">
        <v>0.243968185</v>
      </c>
      <c r="AS72" s="9" t="n">
        <v>0.249427613</v>
      </c>
      <c r="AT72" s="10" t="n">
        <v>0.246356685</v>
      </c>
      <c r="AU72" s="19" t="n">
        <v>0.23037491</v>
      </c>
      <c r="AW72" s="10">
        <f>AQ72</f>
        <v/>
      </c>
      <c r="AY72" s="10">
        <f>AR72*F72</f>
        <v/>
      </c>
      <c r="AZ72" s="10">
        <f>AS72*H72</f>
        <v/>
      </c>
      <c r="BA72" s="10">
        <f>AT72*G72</f>
        <v/>
      </c>
      <c r="BB72" s="10">
        <f>L72</f>
        <v/>
      </c>
      <c r="BC72" s="10">
        <f>K72</f>
        <v/>
      </c>
      <c r="BE72" s="1">
        <f>AW72-SUM(AY72:BC72)</f>
        <v/>
      </c>
    </row>
    <row r="73">
      <c r="B73" s="23" t="inlineStr">
        <is>
          <t>SE_Gasoline_Gasification_CCS_99_Wood</t>
        </is>
      </c>
      <c r="C73" s="22" t="inlineStr">
        <is>
          <t>Biomass_Wood</t>
        </is>
      </c>
      <c r="D73" s="22" t="n">
        <v>0</v>
      </c>
      <c r="E73" s="22" t="n">
        <v>1.1596</v>
      </c>
      <c r="F73" s="22" t="n">
        <v>2.126</v>
      </c>
      <c r="G73" s="22" t="n">
        <v>0</v>
      </c>
      <c r="H73" s="22" t="n">
        <v>0</v>
      </c>
      <c r="I73" s="24">
        <f>F73+G73+H73</f>
        <v/>
      </c>
      <c r="J73" s="22" t="n">
        <v>1.821</v>
      </c>
      <c r="K73" s="22" t="n">
        <v>1.293348600889044</v>
      </c>
      <c r="L73" s="22" t="n">
        <v>0.0089861095016961</v>
      </c>
      <c r="M73" s="22" t="n">
        <v>590486.4</v>
      </c>
      <c r="N73" s="22" t="n">
        <v>434613.76</v>
      </c>
      <c r="O73" s="22" t="n">
        <v>28.7392</v>
      </c>
      <c r="Q73" s="21" t="n">
        <v>110.892214</v>
      </c>
      <c r="R73" s="21" t="n">
        <v>-47.684613</v>
      </c>
      <c r="S73" s="21" t="n">
        <v>160</v>
      </c>
      <c r="T73" s="21" t="n">
        <v>100.406702</v>
      </c>
      <c r="U73" s="21" t="n">
        <v>115.539531</v>
      </c>
      <c r="V73" s="21" t="n">
        <v>89.577806</v>
      </c>
      <c r="W73" s="21" t="n">
        <v>38.228295</v>
      </c>
      <c r="Y73">
        <f>B73</f>
        <v/>
      </c>
      <c r="Z73">
        <f>C73</f>
        <v/>
      </c>
      <c r="AA73" s="20">
        <f>SUM(AD73:AI73)+AK73+AL73</f>
        <v/>
      </c>
      <c r="AB73" s="20">
        <f>SUM(AD73:AI73)+AN73+AO73</f>
        <v/>
      </c>
      <c r="AC73" s="5">
        <f>AA73-AB73</f>
        <v/>
      </c>
      <c r="AD73">
        <f>D73/H73*W73*-1</f>
        <v/>
      </c>
      <c r="AE73">
        <f>E73/H73*W73</f>
        <v/>
      </c>
      <c r="AF73" s="1">
        <f t="array" ref="AF73">_xlfn.IFS(C73="Biomass_Corn", 1/H73*S73, C73="Biomass_Agri", 1/H73*V73, C73="Biomass_Wood", 1/H73*U73, C73="Biomass_Herb", 1/H73*T73)</f>
        <v/>
      </c>
      <c r="AG73">
        <f>M73/H73/(0.9*8760)</f>
        <v/>
      </c>
      <c r="AH73">
        <f>N73/H73/(0.9*8760)</f>
        <v/>
      </c>
      <c r="AI73">
        <f>O73/H73</f>
        <v/>
      </c>
      <c r="AJ73" s="1">
        <f>(AY73+AZ73+BA73+BB73+BC73-AW73)/I73</f>
        <v/>
      </c>
      <c r="AK73" s="1">
        <f>(Q73+R73)*-1*K73/I73</f>
        <v/>
      </c>
      <c r="AL73">
        <f>AJ73*Q73</f>
        <v/>
      </c>
      <c r="AM73" s="1">
        <f>(SUM(AY73:BB73)-AW73)/I73</f>
        <v/>
      </c>
      <c r="AN73" s="1">
        <f>K73/I73*-1*R73</f>
        <v/>
      </c>
      <c r="AO73">
        <f>AM73*Q73</f>
        <v/>
      </c>
      <c r="AQ73" s="19">
        <f>J73</f>
        <v/>
      </c>
      <c r="AR73" s="9" t="n">
        <v>0.243968185</v>
      </c>
      <c r="AS73" s="9" t="n">
        <v>0.249427613</v>
      </c>
      <c r="AT73" s="10" t="n">
        <v>0.246356685</v>
      </c>
      <c r="AU73" s="19" t="n">
        <v>0.23037491</v>
      </c>
      <c r="AW73" s="10">
        <f>AQ73</f>
        <v/>
      </c>
      <c r="AY73" s="10">
        <f>AR73*F73</f>
        <v/>
      </c>
      <c r="AZ73" s="10">
        <f>AS73*H73</f>
        <v/>
      </c>
      <c r="BA73" s="10">
        <f>AT73*G73</f>
        <v/>
      </c>
      <c r="BB73" s="10">
        <f>L73</f>
        <v/>
      </c>
      <c r="BC73" s="10">
        <f>K73</f>
        <v/>
      </c>
      <c r="BE73" s="1">
        <f>AW73-SUM(AY73:BC73)</f>
        <v/>
      </c>
    </row>
    <row r="74">
      <c r="B74" s="23" t="inlineStr">
        <is>
          <t>MIDAT_Gasoline_Gasification_CCS_99_Wood</t>
        </is>
      </c>
      <c r="C74" s="22" t="inlineStr">
        <is>
          <t>Biomass_Wood</t>
        </is>
      </c>
      <c r="D74" s="22" t="n">
        <v>0</v>
      </c>
      <c r="E74" s="22" t="n">
        <v>1.1596</v>
      </c>
      <c r="F74" s="22" t="n">
        <v>2.1115</v>
      </c>
      <c r="G74" s="22" t="n">
        <v>0</v>
      </c>
      <c r="H74" s="22" t="n">
        <v>0</v>
      </c>
      <c r="I74" s="24">
        <f>F74+G74+H74</f>
        <v/>
      </c>
      <c r="J74" s="22" t="n">
        <v>1.806</v>
      </c>
      <c r="K74" s="22" t="n">
        <v>1.281950598531908</v>
      </c>
      <c r="L74" s="22" t="n">
        <v>0.0089069168561778</v>
      </c>
      <c r="M74" s="22" t="n">
        <v>590486.4</v>
      </c>
      <c r="N74" s="22" t="n">
        <v>434613.76</v>
      </c>
      <c r="O74" s="22" t="n">
        <v>28.7392</v>
      </c>
      <c r="Q74" s="21" t="n">
        <v>110.892214</v>
      </c>
      <c r="R74" s="21" t="n">
        <v>-54.368796</v>
      </c>
      <c r="S74" s="21" t="n">
        <v>160</v>
      </c>
      <c r="T74" s="21" t="n">
        <v>101.540719</v>
      </c>
      <c r="U74" s="21" t="n">
        <v>109.472766</v>
      </c>
      <c r="V74" s="21" t="n">
        <v>90.14609900000001</v>
      </c>
      <c r="W74" s="21" t="n">
        <v>39.376329</v>
      </c>
      <c r="Y74">
        <f>B74</f>
        <v/>
      </c>
      <c r="Z74">
        <f>C74</f>
        <v/>
      </c>
      <c r="AA74" s="20">
        <f>SUM(AD74:AI74)+AK74+AL74</f>
        <v/>
      </c>
      <c r="AB74" s="20">
        <f>SUM(AD74:AI74)+AN74+AO74</f>
        <v/>
      </c>
      <c r="AC74" s="5">
        <f>AA74-AB74</f>
        <v/>
      </c>
      <c r="AD74">
        <f>D74/H74*W74*-1</f>
        <v/>
      </c>
      <c r="AE74">
        <f>E74/H74*W74</f>
        <v/>
      </c>
      <c r="AF74" s="1">
        <f t="array" ref="AF74">_xlfn.IFS(C74="Biomass_Corn", 1/H74*S74, C74="Biomass_Agri", 1/H74*V74, C74="Biomass_Wood", 1/H74*U74, C74="Biomass_Herb", 1/H74*T74)</f>
        <v/>
      </c>
      <c r="AG74">
        <f>M74/H74/(0.9*8760)</f>
        <v/>
      </c>
      <c r="AH74">
        <f>N74/H74/(0.9*8760)</f>
        <v/>
      </c>
      <c r="AI74">
        <f>O74/H74</f>
        <v/>
      </c>
      <c r="AJ74" s="1">
        <f>(AY74+AZ74+BA74+BB74+BC74-AW74)/I74</f>
        <v/>
      </c>
      <c r="AK74" s="1">
        <f>(Q74+R74)*-1*K74/I74</f>
        <v/>
      </c>
      <c r="AL74">
        <f>AJ74*Q74</f>
        <v/>
      </c>
      <c r="AM74" s="1">
        <f>(SUM(AY74:BB74)-AW74)/I74</f>
        <v/>
      </c>
      <c r="AN74" s="1">
        <f>K74/I74*-1*R74</f>
        <v/>
      </c>
      <c r="AO74">
        <f>AM74*Q74</f>
        <v/>
      </c>
      <c r="AQ74" s="19">
        <f>J74</f>
        <v/>
      </c>
      <c r="AR74" s="9" t="n">
        <v>0.243968185</v>
      </c>
      <c r="AS74" s="9" t="n">
        <v>0.249427613</v>
      </c>
      <c r="AT74" s="10" t="n">
        <v>0.246356685</v>
      </c>
      <c r="AU74" s="19" t="n">
        <v>0.23037491</v>
      </c>
      <c r="AW74" s="10">
        <f>AQ74</f>
        <v/>
      </c>
      <c r="AY74" s="10">
        <f>AR74*F74</f>
        <v/>
      </c>
      <c r="AZ74" s="10">
        <f>AS74*H74</f>
        <v/>
      </c>
      <c r="BA74" s="10">
        <f>AT74*G74</f>
        <v/>
      </c>
      <c r="BB74" s="10">
        <f>L74</f>
        <v/>
      </c>
      <c r="BC74" s="10">
        <f>K74</f>
        <v/>
      </c>
      <c r="BE74" s="1">
        <f>AW74-SUM(AY74:BC74)</f>
        <v/>
      </c>
    </row>
    <row r="75">
      <c r="B75" s="23" t="inlineStr">
        <is>
          <t>NE_Gasoline_Gasification_CCS_99_Wood</t>
        </is>
      </c>
      <c r="C75" s="22" t="inlineStr">
        <is>
          <t>Biomass_Wood</t>
        </is>
      </c>
      <c r="D75" s="22" t="n">
        <v>0</v>
      </c>
      <c r="E75" s="22" t="n">
        <v>1.1596</v>
      </c>
      <c r="F75" s="22" t="n">
        <v>2.0982</v>
      </c>
      <c r="G75" s="22" t="n">
        <v>0</v>
      </c>
      <c r="H75" s="22" t="n">
        <v>0</v>
      </c>
      <c r="I75" s="24">
        <f>F75+G75+H75</f>
        <v/>
      </c>
      <c r="J75" s="22" t="n">
        <v>1.826</v>
      </c>
      <c r="K75" s="22" t="n">
        <v>1.305041980971476</v>
      </c>
      <c r="L75" s="22" t="n">
        <v>0.0090673544141609</v>
      </c>
      <c r="M75" s="22" t="n">
        <v>590486.4</v>
      </c>
      <c r="N75" s="22" t="n">
        <v>434613.76</v>
      </c>
      <c r="O75" s="22" t="n">
        <v>28.7392</v>
      </c>
      <c r="Q75" s="21" t="n">
        <v>110.892214</v>
      </c>
      <c r="R75" s="21" t="n">
        <v>-62.623722</v>
      </c>
      <c r="S75" s="21" t="n">
        <v>160</v>
      </c>
      <c r="T75" s="21" t="n">
        <v>102.353041</v>
      </c>
      <c r="U75" s="21" t="n">
        <v>108.140489</v>
      </c>
      <c r="V75" s="21" t="n">
        <v>92.430212</v>
      </c>
      <c r="W75" s="21" t="n">
        <v>47.48771</v>
      </c>
      <c r="Y75">
        <f>B75</f>
        <v/>
      </c>
      <c r="Z75">
        <f>C75</f>
        <v/>
      </c>
      <c r="AA75" s="20">
        <f>SUM(AD75:AI75)+AK75+AL75</f>
        <v/>
      </c>
      <c r="AB75" s="20">
        <f>SUM(AD75:AI75)+AN75+AO75</f>
        <v/>
      </c>
      <c r="AC75" s="5">
        <f>AA75-AB75</f>
        <v/>
      </c>
      <c r="AD75">
        <f>D75/H75*W75*-1</f>
        <v/>
      </c>
      <c r="AE75">
        <f>E75/H75*W75</f>
        <v/>
      </c>
      <c r="AF75" s="1">
        <f t="array" ref="AF75">_xlfn.IFS(C75="Biomass_Corn", 1/H75*S75, C75="Biomass_Agri", 1/H75*V75, C75="Biomass_Wood", 1/H75*U75, C75="Biomass_Herb", 1/H75*T75)</f>
        <v/>
      </c>
      <c r="AG75">
        <f>M75/H75/(0.9*8760)</f>
        <v/>
      </c>
      <c r="AH75">
        <f>N75/H75/(0.9*8760)</f>
        <v/>
      </c>
      <c r="AI75">
        <f>O75/H75</f>
        <v/>
      </c>
      <c r="AJ75" s="1">
        <f>(AY75+AZ75+BA75+BB75+BC75-AW75)/I75</f>
        <v/>
      </c>
      <c r="AK75" s="1">
        <f>(Q75+R75)*-1*K75/I75</f>
        <v/>
      </c>
      <c r="AL75">
        <f>AJ75*Q75</f>
        <v/>
      </c>
      <c r="AM75" s="1">
        <f>(SUM(AY75:BB75)-AW75)/I75</f>
        <v/>
      </c>
      <c r="AN75" s="1">
        <f>K75/I75*-1*R75</f>
        <v/>
      </c>
      <c r="AO75">
        <f>AM75*Q75</f>
        <v/>
      </c>
      <c r="AQ75" s="19">
        <f>J75</f>
        <v/>
      </c>
      <c r="AR75" s="19" t="n"/>
      <c r="AS75" s="19" t="n"/>
      <c r="AT75" s="18" t="n">
        <v>0.181048235160161</v>
      </c>
      <c r="AU75" s="19" t="n">
        <v>0.23037491</v>
      </c>
      <c r="AW75" s="10">
        <f>AQ75</f>
        <v/>
      </c>
      <c r="AY75" s="10">
        <f>AR75*F75</f>
        <v/>
      </c>
      <c r="AZ75" s="10">
        <f>AS75*H75</f>
        <v/>
      </c>
      <c r="BA75" s="10">
        <f>AT75*G75</f>
        <v/>
      </c>
      <c r="BB75" s="10">
        <f>L75</f>
        <v/>
      </c>
      <c r="BC75" s="10">
        <f>K75</f>
        <v/>
      </c>
      <c r="BE75" s="1">
        <f>AW75-SUM(AY75:BC75)</f>
        <v/>
      </c>
    </row>
    <row r="76">
      <c r="B76" t="inlineStr">
        <is>
          <t>CA_Gasoline_Gasification_CCS_99_Agri</t>
        </is>
      </c>
      <c r="C76" t="inlineStr">
        <is>
          <t>Biomass_Agri</t>
        </is>
      </c>
      <c r="D76" t="n">
        <v>0</v>
      </c>
      <c r="E76" t="n">
        <v>1.1596</v>
      </c>
      <c r="F76" t="n">
        <v>2.0315</v>
      </c>
      <c r="G76" t="n">
        <v>0</v>
      </c>
      <c r="H76" t="n">
        <v>0</v>
      </c>
      <c r="J76" t="n">
        <v>1.719</v>
      </c>
      <c r="K76" t="n">
        <v>1.214927193169311</v>
      </c>
      <c r="L76" t="n">
        <v>0.008441242204076301</v>
      </c>
      <c r="M76" t="n">
        <v>590486.4</v>
      </c>
      <c r="N76" t="n">
        <v>434613.76</v>
      </c>
      <c r="O76" t="n">
        <v>28.7392</v>
      </c>
      <c r="Q76" t="n">
        <v>110.892214</v>
      </c>
      <c r="R76" t="n">
        <v>-6.493396</v>
      </c>
      <c r="S76" t="n">
        <v>160</v>
      </c>
      <c r="T76" t="n">
        <v>1539.150891</v>
      </c>
      <c r="U76" t="n">
        <v>162.083504</v>
      </c>
      <c r="V76" t="n">
        <v>140.323815</v>
      </c>
      <c r="W76" t="n">
        <v>36.566419</v>
      </c>
      <c r="AA76" s="5" t="n"/>
      <c r="AB76" s="5" t="n"/>
      <c r="AC76" s="5" t="n"/>
      <c r="AQ76" s="8" t="n"/>
      <c r="AR76" s="8" t="n"/>
      <c r="AS76" s="8" t="n"/>
      <c r="AU76" s="8" t="n"/>
    </row>
    <row r="77">
      <c r="B77" t="inlineStr">
        <is>
          <t>NW_Gasoline_Gasification_CCS_99_Agri</t>
        </is>
      </c>
      <c r="C77" t="inlineStr">
        <is>
          <t>Biomass_Agri</t>
        </is>
      </c>
      <c r="D77" t="n">
        <v>0</v>
      </c>
      <c r="E77" t="n">
        <v>1.1596</v>
      </c>
      <c r="F77" t="n">
        <v>1.8572</v>
      </c>
      <c r="G77" t="n">
        <v>0</v>
      </c>
      <c r="H77" t="n">
        <v>0</v>
      </c>
      <c r="J77" t="n">
        <v>1.664</v>
      </c>
      <c r="K77" t="n">
        <v>1.202557780086981</v>
      </c>
      <c r="L77" t="n">
        <v>0.0083553002543552</v>
      </c>
      <c r="M77" t="n">
        <v>590486.4</v>
      </c>
      <c r="N77" t="n">
        <v>434613.76</v>
      </c>
      <c r="O77" t="n">
        <v>28.7392</v>
      </c>
      <c r="Q77" t="n">
        <v>110.892214</v>
      </c>
      <c r="R77" t="n">
        <v>-7.381741</v>
      </c>
      <c r="S77" t="n">
        <v>160</v>
      </c>
      <c r="T77" t="n">
        <v>140.805445</v>
      </c>
      <c r="U77" t="n">
        <v>159.375106</v>
      </c>
      <c r="V77" t="n">
        <v>121.714108</v>
      </c>
      <c r="W77" t="n">
        <v>26.767046</v>
      </c>
      <c r="AA77" s="5" t="n"/>
      <c r="AB77" s="5" t="n"/>
      <c r="AC77" s="5" t="n"/>
      <c r="AQ77" s="8" t="n"/>
      <c r="AR77" s="8" t="n"/>
      <c r="AS77" s="8" t="n"/>
      <c r="AU77" s="8" t="n"/>
    </row>
    <row r="78">
      <c r="B78" t="inlineStr">
        <is>
          <t>SW_Gasoline_Gasification_CCS_99_Agri</t>
        </is>
      </c>
      <c r="C78" t="inlineStr">
        <is>
          <t>Biomass_Agri</t>
        </is>
      </c>
      <c r="D78" t="n">
        <v>0</v>
      </c>
      <c r="E78" t="n">
        <v>1.1596</v>
      </c>
      <c r="F78" t="n">
        <v>1.8916</v>
      </c>
      <c r="G78" t="n">
        <v>0</v>
      </c>
      <c r="H78" t="n">
        <v>0</v>
      </c>
      <c r="J78" t="n">
        <v>1.687</v>
      </c>
      <c r="K78" t="n">
        <v>1.217056508784766</v>
      </c>
      <c r="L78" t="n">
        <v>0.008456036562898899</v>
      </c>
      <c r="M78" t="n">
        <v>590486.4</v>
      </c>
      <c r="N78" t="n">
        <v>434613.76</v>
      </c>
      <c r="O78" t="n">
        <v>28.7392</v>
      </c>
      <c r="Q78" t="n">
        <v>110.892214</v>
      </c>
      <c r="R78" t="n">
        <v>-16.594224</v>
      </c>
      <c r="S78" t="n">
        <v>160</v>
      </c>
      <c r="T78" t="n">
        <v>125.807546</v>
      </c>
      <c r="U78" t="n">
        <v>143.289826</v>
      </c>
      <c r="V78" t="n">
        <v>114.17137</v>
      </c>
      <c r="W78" t="n">
        <v>28.012186</v>
      </c>
      <c r="AA78" s="5" t="n"/>
      <c r="AB78" s="5" t="n"/>
      <c r="AC78" s="5" t="n"/>
      <c r="AQ78" s="8" t="n"/>
      <c r="AR78" s="8" t="n"/>
      <c r="AS78" s="8" t="n"/>
      <c r="AU78" s="8" t="n"/>
    </row>
    <row r="79">
      <c r="B79" t="inlineStr">
        <is>
          <t>TX_Gasoline_Gasification_CCS_99_Agri</t>
        </is>
      </c>
      <c r="C79" t="inlineStr">
        <is>
          <t>Biomass_Agri</t>
        </is>
      </c>
      <c r="D79" t="n">
        <v>0</v>
      </c>
      <c r="E79" t="n">
        <v>1.1596</v>
      </c>
      <c r="F79" t="n">
        <v>1.8427</v>
      </c>
      <c r="G79" t="n">
        <v>0</v>
      </c>
      <c r="H79" t="n">
        <v>0</v>
      </c>
      <c r="J79" t="n">
        <v>1.633</v>
      </c>
      <c r="K79" t="n">
        <v>1.175270177729845</v>
      </c>
      <c r="L79" t="n">
        <v>0.008165707608836901</v>
      </c>
      <c r="M79" t="n">
        <v>590486.4</v>
      </c>
      <c r="N79" t="n">
        <v>434613.76</v>
      </c>
      <c r="O79" t="n">
        <v>28.7392</v>
      </c>
      <c r="Q79" t="n">
        <v>110.892214</v>
      </c>
      <c r="R79" t="n">
        <v>-21.499827</v>
      </c>
      <c r="S79" t="n">
        <v>160</v>
      </c>
      <c r="T79" t="n">
        <v>140.297617</v>
      </c>
      <c r="U79" t="n">
        <v>160.374377</v>
      </c>
      <c r="V79" t="n">
        <v>113.606838</v>
      </c>
      <c r="W79" t="n">
        <v>20.240713</v>
      </c>
      <c r="AA79" s="5" t="n"/>
      <c r="AB79" s="5" t="n"/>
      <c r="AC79" s="5" t="n"/>
      <c r="AQ79" s="8" t="n"/>
      <c r="AR79" s="8" t="n"/>
      <c r="AS79" s="8" t="n"/>
      <c r="AU79" s="8" t="n"/>
    </row>
    <row r="80">
      <c r="B80" t="inlineStr">
        <is>
          <t>NCEN_Gasoline_Gasification_CCS_99_Agri</t>
        </is>
      </c>
      <c r="C80" t="inlineStr">
        <is>
          <t>Biomass_Agri</t>
        </is>
      </c>
      <c r="D80" t="n">
        <v>0</v>
      </c>
      <c r="E80" t="n">
        <v>1.1596</v>
      </c>
      <c r="F80" t="n">
        <v>1.9216</v>
      </c>
      <c r="G80" t="n">
        <v>0</v>
      </c>
      <c r="H80" t="n">
        <v>0</v>
      </c>
      <c r="J80" t="n">
        <v>1.71</v>
      </c>
      <c r="K80" t="n">
        <v>1.23263169829574</v>
      </c>
      <c r="L80" t="n">
        <v>0.0085642520574369</v>
      </c>
      <c r="M80" t="n">
        <v>590486.4</v>
      </c>
      <c r="N80" t="n">
        <v>434613.76</v>
      </c>
      <c r="O80" t="n">
        <v>28.7392</v>
      </c>
      <c r="Q80" t="n">
        <v>110.892214</v>
      </c>
      <c r="R80" t="n">
        <v>-41.711711</v>
      </c>
      <c r="S80" t="n">
        <v>160</v>
      </c>
      <c r="T80" t="n">
        <v>106.368089</v>
      </c>
      <c r="U80" t="n">
        <v>117.804824</v>
      </c>
      <c r="V80" t="n">
        <v>93.32494199999999</v>
      </c>
      <c r="W80" t="n">
        <v>30.728803</v>
      </c>
      <c r="AA80" s="5" t="n"/>
      <c r="AB80" s="5" t="n"/>
      <c r="AC80" s="5" t="n"/>
      <c r="AQ80" s="8" t="n"/>
      <c r="AR80" s="8" t="n"/>
      <c r="AS80" s="8" t="n"/>
      <c r="AU80" s="8" t="n"/>
    </row>
    <row r="81">
      <c r="B81" t="inlineStr">
        <is>
          <t>CEN_Gasoline_Gasification_CCS_99_Agri</t>
        </is>
      </c>
      <c r="C81" t="inlineStr">
        <is>
          <t>Biomass_Agri</t>
        </is>
      </c>
      <c r="D81" t="n">
        <v>0</v>
      </c>
      <c r="E81" t="n">
        <v>1.1596</v>
      </c>
      <c r="F81" t="n">
        <v>1.9071</v>
      </c>
      <c r="G81" t="n">
        <v>0</v>
      </c>
      <c r="H81" t="n">
        <v>0</v>
      </c>
      <c r="J81" t="n">
        <v>1.7</v>
      </c>
      <c r="K81" t="n">
        <v>1.226199195938604</v>
      </c>
      <c r="L81" t="n">
        <v>0.008519559411918599</v>
      </c>
      <c r="M81" t="n">
        <v>590486.4</v>
      </c>
      <c r="N81" t="n">
        <v>434613.76</v>
      </c>
      <c r="O81" t="n">
        <v>28.7392</v>
      </c>
      <c r="Q81" t="n">
        <v>110.892214</v>
      </c>
      <c r="R81" t="n">
        <v>-31.698788</v>
      </c>
      <c r="S81" t="n">
        <v>160</v>
      </c>
      <c r="T81" t="n">
        <v>112.646846</v>
      </c>
      <c r="U81" t="n">
        <v>129.719823</v>
      </c>
      <c r="V81" t="n">
        <v>101.234661</v>
      </c>
      <c r="W81" t="n">
        <v>25.375037</v>
      </c>
      <c r="AA81" s="5" t="n"/>
      <c r="AB81" s="5" t="n"/>
      <c r="AC81" s="5" t="n"/>
      <c r="AQ81" s="8" t="n"/>
      <c r="AR81" s="8" t="n"/>
      <c r="AS81" s="8" t="n"/>
      <c r="AU81" s="8" t="n"/>
    </row>
    <row r="82">
      <c r="B82" t="inlineStr">
        <is>
          <t>SE_Gasoline_Gasification_CCS_99_Agri</t>
        </is>
      </c>
      <c r="C82" t="inlineStr">
        <is>
          <t>Biomass_Agri</t>
        </is>
      </c>
      <c r="D82" t="n">
        <v>0</v>
      </c>
      <c r="E82" t="n">
        <v>1.1596</v>
      </c>
      <c r="F82" t="n">
        <v>1.9138</v>
      </c>
      <c r="G82" t="n">
        <v>0</v>
      </c>
      <c r="H82" t="n">
        <v>0</v>
      </c>
      <c r="J82" t="n">
        <v>1.689</v>
      </c>
      <c r="K82" t="n">
        <v>1.213660404718821</v>
      </c>
      <c r="L82" t="n">
        <v>0.008432440632927</v>
      </c>
      <c r="M82" t="n">
        <v>590486.4</v>
      </c>
      <c r="N82" t="n">
        <v>434613.76</v>
      </c>
      <c r="O82" t="n">
        <v>28.7392</v>
      </c>
      <c r="Q82" t="n">
        <v>110.892214</v>
      </c>
      <c r="R82" t="n">
        <v>-47.684613</v>
      </c>
      <c r="S82" t="n">
        <v>160</v>
      </c>
      <c r="T82" t="n">
        <v>100.406702</v>
      </c>
      <c r="U82" t="n">
        <v>115.539531</v>
      </c>
      <c r="V82" t="n">
        <v>89.577806</v>
      </c>
      <c r="W82" t="n">
        <v>38.228295</v>
      </c>
      <c r="AA82" s="5" t="n"/>
      <c r="AB82" s="5" t="n"/>
      <c r="AC82" s="5" t="n"/>
      <c r="AQ82" s="8" t="n"/>
      <c r="AR82" s="8" t="n"/>
      <c r="AS82" s="8" t="n"/>
      <c r="AU82" s="8" t="n"/>
    </row>
    <row r="83">
      <c r="B83" t="inlineStr">
        <is>
          <t>MIDAT_Gasoline_Gasification_CCS_99_Agri</t>
        </is>
      </c>
      <c r="C83" t="inlineStr">
        <is>
          <t>Biomass_Agri</t>
        </is>
      </c>
      <c r="D83" t="n">
        <v>0</v>
      </c>
      <c r="E83" t="n">
        <v>1.1596</v>
      </c>
      <c r="F83" t="n">
        <v>1.9194</v>
      </c>
      <c r="G83" t="n">
        <v>0</v>
      </c>
      <c r="H83" t="n">
        <v>0</v>
      </c>
      <c r="J83" t="n">
        <v>1.708</v>
      </c>
      <c r="K83" t="n">
        <v>1.231183728702334</v>
      </c>
      <c r="L83" t="n">
        <v>0.0085541916504341</v>
      </c>
      <c r="M83" t="n">
        <v>590486.4</v>
      </c>
      <c r="N83" t="n">
        <v>434613.76</v>
      </c>
      <c r="O83" t="n">
        <v>28.7392</v>
      </c>
      <c r="Q83" t="n">
        <v>110.892214</v>
      </c>
      <c r="R83" t="n">
        <v>-54.368796</v>
      </c>
      <c r="S83" t="n">
        <v>160</v>
      </c>
      <c r="T83" t="n">
        <v>101.540719</v>
      </c>
      <c r="U83" t="n">
        <v>109.472766</v>
      </c>
      <c r="V83" t="n">
        <v>90.14609900000001</v>
      </c>
      <c r="W83" t="n">
        <v>39.376329</v>
      </c>
      <c r="AA83" s="5" t="n"/>
      <c r="AB83" s="5" t="n"/>
      <c r="AC83" s="5" t="n"/>
      <c r="AQ83" s="8" t="n"/>
      <c r="AR83" s="8" t="n"/>
      <c r="AS83" s="8" t="n"/>
      <c r="AU83" s="8" t="n"/>
    </row>
    <row r="84">
      <c r="B84" t="inlineStr">
        <is>
          <t>NE_Gasoline_Gasification_CCS_99_Agri</t>
        </is>
      </c>
      <c r="C84" t="inlineStr">
        <is>
          <t>Biomass_Agri</t>
        </is>
      </c>
      <c r="D84" t="n">
        <v>0</v>
      </c>
      <c r="E84" t="n">
        <v>1.1596</v>
      </c>
      <c r="F84" t="n">
        <v>1.9416</v>
      </c>
      <c r="G84" t="n">
        <v>0</v>
      </c>
      <c r="H84" t="n">
        <v>0</v>
      </c>
      <c r="J84" t="n">
        <v>1.715</v>
      </c>
      <c r="K84" t="n">
        <v>1.232753124636389</v>
      </c>
      <c r="L84" t="n">
        <v>0.0085650957204622</v>
      </c>
      <c r="M84" t="n">
        <v>590486.4</v>
      </c>
      <c r="N84" t="n">
        <v>434613.76</v>
      </c>
      <c r="O84" t="n">
        <v>28.7392</v>
      </c>
      <c r="Q84" t="n">
        <v>110.892214</v>
      </c>
      <c r="R84" t="n">
        <v>-62.623722</v>
      </c>
      <c r="S84" t="n">
        <v>160</v>
      </c>
      <c r="T84" t="n">
        <v>102.353041</v>
      </c>
      <c r="U84" t="n">
        <v>108.140489</v>
      </c>
      <c r="V84" t="n">
        <v>92.430212</v>
      </c>
      <c r="W84" t="n">
        <v>47.48771</v>
      </c>
      <c r="AA84" s="5" t="n"/>
      <c r="AB84" s="5" t="n"/>
      <c r="AC84" s="5" t="n"/>
      <c r="AQ84" s="8" t="n"/>
      <c r="AR84" s="8" t="n"/>
      <c r="AS84" s="8" t="n"/>
      <c r="AU84" s="8" t="n"/>
    </row>
    <row r="85">
      <c r="B85" t="inlineStr">
        <is>
          <t>CA_FT_High_Diesel_Non_CCS_Herb</t>
        </is>
      </c>
      <c r="C85" t="inlineStr">
        <is>
          <t>Biomass_Herb</t>
        </is>
      </c>
      <c r="D85" t="n">
        <v>0</v>
      </c>
      <c r="E85" t="n">
        <v>2.8679</v>
      </c>
      <c r="F85" t="n">
        <v>0.6596</v>
      </c>
      <c r="G85" t="n">
        <v>0.68</v>
      </c>
      <c r="H85" t="n">
        <v>1.3472</v>
      </c>
      <c r="J85" t="n">
        <v>1.721</v>
      </c>
      <c r="K85" t="n">
        <v>0</v>
      </c>
      <c r="L85" t="n">
        <v>1.056526164370964</v>
      </c>
      <c r="M85" t="n">
        <v>492864.96</v>
      </c>
      <c r="N85" t="n">
        <v>547339.52</v>
      </c>
      <c r="O85" t="n">
        <v>0</v>
      </c>
      <c r="Q85" t="n">
        <v>110.892214</v>
      </c>
      <c r="R85" t="n">
        <v>-6.493396</v>
      </c>
      <c r="S85" t="n">
        <v>160</v>
      </c>
      <c r="T85" t="n">
        <v>1539.150891</v>
      </c>
      <c r="U85" t="n">
        <v>162.083504</v>
      </c>
      <c r="V85" t="n">
        <v>140.323815</v>
      </c>
      <c r="W85" t="n">
        <v>36.566419</v>
      </c>
      <c r="AA85" s="5" t="n"/>
      <c r="AB85" s="5" t="n"/>
      <c r="AC85" s="5" t="n"/>
      <c r="AQ85" s="8" t="n"/>
      <c r="AR85" s="8" t="n"/>
      <c r="AS85" s="8" t="n"/>
      <c r="AU85" s="8" t="n"/>
    </row>
    <row r="86">
      <c r="B86" t="inlineStr">
        <is>
          <t>NW_FT_High_Diesel_Non_CCS_Herb</t>
        </is>
      </c>
      <c r="C86" t="inlineStr">
        <is>
          <t>Biomass_Herb</t>
        </is>
      </c>
      <c r="D86" t="n">
        <v>0</v>
      </c>
      <c r="E86" t="n">
        <v>2.8679</v>
      </c>
      <c r="F86" t="n">
        <v>0.6611</v>
      </c>
      <c r="G86" t="n">
        <v>0.6815</v>
      </c>
      <c r="H86" t="n">
        <v>1.3501</v>
      </c>
      <c r="J86" t="n">
        <v>1.726</v>
      </c>
      <c r="K86" t="n">
        <v>0</v>
      </c>
      <c r="L86" t="n">
        <v>1.060064979465787</v>
      </c>
      <c r="M86" t="n">
        <v>492864.96</v>
      </c>
      <c r="N86" t="n">
        <v>547339.52</v>
      </c>
      <c r="O86" t="n">
        <v>0</v>
      </c>
      <c r="Q86" t="n">
        <v>110.892214</v>
      </c>
      <c r="R86" t="n">
        <v>-7.381741</v>
      </c>
      <c r="S86" t="n">
        <v>160</v>
      </c>
      <c r="T86" t="n">
        <v>140.805445</v>
      </c>
      <c r="U86" t="n">
        <v>159.375106</v>
      </c>
      <c r="V86" t="n">
        <v>121.714108</v>
      </c>
      <c r="W86" t="n">
        <v>26.767046</v>
      </c>
      <c r="AA86" s="5" t="n"/>
      <c r="AB86" s="5" t="n"/>
      <c r="AC86" s="5" t="n"/>
      <c r="AQ86" s="8" t="n"/>
      <c r="AR86" s="8" t="n"/>
      <c r="AS86" s="8" t="n"/>
      <c r="AU86" s="8" t="n"/>
    </row>
    <row r="87">
      <c r="B87" t="inlineStr">
        <is>
          <t>SW_FT_High_Diesel_Non_CCS_Herb</t>
        </is>
      </c>
      <c r="C87" t="inlineStr">
        <is>
          <t>Biomass_Herb</t>
        </is>
      </c>
      <c r="D87" t="n">
        <v>0</v>
      </c>
      <c r="E87" t="n">
        <v>2.8679</v>
      </c>
      <c r="F87" t="n">
        <v>0.6567</v>
      </c>
      <c r="G87" t="n">
        <v>0.677</v>
      </c>
      <c r="H87" t="n">
        <v>1.3412</v>
      </c>
      <c r="J87" t="n">
        <v>1.71</v>
      </c>
      <c r="K87" t="n">
        <v>0</v>
      </c>
      <c r="L87" t="n">
        <v>1.048448534181317</v>
      </c>
      <c r="M87" t="n">
        <v>492864.96</v>
      </c>
      <c r="N87" t="n">
        <v>547339.52</v>
      </c>
      <c r="O87" t="n">
        <v>0</v>
      </c>
      <c r="Q87" t="n">
        <v>110.892214</v>
      </c>
      <c r="R87" t="n">
        <v>-16.594224</v>
      </c>
      <c r="S87" t="n">
        <v>160</v>
      </c>
      <c r="T87" t="n">
        <v>125.807546</v>
      </c>
      <c r="U87" t="n">
        <v>143.289826</v>
      </c>
      <c r="V87" t="n">
        <v>114.17137</v>
      </c>
      <c r="W87" t="n">
        <v>28.012186</v>
      </c>
      <c r="AA87" s="5" t="n"/>
      <c r="AB87" s="5" t="n"/>
      <c r="AC87" s="5" t="n"/>
      <c r="AQ87" s="8" t="n"/>
      <c r="AR87" s="8" t="n"/>
      <c r="AS87" s="8" t="n"/>
      <c r="AU87" s="8" t="n"/>
    </row>
    <row r="88">
      <c r="B88" t="inlineStr">
        <is>
          <t>TX_FT_High_Diesel_Non_CCS_Herb</t>
        </is>
      </c>
      <c r="C88" t="inlineStr">
        <is>
          <t>Biomass_Herb</t>
        </is>
      </c>
      <c r="D88" t="n">
        <v>0</v>
      </c>
      <c r="E88" t="n">
        <v>2.8679</v>
      </c>
      <c r="F88" t="n">
        <v>0.6582</v>
      </c>
      <c r="G88" t="n">
        <v>0.6785</v>
      </c>
      <c r="H88" t="n">
        <v>1.3442</v>
      </c>
      <c r="J88" t="n">
        <v>1.714</v>
      </c>
      <c r="K88" t="n">
        <v>0</v>
      </c>
      <c r="L88" t="n">
        <v>1.05098734927614</v>
      </c>
      <c r="M88" t="n">
        <v>492864.96</v>
      </c>
      <c r="N88" t="n">
        <v>547339.52</v>
      </c>
      <c r="O88" t="n">
        <v>0</v>
      </c>
      <c r="Q88" t="n">
        <v>110.892214</v>
      </c>
      <c r="R88" t="n">
        <v>-21.499827</v>
      </c>
      <c r="S88" t="n">
        <v>160</v>
      </c>
      <c r="T88" t="n">
        <v>140.297617</v>
      </c>
      <c r="U88" t="n">
        <v>160.374377</v>
      </c>
      <c r="V88" t="n">
        <v>113.606838</v>
      </c>
      <c r="W88" t="n">
        <v>20.240713</v>
      </c>
      <c r="AA88" s="5" t="n"/>
      <c r="AB88" s="5" t="n"/>
      <c r="AC88" s="5" t="n"/>
      <c r="AQ88" s="8" t="n"/>
      <c r="AR88" s="8" t="n"/>
      <c r="AS88" s="8" t="n"/>
      <c r="AU88" s="8" t="n"/>
    </row>
    <row r="89">
      <c r="B89" t="inlineStr">
        <is>
          <t>NCEN_FT_High_Diesel_Non_CCS_Herb</t>
        </is>
      </c>
      <c r="C89" t="inlineStr">
        <is>
          <t>Biomass_Herb</t>
        </is>
      </c>
      <c r="D89" t="n">
        <v>0</v>
      </c>
      <c r="E89" t="n">
        <v>2.8679</v>
      </c>
      <c r="F89" t="n">
        <v>0.665</v>
      </c>
      <c r="G89" t="n">
        <v>0.6856</v>
      </c>
      <c r="H89" t="n">
        <v>1.3583</v>
      </c>
      <c r="J89" t="n">
        <v>1.74</v>
      </c>
      <c r="K89" t="n">
        <v>0</v>
      </c>
      <c r="L89" t="n">
        <v>1.070046720976551</v>
      </c>
      <c r="M89" t="n">
        <v>492864.96</v>
      </c>
      <c r="N89" t="n">
        <v>547339.52</v>
      </c>
      <c r="O89" t="n">
        <v>0</v>
      </c>
      <c r="Q89" t="n">
        <v>110.892214</v>
      </c>
      <c r="R89" t="n">
        <v>-41.711711</v>
      </c>
      <c r="S89" t="n">
        <v>160</v>
      </c>
      <c r="T89" t="n">
        <v>106.368089</v>
      </c>
      <c r="U89" t="n">
        <v>117.804824</v>
      </c>
      <c r="V89" t="n">
        <v>93.32494199999999</v>
      </c>
      <c r="W89" t="n">
        <v>30.728803</v>
      </c>
      <c r="AA89" s="5" t="n"/>
      <c r="AB89" s="5" t="n"/>
      <c r="AC89" s="5" t="n"/>
      <c r="AQ89" s="8" t="n"/>
      <c r="AR89" s="8" t="n"/>
      <c r="AS89" s="8" t="n"/>
      <c r="AU89" s="8" t="n"/>
    </row>
    <row r="90">
      <c r="B90" t="inlineStr">
        <is>
          <t>CEN_FT_High_Diesel_Non_CCS_Herb</t>
        </is>
      </c>
      <c r="C90" t="inlineStr">
        <is>
          <t>Biomass_Herb</t>
        </is>
      </c>
      <c r="D90" t="n">
        <v>0</v>
      </c>
      <c r="E90" t="n">
        <v>2.8679</v>
      </c>
      <c r="F90" t="n">
        <v>0.6611</v>
      </c>
      <c r="G90" t="n">
        <v>0.6815</v>
      </c>
      <c r="H90" t="n">
        <v>1.3501</v>
      </c>
      <c r="J90" t="n">
        <v>1.723</v>
      </c>
      <c r="K90" t="n">
        <v>0</v>
      </c>
      <c r="L90" t="n">
        <v>1.057064979465787</v>
      </c>
      <c r="M90" t="n">
        <v>492864.96</v>
      </c>
      <c r="N90" t="n">
        <v>547339.52</v>
      </c>
      <c r="O90" t="n">
        <v>0</v>
      </c>
      <c r="Q90" t="n">
        <v>110.892214</v>
      </c>
      <c r="R90" t="n">
        <v>-31.698788</v>
      </c>
      <c r="S90" t="n">
        <v>160</v>
      </c>
      <c r="T90" t="n">
        <v>112.646846</v>
      </c>
      <c r="U90" t="n">
        <v>129.719823</v>
      </c>
      <c r="V90" t="n">
        <v>101.234661</v>
      </c>
      <c r="W90" t="n">
        <v>25.375037</v>
      </c>
      <c r="AA90" s="5" t="n"/>
      <c r="AB90" s="5" t="n"/>
      <c r="AC90" s="5" t="n"/>
      <c r="AQ90" s="8" t="n"/>
      <c r="AR90" s="8" t="n"/>
      <c r="AS90" s="8" t="n"/>
      <c r="AU90" s="8" t="n"/>
    </row>
    <row r="91">
      <c r="B91" t="inlineStr">
        <is>
          <t>SE_FT_High_Diesel_Non_CCS_Herb</t>
        </is>
      </c>
      <c r="C91" t="inlineStr">
        <is>
          <t>Biomass_Herb</t>
        </is>
      </c>
      <c r="D91" t="n">
        <v>0</v>
      </c>
      <c r="E91" t="n">
        <v>2.8679</v>
      </c>
      <c r="F91" t="n">
        <v>0.66</v>
      </c>
      <c r="G91" t="n">
        <v>0.6804</v>
      </c>
      <c r="H91" t="n">
        <v>1.3479</v>
      </c>
      <c r="J91" t="n">
        <v>1.717</v>
      </c>
      <c r="K91" t="n">
        <v>0</v>
      </c>
      <c r="L91" t="n">
        <v>1.05216086814467</v>
      </c>
      <c r="M91" t="n">
        <v>492864.96</v>
      </c>
      <c r="N91" t="n">
        <v>547339.52</v>
      </c>
      <c r="O91" t="n">
        <v>0</v>
      </c>
      <c r="Q91" t="n">
        <v>110.892214</v>
      </c>
      <c r="R91" t="n">
        <v>-47.684613</v>
      </c>
      <c r="S91" t="n">
        <v>160</v>
      </c>
      <c r="T91" t="n">
        <v>100.406702</v>
      </c>
      <c r="U91" t="n">
        <v>115.539531</v>
      </c>
      <c r="V91" t="n">
        <v>89.577806</v>
      </c>
      <c r="W91" t="n">
        <v>38.228295</v>
      </c>
      <c r="AA91" s="5" t="n"/>
      <c r="AB91" s="5" t="n"/>
      <c r="AC91" s="5" t="n"/>
      <c r="AQ91" s="8" t="n"/>
      <c r="AR91" s="8" t="n"/>
      <c r="AS91" s="8" t="n"/>
      <c r="AU91" s="8" t="n"/>
    </row>
    <row r="92">
      <c r="B92" t="inlineStr">
        <is>
          <t>MIDAT_FT_High_Diesel_Non_CCS_Herb</t>
        </is>
      </c>
      <c r="C92" t="inlineStr">
        <is>
          <t>Biomass_Herb</t>
        </is>
      </c>
      <c r="D92" t="n">
        <v>0</v>
      </c>
      <c r="E92" t="n">
        <v>2.8679</v>
      </c>
      <c r="F92" t="n">
        <v>0.6636</v>
      </c>
      <c r="G92" t="n">
        <v>0.6841</v>
      </c>
      <c r="H92" t="n">
        <v>1.3553</v>
      </c>
      <c r="J92" t="n">
        <v>1.736</v>
      </c>
      <c r="K92" t="n">
        <v>0</v>
      </c>
      <c r="L92" t="n">
        <v>1.067507905881728</v>
      </c>
      <c r="M92" t="n">
        <v>492864.96</v>
      </c>
      <c r="N92" t="n">
        <v>547339.52</v>
      </c>
      <c r="O92" t="n">
        <v>0</v>
      </c>
      <c r="Q92" t="n">
        <v>110.892214</v>
      </c>
      <c r="R92" t="n">
        <v>-54.368796</v>
      </c>
      <c r="S92" t="n">
        <v>160</v>
      </c>
      <c r="T92" t="n">
        <v>101.540719</v>
      </c>
      <c r="U92" t="n">
        <v>109.472766</v>
      </c>
      <c r="V92" t="n">
        <v>90.14609900000001</v>
      </c>
      <c r="W92" t="n">
        <v>39.376329</v>
      </c>
      <c r="AA92" s="5" t="n"/>
      <c r="AB92" s="5" t="n"/>
      <c r="AC92" s="5" t="n"/>
      <c r="AQ92" s="8" t="n"/>
      <c r="AR92" s="8" t="n"/>
      <c r="AS92" s="8" t="n"/>
      <c r="AU92" s="8" t="n"/>
    </row>
    <row r="93">
      <c r="B93" t="inlineStr">
        <is>
          <t>NE_FT_High_Diesel_Non_CCS_Herb</t>
        </is>
      </c>
      <c r="C93" t="inlineStr">
        <is>
          <t>Biomass_Herb</t>
        </is>
      </c>
      <c r="D93" t="n">
        <v>0</v>
      </c>
      <c r="E93" t="n">
        <v>2.8679</v>
      </c>
      <c r="F93" t="n">
        <v>0.6661</v>
      </c>
      <c r="G93" t="n">
        <v>0.6868</v>
      </c>
      <c r="H93" t="n">
        <v>1.3605</v>
      </c>
      <c r="J93" t="n">
        <v>1.745</v>
      </c>
      <c r="K93" t="n">
        <v>0</v>
      </c>
      <c r="L93" t="n">
        <v>1.073950832297669</v>
      </c>
      <c r="M93" t="n">
        <v>492864.96</v>
      </c>
      <c r="N93" t="n">
        <v>547339.52</v>
      </c>
      <c r="O93" t="n">
        <v>0</v>
      </c>
      <c r="Q93" t="n">
        <v>110.892214</v>
      </c>
      <c r="R93" t="n">
        <v>-62.623722</v>
      </c>
      <c r="S93" t="n">
        <v>160</v>
      </c>
      <c r="T93" t="n">
        <v>102.353041</v>
      </c>
      <c r="U93" t="n">
        <v>108.140489</v>
      </c>
      <c r="V93" t="n">
        <v>92.430212</v>
      </c>
      <c r="W93" t="n">
        <v>47.48771</v>
      </c>
      <c r="AA93" s="5" t="n"/>
      <c r="AB93" s="5" t="n"/>
      <c r="AC93" s="5" t="n"/>
      <c r="AQ93" s="8" t="n"/>
      <c r="AR93" s="8" t="n"/>
      <c r="AS93" s="8" t="n"/>
      <c r="AU93" s="8" t="n"/>
    </row>
    <row r="94">
      <c r="B94" t="inlineStr">
        <is>
          <t>CA_FT_High_Diesel_Non_CCS_Wood</t>
        </is>
      </c>
      <c r="C94" t="inlineStr">
        <is>
          <t>Biomass_Wood</t>
        </is>
      </c>
      <c r="D94" t="n">
        <v>0</v>
      </c>
      <c r="E94" t="n">
        <v>2.8679</v>
      </c>
      <c r="F94" t="n">
        <v>0.702</v>
      </c>
      <c r="G94" t="n">
        <v>0.7238</v>
      </c>
      <c r="H94" t="n">
        <v>1.4338</v>
      </c>
      <c r="J94" t="n">
        <v>1.843</v>
      </c>
      <c r="K94" t="n">
        <v>0</v>
      </c>
      <c r="L94" t="n">
        <v>1.135786505894549</v>
      </c>
      <c r="M94" t="n">
        <v>492864.96</v>
      </c>
      <c r="N94" t="n">
        <v>547339.52</v>
      </c>
      <c r="O94" t="n">
        <v>0</v>
      </c>
      <c r="Q94" t="n">
        <v>110.892214</v>
      </c>
      <c r="R94" t="n">
        <v>-6.493396</v>
      </c>
      <c r="S94" t="n">
        <v>160</v>
      </c>
      <c r="T94" t="n">
        <v>1539.150891</v>
      </c>
      <c r="U94" t="n">
        <v>162.083504</v>
      </c>
      <c r="V94" t="n">
        <v>140.323815</v>
      </c>
      <c r="W94" t="n">
        <v>36.566419</v>
      </c>
      <c r="AA94" s="5" t="n"/>
      <c r="AB94" s="5" t="n"/>
      <c r="AC94" s="5" t="n"/>
      <c r="AQ94" s="8" t="n"/>
      <c r="AR94" s="8" t="n"/>
      <c r="AS94" s="8" t="n"/>
      <c r="AU94" s="8" t="n"/>
    </row>
    <row r="95">
      <c r="B95" t="inlineStr">
        <is>
          <t>NW_FT_High_Diesel_Non_CCS_Wood</t>
        </is>
      </c>
      <c r="C95" t="inlineStr">
        <is>
          <t>Biomass_Wood</t>
        </is>
      </c>
      <c r="D95" t="n">
        <v>0</v>
      </c>
      <c r="E95" t="n">
        <v>2.8679</v>
      </c>
      <c r="F95" t="n">
        <v>0.7006</v>
      </c>
      <c r="G95" t="n">
        <v>0.7223000000000001</v>
      </c>
      <c r="H95" t="n">
        <v>1.4309</v>
      </c>
      <c r="J95" t="n">
        <v>1.818</v>
      </c>
      <c r="K95" t="n">
        <v>0</v>
      </c>
      <c r="L95" t="n">
        <v>1.112247690799726</v>
      </c>
      <c r="M95" t="n">
        <v>492864.96</v>
      </c>
      <c r="N95" t="n">
        <v>547339.52</v>
      </c>
      <c r="O95" t="n">
        <v>0</v>
      </c>
      <c r="Q95" t="n">
        <v>110.892214</v>
      </c>
      <c r="R95" t="n">
        <v>-7.381741</v>
      </c>
      <c r="S95" t="n">
        <v>160</v>
      </c>
      <c r="T95" t="n">
        <v>140.805445</v>
      </c>
      <c r="U95" t="n">
        <v>159.375106</v>
      </c>
      <c r="V95" t="n">
        <v>121.714108</v>
      </c>
      <c r="W95" t="n">
        <v>26.767046</v>
      </c>
      <c r="AA95" s="5" t="n"/>
      <c r="AB95" s="5" t="n"/>
      <c r="AC95" s="5" t="n"/>
      <c r="AQ95" s="8" t="n"/>
      <c r="AR95" s="8" t="n"/>
      <c r="AS95" s="8" t="n"/>
      <c r="AU95" s="8" t="n"/>
    </row>
    <row r="96">
      <c r="B96" t="inlineStr">
        <is>
          <t>SW_FT_High_Diesel_Non_CCS_Wood</t>
        </is>
      </c>
      <c r="C96" t="inlineStr">
        <is>
          <t>Biomass_Wood</t>
        </is>
      </c>
      <c r="D96" t="n">
        <v>0</v>
      </c>
      <c r="E96" t="n">
        <v>2.8679</v>
      </c>
      <c r="F96" t="n">
        <v>0.6941000000000001</v>
      </c>
      <c r="G96" t="n">
        <v>0.7155</v>
      </c>
      <c r="H96" t="n">
        <v>1.4175</v>
      </c>
      <c r="J96" t="n">
        <v>1.798</v>
      </c>
      <c r="K96" t="n">
        <v>0</v>
      </c>
      <c r="L96" t="n">
        <v>1.09882302287302</v>
      </c>
      <c r="M96" t="n">
        <v>492864.96</v>
      </c>
      <c r="N96" t="n">
        <v>547339.52</v>
      </c>
      <c r="O96" t="n">
        <v>0</v>
      </c>
      <c r="Q96" t="n">
        <v>110.892214</v>
      </c>
      <c r="R96" t="n">
        <v>-16.594224</v>
      </c>
      <c r="S96" t="n">
        <v>160</v>
      </c>
      <c r="T96" t="n">
        <v>125.807546</v>
      </c>
      <c r="U96" t="n">
        <v>143.289826</v>
      </c>
      <c r="V96" t="n">
        <v>114.17137</v>
      </c>
      <c r="W96" t="n">
        <v>28.012186</v>
      </c>
      <c r="AA96" s="5" t="n"/>
      <c r="AB96" s="5" t="n"/>
      <c r="AC96" s="5" t="n"/>
      <c r="AQ96" s="8" t="n"/>
      <c r="AR96" s="8" t="n"/>
      <c r="AS96" s="8" t="n"/>
      <c r="AU96" s="8" t="n"/>
    </row>
    <row r="97">
      <c r="B97" t="inlineStr">
        <is>
          <t>TX_FT_High_Diesel_Non_CCS_Wood</t>
        </is>
      </c>
      <c r="C97" t="inlineStr">
        <is>
          <t>Biomass_Wood</t>
        </is>
      </c>
      <c r="D97" t="n">
        <v>0</v>
      </c>
      <c r="E97" t="n">
        <v>2.8679</v>
      </c>
      <c r="F97" t="n">
        <v>0.6886</v>
      </c>
      <c r="G97" t="n">
        <v>0.7099</v>
      </c>
      <c r="H97" t="n">
        <v>1.4064</v>
      </c>
      <c r="J97" t="n">
        <v>1.821</v>
      </c>
      <c r="K97" t="n">
        <v>0</v>
      </c>
      <c r="L97" t="n">
        <v>1.127302466267432</v>
      </c>
      <c r="M97" t="n">
        <v>492864.96</v>
      </c>
      <c r="N97" t="n">
        <v>547339.52</v>
      </c>
      <c r="O97" t="n">
        <v>0</v>
      </c>
      <c r="Q97" t="n">
        <v>110.892214</v>
      </c>
      <c r="R97" t="n">
        <v>-21.499827</v>
      </c>
      <c r="S97" t="n">
        <v>160</v>
      </c>
      <c r="T97" t="n">
        <v>140.297617</v>
      </c>
      <c r="U97" t="n">
        <v>160.374377</v>
      </c>
      <c r="V97" t="n">
        <v>113.606838</v>
      </c>
      <c r="W97" t="n">
        <v>20.240713</v>
      </c>
      <c r="AA97" s="5" t="n"/>
      <c r="AB97" s="5" t="n"/>
      <c r="AC97" s="5" t="n"/>
      <c r="AQ97" s="8" t="n"/>
      <c r="AR97" s="8" t="n"/>
      <c r="AS97" s="8" t="n"/>
      <c r="AU97" s="8" t="n"/>
    </row>
    <row r="98">
      <c r="B98" t="inlineStr">
        <is>
          <t>NCEN_FT_High_Diesel_Non_CCS_Wood</t>
        </is>
      </c>
      <c r="C98" t="inlineStr">
        <is>
          <t>Biomass_Wood</t>
        </is>
      </c>
      <c r="D98" t="n">
        <v>0</v>
      </c>
      <c r="E98" t="n">
        <v>2.8679</v>
      </c>
      <c r="F98" t="n">
        <v>0.6912</v>
      </c>
      <c r="G98" t="n">
        <v>0.7126</v>
      </c>
      <c r="H98" t="n">
        <v>1.4116</v>
      </c>
      <c r="J98" t="n">
        <v>1.802</v>
      </c>
      <c r="K98" t="n">
        <v>0</v>
      </c>
      <c r="L98" t="n">
        <v>1.105745392683373</v>
      </c>
      <c r="M98" t="n">
        <v>492864.96</v>
      </c>
      <c r="N98" t="n">
        <v>547339.52</v>
      </c>
      <c r="O98" t="n">
        <v>0</v>
      </c>
      <c r="Q98" t="n">
        <v>110.892214</v>
      </c>
      <c r="R98" t="n">
        <v>-41.711711</v>
      </c>
      <c r="S98" t="n">
        <v>160</v>
      </c>
      <c r="T98" t="n">
        <v>106.368089</v>
      </c>
      <c r="U98" t="n">
        <v>117.804824</v>
      </c>
      <c r="V98" t="n">
        <v>93.32494199999999</v>
      </c>
      <c r="W98" t="n">
        <v>30.728803</v>
      </c>
      <c r="AA98" s="5" t="n"/>
      <c r="AB98" s="5" t="n"/>
      <c r="AC98" s="5" t="n"/>
      <c r="AQ98" s="8" t="n"/>
      <c r="AR98" s="8" t="n"/>
      <c r="AS98" s="8" t="n"/>
      <c r="AU98" s="8" t="n"/>
    </row>
    <row r="99">
      <c r="B99" t="inlineStr">
        <is>
          <t>CEN_FT_High_Diesel_Non_CCS_Wood</t>
        </is>
      </c>
      <c r="C99" t="inlineStr">
        <is>
          <t>Biomass_Wood</t>
        </is>
      </c>
      <c r="D99" t="n">
        <v>0</v>
      </c>
      <c r="E99" t="n">
        <v>2.8679</v>
      </c>
      <c r="F99" t="n">
        <v>0.6915</v>
      </c>
      <c r="G99" t="n">
        <v>0.7129</v>
      </c>
      <c r="H99" t="n">
        <v>1.4123</v>
      </c>
      <c r="J99" t="n">
        <v>1.802</v>
      </c>
      <c r="K99" t="n">
        <v>0</v>
      </c>
      <c r="L99" t="n">
        <v>1.105380096457079</v>
      </c>
      <c r="M99" t="n">
        <v>492864.96</v>
      </c>
      <c r="N99" t="n">
        <v>547339.52</v>
      </c>
      <c r="O99" t="n">
        <v>0</v>
      </c>
      <c r="Q99" t="n">
        <v>110.892214</v>
      </c>
      <c r="R99" t="n">
        <v>-31.698788</v>
      </c>
      <c r="S99" t="n">
        <v>160</v>
      </c>
      <c r="T99" t="n">
        <v>112.646846</v>
      </c>
      <c r="U99" t="n">
        <v>129.719823</v>
      </c>
      <c r="V99" t="n">
        <v>101.234661</v>
      </c>
      <c r="W99" t="n">
        <v>25.375037</v>
      </c>
      <c r="AA99" s="5" t="n"/>
      <c r="AB99" s="5" t="n"/>
      <c r="AC99" s="5" t="n"/>
      <c r="AQ99" s="8" t="n"/>
      <c r="AR99" s="8" t="n"/>
      <c r="AS99" s="8" t="n"/>
      <c r="AU99" s="8" t="n"/>
    </row>
    <row r="100">
      <c r="B100" t="inlineStr">
        <is>
          <t>SE_FT_High_Diesel_Non_CCS_Wood</t>
        </is>
      </c>
      <c r="C100" t="inlineStr">
        <is>
          <t>Biomass_Wood</t>
        </is>
      </c>
      <c r="D100" t="n">
        <v>0</v>
      </c>
      <c r="E100" t="n">
        <v>2.8679</v>
      </c>
      <c r="F100" t="n">
        <v>0.6941000000000001</v>
      </c>
      <c r="G100" t="n">
        <v>0.7155</v>
      </c>
      <c r="H100" t="n">
        <v>1.4175</v>
      </c>
      <c r="J100" t="n">
        <v>1.821</v>
      </c>
      <c r="K100" t="n">
        <v>0</v>
      </c>
      <c r="L100" t="n">
        <v>1.12182302287302</v>
      </c>
      <c r="M100" t="n">
        <v>492864.96</v>
      </c>
      <c r="N100" t="n">
        <v>547339.52</v>
      </c>
      <c r="O100" t="n">
        <v>0</v>
      </c>
      <c r="Q100" t="n">
        <v>110.892214</v>
      </c>
      <c r="R100" t="n">
        <v>-47.684613</v>
      </c>
      <c r="S100" t="n">
        <v>160</v>
      </c>
      <c r="T100" t="n">
        <v>100.406702</v>
      </c>
      <c r="U100" t="n">
        <v>115.539531</v>
      </c>
      <c r="V100" t="n">
        <v>89.577806</v>
      </c>
      <c r="W100" t="n">
        <v>38.228295</v>
      </c>
      <c r="AA100" s="5" t="n"/>
      <c r="AB100" s="5" t="n"/>
      <c r="AC100" s="5" t="n"/>
      <c r="AQ100" s="8" t="n"/>
      <c r="AR100" s="8" t="n"/>
      <c r="AS100" s="8" t="n"/>
      <c r="AU100" s="8" t="n"/>
    </row>
    <row r="101">
      <c r="B101" t="inlineStr">
        <is>
          <t>MIDAT_FT_High_Diesel_Non_CCS_Wood</t>
        </is>
      </c>
      <c r="C101" t="inlineStr">
        <is>
          <t>Biomass_Wood</t>
        </is>
      </c>
      <c r="D101" t="n">
        <v>0</v>
      </c>
      <c r="E101" t="n">
        <v>2.8679</v>
      </c>
      <c r="F101" t="n">
        <v>0.6893</v>
      </c>
      <c r="G101" t="n">
        <v>0.7107</v>
      </c>
      <c r="H101" t="n">
        <v>1.4079</v>
      </c>
      <c r="J101" t="n">
        <v>1.806</v>
      </c>
      <c r="K101" t="n">
        <v>0</v>
      </c>
      <c r="L101" t="n">
        <v>1.111571873814844</v>
      </c>
      <c r="M101" t="n">
        <v>492864.96</v>
      </c>
      <c r="N101" t="n">
        <v>547339.52</v>
      </c>
      <c r="O101" t="n">
        <v>0</v>
      </c>
      <c r="Q101" t="n">
        <v>110.892214</v>
      </c>
      <c r="R101" t="n">
        <v>-54.368796</v>
      </c>
      <c r="S101" t="n">
        <v>160</v>
      </c>
      <c r="T101" t="n">
        <v>101.540719</v>
      </c>
      <c r="U101" t="n">
        <v>109.472766</v>
      </c>
      <c r="V101" t="n">
        <v>90.14609900000001</v>
      </c>
      <c r="W101" t="n">
        <v>39.376329</v>
      </c>
      <c r="AA101" s="5" t="n"/>
      <c r="AB101" s="5" t="n"/>
      <c r="AC101" s="5" t="n"/>
      <c r="AQ101" s="8" t="n"/>
      <c r="AR101" s="8" t="n"/>
      <c r="AS101" s="8" t="n"/>
      <c r="AU101" s="8" t="n"/>
    </row>
    <row r="102">
      <c r="B102" t="inlineStr">
        <is>
          <t>NE_FT_High_Diesel_Non_CCS_Wood</t>
        </is>
      </c>
      <c r="C102" t="inlineStr">
        <is>
          <t>Biomass_Wood</t>
        </is>
      </c>
      <c r="D102" t="n">
        <v>0</v>
      </c>
      <c r="E102" t="n">
        <v>2.8679</v>
      </c>
      <c r="F102" t="n">
        <v>0.6850000000000001</v>
      </c>
      <c r="G102" t="n">
        <v>0.7062</v>
      </c>
      <c r="H102" t="n">
        <v>1.399</v>
      </c>
      <c r="J102" t="n">
        <v>1.826</v>
      </c>
      <c r="K102" t="n">
        <v>0</v>
      </c>
      <c r="L102" t="n">
        <v>1.135955428530374</v>
      </c>
      <c r="M102" t="n">
        <v>492864.96</v>
      </c>
      <c r="N102" t="n">
        <v>547339.52</v>
      </c>
      <c r="O102" t="n">
        <v>0</v>
      </c>
      <c r="Q102" t="n">
        <v>110.892214</v>
      </c>
      <c r="R102" t="n">
        <v>-62.623722</v>
      </c>
      <c r="S102" t="n">
        <v>160</v>
      </c>
      <c r="T102" t="n">
        <v>102.353041</v>
      </c>
      <c r="U102" t="n">
        <v>108.140489</v>
      </c>
      <c r="V102" t="n">
        <v>92.430212</v>
      </c>
      <c r="W102" t="n">
        <v>47.48771</v>
      </c>
      <c r="AA102" s="5" t="n"/>
      <c r="AB102" s="5" t="n"/>
      <c r="AC102" s="5" t="n"/>
      <c r="AQ102" s="8" t="n"/>
      <c r="AR102" s="8" t="n"/>
      <c r="AS102" s="8" t="n"/>
      <c r="AU102" s="8" t="n"/>
    </row>
    <row r="103">
      <c r="B103" t="inlineStr">
        <is>
          <t>CA_FT_High_Diesel_Agri</t>
        </is>
      </c>
      <c r="C103" t="inlineStr">
        <is>
          <t>Biomass_Agri</t>
        </is>
      </c>
      <c r="D103" t="n">
        <v>0</v>
      </c>
      <c r="E103" t="n">
        <v>2.8679</v>
      </c>
      <c r="F103" t="n">
        <v>0.6632</v>
      </c>
      <c r="G103" t="n">
        <v>0.6838</v>
      </c>
      <c r="H103" t="n">
        <v>1.3546</v>
      </c>
      <c r="J103" t="n">
        <v>1.719</v>
      </c>
      <c r="K103" t="n">
        <v>0</v>
      </c>
      <c r="L103" t="n">
        <v>1.050873202108022</v>
      </c>
      <c r="M103" t="n">
        <v>492864.96</v>
      </c>
      <c r="N103" t="n">
        <v>547339.52</v>
      </c>
      <c r="O103" t="n">
        <v>0</v>
      </c>
      <c r="Q103" t="n">
        <v>110.892214</v>
      </c>
      <c r="R103" t="n">
        <v>-6.493396</v>
      </c>
      <c r="S103" t="n">
        <v>160</v>
      </c>
      <c r="T103" t="n">
        <v>1539.150891</v>
      </c>
      <c r="U103" t="n">
        <v>162.083504</v>
      </c>
      <c r="V103" t="n">
        <v>140.323815</v>
      </c>
      <c r="W103" t="n">
        <v>36.566419</v>
      </c>
      <c r="AA103" s="5" t="n"/>
      <c r="AB103" s="5" t="n"/>
      <c r="AC103" s="5" t="n"/>
      <c r="AQ103" s="8" t="n"/>
      <c r="AR103" s="8" t="n"/>
      <c r="AS103" s="8" t="n"/>
      <c r="AU103" s="8" t="n"/>
    </row>
    <row r="104">
      <c r="B104" t="inlineStr">
        <is>
          <t>NW_FT_High_Diesel_Agri</t>
        </is>
      </c>
      <c r="C104" t="inlineStr">
        <is>
          <t>Biomass_Agri</t>
        </is>
      </c>
      <c r="D104" t="n">
        <v>0</v>
      </c>
      <c r="E104" t="n">
        <v>2.8679</v>
      </c>
      <c r="F104" t="n">
        <v>0.6063</v>
      </c>
      <c r="G104" t="n">
        <v>0.6251</v>
      </c>
      <c r="H104" t="n">
        <v>1.2383</v>
      </c>
      <c r="J104" t="n">
        <v>1.664</v>
      </c>
      <c r="K104" t="n">
        <v>0</v>
      </c>
      <c r="L104" t="n">
        <v>1.053224709636202</v>
      </c>
      <c r="M104" t="n">
        <v>492864.96</v>
      </c>
      <c r="N104" t="n">
        <v>547339.52</v>
      </c>
      <c r="O104" t="n">
        <v>0</v>
      </c>
      <c r="Q104" t="n">
        <v>110.892214</v>
      </c>
      <c r="R104" t="n">
        <v>-7.381741</v>
      </c>
      <c r="S104" t="n">
        <v>160</v>
      </c>
      <c r="T104" t="n">
        <v>140.805445</v>
      </c>
      <c r="U104" t="n">
        <v>159.375106</v>
      </c>
      <c r="V104" t="n">
        <v>121.714108</v>
      </c>
      <c r="W104" t="n">
        <v>26.767046</v>
      </c>
      <c r="AA104" s="5" t="n"/>
      <c r="AB104" s="5" t="n"/>
      <c r="AC104" s="5" t="n"/>
      <c r="AQ104" s="8" t="n"/>
      <c r="AR104" s="8" t="n"/>
      <c r="AS104" s="8" t="n"/>
      <c r="AU104" s="8" t="n"/>
    </row>
    <row r="105">
      <c r="B105" t="inlineStr">
        <is>
          <t>SW_FT_High_Diesel_Agri</t>
        </is>
      </c>
      <c r="C105" t="inlineStr">
        <is>
          <t>Biomass_Agri</t>
        </is>
      </c>
      <c r="D105" t="n">
        <v>0</v>
      </c>
      <c r="E105" t="n">
        <v>2.8679</v>
      </c>
      <c r="F105" t="n">
        <v>0.6175</v>
      </c>
      <c r="G105" t="n">
        <v>0.6367</v>
      </c>
      <c r="H105" t="n">
        <v>1.2613</v>
      </c>
      <c r="J105" t="n">
        <v>1.687</v>
      </c>
      <c r="K105" t="n">
        <v>0</v>
      </c>
      <c r="L105" t="n">
        <v>1.064900526621083</v>
      </c>
      <c r="M105" t="n">
        <v>492864.96</v>
      </c>
      <c r="N105" t="n">
        <v>547339.52</v>
      </c>
      <c r="O105" t="n">
        <v>0</v>
      </c>
      <c r="Q105" t="n">
        <v>110.892214</v>
      </c>
      <c r="R105" t="n">
        <v>-16.594224</v>
      </c>
      <c r="S105" t="n">
        <v>160</v>
      </c>
      <c r="T105" t="n">
        <v>125.807546</v>
      </c>
      <c r="U105" t="n">
        <v>143.289826</v>
      </c>
      <c r="V105" t="n">
        <v>114.17137</v>
      </c>
      <c r="W105" t="n">
        <v>28.012186</v>
      </c>
      <c r="AA105" s="5" t="n"/>
      <c r="AB105" s="5" t="n"/>
      <c r="AC105" s="5" t="n"/>
    </row>
    <row r="106">
      <c r="B106" t="inlineStr">
        <is>
          <t>TX_FT_High_Diesel_Agri</t>
        </is>
      </c>
      <c r="C106" t="inlineStr">
        <is>
          <t>Biomass_Agri</t>
        </is>
      </c>
      <c r="D106" t="n">
        <v>0</v>
      </c>
      <c r="E106" t="n">
        <v>2.8679</v>
      </c>
      <c r="F106" t="n">
        <v>0.6016</v>
      </c>
      <c r="G106" t="n">
        <v>0.6202</v>
      </c>
      <c r="H106" t="n">
        <v>1.2287</v>
      </c>
      <c r="J106" t="n">
        <v>1.633</v>
      </c>
      <c r="K106" t="n">
        <v>0</v>
      </c>
      <c r="L106" t="n">
        <v>1.026973560578026</v>
      </c>
      <c r="M106" t="n">
        <v>492864.96</v>
      </c>
      <c r="N106" t="n">
        <v>547339.52</v>
      </c>
      <c r="O106" t="n">
        <v>0</v>
      </c>
      <c r="Q106" t="n">
        <v>110.892214</v>
      </c>
      <c r="R106" t="n">
        <v>-21.499827</v>
      </c>
      <c r="S106" t="n">
        <v>160</v>
      </c>
      <c r="T106" t="n">
        <v>140.297617</v>
      </c>
      <c r="U106" t="n">
        <v>160.374377</v>
      </c>
      <c r="V106" t="n">
        <v>113.606838</v>
      </c>
      <c r="W106" t="n">
        <v>20.240713</v>
      </c>
      <c r="AA106" s="5" t="n"/>
      <c r="AB106" s="5" t="n"/>
      <c r="AC106" s="5" t="n"/>
    </row>
    <row r="107">
      <c r="B107" t="inlineStr">
        <is>
          <t>NCEN_FT_High_Diesel_Agri</t>
        </is>
      </c>
      <c r="C107" t="inlineStr">
        <is>
          <t>Biomass_Agri</t>
        </is>
      </c>
      <c r="D107" t="n">
        <v>0</v>
      </c>
      <c r="E107" t="n">
        <v>2.8679</v>
      </c>
      <c r="F107" t="n">
        <v>0.6273</v>
      </c>
      <c r="G107" t="n">
        <v>0.6468</v>
      </c>
      <c r="H107" t="n">
        <v>1.2812</v>
      </c>
      <c r="J107" t="n">
        <v>1.71</v>
      </c>
      <c r="K107" t="n">
        <v>0</v>
      </c>
      <c r="L107" t="n">
        <v>1.078037528511142</v>
      </c>
      <c r="M107" t="n">
        <v>492864.96</v>
      </c>
      <c r="N107" t="n">
        <v>547339.52</v>
      </c>
      <c r="O107" t="n">
        <v>0</v>
      </c>
      <c r="Q107" t="n">
        <v>110.892214</v>
      </c>
      <c r="R107" t="n">
        <v>-41.711711</v>
      </c>
      <c r="S107" t="n">
        <v>160</v>
      </c>
      <c r="T107" t="n">
        <v>106.368089</v>
      </c>
      <c r="U107" t="n">
        <v>117.804824</v>
      </c>
      <c r="V107" t="n">
        <v>93.32494199999999</v>
      </c>
      <c r="W107" t="n">
        <v>30.728803</v>
      </c>
      <c r="AA107" s="5" t="n"/>
      <c r="AB107" s="5" t="n"/>
      <c r="AC107" s="5" t="n"/>
    </row>
    <row r="108">
      <c r="B108" t="inlineStr">
        <is>
          <t>CEN_FT_High_Diesel_Agri</t>
        </is>
      </c>
      <c r="C108" t="inlineStr">
        <is>
          <t>Biomass_Agri</t>
        </is>
      </c>
      <c r="D108" t="n">
        <v>0</v>
      </c>
      <c r="E108" t="n">
        <v>2.8679</v>
      </c>
      <c r="F108" t="n">
        <v>0.6226</v>
      </c>
      <c r="G108" t="n">
        <v>0.6419</v>
      </c>
      <c r="H108" t="n">
        <v>1.2716</v>
      </c>
      <c r="J108" t="n">
        <v>1.7</v>
      </c>
      <c r="K108" t="n">
        <v>0</v>
      </c>
      <c r="L108" t="n">
        <v>1.072786379452965</v>
      </c>
      <c r="M108" t="n">
        <v>492864.96</v>
      </c>
      <c r="N108" t="n">
        <v>547339.52</v>
      </c>
      <c r="O108" t="n">
        <v>0</v>
      </c>
      <c r="Q108" t="n">
        <v>110.892214</v>
      </c>
      <c r="R108" t="n">
        <v>-31.698788</v>
      </c>
      <c r="S108" t="n">
        <v>160</v>
      </c>
      <c r="T108" t="n">
        <v>112.646846</v>
      </c>
      <c r="U108" t="n">
        <v>129.719823</v>
      </c>
      <c r="V108" t="n">
        <v>101.234661</v>
      </c>
      <c r="W108" t="n">
        <v>25.375037</v>
      </c>
    </row>
    <row r="109">
      <c r="B109" t="inlineStr">
        <is>
          <t>SE_FT_High_Diesel_Agri</t>
        </is>
      </c>
      <c r="C109" t="inlineStr">
        <is>
          <t>Biomass_Agri</t>
        </is>
      </c>
      <c r="D109" t="n">
        <v>0</v>
      </c>
      <c r="E109" t="n">
        <v>2.8679</v>
      </c>
      <c r="F109" t="n">
        <v>0.6248</v>
      </c>
      <c r="G109" t="n">
        <v>0.6441</v>
      </c>
      <c r="H109" t="n">
        <v>1.2761</v>
      </c>
      <c r="J109" t="n">
        <v>1.689</v>
      </c>
      <c r="K109" t="n">
        <v>0</v>
      </c>
      <c r="L109" t="n">
        <v>1.059594602095201</v>
      </c>
      <c r="M109" t="n">
        <v>492864.96</v>
      </c>
      <c r="N109" t="n">
        <v>547339.52</v>
      </c>
      <c r="O109" t="n">
        <v>0</v>
      </c>
      <c r="Q109" t="n">
        <v>110.892214</v>
      </c>
      <c r="R109" t="n">
        <v>-47.684613</v>
      </c>
      <c r="S109" t="n">
        <v>160</v>
      </c>
      <c r="T109" t="n">
        <v>100.406702</v>
      </c>
      <c r="U109" t="n">
        <v>115.539531</v>
      </c>
      <c r="V109" t="n">
        <v>89.577806</v>
      </c>
      <c r="W109" t="n">
        <v>38.228295</v>
      </c>
    </row>
    <row r="110">
      <c r="B110" t="inlineStr">
        <is>
          <t>MIDAT_FT_High_Diesel_Agri</t>
        </is>
      </c>
      <c r="C110" t="inlineStr">
        <is>
          <t>Biomass_Agri</t>
        </is>
      </c>
      <c r="D110" t="n">
        <v>0</v>
      </c>
      <c r="E110" t="n">
        <v>2.8679</v>
      </c>
      <c r="F110" t="n">
        <v>0.6266</v>
      </c>
      <c r="G110" t="n">
        <v>0.646</v>
      </c>
      <c r="H110" t="n">
        <v>1.2798</v>
      </c>
      <c r="J110" t="n">
        <v>1.708</v>
      </c>
      <c r="K110" t="n">
        <v>0</v>
      </c>
      <c r="L110" t="n">
        <v>1.07676812096373</v>
      </c>
      <c r="M110" t="n">
        <v>492864.96</v>
      </c>
      <c r="N110" t="n">
        <v>547339.52</v>
      </c>
      <c r="O110" t="n">
        <v>0</v>
      </c>
      <c r="Q110" t="n">
        <v>110.892214</v>
      </c>
      <c r="R110" t="n">
        <v>-54.368796</v>
      </c>
      <c r="S110" t="n">
        <v>160</v>
      </c>
      <c r="T110" t="n">
        <v>101.540719</v>
      </c>
      <c r="U110" t="n">
        <v>109.472766</v>
      </c>
      <c r="V110" t="n">
        <v>90.14609900000001</v>
      </c>
      <c r="W110" t="n">
        <v>39.376329</v>
      </c>
    </row>
    <row r="111">
      <c r="B111" t="inlineStr">
        <is>
          <t>NE_FT_High_Diesel_Agri</t>
        </is>
      </c>
      <c r="C111" t="inlineStr">
        <is>
          <t>Biomass_Agri</t>
        </is>
      </c>
      <c r="D111" t="n">
        <v>0</v>
      </c>
      <c r="E111" t="n">
        <v>2.8679</v>
      </c>
      <c r="F111" t="n">
        <v>0.6339</v>
      </c>
      <c r="G111" t="n">
        <v>0.6535</v>
      </c>
      <c r="H111" t="n">
        <v>1.2946</v>
      </c>
      <c r="J111" t="n">
        <v>1.715</v>
      </c>
      <c r="K111" t="n">
        <v>0</v>
      </c>
      <c r="L111" t="n">
        <v>1.076462196437847</v>
      </c>
      <c r="M111" t="n">
        <v>492864.96</v>
      </c>
      <c r="N111" t="n">
        <v>547339.52</v>
      </c>
      <c r="O111" t="n">
        <v>0</v>
      </c>
      <c r="Q111" t="n">
        <v>110.892214</v>
      </c>
      <c r="R111" t="n">
        <v>-62.623722</v>
      </c>
      <c r="S111" t="n">
        <v>160</v>
      </c>
      <c r="T111" t="n">
        <v>102.353041</v>
      </c>
      <c r="U111" t="n">
        <v>108.140489</v>
      </c>
      <c r="V111" t="n">
        <v>92.430212</v>
      </c>
      <c r="W111" t="n">
        <v>47.48771</v>
      </c>
    </row>
    <row r="112">
      <c r="B112" t="inlineStr">
        <is>
          <t>CA_FT_High_Diesel_CCS_53_Herb</t>
        </is>
      </c>
      <c r="C112" t="inlineStr">
        <is>
          <t>Biomass_Herb</t>
        </is>
      </c>
      <c r="D112" t="n">
        <v>0</v>
      </c>
      <c r="E112" t="n">
        <v>2.9403</v>
      </c>
      <c r="F112" t="n">
        <v>0.6596</v>
      </c>
      <c r="G112" t="n">
        <v>0.68</v>
      </c>
      <c r="H112" t="n">
        <v>1.3472</v>
      </c>
      <c r="J112" t="n">
        <v>1.721</v>
      </c>
      <c r="K112" t="n">
        <v>0.5577401621714317</v>
      </c>
      <c r="L112" t="n">
        <v>0.4987860021995319</v>
      </c>
      <c r="M112" t="n">
        <v>547496.3199999999</v>
      </c>
      <c r="N112" t="n">
        <v>596414.5600000001</v>
      </c>
      <c r="O112" t="n">
        <v>1.064</v>
      </c>
      <c r="Q112" t="n">
        <v>110.892214</v>
      </c>
      <c r="R112" t="n">
        <v>-6.493396</v>
      </c>
      <c r="S112" t="n">
        <v>160</v>
      </c>
      <c r="T112" t="n">
        <v>1539.150891</v>
      </c>
      <c r="U112" t="n">
        <v>162.083504</v>
      </c>
      <c r="V112" t="n">
        <v>140.323815</v>
      </c>
      <c r="W112" t="n">
        <v>36.566419</v>
      </c>
    </row>
    <row r="113">
      <c r="B113" t="inlineStr">
        <is>
          <t>NW_FT_High_Diesel_CCS_53_Herb</t>
        </is>
      </c>
      <c r="C113" t="inlineStr">
        <is>
          <t>Biomass_Herb</t>
        </is>
      </c>
      <c r="D113" t="n">
        <v>0</v>
      </c>
      <c r="E113" t="n">
        <v>2.9403</v>
      </c>
      <c r="F113" t="n">
        <v>0.6611</v>
      </c>
      <c r="G113" t="n">
        <v>0.6815</v>
      </c>
      <c r="H113" t="n">
        <v>1.3501</v>
      </c>
      <c r="J113" t="n">
        <v>1.726</v>
      </c>
      <c r="K113" t="n">
        <v>0.5596083026599888</v>
      </c>
      <c r="L113" t="n">
        <v>0.500456676805798</v>
      </c>
      <c r="M113" t="n">
        <v>547496.3199999999</v>
      </c>
      <c r="N113" t="n">
        <v>596414.5600000001</v>
      </c>
      <c r="O113" t="n">
        <v>1.064</v>
      </c>
      <c r="Q113" t="n">
        <v>110.892214</v>
      </c>
      <c r="R113" t="n">
        <v>-7.381741</v>
      </c>
      <c r="S113" t="n">
        <v>160</v>
      </c>
      <c r="T113" t="n">
        <v>140.805445</v>
      </c>
      <c r="U113" t="n">
        <v>159.375106</v>
      </c>
      <c r="V113" t="n">
        <v>121.714108</v>
      </c>
      <c r="W113" t="n">
        <v>26.767046</v>
      </c>
    </row>
    <row r="114">
      <c r="B114" t="inlineStr">
        <is>
          <t>SW_FT_High_Diesel_CCS_53_Herb</t>
        </is>
      </c>
      <c r="C114" t="inlineStr">
        <is>
          <t>Biomass_Herb</t>
        </is>
      </c>
      <c r="D114" t="n">
        <v>0</v>
      </c>
      <c r="E114" t="n">
        <v>2.9403</v>
      </c>
      <c r="F114" t="n">
        <v>0.6567</v>
      </c>
      <c r="G114" t="n">
        <v>0.677</v>
      </c>
      <c r="H114" t="n">
        <v>1.3412</v>
      </c>
      <c r="J114" t="n">
        <v>1.71</v>
      </c>
      <c r="K114" t="n">
        <v>0.5534759811943171</v>
      </c>
      <c r="L114" t="n">
        <v>0.4949725529869995</v>
      </c>
      <c r="M114" t="n">
        <v>547496.3199999999</v>
      </c>
      <c r="N114" t="n">
        <v>596414.5600000001</v>
      </c>
      <c r="O114" t="n">
        <v>1.064</v>
      </c>
      <c r="Q114" t="n">
        <v>110.892214</v>
      </c>
      <c r="R114" t="n">
        <v>-16.594224</v>
      </c>
      <c r="S114" t="n">
        <v>160</v>
      </c>
      <c r="T114" t="n">
        <v>125.807546</v>
      </c>
      <c r="U114" t="n">
        <v>143.289826</v>
      </c>
      <c r="V114" t="n">
        <v>114.17137</v>
      </c>
      <c r="W114" t="n">
        <v>28.012186</v>
      </c>
    </row>
    <row r="115">
      <c r="B115" t="inlineStr">
        <is>
          <t>TX_FT_High_Diesel_CCS_53_Herb</t>
        </is>
      </c>
      <c r="C115" t="inlineStr">
        <is>
          <t>Biomass_Herb</t>
        </is>
      </c>
      <c r="D115" t="n">
        <v>0</v>
      </c>
      <c r="E115" t="n">
        <v>2.9403</v>
      </c>
      <c r="F115" t="n">
        <v>0.6582</v>
      </c>
      <c r="G115" t="n">
        <v>0.6785</v>
      </c>
      <c r="H115" t="n">
        <v>1.3442</v>
      </c>
      <c r="J115" t="n">
        <v>1.714</v>
      </c>
      <c r="K115" t="n">
        <v>0.5548162216828741</v>
      </c>
      <c r="L115" t="n">
        <v>0.4961711275932655</v>
      </c>
      <c r="M115" t="n">
        <v>547496.3199999999</v>
      </c>
      <c r="N115" t="n">
        <v>596414.5600000001</v>
      </c>
      <c r="O115" t="n">
        <v>1.064</v>
      </c>
      <c r="Q115" t="n">
        <v>110.892214</v>
      </c>
      <c r="R115" t="n">
        <v>-21.499827</v>
      </c>
      <c r="S115" t="n">
        <v>160</v>
      </c>
      <c r="T115" t="n">
        <v>140.297617</v>
      </c>
      <c r="U115" t="n">
        <v>160.374377</v>
      </c>
      <c r="V115" t="n">
        <v>113.606838</v>
      </c>
      <c r="W115" t="n">
        <v>20.240713</v>
      </c>
    </row>
    <row r="116">
      <c r="B116" t="inlineStr">
        <is>
          <t>NCEN_FT_High_Diesel_CCS_53_Herb</t>
        </is>
      </c>
      <c r="C116" t="inlineStr">
        <is>
          <t>Biomass_Herb</t>
        </is>
      </c>
      <c r="D116" t="n">
        <v>0</v>
      </c>
      <c r="E116" t="n">
        <v>2.9403</v>
      </c>
      <c r="F116" t="n">
        <v>0.665</v>
      </c>
      <c r="G116" t="n">
        <v>0.6856</v>
      </c>
      <c r="H116" t="n">
        <v>1.3583</v>
      </c>
      <c r="J116" t="n">
        <v>1.74</v>
      </c>
      <c r="K116" t="n">
        <v>0.5648776640035216</v>
      </c>
      <c r="L116" t="n">
        <v>0.5051690569730298</v>
      </c>
      <c r="M116" t="n">
        <v>547496.3199999999</v>
      </c>
      <c r="N116" t="n">
        <v>596414.5600000001</v>
      </c>
      <c r="O116" t="n">
        <v>1.064</v>
      </c>
      <c r="Q116" t="n">
        <v>110.892214</v>
      </c>
      <c r="R116" t="n">
        <v>-41.711711</v>
      </c>
      <c r="S116" t="n">
        <v>160</v>
      </c>
      <c r="T116" t="n">
        <v>106.368089</v>
      </c>
      <c r="U116" t="n">
        <v>117.804824</v>
      </c>
      <c r="V116" t="n">
        <v>93.32494199999999</v>
      </c>
      <c r="W116" t="n">
        <v>30.728803</v>
      </c>
    </row>
    <row r="117">
      <c r="B117" t="inlineStr">
        <is>
          <t>CEN_FT_High_Diesel_CCS_53_Herb</t>
        </is>
      </c>
      <c r="C117" t="inlineStr">
        <is>
          <t>Biomass_Herb</t>
        </is>
      </c>
      <c r="D117" t="n">
        <v>0</v>
      </c>
      <c r="E117" t="n">
        <v>2.9403</v>
      </c>
      <c r="F117" t="n">
        <v>0.6611</v>
      </c>
      <c r="G117" t="n">
        <v>0.6815</v>
      </c>
      <c r="H117" t="n">
        <v>1.3501</v>
      </c>
      <c r="J117" t="n">
        <v>1.723</v>
      </c>
      <c r="K117" t="n">
        <v>0.558024602659989</v>
      </c>
      <c r="L117" t="n">
        <v>0.499040376805798</v>
      </c>
      <c r="M117" t="n">
        <v>547496.3199999999</v>
      </c>
      <c r="N117" t="n">
        <v>596414.5600000001</v>
      </c>
      <c r="O117" t="n">
        <v>1.064</v>
      </c>
      <c r="Q117" t="n">
        <v>110.892214</v>
      </c>
      <c r="R117" t="n">
        <v>-31.698788</v>
      </c>
      <c r="S117" t="n">
        <v>160</v>
      </c>
      <c r="T117" t="n">
        <v>112.646846</v>
      </c>
      <c r="U117" t="n">
        <v>129.719823</v>
      </c>
      <c r="V117" t="n">
        <v>101.234661</v>
      </c>
      <c r="W117" t="n">
        <v>25.375037</v>
      </c>
    </row>
    <row r="118">
      <c r="B118" t="inlineStr">
        <is>
          <t>SE_FT_High_Diesel_CCS_53_Herb</t>
        </is>
      </c>
      <c r="C118" t="inlineStr">
        <is>
          <t>Biomass_Herb</t>
        </is>
      </c>
      <c r="D118" t="n">
        <v>0</v>
      </c>
      <c r="E118" t="n">
        <v>2.9403</v>
      </c>
      <c r="F118" t="n">
        <v>0.66</v>
      </c>
      <c r="G118" t="n">
        <v>0.6804</v>
      </c>
      <c r="H118" t="n">
        <v>1.3479</v>
      </c>
      <c r="J118" t="n">
        <v>1.717</v>
      </c>
      <c r="K118" t="n">
        <v>0.5554357222935711</v>
      </c>
      <c r="L118" t="n">
        <v>0.4967251458510984</v>
      </c>
      <c r="M118" t="n">
        <v>547496.3199999999</v>
      </c>
      <c r="N118" t="n">
        <v>596414.5600000001</v>
      </c>
      <c r="O118" t="n">
        <v>1.064</v>
      </c>
      <c r="Q118" t="n">
        <v>110.892214</v>
      </c>
      <c r="R118" t="n">
        <v>-47.684613</v>
      </c>
      <c r="S118" t="n">
        <v>160</v>
      </c>
      <c r="T118" t="n">
        <v>100.406702</v>
      </c>
      <c r="U118" t="n">
        <v>115.539531</v>
      </c>
      <c r="V118" t="n">
        <v>89.577806</v>
      </c>
      <c r="W118" t="n">
        <v>38.228295</v>
      </c>
    </row>
    <row r="119">
      <c r="B119" t="inlineStr">
        <is>
          <t>MIDAT_FT_High_Diesel_CCS_53_Herb</t>
        </is>
      </c>
      <c r="C119" t="inlineStr">
        <is>
          <t>Biomass_Herb</t>
        </is>
      </c>
      <c r="D119" t="n">
        <v>0</v>
      </c>
      <c r="E119" t="n">
        <v>2.9403</v>
      </c>
      <c r="F119" t="n">
        <v>0.6636</v>
      </c>
      <c r="G119" t="n">
        <v>0.6841</v>
      </c>
      <c r="H119" t="n">
        <v>1.3553</v>
      </c>
      <c r="J119" t="n">
        <v>1.736</v>
      </c>
      <c r="K119" t="n">
        <v>0.5635374235149642</v>
      </c>
      <c r="L119" t="n">
        <v>0.5039704823667637</v>
      </c>
      <c r="M119" t="n">
        <v>547496.3199999999</v>
      </c>
      <c r="N119" t="n">
        <v>596414.5600000001</v>
      </c>
      <c r="O119" t="n">
        <v>1.064</v>
      </c>
      <c r="Q119" t="n">
        <v>110.892214</v>
      </c>
      <c r="R119" t="n">
        <v>-54.368796</v>
      </c>
      <c r="S119" t="n">
        <v>160</v>
      </c>
      <c r="T119" t="n">
        <v>101.540719</v>
      </c>
      <c r="U119" t="n">
        <v>109.472766</v>
      </c>
      <c r="V119" t="n">
        <v>90.14609900000001</v>
      </c>
      <c r="W119" t="n">
        <v>39.376329</v>
      </c>
    </row>
    <row r="120">
      <c r="B120" t="inlineStr">
        <is>
          <t>NE_FT_High_Diesel_CCS_53_Herb</t>
        </is>
      </c>
      <c r="C120" t="inlineStr">
        <is>
          <t>Biomass_Herb</t>
        </is>
      </c>
      <c r="D120" t="n">
        <v>0</v>
      </c>
      <c r="E120" t="n">
        <v>2.9403</v>
      </c>
      <c r="F120" t="n">
        <v>0.6661</v>
      </c>
      <c r="G120" t="n">
        <v>0.6868</v>
      </c>
      <c r="H120" t="n">
        <v>1.3605</v>
      </c>
      <c r="J120" t="n">
        <v>1.745</v>
      </c>
      <c r="K120" t="n">
        <v>0.5669386443699395</v>
      </c>
      <c r="L120" t="n">
        <v>0.5070121879277295</v>
      </c>
      <c r="M120" t="n">
        <v>547496.3199999999</v>
      </c>
      <c r="N120" t="n">
        <v>596414.5600000001</v>
      </c>
      <c r="O120" t="n">
        <v>1.064</v>
      </c>
      <c r="Q120" t="n">
        <v>110.892214</v>
      </c>
      <c r="R120" t="n">
        <v>-62.623722</v>
      </c>
      <c r="S120" t="n">
        <v>160</v>
      </c>
      <c r="T120" t="n">
        <v>102.353041</v>
      </c>
      <c r="U120" t="n">
        <v>108.140489</v>
      </c>
      <c r="V120" t="n">
        <v>92.430212</v>
      </c>
      <c r="W120" t="n">
        <v>47.48771</v>
      </c>
    </row>
    <row r="121">
      <c r="B121" t="inlineStr">
        <is>
          <t>CA_FT_High_Diesel_CCS_53_Wood</t>
        </is>
      </c>
      <c r="C121" t="inlineStr">
        <is>
          <t>Biomass_Wood</t>
        </is>
      </c>
      <c r="D121" t="n">
        <v>0</v>
      </c>
      <c r="E121" t="n">
        <v>2.9403</v>
      </c>
      <c r="F121" t="n">
        <v>0.702</v>
      </c>
      <c r="G121" t="n">
        <v>0.7238</v>
      </c>
      <c r="H121" t="n">
        <v>1.4338</v>
      </c>
      <c r="J121" t="n">
        <v>1.843</v>
      </c>
      <c r="K121" t="n">
        <v>0.5995816964617326</v>
      </c>
      <c r="L121" t="n">
        <v>0.5362048094328167</v>
      </c>
      <c r="M121" t="n">
        <v>547496.3199999999</v>
      </c>
      <c r="N121" t="n">
        <v>596414.5600000001</v>
      </c>
      <c r="O121" t="n">
        <v>1.064</v>
      </c>
      <c r="Q121" t="n">
        <v>110.892214</v>
      </c>
      <c r="R121" t="n">
        <v>-6.493396</v>
      </c>
      <c r="S121" t="n">
        <v>160</v>
      </c>
      <c r="T121" t="n">
        <v>1539.150891</v>
      </c>
      <c r="U121" t="n">
        <v>162.083504</v>
      </c>
      <c r="V121" t="n">
        <v>140.323815</v>
      </c>
      <c r="W121" t="n">
        <v>36.566419</v>
      </c>
    </row>
    <row r="122">
      <c r="B122" t="inlineStr">
        <is>
          <t>NW_FT_High_Diesel_CCS_53_Wood</t>
        </is>
      </c>
      <c r="C122" t="inlineStr">
        <is>
          <t>Biomass_Wood</t>
        </is>
      </c>
      <c r="D122" t="n">
        <v>0</v>
      </c>
      <c r="E122" t="n">
        <v>2.9403</v>
      </c>
      <c r="F122" t="n">
        <v>0.7006</v>
      </c>
      <c r="G122" t="n">
        <v>0.7223000000000001</v>
      </c>
      <c r="H122" t="n">
        <v>1.4309</v>
      </c>
      <c r="J122" t="n">
        <v>1.818</v>
      </c>
      <c r="K122" t="n">
        <v>0.5871555559731754</v>
      </c>
      <c r="L122" t="n">
        <v>0.5250921348265505</v>
      </c>
      <c r="M122" t="n">
        <v>547496.3199999999</v>
      </c>
      <c r="N122" t="n">
        <v>596414.5600000001</v>
      </c>
      <c r="O122" t="n">
        <v>1.064</v>
      </c>
      <c r="Q122" t="n">
        <v>110.892214</v>
      </c>
      <c r="R122" t="n">
        <v>-7.381741</v>
      </c>
      <c r="S122" t="n">
        <v>160</v>
      </c>
      <c r="T122" t="n">
        <v>140.805445</v>
      </c>
      <c r="U122" t="n">
        <v>159.375106</v>
      </c>
      <c r="V122" t="n">
        <v>121.714108</v>
      </c>
      <c r="W122" t="n">
        <v>26.767046</v>
      </c>
    </row>
    <row r="123">
      <c r="B123" t="inlineStr">
        <is>
          <t>SW_FT_High_Diesel_CCS_53_Wood</t>
        </is>
      </c>
      <c r="C123" t="inlineStr">
        <is>
          <t>Biomass_Wood</t>
        </is>
      </c>
      <c r="D123" t="n">
        <v>0</v>
      </c>
      <c r="E123" t="n">
        <v>2.9403</v>
      </c>
      <c r="F123" t="n">
        <v>0.6941000000000001</v>
      </c>
      <c r="G123" t="n">
        <v>0.7155</v>
      </c>
      <c r="H123" t="n">
        <v>1.4175</v>
      </c>
      <c r="J123" t="n">
        <v>1.798</v>
      </c>
      <c r="K123" t="n">
        <v>0.5800686737746674</v>
      </c>
      <c r="L123" t="n">
        <v>0.5187543490983528</v>
      </c>
      <c r="M123" t="n">
        <v>547496.3199999999</v>
      </c>
      <c r="N123" t="n">
        <v>596414.5600000001</v>
      </c>
      <c r="O123" t="n">
        <v>1.064</v>
      </c>
      <c r="Q123" t="n">
        <v>110.892214</v>
      </c>
      <c r="R123" t="n">
        <v>-16.594224</v>
      </c>
      <c r="S123" t="n">
        <v>160</v>
      </c>
      <c r="T123" t="n">
        <v>125.807546</v>
      </c>
      <c r="U123" t="n">
        <v>143.289826</v>
      </c>
      <c r="V123" t="n">
        <v>114.17137</v>
      </c>
      <c r="W123" t="n">
        <v>28.012186</v>
      </c>
    </row>
    <row r="124">
      <c r="B124" t="inlineStr">
        <is>
          <t>TX_FT_High_Diesel_CCS_53_Wood</t>
        </is>
      </c>
      <c r="C124" t="inlineStr">
        <is>
          <t>Biomass_Wood</t>
        </is>
      </c>
      <c r="D124" t="n">
        <v>0</v>
      </c>
      <c r="E124" t="n">
        <v>2.9403</v>
      </c>
      <c r="F124" t="n">
        <v>0.6886</v>
      </c>
      <c r="G124" t="n">
        <v>0.7099</v>
      </c>
      <c r="H124" t="n">
        <v>1.4064</v>
      </c>
      <c r="J124" t="n">
        <v>1.821</v>
      </c>
      <c r="K124" t="n">
        <v>0.5951029719425777</v>
      </c>
      <c r="L124" t="n">
        <v>0.5321994943248548</v>
      </c>
      <c r="M124" t="n">
        <v>547496.3199999999</v>
      </c>
      <c r="N124" t="n">
        <v>596414.5600000001</v>
      </c>
      <c r="O124" t="n">
        <v>1.064</v>
      </c>
      <c r="Q124" t="n">
        <v>110.892214</v>
      </c>
      <c r="R124" t="n">
        <v>-21.499827</v>
      </c>
      <c r="S124" t="n">
        <v>160</v>
      </c>
      <c r="T124" t="n">
        <v>140.297617</v>
      </c>
      <c r="U124" t="n">
        <v>160.374377</v>
      </c>
      <c r="V124" t="n">
        <v>113.606838</v>
      </c>
      <c r="W124" t="n">
        <v>20.240713</v>
      </c>
    </row>
    <row r="125">
      <c r="B125" t="inlineStr">
        <is>
          <t>NCEN_FT_High_Diesel_CCS_53_Wood</t>
        </is>
      </c>
      <c r="C125" t="inlineStr">
        <is>
          <t>Biomass_Wood</t>
        </is>
      </c>
      <c r="D125" t="n">
        <v>0</v>
      </c>
      <c r="E125" t="n">
        <v>2.9403</v>
      </c>
      <c r="F125" t="n">
        <v>0.6912</v>
      </c>
      <c r="G125" t="n">
        <v>0.7126</v>
      </c>
      <c r="H125" t="n">
        <v>1.4116</v>
      </c>
      <c r="J125" t="n">
        <v>1.802</v>
      </c>
      <c r="K125" t="n">
        <v>0.5837229927975528</v>
      </c>
      <c r="L125" t="n">
        <v>0.5220223998858206</v>
      </c>
      <c r="M125" t="n">
        <v>547496.3199999999</v>
      </c>
      <c r="N125" t="n">
        <v>596414.5600000001</v>
      </c>
      <c r="O125" t="n">
        <v>1.064</v>
      </c>
      <c r="Q125" t="n">
        <v>110.892214</v>
      </c>
      <c r="R125" t="n">
        <v>-41.711711</v>
      </c>
      <c r="S125" t="n">
        <v>160</v>
      </c>
      <c r="T125" t="n">
        <v>106.368089</v>
      </c>
      <c r="U125" t="n">
        <v>117.804824</v>
      </c>
      <c r="V125" t="n">
        <v>93.32494199999999</v>
      </c>
      <c r="W125" t="n">
        <v>30.728803</v>
      </c>
    </row>
    <row r="126">
      <c r="B126" t="inlineStr">
        <is>
          <t>CEN_FT_High_Diesel_CCS_53_Wood</t>
        </is>
      </c>
      <c r="C126" t="inlineStr">
        <is>
          <t>Biomass_Wood</t>
        </is>
      </c>
      <c r="D126" t="n">
        <v>0</v>
      </c>
      <c r="E126" t="n">
        <v>2.9403</v>
      </c>
      <c r="F126" t="n">
        <v>0.6915</v>
      </c>
      <c r="G126" t="n">
        <v>0.7129</v>
      </c>
      <c r="H126" t="n">
        <v>1.4123</v>
      </c>
      <c r="J126" t="n">
        <v>1.802</v>
      </c>
      <c r="K126" t="n">
        <v>0.5835301529196921</v>
      </c>
      <c r="L126" t="n">
        <v>0.5218499435373871</v>
      </c>
      <c r="M126" t="n">
        <v>547496.3199999999</v>
      </c>
      <c r="N126" t="n">
        <v>596414.5600000001</v>
      </c>
      <c r="O126" t="n">
        <v>1.064</v>
      </c>
      <c r="Q126" t="n">
        <v>110.892214</v>
      </c>
      <c r="R126" t="n">
        <v>-31.698788</v>
      </c>
      <c r="S126" t="n">
        <v>160</v>
      </c>
      <c r="T126" t="n">
        <v>112.646846</v>
      </c>
      <c r="U126" t="n">
        <v>129.719823</v>
      </c>
      <c r="V126" t="n">
        <v>101.234661</v>
      </c>
      <c r="W126" t="n">
        <v>25.375037</v>
      </c>
    </row>
    <row r="127">
      <c r="B127" t="inlineStr">
        <is>
          <t>SE_FT_High_Diesel_CCS_53_Wood</t>
        </is>
      </c>
      <c r="C127" t="inlineStr">
        <is>
          <t>Biomass_Wood</t>
        </is>
      </c>
      <c r="D127" t="n">
        <v>0</v>
      </c>
      <c r="E127" t="n">
        <v>2.9403</v>
      </c>
      <c r="F127" t="n">
        <v>0.6941000000000001</v>
      </c>
      <c r="G127" t="n">
        <v>0.7155</v>
      </c>
      <c r="H127" t="n">
        <v>1.4175</v>
      </c>
      <c r="J127" t="n">
        <v>1.821</v>
      </c>
      <c r="K127" t="n">
        <v>0.5922103737746672</v>
      </c>
      <c r="L127" t="n">
        <v>0.5296126490983527</v>
      </c>
      <c r="M127" t="n">
        <v>547496.3199999999</v>
      </c>
      <c r="N127" t="n">
        <v>596414.5600000001</v>
      </c>
      <c r="O127" t="n">
        <v>1.064</v>
      </c>
      <c r="Q127" t="n">
        <v>110.892214</v>
      </c>
      <c r="R127" t="n">
        <v>-47.684613</v>
      </c>
      <c r="S127" t="n">
        <v>160</v>
      </c>
      <c r="T127" t="n">
        <v>100.406702</v>
      </c>
      <c r="U127" t="n">
        <v>115.539531</v>
      </c>
      <c r="V127" t="n">
        <v>89.577806</v>
      </c>
      <c r="W127" t="n">
        <v>38.228295</v>
      </c>
    </row>
    <row r="128">
      <c r="B128" t="inlineStr">
        <is>
          <t>MIDAT_FT_High_Diesel_CCS_53_Wood</t>
        </is>
      </c>
      <c r="C128" t="inlineStr">
        <is>
          <t>Biomass_Wood</t>
        </is>
      </c>
      <c r="D128" t="n">
        <v>0</v>
      </c>
      <c r="E128" t="n">
        <v>2.9403</v>
      </c>
      <c r="F128" t="n">
        <v>0.6893</v>
      </c>
      <c r="G128" t="n">
        <v>0.7107</v>
      </c>
      <c r="H128" t="n">
        <v>1.4079</v>
      </c>
      <c r="J128" t="n">
        <v>1.806</v>
      </c>
      <c r="K128" t="n">
        <v>0.5867987921868562</v>
      </c>
      <c r="L128" t="n">
        <v>0.5247730816279877</v>
      </c>
      <c r="M128" t="n">
        <v>547496.3199999999</v>
      </c>
      <c r="N128" t="n">
        <v>596414.5600000001</v>
      </c>
      <c r="O128" t="n">
        <v>1.064</v>
      </c>
      <c r="Q128" t="n">
        <v>110.892214</v>
      </c>
      <c r="R128" t="n">
        <v>-54.368796</v>
      </c>
      <c r="S128" t="n">
        <v>160</v>
      </c>
      <c r="T128" t="n">
        <v>101.540719</v>
      </c>
      <c r="U128" t="n">
        <v>109.472766</v>
      </c>
      <c r="V128" t="n">
        <v>90.14609900000001</v>
      </c>
      <c r="W128" t="n">
        <v>39.376329</v>
      </c>
    </row>
    <row r="129">
      <c r="B129" t="inlineStr">
        <is>
          <t>NE_FT_High_Diesel_CCS_53_Wood</t>
        </is>
      </c>
      <c r="C129" t="inlineStr">
        <is>
          <t>Biomass_Wood</t>
        </is>
      </c>
      <c r="D129" t="n">
        <v>0</v>
      </c>
      <c r="E129" t="n">
        <v>2.9403</v>
      </c>
      <c r="F129" t="n">
        <v>0.6850000000000001</v>
      </c>
      <c r="G129" t="n">
        <v>0.7062</v>
      </c>
      <c r="H129" t="n">
        <v>1.399</v>
      </c>
      <c r="J129" t="n">
        <v>1.826</v>
      </c>
      <c r="K129" t="n">
        <v>0.5996708707211844</v>
      </c>
      <c r="L129" t="n">
        <v>0.5362845578091895</v>
      </c>
      <c r="M129" t="n">
        <v>547496.3199999999</v>
      </c>
      <c r="N129" t="n">
        <v>596414.5600000001</v>
      </c>
      <c r="O129" t="n">
        <v>1.064</v>
      </c>
      <c r="Q129" t="n">
        <v>110.892214</v>
      </c>
      <c r="R129" t="n">
        <v>-62.623722</v>
      </c>
      <c r="S129" t="n">
        <v>160</v>
      </c>
      <c r="T129" t="n">
        <v>102.353041</v>
      </c>
      <c r="U129" t="n">
        <v>108.140489</v>
      </c>
      <c r="V129" t="n">
        <v>92.430212</v>
      </c>
      <c r="W129" t="n">
        <v>47.48771</v>
      </c>
    </row>
    <row r="130">
      <c r="B130" t="inlineStr">
        <is>
          <t>CA_FT_High_Diesel_CCS_53_Agri</t>
        </is>
      </c>
      <c r="C130" t="inlineStr">
        <is>
          <t>Biomass_Agri</t>
        </is>
      </c>
      <c r="D130" t="n">
        <v>0</v>
      </c>
      <c r="E130" t="n">
        <v>2.9403</v>
      </c>
      <c r="F130" t="n">
        <v>0.6632</v>
      </c>
      <c r="G130" t="n">
        <v>0.6838</v>
      </c>
      <c r="H130" t="n">
        <v>1.3546</v>
      </c>
      <c r="J130" t="n">
        <v>1.719</v>
      </c>
      <c r="K130" t="n">
        <v>0.5547559633928247</v>
      </c>
      <c r="L130" t="n">
        <v>0.4961172387151971</v>
      </c>
      <c r="M130" t="n">
        <v>547496.3199999999</v>
      </c>
      <c r="N130" t="n">
        <v>596414.5600000001</v>
      </c>
      <c r="O130" t="n">
        <v>1.064</v>
      </c>
      <c r="Q130" t="n">
        <v>110.892214</v>
      </c>
      <c r="R130" t="n">
        <v>-6.493396</v>
      </c>
      <c r="S130" t="n">
        <v>160</v>
      </c>
      <c r="T130" t="n">
        <v>1539.150891</v>
      </c>
      <c r="U130" t="n">
        <v>162.083504</v>
      </c>
      <c r="V130" t="n">
        <v>140.323815</v>
      </c>
      <c r="W130" t="n">
        <v>36.566419</v>
      </c>
    </row>
    <row r="131">
      <c r="B131" t="inlineStr">
        <is>
          <t>NW_FT_High_Diesel_CCS_53_Agri</t>
        </is>
      </c>
      <c r="C131" t="inlineStr">
        <is>
          <t>Biomass_Agri</t>
        </is>
      </c>
      <c r="D131" t="n">
        <v>0</v>
      </c>
      <c r="E131" t="n">
        <v>2.9403</v>
      </c>
      <c r="F131" t="n">
        <v>0.6063</v>
      </c>
      <c r="G131" t="n">
        <v>0.6251</v>
      </c>
      <c r="H131" t="n">
        <v>1.2383</v>
      </c>
      <c r="J131" t="n">
        <v>1.664</v>
      </c>
      <c r="K131" t="n">
        <v>0.5559973242169509</v>
      </c>
      <c r="L131" t="n">
        <v>0.4972273854192508</v>
      </c>
      <c r="M131" t="n">
        <v>547496.3199999999</v>
      </c>
      <c r="N131" t="n">
        <v>596414.5600000001</v>
      </c>
      <c r="O131" t="n">
        <v>1.064</v>
      </c>
      <c r="Q131" t="n">
        <v>110.892214</v>
      </c>
      <c r="R131" t="n">
        <v>-7.381741</v>
      </c>
      <c r="S131" t="n">
        <v>160</v>
      </c>
      <c r="T131" t="n">
        <v>140.805445</v>
      </c>
      <c r="U131" t="n">
        <v>159.375106</v>
      </c>
      <c r="V131" t="n">
        <v>121.714108</v>
      </c>
      <c r="W131" t="n">
        <v>26.767046</v>
      </c>
    </row>
    <row r="132">
      <c r="B132" t="inlineStr">
        <is>
          <t>SW_FT_High_Diesel_CCS_53_Agri</t>
        </is>
      </c>
      <c r="C132" t="inlineStr">
        <is>
          <t>Biomass_Agri</t>
        </is>
      </c>
      <c r="D132" t="n">
        <v>0</v>
      </c>
      <c r="E132" t="n">
        <v>2.9403</v>
      </c>
      <c r="F132" t="n">
        <v>0.6175</v>
      </c>
      <c r="G132" t="n">
        <v>0.6367</v>
      </c>
      <c r="H132" t="n">
        <v>1.2613</v>
      </c>
      <c r="J132" t="n">
        <v>1.687</v>
      </c>
      <c r="K132" t="n">
        <v>0.56216098800327</v>
      </c>
      <c r="L132" t="n">
        <v>0.5027395386178134</v>
      </c>
      <c r="M132" t="n">
        <v>547496.3199999999</v>
      </c>
      <c r="N132" t="n">
        <v>596414.5600000001</v>
      </c>
      <c r="O132" t="n">
        <v>1.064</v>
      </c>
      <c r="Q132" t="n">
        <v>110.892214</v>
      </c>
      <c r="R132" t="n">
        <v>-16.594224</v>
      </c>
      <c r="S132" t="n">
        <v>160</v>
      </c>
      <c r="T132" t="n">
        <v>125.807546</v>
      </c>
      <c r="U132" t="n">
        <v>143.289826</v>
      </c>
      <c r="V132" t="n">
        <v>114.17137</v>
      </c>
      <c r="W132" t="n">
        <v>28.012186</v>
      </c>
    </row>
    <row r="133">
      <c r="B133" t="inlineStr">
        <is>
          <t>TX_FT_High_Diesel_CCS_53_Agri</t>
        </is>
      </c>
      <c r="C133" t="inlineStr">
        <is>
          <t>Biomass_Agri</t>
        </is>
      </c>
      <c r="D133" t="n">
        <v>0</v>
      </c>
      <c r="E133" t="n">
        <v>2.9403</v>
      </c>
      <c r="F133" t="n">
        <v>0.6016</v>
      </c>
      <c r="G133" t="n">
        <v>0.6202</v>
      </c>
      <c r="H133" t="n">
        <v>1.2287</v>
      </c>
      <c r="J133" t="n">
        <v>1.633</v>
      </c>
      <c r="K133" t="n">
        <v>0.5421393426291397</v>
      </c>
      <c r="L133" t="n">
        <v>0.4848342179488857</v>
      </c>
      <c r="M133" t="n">
        <v>547496.3199999999</v>
      </c>
      <c r="N133" t="n">
        <v>596414.5600000001</v>
      </c>
      <c r="O133" t="n">
        <v>1.064</v>
      </c>
      <c r="Q133" t="n">
        <v>110.892214</v>
      </c>
      <c r="R133" t="n">
        <v>-21.499827</v>
      </c>
      <c r="S133" t="n">
        <v>160</v>
      </c>
      <c r="T133" t="n">
        <v>140.297617</v>
      </c>
      <c r="U133" t="n">
        <v>160.374377</v>
      </c>
      <c r="V133" t="n">
        <v>113.606838</v>
      </c>
      <c r="W133" t="n">
        <v>20.240713</v>
      </c>
    </row>
    <row r="134">
      <c r="B134" t="inlineStr">
        <is>
          <t>NCEN_FT_High_Diesel_CCS_53_Agri</t>
        </is>
      </c>
      <c r="C134" t="inlineStr">
        <is>
          <t>Biomass_Agri</t>
        </is>
      </c>
      <c r="D134" t="n">
        <v>0</v>
      </c>
      <c r="E134" t="n">
        <v>2.9403</v>
      </c>
      <c r="F134" t="n">
        <v>0.6273</v>
      </c>
      <c r="G134" t="n">
        <v>0.6468</v>
      </c>
      <c r="H134" t="n">
        <v>1.2812</v>
      </c>
      <c r="J134" t="n">
        <v>1.71</v>
      </c>
      <c r="K134" t="n">
        <v>0.5690960113010317</v>
      </c>
      <c r="L134" t="n">
        <v>0.5089415172101099</v>
      </c>
      <c r="M134" t="n">
        <v>547496.3199999999</v>
      </c>
      <c r="N134" t="n">
        <v>596414.5600000001</v>
      </c>
      <c r="O134" t="n">
        <v>1.064</v>
      </c>
      <c r="Q134" t="n">
        <v>110.892214</v>
      </c>
      <c r="R134" t="n">
        <v>-41.711711</v>
      </c>
      <c r="S134" t="n">
        <v>160</v>
      </c>
      <c r="T134" t="n">
        <v>106.368089</v>
      </c>
      <c r="U134" t="n">
        <v>117.804824</v>
      </c>
      <c r="V134" t="n">
        <v>93.32494199999999</v>
      </c>
      <c r="W134" t="n">
        <v>30.728803</v>
      </c>
    </row>
    <row r="135">
      <c r="B135" t="inlineStr">
        <is>
          <t>CEN_FT_High_Diesel_CCS_53_Agri</t>
        </is>
      </c>
      <c r="C135" t="inlineStr">
        <is>
          <t>Biomass_Agri</t>
        </is>
      </c>
      <c r="D135" t="n">
        <v>0</v>
      </c>
      <c r="E135" t="n">
        <v>2.9403</v>
      </c>
      <c r="F135" t="n">
        <v>0.6226</v>
      </c>
      <c r="G135" t="n">
        <v>0.6419</v>
      </c>
      <c r="H135" t="n">
        <v>1.2716</v>
      </c>
      <c r="J135" t="n">
        <v>1.7</v>
      </c>
      <c r="K135" t="n">
        <v>0.5663239297132204</v>
      </c>
      <c r="L135" t="n">
        <v>0.5064624497397449</v>
      </c>
      <c r="M135" t="n">
        <v>547496.3199999999</v>
      </c>
      <c r="N135" t="n">
        <v>596414.5600000001</v>
      </c>
      <c r="O135" t="n">
        <v>1.064</v>
      </c>
      <c r="Q135" t="n">
        <v>110.892214</v>
      </c>
      <c r="R135" t="n">
        <v>-31.698788</v>
      </c>
      <c r="S135" t="n">
        <v>160</v>
      </c>
      <c r="T135" t="n">
        <v>112.646846</v>
      </c>
      <c r="U135" t="n">
        <v>129.719823</v>
      </c>
      <c r="V135" t="n">
        <v>101.234661</v>
      </c>
      <c r="W135" t="n">
        <v>25.375037</v>
      </c>
    </row>
    <row r="136">
      <c r="B136" t="inlineStr">
        <is>
          <t>SE_FT_High_Diesel_CCS_53_Agri</t>
        </is>
      </c>
      <c r="C136" t="inlineStr">
        <is>
          <t>Biomass_Agri</t>
        </is>
      </c>
      <c r="D136" t="n">
        <v>0</v>
      </c>
      <c r="E136" t="n">
        <v>2.9403</v>
      </c>
      <c r="F136" t="n">
        <v>0.6248</v>
      </c>
      <c r="G136" t="n">
        <v>0.6441</v>
      </c>
      <c r="H136" t="n">
        <v>1.2761</v>
      </c>
      <c r="J136" t="n">
        <v>1.689</v>
      </c>
      <c r="K136" t="n">
        <v>0.5593599904460566</v>
      </c>
      <c r="L136" t="n">
        <v>0.5002346116491442</v>
      </c>
      <c r="M136" t="n">
        <v>547496.3199999999</v>
      </c>
      <c r="N136" t="n">
        <v>596414.5600000001</v>
      </c>
      <c r="O136" t="n">
        <v>1.064</v>
      </c>
      <c r="Q136" t="n">
        <v>110.892214</v>
      </c>
      <c r="R136" t="n">
        <v>-47.684613</v>
      </c>
      <c r="S136" t="n">
        <v>160</v>
      </c>
      <c r="T136" t="n">
        <v>100.406702</v>
      </c>
      <c r="U136" t="n">
        <v>115.539531</v>
      </c>
      <c r="V136" t="n">
        <v>89.577806</v>
      </c>
      <c r="W136" t="n">
        <v>38.228295</v>
      </c>
    </row>
    <row r="137">
      <c r="B137" t="inlineStr">
        <is>
          <t>MIDAT_FT_High_Diesel_CCS_53_Agri</t>
        </is>
      </c>
      <c r="C137" t="inlineStr">
        <is>
          <t>Biomass_Agri</t>
        </is>
      </c>
      <c r="D137" t="n">
        <v>0</v>
      </c>
      <c r="E137" t="n">
        <v>2.9403</v>
      </c>
      <c r="F137" t="n">
        <v>0.6266</v>
      </c>
      <c r="G137" t="n">
        <v>0.646</v>
      </c>
      <c r="H137" t="n">
        <v>1.2798</v>
      </c>
      <c r="J137" t="n">
        <v>1.708</v>
      </c>
      <c r="K137" t="n">
        <v>0.568425891056753</v>
      </c>
      <c r="L137" t="n">
        <v>0.5083422299069769</v>
      </c>
      <c r="M137" t="n">
        <v>547496.3199999999</v>
      </c>
      <c r="N137" t="n">
        <v>596414.5600000001</v>
      </c>
      <c r="O137" t="n">
        <v>1.064</v>
      </c>
      <c r="Q137" t="n">
        <v>110.892214</v>
      </c>
      <c r="R137" t="n">
        <v>-54.368796</v>
      </c>
      <c r="S137" t="n">
        <v>160</v>
      </c>
      <c r="T137" t="n">
        <v>101.540719</v>
      </c>
      <c r="U137" t="n">
        <v>109.472766</v>
      </c>
      <c r="V137" t="n">
        <v>90.14609900000001</v>
      </c>
      <c r="W137" t="n">
        <v>39.376329</v>
      </c>
    </row>
    <row r="138">
      <c r="B138" t="inlineStr">
        <is>
          <t>NE_FT_High_Diesel_CCS_53_Agri</t>
        </is>
      </c>
      <c r="C138" t="inlineStr">
        <is>
          <t>Biomass_Agri</t>
        </is>
      </c>
      <c r="D138" t="n">
        <v>0</v>
      </c>
      <c r="E138" t="n">
        <v>2.9403</v>
      </c>
      <c r="F138" t="n">
        <v>0.6339</v>
      </c>
      <c r="G138" t="n">
        <v>0.6535</v>
      </c>
      <c r="H138" t="n">
        <v>1.2946</v>
      </c>
      <c r="J138" t="n">
        <v>1.715</v>
      </c>
      <c r="K138" t="n">
        <v>0.5682643934995395</v>
      </c>
      <c r="L138" t="n">
        <v>0.5081978029383076</v>
      </c>
      <c r="M138" t="n">
        <v>547496.3199999999</v>
      </c>
      <c r="N138" t="n">
        <v>596414.5600000001</v>
      </c>
      <c r="O138" t="n">
        <v>1.064</v>
      </c>
      <c r="Q138" t="n">
        <v>110.892214</v>
      </c>
      <c r="R138" t="n">
        <v>-62.623722</v>
      </c>
      <c r="S138" t="n">
        <v>160</v>
      </c>
      <c r="T138" t="n">
        <v>102.353041</v>
      </c>
      <c r="U138" t="n">
        <v>108.140489</v>
      </c>
      <c r="V138" t="n">
        <v>92.430212</v>
      </c>
      <c r="W138" t="n">
        <v>47.48771</v>
      </c>
    </row>
    <row r="139">
      <c r="B139" t="inlineStr">
        <is>
          <t>CA_FT_High_Diesel_CCS_99_Herb</t>
        </is>
      </c>
      <c r="C139" t="inlineStr">
        <is>
          <t>Biomass_Herb</t>
        </is>
      </c>
      <c r="D139" t="n">
        <v>0</v>
      </c>
      <c r="E139" t="n">
        <v>3.5965</v>
      </c>
      <c r="F139" t="n">
        <v>0.6596</v>
      </c>
      <c r="G139" t="n">
        <v>0.68</v>
      </c>
      <c r="H139" t="n">
        <v>1.3472</v>
      </c>
      <c r="J139" t="n">
        <v>1.721</v>
      </c>
      <c r="K139" t="n">
        <v>1.05156049139842</v>
      </c>
      <c r="L139" t="n">
        <v>0.0049656729725435</v>
      </c>
      <c r="M139" t="n">
        <v>644392</v>
      </c>
      <c r="N139" t="n">
        <v>646477.4399999999</v>
      </c>
      <c r="O139" t="n">
        <v>4.256</v>
      </c>
      <c r="Q139" t="n">
        <v>110.892214</v>
      </c>
      <c r="R139" t="n">
        <v>-6.493396</v>
      </c>
      <c r="S139" t="n">
        <v>160</v>
      </c>
      <c r="T139" t="n">
        <v>1539.150891</v>
      </c>
      <c r="U139" t="n">
        <v>162.083504</v>
      </c>
      <c r="V139" t="n">
        <v>140.323815</v>
      </c>
      <c r="W139" t="n">
        <v>36.566419</v>
      </c>
    </row>
    <row r="140">
      <c r="B140" t="inlineStr">
        <is>
          <t>NW_FT_High_Diesel_CCS_99_Herb</t>
        </is>
      </c>
      <c r="C140" t="inlineStr">
        <is>
          <t>Biomass_Herb</t>
        </is>
      </c>
      <c r="D140" t="n">
        <v>0</v>
      </c>
      <c r="E140" t="n">
        <v>3.5965</v>
      </c>
      <c r="F140" t="n">
        <v>0.6611</v>
      </c>
      <c r="G140" t="n">
        <v>0.6815</v>
      </c>
      <c r="H140" t="n">
        <v>1.3501</v>
      </c>
      <c r="J140" t="n">
        <v>1.726</v>
      </c>
      <c r="K140" t="n">
        <v>1.055082674062298</v>
      </c>
      <c r="L140" t="n">
        <v>0.0049823054034892</v>
      </c>
      <c r="M140" t="n">
        <v>644392</v>
      </c>
      <c r="N140" t="n">
        <v>646477.4399999999</v>
      </c>
      <c r="O140" t="n">
        <v>4.256</v>
      </c>
      <c r="Q140" t="n">
        <v>110.892214</v>
      </c>
      <c r="R140" t="n">
        <v>-7.381741</v>
      </c>
      <c r="S140" t="n">
        <v>160</v>
      </c>
      <c r="T140" t="n">
        <v>140.805445</v>
      </c>
      <c r="U140" t="n">
        <v>159.375106</v>
      </c>
      <c r="V140" t="n">
        <v>121.714108</v>
      </c>
      <c r="W140" t="n">
        <v>26.767046</v>
      </c>
    </row>
    <row r="141">
      <c r="B141" t="inlineStr">
        <is>
          <t>SW_FT_High_Diesel_CCS_99_Herb</t>
        </is>
      </c>
      <c r="C141" t="inlineStr">
        <is>
          <t>Biomass_Herb</t>
        </is>
      </c>
      <c r="D141" t="n">
        <v>0</v>
      </c>
      <c r="E141" t="n">
        <v>3.5965</v>
      </c>
      <c r="F141" t="n">
        <v>0.6567</v>
      </c>
      <c r="G141" t="n">
        <v>0.677</v>
      </c>
      <c r="H141" t="n">
        <v>1.3412</v>
      </c>
      <c r="J141" t="n">
        <v>1.71</v>
      </c>
      <c r="K141" t="n">
        <v>1.043520826070664</v>
      </c>
      <c r="L141" t="n">
        <v>0.0049277081106522</v>
      </c>
      <c r="M141" t="n">
        <v>644392</v>
      </c>
      <c r="N141" t="n">
        <v>646477.4399999999</v>
      </c>
      <c r="O141" t="n">
        <v>4.256</v>
      </c>
      <c r="Q141" t="n">
        <v>110.892214</v>
      </c>
      <c r="R141" t="n">
        <v>-16.594224</v>
      </c>
      <c r="S141" t="n">
        <v>160</v>
      </c>
      <c r="T141" t="n">
        <v>125.807546</v>
      </c>
      <c r="U141" t="n">
        <v>143.289826</v>
      </c>
      <c r="V141" t="n">
        <v>114.17137</v>
      </c>
      <c r="W141" t="n">
        <v>28.012186</v>
      </c>
    </row>
    <row r="142">
      <c r="B142" t="inlineStr">
        <is>
          <t>TX_FT_High_Diesel_CCS_99_Herb</t>
        </is>
      </c>
      <c r="C142" t="inlineStr">
        <is>
          <t>Biomass_Herb</t>
        </is>
      </c>
      <c r="D142" t="n">
        <v>0</v>
      </c>
      <c r="E142" t="n">
        <v>3.5965</v>
      </c>
      <c r="F142" t="n">
        <v>0.6582</v>
      </c>
      <c r="G142" t="n">
        <v>0.6785</v>
      </c>
      <c r="H142" t="n">
        <v>1.3442</v>
      </c>
      <c r="J142" t="n">
        <v>1.714</v>
      </c>
      <c r="K142" t="n">
        <v>1.046047708734542</v>
      </c>
      <c r="L142" t="n">
        <v>0.0049396405415978</v>
      </c>
      <c r="M142" t="n">
        <v>644392</v>
      </c>
      <c r="N142" t="n">
        <v>646477.4399999999</v>
      </c>
      <c r="O142" t="n">
        <v>4.256</v>
      </c>
      <c r="Q142" t="n">
        <v>110.892214</v>
      </c>
      <c r="R142" t="n">
        <v>-21.499827</v>
      </c>
      <c r="S142" t="n">
        <v>160</v>
      </c>
      <c r="T142" t="n">
        <v>140.297617</v>
      </c>
      <c r="U142" t="n">
        <v>160.374377</v>
      </c>
      <c r="V142" t="n">
        <v>113.606838</v>
      </c>
      <c r="W142" t="n">
        <v>20.240713</v>
      </c>
    </row>
    <row r="143">
      <c r="B143" t="inlineStr">
        <is>
          <t>NCEN_FT_High_Diesel_CCS_99_Herb</t>
        </is>
      </c>
      <c r="C143" t="inlineStr">
        <is>
          <t>Biomass_Herb</t>
        </is>
      </c>
      <c r="D143" t="n">
        <v>0</v>
      </c>
      <c r="E143" t="n">
        <v>3.5965</v>
      </c>
      <c r="F143" t="n">
        <v>0.665</v>
      </c>
      <c r="G143" t="n">
        <v>0.6856</v>
      </c>
      <c r="H143" t="n">
        <v>1.3583</v>
      </c>
      <c r="J143" t="n">
        <v>1.74</v>
      </c>
      <c r="K143" t="n">
        <v>1.065017501387962</v>
      </c>
      <c r="L143" t="n">
        <v>0.0050292195885898</v>
      </c>
      <c r="M143" t="n">
        <v>644392</v>
      </c>
      <c r="N143" t="n">
        <v>646477.4399999999</v>
      </c>
      <c r="O143" t="n">
        <v>4.256</v>
      </c>
      <c r="Q143" t="n">
        <v>110.892214</v>
      </c>
      <c r="R143" t="n">
        <v>-41.711711</v>
      </c>
      <c r="S143" t="n">
        <v>160</v>
      </c>
      <c r="T143" t="n">
        <v>106.368089</v>
      </c>
      <c r="U143" t="n">
        <v>117.804824</v>
      </c>
      <c r="V143" t="n">
        <v>93.32494199999999</v>
      </c>
      <c r="W143" t="n">
        <v>30.728803</v>
      </c>
    </row>
    <row r="144">
      <c r="B144" t="inlineStr">
        <is>
          <t>CEN_FT_High_Diesel_CCS_99_Herb</t>
        </is>
      </c>
      <c r="C144" t="inlineStr">
        <is>
          <t>Biomass_Herb</t>
        </is>
      </c>
      <c r="D144" t="n">
        <v>0</v>
      </c>
      <c r="E144" t="n">
        <v>3.5965</v>
      </c>
      <c r="F144" t="n">
        <v>0.6611</v>
      </c>
      <c r="G144" t="n">
        <v>0.6815</v>
      </c>
      <c r="H144" t="n">
        <v>1.3501</v>
      </c>
      <c r="J144" t="n">
        <v>1.723</v>
      </c>
      <c r="K144" t="n">
        <v>1.052096774062298</v>
      </c>
      <c r="L144" t="n">
        <v>0.0049682054034892</v>
      </c>
      <c r="M144" t="n">
        <v>644392</v>
      </c>
      <c r="N144" t="n">
        <v>646477.4399999999</v>
      </c>
      <c r="O144" t="n">
        <v>4.256</v>
      </c>
      <c r="Q144" t="n">
        <v>110.892214</v>
      </c>
      <c r="R144" t="n">
        <v>-31.698788</v>
      </c>
      <c r="S144" t="n">
        <v>160</v>
      </c>
      <c r="T144" t="n">
        <v>112.646846</v>
      </c>
      <c r="U144" t="n">
        <v>129.719823</v>
      </c>
      <c r="V144" t="n">
        <v>101.234661</v>
      </c>
      <c r="W144" t="n">
        <v>25.375037</v>
      </c>
    </row>
    <row r="145">
      <c r="B145" t="inlineStr">
        <is>
          <t>SE_FT_High_Diesel_CCS_99_Herb</t>
        </is>
      </c>
      <c r="C145" t="inlineStr">
        <is>
          <t>Biomass_Herb</t>
        </is>
      </c>
      <c r="D145" t="n">
        <v>0</v>
      </c>
      <c r="E145" t="n">
        <v>3.5965</v>
      </c>
      <c r="F145" t="n">
        <v>0.66</v>
      </c>
      <c r="G145" t="n">
        <v>0.6804</v>
      </c>
      <c r="H145" t="n">
        <v>1.3479</v>
      </c>
      <c r="J145" t="n">
        <v>1.717</v>
      </c>
      <c r="K145" t="n">
        <v>1.04721571206439</v>
      </c>
      <c r="L145" t="n">
        <v>0.0049451560802799</v>
      </c>
      <c r="M145" t="n">
        <v>644392</v>
      </c>
      <c r="N145" t="n">
        <v>646477.4399999999</v>
      </c>
      <c r="O145" t="n">
        <v>4.256</v>
      </c>
      <c r="Q145" t="n">
        <v>110.892214</v>
      </c>
      <c r="R145" t="n">
        <v>-47.684613</v>
      </c>
      <c r="S145" t="n">
        <v>160</v>
      </c>
      <c r="T145" t="n">
        <v>100.406702</v>
      </c>
      <c r="U145" t="n">
        <v>115.539531</v>
      </c>
      <c r="V145" t="n">
        <v>89.577806</v>
      </c>
      <c r="W145" t="n">
        <v>38.228295</v>
      </c>
    </row>
    <row r="146">
      <c r="B146" t="inlineStr">
        <is>
          <t>MIDAT_FT_High_Diesel_CCS_99_Herb</t>
        </is>
      </c>
      <c r="C146" t="inlineStr">
        <is>
          <t>Biomass_Herb</t>
        </is>
      </c>
      <c r="D146" t="n">
        <v>0</v>
      </c>
      <c r="E146" t="n">
        <v>3.5965</v>
      </c>
      <c r="F146" t="n">
        <v>0.6636</v>
      </c>
      <c r="G146" t="n">
        <v>0.6841</v>
      </c>
      <c r="H146" t="n">
        <v>1.3553</v>
      </c>
      <c r="J146" t="n">
        <v>1.736</v>
      </c>
      <c r="K146" t="n">
        <v>1.062490618724084</v>
      </c>
      <c r="L146" t="n">
        <v>0.0050172871576441</v>
      </c>
      <c r="M146" t="n">
        <v>644392</v>
      </c>
      <c r="N146" t="n">
        <v>646477.4399999999</v>
      </c>
      <c r="O146" t="n">
        <v>4.256</v>
      </c>
      <c r="Q146" t="n">
        <v>110.892214</v>
      </c>
      <c r="R146" t="n">
        <v>-54.368796</v>
      </c>
      <c r="S146" t="n">
        <v>160</v>
      </c>
      <c r="T146" t="n">
        <v>101.540719</v>
      </c>
      <c r="U146" t="n">
        <v>109.472766</v>
      </c>
      <c r="V146" t="n">
        <v>90.14609900000001</v>
      </c>
      <c r="W146" t="n">
        <v>39.376329</v>
      </c>
    </row>
    <row r="147">
      <c r="B147" t="inlineStr">
        <is>
          <t>NE_FT_High_Diesel_CCS_99_Herb</t>
        </is>
      </c>
      <c r="C147" t="inlineStr">
        <is>
          <t>Biomass_Herb</t>
        </is>
      </c>
      <c r="D147" t="n">
        <v>0</v>
      </c>
      <c r="E147" t="n">
        <v>3.5965</v>
      </c>
      <c r="F147" t="n">
        <v>0.6661</v>
      </c>
      <c r="G147" t="n">
        <v>0.6868</v>
      </c>
      <c r="H147" t="n">
        <v>1.3605</v>
      </c>
      <c r="J147" t="n">
        <v>1.745</v>
      </c>
      <c r="K147" t="n">
        <v>1.06890326338587</v>
      </c>
      <c r="L147" t="n">
        <v>0.005047568911799</v>
      </c>
      <c r="M147" t="n">
        <v>644392</v>
      </c>
      <c r="N147" t="n">
        <v>646477.4399999999</v>
      </c>
      <c r="O147" t="n">
        <v>4.256</v>
      </c>
      <c r="Q147" t="n">
        <v>110.892214</v>
      </c>
      <c r="R147" t="n">
        <v>-62.623722</v>
      </c>
      <c r="S147" t="n">
        <v>160</v>
      </c>
      <c r="T147" t="n">
        <v>102.353041</v>
      </c>
      <c r="U147" t="n">
        <v>108.140489</v>
      </c>
      <c r="V147" t="n">
        <v>92.430212</v>
      </c>
      <c r="W147" t="n">
        <v>47.48771</v>
      </c>
    </row>
    <row r="148">
      <c r="B148" t="inlineStr">
        <is>
          <t>CA_FT_High_Diesel_CCS_99_Wood</t>
        </is>
      </c>
      <c r="C148" t="inlineStr">
        <is>
          <t>Biomass_Wood</t>
        </is>
      </c>
      <c r="D148" t="n">
        <v>0</v>
      </c>
      <c r="E148" t="n">
        <v>3.5965</v>
      </c>
      <c r="F148" t="n">
        <v>0.702</v>
      </c>
      <c r="G148" t="n">
        <v>0.7238</v>
      </c>
      <c r="H148" t="n">
        <v>1.4338</v>
      </c>
      <c r="J148" t="n">
        <v>1.843</v>
      </c>
      <c r="K148" t="n">
        <v>1.130448309316845</v>
      </c>
      <c r="L148" t="n">
        <v>0.0053381965777044</v>
      </c>
      <c r="M148" t="n">
        <v>644392</v>
      </c>
      <c r="N148" t="n">
        <v>646477.4399999999</v>
      </c>
      <c r="O148" t="n">
        <v>4.256</v>
      </c>
      <c r="Q148" t="n">
        <v>110.892214</v>
      </c>
      <c r="R148" t="n">
        <v>-6.493396</v>
      </c>
      <c r="S148" t="n">
        <v>160</v>
      </c>
      <c r="T148" t="n">
        <v>1539.150891</v>
      </c>
      <c r="U148" t="n">
        <v>162.083504</v>
      </c>
      <c r="V148" t="n">
        <v>140.323815</v>
      </c>
      <c r="W148" t="n">
        <v>36.566419</v>
      </c>
    </row>
    <row r="149">
      <c r="B149" t="inlineStr">
        <is>
          <t>NW_FT_High_Diesel_CCS_99_Wood</t>
        </is>
      </c>
      <c r="C149" t="inlineStr">
        <is>
          <t>Biomass_Wood</t>
        </is>
      </c>
      <c r="D149" t="n">
        <v>0</v>
      </c>
      <c r="E149" t="n">
        <v>3.5965</v>
      </c>
      <c r="F149" t="n">
        <v>0.7006</v>
      </c>
      <c r="G149" t="n">
        <v>0.7223000000000001</v>
      </c>
      <c r="H149" t="n">
        <v>1.4309</v>
      </c>
      <c r="J149" t="n">
        <v>1.818</v>
      </c>
      <c r="K149" t="n">
        <v>1.107020126652967</v>
      </c>
      <c r="L149" t="n">
        <v>0.0052275641467587</v>
      </c>
      <c r="M149" t="n">
        <v>644392</v>
      </c>
      <c r="N149" t="n">
        <v>646477.4399999999</v>
      </c>
      <c r="O149" t="n">
        <v>4.256</v>
      </c>
      <c r="Q149" t="n">
        <v>110.892214</v>
      </c>
      <c r="R149" t="n">
        <v>-7.381741</v>
      </c>
      <c r="S149" t="n">
        <v>160</v>
      </c>
      <c r="T149" t="n">
        <v>140.805445</v>
      </c>
      <c r="U149" t="n">
        <v>159.375106</v>
      </c>
      <c r="V149" t="n">
        <v>121.714108</v>
      </c>
      <c r="W149" t="n">
        <v>26.767046</v>
      </c>
    </row>
    <row r="150">
      <c r="B150" t="inlineStr">
        <is>
          <t>SW_FT_High_Diesel_CCS_99_Wood</t>
        </is>
      </c>
      <c r="C150" t="inlineStr">
        <is>
          <t>Biomass_Wood</t>
        </is>
      </c>
      <c r="D150" t="n">
        <v>0</v>
      </c>
      <c r="E150" t="n">
        <v>3.5965</v>
      </c>
      <c r="F150" t="n">
        <v>0.6941000000000001</v>
      </c>
      <c r="G150" t="n">
        <v>0.7155</v>
      </c>
      <c r="H150" t="n">
        <v>1.4175</v>
      </c>
      <c r="J150" t="n">
        <v>1.798</v>
      </c>
      <c r="K150" t="n">
        <v>1.093658554665517</v>
      </c>
      <c r="L150" t="n">
        <v>0.0051644682075032</v>
      </c>
      <c r="M150" t="n">
        <v>644392</v>
      </c>
      <c r="N150" t="n">
        <v>646477.4399999999</v>
      </c>
      <c r="O150" t="n">
        <v>4.256</v>
      </c>
      <c r="Q150" t="n">
        <v>110.892214</v>
      </c>
      <c r="R150" t="n">
        <v>-16.594224</v>
      </c>
      <c r="S150" t="n">
        <v>160</v>
      </c>
      <c r="T150" t="n">
        <v>125.807546</v>
      </c>
      <c r="U150" t="n">
        <v>143.289826</v>
      </c>
      <c r="V150" t="n">
        <v>114.17137</v>
      </c>
      <c r="W150" t="n">
        <v>28.012186</v>
      </c>
    </row>
    <row r="151">
      <c r="B151" t="inlineStr">
        <is>
          <t>TX_FT_High_Diesel_CCS_99_Wood</t>
        </is>
      </c>
      <c r="C151" t="inlineStr">
        <is>
          <t>Biomass_Wood</t>
        </is>
      </c>
      <c r="D151" t="n">
        <v>0</v>
      </c>
      <c r="E151" t="n">
        <v>3.5965</v>
      </c>
      <c r="F151" t="n">
        <v>0.6886</v>
      </c>
      <c r="G151" t="n">
        <v>0.7099</v>
      </c>
      <c r="H151" t="n">
        <v>1.4064</v>
      </c>
      <c r="J151" t="n">
        <v>1.821</v>
      </c>
      <c r="K151" t="n">
        <v>1.122004144675975</v>
      </c>
      <c r="L151" t="n">
        <v>0.0052983215914569</v>
      </c>
      <c r="M151" t="n">
        <v>644392</v>
      </c>
      <c r="N151" t="n">
        <v>646477.4399999999</v>
      </c>
      <c r="O151" t="n">
        <v>4.256</v>
      </c>
      <c r="Q151" t="n">
        <v>110.892214</v>
      </c>
      <c r="R151" t="n">
        <v>-21.499827</v>
      </c>
      <c r="S151" t="n">
        <v>160</v>
      </c>
      <c r="T151" t="n">
        <v>140.297617</v>
      </c>
      <c r="U151" t="n">
        <v>160.374377</v>
      </c>
      <c r="V151" t="n">
        <v>113.606838</v>
      </c>
      <c r="W151" t="n">
        <v>20.240713</v>
      </c>
    </row>
    <row r="152">
      <c r="B152" t="inlineStr">
        <is>
          <t>NCEN_FT_High_Diesel_CCS_99_Wood</t>
        </is>
      </c>
      <c r="C152" t="inlineStr">
        <is>
          <t>Biomass_Wood</t>
        </is>
      </c>
      <c r="D152" t="n">
        <v>0</v>
      </c>
      <c r="E152" t="n">
        <v>3.5965</v>
      </c>
      <c r="F152" t="n">
        <v>0.6912</v>
      </c>
      <c r="G152" t="n">
        <v>0.7126</v>
      </c>
      <c r="H152" t="n">
        <v>1.4116</v>
      </c>
      <c r="J152" t="n">
        <v>1.802</v>
      </c>
      <c r="K152" t="n">
        <v>1.100548389337761</v>
      </c>
      <c r="L152" t="n">
        <v>0.0051970033456118</v>
      </c>
      <c r="M152" t="n">
        <v>644392</v>
      </c>
      <c r="N152" t="n">
        <v>646477.4399999999</v>
      </c>
      <c r="O152" t="n">
        <v>4.256</v>
      </c>
      <c r="Q152" t="n">
        <v>110.892214</v>
      </c>
      <c r="R152" t="n">
        <v>-41.711711</v>
      </c>
      <c r="S152" t="n">
        <v>160</v>
      </c>
      <c r="T152" t="n">
        <v>106.368089</v>
      </c>
      <c r="U152" t="n">
        <v>117.804824</v>
      </c>
      <c r="V152" t="n">
        <v>93.32494199999999</v>
      </c>
      <c r="W152" t="n">
        <v>30.728803</v>
      </c>
    </row>
    <row r="153">
      <c r="B153" t="inlineStr">
        <is>
          <t>CEN_FT_High_Diesel_CCS_99_Wood</t>
        </is>
      </c>
      <c r="C153" t="inlineStr">
        <is>
          <t>Biomass_Wood</t>
        </is>
      </c>
      <c r="D153" t="n">
        <v>0</v>
      </c>
      <c r="E153" t="n">
        <v>3.5965</v>
      </c>
      <c r="F153" t="n">
        <v>0.6915</v>
      </c>
      <c r="G153" t="n">
        <v>0.7129</v>
      </c>
      <c r="H153" t="n">
        <v>1.4123</v>
      </c>
      <c r="J153" t="n">
        <v>1.802</v>
      </c>
      <c r="K153" t="n">
        <v>1.100184810003731</v>
      </c>
      <c r="L153" t="n">
        <v>0.0051952864533483</v>
      </c>
      <c r="M153" t="n">
        <v>644392</v>
      </c>
      <c r="N153" t="n">
        <v>646477.4399999999</v>
      </c>
      <c r="O153" t="n">
        <v>4.256</v>
      </c>
      <c r="Q153" t="n">
        <v>110.892214</v>
      </c>
      <c r="R153" t="n">
        <v>-31.698788</v>
      </c>
      <c r="S153" t="n">
        <v>160</v>
      </c>
      <c r="T153" t="n">
        <v>112.646846</v>
      </c>
      <c r="U153" t="n">
        <v>129.719823</v>
      </c>
      <c r="V153" t="n">
        <v>101.234661</v>
      </c>
      <c r="W153" t="n">
        <v>25.375037</v>
      </c>
    </row>
    <row r="154">
      <c r="B154" t="inlineStr">
        <is>
          <t>SE_FT_High_Diesel_CCS_99_Wood</t>
        </is>
      </c>
      <c r="C154" t="inlineStr">
        <is>
          <t>Biomass_Wood</t>
        </is>
      </c>
      <c r="D154" t="n">
        <v>0</v>
      </c>
      <c r="E154" t="n">
        <v>3.5965</v>
      </c>
      <c r="F154" t="n">
        <v>0.6941000000000001</v>
      </c>
      <c r="G154" t="n">
        <v>0.7155</v>
      </c>
      <c r="H154" t="n">
        <v>1.4175</v>
      </c>
      <c r="J154" t="n">
        <v>1.821</v>
      </c>
      <c r="K154" t="n">
        <v>1.116550454665517</v>
      </c>
      <c r="L154" t="n">
        <v>0.0052725682075032</v>
      </c>
      <c r="M154" t="n">
        <v>644392</v>
      </c>
      <c r="N154" t="n">
        <v>646477.4399999999</v>
      </c>
      <c r="O154" t="n">
        <v>4.256</v>
      </c>
      <c r="Q154" t="n">
        <v>110.892214</v>
      </c>
      <c r="R154" t="n">
        <v>-47.684613</v>
      </c>
      <c r="S154" t="n">
        <v>160</v>
      </c>
      <c r="T154" t="n">
        <v>100.406702</v>
      </c>
      <c r="U154" t="n">
        <v>115.539531</v>
      </c>
      <c r="V154" t="n">
        <v>89.577806</v>
      </c>
      <c r="W154" t="n">
        <v>38.228295</v>
      </c>
    </row>
    <row r="155">
      <c r="B155" t="inlineStr">
        <is>
          <t>MIDAT_FT_High_Diesel_CCS_99_Wood</t>
        </is>
      </c>
      <c r="C155" t="inlineStr">
        <is>
          <t>Biomass_Wood</t>
        </is>
      </c>
      <c r="D155" t="n">
        <v>0</v>
      </c>
      <c r="E155" t="n">
        <v>3.5965</v>
      </c>
      <c r="F155" t="n">
        <v>0.6893</v>
      </c>
      <c r="G155" t="n">
        <v>0.7107</v>
      </c>
      <c r="H155" t="n">
        <v>1.4079</v>
      </c>
      <c r="J155" t="n">
        <v>1.806</v>
      </c>
      <c r="K155" t="n">
        <v>1.106347486007914</v>
      </c>
      <c r="L155" t="n">
        <v>0.0052243878069298</v>
      </c>
      <c r="M155" t="n">
        <v>644392</v>
      </c>
      <c r="N155" t="n">
        <v>646477.4399999999</v>
      </c>
      <c r="O155" t="n">
        <v>4.256</v>
      </c>
      <c r="Q155" t="n">
        <v>110.892214</v>
      </c>
      <c r="R155" t="n">
        <v>-54.368796</v>
      </c>
      <c r="S155" t="n">
        <v>160</v>
      </c>
      <c r="T155" t="n">
        <v>101.540719</v>
      </c>
      <c r="U155" t="n">
        <v>109.472766</v>
      </c>
      <c r="V155" t="n">
        <v>90.14609900000001</v>
      </c>
      <c r="W155" t="n">
        <v>39.376329</v>
      </c>
    </row>
    <row r="156">
      <c r="B156" t="inlineStr">
        <is>
          <t>NE_FT_High_Diesel_CCS_99_Wood</t>
        </is>
      </c>
      <c r="C156" t="inlineStr">
        <is>
          <t>Biomass_Wood</t>
        </is>
      </c>
      <c r="D156" t="n">
        <v>0</v>
      </c>
      <c r="E156" t="n">
        <v>3.5965</v>
      </c>
      <c r="F156" t="n">
        <v>0.6850000000000001</v>
      </c>
      <c r="G156" t="n">
        <v>0.7062</v>
      </c>
      <c r="H156" t="n">
        <v>1.399</v>
      </c>
      <c r="J156" t="n">
        <v>1.826</v>
      </c>
      <c r="K156" t="n">
        <v>1.130616438016281</v>
      </c>
      <c r="L156" t="n">
        <v>0.0053389905140928</v>
      </c>
      <c r="M156" t="n">
        <v>644392</v>
      </c>
      <c r="N156" t="n">
        <v>646477.4399999999</v>
      </c>
      <c r="O156" t="n">
        <v>4.256</v>
      </c>
      <c r="Q156" t="n">
        <v>110.892214</v>
      </c>
      <c r="R156" t="n">
        <v>-62.623722</v>
      </c>
      <c r="S156" t="n">
        <v>160</v>
      </c>
      <c r="T156" t="n">
        <v>102.353041</v>
      </c>
      <c r="U156" t="n">
        <v>108.140489</v>
      </c>
      <c r="V156" t="n">
        <v>92.430212</v>
      </c>
      <c r="W156" t="n">
        <v>47.48771</v>
      </c>
    </row>
    <row r="157">
      <c r="B157" t="inlineStr">
        <is>
          <t>CA_FT_High_Diesel_CCS_99_Agri</t>
        </is>
      </c>
      <c r="C157" t="inlineStr">
        <is>
          <t>Biomass_Agri</t>
        </is>
      </c>
      <c r="D157" t="n">
        <v>0</v>
      </c>
      <c r="E157" t="n">
        <v>3.5965</v>
      </c>
      <c r="F157" t="n">
        <v>0.6632</v>
      </c>
      <c r="G157" t="n">
        <v>0.6838</v>
      </c>
      <c r="H157" t="n">
        <v>1.3546</v>
      </c>
      <c r="J157" t="n">
        <v>1.719</v>
      </c>
      <c r="K157" t="n">
        <v>1.045934098058114</v>
      </c>
      <c r="L157" t="n">
        <v>0.0049391040499077</v>
      </c>
      <c r="M157" t="n">
        <v>644392</v>
      </c>
      <c r="N157" t="n">
        <v>646477.4399999999</v>
      </c>
      <c r="O157" t="n">
        <v>4.256</v>
      </c>
      <c r="Q157" t="n">
        <v>110.892214</v>
      </c>
      <c r="R157" t="n">
        <v>-6.493396</v>
      </c>
      <c r="S157" t="n">
        <v>160</v>
      </c>
      <c r="T157" t="n">
        <v>1539.150891</v>
      </c>
      <c r="U157" t="n">
        <v>162.083504</v>
      </c>
      <c r="V157" t="n">
        <v>140.323815</v>
      </c>
      <c r="W157" t="n">
        <v>36.566419</v>
      </c>
    </row>
    <row r="158">
      <c r="B158" t="inlineStr">
        <is>
          <t>NW_FT_High_Diesel_CCS_99_Agri</t>
        </is>
      </c>
      <c r="C158" t="inlineStr">
        <is>
          <t>Biomass_Agri</t>
        </is>
      </c>
      <c r="D158" t="n">
        <v>0</v>
      </c>
      <c r="E158" t="n">
        <v>3.5965</v>
      </c>
      <c r="F158" t="n">
        <v>0.6063</v>
      </c>
      <c r="G158" t="n">
        <v>0.6251</v>
      </c>
      <c r="H158" t="n">
        <v>1.2383</v>
      </c>
      <c r="J158" t="n">
        <v>1.664</v>
      </c>
      <c r="K158" t="n">
        <v>1.048274553500912</v>
      </c>
      <c r="L158" t="n">
        <v>0.0049501561352901</v>
      </c>
      <c r="M158" t="n">
        <v>644392</v>
      </c>
      <c r="N158" t="n">
        <v>646477.4399999999</v>
      </c>
      <c r="O158" t="n">
        <v>4.256</v>
      </c>
      <c r="Q158" t="n">
        <v>110.892214</v>
      </c>
      <c r="R158" t="n">
        <v>-7.381741</v>
      </c>
      <c r="S158" t="n">
        <v>160</v>
      </c>
      <c r="T158" t="n">
        <v>140.805445</v>
      </c>
      <c r="U158" t="n">
        <v>159.375106</v>
      </c>
      <c r="V158" t="n">
        <v>121.714108</v>
      </c>
      <c r="W158" t="n">
        <v>26.767046</v>
      </c>
    </row>
    <row r="159">
      <c r="B159" t="inlineStr">
        <is>
          <t>SW_FT_High_Diesel_CCS_99_Agri</t>
        </is>
      </c>
      <c r="C159" t="inlineStr">
        <is>
          <t>Biomass_Agri</t>
        </is>
      </c>
      <c r="D159" t="n">
        <v>0</v>
      </c>
      <c r="E159" t="n">
        <v>3.5965</v>
      </c>
      <c r="F159" t="n">
        <v>0.6175</v>
      </c>
      <c r="G159" t="n">
        <v>0.6367</v>
      </c>
      <c r="H159" t="n">
        <v>1.2613</v>
      </c>
      <c r="J159" t="n">
        <v>1.687</v>
      </c>
      <c r="K159" t="n">
        <v>1.059895494145964</v>
      </c>
      <c r="L159" t="n">
        <v>0.0050050324751191</v>
      </c>
      <c r="M159" t="n">
        <v>644392</v>
      </c>
      <c r="N159" t="n">
        <v>646477.4399999999</v>
      </c>
      <c r="O159" t="n">
        <v>4.256</v>
      </c>
      <c r="Q159" t="n">
        <v>110.892214</v>
      </c>
      <c r="R159" t="n">
        <v>-16.594224</v>
      </c>
      <c r="S159" t="n">
        <v>160</v>
      </c>
      <c r="T159" t="n">
        <v>125.807546</v>
      </c>
      <c r="U159" t="n">
        <v>143.289826</v>
      </c>
      <c r="V159" t="n">
        <v>114.17137</v>
      </c>
      <c r="W159" t="n">
        <v>28.012186</v>
      </c>
    </row>
    <row r="160">
      <c r="B160" t="inlineStr">
        <is>
          <t>TX_FT_High_Diesel_CCS_99_Agri</t>
        </is>
      </c>
      <c r="C160" t="inlineStr">
        <is>
          <t>Biomass_Agri</t>
        </is>
      </c>
      <c r="D160" t="n">
        <v>0</v>
      </c>
      <c r="E160" t="n">
        <v>3.5965</v>
      </c>
      <c r="F160" t="n">
        <v>0.6016</v>
      </c>
      <c r="G160" t="n">
        <v>0.6202</v>
      </c>
      <c r="H160" t="n">
        <v>1.2287</v>
      </c>
      <c r="J160" t="n">
        <v>1.633</v>
      </c>
      <c r="K160" t="n">
        <v>1.022146784843309</v>
      </c>
      <c r="L160" t="n">
        <v>0.0048267757347167</v>
      </c>
      <c r="M160" t="n">
        <v>644392</v>
      </c>
      <c r="N160" t="n">
        <v>646477.4399999999</v>
      </c>
      <c r="O160" t="n">
        <v>4.256</v>
      </c>
      <c r="Q160" t="n">
        <v>110.892214</v>
      </c>
      <c r="R160" t="n">
        <v>-21.499827</v>
      </c>
      <c r="S160" t="n">
        <v>160</v>
      </c>
      <c r="T160" t="n">
        <v>140.297617</v>
      </c>
      <c r="U160" t="n">
        <v>160.374377</v>
      </c>
      <c r="V160" t="n">
        <v>113.606838</v>
      </c>
      <c r="W160" t="n">
        <v>20.240713</v>
      </c>
    </row>
    <row r="161">
      <c r="B161" t="inlineStr">
        <is>
          <t>NCEN_FT_High_Diesel_CCS_99_Agri</t>
        </is>
      </c>
      <c r="C161" t="inlineStr">
        <is>
          <t>Biomass_Agri</t>
        </is>
      </c>
      <c r="D161" t="n">
        <v>0</v>
      </c>
      <c r="E161" t="n">
        <v>3.5965</v>
      </c>
      <c r="F161" t="n">
        <v>0.6273</v>
      </c>
      <c r="G161" t="n">
        <v>0.6468</v>
      </c>
      <c r="H161" t="n">
        <v>1.2812</v>
      </c>
      <c r="J161" t="n">
        <v>1.71</v>
      </c>
      <c r="K161" t="n">
        <v>1.072970752127139</v>
      </c>
      <c r="L161" t="n">
        <v>0.0050667763840024</v>
      </c>
      <c r="M161" t="n">
        <v>644392</v>
      </c>
      <c r="N161" t="n">
        <v>646477.4399999999</v>
      </c>
      <c r="O161" t="n">
        <v>4.256</v>
      </c>
      <c r="Q161" t="n">
        <v>110.892214</v>
      </c>
      <c r="R161" t="n">
        <v>-41.711711</v>
      </c>
      <c r="S161" t="n">
        <v>160</v>
      </c>
      <c r="T161" t="n">
        <v>106.368089</v>
      </c>
      <c r="U161" t="n">
        <v>117.804824</v>
      </c>
      <c r="V161" t="n">
        <v>93.32494199999999</v>
      </c>
      <c r="W161" t="n">
        <v>30.728803</v>
      </c>
    </row>
    <row r="162">
      <c r="B162" t="inlineStr">
        <is>
          <t>CEN_FT_High_Diesel_CCS_99_Agri</t>
        </is>
      </c>
      <c r="C162" t="inlineStr">
        <is>
          <t>Biomass_Agri</t>
        </is>
      </c>
      <c r="D162" t="n">
        <v>0</v>
      </c>
      <c r="E162" t="n">
        <v>3.5965</v>
      </c>
      <c r="F162" t="n">
        <v>0.6226</v>
      </c>
      <c r="G162" t="n">
        <v>0.6419</v>
      </c>
      <c r="H162" t="n">
        <v>1.2716</v>
      </c>
      <c r="J162" t="n">
        <v>1.7</v>
      </c>
      <c r="K162" t="n">
        <v>1.067744283469536</v>
      </c>
      <c r="L162" t="n">
        <v>0.0050420959834289</v>
      </c>
      <c r="M162" t="n">
        <v>644392</v>
      </c>
      <c r="N162" t="n">
        <v>646477.4399999999</v>
      </c>
      <c r="O162" t="n">
        <v>4.256</v>
      </c>
      <c r="Q162" t="n">
        <v>110.892214</v>
      </c>
      <c r="R162" t="n">
        <v>-31.698788</v>
      </c>
      <c r="S162" t="n">
        <v>160</v>
      </c>
      <c r="T162" t="n">
        <v>112.646846</v>
      </c>
      <c r="U162" t="n">
        <v>129.719823</v>
      </c>
      <c r="V162" t="n">
        <v>101.234661</v>
      </c>
      <c r="W162" t="n">
        <v>25.375037</v>
      </c>
    </row>
    <row r="163">
      <c r="B163" t="inlineStr">
        <is>
          <t>SE_FT_High_Diesel_CCS_99_Agri</t>
        </is>
      </c>
      <c r="C163" t="inlineStr">
        <is>
          <t>Biomass_Agri</t>
        </is>
      </c>
      <c r="D163" t="n">
        <v>0</v>
      </c>
      <c r="E163" t="n">
        <v>3.5965</v>
      </c>
      <c r="F163" t="n">
        <v>0.6248</v>
      </c>
      <c r="G163" t="n">
        <v>0.6441</v>
      </c>
      <c r="H163" t="n">
        <v>1.2761</v>
      </c>
      <c r="J163" t="n">
        <v>1.689</v>
      </c>
      <c r="K163" t="n">
        <v>1.054614507465353</v>
      </c>
      <c r="L163" t="n">
        <v>0.0049800946298474</v>
      </c>
      <c r="M163" t="n">
        <v>644392</v>
      </c>
      <c r="N163" t="n">
        <v>646477.4399999999</v>
      </c>
      <c r="O163" t="n">
        <v>4.256</v>
      </c>
      <c r="Q163" t="n">
        <v>110.892214</v>
      </c>
      <c r="R163" t="n">
        <v>-47.684613</v>
      </c>
      <c r="S163" t="n">
        <v>160</v>
      </c>
      <c r="T163" t="n">
        <v>100.406702</v>
      </c>
      <c r="U163" t="n">
        <v>115.539531</v>
      </c>
      <c r="V163" t="n">
        <v>89.577806</v>
      </c>
      <c r="W163" t="n">
        <v>38.228295</v>
      </c>
    </row>
    <row r="164">
      <c r="B164" t="inlineStr">
        <is>
          <t>MIDAT_FT_High_Diesel_CCS_99_Agri</t>
        </is>
      </c>
      <c r="C164" t="inlineStr">
        <is>
          <t>Biomass_Agri</t>
        </is>
      </c>
      <c r="D164" t="n">
        <v>0</v>
      </c>
      <c r="E164" t="n">
        <v>3.5965</v>
      </c>
      <c r="F164" t="n">
        <v>0.6266</v>
      </c>
      <c r="G164" t="n">
        <v>0.646</v>
      </c>
      <c r="H164" t="n">
        <v>1.2798</v>
      </c>
      <c r="J164" t="n">
        <v>1.708</v>
      </c>
      <c r="K164" t="n">
        <v>1.0717073107952</v>
      </c>
      <c r="L164" t="n">
        <v>0.0050608101685295</v>
      </c>
      <c r="M164" t="n">
        <v>644392</v>
      </c>
      <c r="N164" t="n">
        <v>646477.4399999999</v>
      </c>
      <c r="O164" t="n">
        <v>4.256</v>
      </c>
      <c r="Q164" t="n">
        <v>110.892214</v>
      </c>
      <c r="R164" t="n">
        <v>-54.368796</v>
      </c>
      <c r="S164" t="n">
        <v>160</v>
      </c>
      <c r="T164" t="n">
        <v>101.540719</v>
      </c>
      <c r="U164" t="n">
        <v>109.472766</v>
      </c>
      <c r="V164" t="n">
        <v>90.14609900000001</v>
      </c>
      <c r="W164" t="n">
        <v>39.376329</v>
      </c>
    </row>
    <row r="165">
      <c r="B165" t="inlineStr">
        <is>
          <t>NE_FT_High_Diesel_CCS_99_Agri</t>
        </is>
      </c>
      <c r="C165" t="inlineStr">
        <is>
          <t>Biomass_Agri</t>
        </is>
      </c>
      <c r="D165" t="n">
        <v>0</v>
      </c>
      <c r="E165" t="n">
        <v>3.5965</v>
      </c>
      <c r="F165" t="n">
        <v>0.6339</v>
      </c>
      <c r="G165" t="n">
        <v>0.6535</v>
      </c>
      <c r="H165" t="n">
        <v>1.2946</v>
      </c>
      <c r="J165" t="n">
        <v>1.715</v>
      </c>
      <c r="K165" t="n">
        <v>1.071402824114589</v>
      </c>
      <c r="L165" t="n">
        <v>0.0050593723232579</v>
      </c>
      <c r="M165" t="n">
        <v>644392</v>
      </c>
      <c r="N165" t="n">
        <v>646477.4399999999</v>
      </c>
      <c r="O165" t="n">
        <v>4.256</v>
      </c>
      <c r="Q165" t="n">
        <v>110.892214</v>
      </c>
      <c r="R165" t="n">
        <v>-62.623722</v>
      </c>
      <c r="S165" t="n">
        <v>160</v>
      </c>
      <c r="T165" t="n">
        <v>102.353041</v>
      </c>
      <c r="U165" t="n">
        <v>108.140489</v>
      </c>
      <c r="V165" t="n">
        <v>92.430212</v>
      </c>
      <c r="W165" t="n">
        <v>47.48771</v>
      </c>
    </row>
    <row r="166">
      <c r="B166" t="inlineStr">
        <is>
          <t>CA_FT_High_Jetfuel_CCS_75_Herb</t>
        </is>
      </c>
      <c r="C166" t="inlineStr">
        <is>
          <t>Biomass_Herb</t>
        </is>
      </c>
      <c r="D166" t="n">
        <v>0.7744</v>
      </c>
      <c r="E166" t="n">
        <v>0</v>
      </c>
      <c r="F166" t="n">
        <v>0.3154</v>
      </c>
      <c r="G166" t="n">
        <v>1.4051</v>
      </c>
      <c r="H166" t="n">
        <v>0</v>
      </c>
      <c r="J166" t="n">
        <v>1.721</v>
      </c>
      <c r="K166" t="n">
        <v>0.9701820646661896</v>
      </c>
      <c r="L166" t="n">
        <v>0.3277203629808867</v>
      </c>
      <c r="M166" t="n">
        <v>756402.08</v>
      </c>
      <c r="N166" t="n">
        <v>344508.64</v>
      </c>
      <c r="O166" t="n">
        <v>49.224</v>
      </c>
      <c r="Q166" t="n">
        <v>110.892214</v>
      </c>
      <c r="R166" t="n">
        <v>-6.493396</v>
      </c>
      <c r="S166" t="n">
        <v>160</v>
      </c>
      <c r="T166" t="n">
        <v>1539.150891</v>
      </c>
      <c r="U166" t="n">
        <v>162.083504</v>
      </c>
      <c r="V166" t="n">
        <v>140.323815</v>
      </c>
      <c r="W166" t="n">
        <v>36.566419</v>
      </c>
    </row>
    <row r="167">
      <c r="B167" t="inlineStr">
        <is>
          <t>NW_FT_High_Jetfuel_CCS_75_Herb</t>
        </is>
      </c>
      <c r="C167" t="inlineStr">
        <is>
          <t>Biomass_Herb</t>
        </is>
      </c>
      <c r="D167" t="n">
        <v>0.7761</v>
      </c>
      <c r="E167" t="n">
        <v>0</v>
      </c>
      <c r="F167" t="n">
        <v>0.316</v>
      </c>
      <c r="G167" t="n">
        <v>1.4082</v>
      </c>
      <c r="H167" t="n">
        <v>0</v>
      </c>
      <c r="J167" t="n">
        <v>1.726</v>
      </c>
      <c r="K167" t="n">
        <v>0.9732240936704032</v>
      </c>
      <c r="L167" t="n">
        <v>0.3287479379956879</v>
      </c>
      <c r="M167" t="n">
        <v>756402.08</v>
      </c>
      <c r="N167" t="n">
        <v>344508.64</v>
      </c>
      <c r="O167" t="n">
        <v>49.224</v>
      </c>
      <c r="Q167" t="n">
        <v>110.892214</v>
      </c>
      <c r="R167" t="n">
        <v>-7.381741</v>
      </c>
      <c r="S167" t="n">
        <v>160</v>
      </c>
      <c r="T167" t="n">
        <v>140.805445</v>
      </c>
      <c r="U167" t="n">
        <v>159.375106</v>
      </c>
      <c r="V167" t="n">
        <v>121.714108</v>
      </c>
      <c r="W167" t="n">
        <v>26.767046</v>
      </c>
    </row>
    <row r="168">
      <c r="B168" t="inlineStr">
        <is>
          <t>SW_FT_High_Jetfuel_CCS_75_Herb</t>
        </is>
      </c>
      <c r="C168" t="inlineStr">
        <is>
          <t>Biomass_Herb</t>
        </is>
      </c>
      <c r="D168" t="n">
        <v>0.771</v>
      </c>
      <c r="E168" t="n">
        <v>0</v>
      </c>
      <c r="F168" t="n">
        <v>0.314</v>
      </c>
      <c r="G168" t="n">
        <v>1.3989</v>
      </c>
      <c r="H168" t="n">
        <v>0</v>
      </c>
      <c r="J168" t="n">
        <v>1.71</v>
      </c>
      <c r="K168" t="n">
        <v>0.963350506657762</v>
      </c>
      <c r="L168" t="n">
        <v>0.325412712951284</v>
      </c>
      <c r="M168" t="n">
        <v>756402.08</v>
      </c>
      <c r="N168" t="n">
        <v>344508.64</v>
      </c>
      <c r="O168" t="n">
        <v>49.224</v>
      </c>
      <c r="Q168" t="n">
        <v>110.892214</v>
      </c>
      <c r="R168" t="n">
        <v>-16.594224</v>
      </c>
      <c r="S168" t="n">
        <v>160</v>
      </c>
      <c r="T168" t="n">
        <v>125.807546</v>
      </c>
      <c r="U168" t="n">
        <v>143.289826</v>
      </c>
      <c r="V168" t="n">
        <v>114.17137</v>
      </c>
      <c r="W168" t="n">
        <v>28.012186</v>
      </c>
    </row>
    <row r="169">
      <c r="B169" t="inlineStr">
        <is>
          <t>TX_FT_High_Jetfuel_CCS_75_Herb</t>
        </is>
      </c>
      <c r="C169" t="inlineStr">
        <is>
          <t>Biomass_Herb</t>
        </is>
      </c>
      <c r="D169" t="n">
        <v>0.7727000000000001</v>
      </c>
      <c r="E169" t="n">
        <v>0</v>
      </c>
      <c r="F169" t="n">
        <v>0.3147</v>
      </c>
      <c r="G169" t="n">
        <v>1.402</v>
      </c>
      <c r="H169" t="n">
        <v>0</v>
      </c>
      <c r="J169" t="n">
        <v>1.714</v>
      </c>
      <c r="K169" t="n">
        <v>0.9656450356619758</v>
      </c>
      <c r="L169" t="n">
        <v>0.3261877879660854</v>
      </c>
      <c r="M169" t="n">
        <v>756402.08</v>
      </c>
      <c r="N169" t="n">
        <v>344508.64</v>
      </c>
      <c r="O169" t="n">
        <v>49.224</v>
      </c>
      <c r="Q169" t="n">
        <v>110.892214</v>
      </c>
      <c r="R169" t="n">
        <v>-21.499827</v>
      </c>
      <c r="S169" t="n">
        <v>160</v>
      </c>
      <c r="T169" t="n">
        <v>140.297617</v>
      </c>
      <c r="U169" t="n">
        <v>160.374377</v>
      </c>
      <c r="V169" t="n">
        <v>113.606838</v>
      </c>
      <c r="W169" t="n">
        <v>20.240713</v>
      </c>
    </row>
    <row r="170">
      <c r="B170" t="inlineStr">
        <is>
          <t>NCEN_FT_High_Jetfuel_CCS_75_Herb</t>
        </is>
      </c>
      <c r="C170" t="inlineStr">
        <is>
          <t>Biomass_Herb</t>
        </is>
      </c>
      <c r="D170" t="n">
        <v>0.7808</v>
      </c>
      <c r="E170" t="n">
        <v>0</v>
      </c>
      <c r="F170" t="n">
        <v>0.318</v>
      </c>
      <c r="G170" t="n">
        <v>1.4167</v>
      </c>
      <c r="H170" t="n">
        <v>0</v>
      </c>
      <c r="J170" t="n">
        <v>1.74</v>
      </c>
      <c r="K170" t="n">
        <v>0.981776548431991</v>
      </c>
      <c r="L170" t="n">
        <v>0.3316368942863915</v>
      </c>
      <c r="M170" t="n">
        <v>756402.08</v>
      </c>
      <c r="N170" t="n">
        <v>344508.64</v>
      </c>
      <c r="O170" t="n">
        <v>49.224</v>
      </c>
      <c r="Q170" t="n">
        <v>110.892214</v>
      </c>
      <c r="R170" t="n">
        <v>-41.711711</v>
      </c>
      <c r="S170" t="n">
        <v>160</v>
      </c>
      <c r="T170" t="n">
        <v>106.368089</v>
      </c>
      <c r="U170" t="n">
        <v>117.804824</v>
      </c>
      <c r="V170" t="n">
        <v>93.32494199999999</v>
      </c>
      <c r="W170" t="n">
        <v>30.728803</v>
      </c>
    </row>
    <row r="171">
      <c r="B171" t="inlineStr">
        <is>
          <t>CEN_FT_High_Jetfuel_CCS_75_Herb</t>
        </is>
      </c>
      <c r="C171" t="inlineStr">
        <is>
          <t>Biomass_Herb</t>
        </is>
      </c>
      <c r="D171" t="n">
        <v>0.7761</v>
      </c>
      <c r="E171" t="n">
        <v>0</v>
      </c>
      <c r="F171" t="n">
        <v>0.316</v>
      </c>
      <c r="G171" t="n">
        <v>1.4082</v>
      </c>
      <c r="H171" t="n">
        <v>0</v>
      </c>
      <c r="J171" t="n">
        <v>1.723</v>
      </c>
      <c r="K171" t="n">
        <v>0.9709815936704032</v>
      </c>
      <c r="L171" t="n">
        <v>0.3279904379956879</v>
      </c>
      <c r="M171" t="n">
        <v>756402.08</v>
      </c>
      <c r="N171" t="n">
        <v>344508.64</v>
      </c>
      <c r="O171" t="n">
        <v>49.224</v>
      </c>
      <c r="Q171" t="n">
        <v>110.892214</v>
      </c>
      <c r="R171" t="n">
        <v>-31.698788</v>
      </c>
      <c r="S171" t="n">
        <v>160</v>
      </c>
      <c r="T171" t="n">
        <v>112.646846</v>
      </c>
      <c r="U171" t="n">
        <v>129.719823</v>
      </c>
      <c r="V171" t="n">
        <v>101.234661</v>
      </c>
      <c r="W171" t="n">
        <v>25.375037</v>
      </c>
    </row>
    <row r="172">
      <c r="B172" t="inlineStr">
        <is>
          <t>SE_FT_High_Jetfuel_CCS_75_Herb</t>
        </is>
      </c>
      <c r="C172" t="inlineStr">
        <is>
          <t>Biomass_Herb</t>
        </is>
      </c>
      <c r="D172" t="n">
        <v>0.7748</v>
      </c>
      <c r="E172" t="n">
        <v>0</v>
      </c>
      <c r="F172" t="n">
        <v>0.3155</v>
      </c>
      <c r="G172" t="n">
        <v>1.4059</v>
      </c>
      <c r="H172" t="n">
        <v>0</v>
      </c>
      <c r="J172" t="n">
        <v>1.717</v>
      </c>
      <c r="K172" t="n">
        <v>0.967018196917243</v>
      </c>
      <c r="L172" t="n">
        <v>0.326651631734587</v>
      </c>
      <c r="M172" t="n">
        <v>756402.08</v>
      </c>
      <c r="N172" t="n">
        <v>344508.64</v>
      </c>
      <c r="O172" t="n">
        <v>49.224</v>
      </c>
      <c r="Q172" t="n">
        <v>110.892214</v>
      </c>
      <c r="R172" t="n">
        <v>-47.684613</v>
      </c>
      <c r="S172" t="n">
        <v>160</v>
      </c>
      <c r="T172" t="n">
        <v>100.406702</v>
      </c>
      <c r="U172" t="n">
        <v>115.539531</v>
      </c>
      <c r="V172" t="n">
        <v>89.577806</v>
      </c>
      <c r="W172" t="n">
        <v>38.228295</v>
      </c>
    </row>
    <row r="173">
      <c r="B173" t="inlineStr">
        <is>
          <t>MIDAT_FT_High_Jetfuel_CCS_75_Herb</t>
        </is>
      </c>
      <c r="C173" t="inlineStr">
        <is>
          <t>Biomass_Herb</t>
        </is>
      </c>
      <c r="D173" t="n">
        <v>0.7791</v>
      </c>
      <c r="E173" t="n">
        <v>0</v>
      </c>
      <c r="F173" t="n">
        <v>0.3173</v>
      </c>
      <c r="G173" t="n">
        <v>1.4136</v>
      </c>
      <c r="H173" t="n">
        <v>0</v>
      </c>
      <c r="J173" t="n">
        <v>1.736</v>
      </c>
      <c r="K173" t="n">
        <v>0.9794820194277772</v>
      </c>
      <c r="L173" t="n">
        <v>0.3308618192715902</v>
      </c>
      <c r="M173" t="n">
        <v>756402.08</v>
      </c>
      <c r="N173" t="n">
        <v>344508.64</v>
      </c>
      <c r="O173" t="n">
        <v>49.224</v>
      </c>
      <c r="Q173" t="n">
        <v>110.892214</v>
      </c>
      <c r="R173" t="n">
        <v>-54.368796</v>
      </c>
      <c r="S173" t="n">
        <v>160</v>
      </c>
      <c r="T173" t="n">
        <v>101.540719</v>
      </c>
      <c r="U173" t="n">
        <v>109.472766</v>
      </c>
      <c r="V173" t="n">
        <v>90.14609900000001</v>
      </c>
      <c r="W173" t="n">
        <v>39.376329</v>
      </c>
    </row>
    <row r="174">
      <c r="B174" t="inlineStr">
        <is>
          <t>NE_FT_High_Jetfuel_CCS_75_Herb</t>
        </is>
      </c>
      <c r="C174" t="inlineStr">
        <is>
          <t>Biomass_Herb</t>
        </is>
      </c>
      <c r="D174" t="n">
        <v>0.7821</v>
      </c>
      <c r="E174" t="n">
        <v>0</v>
      </c>
      <c r="F174" t="n">
        <v>0.3185</v>
      </c>
      <c r="G174" t="n">
        <v>1.419</v>
      </c>
      <c r="H174" t="n">
        <v>0</v>
      </c>
      <c r="J174" t="n">
        <v>1.745</v>
      </c>
      <c r="K174" t="n">
        <v>0.9849924451851512</v>
      </c>
      <c r="L174" t="n">
        <v>0.3327232005474925</v>
      </c>
      <c r="M174" t="n">
        <v>756402.08</v>
      </c>
      <c r="N174" t="n">
        <v>344508.64</v>
      </c>
      <c r="O174" t="n">
        <v>49.224</v>
      </c>
      <c r="Q174" t="n">
        <v>110.892214</v>
      </c>
      <c r="R174" t="n">
        <v>-62.623722</v>
      </c>
      <c r="S174" t="n">
        <v>160</v>
      </c>
      <c r="T174" t="n">
        <v>102.353041</v>
      </c>
      <c r="U174" t="n">
        <v>108.140489</v>
      </c>
      <c r="V174" t="n">
        <v>92.430212</v>
      </c>
      <c r="W174" t="n">
        <v>47.48771</v>
      </c>
    </row>
    <row r="175">
      <c r="B175" t="inlineStr">
        <is>
          <t>CA_FT_High_Jetfuel_CCS_75_Wood</t>
        </is>
      </c>
      <c r="C175" t="inlineStr">
        <is>
          <t>Biomass_Wood</t>
        </is>
      </c>
      <c r="D175" t="n">
        <v>0.8242</v>
      </c>
      <c r="E175" t="n">
        <v>0</v>
      </c>
      <c r="F175" t="n">
        <v>0.3356</v>
      </c>
      <c r="G175" t="n">
        <v>1.4955</v>
      </c>
      <c r="H175" t="n">
        <v>0</v>
      </c>
      <c r="J175" t="n">
        <v>1.843</v>
      </c>
      <c r="K175" t="n">
        <v>1.041034538039441</v>
      </c>
      <c r="L175" t="n">
        <v>0.3516538071638244</v>
      </c>
      <c r="M175" t="n">
        <v>756402.08</v>
      </c>
      <c r="N175" t="n">
        <v>344508.64</v>
      </c>
      <c r="O175" t="n">
        <v>49.224</v>
      </c>
      <c r="Q175" t="n">
        <v>110.892214</v>
      </c>
      <c r="R175" t="n">
        <v>-6.493396</v>
      </c>
      <c r="S175" t="n">
        <v>160</v>
      </c>
      <c r="T175" t="n">
        <v>1539.150891</v>
      </c>
      <c r="U175" t="n">
        <v>162.083504</v>
      </c>
      <c r="V175" t="n">
        <v>140.323815</v>
      </c>
      <c r="W175" t="n">
        <v>36.566419</v>
      </c>
    </row>
    <row r="176">
      <c r="B176" t="inlineStr">
        <is>
          <t>NW_FT_High_Jetfuel_CCS_75_Wood</t>
        </is>
      </c>
      <c r="C176" t="inlineStr">
        <is>
          <t>Biomass_Wood</t>
        </is>
      </c>
      <c r="D176" t="n">
        <v>0.8225</v>
      </c>
      <c r="E176" t="n">
        <v>0</v>
      </c>
      <c r="F176" t="n">
        <v>0.3349</v>
      </c>
      <c r="G176" t="n">
        <v>1.4924</v>
      </c>
      <c r="H176" t="n">
        <v>0</v>
      </c>
      <c r="J176" t="n">
        <v>1.818</v>
      </c>
      <c r="K176" t="n">
        <v>1.023042509035227</v>
      </c>
      <c r="L176" t="n">
        <v>0.3455762321490231</v>
      </c>
      <c r="M176" t="n">
        <v>756402.08</v>
      </c>
      <c r="N176" t="n">
        <v>344508.64</v>
      </c>
      <c r="O176" t="n">
        <v>49.224</v>
      </c>
      <c r="Q176" t="n">
        <v>110.892214</v>
      </c>
      <c r="R176" t="n">
        <v>-7.381741</v>
      </c>
      <c r="S176" t="n">
        <v>160</v>
      </c>
      <c r="T176" t="n">
        <v>140.805445</v>
      </c>
      <c r="U176" t="n">
        <v>159.375106</v>
      </c>
      <c r="V176" t="n">
        <v>121.714108</v>
      </c>
      <c r="W176" t="n">
        <v>26.767046</v>
      </c>
    </row>
    <row r="177">
      <c r="B177" t="inlineStr">
        <is>
          <t>SW_FT_High_Jetfuel_CCS_75_Wood</t>
        </is>
      </c>
      <c r="C177" t="inlineStr">
        <is>
          <t>Biomass_Wood</t>
        </is>
      </c>
      <c r="D177" t="n">
        <v>0.8149</v>
      </c>
      <c r="E177" t="n">
        <v>0</v>
      </c>
      <c r="F177" t="n">
        <v>0.3318</v>
      </c>
      <c r="G177" t="n">
        <v>1.4785</v>
      </c>
      <c r="H177" t="n">
        <v>0</v>
      </c>
      <c r="J177" t="n">
        <v>1.798</v>
      </c>
      <c r="K177" t="n">
        <v>1.011222128516265</v>
      </c>
      <c r="L177" t="n">
        <v>0.3415833945824172</v>
      </c>
      <c r="M177" t="n">
        <v>756402.08</v>
      </c>
      <c r="N177" t="n">
        <v>344508.64</v>
      </c>
      <c r="O177" t="n">
        <v>49.224</v>
      </c>
      <c r="Q177" t="n">
        <v>110.892214</v>
      </c>
      <c r="R177" t="n">
        <v>-16.594224</v>
      </c>
      <c r="S177" t="n">
        <v>160</v>
      </c>
      <c r="T177" t="n">
        <v>125.807546</v>
      </c>
      <c r="U177" t="n">
        <v>143.289826</v>
      </c>
      <c r="V177" t="n">
        <v>114.17137</v>
      </c>
      <c r="W177" t="n">
        <v>28.012186</v>
      </c>
    </row>
    <row r="178">
      <c r="B178" t="inlineStr">
        <is>
          <t>TX_FT_High_Jetfuel_CCS_75_Wood</t>
        </is>
      </c>
      <c r="C178" t="inlineStr">
        <is>
          <t>Biomass_Wood</t>
        </is>
      </c>
      <c r="D178" t="n">
        <v>0.8085</v>
      </c>
      <c r="E178" t="n">
        <v>0</v>
      </c>
      <c r="F178" t="n">
        <v>0.3292</v>
      </c>
      <c r="G178" t="n">
        <v>1.4669</v>
      </c>
      <c r="H178" t="n">
        <v>0</v>
      </c>
      <c r="J178" t="n">
        <v>1.821</v>
      </c>
      <c r="K178" t="n">
        <v>1.031022644750464</v>
      </c>
      <c r="L178" t="n">
        <v>0.3482718632769124</v>
      </c>
      <c r="M178" t="n">
        <v>756402.08</v>
      </c>
      <c r="N178" t="n">
        <v>344508.64</v>
      </c>
      <c r="O178" t="n">
        <v>49.224</v>
      </c>
      <c r="Q178" t="n">
        <v>110.892214</v>
      </c>
      <c r="R178" t="n">
        <v>-21.499827</v>
      </c>
      <c r="S178" t="n">
        <v>160</v>
      </c>
      <c r="T178" t="n">
        <v>140.297617</v>
      </c>
      <c r="U178" t="n">
        <v>160.374377</v>
      </c>
      <c r="V178" t="n">
        <v>113.606838</v>
      </c>
      <c r="W178" t="n">
        <v>20.240713</v>
      </c>
    </row>
    <row r="179">
      <c r="B179" t="inlineStr">
        <is>
          <t>NCEN_FT_High_Jetfuel_CCS_75_Wood</t>
        </is>
      </c>
      <c r="C179" t="inlineStr">
        <is>
          <t>Biomass_Wood</t>
        </is>
      </c>
      <c r="D179" t="n">
        <v>0.8115</v>
      </c>
      <c r="E179" t="n">
        <v>0</v>
      </c>
      <c r="F179" t="n">
        <v>0.3304</v>
      </c>
      <c r="G179" t="n">
        <v>1.4723</v>
      </c>
      <c r="H179" t="n">
        <v>0</v>
      </c>
      <c r="J179" t="n">
        <v>1.802</v>
      </c>
      <c r="K179" t="n">
        <v>1.015603070507838</v>
      </c>
      <c r="L179" t="n">
        <v>0.3430632445528148</v>
      </c>
      <c r="M179" t="n">
        <v>756402.08</v>
      </c>
      <c r="N179" t="n">
        <v>344508.64</v>
      </c>
      <c r="O179" t="n">
        <v>49.224</v>
      </c>
      <c r="Q179" t="n">
        <v>110.892214</v>
      </c>
      <c r="R179" t="n">
        <v>-41.711711</v>
      </c>
      <c r="S179" t="n">
        <v>160</v>
      </c>
      <c r="T179" t="n">
        <v>106.368089</v>
      </c>
      <c r="U179" t="n">
        <v>117.804824</v>
      </c>
      <c r="V179" t="n">
        <v>93.32494199999999</v>
      </c>
      <c r="W179" t="n">
        <v>30.728803</v>
      </c>
    </row>
    <row r="180">
      <c r="B180" t="inlineStr">
        <is>
          <t>CEN_FT_High_Jetfuel_CCS_75_Wood</t>
        </is>
      </c>
      <c r="C180" t="inlineStr">
        <is>
          <t>Biomass_Wood</t>
        </is>
      </c>
      <c r="D180" t="n">
        <v>0.8119</v>
      </c>
      <c r="E180" t="n">
        <v>0</v>
      </c>
      <c r="F180" t="n">
        <v>0.3306</v>
      </c>
      <c r="G180" t="n">
        <v>1.4731</v>
      </c>
      <c r="H180" t="n">
        <v>0</v>
      </c>
      <c r="J180" t="n">
        <v>1.802</v>
      </c>
      <c r="K180" t="n">
        <v>1.015429202758891</v>
      </c>
      <c r="L180" t="n">
        <v>0.343004513306515</v>
      </c>
      <c r="M180" t="n">
        <v>756402.08</v>
      </c>
      <c r="N180" t="n">
        <v>344508.64</v>
      </c>
      <c r="O180" t="n">
        <v>49.224</v>
      </c>
      <c r="Q180" t="n">
        <v>110.892214</v>
      </c>
      <c r="R180" t="n">
        <v>-31.698788</v>
      </c>
      <c r="S180" t="n">
        <v>160</v>
      </c>
      <c r="T180" t="n">
        <v>112.646846</v>
      </c>
      <c r="U180" t="n">
        <v>129.719823</v>
      </c>
      <c r="V180" t="n">
        <v>101.234661</v>
      </c>
      <c r="W180" t="n">
        <v>25.375037</v>
      </c>
    </row>
    <row r="181">
      <c r="B181" t="inlineStr">
        <is>
          <t>SE_FT_High_Jetfuel_CCS_75_Wood</t>
        </is>
      </c>
      <c r="C181" t="inlineStr">
        <is>
          <t>Biomass_Wood</t>
        </is>
      </c>
      <c r="D181" t="n">
        <v>0.8149</v>
      </c>
      <c r="E181" t="n">
        <v>0</v>
      </c>
      <c r="F181" t="n">
        <v>0.3318</v>
      </c>
      <c r="G181" t="n">
        <v>1.4785</v>
      </c>
      <c r="H181" t="n">
        <v>0</v>
      </c>
      <c r="J181" t="n">
        <v>1.821</v>
      </c>
      <c r="K181" t="n">
        <v>1.028414628516265</v>
      </c>
      <c r="L181" t="n">
        <v>0.3473908945824173</v>
      </c>
      <c r="M181" t="n">
        <v>756402.08</v>
      </c>
      <c r="N181" t="n">
        <v>344508.64</v>
      </c>
      <c r="O181" t="n">
        <v>49.224</v>
      </c>
      <c r="Q181" t="n">
        <v>110.892214</v>
      </c>
      <c r="R181" t="n">
        <v>-47.684613</v>
      </c>
      <c r="S181" t="n">
        <v>160</v>
      </c>
      <c r="T181" t="n">
        <v>100.406702</v>
      </c>
      <c r="U181" t="n">
        <v>115.539531</v>
      </c>
      <c r="V181" t="n">
        <v>89.577806</v>
      </c>
      <c r="W181" t="n">
        <v>38.228295</v>
      </c>
    </row>
    <row r="182">
      <c r="B182" t="inlineStr">
        <is>
          <t>MIDAT_FT_High_Jetfuel_CCS_75_Wood</t>
        </is>
      </c>
      <c r="C182" t="inlineStr">
        <is>
          <t>Biomass_Wood</t>
        </is>
      </c>
      <c r="D182" t="n">
        <v>0.8093</v>
      </c>
      <c r="E182" t="n">
        <v>0</v>
      </c>
      <c r="F182" t="n">
        <v>0.3296</v>
      </c>
      <c r="G182" t="n">
        <v>1.4685</v>
      </c>
      <c r="H182" t="n">
        <v>0</v>
      </c>
      <c r="J182" t="n">
        <v>1.806</v>
      </c>
      <c r="K182" t="n">
        <v>1.019462409252571</v>
      </c>
      <c r="L182" t="n">
        <v>0.3443669007843131</v>
      </c>
      <c r="M182" t="n">
        <v>756402.08</v>
      </c>
      <c r="N182" t="n">
        <v>344508.64</v>
      </c>
      <c r="O182" t="n">
        <v>49.224</v>
      </c>
      <c r="Q182" t="n">
        <v>110.892214</v>
      </c>
      <c r="R182" t="n">
        <v>-54.368796</v>
      </c>
      <c r="S182" t="n">
        <v>160</v>
      </c>
      <c r="T182" t="n">
        <v>101.540719</v>
      </c>
      <c r="U182" t="n">
        <v>109.472766</v>
      </c>
      <c r="V182" t="n">
        <v>90.14609900000001</v>
      </c>
      <c r="W182" t="n">
        <v>39.376329</v>
      </c>
    </row>
    <row r="183">
      <c r="B183" t="inlineStr">
        <is>
          <t>NE_FT_High_Jetfuel_CCS_75_Wood</t>
        </is>
      </c>
      <c r="C183" t="inlineStr">
        <is>
          <t>Biomass_Wood</t>
        </is>
      </c>
      <c r="D183" t="n">
        <v>0.8042</v>
      </c>
      <c r="E183" t="n">
        <v>0</v>
      </c>
      <c r="F183" t="n">
        <v>0.3275</v>
      </c>
      <c r="G183" t="n">
        <v>1.4592</v>
      </c>
      <c r="H183" t="n">
        <v>0</v>
      </c>
      <c r="J183" t="n">
        <v>1.826</v>
      </c>
      <c r="K183" t="n">
        <v>1.03649882223993</v>
      </c>
      <c r="L183" t="n">
        <v>0.3501216757399092</v>
      </c>
      <c r="M183" t="n">
        <v>756402.08</v>
      </c>
      <c r="N183" t="n">
        <v>344508.64</v>
      </c>
      <c r="O183" t="n">
        <v>49.224</v>
      </c>
      <c r="Q183" t="n">
        <v>110.892214</v>
      </c>
      <c r="R183" t="n">
        <v>-62.623722</v>
      </c>
      <c r="S183" t="n">
        <v>160</v>
      </c>
      <c r="T183" t="n">
        <v>102.353041</v>
      </c>
      <c r="U183" t="n">
        <v>108.140489</v>
      </c>
      <c r="V183" t="n">
        <v>92.430212</v>
      </c>
      <c r="W183" t="n">
        <v>47.48771</v>
      </c>
    </row>
    <row r="184">
      <c r="B184" t="inlineStr">
        <is>
          <t>CA_FT_High_Jetfuel_CCS_75_Agri</t>
        </is>
      </c>
      <c r="C184" t="inlineStr">
        <is>
          <t>Biomass_Agri</t>
        </is>
      </c>
      <c r="D184" t="n">
        <v>0.7786999999999999</v>
      </c>
      <c r="E184" t="n">
        <v>0</v>
      </c>
      <c r="F184" t="n">
        <v>0.3171</v>
      </c>
      <c r="G184" t="n">
        <v>1.4128</v>
      </c>
      <c r="H184" t="n">
        <v>0</v>
      </c>
      <c r="J184" t="n">
        <v>1.719</v>
      </c>
      <c r="K184" t="n">
        <v>0.9669483871767238</v>
      </c>
      <c r="L184" t="n">
        <v>0.3266280505178899</v>
      </c>
      <c r="M184" t="n">
        <v>756402.08</v>
      </c>
      <c r="N184" t="n">
        <v>344508.64</v>
      </c>
      <c r="O184" t="n">
        <v>49.224</v>
      </c>
      <c r="Q184" t="n">
        <v>110.892214</v>
      </c>
      <c r="R184" t="n">
        <v>-6.493396</v>
      </c>
      <c r="S184" t="n">
        <v>160</v>
      </c>
      <c r="T184" t="n">
        <v>1539.150891</v>
      </c>
      <c r="U184" t="n">
        <v>162.083504</v>
      </c>
      <c r="V184" t="n">
        <v>140.323815</v>
      </c>
      <c r="W184" t="n">
        <v>36.566419</v>
      </c>
    </row>
    <row r="185">
      <c r="B185" t="inlineStr">
        <is>
          <t>NW_FT_High_Jetfuel_CCS_75_Agri</t>
        </is>
      </c>
      <c r="C185" t="inlineStr">
        <is>
          <t>Biomass_Agri</t>
        </is>
      </c>
      <c r="D185" t="n">
        <v>0.7118</v>
      </c>
      <c r="E185" t="n">
        <v>0</v>
      </c>
      <c r="F185" t="n">
        <v>0.2899</v>
      </c>
      <c r="G185" t="n">
        <v>1.2916</v>
      </c>
      <c r="H185" t="n">
        <v>0</v>
      </c>
      <c r="J185" t="n">
        <v>1.664</v>
      </c>
      <c r="K185" t="n">
        <v>0.9531331237613352</v>
      </c>
      <c r="L185" t="n">
        <v>0.3219613561869393</v>
      </c>
      <c r="M185" t="n">
        <v>756402.08</v>
      </c>
      <c r="N185" t="n">
        <v>344508.64</v>
      </c>
      <c r="O185" t="n">
        <v>49.224</v>
      </c>
      <c r="Q185" t="n">
        <v>110.892214</v>
      </c>
      <c r="R185" t="n">
        <v>-7.381741</v>
      </c>
      <c r="S185" t="n">
        <v>160</v>
      </c>
      <c r="T185" t="n">
        <v>140.805445</v>
      </c>
      <c r="U185" t="n">
        <v>159.375106</v>
      </c>
      <c r="V185" t="n">
        <v>121.714108</v>
      </c>
      <c r="W185" t="n">
        <v>26.767046</v>
      </c>
    </row>
    <row r="186">
      <c r="B186" t="inlineStr">
        <is>
          <t>SW_FT_High_Jetfuel_CCS_75_Agri</t>
        </is>
      </c>
      <c r="C186" t="inlineStr">
        <is>
          <t>Biomass_Agri</t>
        </is>
      </c>
      <c r="D186" t="n">
        <v>0.725</v>
      </c>
      <c r="E186" t="n">
        <v>0</v>
      </c>
      <c r="F186" t="n">
        <v>0.2952</v>
      </c>
      <c r="G186" t="n">
        <v>1.3155</v>
      </c>
      <c r="H186" t="n">
        <v>0</v>
      </c>
      <c r="J186" t="n">
        <v>1.687</v>
      </c>
      <c r="K186" t="n">
        <v>0.9649357235439916</v>
      </c>
      <c r="L186" t="n">
        <v>0.3259481875516493</v>
      </c>
      <c r="M186" t="n">
        <v>756402.08</v>
      </c>
      <c r="N186" t="n">
        <v>344508.64</v>
      </c>
      <c r="O186" t="n">
        <v>49.224</v>
      </c>
      <c r="Q186" t="n">
        <v>110.892214</v>
      </c>
      <c r="R186" t="n">
        <v>-16.594224</v>
      </c>
      <c r="S186" t="n">
        <v>160</v>
      </c>
      <c r="T186" t="n">
        <v>125.807546</v>
      </c>
      <c r="U186" t="n">
        <v>143.289826</v>
      </c>
      <c r="V186" t="n">
        <v>114.17137</v>
      </c>
      <c r="W186" t="n">
        <v>28.012186</v>
      </c>
    </row>
    <row r="187">
      <c r="B187" t="inlineStr">
        <is>
          <t>TX_FT_High_Jetfuel_CCS_75_Agri</t>
        </is>
      </c>
      <c r="C187" t="inlineStr">
        <is>
          <t>Biomass_Agri</t>
        </is>
      </c>
      <c r="D187" t="n">
        <v>0.7063</v>
      </c>
      <c r="E187" t="n">
        <v>0</v>
      </c>
      <c r="F187" t="n">
        <v>0.2876</v>
      </c>
      <c r="G187" t="n">
        <v>1.2815</v>
      </c>
      <c r="H187" t="n">
        <v>0</v>
      </c>
      <c r="J187" t="n">
        <v>1.633</v>
      </c>
      <c r="K187" t="n">
        <v>0.9322209044976408</v>
      </c>
      <c r="L187" t="n">
        <v>0.3148973623888351</v>
      </c>
      <c r="M187" t="n">
        <v>756402.08</v>
      </c>
      <c r="N187" t="n">
        <v>344508.64</v>
      </c>
      <c r="O187" t="n">
        <v>49.224</v>
      </c>
      <c r="Q187" t="n">
        <v>110.892214</v>
      </c>
      <c r="R187" t="n">
        <v>-21.499827</v>
      </c>
      <c r="S187" t="n">
        <v>160</v>
      </c>
      <c r="T187" t="n">
        <v>140.297617</v>
      </c>
      <c r="U187" t="n">
        <v>160.374377</v>
      </c>
      <c r="V187" t="n">
        <v>113.606838</v>
      </c>
      <c r="W187" t="n">
        <v>20.240713</v>
      </c>
    </row>
    <row r="188">
      <c r="B188" t="inlineStr">
        <is>
          <t>NCEN_FT_High_Jetfuel_CCS_75_Agri</t>
        </is>
      </c>
      <c r="C188" t="inlineStr">
        <is>
          <t>Biomass_Agri</t>
        </is>
      </c>
      <c r="D188" t="n">
        <v>0.7365</v>
      </c>
      <c r="E188" t="n">
        <v>0</v>
      </c>
      <c r="F188" t="n">
        <v>0.2999</v>
      </c>
      <c r="G188" t="n">
        <v>1.3364</v>
      </c>
      <c r="H188" t="n">
        <v>0</v>
      </c>
      <c r="J188" t="n">
        <v>1.71</v>
      </c>
      <c r="K188" t="n">
        <v>0.977433794322434</v>
      </c>
      <c r="L188" t="n">
        <v>0.3301699439015579</v>
      </c>
      <c r="M188" t="n">
        <v>756402.08</v>
      </c>
      <c r="N188" t="n">
        <v>344508.64</v>
      </c>
      <c r="O188" t="n">
        <v>49.224</v>
      </c>
      <c r="Q188" t="n">
        <v>110.892214</v>
      </c>
      <c r="R188" t="n">
        <v>-41.711711</v>
      </c>
      <c r="S188" t="n">
        <v>160</v>
      </c>
      <c r="T188" t="n">
        <v>106.368089</v>
      </c>
      <c r="U188" t="n">
        <v>117.804824</v>
      </c>
      <c r="V188" t="n">
        <v>93.32494199999999</v>
      </c>
      <c r="W188" t="n">
        <v>30.728803</v>
      </c>
    </row>
    <row r="189">
      <c r="B189" t="inlineStr">
        <is>
          <t>CEN_FT_High_Jetfuel_CCS_75_Agri</t>
        </is>
      </c>
      <c r="C189" t="inlineStr">
        <is>
          <t>Biomass_Agri</t>
        </is>
      </c>
      <c r="D189" t="n">
        <v>0.731</v>
      </c>
      <c r="E189" t="n">
        <v>0</v>
      </c>
      <c r="F189" t="n">
        <v>0.2977</v>
      </c>
      <c r="G189" t="n">
        <v>1.3263</v>
      </c>
      <c r="H189" t="n">
        <v>0</v>
      </c>
      <c r="J189" t="n">
        <v>1.7</v>
      </c>
      <c r="K189" t="n">
        <v>0.9722190750587396</v>
      </c>
      <c r="L189" t="n">
        <v>0.3284084501034537</v>
      </c>
      <c r="M189" t="n">
        <v>756402.08</v>
      </c>
      <c r="N189" t="n">
        <v>344508.64</v>
      </c>
      <c r="O189" t="n">
        <v>49.224</v>
      </c>
      <c r="Q189" t="n">
        <v>110.892214</v>
      </c>
      <c r="R189" t="n">
        <v>-31.698788</v>
      </c>
      <c r="S189" t="n">
        <v>160</v>
      </c>
      <c r="T189" t="n">
        <v>112.646846</v>
      </c>
      <c r="U189" t="n">
        <v>129.719823</v>
      </c>
      <c r="V189" t="n">
        <v>101.234661</v>
      </c>
      <c r="W189" t="n">
        <v>25.375037</v>
      </c>
    </row>
    <row r="190">
      <c r="B190" t="inlineStr">
        <is>
          <t>SE_FT_High_Jetfuel_CCS_75_Agri</t>
        </is>
      </c>
      <c r="C190" t="inlineStr">
        <is>
          <t>Biomass_Agri</t>
        </is>
      </c>
      <c r="D190" t="n">
        <v>0.7335</v>
      </c>
      <c r="E190" t="n">
        <v>0</v>
      </c>
      <c r="F190" t="n">
        <v>0.2987</v>
      </c>
      <c r="G190" t="n">
        <v>1.331</v>
      </c>
      <c r="H190" t="n">
        <v>0</v>
      </c>
      <c r="J190" t="n">
        <v>1.689</v>
      </c>
      <c r="K190" t="n">
        <v>0.96295336856506</v>
      </c>
      <c r="L190" t="n">
        <v>0.3252785626256557</v>
      </c>
      <c r="M190" t="n">
        <v>756402.08</v>
      </c>
      <c r="N190" t="n">
        <v>344508.64</v>
      </c>
      <c r="O190" t="n">
        <v>49.224</v>
      </c>
      <c r="Q190" t="n">
        <v>110.892214</v>
      </c>
      <c r="R190" t="n">
        <v>-47.684613</v>
      </c>
      <c r="S190" t="n">
        <v>160</v>
      </c>
      <c r="T190" t="n">
        <v>100.406702</v>
      </c>
      <c r="U190" t="n">
        <v>115.539531</v>
      </c>
      <c r="V190" t="n">
        <v>89.577806</v>
      </c>
      <c r="W190" t="n">
        <v>38.228295</v>
      </c>
    </row>
    <row r="191">
      <c r="B191" t="inlineStr">
        <is>
          <t>MIDAT_FT_High_Jetfuel_CCS_75_Agri</t>
        </is>
      </c>
      <c r="C191" t="inlineStr">
        <is>
          <t>Biomass_Agri</t>
        </is>
      </c>
      <c r="D191" t="n">
        <v>0.7357</v>
      </c>
      <c r="E191" t="n">
        <v>0</v>
      </c>
      <c r="F191" t="n">
        <v>0.2996</v>
      </c>
      <c r="G191" t="n">
        <v>1.3348</v>
      </c>
      <c r="H191" t="n">
        <v>0</v>
      </c>
      <c r="J191" t="n">
        <v>1.708</v>
      </c>
      <c r="K191" t="n">
        <v>0.9762865298203276</v>
      </c>
      <c r="L191" t="n">
        <v>0.3297824063941573</v>
      </c>
      <c r="M191" t="n">
        <v>756402.08</v>
      </c>
      <c r="N191" t="n">
        <v>344508.64</v>
      </c>
      <c r="O191" t="n">
        <v>49.224</v>
      </c>
      <c r="Q191" t="n">
        <v>110.892214</v>
      </c>
      <c r="R191" t="n">
        <v>-54.368796</v>
      </c>
      <c r="S191" t="n">
        <v>160</v>
      </c>
      <c r="T191" t="n">
        <v>101.540719</v>
      </c>
      <c r="U191" t="n">
        <v>109.472766</v>
      </c>
      <c r="V191" t="n">
        <v>90.14609900000001</v>
      </c>
      <c r="W191" t="n">
        <v>39.376329</v>
      </c>
    </row>
    <row r="192">
      <c r="B192" t="inlineStr">
        <is>
          <t>NE_FT_High_Jetfuel_CCS_75_Agri</t>
        </is>
      </c>
      <c r="C192" t="inlineStr">
        <is>
          <t>Biomass_Agri</t>
        </is>
      </c>
      <c r="D192" t="n">
        <v>0.7442</v>
      </c>
      <c r="E192" t="n">
        <v>0</v>
      </c>
      <c r="F192" t="n">
        <v>0.303</v>
      </c>
      <c r="G192" t="n">
        <v>1.3503</v>
      </c>
      <c r="H192" t="n">
        <v>0</v>
      </c>
      <c r="J192" t="n">
        <v>1.715</v>
      </c>
      <c r="K192" t="n">
        <v>0.978041674841396</v>
      </c>
      <c r="L192" t="n">
        <v>0.3303752814681637</v>
      </c>
      <c r="M192" t="n">
        <v>756402.08</v>
      </c>
      <c r="N192" t="n">
        <v>344508.64</v>
      </c>
      <c r="O192" t="n">
        <v>49.224</v>
      </c>
      <c r="Q192" t="n">
        <v>110.892214</v>
      </c>
      <c r="R192" t="n">
        <v>-62.623722</v>
      </c>
      <c r="S192" t="n">
        <v>160</v>
      </c>
      <c r="T192" t="n">
        <v>102.353041</v>
      </c>
      <c r="U192" t="n">
        <v>108.140489</v>
      </c>
      <c r="V192" t="n">
        <v>92.430212</v>
      </c>
      <c r="W192" t="n">
        <v>47.48771</v>
      </c>
    </row>
    <row r="193">
      <c r="B193" t="inlineStr">
        <is>
          <t>CA_FT_High_Jetfuel_CCS_84_Herb</t>
        </is>
      </c>
      <c r="C193" t="inlineStr">
        <is>
          <t>Biomass_Herb</t>
        </is>
      </c>
      <c r="D193" t="n">
        <v>0.2468</v>
      </c>
      <c r="E193" t="n">
        <v>0</v>
      </c>
      <c r="F193" t="n">
        <v>0.4143</v>
      </c>
      <c r="G193" t="n">
        <v>1.8498</v>
      </c>
      <c r="H193" t="n">
        <v>0</v>
      </c>
      <c r="J193" t="n">
        <v>1.721</v>
      </c>
      <c r="K193" t="n">
        <v>0.9765498087263856</v>
      </c>
      <c r="L193" t="n">
        <v>0.1876726623351136</v>
      </c>
      <c r="M193" t="n">
        <v>784258.72</v>
      </c>
      <c r="N193" t="n">
        <v>351016.96</v>
      </c>
      <c r="O193" t="n">
        <v>50.288</v>
      </c>
      <c r="Q193" t="n">
        <v>110.892214</v>
      </c>
      <c r="R193" t="n">
        <v>-6.493396</v>
      </c>
      <c r="S193" t="n">
        <v>160</v>
      </c>
      <c r="T193" t="n">
        <v>1539.150891</v>
      </c>
      <c r="U193" t="n">
        <v>162.083504</v>
      </c>
      <c r="V193" t="n">
        <v>140.323815</v>
      </c>
      <c r="W193" t="n">
        <v>36.566419</v>
      </c>
    </row>
    <row r="194">
      <c r="B194" t="inlineStr">
        <is>
          <t>NW_FT_High_Jetfuel_CCS_84_Herb</t>
        </is>
      </c>
      <c r="C194" t="inlineStr">
        <is>
          <t>Biomass_Herb</t>
        </is>
      </c>
      <c r="D194" t="n">
        <v>0.2474</v>
      </c>
      <c r="E194" t="n">
        <v>0</v>
      </c>
      <c r="F194" t="n">
        <v>0.4152</v>
      </c>
      <c r="G194" t="n">
        <v>1.8538</v>
      </c>
      <c r="H194" t="n">
        <v>0</v>
      </c>
      <c r="J194" t="n">
        <v>1.726</v>
      </c>
      <c r="K194" t="n">
        <v>0.9797168158923588</v>
      </c>
      <c r="L194" t="n">
        <v>0.1882812955672964</v>
      </c>
      <c r="M194" t="n">
        <v>784258.72</v>
      </c>
      <c r="N194" t="n">
        <v>351016.96</v>
      </c>
      <c r="O194" t="n">
        <v>50.288</v>
      </c>
      <c r="Q194" t="n">
        <v>110.892214</v>
      </c>
      <c r="R194" t="n">
        <v>-7.381741</v>
      </c>
      <c r="S194" t="n">
        <v>160</v>
      </c>
      <c r="T194" t="n">
        <v>140.805445</v>
      </c>
      <c r="U194" t="n">
        <v>159.375106</v>
      </c>
      <c r="V194" t="n">
        <v>121.714108</v>
      </c>
      <c r="W194" t="n">
        <v>26.767046</v>
      </c>
    </row>
    <row r="195">
      <c r="B195" t="inlineStr">
        <is>
          <t>SW_FT_High_Jetfuel_CCS_84_Herb</t>
        </is>
      </c>
      <c r="C195" t="inlineStr">
        <is>
          <t>Biomass_Herb</t>
        </is>
      </c>
      <c r="D195" t="n">
        <v>0.2457</v>
      </c>
      <c r="E195" t="n">
        <v>0</v>
      </c>
      <c r="F195" t="n">
        <v>0.4125</v>
      </c>
      <c r="G195" t="n">
        <v>1.8416</v>
      </c>
      <c r="H195" t="n">
        <v>0</v>
      </c>
      <c r="J195" t="n">
        <v>1.71</v>
      </c>
      <c r="K195" t="n">
        <v>0.9693769943944388</v>
      </c>
      <c r="L195" t="n">
        <v>0.1862941958707481</v>
      </c>
      <c r="M195" t="n">
        <v>784258.72</v>
      </c>
      <c r="N195" t="n">
        <v>351016.96</v>
      </c>
      <c r="O195" t="n">
        <v>50.288</v>
      </c>
      <c r="Q195" t="n">
        <v>110.892214</v>
      </c>
      <c r="R195" t="n">
        <v>-16.594224</v>
      </c>
      <c r="S195" t="n">
        <v>160</v>
      </c>
      <c r="T195" t="n">
        <v>125.807546</v>
      </c>
      <c r="U195" t="n">
        <v>143.289826</v>
      </c>
      <c r="V195" t="n">
        <v>114.17137</v>
      </c>
      <c r="W195" t="n">
        <v>28.012186</v>
      </c>
    </row>
    <row r="196">
      <c r="B196" t="inlineStr">
        <is>
          <t>TX_FT_High_Jetfuel_CCS_84_Herb</t>
        </is>
      </c>
      <c r="C196" t="inlineStr">
        <is>
          <t>Biomass_Herb</t>
        </is>
      </c>
      <c r="D196" t="n">
        <v>0.2463</v>
      </c>
      <c r="E196" t="n">
        <v>0</v>
      </c>
      <c r="F196" t="n">
        <v>0.4134</v>
      </c>
      <c r="G196" t="n">
        <v>1.8457</v>
      </c>
      <c r="H196" t="n">
        <v>0</v>
      </c>
      <c r="J196" t="n">
        <v>1.714</v>
      </c>
      <c r="K196" t="n">
        <v>0.9717052015604122</v>
      </c>
      <c r="L196" t="n">
        <v>0.1867416291029309</v>
      </c>
      <c r="M196" t="n">
        <v>784258.72</v>
      </c>
      <c r="N196" t="n">
        <v>351016.96</v>
      </c>
      <c r="O196" t="n">
        <v>50.288</v>
      </c>
      <c r="Q196" t="n">
        <v>110.892214</v>
      </c>
      <c r="R196" t="n">
        <v>-21.499827</v>
      </c>
      <c r="S196" t="n">
        <v>160</v>
      </c>
      <c r="T196" t="n">
        <v>140.297617</v>
      </c>
      <c r="U196" t="n">
        <v>160.374377</v>
      </c>
      <c r="V196" t="n">
        <v>113.606838</v>
      </c>
      <c r="W196" t="n">
        <v>20.240713</v>
      </c>
    </row>
    <row r="197">
      <c r="B197" t="inlineStr">
        <is>
          <t>NCEN_FT_High_Jetfuel_CCS_84_Herb</t>
        </is>
      </c>
      <c r="C197" t="inlineStr">
        <is>
          <t>Biomass_Herb</t>
        </is>
      </c>
      <c r="D197" t="n">
        <v>0.2489</v>
      </c>
      <c r="E197" t="n">
        <v>0</v>
      </c>
      <c r="F197" t="n">
        <v>0.4177</v>
      </c>
      <c r="G197" t="n">
        <v>1.865</v>
      </c>
      <c r="H197" t="n">
        <v>0</v>
      </c>
      <c r="J197" t="n">
        <v>1.74</v>
      </c>
      <c r="K197" t="n">
        <v>0.9886357855987854</v>
      </c>
      <c r="L197" t="n">
        <v>0.189995336955799</v>
      </c>
      <c r="M197" t="n">
        <v>784258.72</v>
      </c>
      <c r="N197" t="n">
        <v>351016.96</v>
      </c>
      <c r="O197" t="n">
        <v>50.288</v>
      </c>
      <c r="Q197" t="n">
        <v>110.892214</v>
      </c>
      <c r="R197" t="n">
        <v>-41.711711</v>
      </c>
      <c r="S197" t="n">
        <v>160</v>
      </c>
      <c r="T197" t="n">
        <v>106.368089</v>
      </c>
      <c r="U197" t="n">
        <v>117.804824</v>
      </c>
      <c r="V197" t="n">
        <v>93.32494199999999</v>
      </c>
      <c r="W197" t="n">
        <v>30.728803</v>
      </c>
    </row>
    <row r="198">
      <c r="B198" t="inlineStr">
        <is>
          <t>CEN_FT_High_Jetfuel_CCS_84_Herb</t>
        </is>
      </c>
      <c r="C198" t="inlineStr">
        <is>
          <t>Biomass_Herb</t>
        </is>
      </c>
      <c r="D198" t="n">
        <v>0.2474</v>
      </c>
      <c r="E198" t="n">
        <v>0</v>
      </c>
      <c r="F198" t="n">
        <v>0.4152</v>
      </c>
      <c r="G198" t="n">
        <v>1.8538</v>
      </c>
      <c r="H198" t="n">
        <v>0</v>
      </c>
      <c r="J198" t="n">
        <v>1.723</v>
      </c>
      <c r="K198" t="n">
        <v>0.977200415892359</v>
      </c>
      <c r="L198" t="n">
        <v>0.1877976955672964</v>
      </c>
      <c r="M198" t="n">
        <v>784258.72</v>
      </c>
      <c r="N198" t="n">
        <v>351016.96</v>
      </c>
      <c r="O198" t="n">
        <v>50.288</v>
      </c>
      <c r="Q198" t="n">
        <v>110.892214</v>
      </c>
      <c r="R198" t="n">
        <v>-31.698788</v>
      </c>
      <c r="S198" t="n">
        <v>160</v>
      </c>
      <c r="T198" t="n">
        <v>112.646846</v>
      </c>
      <c r="U198" t="n">
        <v>129.719823</v>
      </c>
      <c r="V198" t="n">
        <v>101.234661</v>
      </c>
      <c r="W198" t="n">
        <v>25.375037</v>
      </c>
    </row>
    <row r="199">
      <c r="B199" t="inlineStr">
        <is>
          <t>SE_FT_High_Jetfuel_CCS_84_Herb</t>
        </is>
      </c>
      <c r="C199" t="inlineStr">
        <is>
          <t>Biomass_Herb</t>
        </is>
      </c>
      <c r="D199" t="n">
        <v>0.247</v>
      </c>
      <c r="E199" t="n">
        <v>0</v>
      </c>
      <c r="F199" t="n">
        <v>0.4145</v>
      </c>
      <c r="G199" t="n">
        <v>1.8508</v>
      </c>
      <c r="H199" t="n">
        <v>0</v>
      </c>
      <c r="J199" t="n">
        <v>1.717</v>
      </c>
      <c r="K199" t="n">
        <v>0.9729378605178788</v>
      </c>
      <c r="L199" t="n">
        <v>0.1869785206431593</v>
      </c>
      <c r="M199" t="n">
        <v>784258.72</v>
      </c>
      <c r="N199" t="n">
        <v>351016.96</v>
      </c>
      <c r="O199" t="n">
        <v>50.288</v>
      </c>
      <c r="Q199" t="n">
        <v>110.892214</v>
      </c>
      <c r="R199" t="n">
        <v>-47.684613</v>
      </c>
      <c r="S199" t="n">
        <v>160</v>
      </c>
      <c r="T199" t="n">
        <v>100.406702</v>
      </c>
      <c r="U199" t="n">
        <v>115.539531</v>
      </c>
      <c r="V199" t="n">
        <v>89.577806</v>
      </c>
      <c r="W199" t="n">
        <v>38.228295</v>
      </c>
    </row>
    <row r="200">
      <c r="B200" t="inlineStr">
        <is>
          <t>MIDAT_FT_High_Jetfuel_CCS_84_Herb</t>
        </is>
      </c>
      <c r="C200" t="inlineStr">
        <is>
          <t>Biomass_Herb</t>
        </is>
      </c>
      <c r="D200" t="n">
        <v>0.2483</v>
      </c>
      <c r="E200" t="n">
        <v>0</v>
      </c>
      <c r="F200" t="n">
        <v>0.4168</v>
      </c>
      <c r="G200" t="n">
        <v>1.861</v>
      </c>
      <c r="H200" t="n">
        <v>0</v>
      </c>
      <c r="J200" t="n">
        <v>1.736</v>
      </c>
      <c r="K200" t="n">
        <v>0.986307578432812</v>
      </c>
      <c r="L200" t="n">
        <v>0.1895479037236162</v>
      </c>
      <c r="M200" t="n">
        <v>784258.72</v>
      </c>
      <c r="N200" t="n">
        <v>351016.96</v>
      </c>
      <c r="O200" t="n">
        <v>50.288</v>
      </c>
      <c r="Q200" t="n">
        <v>110.892214</v>
      </c>
      <c r="R200" t="n">
        <v>-54.368796</v>
      </c>
      <c r="S200" t="n">
        <v>160</v>
      </c>
      <c r="T200" t="n">
        <v>101.540719</v>
      </c>
      <c r="U200" t="n">
        <v>109.472766</v>
      </c>
      <c r="V200" t="n">
        <v>90.14609900000001</v>
      </c>
      <c r="W200" t="n">
        <v>39.376329</v>
      </c>
    </row>
    <row r="201">
      <c r="B201" t="inlineStr">
        <is>
          <t>NE_FT_High_Jetfuel_CCS_84_Herb</t>
        </is>
      </c>
      <c r="C201" t="inlineStr">
        <is>
          <t>Biomass_Herb</t>
        </is>
      </c>
      <c r="D201" t="n">
        <v>0.2493</v>
      </c>
      <c r="E201" t="n">
        <v>0</v>
      </c>
      <c r="F201" t="n">
        <v>0.4184</v>
      </c>
      <c r="G201" t="n">
        <v>1.8681</v>
      </c>
      <c r="H201" t="n">
        <v>0</v>
      </c>
      <c r="J201" t="n">
        <v>1.745</v>
      </c>
      <c r="K201" t="n">
        <v>0.9920595409732657</v>
      </c>
      <c r="L201" t="n">
        <v>0.1906533118799361</v>
      </c>
      <c r="M201" t="n">
        <v>784258.72</v>
      </c>
      <c r="N201" t="n">
        <v>351016.96</v>
      </c>
      <c r="O201" t="n">
        <v>50.288</v>
      </c>
      <c r="Q201" t="n">
        <v>110.892214</v>
      </c>
      <c r="R201" t="n">
        <v>-62.623722</v>
      </c>
      <c r="S201" t="n">
        <v>160</v>
      </c>
      <c r="T201" t="n">
        <v>102.353041</v>
      </c>
      <c r="U201" t="n">
        <v>108.140489</v>
      </c>
      <c r="V201" t="n">
        <v>92.430212</v>
      </c>
      <c r="W201" t="n">
        <v>47.48771</v>
      </c>
    </row>
    <row r="202">
      <c r="B202" t="inlineStr">
        <is>
          <t>CA_FT_High_Jetfuel_CCS_84_Wood</t>
        </is>
      </c>
      <c r="C202" t="inlineStr">
        <is>
          <t>Biomass_Wood</t>
        </is>
      </c>
      <c r="D202" t="n">
        <v>0.2627</v>
      </c>
      <c r="E202" t="n">
        <v>0</v>
      </c>
      <c r="F202" t="n">
        <v>0.4409</v>
      </c>
      <c r="G202" t="n">
        <v>1.9687</v>
      </c>
      <c r="H202" t="n">
        <v>0</v>
      </c>
      <c r="J202" t="n">
        <v>1.843</v>
      </c>
      <c r="K202" t="n">
        <v>1.048843868331106</v>
      </c>
      <c r="L202" t="n">
        <v>0.2015660843764596</v>
      </c>
      <c r="M202" t="n">
        <v>784258.72</v>
      </c>
      <c r="N202" t="n">
        <v>351016.96</v>
      </c>
      <c r="O202" t="n">
        <v>50.288</v>
      </c>
      <c r="Q202" t="n">
        <v>110.892214</v>
      </c>
      <c r="R202" t="n">
        <v>-6.493396</v>
      </c>
      <c r="S202" t="n">
        <v>160</v>
      </c>
      <c r="T202" t="n">
        <v>1539.150891</v>
      </c>
      <c r="U202" t="n">
        <v>162.083504</v>
      </c>
      <c r="V202" t="n">
        <v>140.323815</v>
      </c>
      <c r="W202" t="n">
        <v>36.566419</v>
      </c>
    </row>
    <row r="203">
      <c r="B203" t="inlineStr">
        <is>
          <t>NW_FT_High_Jetfuel_CCS_84_Wood</t>
        </is>
      </c>
      <c r="C203" t="inlineStr">
        <is>
          <t>Biomass_Wood</t>
        </is>
      </c>
      <c r="D203" t="n">
        <v>0.2622</v>
      </c>
      <c r="E203" t="n">
        <v>0</v>
      </c>
      <c r="F203" t="n">
        <v>0.44</v>
      </c>
      <c r="G203" t="n">
        <v>1.9647</v>
      </c>
      <c r="H203" t="n">
        <v>0</v>
      </c>
      <c r="J203" t="n">
        <v>1.818</v>
      </c>
      <c r="K203" t="n">
        <v>1.028900861165133</v>
      </c>
      <c r="L203" t="n">
        <v>0.1977334511442768</v>
      </c>
      <c r="M203" t="n">
        <v>784258.72</v>
      </c>
      <c r="N203" t="n">
        <v>351016.96</v>
      </c>
      <c r="O203" t="n">
        <v>50.288</v>
      </c>
      <c r="Q203" t="n">
        <v>110.892214</v>
      </c>
      <c r="R203" t="n">
        <v>-7.381741</v>
      </c>
      <c r="S203" t="n">
        <v>160</v>
      </c>
      <c r="T203" t="n">
        <v>140.805445</v>
      </c>
      <c r="U203" t="n">
        <v>159.375106</v>
      </c>
      <c r="V203" t="n">
        <v>121.714108</v>
      </c>
      <c r="W203" t="n">
        <v>26.767046</v>
      </c>
    </row>
    <row r="204">
      <c r="B204" t="inlineStr">
        <is>
          <t>SW_FT_High_Jetfuel_CCS_84_Wood</t>
        </is>
      </c>
      <c r="C204" t="inlineStr">
        <is>
          <t>Biomass_Wood</t>
        </is>
      </c>
      <c r="D204" t="n">
        <v>0.2597</v>
      </c>
      <c r="E204" t="n">
        <v>0</v>
      </c>
      <c r="F204" t="n">
        <v>0.4359</v>
      </c>
      <c r="G204" t="n">
        <v>1.9464</v>
      </c>
      <c r="H204" t="n">
        <v>0</v>
      </c>
      <c r="J204" t="n">
        <v>1.798</v>
      </c>
      <c r="K204" t="n">
        <v>1.016746328918253</v>
      </c>
      <c r="L204" t="n">
        <v>0.1953976015994544</v>
      </c>
      <c r="M204" t="n">
        <v>784258.72</v>
      </c>
      <c r="N204" t="n">
        <v>351016.96</v>
      </c>
      <c r="O204" t="n">
        <v>50.288</v>
      </c>
      <c r="Q204" t="n">
        <v>110.892214</v>
      </c>
      <c r="R204" t="n">
        <v>-16.594224</v>
      </c>
      <c r="S204" t="n">
        <v>160</v>
      </c>
      <c r="T204" t="n">
        <v>125.807546</v>
      </c>
      <c r="U204" t="n">
        <v>143.289826</v>
      </c>
      <c r="V204" t="n">
        <v>114.17137</v>
      </c>
      <c r="W204" t="n">
        <v>28.012186</v>
      </c>
    </row>
    <row r="205">
      <c r="B205" t="inlineStr">
        <is>
          <t>TX_FT_High_Jetfuel_CCS_84_Wood</t>
        </is>
      </c>
      <c r="C205" t="inlineStr">
        <is>
          <t>Biomass_Wood</t>
        </is>
      </c>
      <c r="D205" t="n">
        <v>0.2577</v>
      </c>
      <c r="E205" t="n">
        <v>0</v>
      </c>
      <c r="F205" t="n">
        <v>0.4325</v>
      </c>
      <c r="G205" t="n">
        <v>1.9311</v>
      </c>
      <c r="H205" t="n">
        <v>0</v>
      </c>
      <c r="J205" t="n">
        <v>1.821</v>
      </c>
      <c r="K205" t="n">
        <v>1.039889952045853</v>
      </c>
      <c r="L205" t="n">
        <v>0.199845326978769</v>
      </c>
      <c r="M205" t="n">
        <v>784258.72</v>
      </c>
      <c r="N205" t="n">
        <v>351016.96</v>
      </c>
      <c r="O205" t="n">
        <v>50.288</v>
      </c>
      <c r="Q205" t="n">
        <v>110.892214</v>
      </c>
      <c r="R205" t="n">
        <v>-21.499827</v>
      </c>
      <c r="S205" t="n">
        <v>160</v>
      </c>
      <c r="T205" t="n">
        <v>140.297617</v>
      </c>
      <c r="U205" t="n">
        <v>160.374377</v>
      </c>
      <c r="V205" t="n">
        <v>113.606838</v>
      </c>
      <c r="W205" t="n">
        <v>20.240713</v>
      </c>
    </row>
    <row r="206">
      <c r="B206" t="inlineStr">
        <is>
          <t>NCEN_FT_High_Jetfuel_CCS_84_Wood</t>
        </is>
      </c>
      <c r="C206" t="inlineStr">
        <is>
          <t>Biomass_Wood</t>
        </is>
      </c>
      <c r="D206" t="n">
        <v>0.2586</v>
      </c>
      <c r="E206" t="n">
        <v>0</v>
      </c>
      <c r="F206" t="n">
        <v>0.4341</v>
      </c>
      <c r="G206" t="n">
        <v>1.9382</v>
      </c>
      <c r="H206" t="n">
        <v>0</v>
      </c>
      <c r="J206" t="n">
        <v>1.802</v>
      </c>
      <c r="K206" t="n">
        <v>1.022155514586306</v>
      </c>
      <c r="L206" t="n">
        <v>0.1964371351350889</v>
      </c>
      <c r="M206" t="n">
        <v>784258.72</v>
      </c>
      <c r="N206" t="n">
        <v>351016.96</v>
      </c>
      <c r="O206" t="n">
        <v>50.288</v>
      </c>
      <c r="Q206" t="n">
        <v>110.892214</v>
      </c>
      <c r="R206" t="n">
        <v>-41.711711</v>
      </c>
      <c r="S206" t="n">
        <v>160</v>
      </c>
      <c r="T206" t="n">
        <v>106.368089</v>
      </c>
      <c r="U206" t="n">
        <v>117.804824</v>
      </c>
      <c r="V206" t="n">
        <v>93.32494199999999</v>
      </c>
      <c r="W206" t="n">
        <v>30.728803</v>
      </c>
    </row>
    <row r="207">
      <c r="B207" t="inlineStr">
        <is>
          <t>CEN_FT_High_Jetfuel_CCS_84_Wood</t>
        </is>
      </c>
      <c r="C207" t="inlineStr">
        <is>
          <t>Biomass_Wood</t>
        </is>
      </c>
      <c r="D207" t="n">
        <v>0.2588</v>
      </c>
      <c r="E207" t="n">
        <v>0</v>
      </c>
      <c r="F207" t="n">
        <v>0.4343</v>
      </c>
      <c r="G207" t="n">
        <v>1.9393</v>
      </c>
      <c r="H207" t="n">
        <v>0</v>
      </c>
      <c r="J207" t="n">
        <v>1.802</v>
      </c>
      <c r="K207" t="n">
        <v>1.021898766377799</v>
      </c>
      <c r="L207" t="n">
        <v>0.1963877934431346</v>
      </c>
      <c r="M207" t="n">
        <v>784258.72</v>
      </c>
      <c r="N207" t="n">
        <v>351016.96</v>
      </c>
      <c r="O207" t="n">
        <v>50.288</v>
      </c>
      <c r="Q207" t="n">
        <v>110.892214</v>
      </c>
      <c r="R207" t="n">
        <v>-31.698788</v>
      </c>
      <c r="S207" t="n">
        <v>160</v>
      </c>
      <c r="T207" t="n">
        <v>112.646846</v>
      </c>
      <c r="U207" t="n">
        <v>129.719823</v>
      </c>
      <c r="V207" t="n">
        <v>101.234661</v>
      </c>
      <c r="W207" t="n">
        <v>25.375037</v>
      </c>
    </row>
    <row r="208">
      <c r="B208" t="inlineStr">
        <is>
          <t>SE_FT_High_Jetfuel_CCS_84_Wood</t>
        </is>
      </c>
      <c r="C208" t="inlineStr">
        <is>
          <t>Biomass_Wood</t>
        </is>
      </c>
      <c r="D208" t="n">
        <v>0.2597</v>
      </c>
      <c r="E208" t="n">
        <v>0</v>
      </c>
      <c r="F208" t="n">
        <v>0.4359</v>
      </c>
      <c r="G208" t="n">
        <v>1.9464</v>
      </c>
      <c r="H208" t="n">
        <v>0</v>
      </c>
      <c r="J208" t="n">
        <v>1.821</v>
      </c>
      <c r="K208" t="n">
        <v>1.036038728918253</v>
      </c>
      <c r="L208" t="n">
        <v>0.1991052015994544</v>
      </c>
      <c r="M208" t="n">
        <v>784258.72</v>
      </c>
      <c r="N208" t="n">
        <v>351016.96</v>
      </c>
      <c r="O208" t="n">
        <v>50.288</v>
      </c>
      <c r="Q208" t="n">
        <v>110.892214</v>
      </c>
      <c r="R208" t="n">
        <v>-47.684613</v>
      </c>
      <c r="S208" t="n">
        <v>160</v>
      </c>
      <c r="T208" t="n">
        <v>100.406702</v>
      </c>
      <c r="U208" t="n">
        <v>115.539531</v>
      </c>
      <c r="V208" t="n">
        <v>89.577806</v>
      </c>
      <c r="W208" t="n">
        <v>38.228295</v>
      </c>
    </row>
    <row r="209">
      <c r="B209" t="inlineStr">
        <is>
          <t>MIDAT_FT_High_Jetfuel_CCS_84_Wood</t>
        </is>
      </c>
      <c r="C209" t="inlineStr">
        <is>
          <t>Biomass_Wood</t>
        </is>
      </c>
      <c r="D209" t="n">
        <v>0.2579</v>
      </c>
      <c r="E209" t="n">
        <v>0</v>
      </c>
      <c r="F209" t="n">
        <v>0.433</v>
      </c>
      <c r="G209" t="n">
        <v>1.9332</v>
      </c>
      <c r="H209" t="n">
        <v>0</v>
      </c>
      <c r="J209" t="n">
        <v>1.806</v>
      </c>
      <c r="K209" t="n">
        <v>1.02679445562884</v>
      </c>
      <c r="L209" t="n">
        <v>0.1973286435948604</v>
      </c>
      <c r="M209" t="n">
        <v>784258.72</v>
      </c>
      <c r="N209" t="n">
        <v>351016.96</v>
      </c>
      <c r="O209" t="n">
        <v>50.288</v>
      </c>
      <c r="Q209" t="n">
        <v>110.892214</v>
      </c>
      <c r="R209" t="n">
        <v>-54.368796</v>
      </c>
      <c r="S209" t="n">
        <v>160</v>
      </c>
      <c r="T209" t="n">
        <v>101.540719</v>
      </c>
      <c r="U209" t="n">
        <v>109.472766</v>
      </c>
      <c r="V209" t="n">
        <v>90.14609900000001</v>
      </c>
      <c r="W209" t="n">
        <v>39.376329</v>
      </c>
    </row>
    <row r="210">
      <c r="B210" t="inlineStr">
        <is>
          <t>NE_FT_High_Jetfuel_CCS_84_Wood</t>
        </is>
      </c>
      <c r="C210" t="inlineStr">
        <is>
          <t>Biomass_Wood</t>
        </is>
      </c>
      <c r="D210" t="n">
        <v>0.2563</v>
      </c>
      <c r="E210" t="n">
        <v>0</v>
      </c>
      <c r="F210" t="n">
        <v>0.4302</v>
      </c>
      <c r="G210" t="n">
        <v>1.921</v>
      </c>
      <c r="H210" t="n">
        <v>0</v>
      </c>
      <c r="J210" t="n">
        <v>1.826</v>
      </c>
      <c r="K210" t="n">
        <v>1.046651434130919</v>
      </c>
      <c r="L210" t="n">
        <v>0.2011447438983121</v>
      </c>
      <c r="M210" t="n">
        <v>784258.72</v>
      </c>
      <c r="N210" t="n">
        <v>351016.96</v>
      </c>
      <c r="O210" t="n">
        <v>50.288</v>
      </c>
      <c r="Q210" t="n">
        <v>110.892214</v>
      </c>
      <c r="R210" t="n">
        <v>-62.623722</v>
      </c>
      <c r="S210" t="n">
        <v>160</v>
      </c>
      <c r="T210" t="n">
        <v>102.353041</v>
      </c>
      <c r="U210" t="n">
        <v>108.140489</v>
      </c>
      <c r="V210" t="n">
        <v>92.430212</v>
      </c>
      <c r="W210" t="n">
        <v>47.48771</v>
      </c>
    </row>
    <row r="211">
      <c r="B211" t="inlineStr">
        <is>
          <t>CA_FT_High_Jetfuel_CCS_84_Agri</t>
        </is>
      </c>
      <c r="C211" t="inlineStr">
        <is>
          <t>Biomass_Agri</t>
        </is>
      </c>
      <c r="D211" t="n">
        <v>0.2482</v>
      </c>
      <c r="E211" t="n">
        <v>0</v>
      </c>
      <c r="F211" t="n">
        <v>0.4166</v>
      </c>
      <c r="G211" t="n">
        <v>1.8599</v>
      </c>
      <c r="H211" t="n">
        <v>0</v>
      </c>
      <c r="J211" t="n">
        <v>1.719</v>
      </c>
      <c r="K211" t="n">
        <v>0.972304726641319</v>
      </c>
      <c r="L211" t="n">
        <v>0.1868568454155706</v>
      </c>
      <c r="M211" t="n">
        <v>784258.72</v>
      </c>
      <c r="N211" t="n">
        <v>351016.96</v>
      </c>
      <c r="O211" t="n">
        <v>50.288</v>
      </c>
      <c r="Q211" t="n">
        <v>110.892214</v>
      </c>
      <c r="R211" t="n">
        <v>-6.493396</v>
      </c>
      <c r="S211" t="n">
        <v>160</v>
      </c>
      <c r="T211" t="n">
        <v>1539.150891</v>
      </c>
      <c r="U211" t="n">
        <v>162.083504</v>
      </c>
      <c r="V211" t="n">
        <v>140.323815</v>
      </c>
      <c r="W211" t="n">
        <v>36.566419</v>
      </c>
    </row>
    <row r="212">
      <c r="B212" t="inlineStr">
        <is>
          <t>NW_FT_High_Jetfuel_CCS_84_Agri</t>
        </is>
      </c>
      <c r="C212" t="inlineStr">
        <is>
          <t>Biomass_Agri</t>
        </is>
      </c>
      <c r="D212" t="n">
        <v>0.2269</v>
      </c>
      <c r="E212" t="n">
        <v>0</v>
      </c>
      <c r="F212" t="n">
        <v>0.3808</v>
      </c>
      <c r="G212" t="n">
        <v>1.7003</v>
      </c>
      <c r="H212" t="n">
        <v>0</v>
      </c>
      <c r="J212" t="n">
        <v>1.664</v>
      </c>
      <c r="K212" t="n">
        <v>0.9664801953768644</v>
      </c>
      <c r="L212" t="n">
        <v>0.1857374910523969</v>
      </c>
      <c r="M212" t="n">
        <v>784258.72</v>
      </c>
      <c r="N212" t="n">
        <v>351016.96</v>
      </c>
      <c r="O212" t="n">
        <v>50.288</v>
      </c>
      <c r="Q212" t="n">
        <v>110.892214</v>
      </c>
      <c r="R212" t="n">
        <v>-7.381741</v>
      </c>
      <c r="S212" t="n">
        <v>160</v>
      </c>
      <c r="T212" t="n">
        <v>140.805445</v>
      </c>
      <c r="U212" t="n">
        <v>159.375106</v>
      </c>
      <c r="V212" t="n">
        <v>121.714108</v>
      </c>
      <c r="W212" t="n">
        <v>26.767046</v>
      </c>
    </row>
    <row r="213">
      <c r="B213" t="inlineStr">
        <is>
          <t>SW_FT_High_Jetfuel_CCS_84_Agri</t>
        </is>
      </c>
      <c r="C213" t="inlineStr">
        <is>
          <t>Biomass_Agri</t>
        </is>
      </c>
      <c r="D213" t="n">
        <v>0.2311</v>
      </c>
      <c r="E213" t="n">
        <v>0</v>
      </c>
      <c r="F213" t="n">
        <v>0.3879</v>
      </c>
      <c r="G213" t="n">
        <v>1.7318</v>
      </c>
      <c r="H213" t="n">
        <v>0</v>
      </c>
      <c r="J213" t="n">
        <v>1.687</v>
      </c>
      <c r="K213" t="n">
        <v>0.977813400913158</v>
      </c>
      <c r="L213" t="n">
        <v>0.1879154986018134</v>
      </c>
      <c r="M213" t="n">
        <v>784258.72</v>
      </c>
      <c r="N213" t="n">
        <v>351016.96</v>
      </c>
      <c r="O213" t="n">
        <v>50.288</v>
      </c>
      <c r="Q213" t="n">
        <v>110.892214</v>
      </c>
      <c r="R213" t="n">
        <v>-16.594224</v>
      </c>
      <c r="S213" t="n">
        <v>160</v>
      </c>
      <c r="T213" t="n">
        <v>125.807546</v>
      </c>
      <c r="U213" t="n">
        <v>143.289826</v>
      </c>
      <c r="V213" t="n">
        <v>114.17137</v>
      </c>
      <c r="W213" t="n">
        <v>28.012186</v>
      </c>
    </row>
    <row r="214">
      <c r="B214" t="inlineStr">
        <is>
          <t>TX_FT_High_Jetfuel_CCS_84_Agri</t>
        </is>
      </c>
      <c r="C214" t="inlineStr">
        <is>
          <t>Biomass_Agri</t>
        </is>
      </c>
      <c r="D214" t="n">
        <v>0.2251</v>
      </c>
      <c r="E214" t="n">
        <v>0</v>
      </c>
      <c r="F214" t="n">
        <v>0.3779</v>
      </c>
      <c r="G214" t="n">
        <v>1.6871</v>
      </c>
      <c r="H214" t="n">
        <v>0</v>
      </c>
      <c r="J214" t="n">
        <v>1.633</v>
      </c>
      <c r="K214" t="n">
        <v>0.9438151220874512</v>
      </c>
      <c r="L214" t="n">
        <v>0.1813817330478029</v>
      </c>
      <c r="M214" t="n">
        <v>784258.72</v>
      </c>
      <c r="N214" t="n">
        <v>351016.96</v>
      </c>
      <c r="O214" t="n">
        <v>50.288</v>
      </c>
      <c r="Q214" t="n">
        <v>110.892214</v>
      </c>
      <c r="R214" t="n">
        <v>-21.499827</v>
      </c>
      <c r="S214" t="n">
        <v>160</v>
      </c>
      <c r="T214" t="n">
        <v>140.297617</v>
      </c>
      <c r="U214" t="n">
        <v>160.374377</v>
      </c>
      <c r="V214" t="n">
        <v>113.606838</v>
      </c>
      <c r="W214" t="n">
        <v>20.240713</v>
      </c>
    </row>
    <row r="215">
      <c r="B215" t="inlineStr">
        <is>
          <t>NCEN_FT_High_Jetfuel_CCS_84_Agri</t>
        </is>
      </c>
      <c r="C215" t="inlineStr">
        <is>
          <t>Biomass_Agri</t>
        </is>
      </c>
      <c r="D215" t="n">
        <v>0.2347</v>
      </c>
      <c r="E215" t="n">
        <v>0</v>
      </c>
      <c r="F215" t="n">
        <v>0.394</v>
      </c>
      <c r="G215" t="n">
        <v>1.7593</v>
      </c>
      <c r="H215" t="n">
        <v>0</v>
      </c>
      <c r="J215" t="n">
        <v>1.71</v>
      </c>
      <c r="K215" t="n">
        <v>0.990173599283478</v>
      </c>
      <c r="L215" t="n">
        <v>0.1902908729190471</v>
      </c>
      <c r="M215" t="n">
        <v>784258.72</v>
      </c>
      <c r="N215" t="n">
        <v>351016.96</v>
      </c>
      <c r="O215" t="n">
        <v>50.288</v>
      </c>
      <c r="Q215" t="n">
        <v>110.892214</v>
      </c>
      <c r="R215" t="n">
        <v>-41.711711</v>
      </c>
      <c r="S215" t="n">
        <v>160</v>
      </c>
      <c r="T215" t="n">
        <v>106.368089</v>
      </c>
      <c r="U215" t="n">
        <v>117.804824</v>
      </c>
      <c r="V215" t="n">
        <v>93.32494199999999</v>
      </c>
      <c r="W215" t="n">
        <v>30.728803</v>
      </c>
    </row>
    <row r="216">
      <c r="B216" t="inlineStr">
        <is>
          <t>CEN_FT_High_Jetfuel_CCS_84_Agri</t>
        </is>
      </c>
      <c r="C216" t="inlineStr">
        <is>
          <t>Biomass_Agri</t>
        </is>
      </c>
      <c r="D216" t="n">
        <v>0.233</v>
      </c>
      <c r="E216" t="n">
        <v>0</v>
      </c>
      <c r="F216" t="n">
        <v>0.3911</v>
      </c>
      <c r="G216" t="n">
        <v>1.746</v>
      </c>
      <c r="H216" t="n">
        <v>0</v>
      </c>
      <c r="J216" t="n">
        <v>1.7</v>
      </c>
      <c r="K216" t="n">
        <v>0.9851233259940648</v>
      </c>
      <c r="L216" t="n">
        <v>0.1893203149144531</v>
      </c>
      <c r="M216" t="n">
        <v>784258.72</v>
      </c>
      <c r="N216" t="n">
        <v>351016.96</v>
      </c>
      <c r="O216" t="n">
        <v>50.288</v>
      </c>
      <c r="Q216" t="n">
        <v>110.892214</v>
      </c>
      <c r="R216" t="n">
        <v>-31.698788</v>
      </c>
      <c r="S216" t="n">
        <v>160</v>
      </c>
      <c r="T216" t="n">
        <v>112.646846</v>
      </c>
      <c r="U216" t="n">
        <v>129.719823</v>
      </c>
      <c r="V216" t="n">
        <v>101.234661</v>
      </c>
      <c r="W216" t="n">
        <v>25.375037</v>
      </c>
    </row>
    <row r="217">
      <c r="B217" t="inlineStr">
        <is>
          <t>SE_FT_High_Jetfuel_CCS_84_Agri</t>
        </is>
      </c>
      <c r="C217" t="inlineStr">
        <is>
          <t>Biomass_Agri</t>
        </is>
      </c>
      <c r="D217" t="n">
        <v>0.2338</v>
      </c>
      <c r="E217" t="n">
        <v>0</v>
      </c>
      <c r="F217" t="n">
        <v>0.3924</v>
      </c>
      <c r="G217" t="n">
        <v>1.7521</v>
      </c>
      <c r="H217" t="n">
        <v>0</v>
      </c>
      <c r="J217" t="n">
        <v>1.689</v>
      </c>
      <c r="K217" t="n">
        <v>0.9743560367430248</v>
      </c>
      <c r="L217" t="n">
        <v>0.1872510647627272</v>
      </c>
      <c r="M217" t="n">
        <v>784258.72</v>
      </c>
      <c r="N217" t="n">
        <v>351016.96</v>
      </c>
      <c r="O217" t="n">
        <v>50.288</v>
      </c>
      <c r="Q217" t="n">
        <v>110.892214</v>
      </c>
      <c r="R217" t="n">
        <v>-47.684613</v>
      </c>
      <c r="S217" t="n">
        <v>160</v>
      </c>
      <c r="T217" t="n">
        <v>100.406702</v>
      </c>
      <c r="U217" t="n">
        <v>115.539531</v>
      </c>
      <c r="V217" t="n">
        <v>89.577806</v>
      </c>
      <c r="W217" t="n">
        <v>38.228295</v>
      </c>
    </row>
    <row r="218">
      <c r="B218" t="inlineStr">
        <is>
          <t>MIDAT_FT_High_Jetfuel_CCS_84_Agri</t>
        </is>
      </c>
      <c r="C218" t="inlineStr">
        <is>
          <t>Biomass_Agri</t>
        </is>
      </c>
      <c r="D218" t="n">
        <v>0.2345</v>
      </c>
      <c r="E218" t="n">
        <v>0</v>
      </c>
      <c r="F218" t="n">
        <v>0.3936</v>
      </c>
      <c r="G218" t="n">
        <v>1.7572</v>
      </c>
      <c r="H218" t="n">
        <v>0</v>
      </c>
      <c r="J218" t="n">
        <v>1.708</v>
      </c>
      <c r="K218" t="n">
        <v>0.9890094957004912</v>
      </c>
      <c r="L218" t="n">
        <v>0.1900671563029556</v>
      </c>
      <c r="M218" t="n">
        <v>784258.72</v>
      </c>
      <c r="N218" t="n">
        <v>351016.96</v>
      </c>
      <c r="O218" t="n">
        <v>50.288</v>
      </c>
      <c r="Q218" t="n">
        <v>110.892214</v>
      </c>
      <c r="R218" t="n">
        <v>-54.368796</v>
      </c>
      <c r="S218" t="n">
        <v>160</v>
      </c>
      <c r="T218" t="n">
        <v>101.540719</v>
      </c>
      <c r="U218" t="n">
        <v>109.472766</v>
      </c>
      <c r="V218" t="n">
        <v>90.14609900000001</v>
      </c>
      <c r="W218" t="n">
        <v>39.376329</v>
      </c>
    </row>
    <row r="219">
      <c r="B219" t="inlineStr">
        <is>
          <t>NE_FT_High_Jetfuel_CCS_84_Agri</t>
        </is>
      </c>
      <c r="C219" t="inlineStr">
        <is>
          <t>Biomass_Agri</t>
        </is>
      </c>
      <c r="D219" t="n">
        <v>0.2372</v>
      </c>
      <c r="E219" t="n">
        <v>0</v>
      </c>
      <c r="F219" t="n">
        <v>0.3981</v>
      </c>
      <c r="G219" t="n">
        <v>1.7776</v>
      </c>
      <c r="H219" t="n">
        <v>0</v>
      </c>
      <c r="J219" t="n">
        <v>1.715</v>
      </c>
      <c r="K219" t="n">
        <v>0.9897461315303584</v>
      </c>
      <c r="L219" t="n">
        <v>0.1902087224638695</v>
      </c>
      <c r="M219" t="n">
        <v>784258.72</v>
      </c>
      <c r="N219" t="n">
        <v>351016.96</v>
      </c>
      <c r="O219" t="n">
        <v>50.288</v>
      </c>
      <c r="Q219" t="n">
        <v>110.892214</v>
      </c>
      <c r="R219" t="n">
        <v>-62.623722</v>
      </c>
      <c r="S219" t="n">
        <v>160</v>
      </c>
      <c r="T219" t="n">
        <v>102.353041</v>
      </c>
      <c r="U219" t="n">
        <v>108.140489</v>
      </c>
      <c r="V219" t="n">
        <v>92.430212</v>
      </c>
      <c r="W219" t="n">
        <v>47.48771</v>
      </c>
    </row>
    <row r="220">
      <c r="B220" t="inlineStr">
        <is>
          <t>CA_FT_High_Jetfuel_CCS_99_Herb</t>
        </is>
      </c>
      <c r="C220" t="inlineStr">
        <is>
          <t>Biomass_Herb</t>
        </is>
      </c>
      <c r="D220" t="n">
        <v>0.5085</v>
      </c>
      <c r="E220" t="n">
        <v>0</v>
      </c>
      <c r="F220" t="n">
        <v>0.3151</v>
      </c>
      <c r="G220" t="n">
        <v>1.4047</v>
      </c>
      <c r="H220" t="n">
        <v>0</v>
      </c>
      <c r="J220" t="n">
        <v>1.721</v>
      </c>
      <c r="K220" t="n">
        <v>1.285468733313768</v>
      </c>
      <c r="L220" t="n">
        <v>0.0125911811704974</v>
      </c>
      <c r="M220" t="n">
        <v>818543.04</v>
      </c>
      <c r="N220" t="n">
        <v>359028.32</v>
      </c>
      <c r="O220" t="n">
        <v>52.08</v>
      </c>
      <c r="Q220" t="n">
        <v>110.892214</v>
      </c>
      <c r="R220" t="n">
        <v>-6.493396</v>
      </c>
      <c r="S220" t="n">
        <v>160</v>
      </c>
      <c r="T220" t="n">
        <v>1539.150891</v>
      </c>
      <c r="U220" t="n">
        <v>162.083504</v>
      </c>
      <c r="V220" t="n">
        <v>140.323815</v>
      </c>
      <c r="W220" t="n">
        <v>36.566419</v>
      </c>
    </row>
    <row r="221">
      <c r="B221" t="inlineStr">
        <is>
          <t>NW_FT_High_Jetfuel_CCS_99_Herb</t>
        </is>
      </c>
      <c r="C221" t="inlineStr">
        <is>
          <t>Biomass_Herb</t>
        </is>
      </c>
      <c r="D221" t="n">
        <v>0.5096000000000001</v>
      </c>
      <c r="E221" t="n">
        <v>0</v>
      </c>
      <c r="F221" t="n">
        <v>0.3158</v>
      </c>
      <c r="G221" t="n">
        <v>1.4078</v>
      </c>
      <c r="H221" t="n">
        <v>0</v>
      </c>
      <c r="J221" t="n">
        <v>1.726</v>
      </c>
      <c r="K221" t="n">
        <v>1.289499205129741</v>
      </c>
      <c r="L221" t="n">
        <v>0.0126306596887393</v>
      </c>
      <c r="M221" t="n">
        <v>818543.04</v>
      </c>
      <c r="N221" t="n">
        <v>359028.32</v>
      </c>
      <c r="O221" t="n">
        <v>52.08</v>
      </c>
      <c r="Q221" t="n">
        <v>110.892214</v>
      </c>
      <c r="R221" t="n">
        <v>-7.381741</v>
      </c>
      <c r="S221" t="n">
        <v>160</v>
      </c>
      <c r="T221" t="n">
        <v>140.805445</v>
      </c>
      <c r="U221" t="n">
        <v>159.375106</v>
      </c>
      <c r="V221" t="n">
        <v>121.714108</v>
      </c>
      <c r="W221" t="n">
        <v>26.767046</v>
      </c>
    </row>
    <row r="222">
      <c r="B222" t="inlineStr">
        <is>
          <t>SW_FT_High_Jetfuel_CCS_99_Herb</t>
        </is>
      </c>
      <c r="C222" t="inlineStr">
        <is>
          <t>Biomass_Herb</t>
        </is>
      </c>
      <c r="D222" t="n">
        <v>0.5063</v>
      </c>
      <c r="E222" t="n">
        <v>0</v>
      </c>
      <c r="F222" t="n">
        <v>0.3137</v>
      </c>
      <c r="G222" t="n">
        <v>1.3986</v>
      </c>
      <c r="H222" t="n">
        <v>0</v>
      </c>
      <c r="J222" t="n">
        <v>1.71</v>
      </c>
      <c r="K222" t="n">
        <v>1.276417489681821</v>
      </c>
      <c r="L222" t="n">
        <v>0.0125025241340136</v>
      </c>
      <c r="M222" t="n">
        <v>818543.04</v>
      </c>
      <c r="N222" t="n">
        <v>359028.32</v>
      </c>
      <c r="O222" t="n">
        <v>52.08</v>
      </c>
      <c r="Q222" t="n">
        <v>110.892214</v>
      </c>
      <c r="R222" t="n">
        <v>-16.594224</v>
      </c>
      <c r="S222" t="n">
        <v>160</v>
      </c>
      <c r="T222" t="n">
        <v>125.807546</v>
      </c>
      <c r="U222" t="n">
        <v>143.289826</v>
      </c>
      <c r="V222" t="n">
        <v>114.17137</v>
      </c>
      <c r="W222" t="n">
        <v>28.012186</v>
      </c>
    </row>
    <row r="223">
      <c r="B223" t="inlineStr">
        <is>
          <t>TX_FT_High_Jetfuel_CCS_99_Herb</t>
        </is>
      </c>
      <c r="C223" t="inlineStr">
        <is>
          <t>Biomass_Herb</t>
        </is>
      </c>
      <c r="D223" t="n">
        <v>0.5074</v>
      </c>
      <c r="E223" t="n">
        <v>0</v>
      </c>
      <c r="F223" t="n">
        <v>0.3144</v>
      </c>
      <c r="G223" t="n">
        <v>1.4017</v>
      </c>
      <c r="H223" t="n">
        <v>0</v>
      </c>
      <c r="J223" t="n">
        <v>1.714</v>
      </c>
      <c r="K223" t="n">
        <v>1.279457661497795</v>
      </c>
      <c r="L223" t="n">
        <v>0.0125323026522555</v>
      </c>
      <c r="M223" t="n">
        <v>818543.04</v>
      </c>
      <c r="N223" t="n">
        <v>359028.32</v>
      </c>
      <c r="O223" t="n">
        <v>52.08</v>
      </c>
      <c r="Q223" t="n">
        <v>110.892214</v>
      </c>
      <c r="R223" t="n">
        <v>-21.499827</v>
      </c>
      <c r="S223" t="n">
        <v>160</v>
      </c>
      <c r="T223" t="n">
        <v>140.297617</v>
      </c>
      <c r="U223" t="n">
        <v>160.374377</v>
      </c>
      <c r="V223" t="n">
        <v>113.606838</v>
      </c>
      <c r="W223" t="n">
        <v>20.240713</v>
      </c>
    </row>
    <row r="224">
      <c r="B224" t="inlineStr">
        <is>
          <t>NCEN_FT_High_Jetfuel_CCS_99_Herb</t>
        </is>
      </c>
      <c r="C224" t="inlineStr">
        <is>
          <t>Biomass_Herb</t>
        </is>
      </c>
      <c r="D224" t="n">
        <v>0.5127</v>
      </c>
      <c r="E224" t="n">
        <v>0</v>
      </c>
      <c r="F224" t="n">
        <v>0.3177</v>
      </c>
      <c r="G224" t="n">
        <v>1.4163</v>
      </c>
      <c r="H224" t="n">
        <v>0</v>
      </c>
      <c r="J224" t="n">
        <v>1.74</v>
      </c>
      <c r="K224" t="n">
        <v>1.300830577623667</v>
      </c>
      <c r="L224" t="n">
        <v>0.0127416506139044</v>
      </c>
      <c r="M224" t="n">
        <v>818543.04</v>
      </c>
      <c r="N224" t="n">
        <v>359028.32</v>
      </c>
      <c r="O224" t="n">
        <v>52.08</v>
      </c>
      <c r="Q224" t="n">
        <v>110.892214</v>
      </c>
      <c r="R224" t="n">
        <v>-41.711711</v>
      </c>
      <c r="S224" t="n">
        <v>160</v>
      </c>
      <c r="T224" t="n">
        <v>106.368089</v>
      </c>
      <c r="U224" t="n">
        <v>117.804824</v>
      </c>
      <c r="V224" t="n">
        <v>93.32494199999999</v>
      </c>
      <c r="W224" t="n">
        <v>30.728803</v>
      </c>
    </row>
    <row r="225">
      <c r="B225" t="inlineStr">
        <is>
          <t>CEN_FT_High_Jetfuel_CCS_99_Herb</t>
        </is>
      </c>
      <c r="C225" t="inlineStr">
        <is>
          <t>Biomass_Herb</t>
        </is>
      </c>
      <c r="D225" t="n">
        <v>0.5096000000000001</v>
      </c>
      <c r="E225" t="n">
        <v>0</v>
      </c>
      <c r="F225" t="n">
        <v>0.3158</v>
      </c>
      <c r="G225" t="n">
        <v>1.4078</v>
      </c>
      <c r="H225" t="n">
        <v>0</v>
      </c>
      <c r="J225" t="n">
        <v>1.723</v>
      </c>
      <c r="K225" t="n">
        <v>1.286528305129741</v>
      </c>
      <c r="L225" t="n">
        <v>0.0126015596887393</v>
      </c>
      <c r="M225" t="n">
        <v>818543.04</v>
      </c>
      <c r="N225" t="n">
        <v>359028.32</v>
      </c>
      <c r="O225" t="n">
        <v>52.08</v>
      </c>
      <c r="Q225" t="n">
        <v>110.892214</v>
      </c>
      <c r="R225" t="n">
        <v>-31.698788</v>
      </c>
      <c r="S225" t="n">
        <v>160</v>
      </c>
      <c r="T225" t="n">
        <v>112.646846</v>
      </c>
      <c r="U225" t="n">
        <v>129.719823</v>
      </c>
      <c r="V225" t="n">
        <v>101.234661</v>
      </c>
      <c r="W225" t="n">
        <v>25.375037</v>
      </c>
    </row>
    <row r="226">
      <c r="B226" t="inlineStr">
        <is>
          <t>SE_FT_High_Jetfuel_CCS_99_Herb</t>
        </is>
      </c>
      <c r="C226" t="inlineStr">
        <is>
          <t>Biomass_Herb</t>
        </is>
      </c>
      <c r="D226" t="n">
        <v>0.5088</v>
      </c>
      <c r="E226" t="n">
        <v>0</v>
      </c>
      <c r="F226" t="n">
        <v>0.3153</v>
      </c>
      <c r="G226" t="n">
        <v>1.4055</v>
      </c>
      <c r="H226" t="n">
        <v>0</v>
      </c>
      <c r="J226" t="n">
        <v>1.717</v>
      </c>
      <c r="K226" t="n">
        <v>1.281277276267761</v>
      </c>
      <c r="L226" t="n">
        <v>0.0125501258000578</v>
      </c>
      <c r="M226" t="n">
        <v>818543.04</v>
      </c>
      <c r="N226" t="n">
        <v>359028.32</v>
      </c>
      <c r="O226" t="n">
        <v>52.08</v>
      </c>
      <c r="Q226" t="n">
        <v>110.892214</v>
      </c>
      <c r="R226" t="n">
        <v>-47.684613</v>
      </c>
      <c r="S226" t="n">
        <v>160</v>
      </c>
      <c r="T226" t="n">
        <v>100.406702</v>
      </c>
      <c r="U226" t="n">
        <v>115.539531</v>
      </c>
      <c r="V226" t="n">
        <v>89.577806</v>
      </c>
      <c r="W226" t="n">
        <v>38.228295</v>
      </c>
    </row>
    <row r="227">
      <c r="B227" t="inlineStr">
        <is>
          <t>MIDAT_FT_High_Jetfuel_CCS_99_Herb</t>
        </is>
      </c>
      <c r="C227" t="inlineStr">
        <is>
          <t>Biomass_Herb</t>
        </is>
      </c>
      <c r="D227" t="n">
        <v>0.5116000000000001</v>
      </c>
      <c r="E227" t="n">
        <v>0</v>
      </c>
      <c r="F227" t="n">
        <v>0.317</v>
      </c>
      <c r="G227" t="n">
        <v>1.4132</v>
      </c>
      <c r="H227" t="n">
        <v>0</v>
      </c>
      <c r="J227" t="n">
        <v>1.736</v>
      </c>
      <c r="K227" t="n">
        <v>1.297790405807694</v>
      </c>
      <c r="L227" t="n">
        <v>0.0127118720956626</v>
      </c>
      <c r="M227" t="n">
        <v>818543.04</v>
      </c>
      <c r="N227" t="n">
        <v>359028.32</v>
      </c>
      <c r="O227" t="n">
        <v>52.08</v>
      </c>
      <c r="Q227" t="n">
        <v>110.892214</v>
      </c>
      <c r="R227" t="n">
        <v>-54.368796</v>
      </c>
      <c r="S227" t="n">
        <v>160</v>
      </c>
      <c r="T227" t="n">
        <v>101.540719</v>
      </c>
      <c r="U227" t="n">
        <v>109.472766</v>
      </c>
      <c r="V227" t="n">
        <v>90.14609900000001</v>
      </c>
      <c r="W227" t="n">
        <v>39.376329</v>
      </c>
    </row>
    <row r="228">
      <c r="B228" t="inlineStr">
        <is>
          <t>NE_FT_High_Jetfuel_CCS_99_Herb</t>
        </is>
      </c>
      <c r="C228" t="inlineStr">
        <is>
          <t>Biomass_Herb</t>
        </is>
      </c>
      <c r="D228" t="n">
        <v>0.5135</v>
      </c>
      <c r="E228" t="n">
        <v>0</v>
      </c>
      <c r="F228" t="n">
        <v>0.3182</v>
      </c>
      <c r="G228" t="n">
        <v>1.4186</v>
      </c>
      <c r="H228" t="n">
        <v>0</v>
      </c>
      <c r="J228" t="n">
        <v>1.745</v>
      </c>
      <c r="K228" t="n">
        <v>1.305091306485647</v>
      </c>
      <c r="L228" t="n">
        <v>0.0127833845025859</v>
      </c>
      <c r="M228" t="n">
        <v>818543.04</v>
      </c>
      <c r="N228" t="n">
        <v>359028.32</v>
      </c>
      <c r="O228" t="n">
        <v>52.08</v>
      </c>
      <c r="Q228" t="n">
        <v>110.892214</v>
      </c>
      <c r="R228" t="n">
        <v>-62.623722</v>
      </c>
      <c r="S228" t="n">
        <v>160</v>
      </c>
      <c r="T228" t="n">
        <v>102.353041</v>
      </c>
      <c r="U228" t="n">
        <v>108.140489</v>
      </c>
      <c r="V228" t="n">
        <v>92.430212</v>
      </c>
      <c r="W228" t="n">
        <v>47.48771</v>
      </c>
    </row>
    <row r="229">
      <c r="B229" t="inlineStr">
        <is>
          <t>CA_FT_High_Jetfuel_CCS_99_Wood</t>
        </is>
      </c>
      <c r="C229" t="inlineStr">
        <is>
          <t>Biomass_Wood</t>
        </is>
      </c>
      <c r="D229" t="n">
        <v>0.5412</v>
      </c>
      <c r="E229" t="n">
        <v>0</v>
      </c>
      <c r="F229" t="n">
        <v>0.3354</v>
      </c>
      <c r="G229" t="n">
        <v>1.4951</v>
      </c>
      <c r="H229" t="n">
        <v>0</v>
      </c>
      <c r="J229" t="n">
        <v>1.843</v>
      </c>
      <c r="K229" t="n">
        <v>1.379345258930981</v>
      </c>
      <c r="L229" t="n">
        <v>0.0135107028290725</v>
      </c>
      <c r="M229" t="n">
        <v>818543.04</v>
      </c>
      <c r="N229" t="n">
        <v>359028.32</v>
      </c>
      <c r="O229" t="n">
        <v>52.08</v>
      </c>
      <c r="Q229" t="n">
        <v>110.892214</v>
      </c>
      <c r="R229" t="n">
        <v>-6.493396</v>
      </c>
      <c r="S229" t="n">
        <v>160</v>
      </c>
      <c r="T229" t="n">
        <v>1539.150891</v>
      </c>
      <c r="U229" t="n">
        <v>162.083504</v>
      </c>
      <c r="V229" t="n">
        <v>140.323815</v>
      </c>
      <c r="W229" t="n">
        <v>36.566419</v>
      </c>
    </row>
    <row r="230">
      <c r="B230" t="inlineStr">
        <is>
          <t>NW_FT_High_Jetfuel_CCS_99_Wood</t>
        </is>
      </c>
      <c r="C230" t="inlineStr">
        <is>
          <t>Biomass_Wood</t>
        </is>
      </c>
      <c r="D230" t="n">
        <v>0.5401</v>
      </c>
      <c r="E230" t="n">
        <v>0</v>
      </c>
      <c r="F230" t="n">
        <v>0.3347</v>
      </c>
      <c r="G230" t="n">
        <v>1.492</v>
      </c>
      <c r="H230" t="n">
        <v>0</v>
      </c>
      <c r="J230" t="n">
        <v>1.818</v>
      </c>
      <c r="K230" t="n">
        <v>1.355508787115008</v>
      </c>
      <c r="L230" t="n">
        <v>0.0132772243108306</v>
      </c>
      <c r="M230" t="n">
        <v>818543.04</v>
      </c>
      <c r="N230" t="n">
        <v>359028.32</v>
      </c>
      <c r="O230" t="n">
        <v>52.08</v>
      </c>
      <c r="Q230" t="n">
        <v>110.892214</v>
      </c>
      <c r="R230" t="n">
        <v>-7.381741</v>
      </c>
      <c r="S230" t="n">
        <v>160</v>
      </c>
      <c r="T230" t="n">
        <v>140.805445</v>
      </c>
      <c r="U230" t="n">
        <v>159.375106</v>
      </c>
      <c r="V230" t="n">
        <v>121.714108</v>
      </c>
      <c r="W230" t="n">
        <v>26.767046</v>
      </c>
    </row>
    <row r="231">
      <c r="B231" t="inlineStr">
        <is>
          <t>SW_FT_High_Jetfuel_CCS_99_Wood</t>
        </is>
      </c>
      <c r="C231" t="inlineStr">
        <is>
          <t>Biomass_Wood</t>
        </is>
      </c>
      <c r="D231" t="n">
        <v>0.5351</v>
      </c>
      <c r="E231" t="n">
        <v>0</v>
      </c>
      <c r="F231" t="n">
        <v>0.3315</v>
      </c>
      <c r="G231" t="n">
        <v>1.4781</v>
      </c>
      <c r="H231" t="n">
        <v>0</v>
      </c>
      <c r="J231" t="n">
        <v>1.798</v>
      </c>
      <c r="K231" t="n">
        <v>1.339847413943129</v>
      </c>
      <c r="L231" t="n">
        <v>0.0131238209787422</v>
      </c>
      <c r="M231" t="n">
        <v>818543.04</v>
      </c>
      <c r="N231" t="n">
        <v>359028.32</v>
      </c>
      <c r="O231" t="n">
        <v>52.08</v>
      </c>
      <c r="Q231" t="n">
        <v>110.892214</v>
      </c>
      <c r="R231" t="n">
        <v>-16.594224</v>
      </c>
      <c r="S231" t="n">
        <v>160</v>
      </c>
      <c r="T231" t="n">
        <v>125.807546</v>
      </c>
      <c r="U231" t="n">
        <v>143.289826</v>
      </c>
      <c r="V231" t="n">
        <v>114.17137</v>
      </c>
      <c r="W231" t="n">
        <v>28.012186</v>
      </c>
    </row>
    <row r="232">
      <c r="B232" t="inlineStr">
        <is>
          <t>TX_FT_High_Jetfuel_CCS_99_Wood</t>
        </is>
      </c>
      <c r="C232" t="inlineStr">
        <is>
          <t>Biomass_Wood</t>
        </is>
      </c>
      <c r="D232" t="n">
        <v>0.5309</v>
      </c>
      <c r="E232" t="n">
        <v>0</v>
      </c>
      <c r="F232" t="n">
        <v>0.3289</v>
      </c>
      <c r="G232" t="n">
        <v>1.4665</v>
      </c>
      <c r="H232" t="n">
        <v>0</v>
      </c>
      <c r="J232" t="n">
        <v>1.821</v>
      </c>
      <c r="K232" t="n">
        <v>1.36607816963323</v>
      </c>
      <c r="L232" t="n">
        <v>0.0133807515353351</v>
      </c>
      <c r="M232" t="n">
        <v>818543.04</v>
      </c>
      <c r="N232" t="n">
        <v>359028.32</v>
      </c>
      <c r="O232" t="n">
        <v>52.08</v>
      </c>
      <c r="Q232" t="n">
        <v>110.892214</v>
      </c>
      <c r="R232" t="n">
        <v>-21.499827</v>
      </c>
      <c r="S232" t="n">
        <v>160</v>
      </c>
      <c r="T232" t="n">
        <v>140.297617</v>
      </c>
      <c r="U232" t="n">
        <v>160.374377</v>
      </c>
      <c r="V232" t="n">
        <v>113.606838</v>
      </c>
      <c r="W232" t="n">
        <v>20.240713</v>
      </c>
    </row>
    <row r="233">
      <c r="B233" t="inlineStr">
        <is>
          <t>NCEN_FT_High_Jetfuel_CCS_99_Wood</t>
        </is>
      </c>
      <c r="C233" t="inlineStr">
        <is>
          <t>Biomass_Wood</t>
        </is>
      </c>
      <c r="D233" t="n">
        <v>0.5328000000000001</v>
      </c>
      <c r="E233" t="n">
        <v>0</v>
      </c>
      <c r="F233" t="n">
        <v>0.3302</v>
      </c>
      <c r="G233" t="n">
        <v>1.4719</v>
      </c>
      <c r="H233" t="n">
        <v>0</v>
      </c>
      <c r="J233" t="n">
        <v>1.802</v>
      </c>
      <c r="K233" t="n">
        <v>1.345650670311183</v>
      </c>
      <c r="L233" t="n">
        <v>0.0131806639422584</v>
      </c>
      <c r="M233" t="n">
        <v>818543.04</v>
      </c>
      <c r="N233" t="n">
        <v>359028.32</v>
      </c>
      <c r="O233" t="n">
        <v>52.08</v>
      </c>
      <c r="Q233" t="n">
        <v>110.892214</v>
      </c>
      <c r="R233" t="n">
        <v>-41.711711</v>
      </c>
      <c r="S233" t="n">
        <v>160</v>
      </c>
      <c r="T233" t="n">
        <v>106.368089</v>
      </c>
      <c r="U233" t="n">
        <v>117.804824</v>
      </c>
      <c r="V233" t="n">
        <v>93.32494199999999</v>
      </c>
      <c r="W233" t="n">
        <v>30.728803</v>
      </c>
    </row>
    <row r="234">
      <c r="B234" t="inlineStr">
        <is>
          <t>CEN_FT_High_Jetfuel_CCS_99_Wood</t>
        </is>
      </c>
      <c r="C234" t="inlineStr">
        <is>
          <t>Biomass_Wood</t>
        </is>
      </c>
      <c r="D234" t="n">
        <v>0.5331</v>
      </c>
      <c r="E234" t="n">
        <v>0</v>
      </c>
      <c r="F234" t="n">
        <v>0.3303</v>
      </c>
      <c r="G234" t="n">
        <v>1.4727</v>
      </c>
      <c r="H234" t="n">
        <v>0</v>
      </c>
      <c r="J234" t="n">
        <v>1.802</v>
      </c>
      <c r="K234" t="n">
        <v>1.345420413265176</v>
      </c>
      <c r="L234" t="n">
        <v>0.0131784085718189</v>
      </c>
      <c r="M234" t="n">
        <v>818543.04</v>
      </c>
      <c r="N234" t="n">
        <v>359028.32</v>
      </c>
      <c r="O234" t="n">
        <v>52.08</v>
      </c>
      <c r="Q234" t="n">
        <v>110.892214</v>
      </c>
      <c r="R234" t="n">
        <v>-31.698788</v>
      </c>
      <c r="S234" t="n">
        <v>160</v>
      </c>
      <c r="T234" t="n">
        <v>112.646846</v>
      </c>
      <c r="U234" t="n">
        <v>129.719823</v>
      </c>
      <c r="V234" t="n">
        <v>101.234661</v>
      </c>
      <c r="W234" t="n">
        <v>25.375037</v>
      </c>
    </row>
    <row r="235">
      <c r="B235" t="inlineStr">
        <is>
          <t>SE_FT_High_Jetfuel_CCS_99_Wood</t>
        </is>
      </c>
      <c r="C235" t="inlineStr">
        <is>
          <t>Biomass_Wood</t>
        </is>
      </c>
      <c r="D235" t="n">
        <v>0.5351</v>
      </c>
      <c r="E235" t="n">
        <v>0</v>
      </c>
      <c r="F235" t="n">
        <v>0.3315</v>
      </c>
      <c r="G235" t="n">
        <v>1.4781</v>
      </c>
      <c r="H235" t="n">
        <v>0</v>
      </c>
      <c r="J235" t="n">
        <v>1.821</v>
      </c>
      <c r="K235" t="n">
        <v>1.362624313943129</v>
      </c>
      <c r="L235" t="n">
        <v>0.0133469209787422</v>
      </c>
      <c r="M235" t="n">
        <v>818543.04</v>
      </c>
      <c r="N235" t="n">
        <v>359028.32</v>
      </c>
      <c r="O235" t="n">
        <v>52.08</v>
      </c>
      <c r="Q235" t="n">
        <v>110.892214</v>
      </c>
      <c r="R235" t="n">
        <v>-47.684613</v>
      </c>
      <c r="S235" t="n">
        <v>160</v>
      </c>
      <c r="T235" t="n">
        <v>100.406702</v>
      </c>
      <c r="U235" t="n">
        <v>115.539531</v>
      </c>
      <c r="V235" t="n">
        <v>89.577806</v>
      </c>
      <c r="W235" t="n">
        <v>38.228295</v>
      </c>
    </row>
    <row r="236">
      <c r="B236" t="inlineStr">
        <is>
          <t>MIDAT_FT_High_Jetfuel_CCS_99_Wood</t>
        </is>
      </c>
      <c r="C236" t="inlineStr">
        <is>
          <t>Biomass_Wood</t>
        </is>
      </c>
      <c r="D236" t="n">
        <v>0.5314</v>
      </c>
      <c r="E236" t="n">
        <v>0</v>
      </c>
      <c r="F236" t="n">
        <v>0.3293</v>
      </c>
      <c r="G236" t="n">
        <v>1.4681</v>
      </c>
      <c r="H236" t="n">
        <v>0</v>
      </c>
      <c r="J236" t="n">
        <v>1.806</v>
      </c>
      <c r="K236" t="n">
        <v>1.350763155541217</v>
      </c>
      <c r="L236" t="n">
        <v>0.013230740794456</v>
      </c>
      <c r="M236" t="n">
        <v>818543.04</v>
      </c>
      <c r="N236" t="n">
        <v>359028.32</v>
      </c>
      <c r="O236" t="n">
        <v>52.08</v>
      </c>
      <c r="Q236" t="n">
        <v>110.892214</v>
      </c>
      <c r="R236" t="n">
        <v>-54.368796</v>
      </c>
      <c r="S236" t="n">
        <v>160</v>
      </c>
      <c r="T236" t="n">
        <v>101.540719</v>
      </c>
      <c r="U236" t="n">
        <v>109.472766</v>
      </c>
      <c r="V236" t="n">
        <v>90.14609900000001</v>
      </c>
      <c r="W236" t="n">
        <v>39.376329</v>
      </c>
    </row>
    <row r="237">
      <c r="B237" t="inlineStr">
        <is>
          <t>NE_FT_High_Jetfuel_CCS_99_Wood</t>
        </is>
      </c>
      <c r="C237" t="inlineStr">
        <is>
          <t>Biomass_Wood</t>
        </is>
      </c>
      <c r="D237" t="n">
        <v>0.5281</v>
      </c>
      <c r="E237" t="n">
        <v>0</v>
      </c>
      <c r="F237" t="n">
        <v>0.3272</v>
      </c>
      <c r="G237" t="n">
        <v>1.4588</v>
      </c>
      <c r="H237" t="n">
        <v>0</v>
      </c>
      <c r="J237" t="n">
        <v>1.826</v>
      </c>
      <c r="K237" t="n">
        <v>1.373332240093297</v>
      </c>
      <c r="L237" t="n">
        <v>0.0134518052397304</v>
      </c>
      <c r="M237" t="n">
        <v>818543.04</v>
      </c>
      <c r="N237" t="n">
        <v>359028.32</v>
      </c>
      <c r="O237" t="n">
        <v>52.08</v>
      </c>
      <c r="Q237" t="n">
        <v>110.892214</v>
      </c>
      <c r="R237" t="n">
        <v>-62.623722</v>
      </c>
      <c r="S237" t="n">
        <v>160</v>
      </c>
      <c r="T237" t="n">
        <v>102.353041</v>
      </c>
      <c r="U237" t="n">
        <v>108.140489</v>
      </c>
      <c r="V237" t="n">
        <v>92.430212</v>
      </c>
      <c r="W237" t="n">
        <v>47.48771</v>
      </c>
    </row>
    <row r="238">
      <c r="B238" t="inlineStr">
        <is>
          <t>CA_FT_High_Jetfuel_CCS_99_Agri</t>
        </is>
      </c>
      <c r="C238" t="inlineStr">
        <is>
          <t>Biomass_Agri</t>
        </is>
      </c>
      <c r="D238" t="n">
        <v>0.5113</v>
      </c>
      <c r="E238" t="n">
        <v>0</v>
      </c>
      <c r="F238" t="n">
        <v>0.3168</v>
      </c>
      <c r="G238" t="n">
        <v>1.4125</v>
      </c>
      <c r="H238" t="n">
        <v>0</v>
      </c>
      <c r="J238" t="n">
        <v>1.719</v>
      </c>
      <c r="K238" t="n">
        <v>1.281185562853701</v>
      </c>
      <c r="L238" t="n">
        <v>0.0125492274661021</v>
      </c>
      <c r="M238" t="n">
        <v>818543.04</v>
      </c>
      <c r="N238" t="n">
        <v>359028.32</v>
      </c>
      <c r="O238" t="n">
        <v>52.08</v>
      </c>
      <c r="Q238" t="n">
        <v>110.892214</v>
      </c>
      <c r="R238" t="n">
        <v>-6.493396</v>
      </c>
      <c r="S238" t="n">
        <v>160</v>
      </c>
      <c r="T238" t="n">
        <v>1539.150891</v>
      </c>
      <c r="U238" t="n">
        <v>162.083504</v>
      </c>
      <c r="V238" t="n">
        <v>140.323815</v>
      </c>
      <c r="W238" t="n">
        <v>36.566419</v>
      </c>
    </row>
    <row r="239">
      <c r="B239" t="inlineStr">
        <is>
          <t>NW_FT_High_Jetfuel_CCS_99_Agri</t>
        </is>
      </c>
      <c r="C239" t="inlineStr">
        <is>
          <t>Biomass_Agri</t>
        </is>
      </c>
      <c r="D239" t="n">
        <v>0.4674</v>
      </c>
      <c r="E239" t="n">
        <v>0</v>
      </c>
      <c r="F239" t="n">
        <v>0.2896</v>
      </c>
      <c r="G239" t="n">
        <v>1.2912</v>
      </c>
      <c r="H239" t="n">
        <v>0</v>
      </c>
      <c r="J239" t="n">
        <v>1.664</v>
      </c>
      <c r="K239" t="n">
        <v>1.262869419076756</v>
      </c>
      <c r="L239" t="n">
        <v>0.0123698206251081</v>
      </c>
      <c r="M239" t="n">
        <v>818543.04</v>
      </c>
      <c r="N239" t="n">
        <v>359028.32</v>
      </c>
      <c r="O239" t="n">
        <v>52.08</v>
      </c>
      <c r="Q239" t="n">
        <v>110.892214</v>
      </c>
      <c r="R239" t="n">
        <v>-7.381741</v>
      </c>
      <c r="S239" t="n">
        <v>160</v>
      </c>
      <c r="T239" t="n">
        <v>140.805445</v>
      </c>
      <c r="U239" t="n">
        <v>159.375106</v>
      </c>
      <c r="V239" t="n">
        <v>121.714108</v>
      </c>
      <c r="W239" t="n">
        <v>26.767046</v>
      </c>
    </row>
    <row r="240">
      <c r="B240" t="inlineStr">
        <is>
          <t>SW_FT_High_Jetfuel_CCS_99_Agri</t>
        </is>
      </c>
      <c r="C240" t="inlineStr">
        <is>
          <t>Biomass_Agri</t>
        </is>
      </c>
      <c r="D240" t="n">
        <v>0.4761</v>
      </c>
      <c r="E240" t="n">
        <v>0</v>
      </c>
      <c r="F240" t="n">
        <v>0.295</v>
      </c>
      <c r="G240" t="n">
        <v>1.3152</v>
      </c>
      <c r="H240" t="n">
        <v>0</v>
      </c>
      <c r="J240" t="n">
        <v>1.687</v>
      </c>
      <c r="K240" t="n">
        <v>1.278508350650548</v>
      </c>
      <c r="L240" t="n">
        <v>0.0125230041414827</v>
      </c>
      <c r="M240" t="n">
        <v>818543.04</v>
      </c>
      <c r="N240" t="n">
        <v>359028.32</v>
      </c>
      <c r="O240" t="n">
        <v>52.08</v>
      </c>
      <c r="Q240" t="n">
        <v>110.892214</v>
      </c>
      <c r="R240" t="n">
        <v>-16.594224</v>
      </c>
      <c r="S240" t="n">
        <v>160</v>
      </c>
      <c r="T240" t="n">
        <v>125.807546</v>
      </c>
      <c r="U240" t="n">
        <v>143.289826</v>
      </c>
      <c r="V240" t="n">
        <v>114.17137</v>
      </c>
      <c r="W240" t="n">
        <v>28.012186</v>
      </c>
    </row>
    <row r="241">
      <c r="B241" t="inlineStr">
        <is>
          <t>TX_FT_High_Jetfuel_CCS_99_Agri</t>
        </is>
      </c>
      <c r="C241" t="inlineStr">
        <is>
          <t>Biomass_Agri</t>
        </is>
      </c>
      <c r="D241" t="n">
        <v>0.4638</v>
      </c>
      <c r="E241" t="n">
        <v>0</v>
      </c>
      <c r="F241" t="n">
        <v>0.2874</v>
      </c>
      <c r="G241" t="n">
        <v>1.2812</v>
      </c>
      <c r="H241" t="n">
        <v>0</v>
      </c>
      <c r="J241" t="n">
        <v>1.633</v>
      </c>
      <c r="K241" t="n">
        <v>1.235163460674844</v>
      </c>
      <c r="L241" t="n">
        <v>0.012098440440822</v>
      </c>
      <c r="M241" t="n">
        <v>818543.04</v>
      </c>
      <c r="N241" t="n">
        <v>359028.32</v>
      </c>
      <c r="O241" t="n">
        <v>52.08</v>
      </c>
      <c r="Q241" t="n">
        <v>110.892214</v>
      </c>
      <c r="R241" t="n">
        <v>-21.499827</v>
      </c>
      <c r="S241" t="n">
        <v>160</v>
      </c>
      <c r="T241" t="n">
        <v>140.297617</v>
      </c>
      <c r="U241" t="n">
        <v>160.374377</v>
      </c>
      <c r="V241" t="n">
        <v>113.606838</v>
      </c>
      <c r="W241" t="n">
        <v>20.240713</v>
      </c>
    </row>
    <row r="242">
      <c r="B242" t="inlineStr">
        <is>
          <t>NCEN_FT_High_Jetfuel_CCS_99_Agri</t>
        </is>
      </c>
      <c r="C242" t="inlineStr">
        <is>
          <t>Biomass_Agri</t>
        </is>
      </c>
      <c r="D242" t="n">
        <v>0.4836</v>
      </c>
      <c r="E242" t="n">
        <v>0</v>
      </c>
      <c r="F242" t="n">
        <v>0.2997</v>
      </c>
      <c r="G242" t="n">
        <v>1.336</v>
      </c>
      <c r="H242" t="n">
        <v>0</v>
      </c>
      <c r="J242" t="n">
        <v>1.71</v>
      </c>
      <c r="K242" t="n">
        <v>1.295068310408366</v>
      </c>
      <c r="L242" t="n">
        <v>0.0126852091396154</v>
      </c>
      <c r="M242" t="n">
        <v>818543.04</v>
      </c>
      <c r="N242" t="n">
        <v>359028.32</v>
      </c>
      <c r="O242" t="n">
        <v>52.08</v>
      </c>
      <c r="Q242" t="n">
        <v>110.892214</v>
      </c>
      <c r="R242" t="n">
        <v>-41.711711</v>
      </c>
      <c r="S242" t="n">
        <v>160</v>
      </c>
      <c r="T242" t="n">
        <v>106.368089</v>
      </c>
      <c r="U242" t="n">
        <v>117.804824</v>
      </c>
      <c r="V242" t="n">
        <v>93.32494199999999</v>
      </c>
      <c r="W242" t="n">
        <v>30.728803</v>
      </c>
    </row>
    <row r="243">
      <c r="B243" t="inlineStr">
        <is>
          <t>CEN_FT_High_Jetfuel_CCS_99_Agri</t>
        </is>
      </c>
      <c r="C243" t="inlineStr">
        <is>
          <t>Biomass_Agri</t>
        </is>
      </c>
      <c r="D243" t="n">
        <v>0.48</v>
      </c>
      <c r="E243" t="n">
        <v>0</v>
      </c>
      <c r="F243" t="n">
        <v>0.2974</v>
      </c>
      <c r="G243" t="n">
        <v>1.326</v>
      </c>
      <c r="H243" t="n">
        <v>0</v>
      </c>
      <c r="J243" t="n">
        <v>1.7</v>
      </c>
      <c r="K243" t="n">
        <v>1.288158652006454</v>
      </c>
      <c r="L243" t="n">
        <v>0.0126175289553293</v>
      </c>
      <c r="M243" t="n">
        <v>818543.04</v>
      </c>
      <c r="N243" t="n">
        <v>359028.32</v>
      </c>
      <c r="O243" t="n">
        <v>52.08</v>
      </c>
      <c r="Q243" t="n">
        <v>110.892214</v>
      </c>
      <c r="R243" t="n">
        <v>-31.698788</v>
      </c>
      <c r="S243" t="n">
        <v>160</v>
      </c>
      <c r="T243" t="n">
        <v>112.646846</v>
      </c>
      <c r="U243" t="n">
        <v>129.719823</v>
      </c>
      <c r="V243" t="n">
        <v>101.234661</v>
      </c>
      <c r="W243" t="n">
        <v>25.375037</v>
      </c>
    </row>
    <row r="244">
      <c r="B244" t="inlineStr">
        <is>
          <t>SE_FT_High_Jetfuel_CCS_99_Agri</t>
        </is>
      </c>
      <c r="C244" t="inlineStr">
        <is>
          <t>Biomass_Agri</t>
        </is>
      </c>
      <c r="D244" t="n">
        <v>0.4817</v>
      </c>
      <c r="E244" t="n">
        <v>0</v>
      </c>
      <c r="F244" t="n">
        <v>0.2985</v>
      </c>
      <c r="G244" t="n">
        <v>1.3306</v>
      </c>
      <c r="H244" t="n">
        <v>0</v>
      </c>
      <c r="J244" t="n">
        <v>1.689</v>
      </c>
      <c r="K244" t="n">
        <v>1.275883809730414</v>
      </c>
      <c r="L244" t="n">
        <v>0.0124972967326921</v>
      </c>
      <c r="M244" t="n">
        <v>818543.04</v>
      </c>
      <c r="N244" t="n">
        <v>359028.32</v>
      </c>
      <c r="O244" t="n">
        <v>52.08</v>
      </c>
      <c r="Q244" t="n">
        <v>110.892214</v>
      </c>
      <c r="R244" t="n">
        <v>-47.684613</v>
      </c>
      <c r="S244" t="n">
        <v>160</v>
      </c>
      <c r="T244" t="n">
        <v>100.406702</v>
      </c>
      <c r="U244" t="n">
        <v>115.539531</v>
      </c>
      <c r="V244" t="n">
        <v>89.577806</v>
      </c>
      <c r="W244" t="n">
        <v>38.228295</v>
      </c>
    </row>
    <row r="245">
      <c r="B245" t="inlineStr">
        <is>
          <t>MIDAT_FT_High_Jetfuel_CCS_99_Agri</t>
        </is>
      </c>
      <c r="C245" t="inlineStr">
        <is>
          <t>Biomass_Agri</t>
        </is>
      </c>
      <c r="D245" t="n">
        <v>0.4831</v>
      </c>
      <c r="E245" t="n">
        <v>0</v>
      </c>
      <c r="F245" t="n">
        <v>0.2993</v>
      </c>
      <c r="G245" t="n">
        <v>1.3345</v>
      </c>
      <c r="H245" t="n">
        <v>0</v>
      </c>
      <c r="J245" t="n">
        <v>1.708</v>
      </c>
      <c r="K245" t="n">
        <v>1.29354822450038</v>
      </c>
      <c r="L245" t="n">
        <v>0.0126703198804945</v>
      </c>
      <c r="M245" t="n">
        <v>818543.04</v>
      </c>
      <c r="N245" t="n">
        <v>359028.32</v>
      </c>
      <c r="O245" t="n">
        <v>52.08</v>
      </c>
      <c r="Q245" t="n">
        <v>110.892214</v>
      </c>
      <c r="R245" t="n">
        <v>-54.368796</v>
      </c>
      <c r="S245" t="n">
        <v>160</v>
      </c>
      <c r="T245" t="n">
        <v>101.540719</v>
      </c>
      <c r="U245" t="n">
        <v>109.472766</v>
      </c>
      <c r="V245" t="n">
        <v>90.14609900000001</v>
      </c>
      <c r="W245" t="n">
        <v>39.376329</v>
      </c>
    </row>
    <row r="246">
      <c r="B246" t="inlineStr">
        <is>
          <t>NE_FT_High_Jetfuel_CCS_99_Agri</t>
        </is>
      </c>
      <c r="C246" t="inlineStr">
        <is>
          <t>Biomass_Agri</t>
        </is>
      </c>
      <c r="D246" t="n">
        <v>0.4887</v>
      </c>
      <c r="E246" t="n">
        <v>0</v>
      </c>
      <c r="F246" t="n">
        <v>0.3028</v>
      </c>
      <c r="G246" t="n">
        <v>1.3499</v>
      </c>
      <c r="H246" t="n">
        <v>0</v>
      </c>
      <c r="J246" t="n">
        <v>1.715</v>
      </c>
      <c r="K246" t="n">
        <v>1.295875183580245</v>
      </c>
      <c r="L246" t="n">
        <v>0.0126931124717039</v>
      </c>
      <c r="M246" t="n">
        <v>818543.04</v>
      </c>
      <c r="N246" t="n">
        <v>359028.32</v>
      </c>
      <c r="O246" t="n">
        <v>52.08</v>
      </c>
      <c r="Q246" t="n">
        <v>110.892214</v>
      </c>
      <c r="R246" t="n">
        <v>-62.623722</v>
      </c>
      <c r="S246" t="n">
        <v>160</v>
      </c>
      <c r="T246" t="n">
        <v>102.353041</v>
      </c>
      <c r="U246" t="n">
        <v>108.140489</v>
      </c>
      <c r="V246" t="n">
        <v>92.430212</v>
      </c>
      <c r="W246" t="n">
        <v>47.48771</v>
      </c>
    </row>
    <row r="24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lc_detailed!AD4</f>
        <v/>
      </c>
      <c r="D3">
        <f>lc_detailed!AE4</f>
        <v/>
      </c>
      <c r="E3">
        <f>lc_detailed!AF4</f>
        <v/>
      </c>
      <c r="F3">
        <f>lc_detailed!#REF!</f>
        <v/>
      </c>
      <c r="G3">
        <f>lc_detailed!AG4</f>
        <v/>
      </c>
      <c r="H3">
        <f>lc_detailed!AH4</f>
        <v/>
      </c>
      <c r="I3">
        <f>lc_detailed!AI4</f>
        <v/>
      </c>
      <c r="J3">
        <f>lc_detailed!AK4</f>
        <v/>
      </c>
      <c r="K3">
        <f>lc_detailed!AL4</f>
        <v/>
      </c>
      <c r="L3">
        <f>lc_detailed!AB4</f>
        <v/>
      </c>
      <c r="M3">
        <f>lc_detailed!#REF!</f>
        <v/>
      </c>
      <c r="O3">
        <f t="array" ref="O3:Z74">_xlfn._xlws.SORT(B3:M74, 11, 1)</f>
        <v/>
      </c>
      <c r="P3" t="n">
        <v>0</v>
      </c>
      <c r="Q3" t="n">
        <v>1.304361127893429</v>
      </c>
      <c r="R3" t="n">
        <v>54.76207818665699</v>
      </c>
      <c r="S3" t="e">
        <v>#REF!</v>
      </c>
      <c r="T3" t="n">
        <v>1.845971685370083</v>
      </c>
      <c r="U3" t="n">
        <v>8.232258905337231</v>
      </c>
      <c r="V3" t="n">
        <v>-8.143443156227582</v>
      </c>
      <c r="W3" t="n">
        <v>-5.398840508864385</v>
      </c>
      <c r="X3" t="n">
        <v>-25.22139812421864</v>
      </c>
      <c r="Y3" t="n">
        <v>27.38098811594712</v>
      </c>
      <c r="Z3" t="e">
        <v>#REF!</v>
      </c>
    </row>
    <row r="4">
      <c r="B4">
        <f>lc_detailed!B5</f>
        <v/>
      </c>
      <c r="C4">
        <f>lc_detailed!AD5</f>
        <v/>
      </c>
      <c r="D4">
        <f>lc_detailed!AE5</f>
        <v/>
      </c>
      <c r="E4">
        <f>lc_detailed!AF5</f>
        <v/>
      </c>
      <c r="F4">
        <f>lc_detailed!#REF!</f>
        <v/>
      </c>
      <c r="G4">
        <f>lc_detailed!AG5</f>
        <v/>
      </c>
      <c r="H4">
        <f>lc_detailed!AH5</f>
        <v/>
      </c>
      <c r="I4">
        <f>lc_detailed!AI5</f>
        <v/>
      </c>
      <c r="J4">
        <f>lc_detailed!AK5</f>
        <v/>
      </c>
      <c r="K4">
        <f>lc_detailed!AL5</f>
        <v/>
      </c>
      <c r="L4">
        <f>lc_detailed!AB5</f>
        <v/>
      </c>
      <c r="M4">
        <f>lc_detailed!#REF!</f>
        <v/>
      </c>
      <c r="O4" t="inlineStr">
        <is>
          <t>CA_Gasoline_Gasification_Non_CCS_Herb</t>
        </is>
      </c>
      <c r="P4" t="n">
        <v>0</v>
      </c>
      <c r="Q4" t="n">
        <v>0.7360518117574211</v>
      </c>
      <c r="R4" t="n">
        <v>54.76207818665699</v>
      </c>
      <c r="S4" t="e">
        <v>#REF!</v>
      </c>
      <c r="T4" t="n">
        <v>1.121917381925237</v>
      </c>
      <c r="U4" t="n">
        <v>7.835557847855159</v>
      </c>
      <c r="V4" t="n">
        <v>-8.172434844679341</v>
      </c>
      <c r="W4" t="n">
        <v>-11.76703281777212</v>
      </c>
      <c r="X4" t="n">
        <v>2.085885814360691</v>
      </c>
      <c r="Y4" t="n">
        <v>46.60202338010404</v>
      </c>
      <c r="Z4" t="e">
        <v>#REF!</v>
      </c>
    </row>
    <row r="5">
      <c r="B5">
        <f>lc_detailed!B6</f>
        <v/>
      </c>
      <c r="C5">
        <f>lc_detailed!AD6</f>
        <v/>
      </c>
      <c r="D5">
        <f>lc_detailed!AE6</f>
        <v/>
      </c>
      <c r="E5">
        <f>lc_detailed!AF6</f>
        <v/>
      </c>
      <c r="F5">
        <f>lc_detailed!#REF!</f>
        <v/>
      </c>
      <c r="G5">
        <f>lc_detailed!AG6</f>
        <v/>
      </c>
      <c r="H5">
        <f>lc_detailed!AH6</f>
        <v/>
      </c>
      <c r="I5">
        <f>lc_detailed!AI6</f>
        <v/>
      </c>
      <c r="J5">
        <f>lc_detailed!AK6</f>
        <v/>
      </c>
      <c r="K5">
        <f>lc_detailed!AL6</f>
        <v/>
      </c>
      <c r="L5">
        <f>lc_detailed!AB6</f>
        <v/>
      </c>
      <c r="M5">
        <f>lc_detailed!#REF!</f>
        <v/>
      </c>
      <c r="O5" t="inlineStr">
        <is>
          <t>CA_Gasoline_Gasification_Non_CCS_Herb</t>
        </is>
      </c>
      <c r="P5" t="n">
        <v>0</v>
      </c>
      <c r="Q5" t="n">
        <v>1.00483237199334</v>
      </c>
      <c r="R5" t="n">
        <v>54.76207818665699</v>
      </c>
      <c r="S5" t="e">
        <v>#REF!</v>
      </c>
      <c r="T5" t="n">
        <v>1.121917381925237</v>
      </c>
      <c r="U5" t="n">
        <v>7.835557847855159</v>
      </c>
      <c r="V5" t="n">
        <v>-8.172434844679341</v>
      </c>
      <c r="W5" t="n">
        <v>-11.86599481984712</v>
      </c>
      <c r="X5" t="n">
        <v>2.085885814360691</v>
      </c>
      <c r="Y5" t="n">
        <v>46.77184193826495</v>
      </c>
      <c r="Z5" t="e">
        <v>#REF!</v>
      </c>
    </row>
    <row r="6">
      <c r="B6">
        <f>lc_detailed!B7</f>
        <v/>
      </c>
      <c r="C6">
        <f>lc_detailed!AD7</f>
        <v/>
      </c>
      <c r="D6">
        <f>lc_detailed!AE7</f>
        <v/>
      </c>
      <c r="E6">
        <f>lc_detailed!AF7</f>
        <v/>
      </c>
      <c r="F6">
        <f>lc_detailed!#REF!</f>
        <v/>
      </c>
      <c r="G6">
        <f>lc_detailed!AG7</f>
        <v/>
      </c>
      <c r="H6">
        <f>lc_detailed!AH7</f>
        <v/>
      </c>
      <c r="I6">
        <f>lc_detailed!AI7</f>
        <v/>
      </c>
      <c r="J6">
        <f>lc_detailed!AK7</f>
        <v/>
      </c>
      <c r="K6">
        <f>lc_detailed!AL7</f>
        <v/>
      </c>
      <c r="L6">
        <f>lc_detailed!AB7</f>
        <v/>
      </c>
      <c r="M6">
        <f>lc_detailed!#REF!</f>
        <v/>
      </c>
      <c r="O6" t="inlineStr">
        <is>
          <t>CA_Gasoline_Gasification_Non_CCS_Herb</t>
        </is>
      </c>
      <c r="P6" t="n">
        <v>0</v>
      </c>
      <c r="Q6" t="n">
        <v>0.7697008801892076</v>
      </c>
      <c r="R6" t="n">
        <v>54.76207818665699</v>
      </c>
      <c r="S6" t="e">
        <v>#REF!</v>
      </c>
      <c r="T6" t="n">
        <v>1.121917381925237</v>
      </c>
      <c r="U6" t="n">
        <v>7.835557847855159</v>
      </c>
      <c r="V6" t="n">
        <v>-8.172434844679341</v>
      </c>
      <c r="W6" t="n">
        <v>-10.70194303918676</v>
      </c>
      <c r="X6" t="n">
        <v>2.085885814360691</v>
      </c>
      <c r="Y6" t="n">
        <v>47.70076222712119</v>
      </c>
      <c r="Z6" t="e">
        <v>#REF!</v>
      </c>
    </row>
    <row r="7">
      <c r="B7">
        <f>lc_detailed!B8</f>
        <v/>
      </c>
      <c r="C7">
        <f>lc_detailed!AD8</f>
        <v/>
      </c>
      <c r="D7">
        <f>lc_detailed!AE8</f>
        <v/>
      </c>
      <c r="E7">
        <f>lc_detailed!AF8</f>
        <v/>
      </c>
      <c r="F7">
        <f>lc_detailed!#REF!</f>
        <v/>
      </c>
      <c r="G7">
        <f>lc_detailed!AG8</f>
        <v/>
      </c>
      <c r="H7">
        <f>lc_detailed!AH8</f>
        <v/>
      </c>
      <c r="I7">
        <f>lc_detailed!AI8</f>
        <v/>
      </c>
      <c r="J7">
        <f>lc_detailed!AK8</f>
        <v/>
      </c>
      <c r="K7">
        <f>lc_detailed!AL8</f>
        <v/>
      </c>
      <c r="L7">
        <f>lc_detailed!AB8</f>
        <v/>
      </c>
      <c r="M7">
        <f>lc_detailed!#REF!</f>
        <v/>
      </c>
      <c r="O7" t="inlineStr">
        <is>
          <t>CA_Gasoline_Gasification_Non_CCS_Herb</t>
        </is>
      </c>
      <c r="P7" t="n">
        <v>0</v>
      </c>
      <c r="Q7" t="n">
        <v>0.7360518117574211</v>
      </c>
      <c r="R7" t="n">
        <v>54.76207818665699</v>
      </c>
      <c r="S7" t="e">
        <v>#REF!</v>
      </c>
      <c r="T7" t="n">
        <v>1.845971685370083</v>
      </c>
      <c r="U7" t="n">
        <v>8.232258905337231</v>
      </c>
      <c r="V7" t="n">
        <v>-8.143443156227582</v>
      </c>
      <c r="W7" t="n">
        <v>-11.76703281777212</v>
      </c>
      <c r="X7" t="n">
        <v>2.085885814360691</v>
      </c>
      <c r="Y7" t="n">
        <v>47.7517704294827</v>
      </c>
      <c r="Z7" t="e">
        <v>#REF!</v>
      </c>
    </row>
    <row r="8">
      <c r="B8">
        <f>lc_detailed!B9</f>
        <v/>
      </c>
      <c r="C8">
        <f>lc_detailed!AD9</f>
        <v/>
      </c>
      <c r="D8">
        <f>lc_detailed!AE9</f>
        <v/>
      </c>
      <c r="E8">
        <f>lc_detailed!AF9</f>
        <v/>
      </c>
      <c r="F8">
        <f>lc_detailed!#REF!</f>
        <v/>
      </c>
      <c r="G8">
        <f>lc_detailed!AG9</f>
        <v/>
      </c>
      <c r="H8">
        <f>lc_detailed!AH9</f>
        <v/>
      </c>
      <c r="I8">
        <f>lc_detailed!AI9</f>
        <v/>
      </c>
      <c r="J8">
        <f>lc_detailed!AK9</f>
        <v/>
      </c>
      <c r="K8">
        <f>lc_detailed!AL9</f>
        <v/>
      </c>
      <c r="L8">
        <f>lc_detailed!AB9</f>
        <v/>
      </c>
      <c r="M8">
        <f>lc_detailed!#REF!</f>
        <v/>
      </c>
      <c r="O8" t="inlineStr">
        <is>
          <t>CA_Gasoline_Gasification_Non_CCS_Herb</t>
        </is>
      </c>
      <c r="P8" t="n">
        <v>0</v>
      </c>
      <c r="Q8" t="n">
        <v>1.00483237199334</v>
      </c>
      <c r="R8" t="n">
        <v>54.76207818665699</v>
      </c>
      <c r="S8" t="e">
        <v>#REF!</v>
      </c>
      <c r="T8" t="n">
        <v>1.845971685370083</v>
      </c>
      <c r="U8" t="n">
        <v>8.232258905337231</v>
      </c>
      <c r="V8" t="n">
        <v>-8.143443156227582</v>
      </c>
      <c r="W8" t="n">
        <v>-11.86599481984712</v>
      </c>
      <c r="X8" t="n">
        <v>2.085885814360691</v>
      </c>
      <c r="Y8" t="n">
        <v>47.92158898764363</v>
      </c>
      <c r="Z8" t="e">
        <v>#REF!</v>
      </c>
    </row>
    <row r="9">
      <c r="B9">
        <f>lc_detailed!B10</f>
        <v/>
      </c>
      <c r="C9">
        <f>lc_detailed!AD10</f>
        <v/>
      </c>
      <c r="D9">
        <f>lc_detailed!AE10</f>
        <v/>
      </c>
      <c r="E9">
        <f>lc_detailed!AF10</f>
        <v/>
      </c>
      <c r="F9">
        <f>lc_detailed!#REF!</f>
        <v/>
      </c>
      <c r="G9">
        <f>lc_detailed!AG10</f>
        <v/>
      </c>
      <c r="H9">
        <f>lc_detailed!AH10</f>
        <v/>
      </c>
      <c r="I9">
        <f>lc_detailed!AI10</f>
        <v/>
      </c>
      <c r="J9">
        <f>lc_detailed!AK10</f>
        <v/>
      </c>
      <c r="K9">
        <f>lc_detailed!AL10</f>
        <v/>
      </c>
      <c r="L9">
        <f>lc_detailed!AB10</f>
        <v/>
      </c>
      <c r="M9">
        <f>lc_detailed!#REF!</f>
        <v/>
      </c>
      <c r="O9" t="inlineStr">
        <is>
          <t>CA_Gasoline_Gasification_Non_CCS_Herb</t>
        </is>
      </c>
      <c r="P9" t="n">
        <v>0</v>
      </c>
      <c r="Q9" t="n">
        <v>0.5561594320343651</v>
      </c>
      <c r="R9" t="n">
        <v>54.76207818665699</v>
      </c>
      <c r="S9" t="e">
        <v>#REF!</v>
      </c>
      <c r="T9" t="n">
        <v>1.121917381925237</v>
      </c>
      <c r="U9" t="n">
        <v>7.835557847855159</v>
      </c>
      <c r="V9" t="n">
        <v>-8.172434844679341</v>
      </c>
      <c r="W9" t="n">
        <v>-10.13642665887811</v>
      </c>
      <c r="X9" t="n">
        <v>2.085885814360691</v>
      </c>
      <c r="Y9" t="n">
        <v>48.052737159275</v>
      </c>
      <c r="Z9" t="e">
        <v>#REF!</v>
      </c>
    </row>
    <row r="10">
      <c r="B10">
        <f>lc_detailed!B11</f>
        <v/>
      </c>
      <c r="C10">
        <f>lc_detailed!AD11</f>
        <v/>
      </c>
      <c r="D10">
        <f>lc_detailed!AE11</f>
        <v/>
      </c>
      <c r="E10">
        <f>lc_detailed!AF11</f>
        <v/>
      </c>
      <c r="F10">
        <f>lc_detailed!#REF!</f>
        <v/>
      </c>
      <c r="G10">
        <f>lc_detailed!AG11</f>
        <v/>
      </c>
      <c r="H10">
        <f>lc_detailed!AH11</f>
        <v/>
      </c>
      <c r="I10">
        <f>lc_detailed!AI11</f>
        <v/>
      </c>
      <c r="J10">
        <f>lc_detailed!AK11</f>
        <v/>
      </c>
      <c r="K10">
        <f>lc_detailed!AL11</f>
        <v/>
      </c>
      <c r="L10">
        <f>lc_detailed!AB11</f>
        <v/>
      </c>
      <c r="M10">
        <f>lc_detailed!#REF!</f>
        <v/>
      </c>
      <c r="O10" t="n">
        <v>0</v>
      </c>
      <c r="P10" t="n">
        <v>0</v>
      </c>
      <c r="Q10" t="n">
        <v>0.7697008801892076</v>
      </c>
      <c r="R10" t="n">
        <v>54.76207818665699</v>
      </c>
      <c r="S10" t="e">
        <v>#REF!</v>
      </c>
      <c r="T10" t="n">
        <v>1.845971685370083</v>
      </c>
      <c r="U10" t="n">
        <v>8.232258905337231</v>
      </c>
      <c r="V10" t="n">
        <v>-8.143443156227582</v>
      </c>
      <c r="W10" t="n">
        <v>-10.70194303918676</v>
      </c>
      <c r="X10" t="n">
        <v>2.085885814360691</v>
      </c>
      <c r="Y10" t="n">
        <v>48.85050927649986</v>
      </c>
      <c r="Z10" t="e">
        <v>#REF!</v>
      </c>
    </row>
    <row r="11">
      <c r="B11">
        <f>lc_detailed!B12</f>
        <v/>
      </c>
      <c r="C11">
        <f>lc_detailed!AD12</f>
        <v/>
      </c>
      <c r="D11">
        <f>lc_detailed!AE12</f>
        <v/>
      </c>
      <c r="E11">
        <f>lc_detailed!AF12</f>
        <v/>
      </c>
      <c r="F11">
        <f>lc_detailed!#REF!</f>
        <v/>
      </c>
      <c r="G11">
        <f>lc_detailed!AG12</f>
        <v/>
      </c>
      <c r="H11">
        <f>lc_detailed!AH12</f>
        <v/>
      </c>
      <c r="I11">
        <f>lc_detailed!AI12</f>
        <v/>
      </c>
      <c r="J11">
        <f>lc_detailed!AK12</f>
        <v/>
      </c>
      <c r="K11">
        <f>lc_detailed!AL12</f>
        <v/>
      </c>
      <c r="L11">
        <f>lc_detailed!AB12</f>
        <v/>
      </c>
      <c r="M11">
        <f>lc_detailed!#REF!</f>
        <v/>
      </c>
      <c r="O11" t="n">
        <v>0</v>
      </c>
      <c r="P11" t="n">
        <v>0</v>
      </c>
      <c r="Q11" t="n">
        <v>0.5561594320343651</v>
      </c>
      <c r="R11" t="n">
        <v>54.76207818665699</v>
      </c>
      <c r="S11" t="e">
        <v>#REF!</v>
      </c>
      <c r="T11" t="n">
        <v>1.845971685370083</v>
      </c>
      <c r="U11" t="n">
        <v>8.232258905337231</v>
      </c>
      <c r="V11" t="n">
        <v>-8.143443156227582</v>
      </c>
      <c r="W11" t="n">
        <v>-10.13642665887811</v>
      </c>
      <c r="X11" t="n">
        <v>2.085885814360691</v>
      </c>
      <c r="Y11" t="n">
        <v>49.20248420865366</v>
      </c>
      <c r="Z11" t="e">
        <v>#REF!</v>
      </c>
    </row>
    <row r="12">
      <c r="B12">
        <f>lc_detailed!B13</f>
        <v/>
      </c>
      <c r="C12">
        <f>lc_detailed!AD13</f>
        <v/>
      </c>
      <c r="D12">
        <f>lc_detailed!AE13</f>
        <v/>
      </c>
      <c r="E12">
        <f>lc_detailed!AF13</f>
        <v/>
      </c>
      <c r="F12">
        <f>lc_detailed!#REF!</f>
        <v/>
      </c>
      <c r="G12">
        <f>lc_detailed!AG13</f>
        <v/>
      </c>
      <c r="H12">
        <f>lc_detailed!AH13</f>
        <v/>
      </c>
      <c r="I12">
        <f>lc_detailed!AI13</f>
        <v/>
      </c>
      <c r="J12">
        <f>lc_detailed!AK13</f>
        <v/>
      </c>
      <c r="K12">
        <f>lc_detailed!AL13</f>
        <v/>
      </c>
      <c r="L12">
        <f>lc_detailed!AB13</f>
        <v/>
      </c>
      <c r="M12">
        <f>lc_detailed!#REF!</f>
        <v/>
      </c>
      <c r="O12" t="inlineStr">
        <is>
          <t>CA_Gasoline_Gasification_Non_CCS_Herb</t>
        </is>
      </c>
      <c r="P12" t="n">
        <v>0</v>
      </c>
      <c r="Q12" t="n">
        <v>0.6962115810715788</v>
      </c>
      <c r="R12" t="n">
        <v>54.76207818665699</v>
      </c>
      <c r="S12" t="e">
        <v>#REF!</v>
      </c>
      <c r="T12" t="n">
        <v>1.121917381925237</v>
      </c>
      <c r="U12" t="n">
        <v>7.835557847855159</v>
      </c>
      <c r="V12" t="n">
        <v>-8.172434844679341</v>
      </c>
      <c r="W12" t="n">
        <v>-8.961535840378785</v>
      </c>
      <c r="X12" t="n">
        <v>2.085885814360691</v>
      </c>
      <c r="Y12" t="n">
        <v>49.36768012681154</v>
      </c>
      <c r="Z12" t="e">
        <v>#REF!</v>
      </c>
    </row>
    <row r="13">
      <c r="B13">
        <f>lc_detailed!B14</f>
        <v/>
      </c>
      <c r="C13">
        <f>lc_detailed!AD14</f>
        <v/>
      </c>
      <c r="D13">
        <f>lc_detailed!AE14</f>
        <v/>
      </c>
      <c r="E13">
        <f>lc_detailed!AF14</f>
        <v/>
      </c>
      <c r="F13">
        <f>lc_detailed!#REF!</f>
        <v/>
      </c>
      <c r="G13">
        <f>lc_detailed!AG14</f>
        <v/>
      </c>
      <c r="H13">
        <f>lc_detailed!AH14</f>
        <v/>
      </c>
      <c r="I13">
        <f>lc_detailed!AI14</f>
        <v/>
      </c>
      <c r="J13">
        <f>lc_detailed!AK14</f>
        <v/>
      </c>
      <c r="K13">
        <f>lc_detailed!AL14</f>
        <v/>
      </c>
      <c r="L13">
        <f>lc_detailed!AB14</f>
        <v/>
      </c>
      <c r="M13">
        <f>lc_detailed!#REF!</f>
        <v/>
      </c>
      <c r="O13" t="n">
        <v>0</v>
      </c>
      <c r="P13" t="n">
        <v>0</v>
      </c>
      <c r="Q13" t="n">
        <v>0.6962115810715788</v>
      </c>
      <c r="R13" t="n">
        <v>54.76207818665699</v>
      </c>
      <c r="S13" t="e">
        <v>#REF!</v>
      </c>
      <c r="T13" t="n">
        <v>1.845971685370083</v>
      </c>
      <c r="U13" t="n">
        <v>8.232258905337231</v>
      </c>
      <c r="V13" t="n">
        <v>-8.143443156227582</v>
      </c>
      <c r="W13" t="n">
        <v>-8.961535840378785</v>
      </c>
      <c r="X13" t="n">
        <v>2.085885814360691</v>
      </c>
      <c r="Y13" t="n">
        <v>50.5174271761902</v>
      </c>
      <c r="Z13" t="e">
        <v>#REF!</v>
      </c>
    </row>
    <row r="14">
      <c r="B14">
        <f>lc_detailed!B15</f>
        <v/>
      </c>
      <c r="C14">
        <f>lc_detailed!AD15</f>
        <v/>
      </c>
      <c r="D14">
        <f>lc_detailed!AE15</f>
        <v/>
      </c>
      <c r="E14">
        <f>lc_detailed!AF15</f>
        <v/>
      </c>
      <c r="F14">
        <f>lc_detailed!#REF!</f>
        <v/>
      </c>
      <c r="G14">
        <f>lc_detailed!AG15</f>
        <v/>
      </c>
      <c r="H14">
        <f>lc_detailed!AH15</f>
        <v/>
      </c>
      <c r="I14">
        <f>lc_detailed!AI15</f>
        <v/>
      </c>
      <c r="J14">
        <f>lc_detailed!AK15</f>
        <v/>
      </c>
      <c r="K14">
        <f>lc_detailed!AL15</f>
        <v/>
      </c>
      <c r="L14">
        <f>lc_detailed!AB15</f>
        <v/>
      </c>
      <c r="M14">
        <f>lc_detailed!#REF!</f>
        <v/>
      </c>
      <c r="O14" t="inlineStr">
        <is>
          <t>CA_Gasoline_Gasification_Non_CCS_Herb</t>
        </is>
      </c>
      <c r="P14" t="n">
        <v>0</v>
      </c>
      <c r="Q14" t="n">
        <v>0.8442129170953</v>
      </c>
      <c r="R14" t="n">
        <v>54.76207818665699</v>
      </c>
      <c r="S14" t="e">
        <v>#REF!</v>
      </c>
      <c r="T14" t="n">
        <v>1.121917381925237</v>
      </c>
      <c r="U14" t="n">
        <v>7.835557847855159</v>
      </c>
      <c r="V14" t="n">
        <v>-8.172434844679341</v>
      </c>
      <c r="W14" t="n">
        <v>-7.807741342265638</v>
      </c>
      <c r="X14" t="n">
        <v>2.085885814360691</v>
      </c>
      <c r="Y14" t="n">
        <v>50.66947596094839</v>
      </c>
      <c r="Z14" t="e">
        <v>#REF!</v>
      </c>
    </row>
    <row r="15">
      <c r="B15">
        <f>lc_detailed!B16</f>
        <v/>
      </c>
      <c r="C15">
        <f>lc_detailed!AD16</f>
        <v/>
      </c>
      <c r="D15">
        <f>lc_detailed!AE16</f>
        <v/>
      </c>
      <c r="E15">
        <f>lc_detailed!AF16</f>
        <v/>
      </c>
      <c r="F15">
        <f>lc_detailed!#REF!</f>
        <v/>
      </c>
      <c r="G15">
        <f>lc_detailed!AG16</f>
        <v/>
      </c>
      <c r="H15">
        <f>lc_detailed!AH16</f>
        <v/>
      </c>
      <c r="I15">
        <f>lc_detailed!AI16</f>
        <v/>
      </c>
      <c r="J15">
        <f>lc_detailed!AK16</f>
        <v/>
      </c>
      <c r="K15">
        <f>lc_detailed!AL16</f>
        <v/>
      </c>
      <c r="L15">
        <f>lc_detailed!AB16</f>
        <v/>
      </c>
      <c r="M15">
        <f>lc_detailed!#REF!</f>
        <v/>
      </c>
      <c r="O15" t="inlineStr">
        <is>
          <t>CA_Gasoline_Gasification_Non_CCS_Herb</t>
        </is>
      </c>
      <c r="P15" t="n">
        <v>0</v>
      </c>
      <c r="Q15" t="n">
        <v>1.050681386499588</v>
      </c>
      <c r="R15" t="n">
        <v>54.76207818665699</v>
      </c>
      <c r="S15" t="e">
        <v>#REF!</v>
      </c>
      <c r="T15" t="n">
        <v>1.121917381925237</v>
      </c>
      <c r="U15" t="n">
        <v>7.835557847855159</v>
      </c>
      <c r="V15" t="n">
        <v>-8.172434844679341</v>
      </c>
      <c r="W15" t="n">
        <v>-7.118279514021063</v>
      </c>
      <c r="X15" t="n">
        <v>2.085885814360691</v>
      </c>
      <c r="Y15" t="n">
        <v>51.56540625859726</v>
      </c>
      <c r="Z15" t="e">
        <v>#REF!</v>
      </c>
    </row>
    <row r="16">
      <c r="B16">
        <f>lc_detailed!B17</f>
        <v/>
      </c>
      <c r="C16">
        <f>lc_detailed!AD17</f>
        <v/>
      </c>
      <c r="D16">
        <f>lc_detailed!AE17</f>
        <v/>
      </c>
      <c r="E16">
        <f>lc_detailed!AF17</f>
        <v/>
      </c>
      <c r="F16">
        <f>lc_detailed!#REF!</f>
        <v/>
      </c>
      <c r="G16">
        <f>lc_detailed!AG17</f>
        <v/>
      </c>
      <c r="H16">
        <f>lc_detailed!AH17</f>
        <v/>
      </c>
      <c r="I16">
        <f>lc_detailed!AI17</f>
        <v/>
      </c>
      <c r="J16">
        <f>lc_detailed!AK17</f>
        <v/>
      </c>
      <c r="K16">
        <f>lc_detailed!AL17</f>
        <v/>
      </c>
      <c r="L16">
        <f>lc_detailed!AB17</f>
        <v/>
      </c>
      <c r="M16">
        <f>lc_detailed!#REF!</f>
        <v/>
      </c>
      <c r="O16" t="n">
        <v>0</v>
      </c>
      <c r="P16" t="n">
        <v>0</v>
      </c>
      <c r="Q16" t="n">
        <v>0.8442129170953</v>
      </c>
      <c r="R16" t="n">
        <v>54.76207818665699</v>
      </c>
      <c r="S16" t="e">
        <v>#REF!</v>
      </c>
      <c r="T16" t="n">
        <v>1.845971685370083</v>
      </c>
      <c r="U16" t="n">
        <v>8.232258905337231</v>
      </c>
      <c r="V16" t="n">
        <v>-8.143443156227582</v>
      </c>
      <c r="W16" t="n">
        <v>-7.807741342265638</v>
      </c>
      <c r="X16" t="n">
        <v>2.085885814360691</v>
      </c>
      <c r="Y16" t="n">
        <v>51.81922301032707</v>
      </c>
      <c r="Z16" t="e">
        <v>#REF!</v>
      </c>
    </row>
    <row r="17">
      <c r="B17">
        <f>lc_detailed!B18</f>
        <v/>
      </c>
      <c r="C17">
        <f>lc_detailed!AD18</f>
        <v/>
      </c>
      <c r="D17">
        <f>lc_detailed!AE18</f>
        <v/>
      </c>
      <c r="E17">
        <f>lc_detailed!AF18</f>
        <v/>
      </c>
      <c r="F17">
        <f>lc_detailed!#REF!</f>
        <v/>
      </c>
      <c r="G17">
        <f>lc_detailed!AG18</f>
        <v/>
      </c>
      <c r="H17">
        <f>lc_detailed!AH18</f>
        <v/>
      </c>
      <c r="I17">
        <f>lc_detailed!AI18</f>
        <v/>
      </c>
      <c r="J17">
        <f>lc_detailed!AK18</f>
        <v/>
      </c>
      <c r="K17">
        <f>lc_detailed!AL18</f>
        <v/>
      </c>
      <c r="L17">
        <f>lc_detailed!AB18</f>
        <v/>
      </c>
      <c r="M17">
        <f>lc_detailed!#REF!</f>
        <v/>
      </c>
      <c r="O17" t="inlineStr">
        <is>
          <t>CA_Gasoline_Gasification_Non_CCS_Herb</t>
        </is>
      </c>
      <c r="P17" t="n">
        <v>0</v>
      </c>
      <c r="Q17" t="n">
        <v>1.082049872275071</v>
      </c>
      <c r="R17" t="n">
        <v>54.76207818665699</v>
      </c>
      <c r="S17" t="e">
        <v>#REF!</v>
      </c>
      <c r="T17" t="n">
        <v>1.121917381925237</v>
      </c>
      <c r="U17" t="n">
        <v>7.835557847855159</v>
      </c>
      <c r="V17" t="n">
        <v>-8.172434844679341</v>
      </c>
      <c r="W17" t="n">
        <v>-6.379184937517909</v>
      </c>
      <c r="X17" t="n">
        <v>2.085885814360691</v>
      </c>
      <c r="Y17" t="n">
        <v>52.33586932087589</v>
      </c>
      <c r="Z17" t="e">
        <v>#REF!</v>
      </c>
    </row>
    <row r="18">
      <c r="B18">
        <f>lc_detailed!B19</f>
        <v/>
      </c>
      <c r="C18">
        <f>lc_detailed!AD19</f>
        <v/>
      </c>
      <c r="D18">
        <f>lc_detailed!AE19</f>
        <v/>
      </c>
      <c r="E18">
        <f>lc_detailed!AF19</f>
        <v/>
      </c>
      <c r="F18">
        <f>lc_detailed!#REF!</f>
        <v/>
      </c>
      <c r="G18">
        <f>lc_detailed!AG19</f>
        <v/>
      </c>
      <c r="H18">
        <f>lc_detailed!AH19</f>
        <v/>
      </c>
      <c r="I18">
        <f>lc_detailed!AI19</f>
        <v/>
      </c>
      <c r="J18">
        <f>lc_detailed!AK19</f>
        <v/>
      </c>
      <c r="K18">
        <f>lc_detailed!AL19</f>
        <v/>
      </c>
      <c r="L18">
        <f>lc_detailed!AB19</f>
        <v/>
      </c>
      <c r="M18">
        <f>lc_detailed!#REF!</f>
        <v/>
      </c>
      <c r="O18" t="n">
        <v>0</v>
      </c>
      <c r="P18" t="n">
        <v>0</v>
      </c>
      <c r="Q18" t="n">
        <v>1.050681386499588</v>
      </c>
      <c r="R18" t="n">
        <v>54.76207818665699</v>
      </c>
      <c r="S18" t="e">
        <v>#REF!</v>
      </c>
      <c r="T18" t="n">
        <v>1.845971685370083</v>
      </c>
      <c r="U18" t="n">
        <v>8.232258905337231</v>
      </c>
      <c r="V18" t="n">
        <v>-8.143443156227582</v>
      </c>
      <c r="W18" t="n">
        <v>-7.118279514021063</v>
      </c>
      <c r="X18" t="n">
        <v>2.085885814360691</v>
      </c>
      <c r="Y18" t="n">
        <v>52.71515330797593</v>
      </c>
      <c r="Z18" t="e">
        <v>#REF!</v>
      </c>
    </row>
    <row r="19">
      <c r="B19">
        <f>lc_detailed!B20</f>
        <v/>
      </c>
      <c r="C19">
        <f>lc_detailed!AD20</f>
        <v/>
      </c>
      <c r="D19">
        <f>lc_detailed!AE20</f>
        <v/>
      </c>
      <c r="E19">
        <f>lc_detailed!AF20</f>
        <v/>
      </c>
      <c r="F19">
        <f>lc_detailed!#REF!</f>
        <v/>
      </c>
      <c r="G19">
        <f>lc_detailed!AG20</f>
        <v/>
      </c>
      <c r="H19">
        <f>lc_detailed!AH20</f>
        <v/>
      </c>
      <c r="I19">
        <f>lc_detailed!AI20</f>
        <v/>
      </c>
      <c r="J19">
        <f>lc_detailed!AK20</f>
        <v/>
      </c>
      <c r="K19">
        <f>lc_detailed!AL20</f>
        <v/>
      </c>
      <c r="L19">
        <f>lc_detailed!AB20</f>
        <v/>
      </c>
      <c r="M19">
        <f>lc_detailed!#REF!</f>
        <v/>
      </c>
      <c r="O19" t="n">
        <v>0</v>
      </c>
      <c r="P19" t="n">
        <v>0</v>
      </c>
      <c r="Q19" t="n">
        <v>1.082049872275071</v>
      </c>
      <c r="R19" t="n">
        <v>54.76207818665699</v>
      </c>
      <c r="S19" t="e">
        <v>#REF!</v>
      </c>
      <c r="T19" t="n">
        <v>1.845971685370083</v>
      </c>
      <c r="U19" t="n">
        <v>8.232258905337231</v>
      </c>
      <c r="V19" t="n">
        <v>-8.143443156227582</v>
      </c>
      <c r="W19" t="n">
        <v>-6.379184937517909</v>
      </c>
      <c r="X19" t="n">
        <v>2.085885814360691</v>
      </c>
      <c r="Y19" t="n">
        <v>53.48561637025458</v>
      </c>
      <c r="Z19" t="e">
        <v>#REF!</v>
      </c>
    </row>
    <row r="20">
      <c r="B20">
        <f>lc_detailed!B21</f>
        <v/>
      </c>
      <c r="C20">
        <f>lc_detailed!AD21</f>
        <v/>
      </c>
      <c r="D20">
        <f>lc_detailed!AE21</f>
        <v/>
      </c>
      <c r="E20">
        <f>lc_detailed!AF21</f>
        <v/>
      </c>
      <c r="F20">
        <f>lc_detailed!#REF!</f>
        <v/>
      </c>
      <c r="G20">
        <f>lc_detailed!AG21</f>
        <v/>
      </c>
      <c r="H20">
        <f>lc_detailed!AH21</f>
        <v/>
      </c>
      <c r="I20">
        <f>lc_detailed!AI21</f>
        <v/>
      </c>
      <c r="J20">
        <f>lc_detailed!AK21</f>
        <v/>
      </c>
      <c r="K20">
        <f>lc_detailed!AL21</f>
        <v/>
      </c>
      <c r="L20">
        <f>lc_detailed!AB21</f>
        <v/>
      </c>
      <c r="M20">
        <f>lc_detailed!#REF!</f>
        <v/>
      </c>
      <c r="O20" t="inlineStr">
        <is>
          <t>CA_Gasoline_Gasification_Non_CCS_Herb</t>
        </is>
      </c>
      <c r="P20" t="n">
        <v>0</v>
      </c>
      <c r="Q20" t="n">
        <v>1.304361127893429</v>
      </c>
      <c r="R20" t="n">
        <v>54.76207818665699</v>
      </c>
      <c r="S20" t="e">
        <v>#REF!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2.085885814360691</v>
      </c>
      <c r="Y20" t="n">
        <v>53.53852500514778</v>
      </c>
      <c r="Z20" t="e">
        <v>#REF!</v>
      </c>
    </row>
    <row r="21">
      <c r="B21">
        <f>lc_detailed!B22</f>
        <v/>
      </c>
      <c r="C21">
        <f>lc_detailed!AD22</f>
        <v/>
      </c>
      <c r="D21">
        <f>lc_detailed!AE22</f>
        <v/>
      </c>
      <c r="E21">
        <f>lc_detailed!AF22</f>
        <v/>
      </c>
      <c r="F21">
        <f>lc_detailed!#REF!</f>
        <v/>
      </c>
      <c r="G21">
        <f>lc_detailed!AG22</f>
        <v/>
      </c>
      <c r="H21">
        <f>lc_detailed!AH22</f>
        <v/>
      </c>
      <c r="I21">
        <f>lc_detailed!AI22</f>
        <v/>
      </c>
      <c r="J21">
        <f>lc_detailed!AK22</f>
        <v/>
      </c>
      <c r="K21">
        <f>lc_detailed!AL22</f>
        <v/>
      </c>
      <c r="L21">
        <f>lc_detailed!AB22</f>
        <v/>
      </c>
      <c r="M21">
        <f>lc_detailed!#REF!</f>
        <v/>
      </c>
      <c r="O21" t="inlineStr">
        <is>
          <t>CA_Gasoline_Gasification_Non_CCS_Herb</t>
        </is>
      </c>
      <c r="P21" t="n">
        <v>0</v>
      </c>
      <c r="Q21" t="n">
        <v>0.5561594320343651</v>
      </c>
      <c r="R21" t="n">
        <v>54.76207818665699</v>
      </c>
      <c r="S21" t="e">
        <v>#REF!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2.085885814360691</v>
      </c>
      <c r="Y21" t="n">
        <v>56.4396758312863</v>
      </c>
      <c r="Z21" t="e">
        <v>#REF!</v>
      </c>
    </row>
    <row r="22">
      <c r="B22">
        <f>lc_detailed!B23</f>
        <v/>
      </c>
      <c r="C22">
        <f>lc_detailed!AD23</f>
        <v/>
      </c>
      <c r="D22">
        <f>lc_detailed!AE23</f>
        <v/>
      </c>
      <c r="E22">
        <f>lc_detailed!AF23</f>
        <v/>
      </c>
      <c r="F22">
        <f>lc_detailed!#REF!</f>
        <v/>
      </c>
      <c r="G22">
        <f>lc_detailed!AG23</f>
        <v/>
      </c>
      <c r="H22">
        <f>lc_detailed!AH23</f>
        <v/>
      </c>
      <c r="I22">
        <f>lc_detailed!AI23</f>
        <v/>
      </c>
      <c r="J22">
        <f>lc_detailed!AK23</f>
        <v/>
      </c>
      <c r="K22">
        <f>lc_detailed!AL23</f>
        <v/>
      </c>
      <c r="L22">
        <f>lc_detailed!AB23</f>
        <v/>
      </c>
      <c r="M22">
        <f>lc_detailed!#REF!</f>
        <v/>
      </c>
      <c r="O22" t="inlineStr">
        <is>
          <t>CA_Gasoline_Gasification_Non_CCS_Herb</t>
        </is>
      </c>
      <c r="P22" t="n">
        <v>0</v>
      </c>
      <c r="Q22" t="n">
        <v>0.6962115810715788</v>
      </c>
      <c r="R22" t="n">
        <v>54.76207818665699</v>
      </c>
      <c r="S22" t="e">
        <v>#REF!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2.085885814360691</v>
      </c>
      <c r="Y22" t="n">
        <v>56.57972798032352</v>
      </c>
      <c r="Z22" t="e">
        <v>#REF!</v>
      </c>
    </row>
    <row r="23">
      <c r="B23">
        <f>lc_detailed!B24</f>
        <v/>
      </c>
      <c r="C23">
        <f>lc_detailed!AD24</f>
        <v/>
      </c>
      <c r="D23">
        <f>lc_detailed!AE24</f>
        <v/>
      </c>
      <c r="E23">
        <f>lc_detailed!AF24</f>
        <v/>
      </c>
      <c r="F23">
        <f>lc_detailed!#REF!</f>
        <v/>
      </c>
      <c r="G23">
        <f>lc_detailed!AG24</f>
        <v/>
      </c>
      <c r="H23">
        <f>lc_detailed!AH24</f>
        <v/>
      </c>
      <c r="I23">
        <f>lc_detailed!AI24</f>
        <v/>
      </c>
      <c r="J23">
        <f>lc_detailed!AK24</f>
        <v/>
      </c>
      <c r="K23">
        <f>lc_detailed!AL24</f>
        <v/>
      </c>
      <c r="L23">
        <f>lc_detailed!AB24</f>
        <v/>
      </c>
      <c r="M23">
        <f>lc_detailed!#REF!</f>
        <v/>
      </c>
      <c r="O23" t="inlineStr">
        <is>
          <t>CA_Gasoline_Gasification_Non_CCS_Herb</t>
        </is>
      </c>
      <c r="P23" t="n">
        <v>0</v>
      </c>
      <c r="Q23" t="n">
        <v>0.7360518117574211</v>
      </c>
      <c r="R23" t="n">
        <v>54.76207818665699</v>
      </c>
      <c r="S23" t="e">
        <v>#REF!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2.085885814360691</v>
      </c>
      <c r="Y23" t="n">
        <v>56.61956821100936</v>
      </c>
      <c r="Z23" t="e">
        <v>#REF!</v>
      </c>
    </row>
    <row r="24">
      <c r="B24">
        <f>lc_detailed!B25</f>
        <v/>
      </c>
      <c r="C24">
        <f>lc_detailed!AD25</f>
        <v/>
      </c>
      <c r="D24">
        <f>lc_detailed!AE25</f>
        <v/>
      </c>
      <c r="E24">
        <f>lc_detailed!AF25</f>
        <v/>
      </c>
      <c r="F24">
        <f>lc_detailed!#REF!</f>
        <v/>
      </c>
      <c r="G24">
        <f>lc_detailed!AG25</f>
        <v/>
      </c>
      <c r="H24">
        <f>lc_detailed!AH25</f>
        <v/>
      </c>
      <c r="I24">
        <f>lc_detailed!AI25</f>
        <v/>
      </c>
      <c r="J24">
        <f>lc_detailed!AK25</f>
        <v/>
      </c>
      <c r="K24">
        <f>lc_detailed!AL25</f>
        <v/>
      </c>
      <c r="L24">
        <f>lc_detailed!AB25</f>
        <v/>
      </c>
      <c r="M24">
        <f>lc_detailed!#REF!</f>
        <v/>
      </c>
      <c r="O24" t="inlineStr">
        <is>
          <t>CA_Gasoline_Gasification_Non_CCS_Herb</t>
        </is>
      </c>
      <c r="P24" t="n">
        <v>0</v>
      </c>
      <c r="Q24" t="n">
        <v>0.7697008801892076</v>
      </c>
      <c r="R24" t="n">
        <v>54.76207818665699</v>
      </c>
      <c r="S24" t="e">
        <v>#REF!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2.085885814360691</v>
      </c>
      <c r="Y24" t="n">
        <v>56.65321727944114</v>
      </c>
      <c r="Z24" t="e">
        <v>#REF!</v>
      </c>
    </row>
    <row r="25">
      <c r="B25">
        <f>lc_detailed!B26</f>
        <v/>
      </c>
      <c r="C25">
        <f>lc_detailed!AD26</f>
        <v/>
      </c>
      <c r="D25">
        <f>lc_detailed!AE26</f>
        <v/>
      </c>
      <c r="E25">
        <f>lc_detailed!AF26</f>
        <v/>
      </c>
      <c r="F25">
        <f>lc_detailed!#REF!</f>
        <v/>
      </c>
      <c r="G25">
        <f>lc_detailed!AG26</f>
        <v/>
      </c>
      <c r="H25">
        <f>lc_detailed!AH26</f>
        <v/>
      </c>
      <c r="I25">
        <f>lc_detailed!AI26</f>
        <v/>
      </c>
      <c r="J25">
        <f>lc_detailed!AK26</f>
        <v/>
      </c>
      <c r="K25">
        <f>lc_detailed!AL26</f>
        <v/>
      </c>
      <c r="L25">
        <f>lc_detailed!AB26</f>
        <v/>
      </c>
      <c r="M25">
        <f>lc_detailed!#REF!</f>
        <v/>
      </c>
      <c r="O25" t="inlineStr">
        <is>
          <t>CA_Gasoline_Gasification_Non_CCS_Herb</t>
        </is>
      </c>
      <c r="P25" t="n">
        <v>0</v>
      </c>
      <c r="Q25" t="n">
        <v>0.8442129170953</v>
      </c>
      <c r="R25" t="n">
        <v>54.76207818665699</v>
      </c>
      <c r="S25" t="e">
        <v>#REF!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2.085885814360691</v>
      </c>
      <c r="Y25" t="n">
        <v>56.72772931634724</v>
      </c>
      <c r="Z25" t="e">
        <v>#REF!</v>
      </c>
    </row>
    <row r="26">
      <c r="B26">
        <f>lc_detailed!B27</f>
        <v/>
      </c>
      <c r="C26">
        <f>lc_detailed!AD27</f>
        <v/>
      </c>
      <c r="D26">
        <f>lc_detailed!AE27</f>
        <v/>
      </c>
      <c r="E26">
        <f>lc_detailed!AF27</f>
        <v/>
      </c>
      <c r="F26">
        <f>lc_detailed!#REF!</f>
        <v/>
      </c>
      <c r="G26">
        <f>lc_detailed!AG27</f>
        <v/>
      </c>
      <c r="H26">
        <f>lc_detailed!AH27</f>
        <v/>
      </c>
      <c r="I26">
        <f>lc_detailed!AI27</f>
        <v/>
      </c>
      <c r="J26">
        <f>lc_detailed!AK27</f>
        <v/>
      </c>
      <c r="K26">
        <f>lc_detailed!AL27</f>
        <v/>
      </c>
      <c r="L26">
        <f>lc_detailed!AB27</f>
        <v/>
      </c>
      <c r="M26">
        <f>lc_detailed!#REF!</f>
        <v/>
      </c>
      <c r="O26" t="inlineStr">
        <is>
          <t>CA_Gasoline_Gasification_Non_CCS_Herb</t>
        </is>
      </c>
      <c r="P26" t="n">
        <v>0</v>
      </c>
      <c r="Q26" t="n">
        <v>1.00483237199334</v>
      </c>
      <c r="R26" t="n">
        <v>54.76207818665699</v>
      </c>
      <c r="S26" t="e">
        <v>#REF!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2.085885814360691</v>
      </c>
      <c r="Y26" t="n">
        <v>56.88834877124528</v>
      </c>
      <c r="Z26" t="e">
        <v>#REF!</v>
      </c>
    </row>
    <row r="27">
      <c r="B27">
        <f>lc_detailed!B28</f>
        <v/>
      </c>
      <c r="C27">
        <f>lc_detailed!AD28</f>
        <v/>
      </c>
      <c r="D27">
        <f>lc_detailed!AE28</f>
        <v/>
      </c>
      <c r="E27">
        <f>lc_detailed!AF28</f>
        <v/>
      </c>
      <c r="F27">
        <f>lc_detailed!#REF!</f>
        <v/>
      </c>
      <c r="G27">
        <f>lc_detailed!AG28</f>
        <v/>
      </c>
      <c r="H27">
        <f>lc_detailed!AH28</f>
        <v/>
      </c>
      <c r="I27">
        <f>lc_detailed!AI28</f>
        <v/>
      </c>
      <c r="J27">
        <f>lc_detailed!AK28</f>
        <v/>
      </c>
      <c r="K27">
        <f>lc_detailed!AL28</f>
        <v/>
      </c>
      <c r="L27">
        <f>lc_detailed!AB28</f>
        <v/>
      </c>
      <c r="M27">
        <f>lc_detailed!#REF!</f>
        <v/>
      </c>
      <c r="O27" t="inlineStr">
        <is>
          <t>CA_Gasoline_Gasification_Non_CCS_Herb</t>
        </is>
      </c>
      <c r="P27" t="n">
        <v>0</v>
      </c>
      <c r="Q27" t="n">
        <v>1.050681386499588</v>
      </c>
      <c r="R27" t="n">
        <v>54.76207818665699</v>
      </c>
      <c r="S27" t="e">
        <v>#REF!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2.085885814360691</v>
      </c>
      <c r="Y27" t="n">
        <v>56.93419778575153</v>
      </c>
      <c r="Z27" t="e">
        <v>#REF!</v>
      </c>
    </row>
    <row r="28">
      <c r="B28">
        <f>lc_detailed!B29</f>
        <v/>
      </c>
      <c r="C28">
        <f>lc_detailed!AD29</f>
        <v/>
      </c>
      <c r="D28">
        <f>lc_detailed!AE29</f>
        <v/>
      </c>
      <c r="E28">
        <f>lc_detailed!AF29</f>
        <v/>
      </c>
      <c r="F28">
        <f>lc_detailed!#REF!</f>
        <v/>
      </c>
      <c r="G28">
        <f>lc_detailed!AG29</f>
        <v/>
      </c>
      <c r="H28">
        <f>lc_detailed!AH29</f>
        <v/>
      </c>
      <c r="I28">
        <f>lc_detailed!AI29</f>
        <v/>
      </c>
      <c r="J28">
        <f>lc_detailed!AK29</f>
        <v/>
      </c>
      <c r="K28">
        <f>lc_detailed!AL29</f>
        <v/>
      </c>
      <c r="L28">
        <f>lc_detailed!AB29</f>
        <v/>
      </c>
      <c r="M28">
        <f>lc_detailed!#REF!</f>
        <v/>
      </c>
      <c r="O28" t="inlineStr">
        <is>
          <t>CA_Gasoline_Gasification_Non_CCS_Herb</t>
        </is>
      </c>
      <c r="P28" t="n">
        <v>0</v>
      </c>
      <c r="Q28" t="n">
        <v>1.082049872275071</v>
      </c>
      <c r="R28" t="n">
        <v>54.76207818665699</v>
      </c>
      <c r="S28" t="e">
        <v>#REF!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2.085885814360691</v>
      </c>
      <c r="Y28" t="n">
        <v>56.96556627152701</v>
      </c>
      <c r="Z28" t="e">
        <v>#REF!</v>
      </c>
    </row>
    <row r="29">
      <c r="B29">
        <f>lc_detailed!B30</f>
        <v/>
      </c>
      <c r="C29">
        <f>lc_detailed!AD30</f>
        <v/>
      </c>
      <c r="D29">
        <f>lc_detailed!AE30</f>
        <v/>
      </c>
      <c r="E29">
        <f>lc_detailed!AF30</f>
        <v/>
      </c>
      <c r="F29">
        <f>lc_detailed!#REF!</f>
        <v/>
      </c>
      <c r="G29">
        <f>lc_detailed!AG30</f>
        <v/>
      </c>
      <c r="H29">
        <f>lc_detailed!AH30</f>
        <v/>
      </c>
      <c r="I29">
        <f>lc_detailed!AI30</f>
        <v/>
      </c>
      <c r="J29">
        <f>lc_detailed!AK30</f>
        <v/>
      </c>
      <c r="K29">
        <f>lc_detailed!AL30</f>
        <v/>
      </c>
      <c r="L29">
        <f>lc_detailed!AB30</f>
        <v/>
      </c>
      <c r="M29">
        <f>lc_detailed!#REF!</f>
        <v/>
      </c>
      <c r="O29" t="inlineStr">
        <is>
          <t>CA_Gasoline_Gasification_Non_CCS_Herb</t>
        </is>
      </c>
      <c r="P29" t="n">
        <v>0</v>
      </c>
      <c r="Q29" t="n">
        <v>1.304361127893429</v>
      </c>
      <c r="R29" t="n">
        <v>54.76207818665699</v>
      </c>
      <c r="S29" t="e">
        <v>#REF!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2.085885814360691</v>
      </c>
      <c r="Y29" t="n">
        <v>57.18787752714537</v>
      </c>
      <c r="Z29" t="e">
        <v>#REF!</v>
      </c>
    </row>
    <row r="30">
      <c r="B30">
        <f>lc_detailed!B31</f>
        <v/>
      </c>
      <c r="C30">
        <f>lc_detailed!AD31</f>
        <v/>
      </c>
      <c r="D30">
        <f>lc_detailed!AE31</f>
        <v/>
      </c>
      <c r="E30">
        <f>lc_detailed!AF31</f>
        <v/>
      </c>
      <c r="F30">
        <f>lc_detailed!#REF!</f>
        <v/>
      </c>
      <c r="G30">
        <f>lc_detailed!AG31</f>
        <v/>
      </c>
      <c r="H30">
        <f>lc_detailed!AH31</f>
        <v/>
      </c>
      <c r="I30">
        <f>lc_detailed!AI31</f>
        <v/>
      </c>
      <c r="J30">
        <f>lc_detailed!AK31</f>
        <v/>
      </c>
      <c r="K30">
        <f>lc_detailed!AL31</f>
        <v/>
      </c>
      <c r="L30">
        <f>lc_detailed!AB31</f>
        <v/>
      </c>
      <c r="M30">
        <f>lc_detailed!#REF!</f>
        <v/>
      </c>
      <c r="O30" t="inlineStr">
        <is>
          <t>CA_Gasoline_Gasification_Non_CCS_Herb</t>
        </is>
      </c>
      <c r="P30" t="n">
        <v>0</v>
      </c>
      <c r="Q30" t="n">
        <v>3.565552828929068</v>
      </c>
      <c r="R30" t="n">
        <v>52.86855568631646</v>
      </c>
      <c r="S30" t="e">
        <v>#REF!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2.086453080211965</v>
      </c>
      <c r="Y30" t="n">
        <v>68.12102608542325</v>
      </c>
      <c r="Z30" t="e">
        <v>#REF!</v>
      </c>
    </row>
    <row r="31">
      <c r="B31">
        <f>lc_detailed!B32</f>
        <v/>
      </c>
      <c r="C31">
        <f>lc_detailed!AD32</f>
        <v/>
      </c>
      <c r="D31">
        <f>lc_detailed!AE32</f>
        <v/>
      </c>
      <c r="E31">
        <f>lc_detailed!AF32</f>
        <v/>
      </c>
      <c r="F31">
        <f>lc_detailed!#REF!</f>
        <v/>
      </c>
      <c r="G31">
        <f>lc_detailed!AG32</f>
        <v/>
      </c>
      <c r="H31">
        <f>lc_detailed!AH32</f>
        <v/>
      </c>
      <c r="I31">
        <f>lc_detailed!AI32</f>
        <v/>
      </c>
      <c r="J31">
        <f>lc_detailed!AK32</f>
        <v/>
      </c>
      <c r="K31">
        <f>lc_detailed!AL32</f>
        <v/>
      </c>
      <c r="L31">
        <f>lc_detailed!AB32</f>
        <v/>
      </c>
      <c r="M31">
        <f>lc_detailed!#REF!</f>
        <v/>
      </c>
      <c r="O31" t="inlineStr">
        <is>
          <t>CA_Gasoline_Gasification_Non_CCS_Herb</t>
        </is>
      </c>
      <c r="P31" t="n">
        <v>0</v>
      </c>
      <c r="Q31" t="n">
        <v>3.358244890366788</v>
      </c>
      <c r="R31" t="n">
        <v>55.65372732769045</v>
      </c>
      <c r="S31" t="e">
        <v>#REF!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2.08634503010552</v>
      </c>
      <c r="Y31" t="n">
        <v>70.26177098655756</v>
      </c>
      <c r="Z31" t="e">
        <v>#REF!</v>
      </c>
    </row>
    <row r="32">
      <c r="B32">
        <f>lc_detailed!B33</f>
        <v/>
      </c>
      <c r="C32">
        <f>lc_detailed!AD33</f>
        <v/>
      </c>
      <c r="D32">
        <f>lc_detailed!AE33</f>
        <v/>
      </c>
      <c r="E32">
        <f>lc_detailed!AF33</f>
        <v/>
      </c>
      <c r="F32">
        <f>lc_detailed!#REF!</f>
        <v/>
      </c>
      <c r="G32">
        <f>lc_detailed!AG33</f>
        <v/>
      </c>
      <c r="H32">
        <f>lc_detailed!AH33</f>
        <v/>
      </c>
      <c r="I32">
        <f>lc_detailed!AI33</f>
        <v/>
      </c>
      <c r="J32">
        <f>lc_detailed!AK33</f>
        <v/>
      </c>
      <c r="K32">
        <f>lc_detailed!AL33</f>
        <v/>
      </c>
      <c r="L32">
        <f>lc_detailed!AB33</f>
        <v/>
      </c>
      <c r="M32">
        <f>lc_detailed!#REF!</f>
        <v/>
      </c>
      <c r="O32" t="inlineStr">
        <is>
          <t>CA_Gasoline_Gasification_Non_CCS_Herb</t>
        </is>
      </c>
      <c r="P32" t="n">
        <v>0</v>
      </c>
      <c r="Q32" t="n">
        <v>4.291155366923281</v>
      </c>
      <c r="R32" t="n">
        <v>48.86911494558004</v>
      </c>
      <c r="S32" t="e">
        <v>#REF!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2.085731698376275</v>
      </c>
      <c r="Y32" t="n">
        <v>70.38411466176812</v>
      </c>
      <c r="Z32" t="e">
        <v>#REF!</v>
      </c>
    </row>
    <row r="33">
      <c r="B33">
        <f>lc_detailed!B34</f>
        <v/>
      </c>
      <c r="C33">
        <f>lc_detailed!AD34</f>
        <v/>
      </c>
      <c r="D33">
        <f>lc_detailed!AE34</f>
        <v/>
      </c>
      <c r="E33">
        <f>lc_detailed!AF34</f>
        <v/>
      </c>
      <c r="F33">
        <f>lc_detailed!#REF!</f>
        <v/>
      </c>
      <c r="G33">
        <f>lc_detailed!AG34</f>
        <v/>
      </c>
      <c r="H33">
        <f>lc_detailed!AH34</f>
        <v/>
      </c>
      <c r="I33">
        <f>lc_detailed!AI34</f>
        <v/>
      </c>
      <c r="J33">
        <f>lc_detailed!AK34</f>
        <v/>
      </c>
      <c r="K33">
        <f>lc_detailed!AL34</f>
        <v/>
      </c>
      <c r="L33">
        <f>lc_detailed!AB34</f>
        <v/>
      </c>
      <c r="M33">
        <f>lc_detailed!#REF!</f>
        <v/>
      </c>
      <c r="O33" t="inlineStr">
        <is>
          <t>CA_Gasoline_Gasification_Non_CCS_Herb</t>
        </is>
      </c>
      <c r="P33" t="n">
        <v>0</v>
      </c>
      <c r="Q33" t="n">
        <v>0</v>
      </c>
      <c r="R33" t="n">
        <v>47.36676528599606</v>
      </c>
      <c r="S33" t="e">
        <v>#REF!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2.086015365424356</v>
      </c>
      <c r="Y33" t="n">
        <v>71.52502748920273</v>
      </c>
      <c r="Z33" t="e">
        <v>#REF!</v>
      </c>
    </row>
    <row r="34">
      <c r="B34">
        <f>lc_detailed!B35</f>
        <v/>
      </c>
      <c r="C34">
        <f>lc_detailed!AD35</f>
        <v/>
      </c>
      <c r="D34">
        <f>lc_detailed!AE35</f>
        <v/>
      </c>
      <c r="E34">
        <f>lc_detailed!AF35</f>
        <v/>
      </c>
      <c r="F34">
        <f>lc_detailed!#REF!</f>
        <v/>
      </c>
      <c r="G34">
        <f>lc_detailed!AG35</f>
        <v/>
      </c>
      <c r="H34">
        <f>lc_detailed!AH35</f>
        <v/>
      </c>
      <c r="I34">
        <f>lc_detailed!AI35</f>
        <v/>
      </c>
      <c r="J34">
        <f>lc_detailed!AK35</f>
        <v/>
      </c>
      <c r="K34">
        <f>lc_detailed!AL35</f>
        <v/>
      </c>
      <c r="L34">
        <f>lc_detailed!AB35</f>
        <v/>
      </c>
      <c r="M34">
        <f>lc_detailed!#REF!</f>
        <v/>
      </c>
      <c r="O34" t="inlineStr">
        <is>
          <t>CA_Gasoline_Gasification_Non_CCS_Herb</t>
        </is>
      </c>
      <c r="P34" t="n">
        <v>0</v>
      </c>
      <c r="Q34" t="n">
        <v>0</v>
      </c>
      <c r="R34" t="n">
        <v>48.86911494558004</v>
      </c>
      <c r="S34" t="e">
        <v>#REF!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2.085731698376327</v>
      </c>
      <c r="Y34" t="n">
        <v>71.97886293153812</v>
      </c>
      <c r="Z34" t="e">
        <v>#REF!</v>
      </c>
    </row>
    <row r="35">
      <c r="B35">
        <f>lc_detailed!B36</f>
        <v/>
      </c>
      <c r="C35">
        <f>lc_detailed!AD36</f>
        <v/>
      </c>
      <c r="D35">
        <f>lc_detailed!AE36</f>
        <v/>
      </c>
      <c r="E35">
        <f>lc_detailed!AF36</f>
        <v/>
      </c>
      <c r="F35">
        <f>lc_detailed!#REF!</f>
        <v/>
      </c>
      <c r="G35">
        <f>lc_detailed!AG36</f>
        <v/>
      </c>
      <c r="H35">
        <f>lc_detailed!AH36</f>
        <v/>
      </c>
      <c r="I35">
        <f>lc_detailed!AI36</f>
        <v/>
      </c>
      <c r="J35">
        <f>lc_detailed!AK36</f>
        <v/>
      </c>
      <c r="K35">
        <f>lc_detailed!AL36</f>
        <v/>
      </c>
      <c r="L35">
        <f>lc_detailed!AB36</f>
        <v/>
      </c>
      <c r="M35">
        <f>lc_detailed!#REF!</f>
        <v/>
      </c>
      <c r="O35" t="inlineStr">
        <is>
          <t>CA_Gasoline_Gasification_Non_CCS_Herb</t>
        </is>
      </c>
      <c r="P35" t="n">
        <v>0</v>
      </c>
      <c r="Q35" t="n">
        <v>0</v>
      </c>
      <c r="R35" t="n">
        <v>47.53338914580344</v>
      </c>
      <c r="S35" t="e">
        <v>#REF!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2.085429472072523</v>
      </c>
      <c r="Y35" t="n">
        <v>72.39809676245902</v>
      </c>
      <c r="Z35" t="e">
        <v>#REF!</v>
      </c>
    </row>
    <row r="36">
      <c r="B36">
        <f>lc_detailed!B37</f>
        <v/>
      </c>
      <c r="C36">
        <f>lc_detailed!AD37</f>
        <v/>
      </c>
      <c r="D36">
        <f>lc_detailed!AE37</f>
        <v/>
      </c>
      <c r="E36">
        <f>lc_detailed!AF37</f>
        <v/>
      </c>
      <c r="F36">
        <f>lc_detailed!#REF!</f>
        <v/>
      </c>
      <c r="G36">
        <f>lc_detailed!AG37</f>
        <v/>
      </c>
      <c r="H36">
        <f>lc_detailed!AH37</f>
        <v/>
      </c>
      <c r="I36">
        <f>lc_detailed!AI37</f>
        <v/>
      </c>
      <c r="J36">
        <f>lc_detailed!AK37</f>
        <v/>
      </c>
      <c r="K36">
        <f>lc_detailed!AL37</f>
        <v/>
      </c>
      <c r="L36">
        <f>lc_detailed!AB37</f>
        <v/>
      </c>
      <c r="M36">
        <f>lc_detailed!#REF!</f>
        <v/>
      </c>
      <c r="O36" t="inlineStr">
        <is>
          <t>CA_Gasoline_Gasification_Non_CCS_Herb</t>
        </is>
      </c>
      <c r="P36" t="n">
        <v>0</v>
      </c>
      <c r="Q36" t="n">
        <v>4.047874559823708</v>
      </c>
      <c r="R36" t="n">
        <v>52.16977112235188</v>
      </c>
      <c r="S36" t="e">
        <v>#REF!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2.08538122573008</v>
      </c>
      <c r="Y36" t="n">
        <v>72.4683501568129</v>
      </c>
      <c r="Z36" t="e">
        <v>#REF!</v>
      </c>
    </row>
    <row r="37">
      <c r="B37">
        <f>lc_detailed!B38</f>
        <v/>
      </c>
      <c r="C37">
        <f>lc_detailed!AD38</f>
        <v/>
      </c>
      <c r="D37">
        <f>lc_detailed!AE38</f>
        <v/>
      </c>
      <c r="E37">
        <f>lc_detailed!AF38</f>
        <v/>
      </c>
      <c r="F37">
        <f>lc_detailed!#REF!</f>
        <v/>
      </c>
      <c r="G37">
        <f>lc_detailed!AG38</f>
        <v/>
      </c>
      <c r="H37">
        <f>lc_detailed!AH38</f>
        <v/>
      </c>
      <c r="I37">
        <f>lc_detailed!AI38</f>
        <v/>
      </c>
      <c r="J37">
        <f>lc_detailed!AK38</f>
        <v/>
      </c>
      <c r="K37">
        <f>lc_detailed!AL38</f>
        <v/>
      </c>
      <c r="L37">
        <f>lc_detailed!AB38</f>
        <v/>
      </c>
      <c r="M37">
        <f>lc_detailed!#REF!</f>
        <v/>
      </c>
      <c r="O37" t="inlineStr">
        <is>
          <t>CA_Gasoline_Gasification_Non_CCS_Herb</t>
        </is>
      </c>
      <c r="P37" t="n">
        <v>0</v>
      </c>
      <c r="Q37" t="n">
        <v>2.947958324880966</v>
      </c>
      <c r="R37" t="n">
        <v>61.65698427638135</v>
      </c>
      <c r="S37" t="e">
        <v>#REF!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2.085727662574092</v>
      </c>
      <c r="Y37" t="n">
        <v>72.65125174844442</v>
      </c>
      <c r="Z37" t="e">
        <v>#REF!</v>
      </c>
    </row>
    <row r="38">
      <c r="B38">
        <f>lc_detailed!B39</f>
        <v/>
      </c>
      <c r="C38">
        <f>lc_detailed!AD39</f>
        <v/>
      </c>
      <c r="D38">
        <f>lc_detailed!AE39</f>
        <v/>
      </c>
      <c r="E38">
        <f>lc_detailed!AF39</f>
        <v/>
      </c>
      <c r="F38">
        <f>lc_detailed!#REF!</f>
        <v/>
      </c>
      <c r="G38">
        <f>lc_detailed!AG39</f>
        <v/>
      </c>
      <c r="H38">
        <f>lc_detailed!AH39</f>
        <v/>
      </c>
      <c r="I38">
        <f>lc_detailed!AI39</f>
        <v/>
      </c>
      <c r="J38">
        <f>lc_detailed!AK39</f>
        <v/>
      </c>
      <c r="K38">
        <f>lc_detailed!AL39</f>
        <v/>
      </c>
      <c r="L38">
        <f>lc_detailed!AB39</f>
        <v/>
      </c>
      <c r="M38">
        <f>lc_detailed!#REF!</f>
        <v/>
      </c>
      <c r="O38" t="inlineStr">
        <is>
          <t>CA_Gasoline_Gasification_Non_CCS_Herb</t>
        </is>
      </c>
      <c r="P38" t="n">
        <v>0</v>
      </c>
      <c r="Q38" t="n">
        <v>0</v>
      </c>
      <c r="R38" t="n">
        <v>50.28152561191016</v>
      </c>
      <c r="S38" t="e">
        <v>#REF!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2.085915636452611</v>
      </c>
      <c r="Y38" t="n">
        <v>73.23996345868815</v>
      </c>
      <c r="Z38" t="e">
        <v>#REF!</v>
      </c>
    </row>
    <row r="39">
      <c r="B39">
        <f>lc_detailed!B40</f>
        <v/>
      </c>
      <c r="C39">
        <f>lc_detailed!AD40</f>
        <v/>
      </c>
      <c r="D39">
        <f>lc_detailed!AE40</f>
        <v/>
      </c>
      <c r="E39">
        <f>lc_detailed!AF40</f>
        <v/>
      </c>
      <c r="F39">
        <f>lc_detailed!#REF!</f>
        <v/>
      </c>
      <c r="G39">
        <f>lc_detailed!AG40</f>
        <v/>
      </c>
      <c r="H39">
        <f>lc_detailed!AH40</f>
        <v/>
      </c>
      <c r="I39">
        <f>lc_detailed!AI40</f>
        <v/>
      </c>
      <c r="J39">
        <f>lc_detailed!AK40</f>
        <v/>
      </c>
      <c r="K39">
        <f>lc_detailed!AL40</f>
        <v/>
      </c>
      <c r="L39">
        <f>lc_detailed!AB40</f>
        <v/>
      </c>
      <c r="M39">
        <f>lc_detailed!#REF!</f>
        <v/>
      </c>
      <c r="O39" t="inlineStr">
        <is>
          <t>CA_Gasoline_Gasification_Non_CCS_Herb</t>
        </is>
      </c>
      <c r="P39" t="n">
        <v>0</v>
      </c>
      <c r="Q39" t="n">
        <v>3.210405769386379</v>
      </c>
      <c r="R39" t="n">
        <v>61.36631731047105</v>
      </c>
      <c r="S39" t="e">
        <v>#REF!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2.085672011967737</v>
      </c>
      <c r="Y39" t="n">
        <v>73.55133570507206</v>
      </c>
      <c r="Z39" t="e">
        <v>#REF!</v>
      </c>
    </row>
    <row r="40">
      <c r="B40">
        <f>lc_detailed!B41</f>
        <v/>
      </c>
      <c r="C40">
        <f>lc_detailed!AD41</f>
        <v/>
      </c>
      <c r="D40">
        <f>lc_detailed!AE41</f>
        <v/>
      </c>
      <c r="E40">
        <f>lc_detailed!AF41</f>
        <v/>
      </c>
      <c r="F40">
        <f>lc_detailed!#REF!</f>
        <v/>
      </c>
      <c r="G40">
        <f>lc_detailed!AG41</f>
        <v/>
      </c>
      <c r="H40">
        <f>lc_detailed!AH41</f>
        <v/>
      </c>
      <c r="I40">
        <f>lc_detailed!AI41</f>
        <v/>
      </c>
      <c r="J40">
        <f>lc_detailed!AK41</f>
        <v/>
      </c>
      <c r="K40">
        <f>lc_detailed!AL41</f>
        <v/>
      </c>
      <c r="L40">
        <f>lc_detailed!AB41</f>
        <v/>
      </c>
      <c r="M40">
        <f>lc_detailed!#REF!</f>
        <v/>
      </c>
      <c r="O40" t="inlineStr">
        <is>
          <t>CA_Gasoline_Gasification_Non_CCS_Herb</t>
        </is>
      </c>
      <c r="P40" t="n">
        <v>-4.247048751395312</v>
      </c>
      <c r="Q40" t="n">
        <v>0</v>
      </c>
      <c r="R40" t="n">
        <v>47.53338914580344</v>
      </c>
      <c r="S40" t="e">
        <v>#REF!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2.085429488156162</v>
      </c>
      <c r="Y40" t="n">
        <v>73.73879255649656</v>
      </c>
      <c r="Z40" t="e">
        <v>#REF!</v>
      </c>
    </row>
    <row r="41">
      <c r="B41">
        <f>lc_detailed!B42</f>
        <v/>
      </c>
      <c r="C41">
        <f>lc_detailed!AD42</f>
        <v/>
      </c>
      <c r="D41">
        <f>lc_detailed!AE42</f>
        <v/>
      </c>
      <c r="E41">
        <f>lc_detailed!AF42</f>
        <v/>
      </c>
      <c r="F41">
        <f>lc_detailed!#REF!</f>
        <v/>
      </c>
      <c r="G41">
        <f>lc_detailed!AG42</f>
        <v/>
      </c>
      <c r="H41">
        <f>lc_detailed!AH42</f>
        <v/>
      </c>
      <c r="I41">
        <f>lc_detailed!AI42</f>
        <v/>
      </c>
      <c r="J41">
        <f>lc_detailed!AK42</f>
        <v/>
      </c>
      <c r="K41">
        <f>lc_detailed!AL42</f>
        <v/>
      </c>
      <c r="L41">
        <f>lc_detailed!AB42</f>
        <v/>
      </c>
      <c r="M41">
        <f>lc_detailed!#REF!</f>
        <v/>
      </c>
      <c r="O41" t="inlineStr">
        <is>
          <t>CA_Gasoline_Gasification_Non_CCS_Herb</t>
        </is>
      </c>
      <c r="P41" t="n">
        <v>-4.123574535103151</v>
      </c>
      <c r="Q41" t="n">
        <v>0</v>
      </c>
      <c r="R41" t="n">
        <v>47.36676528599606</v>
      </c>
      <c r="S41" t="e">
        <v>#REF!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2.086015381507643</v>
      </c>
      <c r="Y41" t="n">
        <v>73.77788663587556</v>
      </c>
      <c r="Z41" t="e">
        <v>#REF!</v>
      </c>
    </row>
    <row r="42">
      <c r="B42">
        <f>lc_detailed!B43</f>
        <v/>
      </c>
      <c r="C42">
        <f>lc_detailed!AD43</f>
        <v/>
      </c>
      <c r="D42">
        <f>lc_detailed!AE43</f>
        <v/>
      </c>
      <c r="E42">
        <f>lc_detailed!AF43</f>
        <v/>
      </c>
      <c r="F42">
        <f>lc_detailed!#REF!</f>
        <v/>
      </c>
      <c r="G42">
        <f>lc_detailed!AG43</f>
        <v/>
      </c>
      <c r="H42">
        <f>lc_detailed!AH43</f>
        <v/>
      </c>
      <c r="I42">
        <f>lc_detailed!AI43</f>
        <v/>
      </c>
      <c r="J42">
        <f>lc_detailed!AK43</f>
        <v/>
      </c>
      <c r="K42">
        <f>lc_detailed!AL43</f>
        <v/>
      </c>
      <c r="L42">
        <f>lc_detailed!AB43</f>
        <v/>
      </c>
      <c r="M42">
        <f>lc_detailed!#REF!</f>
        <v/>
      </c>
      <c r="O42" t="inlineStr">
        <is>
          <t>CA_Gasoline_Gasification_Non_CCS_Herb</t>
        </is>
      </c>
      <c r="P42" t="n">
        <v>0</v>
      </c>
      <c r="Q42" t="n">
        <v>3.894940549178352</v>
      </c>
      <c r="R42" t="n">
        <v>55.67268517179895</v>
      </c>
      <c r="S42" t="e">
        <v>#REF!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2.085534980100502</v>
      </c>
      <c r="Y42" t="n">
        <v>74.04612498455026</v>
      </c>
      <c r="Z42" t="e">
        <v>#REF!</v>
      </c>
    </row>
    <row r="43">
      <c r="B43">
        <f>lc_detailed!B44</f>
        <v/>
      </c>
      <c r="C43">
        <f>lc_detailed!AD44</f>
        <v/>
      </c>
      <c r="D43">
        <f>lc_detailed!AE44</f>
        <v/>
      </c>
      <c r="E43">
        <f>lc_detailed!AF44</f>
        <v/>
      </c>
      <c r="F43">
        <f>lc_detailed!#REF!</f>
        <v/>
      </c>
      <c r="G43">
        <f>lc_detailed!AG44</f>
        <v/>
      </c>
      <c r="H43">
        <f>lc_detailed!AH44</f>
        <v/>
      </c>
      <c r="I43">
        <f>lc_detailed!AI44</f>
        <v/>
      </c>
      <c r="J43">
        <f>lc_detailed!AK44</f>
        <v/>
      </c>
      <c r="K43">
        <f>lc_detailed!AL44</f>
        <v/>
      </c>
      <c r="L43">
        <f>lc_detailed!AB44</f>
        <v/>
      </c>
      <c r="M43">
        <f>lc_detailed!#REF!</f>
        <v/>
      </c>
      <c r="O43" t="inlineStr">
        <is>
          <t>CA_Gasoline_Gasification_Non_CCS_Herb</t>
        </is>
      </c>
      <c r="P43" t="n">
        <v>0</v>
      </c>
      <c r="Q43" t="n">
        <v>0</v>
      </c>
      <c r="R43" t="n">
        <v>52.16977112235188</v>
      </c>
      <c r="S43" t="e">
        <v>#REF!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2.08538122573008</v>
      </c>
      <c r="Y43" t="n">
        <v>74.06004252779381</v>
      </c>
      <c r="Z43" t="e">
        <v>#REF!</v>
      </c>
    </row>
    <row r="44">
      <c r="B44">
        <f>lc_detailed!B45</f>
        <v/>
      </c>
      <c r="C44">
        <f>lc_detailed!AD45</f>
        <v/>
      </c>
      <c r="D44">
        <f>lc_detailed!AE45</f>
        <v/>
      </c>
      <c r="E44">
        <f>lc_detailed!AF45</f>
        <v/>
      </c>
      <c r="F44">
        <f>lc_detailed!#REF!</f>
        <v/>
      </c>
      <c r="G44">
        <f>lc_detailed!AG45</f>
        <v/>
      </c>
      <c r="H44">
        <f>lc_detailed!AH45</f>
        <v/>
      </c>
      <c r="I44">
        <f>lc_detailed!AI45</f>
        <v/>
      </c>
      <c r="J44">
        <f>lc_detailed!AK45</f>
        <v/>
      </c>
      <c r="K44">
        <f>lc_detailed!AL45</f>
        <v/>
      </c>
      <c r="L44">
        <f>lc_detailed!AB45</f>
        <v/>
      </c>
      <c r="M44">
        <f>lc_detailed!#REF!</f>
        <v/>
      </c>
      <c r="O44" t="inlineStr">
        <is>
          <t>CA_Gasoline_Gasification_Non_CCS_Herb</t>
        </is>
      </c>
      <c r="P44" t="n">
        <v>0</v>
      </c>
      <c r="Q44" t="n">
        <v>5.362276766991844</v>
      </c>
      <c r="R44" t="n">
        <v>47.36676528599606</v>
      </c>
      <c r="S44" t="e">
        <v>#REF!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2.08601536542433</v>
      </c>
      <c r="Y44" t="n">
        <v>74.07050491897468</v>
      </c>
      <c r="Z44" t="e">
        <v>#REF!</v>
      </c>
    </row>
    <row r="45">
      <c r="B45">
        <f>lc_detailed!B46</f>
        <v/>
      </c>
      <c r="C45">
        <f>lc_detailed!AD46</f>
        <v/>
      </c>
      <c r="D45">
        <f>lc_detailed!AE46</f>
        <v/>
      </c>
      <c r="E45">
        <f>lc_detailed!AF46</f>
        <v/>
      </c>
      <c r="F45">
        <f>lc_detailed!#REF!</f>
        <v/>
      </c>
      <c r="G45">
        <f>lc_detailed!AG46</f>
        <v/>
      </c>
      <c r="H45">
        <f>lc_detailed!AH46</f>
        <v/>
      </c>
      <c r="I45">
        <f>lc_detailed!AI46</f>
        <v/>
      </c>
      <c r="J45">
        <f>lc_detailed!AK46</f>
        <v/>
      </c>
      <c r="K45">
        <f>lc_detailed!AL46</f>
        <v/>
      </c>
      <c r="L45">
        <f>lc_detailed!AB46</f>
        <v/>
      </c>
      <c r="M45">
        <f>lc_detailed!#REF!</f>
        <v/>
      </c>
      <c r="O45" t="inlineStr">
        <is>
          <t>CA_Gasoline_Gasification_Non_CCS_Herb</t>
        </is>
      </c>
      <c r="P45" t="n">
        <v>0</v>
      </c>
      <c r="Q45" t="n">
        <v>0</v>
      </c>
      <c r="R45" t="n">
        <v>50.57907247540655</v>
      </c>
      <c r="S45" t="e">
        <v>#REF!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2.086075610141338</v>
      </c>
      <c r="Y45" t="n">
        <v>74.16046292227017</v>
      </c>
      <c r="Z45" t="e">
        <v>#REF!</v>
      </c>
    </row>
    <row r="46">
      <c r="B46">
        <f>lc_detailed!B47</f>
        <v/>
      </c>
      <c r="C46">
        <f>lc_detailed!AD47</f>
        <v/>
      </c>
      <c r="D46">
        <f>lc_detailed!AE47</f>
        <v/>
      </c>
      <c r="E46">
        <f>lc_detailed!AF47</f>
        <v/>
      </c>
      <c r="F46">
        <f>lc_detailed!#REF!</f>
        <v/>
      </c>
      <c r="G46">
        <f>lc_detailed!AG47</f>
        <v/>
      </c>
      <c r="H46">
        <f>lc_detailed!AH47</f>
        <v/>
      </c>
      <c r="I46">
        <f>lc_detailed!AI47</f>
        <v/>
      </c>
      <c r="J46">
        <f>lc_detailed!AK47</f>
        <v/>
      </c>
      <c r="K46">
        <f>lc_detailed!AL47</f>
        <v/>
      </c>
      <c r="L46">
        <f>lc_detailed!AB47</f>
        <v/>
      </c>
      <c r="M46">
        <f>lc_detailed!#REF!</f>
        <v/>
      </c>
      <c r="O46" t="inlineStr">
        <is>
          <t>CA_Gasoline_Gasification_Non_CCS_Herb</t>
        </is>
      </c>
      <c r="P46" t="n">
        <v>0</v>
      </c>
      <c r="Q46" t="n">
        <v>0</v>
      </c>
      <c r="R46" t="n">
        <v>52.86855568631646</v>
      </c>
      <c r="S46" t="e">
        <v>#REF!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2.086453080211952</v>
      </c>
      <c r="Y46" t="n">
        <v>74.79563431007789</v>
      </c>
      <c r="Z46" t="e">
        <v>#REF!</v>
      </c>
    </row>
    <row r="47">
      <c r="B47">
        <f>lc_detailed!B48</f>
        <v/>
      </c>
      <c r="C47">
        <f>lc_detailed!AD48</f>
        <v/>
      </c>
      <c r="D47">
        <f>lc_detailed!AE48</f>
        <v/>
      </c>
      <c r="E47">
        <f>lc_detailed!AF48</f>
        <v/>
      </c>
      <c r="F47">
        <f>lc_detailed!#REF!</f>
        <v/>
      </c>
      <c r="G47">
        <f>lc_detailed!AG48</f>
        <v/>
      </c>
      <c r="H47">
        <f>lc_detailed!AH48</f>
        <v/>
      </c>
      <c r="I47">
        <f>lc_detailed!AI48</f>
        <v/>
      </c>
      <c r="J47">
        <f>lc_detailed!AK48</f>
        <v/>
      </c>
      <c r="K47">
        <f>lc_detailed!AL48</f>
        <v/>
      </c>
      <c r="L47">
        <f>lc_detailed!AB48</f>
        <v/>
      </c>
      <c r="M47">
        <f>lc_detailed!#REF!</f>
        <v/>
      </c>
      <c r="O47" t="inlineStr">
        <is>
          <t>CA_Gasoline_Gasification_Non_CCS_Herb</t>
        </is>
      </c>
      <c r="P47" t="n">
        <v>0</v>
      </c>
      <c r="Q47" t="n">
        <v>0</v>
      </c>
      <c r="R47" t="n">
        <v>52.50426245349567</v>
      </c>
      <c r="S47" t="e">
        <v>#REF!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2.086066287576032</v>
      </c>
      <c r="Y47" t="n">
        <v>74.99701158815571</v>
      </c>
      <c r="Z47" t="e">
        <v>#REF!</v>
      </c>
    </row>
    <row r="48">
      <c r="B48">
        <f>lc_detailed!B49</f>
        <v/>
      </c>
      <c r="C48">
        <f>lc_detailed!AD49</f>
        <v/>
      </c>
      <c r="D48">
        <f>lc_detailed!AE49</f>
        <v/>
      </c>
      <c r="E48">
        <f>lc_detailed!AF49</f>
        <v/>
      </c>
      <c r="F48">
        <f>lc_detailed!#REF!</f>
        <v/>
      </c>
      <c r="G48">
        <f>lc_detailed!AG49</f>
        <v/>
      </c>
      <c r="H48">
        <f>lc_detailed!AH49</f>
        <v/>
      </c>
      <c r="I48">
        <f>lc_detailed!AI49</f>
        <v/>
      </c>
      <c r="J48">
        <f>lc_detailed!AK49</f>
        <v/>
      </c>
      <c r="K48">
        <f>lc_detailed!AL49</f>
        <v/>
      </c>
      <c r="L48">
        <f>lc_detailed!AB49</f>
        <v/>
      </c>
      <c r="M48">
        <f>lc_detailed!#REF!</f>
        <v/>
      </c>
      <c r="O48" t="inlineStr">
        <is>
          <t>CA_Gasoline_Gasification_Non_CCS_Herb</t>
        </is>
      </c>
      <c r="P48" t="n">
        <v>-4.123696066010598</v>
      </c>
      <c r="Q48" t="n">
        <v>0</v>
      </c>
      <c r="R48" t="n">
        <v>50.28152561191016</v>
      </c>
      <c r="S48" t="e">
        <v>#REF!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2.08591565253601</v>
      </c>
      <c r="Y48" t="n">
        <v>75.17631131323185</v>
      </c>
      <c r="Z48" t="e">
        <v>#REF!</v>
      </c>
    </row>
    <row r="49">
      <c r="B49">
        <f>lc_detailed!B50</f>
        <v/>
      </c>
      <c r="C49">
        <f>lc_detailed!AD50</f>
        <v/>
      </c>
      <c r="D49">
        <f>lc_detailed!AE50</f>
        <v/>
      </c>
      <c r="E49">
        <f>lc_detailed!AF50</f>
        <v/>
      </c>
      <c r="F49">
        <f>lc_detailed!#REF!</f>
        <v/>
      </c>
      <c r="G49">
        <f>lc_detailed!AG50</f>
        <v/>
      </c>
      <c r="H49">
        <f>lc_detailed!AH50</f>
        <v/>
      </c>
      <c r="I49">
        <f>lc_detailed!AI50</f>
        <v/>
      </c>
      <c r="J49">
        <f>lc_detailed!AK50</f>
        <v/>
      </c>
      <c r="K49">
        <f>lc_detailed!AL50</f>
        <v/>
      </c>
      <c r="L49">
        <f>lc_detailed!AB50</f>
        <v/>
      </c>
      <c r="M49">
        <f>lc_detailed!#REF!</f>
        <v/>
      </c>
      <c r="O49" t="inlineStr">
        <is>
          <t>CA_Gasoline_Gasification_Non_CCS_Herb</t>
        </is>
      </c>
      <c r="P49" t="n">
        <v>-4.247282915077293</v>
      </c>
      <c r="Q49" t="n">
        <v>0</v>
      </c>
      <c r="R49" t="n">
        <v>50.57907247540655</v>
      </c>
      <c r="S49" t="e">
        <v>#REF!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2.086075626224633</v>
      </c>
      <c r="Y49" t="n">
        <v>75.20308891495623</v>
      </c>
      <c r="Z49" t="e">
        <v>#REF!</v>
      </c>
    </row>
    <row r="50">
      <c r="B50">
        <f>lc_detailed!B51</f>
        <v/>
      </c>
      <c r="C50">
        <f>lc_detailed!AD51</f>
        <v/>
      </c>
      <c r="D50">
        <f>lc_detailed!AE51</f>
        <v/>
      </c>
      <c r="E50">
        <f>lc_detailed!AF51</f>
        <v/>
      </c>
      <c r="F50">
        <f>lc_detailed!#REF!</f>
        <v/>
      </c>
      <c r="G50">
        <f>lc_detailed!AG51</f>
        <v/>
      </c>
      <c r="H50">
        <f>lc_detailed!AH51</f>
        <v/>
      </c>
      <c r="I50">
        <f>lc_detailed!AI51</f>
        <v/>
      </c>
      <c r="J50">
        <f>lc_detailed!AK51</f>
        <v/>
      </c>
      <c r="K50">
        <f>lc_detailed!AL51</f>
        <v/>
      </c>
      <c r="L50">
        <f>lc_detailed!AB51</f>
        <v/>
      </c>
      <c r="M50">
        <f>lc_detailed!#REF!</f>
        <v/>
      </c>
      <c r="O50" t="inlineStr">
        <is>
          <t>CA_Gasoline_Gasification_Non_CCS_Herb</t>
        </is>
      </c>
      <c r="P50" t="n">
        <v>0</v>
      </c>
      <c r="Q50" t="n">
        <v>5.076505166389099</v>
      </c>
      <c r="R50" t="n">
        <v>50.28152561191016</v>
      </c>
      <c r="S50" t="e">
        <v>#REF!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2.085915636452623</v>
      </c>
      <c r="Y50" t="n">
        <v>75.57453930031062</v>
      </c>
      <c r="Z50" t="e">
        <v>#REF!</v>
      </c>
    </row>
    <row r="51">
      <c r="B51">
        <f>lc_detailed!B52</f>
        <v/>
      </c>
      <c r="C51">
        <f>lc_detailed!AD52</f>
        <v/>
      </c>
      <c r="D51">
        <f>lc_detailed!AE52</f>
        <v/>
      </c>
      <c r="E51">
        <f>lc_detailed!AF52</f>
        <v/>
      </c>
      <c r="F51">
        <f>lc_detailed!#REF!</f>
        <v/>
      </c>
      <c r="G51">
        <f>lc_detailed!AG52</f>
        <v/>
      </c>
      <c r="H51">
        <f>lc_detailed!AH52</f>
        <v/>
      </c>
      <c r="I51">
        <f>lc_detailed!AI52</f>
        <v/>
      </c>
      <c r="J51">
        <f>lc_detailed!AK52</f>
        <v/>
      </c>
      <c r="K51">
        <f>lc_detailed!AL52</f>
        <v/>
      </c>
      <c r="L51">
        <f>lc_detailed!AB52</f>
        <v/>
      </c>
      <c r="M51">
        <f>lc_detailed!#REF!</f>
        <v/>
      </c>
      <c r="O51" t="inlineStr">
        <is>
          <t>CA_Gasoline_Gasification_Non_CCS_Herb</t>
        </is>
      </c>
      <c r="P51" t="n">
        <v>0</v>
      </c>
      <c r="Q51" t="n">
        <v>0</v>
      </c>
      <c r="R51" t="n">
        <v>54.33679671753527</v>
      </c>
      <c r="S51" t="e">
        <v>#REF!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2.085416863969469</v>
      </c>
      <c r="Y51" t="n">
        <v>75.78192217430329</v>
      </c>
      <c r="Z51" t="e">
        <v>#REF!</v>
      </c>
    </row>
    <row r="52">
      <c r="B52">
        <f>lc_detailed!B53</f>
        <v/>
      </c>
      <c r="C52">
        <f>lc_detailed!AD53</f>
        <v/>
      </c>
      <c r="D52">
        <f>lc_detailed!AE53</f>
        <v/>
      </c>
      <c r="E52">
        <f>lc_detailed!AF53</f>
        <v/>
      </c>
      <c r="F52">
        <f>lc_detailed!#REF!</f>
        <v/>
      </c>
      <c r="G52">
        <f>lc_detailed!AG53</f>
        <v/>
      </c>
      <c r="H52">
        <f>lc_detailed!AH53</f>
        <v/>
      </c>
      <c r="I52">
        <f>lc_detailed!AI53</f>
        <v/>
      </c>
      <c r="J52">
        <f>lc_detailed!AK53</f>
        <v/>
      </c>
      <c r="K52">
        <f>lc_detailed!AL53</f>
        <v/>
      </c>
      <c r="L52">
        <f>lc_detailed!AB53</f>
        <v/>
      </c>
      <c r="M52">
        <f>lc_detailed!#REF!</f>
        <v/>
      </c>
      <c r="O52" t="inlineStr">
        <is>
          <t>CA_Gasoline_Gasification_Non_CCS_Herb</t>
        </is>
      </c>
      <c r="P52" t="n">
        <v>-3.314558837748872</v>
      </c>
      <c r="Q52" t="n">
        <v>0</v>
      </c>
      <c r="R52" t="n">
        <v>48.86911494558004</v>
      </c>
      <c r="S52" t="e">
        <v>#REF!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2.085731714459778</v>
      </c>
      <c r="Y52" t="n">
        <v>75.97417672936226</v>
      </c>
      <c r="Z52" t="e">
        <v>#REF!</v>
      </c>
    </row>
    <row r="53">
      <c r="B53">
        <f>lc_detailed!B54</f>
        <v/>
      </c>
      <c r="C53">
        <f>lc_detailed!AD54</f>
        <v/>
      </c>
      <c r="D53">
        <f>lc_detailed!AE54</f>
        <v/>
      </c>
      <c r="E53">
        <f>lc_detailed!AF54</f>
        <v/>
      </c>
      <c r="F53">
        <f>lc_detailed!#REF!</f>
        <v/>
      </c>
      <c r="G53">
        <f>lc_detailed!AG54</f>
        <v/>
      </c>
      <c r="H53">
        <f>lc_detailed!AH54</f>
        <v/>
      </c>
      <c r="I53">
        <f>lc_detailed!AI54</f>
        <v/>
      </c>
      <c r="J53">
        <f>lc_detailed!AK54</f>
        <v/>
      </c>
      <c r="K53">
        <f>lc_detailed!AL54</f>
        <v/>
      </c>
      <c r="L53">
        <f>lc_detailed!AB54</f>
        <v/>
      </c>
      <c r="M53">
        <f>lc_detailed!#REF!</f>
        <v/>
      </c>
      <c r="O53" t="inlineStr">
        <is>
          <t>CA_Gasoline_Gasification_Non_CCS_Herb</t>
        </is>
      </c>
      <c r="P53" t="n">
        <v>-4.246494708218582</v>
      </c>
      <c r="Q53" t="n">
        <v>0</v>
      </c>
      <c r="R53" t="n">
        <v>52.50426245349567</v>
      </c>
      <c r="S53" t="e">
        <v>#REF!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2.086066303659311</v>
      </c>
      <c r="Y53" t="n">
        <v>76.12867231364568</v>
      </c>
      <c r="Z53" t="e">
        <v>#REF!</v>
      </c>
    </row>
    <row r="54">
      <c r="B54">
        <f>lc_detailed!B55</f>
        <v/>
      </c>
      <c r="C54">
        <f>lc_detailed!AD55</f>
        <v/>
      </c>
      <c r="D54">
        <f>lc_detailed!AE55</f>
        <v/>
      </c>
      <c r="E54">
        <f>lc_detailed!AF55</f>
        <v/>
      </c>
      <c r="F54">
        <f>lc_detailed!#REF!</f>
        <v/>
      </c>
      <c r="G54">
        <f>lc_detailed!AG55</f>
        <v/>
      </c>
      <c r="H54">
        <f>lc_detailed!AH55</f>
        <v/>
      </c>
      <c r="I54">
        <f>lc_detailed!AI55</f>
        <v/>
      </c>
      <c r="J54">
        <f>lc_detailed!AK55</f>
        <v/>
      </c>
      <c r="K54">
        <f>lc_detailed!AL55</f>
        <v/>
      </c>
      <c r="L54">
        <f>lc_detailed!AB55</f>
        <v/>
      </c>
      <c r="M54">
        <f>lc_detailed!#REF!</f>
        <v/>
      </c>
      <c r="O54" t="inlineStr">
        <is>
          <t>CA_Gasoline_Gasification_Non_CCS_Herb</t>
        </is>
      </c>
      <c r="P54" t="n">
        <v>0</v>
      </c>
      <c r="Q54" t="n">
        <v>4.827284282176792</v>
      </c>
      <c r="R54" t="n">
        <v>54.33679671753527</v>
      </c>
      <c r="S54" t="e">
        <v>#REF!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2.085416863969504</v>
      </c>
      <c r="Y54" t="n">
        <v>76.43424130346</v>
      </c>
      <c r="Z54" t="e">
        <v>#REF!</v>
      </c>
    </row>
    <row r="55">
      <c r="B55">
        <f>lc_detailed!B56</f>
        <v/>
      </c>
      <c r="C55">
        <f>lc_detailed!AD56</f>
        <v/>
      </c>
      <c r="D55">
        <f>lc_detailed!AE56</f>
        <v/>
      </c>
      <c r="E55">
        <f>lc_detailed!AF56</f>
        <v/>
      </c>
      <c r="F55">
        <f>lc_detailed!#REF!</f>
        <v/>
      </c>
      <c r="G55">
        <f>lc_detailed!AG56</f>
        <v/>
      </c>
      <c r="H55">
        <f>lc_detailed!AH56</f>
        <v/>
      </c>
      <c r="I55">
        <f>lc_detailed!AI56</f>
        <v/>
      </c>
      <c r="J55">
        <f>lc_detailed!AK56</f>
        <v/>
      </c>
      <c r="K55">
        <f>lc_detailed!AL56</f>
        <v/>
      </c>
      <c r="L55">
        <f>lc_detailed!AB56</f>
        <v/>
      </c>
      <c r="M55">
        <f>lc_detailed!#REF!</f>
        <v/>
      </c>
      <c r="O55" t="inlineStr">
        <is>
          <t>CA_Gasoline_Gasification_Non_CCS_Herb</t>
        </is>
      </c>
      <c r="P55" t="n">
        <v>0</v>
      </c>
      <c r="Q55" t="n">
        <v>0</v>
      </c>
      <c r="R55" t="n">
        <v>55.65372732769045</v>
      </c>
      <c r="S55" t="e">
        <v>#REF!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2.086345030105496</v>
      </c>
      <c r="Y55" t="n">
        <v>76.45589913042804</v>
      </c>
      <c r="Z55" t="e">
        <v>#REF!</v>
      </c>
    </row>
    <row r="56">
      <c r="B56">
        <f>lc_detailed!B57</f>
        <v/>
      </c>
      <c r="C56">
        <f>lc_detailed!AD57</f>
        <v/>
      </c>
      <c r="D56">
        <f>lc_detailed!AE57</f>
        <v/>
      </c>
      <c r="E56">
        <f>lc_detailed!AF57</f>
        <v/>
      </c>
      <c r="F56">
        <f>lc_detailed!#REF!</f>
        <v/>
      </c>
      <c r="G56">
        <f>lc_detailed!AG57</f>
        <v/>
      </c>
      <c r="H56">
        <f>lc_detailed!AH57</f>
        <v/>
      </c>
      <c r="I56">
        <f>lc_detailed!AI57</f>
        <v/>
      </c>
      <c r="J56">
        <f>lc_detailed!AK57</f>
        <v/>
      </c>
      <c r="K56">
        <f>lc_detailed!AL57</f>
        <v/>
      </c>
      <c r="L56">
        <f>lc_detailed!AB57</f>
        <v/>
      </c>
      <c r="M56">
        <f>lc_detailed!#REF!</f>
        <v/>
      </c>
      <c r="O56" t="inlineStr">
        <is>
          <t>CA_Gasoline_Gasification_Non_CCS_Herb</t>
        </is>
      </c>
      <c r="P56" t="n">
        <v>0</v>
      </c>
      <c r="Q56" t="n">
        <v>0</v>
      </c>
      <c r="R56" t="n">
        <v>55.67268517179895</v>
      </c>
      <c r="S56" t="e">
        <v>#REF!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2.085534980100514</v>
      </c>
      <c r="Y56" t="n">
        <v>76.52110199709487</v>
      </c>
      <c r="Z56" t="e">
        <v>#REF!</v>
      </c>
    </row>
    <row r="57">
      <c r="B57">
        <f>lc_detailed!B58</f>
        <v/>
      </c>
      <c r="C57">
        <f>lc_detailed!AD58</f>
        <v/>
      </c>
      <c r="D57">
        <f>lc_detailed!AE58</f>
        <v/>
      </c>
      <c r="E57">
        <f>lc_detailed!AF58</f>
        <v/>
      </c>
      <c r="F57">
        <f>lc_detailed!#REF!</f>
        <v/>
      </c>
      <c r="G57">
        <f>lc_detailed!AG58</f>
        <v/>
      </c>
      <c r="H57">
        <f>lc_detailed!AH58</f>
        <v/>
      </c>
      <c r="I57">
        <f>lc_detailed!AI58</f>
        <v/>
      </c>
      <c r="J57">
        <f>lc_detailed!AK58</f>
        <v/>
      </c>
      <c r="K57">
        <f>lc_detailed!AL58</f>
        <v/>
      </c>
      <c r="L57">
        <f>lc_detailed!AB58</f>
        <v/>
      </c>
      <c r="M57">
        <f>lc_detailed!#REF!</f>
        <v/>
      </c>
      <c r="O57" t="inlineStr">
        <is>
          <t>CA_Gasoline_Gasification_Non_CCS_Herb</t>
        </is>
      </c>
      <c r="P57" t="n">
        <v>0</v>
      </c>
      <c r="Q57" t="n">
        <v>5.506518381119438</v>
      </c>
      <c r="R57" t="n">
        <v>47.53338914580344</v>
      </c>
      <c r="S57" t="e">
        <v>#REF!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2.085429472072523</v>
      </c>
      <c r="Y57" t="n">
        <v>77.57007901548778</v>
      </c>
      <c r="Z57" t="e">
        <v>#REF!</v>
      </c>
    </row>
    <row r="58">
      <c r="B58">
        <f>lc_detailed!B59</f>
        <v/>
      </c>
      <c r="C58">
        <f>lc_detailed!AD59</f>
        <v/>
      </c>
      <c r="D58">
        <f>lc_detailed!AE59</f>
        <v/>
      </c>
      <c r="E58">
        <f>lc_detailed!AF59</f>
        <v/>
      </c>
      <c r="F58">
        <f>lc_detailed!#REF!</f>
        <v/>
      </c>
      <c r="G58">
        <f>lc_detailed!AG59</f>
        <v/>
      </c>
      <c r="H58">
        <f>lc_detailed!AH59</f>
        <v/>
      </c>
      <c r="I58">
        <f>lc_detailed!AI59</f>
        <v/>
      </c>
      <c r="J58">
        <f>lc_detailed!AK59</f>
        <v/>
      </c>
      <c r="K58">
        <f>lc_detailed!AL59</f>
        <v/>
      </c>
      <c r="L58">
        <f>lc_detailed!AB59</f>
        <v/>
      </c>
      <c r="M58">
        <f>lc_detailed!#REF!</f>
        <v/>
      </c>
      <c r="O58" t="inlineStr">
        <is>
          <t>CA_Gasoline_Gasification_Non_CCS_Herb</t>
        </is>
      </c>
      <c r="P58" t="n">
        <v>-3.314274193168728</v>
      </c>
      <c r="Q58" t="n">
        <v>0</v>
      </c>
      <c r="R58" t="n">
        <v>52.16977112235188</v>
      </c>
      <c r="S58" t="e">
        <v>#REF!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2.085381241813778</v>
      </c>
      <c r="Y58" t="n">
        <v>77.66841849075892</v>
      </c>
      <c r="Z58" t="e">
        <v>#REF!</v>
      </c>
    </row>
    <row r="59">
      <c r="B59">
        <f>lc_detailed!B60</f>
        <v/>
      </c>
      <c r="C59">
        <f>lc_detailed!AD60</f>
        <v/>
      </c>
      <c r="D59">
        <f>lc_detailed!AE60</f>
        <v/>
      </c>
      <c r="E59">
        <f>lc_detailed!AF60</f>
        <v/>
      </c>
      <c r="F59">
        <f>lc_detailed!#REF!</f>
        <v/>
      </c>
      <c r="G59">
        <f>lc_detailed!AG60</f>
        <v/>
      </c>
      <c r="H59">
        <f>lc_detailed!AH60</f>
        <v/>
      </c>
      <c r="I59">
        <f>lc_detailed!AI60</f>
        <v/>
      </c>
      <c r="J59">
        <f>lc_detailed!AK60</f>
        <v/>
      </c>
      <c r="K59">
        <f>lc_detailed!AL60</f>
        <v/>
      </c>
      <c r="L59">
        <f>lc_detailed!AB60</f>
        <v/>
      </c>
      <c r="M59">
        <f>lc_detailed!#REF!</f>
        <v/>
      </c>
      <c r="O59" t="inlineStr">
        <is>
          <t>CA_Gasoline_Gasification_Non_CCS_Herb</t>
        </is>
      </c>
      <c r="P59" t="n">
        <v>-4.124833719838755</v>
      </c>
      <c r="Q59" t="n">
        <v>0</v>
      </c>
      <c r="R59" t="n">
        <v>54.33679671753527</v>
      </c>
      <c r="S59" t="e">
        <v>#REF!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2.085416880053173</v>
      </c>
      <c r="Y59" t="n">
        <v>77.90774543896899</v>
      </c>
      <c r="Z59" t="e">
        <v>#REF!</v>
      </c>
    </row>
    <row r="60">
      <c r="B60">
        <f>lc_detailed!B61</f>
        <v/>
      </c>
      <c r="C60">
        <f>lc_detailed!AD61</f>
        <v/>
      </c>
      <c r="D60">
        <f>lc_detailed!AE61</f>
        <v/>
      </c>
      <c r="E60">
        <f>lc_detailed!AF61</f>
        <v/>
      </c>
      <c r="F60">
        <f>lc_detailed!#REF!</f>
        <v/>
      </c>
      <c r="G60">
        <f>lc_detailed!AG61</f>
        <v/>
      </c>
      <c r="H60">
        <f>lc_detailed!AH61</f>
        <v/>
      </c>
      <c r="I60">
        <f>lc_detailed!AI61</f>
        <v/>
      </c>
      <c r="J60">
        <f>lc_detailed!AK61</f>
        <v/>
      </c>
      <c r="K60">
        <f>lc_detailed!AL61</f>
        <v/>
      </c>
      <c r="L60">
        <f>lc_detailed!AB61</f>
        <v/>
      </c>
      <c r="M60">
        <f>lc_detailed!#REF!</f>
        <v/>
      </c>
      <c r="O60" t="inlineStr">
        <is>
          <t>CA_Gasoline_Gasification_Non_CCS_Herb</t>
        </is>
      </c>
      <c r="P60" t="n">
        <v>0</v>
      </c>
      <c r="Q60" t="n">
        <v>2.694500443499823</v>
      </c>
      <c r="R60" t="n">
        <v>69.80145134355548</v>
      </c>
      <c r="S60" t="e">
        <v>#REF!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2.086473150053378</v>
      </c>
      <c r="Y60" t="n">
        <v>78.42330091609931</v>
      </c>
      <c r="Z60" t="e">
        <v>#REF!</v>
      </c>
    </row>
    <row r="61">
      <c r="B61">
        <f>lc_detailed!B62</f>
        <v/>
      </c>
      <c r="C61">
        <f>lc_detailed!AD62</f>
        <v/>
      </c>
      <c r="D61">
        <f>lc_detailed!AE62</f>
        <v/>
      </c>
      <c r="E61">
        <f>lc_detailed!AF62</f>
        <v/>
      </c>
      <c r="F61">
        <f>lc_detailed!#REF!</f>
        <v/>
      </c>
      <c r="G61">
        <f>lc_detailed!AG62</f>
        <v/>
      </c>
      <c r="H61">
        <f>lc_detailed!AH62</f>
        <v/>
      </c>
      <c r="I61">
        <f>lc_detailed!AI62</f>
        <v/>
      </c>
      <c r="J61">
        <f>lc_detailed!AK62</f>
        <v/>
      </c>
      <c r="K61">
        <f>lc_detailed!AL62</f>
        <v/>
      </c>
      <c r="L61">
        <f>lc_detailed!AB62</f>
        <v/>
      </c>
      <c r="M61">
        <f>lc_detailed!#REF!</f>
        <v/>
      </c>
      <c r="O61" t="inlineStr">
        <is>
          <t>CA_Gasoline_Gasification_Non_CCS_Herb</t>
        </is>
      </c>
      <c r="P61" t="n">
        <v>0</v>
      </c>
      <c r="Q61" t="n">
        <v>5.005272759530366</v>
      </c>
      <c r="R61" t="n">
        <v>52.50426245349567</v>
      </c>
      <c r="S61" t="e">
        <v>#REF!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2.086066287576055</v>
      </c>
      <c r="Y61" t="n">
        <v>78.73776838000521</v>
      </c>
      <c r="Z61" t="e">
        <v>#REF!</v>
      </c>
    </row>
    <row r="62">
      <c r="B62">
        <f>lc_detailed!B63</f>
        <v/>
      </c>
      <c r="C62">
        <f>lc_detailed!AD63</f>
        <v/>
      </c>
      <c r="D62">
        <f>lc_detailed!AE63</f>
        <v/>
      </c>
      <c r="E62">
        <f>lc_detailed!AF63</f>
        <v/>
      </c>
      <c r="F62">
        <f>lc_detailed!#REF!</f>
        <v/>
      </c>
      <c r="G62">
        <f>lc_detailed!AG63</f>
        <v/>
      </c>
      <c r="H62">
        <f>lc_detailed!AH63</f>
        <v/>
      </c>
      <c r="I62">
        <f>lc_detailed!AI63</f>
        <v/>
      </c>
      <c r="J62">
        <f>lc_detailed!AK63</f>
        <v/>
      </c>
      <c r="K62">
        <f>lc_detailed!AL63</f>
        <v/>
      </c>
      <c r="L62">
        <f>lc_detailed!AB63</f>
        <v/>
      </c>
      <c r="M62">
        <f>lc_detailed!#REF!</f>
        <v/>
      </c>
      <c r="O62" t="inlineStr">
        <is>
          <t>CA_Gasoline_Gasification_Non_CCS_Herb</t>
        </is>
      </c>
      <c r="P62" t="n">
        <v>0</v>
      </c>
      <c r="Q62" t="n">
        <v>5.199464480224854</v>
      </c>
      <c r="R62" t="n">
        <v>50.57907247540655</v>
      </c>
      <c r="S62" t="e">
        <v>#REF!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2.086075610141362</v>
      </c>
      <c r="Y62" t="n">
        <v>78.99989380809166</v>
      </c>
      <c r="Z62" t="e">
        <v>#REF!</v>
      </c>
    </row>
    <row r="63">
      <c r="B63">
        <f>lc_detailed!B64</f>
        <v/>
      </c>
      <c r="C63">
        <f>lc_detailed!AD64</f>
        <v/>
      </c>
      <c r="D63">
        <f>lc_detailed!AE64</f>
        <v/>
      </c>
      <c r="E63">
        <f>lc_detailed!AF64</f>
        <v/>
      </c>
      <c r="F63">
        <f>lc_detailed!#REF!</f>
        <v/>
      </c>
      <c r="G63">
        <f>lc_detailed!AG64</f>
        <v/>
      </c>
      <c r="H63">
        <f>lc_detailed!AH64</f>
        <v/>
      </c>
      <c r="I63">
        <f>lc_detailed!AI64</f>
        <v/>
      </c>
      <c r="J63">
        <f>lc_detailed!AK64</f>
        <v/>
      </c>
      <c r="K63">
        <f>lc_detailed!AL64</f>
        <v/>
      </c>
      <c r="L63">
        <f>lc_detailed!AB64</f>
        <v/>
      </c>
      <c r="M63">
        <f>lc_detailed!#REF!</f>
        <v/>
      </c>
      <c r="O63" t="inlineStr">
        <is>
          <t>CA_Gasoline_Gasification_Non_CCS_Herb</t>
        </is>
      </c>
      <c r="P63" t="n">
        <v>-3.313363179943135</v>
      </c>
      <c r="Q63" t="n">
        <v>0</v>
      </c>
      <c r="R63" t="n">
        <v>55.67268517179895</v>
      </c>
      <c r="S63" t="e">
        <v>#REF!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2.085534996184113</v>
      </c>
      <c r="Y63" t="n">
        <v>80.16259577483035</v>
      </c>
      <c r="Z63" t="e">
        <v>#REF!</v>
      </c>
    </row>
    <row r="64">
      <c r="B64">
        <f>lc_detailed!B65</f>
        <v/>
      </c>
      <c r="C64">
        <f>lc_detailed!AD65</f>
        <v/>
      </c>
      <c r="D64">
        <f>lc_detailed!AE65</f>
        <v/>
      </c>
      <c r="E64">
        <f>lc_detailed!AF65</f>
        <v/>
      </c>
      <c r="F64">
        <f>lc_detailed!#REF!</f>
        <v/>
      </c>
      <c r="G64">
        <f>lc_detailed!AG65</f>
        <v/>
      </c>
      <c r="H64">
        <f>lc_detailed!AH65</f>
        <v/>
      </c>
      <c r="I64">
        <f>lc_detailed!AI65</f>
        <v/>
      </c>
      <c r="J64">
        <f>lc_detailed!AK65</f>
        <v/>
      </c>
      <c r="K64">
        <f>lc_detailed!AL65</f>
        <v/>
      </c>
      <c r="L64">
        <f>lc_detailed!AB65</f>
        <v/>
      </c>
      <c r="M64">
        <f>lc_detailed!#REF!</f>
        <v/>
      </c>
      <c r="O64" t="inlineStr">
        <is>
          <t>CA_Gasoline_Gasification_Non_CCS_Herb</t>
        </is>
      </c>
      <c r="P64" t="n">
        <v>-2.732416434631432</v>
      </c>
      <c r="Q64" t="n">
        <v>0</v>
      </c>
      <c r="R64" t="n">
        <v>52.86855568631646</v>
      </c>
      <c r="S64" t="e">
        <v>#REF!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2.086453096294997</v>
      </c>
      <c r="Y64" t="n">
        <v>80.77019037754502</v>
      </c>
      <c r="Z64" t="e">
        <v>#REF!</v>
      </c>
    </row>
    <row r="65">
      <c r="B65">
        <f>lc_detailed!B66</f>
        <v/>
      </c>
      <c r="C65">
        <f>lc_detailed!AD66</f>
        <v/>
      </c>
      <c r="D65">
        <f>lc_detailed!AE66</f>
        <v/>
      </c>
      <c r="E65">
        <f>lc_detailed!AF66</f>
        <v/>
      </c>
      <c r="F65">
        <f>lc_detailed!#REF!</f>
        <v/>
      </c>
      <c r="G65">
        <f>lc_detailed!AG66</f>
        <v/>
      </c>
      <c r="H65">
        <f>lc_detailed!AH66</f>
        <v/>
      </c>
      <c r="I65">
        <f>lc_detailed!AI66</f>
        <v/>
      </c>
      <c r="J65">
        <f>lc_detailed!AK66</f>
        <v/>
      </c>
      <c r="K65">
        <f>lc_detailed!AL66</f>
        <v/>
      </c>
      <c r="L65">
        <f>lc_detailed!AB66</f>
        <v/>
      </c>
      <c r="M65">
        <f>lc_detailed!#REF!</f>
        <v/>
      </c>
      <c r="O65" t="inlineStr">
        <is>
          <t>CA_Gasoline_Gasification_Non_CCS_Herb</t>
        </is>
      </c>
      <c r="P65" t="n">
        <v>0</v>
      </c>
      <c r="Q65" t="n">
        <v>0</v>
      </c>
      <c r="R65" t="n">
        <v>61.36631731047105</v>
      </c>
      <c r="S65" t="e">
        <v>#REF!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2.085672011967784</v>
      </c>
      <c r="Y65" t="n">
        <v>80.89961886836703</v>
      </c>
      <c r="Z65" t="e">
        <v>#REF!</v>
      </c>
    </row>
    <row r="66">
      <c r="B66">
        <f>lc_detailed!B67</f>
        <v/>
      </c>
      <c r="C66">
        <f>lc_detailed!AD67</f>
        <v/>
      </c>
      <c r="D66">
        <f>lc_detailed!AE67</f>
        <v/>
      </c>
      <c r="E66">
        <f>lc_detailed!AF67</f>
        <v/>
      </c>
      <c r="F66">
        <f>lc_detailed!#REF!</f>
        <v/>
      </c>
      <c r="G66">
        <f>lc_detailed!AG67</f>
        <v/>
      </c>
      <c r="H66">
        <f>lc_detailed!AH67</f>
        <v/>
      </c>
      <c r="I66">
        <f>lc_detailed!AI67</f>
        <v/>
      </c>
      <c r="J66">
        <f>lc_detailed!AK67</f>
        <v/>
      </c>
      <c r="K66">
        <f>lc_detailed!AL67</f>
        <v/>
      </c>
      <c r="L66">
        <f>lc_detailed!AB67</f>
        <v/>
      </c>
      <c r="M66">
        <f>lc_detailed!#REF!</f>
        <v/>
      </c>
      <c r="O66" t="inlineStr">
        <is>
          <t>CA_Gasoline_Gasification_Non_CCS_Herb</t>
        </is>
      </c>
      <c r="P66" t="n">
        <v>0</v>
      </c>
      <c r="Q66" t="n">
        <v>2.587647531904553</v>
      </c>
      <c r="R66" t="n">
        <v>76.72709870243474</v>
      </c>
      <c r="S66" t="e">
        <v>#REF!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2.08577420874786</v>
      </c>
      <c r="Y66" t="n">
        <v>81.83829339415084</v>
      </c>
      <c r="Z66" t="e">
        <v>#REF!</v>
      </c>
    </row>
    <row r="67">
      <c r="B67">
        <f>lc_detailed!B68</f>
        <v/>
      </c>
      <c r="C67">
        <f>lc_detailed!AD68</f>
        <v/>
      </c>
      <c r="D67">
        <f>lc_detailed!AE68</f>
        <v/>
      </c>
      <c r="E67">
        <f>lc_detailed!AF68</f>
        <v/>
      </c>
      <c r="F67">
        <f>lc_detailed!#REF!</f>
        <v/>
      </c>
      <c r="G67">
        <f>lc_detailed!AG68</f>
        <v/>
      </c>
      <c r="H67">
        <f>lc_detailed!AH68</f>
        <v/>
      </c>
      <c r="I67">
        <f>lc_detailed!AI68</f>
        <v/>
      </c>
      <c r="J67">
        <f>lc_detailed!AK68</f>
        <v/>
      </c>
      <c r="K67">
        <f>lc_detailed!AL68</f>
        <v/>
      </c>
      <c r="L67">
        <f>lc_detailed!AB68</f>
        <v/>
      </c>
      <c r="M67">
        <f>lc_detailed!#REF!</f>
        <v/>
      </c>
      <c r="O67" t="inlineStr">
        <is>
          <t>CA_Gasoline_Gasification_Non_CCS_Herb</t>
        </is>
      </c>
      <c r="P67" t="n">
        <v>-2.733039724607014</v>
      </c>
      <c r="Q67" t="n">
        <v>0</v>
      </c>
      <c r="R67" t="n">
        <v>55.65372732769045</v>
      </c>
      <c r="S67" t="e">
        <v>#REF!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2.086345046188609</v>
      </c>
      <c r="Y67" t="n">
        <v>81.89481970916161</v>
      </c>
      <c r="Z67" t="e">
        <v>#REF!</v>
      </c>
    </row>
    <row r="68">
      <c r="B68">
        <f>lc_detailed!B69</f>
        <v/>
      </c>
      <c r="C68">
        <f>lc_detailed!AD69</f>
        <v/>
      </c>
      <c r="D68">
        <f>lc_detailed!AE69</f>
        <v/>
      </c>
      <c r="E68">
        <f>lc_detailed!AF69</f>
        <v/>
      </c>
      <c r="F68">
        <f>lc_detailed!#REF!</f>
        <v/>
      </c>
      <c r="G68">
        <f>lc_detailed!AG69</f>
        <v/>
      </c>
      <c r="H68">
        <f>lc_detailed!AH69</f>
        <v/>
      </c>
      <c r="I68">
        <f>lc_detailed!AI69</f>
        <v/>
      </c>
      <c r="J68">
        <f>lc_detailed!AK69</f>
        <v/>
      </c>
      <c r="K68">
        <f>lc_detailed!AL69</f>
        <v/>
      </c>
      <c r="L68">
        <f>lc_detailed!AB69</f>
        <v/>
      </c>
      <c r="M68">
        <f>lc_detailed!#REF!</f>
        <v/>
      </c>
      <c r="O68" t="inlineStr">
        <is>
          <t>CA_Gasoline_Gasification_Non_CCS_Herb</t>
        </is>
      </c>
      <c r="P68" t="n">
        <v>0</v>
      </c>
      <c r="Q68" t="n">
        <v>0</v>
      </c>
      <c r="R68" t="n">
        <v>61.65698427638135</v>
      </c>
      <c r="S68" t="e">
        <v>#REF!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2.085727662574079</v>
      </c>
      <c r="Y68" t="n">
        <v>83.33356011163565</v>
      </c>
      <c r="Z68" t="e">
        <v>#REF!</v>
      </c>
    </row>
    <row r="69">
      <c r="B69">
        <f>lc_detailed!B70</f>
        <v/>
      </c>
      <c r="C69">
        <f>lc_detailed!AD70</f>
        <v/>
      </c>
      <c r="D69">
        <f>lc_detailed!AE70</f>
        <v/>
      </c>
      <c r="E69">
        <f>lc_detailed!AF70</f>
        <v/>
      </c>
      <c r="F69">
        <f>lc_detailed!#REF!</f>
        <v/>
      </c>
      <c r="G69">
        <f>lc_detailed!AG70</f>
        <v/>
      </c>
      <c r="H69">
        <f>lc_detailed!AH70</f>
        <v/>
      </c>
      <c r="I69">
        <f>lc_detailed!AI70</f>
        <v/>
      </c>
      <c r="J69">
        <f>lc_detailed!AK70</f>
        <v/>
      </c>
      <c r="K69">
        <f>lc_detailed!AL70</f>
        <v/>
      </c>
      <c r="L69">
        <f>lc_detailed!AB70</f>
        <v/>
      </c>
      <c r="M69">
        <f>lc_detailed!#REF!</f>
        <v/>
      </c>
      <c r="O69" t="inlineStr">
        <is>
          <t>CA_Gasoline_Gasification_Non_CCS_Herb</t>
        </is>
      </c>
      <c r="P69" t="n">
        <v>-2.733479988295925</v>
      </c>
      <c r="Q69" t="n">
        <v>0</v>
      </c>
      <c r="R69" t="n">
        <v>61.36631731047105</v>
      </c>
      <c r="S69" t="e">
        <v>#REF!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2.085672028051245</v>
      </c>
      <c r="Y69" t="n">
        <v>86.42262251681377</v>
      </c>
      <c r="Z69" t="e">
        <v>#REF!</v>
      </c>
    </row>
    <row r="70">
      <c r="B70">
        <f>lc_detailed!B71</f>
        <v/>
      </c>
      <c r="C70">
        <f>lc_detailed!AD71</f>
        <v/>
      </c>
      <c r="D70">
        <f>lc_detailed!AE71</f>
        <v/>
      </c>
      <c r="E70">
        <f>lc_detailed!AF71</f>
        <v/>
      </c>
      <c r="F70">
        <f>lc_detailed!#REF!</f>
        <v/>
      </c>
      <c r="G70">
        <f>lc_detailed!AG71</f>
        <v/>
      </c>
      <c r="H70">
        <f>lc_detailed!AH71</f>
        <v/>
      </c>
      <c r="I70">
        <f>lc_detailed!AI71</f>
        <v/>
      </c>
      <c r="J70">
        <f>lc_detailed!AK71</f>
        <v/>
      </c>
      <c r="K70">
        <f>lc_detailed!AL71</f>
        <v/>
      </c>
      <c r="L70">
        <f>lc_detailed!AB71</f>
        <v/>
      </c>
      <c r="M70">
        <f>lc_detailed!#REF!</f>
        <v/>
      </c>
      <c r="O70" t="inlineStr">
        <is>
          <t>CA_Gasoline_Gasification_Non_CCS_Herb</t>
        </is>
      </c>
      <c r="P70" t="n">
        <v>0</v>
      </c>
      <c r="Q70" t="n">
        <v>0</v>
      </c>
      <c r="R70" t="n">
        <v>69.80145134355548</v>
      </c>
      <c r="S70" t="e">
        <v>#REF!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2.086473150053354</v>
      </c>
      <c r="Y70" t="n">
        <v>89.41278261729495</v>
      </c>
      <c r="Z70" t="e">
        <v>#REF!</v>
      </c>
    </row>
    <row r="71">
      <c r="B71">
        <f>lc_detailed!B72</f>
        <v/>
      </c>
      <c r="C71">
        <f>lc_detailed!AD72</f>
        <v/>
      </c>
      <c r="D71">
        <f>lc_detailed!AE72</f>
        <v/>
      </c>
      <c r="E71">
        <f>lc_detailed!AF72</f>
        <v/>
      </c>
      <c r="F71">
        <f>lc_detailed!#REF!</f>
        <v/>
      </c>
      <c r="G71">
        <f>lc_detailed!AG72</f>
        <v/>
      </c>
      <c r="H71">
        <f>lc_detailed!AH72</f>
        <v/>
      </c>
      <c r="I71">
        <f>lc_detailed!AI72</f>
        <v/>
      </c>
      <c r="J71">
        <f>lc_detailed!AK72</f>
        <v/>
      </c>
      <c r="K71">
        <f>lc_detailed!AL72</f>
        <v/>
      </c>
      <c r="L71">
        <f>lc_detailed!AB72</f>
        <v/>
      </c>
      <c r="M71">
        <f>lc_detailed!#REF!</f>
        <v/>
      </c>
      <c r="O71" t="inlineStr">
        <is>
          <t>CA_Gasoline_Gasification_Non_CCS_Herb</t>
        </is>
      </c>
      <c r="P71" t="n">
        <v>-2.18296761975418</v>
      </c>
      <c r="Q71" t="n">
        <v>0</v>
      </c>
      <c r="R71" t="n">
        <v>61.65698427638135</v>
      </c>
      <c r="S71" t="e">
        <v>#REF!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2.085727678657541</v>
      </c>
      <c r="Y71" t="n">
        <v>91.10623960517108</v>
      </c>
      <c r="Z71" t="e">
        <v>#REF!</v>
      </c>
    </row>
    <row r="72">
      <c r="B72">
        <f>lc_detailed!B73</f>
        <v/>
      </c>
      <c r="C72">
        <f>lc_detailed!AD73</f>
        <v/>
      </c>
      <c r="D72">
        <f>lc_detailed!AE73</f>
        <v/>
      </c>
      <c r="E72">
        <f>lc_detailed!AF73</f>
        <v/>
      </c>
      <c r="F72">
        <f>lc_detailed!#REF!</f>
        <v/>
      </c>
      <c r="G72">
        <f>lc_detailed!AG73</f>
        <v/>
      </c>
      <c r="H72">
        <f>lc_detailed!AH73</f>
        <v/>
      </c>
      <c r="I72">
        <f>lc_detailed!AI73</f>
        <v/>
      </c>
      <c r="J72">
        <f>lc_detailed!AK73</f>
        <v/>
      </c>
      <c r="K72">
        <f>lc_detailed!AL73</f>
        <v/>
      </c>
      <c r="L72">
        <f>lc_detailed!AB73</f>
        <v/>
      </c>
      <c r="M72">
        <f>lc_detailed!#REF!</f>
        <v/>
      </c>
      <c r="O72" t="inlineStr">
        <is>
          <t>CA_Gasoline_Gasification_Non_CCS_Herb</t>
        </is>
      </c>
      <c r="P72" t="n">
        <v>0</v>
      </c>
      <c r="Q72" t="n">
        <v>0</v>
      </c>
      <c r="R72" t="n">
        <v>76.72709870243474</v>
      </c>
      <c r="S72" t="e">
        <v>#REF!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2.085774208747848</v>
      </c>
      <c r="Y72" t="n">
        <v>94.87090197791044</v>
      </c>
      <c r="Z72" t="e">
        <v>#REF!</v>
      </c>
    </row>
    <row r="73">
      <c r="B73">
        <f>lc_detailed!B74</f>
        <v/>
      </c>
      <c r="C73">
        <f>lc_detailed!AD74</f>
        <v/>
      </c>
      <c r="D73">
        <f>lc_detailed!AE74</f>
        <v/>
      </c>
      <c r="E73">
        <f>lc_detailed!AF74</f>
        <v/>
      </c>
      <c r="F73">
        <f>lc_detailed!#REF!</f>
        <v/>
      </c>
      <c r="G73">
        <f>lc_detailed!AG74</f>
        <v/>
      </c>
      <c r="H73">
        <f>lc_detailed!AH74</f>
        <v/>
      </c>
      <c r="I73">
        <f>lc_detailed!AI74</f>
        <v/>
      </c>
      <c r="J73">
        <f>lc_detailed!AK74</f>
        <v/>
      </c>
      <c r="K73">
        <f>lc_detailed!AL74</f>
        <v/>
      </c>
      <c r="L73">
        <f>lc_detailed!AB74</f>
        <v/>
      </c>
      <c r="M73">
        <f>lc_detailed!#REF!</f>
        <v/>
      </c>
      <c r="O73" t="inlineStr">
        <is>
          <t>CA_Gasoline_Gasification_Non_CCS_Herb</t>
        </is>
      </c>
      <c r="P73" t="n">
        <v>-2.182627258944386</v>
      </c>
      <c r="Q73" t="n">
        <v>0</v>
      </c>
      <c r="R73" t="n">
        <v>69.80145134355548</v>
      </c>
      <c r="S73" t="e">
        <v>#REF!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2.086473166136344</v>
      </c>
      <c r="Y73" t="n">
        <v>96.71146078319458</v>
      </c>
      <c r="Z73" t="e">
        <v>#REF!</v>
      </c>
    </row>
    <row r="74">
      <c r="B74">
        <f>lc_detailed!B75</f>
        <v/>
      </c>
      <c r="C74">
        <f>lc_detailed!AD75</f>
        <v/>
      </c>
      <c r="D74">
        <f>lc_detailed!AE75</f>
        <v/>
      </c>
      <c r="E74">
        <f>lc_detailed!AF75</f>
        <v/>
      </c>
      <c r="F74">
        <f>lc_detailed!#REF!</f>
        <v/>
      </c>
      <c r="G74">
        <f>lc_detailed!AG75</f>
        <v/>
      </c>
      <c r="H74">
        <f>lc_detailed!AH75</f>
        <v/>
      </c>
      <c r="I74">
        <f>lc_detailed!AI75</f>
        <v/>
      </c>
      <c r="J74">
        <f>lc_detailed!AK75</f>
        <v/>
      </c>
      <c r="K74">
        <f>lc_detailed!AL75</f>
        <v/>
      </c>
      <c r="L74">
        <f>lc_detailed!AB75</f>
        <v/>
      </c>
      <c r="M74">
        <f>lc_detailed!#REF!</f>
        <v/>
      </c>
      <c r="O74" t="inlineStr">
        <is>
          <t>CA_Gasoline_Gasification_Non_CCS_Herb</t>
        </is>
      </c>
      <c r="P74" t="n">
        <v>-2.183573392234047</v>
      </c>
      <c r="Q74" t="n">
        <v>0</v>
      </c>
      <c r="R74" t="n">
        <v>76.72709870243474</v>
      </c>
      <c r="S74" t="e">
        <v>#REF!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2.085774224831308</v>
      </c>
      <c r="Y74" t="n">
        <v>102.564508630852</v>
      </c>
      <c r="Z74" t="e">
        <v>#REF!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Abigail Cheng</dc:creator>
  <dcterms:created xmlns:dcterms="http://purl.org/dc/terms/" xmlns:xsi="http://www.w3.org/2001/XMLSchema-instance" xsi:type="dcterms:W3CDTF">2026-04-05T17:24:30Z</dcterms:created>
  <dcterms:modified xmlns:dcterms="http://purl.org/dc/terms/" xmlns:xsi="http://www.w3.org/2001/XMLSchema-instance" xsi:type="dcterms:W3CDTF">2026-06-24T07:31:24Z</dcterms:modified>
  <cp:lastModifiedBy>Abigail Cheng</cp:lastModifiedBy>
</cp:coreProperties>
</file>