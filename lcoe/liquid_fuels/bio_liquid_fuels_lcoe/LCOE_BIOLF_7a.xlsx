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400" yWindow="500" windowWidth="38400" windowHeight="22620" tabRatio="600" firstSheet="0" activeTab="1" autoFilterDateGrouping="1"/>
  </bookViews>
  <sheets>
    <sheet xmlns:r="http://schemas.openxmlformats.org/officeDocument/2006/relationships" name="lc_detailed" sheetId="1" state="visible" r:id="rId1"/>
    <sheet xmlns:r="http://schemas.openxmlformats.org/officeDocument/2006/relationships" name="lc_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5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theme="0"/>
      <sz val="12"/>
      <scheme val="minor"/>
    </font>
  </fonts>
  <fills count="19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8E8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6D3D6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8E8FF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164" fontId="1" fillId="0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7" borderId="0" pivotButton="0" quotePrefix="0" xfId="0"/>
    <xf numFmtId="0" fontId="1" fillId="7" borderId="0" pivotButton="0" quotePrefix="0" xfId="0"/>
    <xf numFmtId="164" fontId="1" fillId="8" borderId="0" pivotButton="0" quotePrefix="0" xfId="0"/>
    <xf numFmtId="0" fontId="0" fillId="9" borderId="0" pivotButton="0" quotePrefix="0" xfId="0"/>
    <xf numFmtId="0" fontId="4" fillId="10" borderId="0" pivotButton="0" quotePrefix="0" xfId="0"/>
    <xf numFmtId="0" fontId="2" fillId="11" borderId="0" pivotButton="0" quotePrefix="0" xfId="0"/>
    <xf numFmtId="0" fontId="0" fillId="12" borderId="0" pivotButton="0" quotePrefix="0" xfId="0"/>
    <xf numFmtId="0" fontId="1" fillId="13" borderId="0" pivotButton="0" quotePrefix="0" xfId="0"/>
    <xf numFmtId="0" fontId="2" fillId="0" borderId="0" pivotButton="0" quotePrefix="0" xfId="0"/>
    <xf numFmtId="0" fontId="3" fillId="14" borderId="0" pivotButton="0" quotePrefix="0" xfId="0"/>
    <xf numFmtId="164" fontId="1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26"/>
  <sheetViews>
    <sheetView topLeftCell="AN125" zoomScale="86" zoomScaleNormal="157" workbookViewId="0">
      <selection activeCell="AU342" sqref="AU342"/>
    </sheetView>
  </sheetViews>
  <sheetFormatPr baseColWidth="10" defaultRowHeight="16"/>
  <cols>
    <col width="2.6640625" customWidth="1" style="1" min="1" max="1"/>
    <col width="43.5" bestFit="1" customWidth="1" style="1" min="2" max="2"/>
    <col width="13.33203125" bestFit="1" customWidth="1" style="1" min="3" max="3"/>
    <col width="23.83203125" bestFit="1" customWidth="1" style="1" min="4" max="4"/>
    <col width="25.33203125" bestFit="1" customWidth="1" style="1" min="5" max="5"/>
    <col width="34" bestFit="1" customWidth="1" style="1" min="6" max="6"/>
    <col width="31.1640625" bestFit="1" customWidth="1" style="1" min="7" max="7"/>
    <col width="30.1640625" bestFit="1" customWidth="1" style="1" min="8" max="8"/>
    <col width="30.1640625" customWidth="1" style="1" min="9" max="9"/>
    <col width="28.33203125" bestFit="1" customWidth="1" style="1" min="10" max="10"/>
    <col width="27.83203125" bestFit="1" customWidth="1" style="1" min="11" max="11"/>
    <col width="21" customWidth="1" style="1" min="12" max="12"/>
    <col width="27.83203125" bestFit="1" customWidth="1" style="1" min="13" max="13"/>
    <col width="26.1640625" bestFit="1" customWidth="1" style="1" min="14" max="14"/>
    <col width="14" customWidth="1" style="1" min="15" max="15"/>
    <col width="3" customWidth="1" style="1" min="16" max="16"/>
    <col width="12" bestFit="1" customWidth="1" style="1" min="17" max="17"/>
    <col width="15.6640625" bestFit="1" customWidth="1" style="1" min="18" max="18"/>
    <col width="17.1640625" bestFit="1" customWidth="1" style="1" min="19" max="20"/>
    <col width="18" bestFit="1" customWidth="1" style="1" min="21" max="21"/>
    <col width="16.1640625" bestFit="1" customWidth="1" style="1" min="22" max="22"/>
    <col width="18.83203125" bestFit="1" customWidth="1" style="1" min="23" max="23"/>
    <col width="3.33203125" customWidth="1" min="24" max="24"/>
    <col width="37.83203125" bestFit="1" customWidth="1" style="1" min="25" max="25"/>
    <col width="19.83203125" customWidth="1" style="1" min="26" max="26"/>
    <col width="18.83203125" bestFit="1" customWidth="1" style="1" min="27" max="28"/>
    <col width="27.83203125" bestFit="1" customWidth="1" style="1" min="29" max="29"/>
    <col width="12.6640625" bestFit="1" customWidth="1" style="1" min="30" max="30"/>
    <col width="15.1640625" bestFit="1" customWidth="1" style="1" min="31" max="31"/>
    <col width="18.5" bestFit="1" customWidth="1" style="1" min="32" max="32"/>
    <col width="13.6640625" bestFit="1" customWidth="1" style="1" min="33" max="33"/>
    <col width="12.1640625" bestFit="1" customWidth="1" style="1" min="34" max="34"/>
    <col width="14.5" bestFit="1" customWidth="1" style="1" min="35" max="35"/>
    <col width="10.5" customWidth="1" style="1" min="36" max="36"/>
    <col width="17.83203125" bestFit="1" customWidth="1" style="1" min="37" max="37"/>
    <col width="19.6640625" bestFit="1" customWidth="1" style="1" min="38" max="38"/>
    <col width="12.1640625" customWidth="1" style="1" min="39" max="39"/>
    <col width="17.83203125" bestFit="1" customWidth="1" style="1" min="40" max="40"/>
    <col width="19.33203125" bestFit="1" customWidth="1" style="1" min="41" max="41"/>
    <col width="3.33203125" customWidth="1" style="1" min="42" max="42"/>
    <col width="27.6640625" bestFit="1" customWidth="1" style="1" min="43" max="43"/>
    <col width="26.5" bestFit="1" customWidth="1" style="1" min="44" max="44"/>
    <col width="22.33203125" bestFit="1" customWidth="1" style="1" min="45" max="45"/>
    <col width="23.83203125" bestFit="1" customWidth="1" style="1" min="46" max="46"/>
    <col width="24.1640625" bestFit="1" customWidth="1" style="1" min="47" max="47"/>
    <col width="3.6640625" customWidth="1" style="1" min="48" max="48"/>
    <col width="24.5" bestFit="1" customWidth="1" style="1" min="49" max="49"/>
    <col width="3.33203125" customWidth="1" style="1" min="50" max="50"/>
    <col width="25.83203125" bestFit="1" customWidth="1" style="1" min="51" max="51"/>
    <col width="23.83203125" bestFit="1" customWidth="1" style="1" min="52" max="52"/>
    <col width="24.5" bestFit="1" customWidth="1" style="1" min="53" max="53"/>
    <col width="33.1640625" bestFit="1" customWidth="1" style="1" min="54" max="54"/>
    <col width="32.33203125" bestFit="1" customWidth="1" style="1" min="55" max="55"/>
    <col width="10.83203125" customWidth="1" style="1" min="56" max="56"/>
    <col width="19.1640625" bestFit="1" customWidth="1" style="1" min="57" max="57"/>
    <col width="10.83203125" customWidth="1" style="1" min="58" max="74"/>
    <col width="10.83203125" customWidth="1" style="1" min="75" max="16384"/>
  </cols>
  <sheetData>
    <row r="1" ht="15" customHeight="1">
      <c r="X1" s="1" t="n"/>
      <c r="AD1" s="16" t="n"/>
      <c r="AE1" s="16" t="n"/>
      <c r="AF1" s="16" t="n"/>
      <c r="AG1" s="16" t="n"/>
      <c r="AH1" s="16" t="n"/>
      <c r="AI1" s="16" t="n"/>
      <c r="AJ1" s="16" t="n"/>
    </row>
    <row r="2">
      <c r="B2" s="1" t="inlineStr">
        <is>
          <t>Asset Parameters (normalized by commodity feedstock)</t>
        </is>
      </c>
      <c r="Q2" s="1" t="inlineStr">
        <is>
          <t>Duals</t>
        </is>
      </c>
      <c r="Y2" s="1" t="inlineStr">
        <is>
          <t>LCOE for ethanol production ($/MWh-ethanol)</t>
        </is>
      </c>
      <c r="AA2" s="1" t="inlineStr">
        <is>
          <t>CI</t>
        </is>
      </c>
      <c r="AB2" s="1" t="inlineStr">
        <is>
          <t>CREDIT</t>
        </is>
      </c>
      <c r="AJ2" s="1" t="inlineStr">
        <is>
          <t>NET CARBON INTENSITY + credit for capture</t>
        </is>
      </c>
      <c r="AM2" s="1" t="inlineStr">
        <is>
          <t>CREDIT for capture/storage + PAY for storage</t>
        </is>
      </c>
      <c r="AQ2" s="1" t="inlineStr">
        <is>
          <t>Carbon Content</t>
        </is>
      </c>
      <c r="AW2" s="1" t="inlineStr">
        <is>
          <t>Carbon Inputs</t>
        </is>
      </c>
      <c r="AY2" s="1" t="inlineStr">
        <is>
          <t>Carbon Outputs</t>
        </is>
      </c>
      <c r="BE2" s="1" t="inlineStr">
        <is>
          <t>Sanity Checks</t>
        </is>
      </c>
    </row>
    <row r="3">
      <c r="B3" s="2" t="inlineStr">
        <is>
          <t>id</t>
        </is>
      </c>
      <c r="C3" s="2" t="inlineStr">
        <is>
          <t>commodity</t>
        </is>
      </c>
      <c r="D3" s="2" t="inlineStr">
        <is>
          <t>elec_production (MWh/t-bio)</t>
        </is>
      </c>
      <c r="E3" s="2" t="inlineStr">
        <is>
          <t>elec_consumption (MWh/t-bio)</t>
        </is>
      </c>
      <c r="F3" s="2" t="inlineStr">
        <is>
          <t>gasoline_production (MWh-gasoline/t-bio)</t>
        </is>
      </c>
      <c r="G3" s="2" t="inlineStr">
        <is>
          <t>jetfuel_production (MWh-jetfuel/t-bio)</t>
        </is>
      </c>
      <c r="H3" s="2" t="inlineStr">
        <is>
          <t>diesel_production (MWh-diesel/t-bio)</t>
        </is>
      </c>
      <c r="I3" s="7" t="inlineStr">
        <is>
          <t>fuel_production (MWh-fuel/t-bio)</t>
        </is>
      </c>
      <c r="J3" s="2" t="inlineStr">
        <is>
          <t>co2_biomass_content (t-CO2/t-bio)</t>
        </is>
      </c>
      <c r="K3" s="2" t="inlineStr">
        <is>
          <t>process_capture_rate (t-CO2/t-bio)</t>
        </is>
      </c>
      <c r="L3" s="2" t="inlineStr">
        <is>
          <t>process_emission_rate (t-CO2/t-bio)</t>
        </is>
      </c>
      <c r="M3" s="2" t="inlineStr">
        <is>
          <t>investment_cost ($/yr per t-bio/hr)</t>
        </is>
      </c>
      <c r="N3" s="2" t="inlineStr">
        <is>
          <t>fixed_om_cost ($/yr per t-bio/hr)</t>
        </is>
      </c>
      <c r="O3" s="2" t="inlineStr">
        <is>
          <t>variable_om_cost ($/t-bio)</t>
        </is>
      </c>
      <c r="Q3" s="13" t="inlineStr">
        <is>
          <t>co2_sink ($/t)</t>
        </is>
      </c>
      <c r="R3" s="13" t="inlineStr">
        <is>
          <t>co2_captured ($/t)</t>
        </is>
      </c>
      <c r="S3" s="13" t="inlineStr">
        <is>
          <t>biocorn_supply ($/t)</t>
        </is>
      </c>
      <c r="T3" s="13" t="inlineStr">
        <is>
          <t>bioherb_supply ($/t)</t>
        </is>
      </c>
      <c r="U3" s="13" t="inlineStr">
        <is>
          <t>biowood_supply ($/t)</t>
        </is>
      </c>
      <c r="V3" s="13" t="inlineStr">
        <is>
          <t>bioagri_supply ($/t)</t>
        </is>
      </c>
      <c r="W3" s="13" t="inlineStr">
        <is>
          <t>elec_demand ($/MWh)</t>
        </is>
      </c>
      <c r="Y3" s="4" t="inlineStr">
        <is>
          <t>id_LC</t>
        </is>
      </c>
      <c r="Z3" s="4" t="inlineStr">
        <is>
          <t>commodity_LC</t>
        </is>
      </c>
      <c r="AA3" s="3" t="inlineStr">
        <is>
          <t>LCOE ($/MWh-fuel)</t>
        </is>
      </c>
      <c r="AB3" s="6" t="inlineStr">
        <is>
          <t>LCOE ($/MWh-fuel)</t>
        </is>
      </c>
      <c r="AC3" s="7" t="inlineStr">
        <is>
          <t>Diff. Between Methods ($/MWh)</t>
        </is>
      </c>
      <c r="AD3" s="4" t="inlineStr">
        <is>
          <t>elec_production</t>
        </is>
      </c>
      <c r="AE3" s="4" t="inlineStr">
        <is>
          <t>elec_consumption</t>
        </is>
      </c>
      <c r="AF3" s="4" t="inlineStr">
        <is>
          <t>biomass_consumption</t>
        </is>
      </c>
      <c r="AG3" s="4" t="inlineStr">
        <is>
          <t>investment_cost</t>
        </is>
      </c>
      <c r="AH3" s="4" t="inlineStr">
        <is>
          <t>fixed_om_cost</t>
        </is>
      </c>
      <c r="AI3" s="4" t="inlineStr">
        <is>
          <t>variable_om_cost</t>
        </is>
      </c>
      <c r="AJ3" s="3" t="inlineStr">
        <is>
          <t>CI</t>
        </is>
      </c>
      <c r="AK3" s="3" t="inlineStr">
        <is>
          <t>modified capture cost</t>
        </is>
      </c>
      <c r="AL3" s="3" t="inlineStr">
        <is>
          <t>modified emissions cost</t>
        </is>
      </c>
      <c r="AM3" s="6" t="inlineStr">
        <is>
          <t>CI</t>
        </is>
      </c>
      <c r="AN3" s="6" t="inlineStr">
        <is>
          <t>modified capture cost</t>
        </is>
      </c>
      <c r="AO3" s="6" t="inlineStr">
        <is>
          <t>modified emissions cost</t>
        </is>
      </c>
      <c r="AQ3" s="7" t="inlineStr">
        <is>
          <t>Biomass CO2 content (t-CO2/t-bio)</t>
        </is>
      </c>
      <c r="AR3" s="7" t="inlineStr">
        <is>
          <t>Gasoline (t-CO2/MWh-gasoline)</t>
        </is>
      </c>
      <c r="AS3" s="7" t="inlineStr">
        <is>
          <t>Diesel (t-CO2/MWh-diesel)</t>
        </is>
      </c>
      <c r="AT3" s="7" t="inlineStr">
        <is>
          <t>JetFuel (t-CO2/MWh-jetfuel)</t>
        </is>
      </c>
      <c r="AU3" s="7" t="inlineStr">
        <is>
          <t>Ethanol (t-CO2/MWh-ethanol)</t>
        </is>
      </c>
      <c r="AW3" s="7" t="inlineStr">
        <is>
          <t>Biomass (t-CO2/t-bio)</t>
        </is>
      </c>
      <c r="AY3" s="7" t="inlineStr">
        <is>
          <t>Gasoline (t-CO2/t-bio)</t>
        </is>
      </c>
      <c r="AZ3" s="7" t="inlineStr">
        <is>
          <t>Diesel (t-CO2/t-bio)</t>
        </is>
      </c>
      <c r="BA3" s="7" t="inlineStr">
        <is>
          <t>JetFuel (t-CO2/t-bio)</t>
        </is>
      </c>
      <c r="BB3" s="7" t="inlineStr">
        <is>
          <t>Process Emissions (t-CO2/t-bio)</t>
        </is>
      </c>
      <c r="BC3" s="7" t="inlineStr">
        <is>
          <t>Process Captured (t-CO2/t-bio)</t>
        </is>
      </c>
      <c r="BE3" s="7" t="inlineStr">
        <is>
          <t>Carbon INPUT - OUTPUT</t>
        </is>
      </c>
    </row>
    <row r="4">
      <c r="B4" s="12" t="inlineStr">
        <is>
          <t>CA_Gasoline_Gasification_Non_CCS_Herb</t>
        </is>
      </c>
      <c r="C4" s="11" t="inlineStr">
        <is>
          <t>Biomass_Herb</t>
        </is>
      </c>
      <c r="D4" s="11" t="n">
        <v>0</v>
      </c>
      <c r="E4" s="11" t="n">
        <v>0</v>
      </c>
      <c r="F4" s="11" t="n">
        <v>2.0204</v>
      </c>
      <c r="G4" s="11" t="n">
        <v>0</v>
      </c>
      <c r="H4" s="11" t="n">
        <v>0</v>
      </c>
      <c r="I4" s="21">
        <f>F4+G4+H4</f>
        <v/>
      </c>
      <c r="J4" s="11" t="n">
        <v>1.721</v>
      </c>
      <c r="K4" s="11" t="n">
        <v>0</v>
      </c>
      <c r="L4" s="11" t="n">
        <v>1.228078285371346</v>
      </c>
      <c r="M4" s="11" t="n">
        <v>356053.6</v>
      </c>
      <c r="N4" s="11" t="n">
        <v>283503.36</v>
      </c>
      <c r="O4" s="11" t="n">
        <v>22.0416</v>
      </c>
      <c r="Q4" s="14" t="n">
        <v>109.479795</v>
      </c>
      <c r="R4" s="14" t="n">
        <v>-31.70346</v>
      </c>
      <c r="S4" s="14" t="n">
        <v>170</v>
      </c>
      <c r="T4" s="14" t="n">
        <v>110.461518</v>
      </c>
      <c r="U4" s="14" t="n">
        <v>127.408748</v>
      </c>
      <c r="V4" s="14" t="n">
        <v>98.83247799999999</v>
      </c>
      <c r="W4" s="14" t="n">
        <v>25.324637</v>
      </c>
      <c r="Y4" s="1">
        <f>B4</f>
        <v/>
      </c>
      <c r="Z4" s="1">
        <f>C4</f>
        <v/>
      </c>
      <c r="AA4" s="10">
        <f>SUM(AD4:AI4)+AK4+AL4</f>
        <v/>
      </c>
      <c r="AB4" s="10">
        <f>SUM(AD4:AI4)+AN4+AO4</f>
        <v/>
      </c>
      <c r="AC4" s="5">
        <f>AA4-AB4</f>
        <v/>
      </c>
      <c r="AD4" s="1">
        <f>D4/I4*W4*-1</f>
        <v/>
      </c>
      <c r="AE4" s="1">
        <f>E4/I4*W4</f>
        <v/>
      </c>
      <c r="AF4" s="1">
        <f t="array" ref="AF4">_xlfn.IFS(C4="Biomass_Corn", 1/I4*S4, C4="Biomass_Agri", 1/I4*V4, C4="Biomass_Wood", 1/I4*U4, C4="Biomass_Herb", 1/I4*T4)</f>
        <v/>
      </c>
      <c r="AG4" s="1">
        <f>M4/I4/(0.9*8760)</f>
        <v/>
      </c>
      <c r="AH4" s="1">
        <f>N4/I4/(0.9*8760)</f>
        <v/>
      </c>
      <c r="AI4" s="1">
        <f>O4/I4</f>
        <v/>
      </c>
      <c r="AJ4" s="1">
        <f>(AY4+AZ4+BA4+BB4+BC4-AW4)/I4</f>
        <v/>
      </c>
      <c r="AK4" s="1">
        <f>(Q4+R4)*-1*K4/I4</f>
        <v/>
      </c>
      <c r="AL4" s="1">
        <f>AJ4*Q4</f>
        <v/>
      </c>
      <c r="AM4" s="1">
        <f>(SUM(AY4:BB4)-AW4)/I4</f>
        <v/>
      </c>
      <c r="AN4" s="1">
        <f>K4/I4*-1*R4</f>
        <v/>
      </c>
      <c r="AO4" s="1">
        <f>AM4*Q4</f>
        <v/>
      </c>
      <c r="AQ4" s="8">
        <f>J4</f>
        <v/>
      </c>
      <c r="AR4" s="8" t="n">
        <v>0.243968185</v>
      </c>
      <c r="AS4" s="8" t="n">
        <v>0.249427613</v>
      </c>
      <c r="AT4" s="9" t="n">
        <v>0.246356685</v>
      </c>
      <c r="AU4" s="8" t="n">
        <v>0.23037491</v>
      </c>
      <c r="AW4" s="9">
        <f>AQ4</f>
        <v/>
      </c>
      <c r="AY4" s="9">
        <f>AR4*F4</f>
        <v/>
      </c>
      <c r="AZ4" s="9">
        <f>AS4*H4</f>
        <v/>
      </c>
      <c r="BA4" s="9">
        <f>AT4*G4</f>
        <v/>
      </c>
      <c r="BB4" s="9">
        <f>L4</f>
        <v/>
      </c>
      <c r="BC4" s="9">
        <f>K4</f>
        <v/>
      </c>
      <c r="BE4" s="1">
        <f>AW4-SUM(AY4:BC4)</f>
        <v/>
      </c>
    </row>
    <row r="5">
      <c r="B5" s="12" t="inlineStr">
        <is>
          <t>NW_Gasoline_Gasification_Non_CCS_Herb</t>
        </is>
      </c>
      <c r="C5" s="11" t="inlineStr">
        <is>
          <t>Biomass_Herb</t>
        </is>
      </c>
      <c r="D5" s="11" t="n">
        <v>0</v>
      </c>
      <c r="E5" s="11" t="n">
        <v>0</v>
      </c>
      <c r="F5" s="11" t="n">
        <v>2.0249</v>
      </c>
      <c r="G5" s="11" t="n">
        <v>0</v>
      </c>
      <c r="H5" s="11" t="n">
        <v>0</v>
      </c>
      <c r="I5" s="21">
        <f>F5+G5+H5</f>
        <v/>
      </c>
      <c r="J5" s="11" t="n">
        <v>1.726</v>
      </c>
      <c r="K5" s="11" t="n">
        <v>0</v>
      </c>
      <c r="L5" s="11" t="n">
        <v>1.231994345372162</v>
      </c>
      <c r="M5" s="11" t="n">
        <v>356053.6</v>
      </c>
      <c r="N5" s="11" t="n">
        <v>283503.36</v>
      </c>
      <c r="O5" s="11" t="n">
        <v>22.0416</v>
      </c>
      <c r="Q5" s="14" t="n">
        <v>109.479795</v>
      </c>
      <c r="R5" s="14" t="n">
        <v>-54.115443</v>
      </c>
      <c r="S5" s="14" t="n">
        <v>170</v>
      </c>
      <c r="T5" s="14" t="n">
        <v>100.773744</v>
      </c>
      <c r="U5" s="14" t="n">
        <v>108.668072</v>
      </c>
      <c r="V5" s="14" t="n">
        <v>89.424565</v>
      </c>
      <c r="W5" s="14" t="n">
        <v>39.359472</v>
      </c>
      <c r="Y5" s="1">
        <f>B5</f>
        <v/>
      </c>
      <c r="Z5" s="1">
        <f>C5</f>
        <v/>
      </c>
      <c r="AA5" s="10">
        <f>SUM(AD5:AI5)+AK5+AL5</f>
        <v/>
      </c>
      <c r="AB5" s="10">
        <f>SUM(AD5:AI5)+AN5+AO5</f>
        <v/>
      </c>
      <c r="AC5" s="5">
        <f>AA5-AB5</f>
        <v/>
      </c>
      <c r="AD5" s="1">
        <f>D5/I5*W5*-1</f>
        <v/>
      </c>
      <c r="AE5" s="1">
        <f>E5/I5*W5</f>
        <v/>
      </c>
      <c r="AF5" s="1">
        <f t="array" ref="AF5">_xlfn.IFS(C5="Biomass_Corn", 1/I5*S5, C5="Biomass_Agri", 1/I5*V5, C5="Biomass_Wood", 1/I5*U5, C5="Biomass_Herb", 1/I5*T5)</f>
        <v/>
      </c>
      <c r="AG5" s="1">
        <f>M5/I5/(0.9*8760)</f>
        <v/>
      </c>
      <c r="AH5" s="1">
        <f>N5/I5/(0.9*8760)</f>
        <v/>
      </c>
      <c r="AI5" s="1">
        <f>O5/I5</f>
        <v/>
      </c>
      <c r="AJ5" s="1">
        <f>(AY5+AZ5+BA5+BB5+BC5-AW5)/I5</f>
        <v/>
      </c>
      <c r="AK5" s="1">
        <f>(Q5+R5)*-1*K5/I5</f>
        <v/>
      </c>
      <c r="AL5" s="1">
        <f>AJ5*Q5</f>
        <v/>
      </c>
      <c r="AM5" s="1">
        <f>(SUM(AY5:BB5)-AW5)/I5</f>
        <v/>
      </c>
      <c r="AN5" s="1">
        <f>K5/I5*-1*R5</f>
        <v/>
      </c>
      <c r="AO5" s="1">
        <f>AM5*Q5</f>
        <v/>
      </c>
      <c r="AQ5" s="8">
        <f>J5</f>
        <v/>
      </c>
      <c r="AR5" s="8" t="n">
        <v>0.243968185</v>
      </c>
      <c r="AS5" s="8" t="n">
        <v>0.249427613</v>
      </c>
      <c r="AT5" s="9" t="n">
        <v>0.246356685</v>
      </c>
      <c r="AU5" s="8" t="n">
        <v>0.23037491</v>
      </c>
      <c r="AW5" s="9">
        <f>AQ5</f>
        <v/>
      </c>
      <c r="AY5" s="9">
        <f>AR5*F5</f>
        <v/>
      </c>
      <c r="AZ5" s="9">
        <f>AS5*H5</f>
        <v/>
      </c>
      <c r="BA5" s="9">
        <f>AT5*G5</f>
        <v/>
      </c>
      <c r="BB5" s="9">
        <f>L5</f>
        <v/>
      </c>
      <c r="BC5" s="9">
        <f>K5</f>
        <v/>
      </c>
      <c r="BE5" s="1">
        <f>AW5-SUM(AY5:BC5)</f>
        <v/>
      </c>
    </row>
    <row r="6">
      <c r="B6" s="12" t="inlineStr">
        <is>
          <t>SW_Gasoline_Gasification_Non_CCS_Herb</t>
        </is>
      </c>
      <c r="C6" s="11" t="inlineStr">
        <is>
          <t>Biomass_Herb</t>
        </is>
      </c>
      <c r="D6" s="11" t="n">
        <v>0</v>
      </c>
      <c r="E6" s="11" t="n">
        <v>0</v>
      </c>
      <c r="F6" s="11" t="n">
        <v>2.0115</v>
      </c>
      <c r="G6" s="11" t="n">
        <v>0</v>
      </c>
      <c r="H6" s="11" t="n">
        <v>0</v>
      </c>
      <c r="I6" s="21">
        <f>F6+G6+H6</f>
        <v/>
      </c>
      <c r="J6" s="11" t="n">
        <v>1.71</v>
      </c>
      <c r="K6" s="11" t="n">
        <v>0</v>
      </c>
      <c r="L6" s="11" t="n">
        <v>1.219246165369713</v>
      </c>
      <c r="M6" s="11" t="n">
        <v>356053.6</v>
      </c>
      <c r="N6" s="11" t="n">
        <v>283503.36</v>
      </c>
      <c r="O6" s="11" t="n">
        <v>22.0416</v>
      </c>
      <c r="Q6" s="14" t="n">
        <v>109.479795</v>
      </c>
      <c r="R6" s="14" t="n">
        <v>-41.717135</v>
      </c>
      <c r="S6" s="14" t="n">
        <v>170</v>
      </c>
      <c r="T6" s="14" t="n">
        <v>104.167382</v>
      </c>
      <c r="U6" s="14" t="n">
        <v>115.526389</v>
      </c>
      <c r="V6" s="14" t="n">
        <v>92.044978</v>
      </c>
      <c r="W6" s="14" t="n">
        <v>30.708173</v>
      </c>
      <c r="Y6" s="1">
        <f>B6</f>
        <v/>
      </c>
      <c r="Z6" s="1">
        <f>C6</f>
        <v/>
      </c>
      <c r="AA6" s="10">
        <f>SUM(AD6:AI6)+AK6+AL6</f>
        <v/>
      </c>
      <c r="AB6" s="10">
        <f>SUM(AD6:AI6)+AN6+AO6</f>
        <v/>
      </c>
      <c r="AC6" s="5">
        <f>AA6-AB6</f>
        <v/>
      </c>
      <c r="AD6" s="1">
        <f>D6/I6*W6*-1</f>
        <v/>
      </c>
      <c r="AE6" s="1">
        <f>E6/I6*W6</f>
        <v/>
      </c>
      <c r="AF6" s="1">
        <f t="array" ref="AF6">_xlfn.IFS(C6="Biomass_Corn", 1/I6*S6, C6="Biomass_Agri", 1/I6*V6, C6="Biomass_Wood", 1/I6*U6, C6="Biomass_Herb", 1/I6*T6)</f>
        <v/>
      </c>
      <c r="AG6" s="1">
        <f>M6/I6/(0.9*8760)</f>
        <v/>
      </c>
      <c r="AH6" s="1">
        <f>N6/I6/(0.9*8760)</f>
        <v/>
      </c>
      <c r="AI6" s="1">
        <f>O6/I6</f>
        <v/>
      </c>
      <c r="AJ6" s="1">
        <f>(AY6+AZ6+BA6+BB6+BC6-AW6)/I6</f>
        <v/>
      </c>
      <c r="AK6" s="1">
        <f>(Q6+R6)*-1*K6/I6</f>
        <v/>
      </c>
      <c r="AL6" s="1">
        <f>AJ6*Q6</f>
        <v/>
      </c>
      <c r="AM6" s="1">
        <f>(SUM(AY6:BB6)-AW6)/I6</f>
        <v/>
      </c>
      <c r="AN6" s="1">
        <f>K6/I6*-1*R6</f>
        <v/>
      </c>
      <c r="AO6" s="1">
        <f>AM6*Q6</f>
        <v/>
      </c>
      <c r="AQ6" s="8">
        <f>J6</f>
        <v/>
      </c>
      <c r="AR6" s="8" t="n">
        <v>0.243968185</v>
      </c>
      <c r="AS6" s="8" t="n">
        <v>0.249427613</v>
      </c>
      <c r="AT6" s="9" t="n">
        <v>0.246356685</v>
      </c>
      <c r="AU6" s="8" t="n">
        <v>0.23037491</v>
      </c>
      <c r="AW6" s="9">
        <f>AQ6</f>
        <v/>
      </c>
      <c r="AY6" s="9">
        <f>AR6*F6</f>
        <v/>
      </c>
      <c r="AZ6" s="9">
        <f>AS6*H6</f>
        <v/>
      </c>
      <c r="BA6" s="9">
        <f>AT6*G6</f>
        <v/>
      </c>
      <c r="BB6" s="9">
        <f>L6</f>
        <v/>
      </c>
      <c r="BC6" s="9">
        <f>K6</f>
        <v/>
      </c>
      <c r="BE6" s="1">
        <f>AW6-SUM(AY6:BC6)</f>
        <v/>
      </c>
    </row>
    <row r="7">
      <c r="B7" s="12" t="inlineStr">
        <is>
          <t>TX_Gasoline_Gasification_Non_CCS_Herb</t>
        </is>
      </c>
      <c r="C7" s="11" t="inlineStr">
        <is>
          <t>Biomass_Herb</t>
        </is>
      </c>
      <c r="D7" s="11" t="n">
        <v>0</v>
      </c>
      <c r="E7" s="11" t="n">
        <v>0</v>
      </c>
      <c r="F7" s="11" t="n">
        <v>2.016</v>
      </c>
      <c r="G7" s="11" t="n">
        <v>0</v>
      </c>
      <c r="H7" s="11" t="n">
        <v>0</v>
      </c>
      <c r="I7" s="21">
        <f>F7+G7+H7</f>
        <v/>
      </c>
      <c r="J7" s="11" t="n">
        <v>1.714</v>
      </c>
      <c r="K7" s="11" t="n">
        <v>0</v>
      </c>
      <c r="L7" s="11" t="n">
        <v>1.222162225370529</v>
      </c>
      <c r="M7" s="11" t="n">
        <v>356053.6</v>
      </c>
      <c r="N7" s="11" t="n">
        <v>283503.36</v>
      </c>
      <c r="O7" s="11" t="n">
        <v>22.0416</v>
      </c>
      <c r="Q7" s="14" t="n">
        <v>109.479795</v>
      </c>
      <c r="R7" s="14" t="n">
        <v>-47.70091</v>
      </c>
      <c r="S7" s="14" t="n">
        <v>170</v>
      </c>
      <c r="T7" s="14" t="n">
        <v>99.63284299999999</v>
      </c>
      <c r="U7" s="14" t="n">
        <v>113.227017</v>
      </c>
      <c r="V7" s="14" t="n">
        <v>88.855315</v>
      </c>
      <c r="W7" s="14" t="n">
        <v>38.218446</v>
      </c>
      <c r="Y7" s="1">
        <f>B7</f>
        <v/>
      </c>
      <c r="Z7" s="1">
        <f>C7</f>
        <v/>
      </c>
      <c r="AA7" s="10">
        <f>SUM(AD7:AI7)+AK7+AL7</f>
        <v/>
      </c>
      <c r="AB7" s="10">
        <f>SUM(AD7:AI7)+AN7+AO7</f>
        <v/>
      </c>
      <c r="AC7" s="5">
        <f>AA7-AB7</f>
        <v/>
      </c>
      <c r="AD7" s="1">
        <f>D7/I7*W7*-1</f>
        <v/>
      </c>
      <c r="AE7" s="1">
        <f>E7/I7*W7</f>
        <v/>
      </c>
      <c r="AF7" s="1">
        <f t="array" ref="AF7">_xlfn.IFS(C7="Biomass_Corn", 1/I7*S7, C7="Biomass_Agri", 1/I7*V7, C7="Biomass_Wood", 1/I7*U7, C7="Biomass_Herb", 1/I7*T7)</f>
        <v/>
      </c>
      <c r="AG7" s="1">
        <f>M7/I7/(0.9*8760)</f>
        <v/>
      </c>
      <c r="AH7" s="1">
        <f>N7/I7/(0.9*8760)</f>
        <v/>
      </c>
      <c r="AI7" s="1">
        <f>O7/I7</f>
        <v/>
      </c>
      <c r="AJ7" s="1">
        <f>(AY7+AZ7+BA7+BB7+BC7-AW7)/I7</f>
        <v/>
      </c>
      <c r="AK7" s="1">
        <f>(Q7+R7)*-1*K7/I7</f>
        <v/>
      </c>
      <c r="AL7" s="1">
        <f>AJ7*Q7</f>
        <v/>
      </c>
      <c r="AM7" s="1">
        <f>(SUM(AY7:BB7)-AW7)/I7</f>
        <v/>
      </c>
      <c r="AN7" s="1">
        <f>K7/I7*-1*R7</f>
        <v/>
      </c>
      <c r="AO7" s="1">
        <f>AM7*Q7</f>
        <v/>
      </c>
      <c r="AQ7" s="8">
        <f>J7</f>
        <v/>
      </c>
      <c r="AR7" s="8" t="n">
        <v>0.243968185</v>
      </c>
      <c r="AS7" s="8" t="n">
        <v>0.249427613</v>
      </c>
      <c r="AT7" s="9" t="n">
        <v>0.246356685</v>
      </c>
      <c r="AU7" s="8" t="n">
        <v>0.23037491</v>
      </c>
      <c r="AW7" s="9">
        <f>AQ7</f>
        <v/>
      </c>
      <c r="AY7" s="9">
        <f>AR7*F7</f>
        <v/>
      </c>
      <c r="AZ7" s="9">
        <f>AS7*H7</f>
        <v/>
      </c>
      <c r="BA7" s="9">
        <f>AT7*G7</f>
        <v/>
      </c>
      <c r="BB7" s="9">
        <f>L7</f>
        <v/>
      </c>
      <c r="BC7" s="9">
        <f>K7</f>
        <v/>
      </c>
      <c r="BE7" s="1">
        <f>AW7-SUM(AY7:BC7)</f>
        <v/>
      </c>
    </row>
    <row r="8">
      <c r="B8" s="12" t="inlineStr">
        <is>
          <t>NCEN_Gasoline_Gasification_Non_CCS_Herb</t>
        </is>
      </c>
      <c r="C8" s="11" t="inlineStr">
        <is>
          <t>Biomass_Herb</t>
        </is>
      </c>
      <c r="D8" s="11" t="n">
        <v>0</v>
      </c>
      <c r="E8" s="11" t="n">
        <v>0</v>
      </c>
      <c r="F8" s="11" t="n">
        <v>2.0371</v>
      </c>
      <c r="G8" s="11" t="n">
        <v>0</v>
      </c>
      <c r="H8" s="11" t="n">
        <v>0</v>
      </c>
      <c r="I8" s="21">
        <f>F8+G8+H8</f>
        <v/>
      </c>
      <c r="J8" s="11" t="n">
        <v>1.74</v>
      </c>
      <c r="K8" s="11" t="n">
        <v>0</v>
      </c>
      <c r="L8" s="11" t="n">
        <v>1.243013510374408</v>
      </c>
      <c r="M8" s="11" t="n">
        <v>356053.6</v>
      </c>
      <c r="N8" s="11" t="n">
        <v>283503.36</v>
      </c>
      <c r="O8" s="11" t="n">
        <v>22.0416</v>
      </c>
      <c r="Q8" s="14" t="n">
        <v>109.479795</v>
      </c>
      <c r="R8" s="14" t="n">
        <v>-21.506692</v>
      </c>
      <c r="S8" s="14" t="n">
        <v>170</v>
      </c>
      <c r="T8" s="14" t="n">
        <v>137.934648</v>
      </c>
      <c r="U8" s="14" t="n">
        <v>157.881351</v>
      </c>
      <c r="V8" s="14" t="n">
        <v>111.364845</v>
      </c>
      <c r="W8" s="14" t="n">
        <v>20.230252</v>
      </c>
      <c r="Y8" s="1">
        <f>B8</f>
        <v/>
      </c>
      <c r="Z8" s="1">
        <f>C8</f>
        <v/>
      </c>
      <c r="AA8" s="10">
        <f>SUM(AD8:AI8)+AK8+AL8</f>
        <v/>
      </c>
      <c r="AB8" s="10">
        <f>SUM(AD8:AI8)+AN8+AO8</f>
        <v/>
      </c>
      <c r="AC8" s="5">
        <f>AA8-AB8</f>
        <v/>
      </c>
      <c r="AD8" s="1">
        <f>D8/I8*W8*-1</f>
        <v/>
      </c>
      <c r="AE8" s="1">
        <f>E8/I8*W8</f>
        <v/>
      </c>
      <c r="AF8" s="1">
        <f t="array" ref="AF8">_xlfn.IFS(C8="Biomass_Corn", 1/I8*S8, C8="Biomass_Agri", 1/I8*V8, C8="Biomass_Wood", 1/I8*U8, C8="Biomass_Herb", 1/I8*T8)</f>
        <v/>
      </c>
      <c r="AG8" s="1">
        <f>M8/I8/(0.9*8760)</f>
        <v/>
      </c>
      <c r="AH8" s="1">
        <f>N8/I8/(0.9*8760)</f>
        <v/>
      </c>
      <c r="AI8" s="1">
        <f>O8/I8</f>
        <v/>
      </c>
      <c r="AJ8" s="1">
        <f>(AY8+AZ8+BA8+BB8+BC8-AW8)/I8</f>
        <v/>
      </c>
      <c r="AK8" s="1">
        <f>(Q8+R8)*-1*K8/I8</f>
        <v/>
      </c>
      <c r="AL8" s="1">
        <f>AJ8*Q8</f>
        <v/>
      </c>
      <c r="AM8" s="1">
        <f>(SUM(AY8:BB8)-AW8)/I8</f>
        <v/>
      </c>
      <c r="AN8" s="1">
        <f>K8/I8*-1*R8</f>
        <v/>
      </c>
      <c r="AO8" s="1">
        <f>AM8*Q8</f>
        <v/>
      </c>
      <c r="AQ8" s="8">
        <f>J8</f>
        <v/>
      </c>
      <c r="AR8" s="8" t="n">
        <v>0.243968185</v>
      </c>
      <c r="AS8" s="8" t="n">
        <v>0.249427613</v>
      </c>
      <c r="AT8" s="9" t="n">
        <v>0.246356685</v>
      </c>
      <c r="AU8" s="8" t="n">
        <v>0.23037491</v>
      </c>
      <c r="AW8" s="9">
        <f>AQ8</f>
        <v/>
      </c>
      <c r="AY8" s="9">
        <f>AR8*F8</f>
        <v/>
      </c>
      <c r="AZ8" s="9">
        <f>AS8*H8</f>
        <v/>
      </c>
      <c r="BA8" s="9">
        <f>AT8*G8</f>
        <v/>
      </c>
      <c r="BB8" s="9">
        <f>L8</f>
        <v/>
      </c>
      <c r="BC8" s="9">
        <f>K8</f>
        <v/>
      </c>
      <c r="BE8" s="1">
        <f>AW8-SUM(AY8:BC8)</f>
        <v/>
      </c>
    </row>
    <row r="9" ht="17" customHeight="1">
      <c r="B9" s="12" t="inlineStr">
        <is>
          <t>CEN_Gasoline_Gasification_Non_CCS_Herb</t>
        </is>
      </c>
      <c r="C9" s="11" t="inlineStr">
        <is>
          <t>Biomass_Herb</t>
        </is>
      </c>
      <c r="D9" s="11" t="n">
        <v>0</v>
      </c>
      <c r="E9" s="11" t="n">
        <v>0</v>
      </c>
      <c r="F9" s="11" t="n">
        <v>2.0249</v>
      </c>
      <c r="G9" s="11" t="n">
        <v>0</v>
      </c>
      <c r="H9" s="11" t="n">
        <v>0</v>
      </c>
      <c r="I9" s="21">
        <f>F9+G9+H9</f>
        <v/>
      </c>
      <c r="J9" s="11" t="n">
        <v>1.723</v>
      </c>
      <c r="K9" s="11" t="n">
        <v>0</v>
      </c>
      <c r="L9" s="11" t="n">
        <v>1.228994345372163</v>
      </c>
      <c r="M9" s="11" t="n">
        <v>356053.6</v>
      </c>
      <c r="N9" s="11" t="n">
        <v>283503.36</v>
      </c>
      <c r="O9" s="11" t="n">
        <v>22.0416</v>
      </c>
      <c r="Q9" s="14" t="n">
        <v>109.479795</v>
      </c>
      <c r="R9" s="14" t="n">
        <v>-31.70346</v>
      </c>
      <c r="S9" s="14" t="n">
        <v>170</v>
      </c>
      <c r="T9" s="14" t="n">
        <v>110.461518</v>
      </c>
      <c r="U9" s="14" t="n">
        <v>127.408748</v>
      </c>
      <c r="V9" s="14" t="n">
        <v>98.83247799999999</v>
      </c>
      <c r="W9" s="14" t="n">
        <v>25.324637</v>
      </c>
      <c r="Y9" s="1">
        <f>B9</f>
        <v/>
      </c>
      <c r="Z9" s="1">
        <f>C9</f>
        <v/>
      </c>
      <c r="AA9" s="10">
        <f>SUM(AD9:AI9)+AK9+AL9</f>
        <v/>
      </c>
      <c r="AB9" s="10">
        <f>SUM(AD9:AI9)+AN9+AO9</f>
        <v/>
      </c>
      <c r="AC9" s="5">
        <f>AA9-AB9</f>
        <v/>
      </c>
      <c r="AD9" s="1">
        <f>D9/I9*W9*-1</f>
        <v/>
      </c>
      <c r="AE9" s="1">
        <f>E9/I9*W9</f>
        <v/>
      </c>
      <c r="AF9" s="1">
        <f t="array" ref="AF9">_xlfn.IFS(C9="Biomass_Corn", 1/I9*S9, C9="Biomass_Agri", 1/I9*V9, C9="Biomass_Wood", 1/I9*U9, C9="Biomass_Herb", 1/I9*T9)</f>
        <v/>
      </c>
      <c r="AG9" s="1">
        <f>M9/I9/(0.9*8760)</f>
        <v/>
      </c>
      <c r="AH9" s="1">
        <f>N9/I9/(0.9*8760)</f>
        <v/>
      </c>
      <c r="AI9" s="1">
        <f>O9/I9</f>
        <v/>
      </c>
      <c r="AJ9" s="1">
        <f>(AY9+AZ9+BA9+BB9+BC9-AW9)/I9</f>
        <v/>
      </c>
      <c r="AK9" s="1">
        <f>(Q9+R9)*-1*K9/I9</f>
        <v/>
      </c>
      <c r="AL9" s="1">
        <f>AJ9*Q9</f>
        <v/>
      </c>
      <c r="AM9" s="1">
        <f>(SUM(AY9:BB9)-AW9)/I9</f>
        <v/>
      </c>
      <c r="AN9" s="1">
        <f>K9/I9*-1*R9</f>
        <v/>
      </c>
      <c r="AO9" s="1">
        <f>AM9*Q9</f>
        <v/>
      </c>
      <c r="AQ9" s="8">
        <f>J9</f>
        <v/>
      </c>
      <c r="AR9" s="8" t="n">
        <v>0.243968185</v>
      </c>
      <c r="AS9" s="8" t="n">
        <v>0.249427613</v>
      </c>
      <c r="AT9" s="9" t="n">
        <v>0.246356685</v>
      </c>
      <c r="AU9" s="8" t="n">
        <v>0.23037491</v>
      </c>
      <c r="AW9" s="9">
        <f>AQ9</f>
        <v/>
      </c>
      <c r="AY9" s="9">
        <f>AR9*F9</f>
        <v/>
      </c>
      <c r="AZ9" s="9">
        <f>AS9*H9</f>
        <v/>
      </c>
      <c r="BA9" s="9">
        <f>AT9*G9</f>
        <v/>
      </c>
      <c r="BB9" s="9">
        <f>L9</f>
        <v/>
      </c>
      <c r="BC9" s="9">
        <f>K9</f>
        <v/>
      </c>
      <c r="BE9" s="1">
        <f>AW9-SUM(AY9:BC9)</f>
        <v/>
      </c>
    </row>
    <row r="10">
      <c r="B10" s="12" t="inlineStr">
        <is>
          <t>SE_Gasoline_Gasification_Non_CCS_Herb</t>
        </is>
      </c>
      <c r="C10" s="11" t="inlineStr">
        <is>
          <t>Biomass_Herb</t>
        </is>
      </c>
      <c r="D10" s="11" t="n">
        <v>0</v>
      </c>
      <c r="E10" s="11" t="n">
        <v>0</v>
      </c>
      <c r="F10" s="11" t="n">
        <v>2.0215</v>
      </c>
      <c r="G10" s="11" t="n">
        <v>0</v>
      </c>
      <c r="H10" s="11" t="n">
        <v>0</v>
      </c>
      <c r="I10" s="21">
        <f>F10+G10+H10</f>
        <v/>
      </c>
      <c r="J10" s="11" t="n">
        <v>1.717</v>
      </c>
      <c r="K10" s="11" t="n">
        <v>0</v>
      </c>
      <c r="L10" s="11" t="n">
        <v>1.22380730037155</v>
      </c>
      <c r="M10" s="11" t="n">
        <v>356053.6</v>
      </c>
      <c r="N10" s="11" t="n">
        <v>283503.36</v>
      </c>
      <c r="O10" s="11" t="n">
        <v>22.0416</v>
      </c>
      <c r="Q10" s="14" t="n">
        <v>109.479795</v>
      </c>
      <c r="R10" s="14" t="n">
        <v>-54.115443</v>
      </c>
      <c r="S10" s="14" t="n">
        <v>170</v>
      </c>
      <c r="T10" s="14" t="n">
        <v>100.773744</v>
      </c>
      <c r="U10" s="14" t="n">
        <v>108.668072</v>
      </c>
      <c r="V10" s="14" t="n">
        <v>89.424565</v>
      </c>
      <c r="W10" s="14" t="n">
        <v>39.359472</v>
      </c>
      <c r="Y10" s="1">
        <f>B10</f>
        <v/>
      </c>
      <c r="Z10" s="1">
        <f>C10</f>
        <v/>
      </c>
      <c r="AA10" s="10">
        <f>SUM(AD10:AI10)+AK10+AL10</f>
        <v/>
      </c>
      <c r="AB10" s="10">
        <f>SUM(AD10:AI10)+AN10+AO10</f>
        <v/>
      </c>
      <c r="AC10" s="5">
        <f>AA10-AB10</f>
        <v/>
      </c>
      <c r="AD10" s="1">
        <f>D10/I10*W10*-1</f>
        <v/>
      </c>
      <c r="AE10" s="1">
        <f>E10/I10*W10</f>
        <v/>
      </c>
      <c r="AF10" s="1">
        <f t="array" ref="AF10">_xlfn.IFS(C10="Biomass_Corn", 1/I10*S10, C10="Biomass_Agri", 1/I10*V10, C10="Biomass_Wood", 1/I10*U10, C10="Biomass_Herb", 1/I10*T10)</f>
        <v/>
      </c>
      <c r="AG10" s="1">
        <f>M10/I10/(0.9*8760)</f>
        <v/>
      </c>
      <c r="AH10" s="1">
        <f>N10/I10/(0.9*8760)</f>
        <v/>
      </c>
      <c r="AI10" s="1">
        <f>O10/I10</f>
        <v/>
      </c>
      <c r="AJ10" s="1">
        <f>(AY10+AZ10+BA10+BB10+BC10-AW10)/I10</f>
        <v/>
      </c>
      <c r="AK10" s="1">
        <f>(Q10+R10)*-1*K10/I10</f>
        <v/>
      </c>
      <c r="AL10" s="1">
        <f>AJ10*Q10</f>
        <v/>
      </c>
      <c r="AM10" s="1">
        <f>(SUM(AY10:BB10)-AW10)/I10</f>
        <v/>
      </c>
      <c r="AN10" s="1">
        <f>K10/I10*-1*R10</f>
        <v/>
      </c>
      <c r="AO10" s="1">
        <f>AM10*Q10</f>
        <v/>
      </c>
      <c r="AQ10" s="8">
        <f>J10</f>
        <v/>
      </c>
      <c r="AR10" s="8" t="n">
        <v>0.243968185</v>
      </c>
      <c r="AS10" s="8" t="n">
        <v>0.249427613</v>
      </c>
      <c r="AT10" s="9" t="n">
        <v>0.246356685</v>
      </c>
      <c r="AU10" s="8" t="n">
        <v>0.23037491</v>
      </c>
      <c r="AW10" s="9">
        <f>AQ10</f>
        <v/>
      </c>
      <c r="AY10" s="9">
        <f>AR10*F10</f>
        <v/>
      </c>
      <c r="AZ10" s="9">
        <f>AS10*H10</f>
        <v/>
      </c>
      <c r="BA10" s="9">
        <f>AT10*G10</f>
        <v/>
      </c>
      <c r="BB10" s="9">
        <f>L10</f>
        <v/>
      </c>
      <c r="BC10" s="9">
        <f>K10</f>
        <v/>
      </c>
      <c r="BE10" s="1">
        <f>AW10-SUM(AY10:BC10)</f>
        <v/>
      </c>
    </row>
    <row r="11">
      <c r="B11" s="12" t="inlineStr">
        <is>
          <t>MIDAT_Gasoline_Gasification_Non_CCS_Herb</t>
        </is>
      </c>
      <c r="C11" s="11" t="inlineStr">
        <is>
          <t>Biomass_Herb</t>
        </is>
      </c>
      <c r="D11" s="11" t="n">
        <v>0</v>
      </c>
      <c r="E11" s="11" t="n">
        <v>0</v>
      </c>
      <c r="F11" s="11" t="n">
        <v>2.0327</v>
      </c>
      <c r="G11" s="11" t="n">
        <v>0</v>
      </c>
      <c r="H11" s="11" t="n">
        <v>0</v>
      </c>
      <c r="I11" s="21">
        <f>F11+G11+H11</f>
        <v/>
      </c>
      <c r="J11" s="11" t="n">
        <v>1.736</v>
      </c>
      <c r="K11" s="11" t="n">
        <v>0</v>
      </c>
      <c r="L11" s="11" t="n">
        <v>1.240097450373591</v>
      </c>
      <c r="M11" s="11" t="n">
        <v>356053.6</v>
      </c>
      <c r="N11" s="11" t="n">
        <v>283503.36</v>
      </c>
      <c r="O11" s="11" t="n">
        <v>22.0416</v>
      </c>
      <c r="Q11" s="14" t="n">
        <v>109.479795</v>
      </c>
      <c r="R11" s="14" t="n">
        <v>-41.717135</v>
      </c>
      <c r="S11" s="14" t="n">
        <v>170</v>
      </c>
      <c r="T11" s="14" t="n">
        <v>104.167382</v>
      </c>
      <c r="U11" s="14" t="n">
        <v>115.526389</v>
      </c>
      <c r="V11" s="14" t="n">
        <v>92.044978</v>
      </c>
      <c r="W11" s="14" t="n">
        <v>30.708173</v>
      </c>
      <c r="Y11" s="1">
        <f>B11</f>
        <v/>
      </c>
      <c r="Z11" s="1">
        <f>C11</f>
        <v/>
      </c>
      <c r="AA11" s="10">
        <f>SUM(AD11:AI11)+AK11+AL11</f>
        <v/>
      </c>
      <c r="AB11" s="10">
        <f>SUM(AD11:AI11)+AN11+AO11</f>
        <v/>
      </c>
      <c r="AC11" s="5">
        <f>AA11-AB11</f>
        <v/>
      </c>
      <c r="AD11" s="1">
        <f>D11/I11*W11*-1</f>
        <v/>
      </c>
      <c r="AE11" s="1">
        <f>E11/I11*W11</f>
        <v/>
      </c>
      <c r="AF11" s="1">
        <f t="array" ref="AF11">_xlfn.IFS(C11="Biomass_Corn", 1/I11*S11, C11="Biomass_Agri", 1/I11*V11, C11="Biomass_Wood", 1/I11*U11, C11="Biomass_Herb", 1/I11*T11)</f>
        <v/>
      </c>
      <c r="AG11" s="1">
        <f>M11/I11/(0.9*8760)</f>
        <v/>
      </c>
      <c r="AH11" s="1">
        <f>N11/I11/(0.9*8760)</f>
        <v/>
      </c>
      <c r="AI11" s="1">
        <f>O11/I11</f>
        <v/>
      </c>
      <c r="AJ11" s="1">
        <f>(AY11+AZ11+BA11+BB11+BC11-AW11)/I11</f>
        <v/>
      </c>
      <c r="AK11" s="1">
        <f>(Q11+R11)*-1*K11/I11</f>
        <v/>
      </c>
      <c r="AL11" s="1">
        <f>AJ11*Q11</f>
        <v/>
      </c>
      <c r="AM11" s="1">
        <f>(SUM(AY11:BB11)-AW11)/I11</f>
        <v/>
      </c>
      <c r="AN11" s="1">
        <f>K11/I11*-1*R11</f>
        <v/>
      </c>
      <c r="AO11" s="1">
        <f>AM11*Q11</f>
        <v/>
      </c>
      <c r="AQ11" s="8">
        <f>J11</f>
        <v/>
      </c>
      <c r="AR11" s="8" t="n">
        <v>0.243968185</v>
      </c>
      <c r="AS11" s="8" t="n">
        <v>0.249427613</v>
      </c>
      <c r="AT11" s="9" t="n">
        <v>0.246356685</v>
      </c>
      <c r="AU11" s="8" t="n">
        <v>0.23037491</v>
      </c>
      <c r="AW11" s="9">
        <f>AQ11</f>
        <v/>
      </c>
      <c r="AY11" s="9">
        <f>AR11*F11</f>
        <v/>
      </c>
      <c r="AZ11" s="9">
        <f>AS11*H11</f>
        <v/>
      </c>
      <c r="BA11" s="9">
        <f>AT11*G11</f>
        <v/>
      </c>
      <c r="BB11" s="9">
        <f>L11</f>
        <v/>
      </c>
      <c r="BC11" s="9">
        <f>K11</f>
        <v/>
      </c>
      <c r="BE11" s="1">
        <f>AW11-SUM(AY11:BC11)</f>
        <v/>
      </c>
    </row>
    <row r="12">
      <c r="B12" s="12" t="inlineStr">
        <is>
          <t>NE_Gasoline_Gasification_Non_CCS_Herb</t>
        </is>
      </c>
      <c r="C12" s="11" t="inlineStr">
        <is>
          <t>Biomass_Herb</t>
        </is>
      </c>
      <c r="D12" s="11" t="n">
        <v>0</v>
      </c>
      <c r="E12" s="11" t="n">
        <v>0</v>
      </c>
      <c r="F12" s="11" t="n">
        <v>2.0404</v>
      </c>
      <c r="G12" s="11" t="n">
        <v>0</v>
      </c>
      <c r="H12" s="11" t="n">
        <v>0</v>
      </c>
      <c r="I12" s="21">
        <f>F12+G12+H12</f>
        <v/>
      </c>
      <c r="J12" s="11" t="n">
        <v>1.745</v>
      </c>
      <c r="K12" s="11" t="n">
        <v>0</v>
      </c>
      <c r="L12" s="11" t="n">
        <v>1.247200555375021</v>
      </c>
      <c r="M12" s="11" t="n">
        <v>356053.6</v>
      </c>
      <c r="N12" s="11" t="n">
        <v>283503.36</v>
      </c>
      <c r="O12" s="11" t="n">
        <v>22.0416</v>
      </c>
      <c r="Q12" s="14" t="n">
        <v>109.479795</v>
      </c>
      <c r="R12" s="14" t="n">
        <v>-47.70091</v>
      </c>
      <c r="S12" s="14" t="n">
        <v>170</v>
      </c>
      <c r="T12" s="14" t="n">
        <v>99.63284299999999</v>
      </c>
      <c r="U12" s="14" t="n">
        <v>113.227017</v>
      </c>
      <c r="V12" s="14" t="n">
        <v>88.855315</v>
      </c>
      <c r="W12" s="14" t="n">
        <v>38.218446</v>
      </c>
      <c r="Y12" s="1">
        <f>B12</f>
        <v/>
      </c>
      <c r="Z12" s="1">
        <f>C12</f>
        <v/>
      </c>
      <c r="AA12" s="10">
        <f>SUM(AD12:AI12)+AK12+AL12</f>
        <v/>
      </c>
      <c r="AB12" s="10">
        <f>SUM(AD12:AI12)+AN12+AO12</f>
        <v/>
      </c>
      <c r="AC12" s="5">
        <f>AA12-AB12</f>
        <v/>
      </c>
      <c r="AD12" s="1">
        <f>D12/I12*W12*-1</f>
        <v/>
      </c>
      <c r="AE12" s="1">
        <f>E12/I12*W12</f>
        <v/>
      </c>
      <c r="AF12" s="1">
        <f t="array" ref="AF12">_xlfn.IFS(C12="Biomass_Corn", 1/I12*S12, C12="Biomass_Agri", 1/I12*V12, C12="Biomass_Wood", 1/I12*U12, C12="Biomass_Herb", 1/I12*T12)</f>
        <v/>
      </c>
      <c r="AG12" s="1">
        <f>M12/I12/(0.9*8760)</f>
        <v/>
      </c>
      <c r="AH12" s="1">
        <f>N12/I12/(0.9*8760)</f>
        <v/>
      </c>
      <c r="AI12" s="1">
        <f>O12/I12</f>
        <v/>
      </c>
      <c r="AJ12" s="1">
        <f>(AY12+AZ12+BA12+BB12+BC12-AW12)/I12</f>
        <v/>
      </c>
      <c r="AK12" s="1">
        <f>(Q12+R12)*-1*K12/I12</f>
        <v/>
      </c>
      <c r="AL12" s="1">
        <f>AJ12*Q12</f>
        <v/>
      </c>
      <c r="AM12" s="1">
        <f>(SUM(AY12:BB12)-AW12)/I12</f>
        <v/>
      </c>
      <c r="AN12" s="1">
        <f>K12/I12*-1*R12</f>
        <v/>
      </c>
      <c r="AO12" s="1">
        <f>AM12*Q12</f>
        <v/>
      </c>
      <c r="AQ12" s="8">
        <f>J12</f>
        <v/>
      </c>
      <c r="AR12" s="8" t="n">
        <v>0.243968185</v>
      </c>
      <c r="AS12" s="8" t="n">
        <v>0.249427613</v>
      </c>
      <c r="AT12" s="9" t="n">
        <v>0.246356685</v>
      </c>
      <c r="AU12" s="8" t="n">
        <v>0.23037491</v>
      </c>
      <c r="AW12" s="9">
        <f>AQ12</f>
        <v/>
      </c>
      <c r="AY12" s="9">
        <f>AR12*F12</f>
        <v/>
      </c>
      <c r="AZ12" s="9">
        <f>AS12*H12</f>
        <v/>
      </c>
      <c r="BA12" s="9">
        <f>AT12*G12</f>
        <v/>
      </c>
      <c r="BB12" s="9">
        <f>L12</f>
        <v/>
      </c>
      <c r="BC12" s="9">
        <f>K12</f>
        <v/>
      </c>
      <c r="BE12" s="1">
        <f>AW12-SUM(AY12:BC12)</f>
        <v/>
      </c>
    </row>
    <row r="13">
      <c r="B13" s="12" t="inlineStr">
        <is>
          <t>CA_Gasoline_Gasification_Non_CCS_Wood</t>
        </is>
      </c>
      <c r="C13" s="11" t="inlineStr">
        <is>
          <t>Biomass_Wood</t>
        </is>
      </c>
      <c r="D13" s="11" t="n">
        <v>0</v>
      </c>
      <c r="E13" s="11" t="n">
        <v>0</v>
      </c>
      <c r="F13" s="11" t="n">
        <v>2.1504</v>
      </c>
      <c r="G13" s="11" t="n">
        <v>0</v>
      </c>
      <c r="H13" s="11" t="n">
        <v>0</v>
      </c>
      <c r="I13" s="21">
        <f>F13+G13+H13</f>
        <v/>
      </c>
      <c r="J13" s="11" t="n">
        <v>1.843</v>
      </c>
      <c r="K13" s="11" t="n">
        <v>0</v>
      </c>
      <c r="L13" s="11" t="n">
        <v>1.318373040395231</v>
      </c>
      <c r="M13" s="11" t="n">
        <v>356053.6</v>
      </c>
      <c r="N13" s="11" t="n">
        <v>283503.36</v>
      </c>
      <c r="O13" s="11" t="n">
        <v>22.0416</v>
      </c>
      <c r="Q13" s="14" t="n">
        <v>109.479795</v>
      </c>
      <c r="R13" s="14" t="n">
        <v>-21.506692</v>
      </c>
      <c r="S13" s="14" t="n">
        <v>170</v>
      </c>
      <c r="T13" s="14" t="n">
        <v>137.934648</v>
      </c>
      <c r="U13" s="14" t="n">
        <v>157.881351</v>
      </c>
      <c r="V13" s="14" t="n">
        <v>111.364845</v>
      </c>
      <c r="W13" s="14" t="n">
        <v>20.230252</v>
      </c>
      <c r="Y13" s="1">
        <f>B13</f>
        <v/>
      </c>
      <c r="Z13" s="1">
        <f>C13</f>
        <v/>
      </c>
      <c r="AA13" s="10">
        <f>SUM(AD13:AI13)+AK13+AL13</f>
        <v/>
      </c>
      <c r="AB13" s="10">
        <f>SUM(AD13:AI13)+AN13+AO13</f>
        <v/>
      </c>
      <c r="AC13" s="5">
        <f>AA13-AB13</f>
        <v/>
      </c>
      <c r="AD13" s="1">
        <f>D13/I13*W13*-1</f>
        <v/>
      </c>
      <c r="AE13" s="1">
        <f>E13/I13*W13</f>
        <v/>
      </c>
      <c r="AF13" s="1">
        <f t="array" ref="AF13">_xlfn.IFS(C13="Biomass_Corn", 1/I13*S13, C13="Biomass_Agri", 1/I13*V13, C13="Biomass_Wood", 1/I13*U13, C13="Biomass_Herb", 1/I13*T13)</f>
        <v/>
      </c>
      <c r="AG13" s="1">
        <f>M13/I13/(0.9*8760)</f>
        <v/>
      </c>
      <c r="AH13" s="1">
        <f>N13/I13/(0.9*8760)</f>
        <v/>
      </c>
      <c r="AI13" s="1">
        <f>O13/I13</f>
        <v/>
      </c>
      <c r="AJ13" s="1">
        <f>(AY13+AZ13+BA13+BB13+BC13-AW13)/I13</f>
        <v/>
      </c>
      <c r="AK13" s="1">
        <f>(Q13+R13)*-1*K13/I13</f>
        <v/>
      </c>
      <c r="AL13" s="1">
        <f>AJ13*Q13</f>
        <v/>
      </c>
      <c r="AM13" s="1">
        <f>(SUM(AY13:BB13)-AW13)/I13</f>
        <v/>
      </c>
      <c r="AN13" s="1">
        <f>K13/I13*-1*R13</f>
        <v/>
      </c>
      <c r="AO13" s="1">
        <f>AM13*Q13</f>
        <v/>
      </c>
      <c r="AQ13" s="8">
        <f>J13</f>
        <v/>
      </c>
      <c r="AR13" s="8" t="n">
        <v>0.243968185</v>
      </c>
      <c r="AS13" s="8" t="n">
        <v>0.249427613</v>
      </c>
      <c r="AT13" s="9" t="n">
        <v>0.246356685</v>
      </c>
      <c r="AU13" s="8" t="n">
        <v>0.23037491</v>
      </c>
      <c r="AW13" s="9">
        <f>AQ13</f>
        <v/>
      </c>
      <c r="AY13" s="9">
        <f>AR13*F13</f>
        <v/>
      </c>
      <c r="AZ13" s="9">
        <f>AS13*H13</f>
        <v/>
      </c>
      <c r="BA13" s="9">
        <f>AT13*G13</f>
        <v/>
      </c>
      <c r="BB13" s="9">
        <f>L13</f>
        <v/>
      </c>
      <c r="BC13" s="9">
        <f>K13</f>
        <v/>
      </c>
      <c r="BE13" s="1">
        <f>AW13-SUM(AY13:BC13)</f>
        <v/>
      </c>
    </row>
    <row r="14">
      <c r="B14" s="12" t="inlineStr">
        <is>
          <t>NW_Gasoline_Gasification_Non_CCS_Wood</t>
        </is>
      </c>
      <c r="C14" s="11" t="inlineStr">
        <is>
          <t>Biomass_Wood</t>
        </is>
      </c>
      <c r="D14" s="11" t="n">
        <v>0</v>
      </c>
      <c r="E14" s="11" t="n">
        <v>0</v>
      </c>
      <c r="F14" s="11" t="n">
        <v>2.1459</v>
      </c>
      <c r="G14" s="11" t="n">
        <v>0</v>
      </c>
      <c r="H14" s="11" t="n">
        <v>0</v>
      </c>
      <c r="I14" s="21">
        <f>F14+G14+H14</f>
        <v/>
      </c>
      <c r="J14" s="11" t="n">
        <v>1.818</v>
      </c>
      <c r="K14" s="11" t="n">
        <v>0</v>
      </c>
      <c r="L14" s="11" t="n">
        <v>1.294456980394415</v>
      </c>
      <c r="M14" s="11" t="n">
        <v>356053.6</v>
      </c>
      <c r="N14" s="11" t="n">
        <v>283503.36</v>
      </c>
      <c r="O14" s="11" t="n">
        <v>22.0416</v>
      </c>
      <c r="Q14" s="14" t="n">
        <v>109.479795</v>
      </c>
      <c r="R14" s="14" t="n">
        <v>-31.70346</v>
      </c>
      <c r="S14" s="14" t="n">
        <v>170</v>
      </c>
      <c r="T14" s="14" t="n">
        <v>110.461518</v>
      </c>
      <c r="U14" s="14" t="n">
        <v>127.408748</v>
      </c>
      <c r="V14" s="14" t="n">
        <v>98.83247799999999</v>
      </c>
      <c r="W14" s="14" t="n">
        <v>25.324637</v>
      </c>
      <c r="Y14" s="1">
        <f>B14</f>
        <v/>
      </c>
      <c r="Z14" s="1">
        <f>C14</f>
        <v/>
      </c>
      <c r="AA14" s="10">
        <f>SUM(AD14:AI14)+AK14+AL14</f>
        <v/>
      </c>
      <c r="AB14" s="10">
        <f>SUM(AD14:AI14)+AN14+AO14</f>
        <v/>
      </c>
      <c r="AC14" s="5">
        <f>AA14-AB14</f>
        <v/>
      </c>
      <c r="AD14" s="1">
        <f>D14/I14*W14*-1</f>
        <v/>
      </c>
      <c r="AE14" s="1">
        <f>E14/I14*W14</f>
        <v/>
      </c>
      <c r="AF14" s="1">
        <f t="array" ref="AF14">_xlfn.IFS(C14="Biomass_Corn", 1/I14*S14, C14="Biomass_Agri", 1/I14*V14, C14="Biomass_Wood", 1/I14*U14, C14="Biomass_Herb", 1/I14*T14)</f>
        <v/>
      </c>
      <c r="AG14" s="1">
        <f>M14/I14/(0.9*8760)</f>
        <v/>
      </c>
      <c r="AH14" s="1">
        <f>N14/I14/(0.9*8760)</f>
        <v/>
      </c>
      <c r="AI14" s="1">
        <f>O14/I14</f>
        <v/>
      </c>
      <c r="AJ14" s="1">
        <f>(AY14+AZ14+BA14+BB14+BC14-AW14)/I14</f>
        <v/>
      </c>
      <c r="AK14" s="1">
        <f>(Q14+R14)*-1*K14/I14</f>
        <v/>
      </c>
      <c r="AL14" s="1">
        <f>AJ14*Q14</f>
        <v/>
      </c>
      <c r="AM14" s="1">
        <f>(SUM(AY14:BB14)-AW14)/I14</f>
        <v/>
      </c>
      <c r="AN14" s="1">
        <f>K14/I14*-1*R14</f>
        <v/>
      </c>
      <c r="AO14" s="1">
        <f>AM14*Q14</f>
        <v/>
      </c>
      <c r="AQ14" s="8">
        <f>J14</f>
        <v/>
      </c>
      <c r="AR14" s="8" t="n">
        <v>0.243968185</v>
      </c>
      <c r="AS14" s="8" t="n">
        <v>0.249427613</v>
      </c>
      <c r="AT14" s="9" t="n">
        <v>0.246356685</v>
      </c>
      <c r="AU14" s="8" t="n">
        <v>0.23037491</v>
      </c>
      <c r="AW14" s="9">
        <f>AQ14</f>
        <v/>
      </c>
      <c r="AY14" s="9">
        <f>AR14*F14</f>
        <v/>
      </c>
      <c r="AZ14" s="9">
        <f>AS14*H14</f>
        <v/>
      </c>
      <c r="BA14" s="9">
        <f>AT14*G14</f>
        <v/>
      </c>
      <c r="BB14" s="9">
        <f>L14</f>
        <v/>
      </c>
      <c r="BC14" s="9">
        <f>K14</f>
        <v/>
      </c>
      <c r="BE14" s="1">
        <f>AW14-SUM(AY14:BC14)</f>
        <v/>
      </c>
    </row>
    <row r="15">
      <c r="B15" s="12" t="inlineStr">
        <is>
          <t>SW_Gasoline_Gasification_Non_CCS_Wood</t>
        </is>
      </c>
      <c r="C15" s="11" t="inlineStr">
        <is>
          <t>Biomass_Wood</t>
        </is>
      </c>
      <c r="D15" s="11" t="n">
        <v>0</v>
      </c>
      <c r="E15" s="11" t="n">
        <v>0</v>
      </c>
      <c r="F15" s="11" t="n">
        <v>2.126</v>
      </c>
      <c r="G15" s="11" t="n">
        <v>0</v>
      </c>
      <c r="H15" s="11" t="n">
        <v>0</v>
      </c>
      <c r="I15" s="21">
        <f>F15+G15+H15</f>
        <v/>
      </c>
      <c r="J15" s="11" t="n">
        <v>1.798</v>
      </c>
      <c r="K15" s="11" t="n">
        <v>0</v>
      </c>
      <c r="L15" s="11" t="n">
        <v>1.27933471039074</v>
      </c>
      <c r="M15" s="11" t="n">
        <v>356053.6</v>
      </c>
      <c r="N15" s="11" t="n">
        <v>283503.36</v>
      </c>
      <c r="O15" s="11" t="n">
        <v>22.0416</v>
      </c>
      <c r="Q15" s="14" t="n">
        <v>109.479795</v>
      </c>
      <c r="R15" s="14" t="n">
        <v>-54.115443</v>
      </c>
      <c r="S15" s="14" t="n">
        <v>170</v>
      </c>
      <c r="T15" s="14" t="n">
        <v>100.773744</v>
      </c>
      <c r="U15" s="14" t="n">
        <v>108.668072</v>
      </c>
      <c r="V15" s="14" t="n">
        <v>89.424565</v>
      </c>
      <c r="W15" s="14" t="n">
        <v>39.359472</v>
      </c>
      <c r="Y15" s="1">
        <f>B15</f>
        <v/>
      </c>
      <c r="Z15" s="1">
        <f>C15</f>
        <v/>
      </c>
      <c r="AA15" s="10">
        <f>SUM(AD15:AI15)+AK15+AL15</f>
        <v/>
      </c>
      <c r="AB15" s="10">
        <f>SUM(AD15:AI15)+AN15+AO15</f>
        <v/>
      </c>
      <c r="AC15" s="5">
        <f>AA15-AB15</f>
        <v/>
      </c>
      <c r="AD15" s="1">
        <f>D15/I15*W15*-1</f>
        <v/>
      </c>
      <c r="AE15" s="1">
        <f>E15/I15*W15</f>
        <v/>
      </c>
      <c r="AF15" s="1">
        <f t="array" ref="AF15">_xlfn.IFS(C15="Biomass_Corn", 1/I15*S15, C15="Biomass_Agri", 1/I15*V15, C15="Biomass_Wood", 1/I15*U15, C15="Biomass_Herb", 1/I15*T15)</f>
        <v/>
      </c>
      <c r="AG15" s="1">
        <f>M15/I15/(0.9*8760)</f>
        <v/>
      </c>
      <c r="AH15" s="1">
        <f>N15/I15/(0.9*8760)</f>
        <v/>
      </c>
      <c r="AI15" s="1">
        <f>O15/I15</f>
        <v/>
      </c>
      <c r="AJ15" s="1">
        <f>(AY15+AZ15+BA15+BB15+BC15-AW15)/I15</f>
        <v/>
      </c>
      <c r="AK15" s="1">
        <f>(Q15+R15)*-1*K15/I15</f>
        <v/>
      </c>
      <c r="AL15" s="1">
        <f>AJ15*Q15</f>
        <v/>
      </c>
      <c r="AM15" s="1">
        <f>(SUM(AY15:BB15)-AW15)/I15</f>
        <v/>
      </c>
      <c r="AN15" s="1">
        <f>K15/I15*-1*R15</f>
        <v/>
      </c>
      <c r="AO15" s="1">
        <f>AM15*Q15</f>
        <v/>
      </c>
      <c r="AQ15" s="8">
        <f>J15</f>
        <v/>
      </c>
      <c r="AR15" s="8" t="n">
        <v>0.243968185</v>
      </c>
      <c r="AS15" s="8" t="n">
        <v>0.249427613</v>
      </c>
      <c r="AT15" s="9" t="n">
        <v>0.246356685</v>
      </c>
      <c r="AU15" s="8" t="n">
        <v>0.23037491</v>
      </c>
      <c r="AW15" s="9">
        <f>AQ15</f>
        <v/>
      </c>
      <c r="AY15" s="9">
        <f>AR15*F15</f>
        <v/>
      </c>
      <c r="AZ15" s="9">
        <f>AS15*H15</f>
        <v/>
      </c>
      <c r="BA15" s="9">
        <f>AT15*G15</f>
        <v/>
      </c>
      <c r="BB15" s="9">
        <f>L15</f>
        <v/>
      </c>
      <c r="BC15" s="9">
        <f>K15</f>
        <v/>
      </c>
      <c r="BE15" s="1">
        <f>AW15-SUM(AY15:BC15)</f>
        <v/>
      </c>
    </row>
    <row r="16">
      <c r="B16" s="12" t="inlineStr">
        <is>
          <t>TX_Gasoline_Gasification_Non_CCS_Wood</t>
        </is>
      </c>
      <c r="C16" s="11" t="inlineStr">
        <is>
          <t>Biomass_Wood</t>
        </is>
      </c>
      <c r="D16" s="11" t="n">
        <v>0</v>
      </c>
      <c r="E16" s="11" t="n">
        <v>0</v>
      </c>
      <c r="F16" s="11" t="n">
        <v>2.1093</v>
      </c>
      <c r="G16" s="11" t="n">
        <v>0</v>
      </c>
      <c r="H16" s="11" t="n">
        <v>0</v>
      </c>
      <c r="I16" s="21">
        <f>F16+G16+H16</f>
        <v/>
      </c>
      <c r="J16" s="11" t="n">
        <v>1.821</v>
      </c>
      <c r="K16" s="11" t="n">
        <v>0</v>
      </c>
      <c r="L16" s="11" t="n">
        <v>1.306399485387678</v>
      </c>
      <c r="M16" s="11" t="n">
        <v>356053.6</v>
      </c>
      <c r="N16" s="11" t="n">
        <v>283503.36</v>
      </c>
      <c r="O16" s="11" t="n">
        <v>22.0416</v>
      </c>
      <c r="Q16" s="14" t="n">
        <v>109.479795</v>
      </c>
      <c r="R16" s="14" t="n">
        <v>-41.717135</v>
      </c>
      <c r="S16" s="14" t="n">
        <v>170</v>
      </c>
      <c r="T16" s="14" t="n">
        <v>104.167382</v>
      </c>
      <c r="U16" s="14" t="n">
        <v>115.526389</v>
      </c>
      <c r="V16" s="14" t="n">
        <v>92.044978</v>
      </c>
      <c r="W16" s="14" t="n">
        <v>30.708173</v>
      </c>
      <c r="Y16" s="1">
        <f>B16</f>
        <v/>
      </c>
      <c r="Z16" s="1">
        <f>C16</f>
        <v/>
      </c>
      <c r="AA16" s="10">
        <f>SUM(AD16:AI16)+AK16+AL16</f>
        <v/>
      </c>
      <c r="AB16" s="10">
        <f>SUM(AD16:AI16)+AN16+AO16</f>
        <v/>
      </c>
      <c r="AC16" s="5">
        <f>AA16-AB16</f>
        <v/>
      </c>
      <c r="AD16" s="1">
        <f>D16/I16*W16*-1</f>
        <v/>
      </c>
      <c r="AE16" s="1">
        <f>E16/I16*W16</f>
        <v/>
      </c>
      <c r="AF16" s="1">
        <f t="array" ref="AF16">_xlfn.IFS(C16="Biomass_Corn", 1/I16*S16, C16="Biomass_Agri", 1/I16*V16, C16="Biomass_Wood", 1/I16*U16, C16="Biomass_Herb", 1/I16*T16)</f>
        <v/>
      </c>
      <c r="AG16" s="1">
        <f>M16/I16/(0.9*8760)</f>
        <v/>
      </c>
      <c r="AH16" s="1">
        <f>N16/I16/(0.9*8760)</f>
        <v/>
      </c>
      <c r="AI16" s="1">
        <f>O16/I16</f>
        <v/>
      </c>
      <c r="AJ16" s="1">
        <f>(AY16+AZ16+BA16+BB16+BC16-AW16)/I16</f>
        <v/>
      </c>
      <c r="AK16" s="1">
        <f>(Q16+R16)*-1*K16/I16</f>
        <v/>
      </c>
      <c r="AL16" s="1">
        <f>AJ16*Q16</f>
        <v/>
      </c>
      <c r="AM16" s="1">
        <f>(SUM(AY16:BB16)-AW16)/I16</f>
        <v/>
      </c>
      <c r="AN16" s="1">
        <f>K16/I16*-1*R16</f>
        <v/>
      </c>
      <c r="AO16" s="1">
        <f>AM16*Q16</f>
        <v/>
      </c>
      <c r="AQ16" s="8">
        <f>J16</f>
        <v/>
      </c>
      <c r="AR16" s="8" t="n">
        <v>0.243968185</v>
      </c>
      <c r="AS16" s="8" t="n">
        <v>0.249427613</v>
      </c>
      <c r="AT16" s="9" t="n">
        <v>0.246356685</v>
      </c>
      <c r="AU16" s="8" t="n">
        <v>0.23037491</v>
      </c>
      <c r="AW16" s="9">
        <f>AQ16</f>
        <v/>
      </c>
      <c r="AY16" s="9">
        <f>AR16*F16</f>
        <v/>
      </c>
      <c r="AZ16" s="9">
        <f>AS16*H16</f>
        <v/>
      </c>
      <c r="BA16" s="9">
        <f>AT16*G16</f>
        <v/>
      </c>
      <c r="BB16" s="9">
        <f>L16</f>
        <v/>
      </c>
      <c r="BC16" s="9">
        <f>K16</f>
        <v/>
      </c>
      <c r="BE16" s="1">
        <f>AW16-SUM(AY16:BC16)</f>
        <v/>
      </c>
    </row>
    <row r="17">
      <c r="B17" s="12" t="inlineStr">
        <is>
          <t>NCEN_Gasoline_Gasification_Non_CCS_Wood</t>
        </is>
      </c>
      <c r="C17" s="11" t="inlineStr">
        <is>
          <t>Biomass_Wood</t>
        </is>
      </c>
      <c r="D17" s="11" t="n">
        <v>0</v>
      </c>
      <c r="E17" s="11" t="n">
        <v>0</v>
      </c>
      <c r="F17" s="11" t="n">
        <v>2.1171</v>
      </c>
      <c r="G17" s="11" t="n">
        <v>0</v>
      </c>
      <c r="H17" s="11" t="n">
        <v>0</v>
      </c>
      <c r="I17" s="21">
        <f>F17+G17+H17</f>
        <v/>
      </c>
      <c r="J17" s="11" t="n">
        <v>1.802</v>
      </c>
      <c r="K17" s="11" t="n">
        <v>0</v>
      </c>
      <c r="L17" s="11" t="n">
        <v>1.285502590389107</v>
      </c>
      <c r="M17" s="11" t="n">
        <v>356053.6</v>
      </c>
      <c r="N17" s="11" t="n">
        <v>283503.36</v>
      </c>
      <c r="O17" s="11" t="n">
        <v>22.0416</v>
      </c>
      <c r="Q17" s="14" t="n">
        <v>109.479795</v>
      </c>
      <c r="R17" s="14" t="n">
        <v>-47.70091</v>
      </c>
      <c r="S17" s="14" t="n">
        <v>170</v>
      </c>
      <c r="T17" s="14" t="n">
        <v>99.63284299999999</v>
      </c>
      <c r="U17" s="14" t="n">
        <v>113.227017</v>
      </c>
      <c r="V17" s="14" t="n">
        <v>88.855315</v>
      </c>
      <c r="W17" s="14" t="n">
        <v>38.218446</v>
      </c>
      <c r="Y17" s="1">
        <f>B17</f>
        <v/>
      </c>
      <c r="Z17" s="1">
        <f>C17</f>
        <v/>
      </c>
      <c r="AA17" s="10">
        <f>SUM(AD17:AI17)+AK17+AL17</f>
        <v/>
      </c>
      <c r="AB17" s="10">
        <f>SUM(AD17:AI17)+AN17+AO17</f>
        <v/>
      </c>
      <c r="AC17" s="5">
        <f>AA17-AB17</f>
        <v/>
      </c>
      <c r="AD17" s="1">
        <f>D17/I17*W17*-1</f>
        <v/>
      </c>
      <c r="AE17" s="1">
        <f>E17/I17*W17</f>
        <v/>
      </c>
      <c r="AF17" s="1">
        <f t="array" ref="AF17">_xlfn.IFS(C17="Biomass_Corn", 1/I17*S17, C17="Biomass_Agri", 1/I17*V17, C17="Biomass_Wood", 1/I17*U17, C17="Biomass_Herb", 1/I17*T17)</f>
        <v/>
      </c>
      <c r="AG17" s="1">
        <f>M17/I17/(0.9*8760)</f>
        <v/>
      </c>
      <c r="AH17" s="1">
        <f>N17/I17/(0.9*8760)</f>
        <v/>
      </c>
      <c r="AI17" s="1">
        <f>O17/I17</f>
        <v/>
      </c>
      <c r="AJ17" s="1">
        <f>(AY17+AZ17+BA17+BB17+BC17-AW17)/I17</f>
        <v/>
      </c>
      <c r="AK17" s="1">
        <f>(Q17+R17)*-1*K17/I17</f>
        <v/>
      </c>
      <c r="AL17" s="1">
        <f>AJ17*Q17</f>
        <v/>
      </c>
      <c r="AM17" s="1">
        <f>(SUM(AY17:BB17)-AW17)/I17</f>
        <v/>
      </c>
      <c r="AN17" s="1">
        <f>K17/I17*-1*R17</f>
        <v/>
      </c>
      <c r="AO17" s="1">
        <f>AM17*Q17</f>
        <v/>
      </c>
      <c r="AQ17" s="8">
        <f>J17</f>
        <v/>
      </c>
      <c r="AR17" s="8" t="n">
        <v>0.243968185</v>
      </c>
      <c r="AS17" s="8" t="n">
        <v>0.249427613</v>
      </c>
      <c r="AT17" s="9" t="n">
        <v>0.246356685</v>
      </c>
      <c r="AU17" s="8" t="n">
        <v>0.23037491</v>
      </c>
      <c r="AW17" s="9">
        <f>AQ17</f>
        <v/>
      </c>
      <c r="AY17" s="9">
        <f>AR17*F17</f>
        <v/>
      </c>
      <c r="AZ17" s="9">
        <f>AS17*H17</f>
        <v/>
      </c>
      <c r="BA17" s="9">
        <f>AT17*G17</f>
        <v/>
      </c>
      <c r="BB17" s="9">
        <f>L17</f>
        <v/>
      </c>
      <c r="BC17" s="9">
        <f>K17</f>
        <v/>
      </c>
      <c r="BE17" s="1">
        <f>AW17-SUM(AY17:BC17)</f>
        <v/>
      </c>
    </row>
    <row r="18">
      <c r="B18" s="12" t="inlineStr">
        <is>
          <t>CEN_Gasoline_Gasification_Non_CCS_Wood</t>
        </is>
      </c>
      <c r="C18" s="11" t="inlineStr">
        <is>
          <t>Biomass_Wood</t>
        </is>
      </c>
      <c r="D18" s="11" t="n">
        <v>0</v>
      </c>
      <c r="E18" s="11" t="n">
        <v>0</v>
      </c>
      <c r="F18" s="11" t="n">
        <v>2.1182</v>
      </c>
      <c r="G18" s="11" t="n">
        <v>0</v>
      </c>
      <c r="H18" s="11" t="n">
        <v>0</v>
      </c>
      <c r="I18" s="21">
        <f>F18+G18+H18</f>
        <v/>
      </c>
      <c r="J18" s="11" t="n">
        <v>1.802</v>
      </c>
      <c r="K18" s="11" t="n">
        <v>0</v>
      </c>
      <c r="L18" s="11" t="n">
        <v>1.285231605389311</v>
      </c>
      <c r="M18" s="11" t="n">
        <v>356053.6</v>
      </c>
      <c r="N18" s="11" t="n">
        <v>283503.36</v>
      </c>
      <c r="O18" s="11" t="n">
        <v>22.0416</v>
      </c>
      <c r="Q18" s="14" t="n">
        <v>109.479795</v>
      </c>
      <c r="R18" s="14" t="n">
        <v>-21.506692</v>
      </c>
      <c r="S18" s="14" t="n">
        <v>170</v>
      </c>
      <c r="T18" s="14" t="n">
        <v>137.934648</v>
      </c>
      <c r="U18" s="14" t="n">
        <v>157.881351</v>
      </c>
      <c r="V18" s="14" t="n">
        <v>111.364845</v>
      </c>
      <c r="W18" s="14" t="n">
        <v>20.230252</v>
      </c>
      <c r="Y18" s="1">
        <f>B18</f>
        <v/>
      </c>
      <c r="Z18" s="1">
        <f>C18</f>
        <v/>
      </c>
      <c r="AA18" s="10">
        <f>SUM(AD18:AI18)+AK18+AL18</f>
        <v/>
      </c>
      <c r="AB18" s="10">
        <f>SUM(AD18:AI18)+AN18+AO18</f>
        <v/>
      </c>
      <c r="AC18" s="5">
        <f>AA18-AB18</f>
        <v/>
      </c>
      <c r="AD18" s="1">
        <f>D18/I18*W18*-1</f>
        <v/>
      </c>
      <c r="AE18" s="1">
        <f>E18/I18*W18</f>
        <v/>
      </c>
      <c r="AF18" s="1">
        <f t="array" ref="AF18">_xlfn.IFS(C18="Biomass_Corn", 1/I18*S18, C18="Biomass_Agri", 1/I18*V18, C18="Biomass_Wood", 1/I18*U18, C18="Biomass_Herb", 1/I18*T18)</f>
        <v/>
      </c>
      <c r="AG18" s="1">
        <f>M18/I18/(0.9*8760)</f>
        <v/>
      </c>
      <c r="AH18" s="1">
        <f>N18/I18/(0.9*8760)</f>
        <v/>
      </c>
      <c r="AI18" s="1">
        <f>O18/I18</f>
        <v/>
      </c>
      <c r="AJ18" s="1">
        <f>(AY18+AZ18+BA18+BB18+BC18-AW18)/I18</f>
        <v/>
      </c>
      <c r="AK18" s="1">
        <f>(Q18+R18)*-1*K18/I18</f>
        <v/>
      </c>
      <c r="AL18" s="1">
        <f>AJ18*Q18</f>
        <v/>
      </c>
      <c r="AM18" s="1">
        <f>(SUM(AY18:BB18)-AW18)/I18</f>
        <v/>
      </c>
      <c r="AN18" s="1">
        <f>K18/I18*-1*R18</f>
        <v/>
      </c>
      <c r="AO18" s="1">
        <f>AM18*Q18</f>
        <v/>
      </c>
      <c r="AQ18" s="8">
        <f>J18</f>
        <v/>
      </c>
      <c r="AR18" s="8" t="n">
        <v>0.243968185</v>
      </c>
      <c r="AS18" s="8" t="n">
        <v>0.249427613</v>
      </c>
      <c r="AT18" s="9" t="n">
        <v>0.246356685</v>
      </c>
      <c r="AU18" s="8" t="n">
        <v>0.23037491</v>
      </c>
      <c r="AW18" s="9">
        <f>AQ18</f>
        <v/>
      </c>
      <c r="AY18" s="9">
        <f>AR18*F18</f>
        <v/>
      </c>
      <c r="AZ18" s="9">
        <f>AS18*H18</f>
        <v/>
      </c>
      <c r="BA18" s="9">
        <f>AT18*G18</f>
        <v/>
      </c>
      <c r="BB18" s="9">
        <f>L18</f>
        <v/>
      </c>
      <c r="BC18" s="9">
        <f>K18</f>
        <v/>
      </c>
      <c r="BE18" s="1">
        <f>AW18-SUM(AY18:BC18)</f>
        <v/>
      </c>
    </row>
    <row r="19">
      <c r="B19" s="12" t="inlineStr">
        <is>
          <t>SE_Gasoline_Gasification_Non_CCS_Wood</t>
        </is>
      </c>
      <c r="C19" s="11" t="inlineStr">
        <is>
          <t>Biomass_Wood</t>
        </is>
      </c>
      <c r="D19" s="11" t="n">
        <v>0</v>
      </c>
      <c r="E19" s="11" t="n">
        <v>0</v>
      </c>
      <c r="F19" s="11" t="n">
        <v>2.126</v>
      </c>
      <c r="G19" s="11" t="n">
        <v>0</v>
      </c>
      <c r="H19" s="11" t="n">
        <v>0</v>
      </c>
      <c r="I19" s="21">
        <f>F19+G19+H19</f>
        <v/>
      </c>
      <c r="J19" s="11" t="n">
        <v>1.821</v>
      </c>
      <c r="K19" s="11" t="n">
        <v>0</v>
      </c>
      <c r="L19" s="11" t="n">
        <v>1.30233471039074</v>
      </c>
      <c r="M19" s="11" t="n">
        <v>356053.6</v>
      </c>
      <c r="N19" s="11" t="n">
        <v>283503.36</v>
      </c>
      <c r="O19" s="11" t="n">
        <v>22.0416</v>
      </c>
      <c r="Q19" s="14" t="n">
        <v>109.479795</v>
      </c>
      <c r="R19" s="14" t="n">
        <v>-31.70346</v>
      </c>
      <c r="S19" s="14" t="n">
        <v>170</v>
      </c>
      <c r="T19" s="14" t="n">
        <v>110.461518</v>
      </c>
      <c r="U19" s="14" t="n">
        <v>127.408748</v>
      </c>
      <c r="V19" s="14" t="n">
        <v>98.83247799999999</v>
      </c>
      <c r="W19" s="14" t="n">
        <v>25.324637</v>
      </c>
      <c r="Y19" s="1">
        <f>B19</f>
        <v/>
      </c>
      <c r="Z19" s="1">
        <f>C19</f>
        <v/>
      </c>
      <c r="AA19" s="10">
        <f>SUM(AD19:AI19)+AK19+AL19</f>
        <v/>
      </c>
      <c r="AB19" s="10">
        <f>SUM(AD19:AI19)+AN19+AO19</f>
        <v/>
      </c>
      <c r="AC19" s="5">
        <f>AA19-AB19</f>
        <v/>
      </c>
      <c r="AD19" s="1">
        <f>D19/I19*W19*-1</f>
        <v/>
      </c>
      <c r="AE19" s="1">
        <f>E19/I19*W19</f>
        <v/>
      </c>
      <c r="AF19" s="1">
        <f t="array" ref="AF19">_xlfn.IFS(C19="Biomass_Corn", 1/I19*S19, C19="Biomass_Agri", 1/I19*V19, C19="Biomass_Wood", 1/I19*U19, C19="Biomass_Herb", 1/I19*T19)</f>
        <v/>
      </c>
      <c r="AG19" s="1">
        <f>M19/I19/(0.9*8760)</f>
        <v/>
      </c>
      <c r="AH19" s="1">
        <f>N19/I19/(0.9*8760)</f>
        <v/>
      </c>
      <c r="AI19" s="1">
        <f>O19/I19</f>
        <v/>
      </c>
      <c r="AJ19" s="1">
        <f>(AY19+AZ19+BA19+BB19+BC19-AW19)/I19</f>
        <v/>
      </c>
      <c r="AK19" s="1">
        <f>(Q19+R19)*-1*K19/I19</f>
        <v/>
      </c>
      <c r="AL19" s="1">
        <f>AJ19*Q19</f>
        <v/>
      </c>
      <c r="AM19" s="1">
        <f>(SUM(AY19:BB19)-AW19)/I19</f>
        <v/>
      </c>
      <c r="AN19" s="1">
        <f>K19/I19*-1*R19</f>
        <v/>
      </c>
      <c r="AO19" s="1">
        <f>AM19*Q19</f>
        <v/>
      </c>
      <c r="AQ19" s="8">
        <f>J19</f>
        <v/>
      </c>
      <c r="AR19" s="8" t="n">
        <v>0.243968185</v>
      </c>
      <c r="AS19" s="8" t="n">
        <v>0.249427613</v>
      </c>
      <c r="AT19" s="9" t="n">
        <v>0.246356685</v>
      </c>
      <c r="AU19" s="8" t="n">
        <v>0.23037491</v>
      </c>
      <c r="AW19" s="9">
        <f>AQ19</f>
        <v/>
      </c>
      <c r="AY19" s="9">
        <f>AR19*F19</f>
        <v/>
      </c>
      <c r="AZ19" s="9">
        <f>AS19*H19</f>
        <v/>
      </c>
      <c r="BA19" s="9">
        <f>AT19*G19</f>
        <v/>
      </c>
      <c r="BB19" s="9">
        <f>L19</f>
        <v/>
      </c>
      <c r="BC19" s="9">
        <f>K19</f>
        <v/>
      </c>
      <c r="BE19" s="1">
        <f>AW19-SUM(AY19:BC19)</f>
        <v/>
      </c>
    </row>
    <row r="20">
      <c r="B20" s="12" t="inlineStr">
        <is>
          <t>MIDAT_Gasoline_Gasification_Non_CCS_Wood</t>
        </is>
      </c>
      <c r="C20" s="11" t="inlineStr">
        <is>
          <t>Biomass_Wood</t>
        </is>
      </c>
      <c r="D20" s="11" t="n">
        <v>0</v>
      </c>
      <c r="E20" s="11" t="n">
        <v>0</v>
      </c>
      <c r="F20" s="11" t="n">
        <v>2.1115</v>
      </c>
      <c r="G20" s="11" t="n">
        <v>0</v>
      </c>
      <c r="H20" s="11" t="n">
        <v>0</v>
      </c>
      <c r="I20" s="21">
        <f>F20+G20+H20</f>
        <v/>
      </c>
      <c r="J20" s="11" t="n">
        <v>1.806</v>
      </c>
      <c r="K20" s="11" t="n">
        <v>0</v>
      </c>
      <c r="L20" s="11" t="n">
        <v>1.290857515388086</v>
      </c>
      <c r="M20" s="11" t="n">
        <v>356053.6</v>
      </c>
      <c r="N20" s="11" t="n">
        <v>283503.36</v>
      </c>
      <c r="O20" s="11" t="n">
        <v>22.0416</v>
      </c>
      <c r="Q20" s="14" t="n">
        <v>109.479795</v>
      </c>
      <c r="R20" s="14" t="n">
        <v>-54.115443</v>
      </c>
      <c r="S20" s="14" t="n">
        <v>170</v>
      </c>
      <c r="T20" s="14" t="n">
        <v>100.773744</v>
      </c>
      <c r="U20" s="14" t="n">
        <v>108.668072</v>
      </c>
      <c r="V20" s="14" t="n">
        <v>89.424565</v>
      </c>
      <c r="W20" s="14" t="n">
        <v>39.359472</v>
      </c>
      <c r="Y20" s="1">
        <f>B20</f>
        <v/>
      </c>
      <c r="Z20" s="1">
        <f>C20</f>
        <v/>
      </c>
      <c r="AA20" s="10">
        <f>SUM(AD20:AI20)+AK20+AL20</f>
        <v/>
      </c>
      <c r="AB20" s="10">
        <f>SUM(AD20:AI20)+AN20+AO20</f>
        <v/>
      </c>
      <c r="AC20" s="5">
        <f>AA20-AB20</f>
        <v/>
      </c>
      <c r="AD20" s="1">
        <f>D20/I20*W20*-1</f>
        <v/>
      </c>
      <c r="AE20" s="1">
        <f>E20/I20*W20</f>
        <v/>
      </c>
      <c r="AF20" s="1">
        <f t="array" ref="AF20">_xlfn.IFS(C20="Biomass_Corn", 1/I20*S20, C20="Biomass_Agri", 1/I20*V20, C20="Biomass_Wood", 1/I20*U20, C20="Biomass_Herb", 1/I20*T20)</f>
        <v/>
      </c>
      <c r="AG20" s="1">
        <f>M20/I20/(0.9*8760)</f>
        <v/>
      </c>
      <c r="AH20" s="1">
        <f>N20/I20/(0.9*8760)</f>
        <v/>
      </c>
      <c r="AI20" s="1">
        <f>O20/I20</f>
        <v/>
      </c>
      <c r="AJ20" s="1">
        <f>(AY20+AZ20+BA20+BB20+BC20-AW20)/I20</f>
        <v/>
      </c>
      <c r="AK20" s="1">
        <f>(Q20+R20)*-1*K20/I20</f>
        <v/>
      </c>
      <c r="AL20" s="1">
        <f>AJ20*Q20</f>
        <v/>
      </c>
      <c r="AM20" s="1">
        <f>(SUM(AY20:BB20)-AW20)/I20</f>
        <v/>
      </c>
      <c r="AN20" s="1">
        <f>K20/I20*-1*R20</f>
        <v/>
      </c>
      <c r="AO20" s="1">
        <f>AM20*Q20</f>
        <v/>
      </c>
      <c r="AQ20" s="8">
        <f>J20</f>
        <v/>
      </c>
      <c r="AR20" s="8" t="n">
        <v>0.243968185</v>
      </c>
      <c r="AS20" s="8" t="n">
        <v>0.249427613</v>
      </c>
      <c r="AT20" s="9" t="n">
        <v>0.246356685</v>
      </c>
      <c r="AU20" s="8" t="n">
        <v>0.23037491</v>
      </c>
      <c r="AW20" s="9">
        <f>AQ20</f>
        <v/>
      </c>
      <c r="AY20" s="9">
        <f>AR20*F20</f>
        <v/>
      </c>
      <c r="AZ20" s="9">
        <f>AS20*H20</f>
        <v/>
      </c>
      <c r="BA20" s="9">
        <f>AT20*G20</f>
        <v/>
      </c>
      <c r="BB20" s="9">
        <f>L20</f>
        <v/>
      </c>
      <c r="BC20" s="9">
        <f>K20</f>
        <v/>
      </c>
      <c r="BE20" s="1">
        <f>AW20-SUM(AY20:BC20)</f>
        <v/>
      </c>
    </row>
    <row r="21">
      <c r="B21" s="12" t="inlineStr">
        <is>
          <t>NE_Gasoline_Gasification_Non_CCS_Wood</t>
        </is>
      </c>
      <c r="C21" s="11" t="inlineStr">
        <is>
          <t>Biomass_Wood</t>
        </is>
      </c>
      <c r="D21" s="11" t="n">
        <v>0</v>
      </c>
      <c r="E21" s="11" t="n">
        <v>0</v>
      </c>
      <c r="F21" s="11" t="n">
        <v>2.0982</v>
      </c>
      <c r="G21" s="11" t="n">
        <v>0</v>
      </c>
      <c r="H21" s="11" t="n">
        <v>0</v>
      </c>
      <c r="I21" s="21">
        <f>F21+G21+H21</f>
        <v/>
      </c>
      <c r="J21" s="11" t="n">
        <v>1.826</v>
      </c>
      <c r="K21" s="11" t="n">
        <v>0</v>
      </c>
      <c r="L21" s="11" t="n">
        <v>1.314109335385636</v>
      </c>
      <c r="M21" s="11" t="n">
        <v>356053.6</v>
      </c>
      <c r="N21" s="11" t="n">
        <v>283503.36</v>
      </c>
      <c r="O21" s="11" t="n">
        <v>22.0416</v>
      </c>
      <c r="Q21" s="14" t="n">
        <v>109.479795</v>
      </c>
      <c r="R21" s="14" t="n">
        <v>-41.717135</v>
      </c>
      <c r="S21" s="14" t="n">
        <v>170</v>
      </c>
      <c r="T21" s="14" t="n">
        <v>104.167382</v>
      </c>
      <c r="U21" s="14" t="n">
        <v>115.526389</v>
      </c>
      <c r="V21" s="14" t="n">
        <v>92.044978</v>
      </c>
      <c r="W21" s="14" t="n">
        <v>30.708173</v>
      </c>
      <c r="Y21" s="1">
        <f>B21</f>
        <v/>
      </c>
      <c r="Z21" s="1">
        <f>C21</f>
        <v/>
      </c>
      <c r="AA21" s="10">
        <f>SUM(AD21:AI21)+AK21+AL21</f>
        <v/>
      </c>
      <c r="AB21" s="10">
        <f>SUM(AD21:AI21)+AN21+AO21</f>
        <v/>
      </c>
      <c r="AC21" s="5">
        <f>AA21-AB21</f>
        <v/>
      </c>
      <c r="AD21" s="1">
        <f>D21/I21*W21*-1</f>
        <v/>
      </c>
      <c r="AE21" s="1">
        <f>E21/I21*W21</f>
        <v/>
      </c>
      <c r="AF21" s="1">
        <f t="array" ref="AF21">_xlfn.IFS(C21="Biomass_Corn", 1/I21*S21, C21="Biomass_Agri", 1/I21*V21, C21="Biomass_Wood", 1/I21*U21, C21="Biomass_Herb", 1/I21*T21)</f>
        <v/>
      </c>
      <c r="AG21" s="1">
        <f>M21/I21/(0.9*8760)</f>
        <v/>
      </c>
      <c r="AH21" s="1">
        <f>N21/I21/(0.9*8760)</f>
        <v/>
      </c>
      <c r="AI21" s="1">
        <f>O21/I21</f>
        <v/>
      </c>
      <c r="AJ21" s="1">
        <f>(AY21+AZ21+BA21+BB21+BC21-AW21)/I21</f>
        <v/>
      </c>
      <c r="AK21" s="1">
        <f>(Q21+R21)*-1*K21/I21</f>
        <v/>
      </c>
      <c r="AL21" s="1">
        <f>AJ21*Q21</f>
        <v/>
      </c>
      <c r="AM21" s="1">
        <f>(SUM(AY21:BB21)-AW21)/I21</f>
        <v/>
      </c>
      <c r="AN21" s="1">
        <f>K21/I21*-1*R21</f>
        <v/>
      </c>
      <c r="AO21" s="1">
        <f>AM21*Q21</f>
        <v/>
      </c>
      <c r="AQ21" s="8">
        <f>J21</f>
        <v/>
      </c>
      <c r="AR21" s="8" t="n">
        <v>0.243968185</v>
      </c>
      <c r="AS21" s="8" t="n">
        <v>0.249427613</v>
      </c>
      <c r="AT21" s="9" t="n">
        <v>0.246356685</v>
      </c>
      <c r="AU21" s="8" t="n">
        <v>0.23037491</v>
      </c>
      <c r="AW21" s="9">
        <f>AQ21</f>
        <v/>
      </c>
      <c r="AY21" s="9">
        <f>AR21*F21</f>
        <v/>
      </c>
      <c r="AZ21" s="9">
        <f>AS21*H21</f>
        <v/>
      </c>
      <c r="BA21" s="9">
        <f>AT21*G21</f>
        <v/>
      </c>
      <c r="BB21" s="9">
        <f>L21</f>
        <v/>
      </c>
      <c r="BC21" s="9">
        <f>K21</f>
        <v/>
      </c>
      <c r="BE21" s="1">
        <f>AW21-SUM(AY21:BC21)</f>
        <v/>
      </c>
    </row>
    <row r="22">
      <c r="B22" s="12" t="inlineStr">
        <is>
          <t>CA_Gasoline_Gasification_Non_CCS_Agri</t>
        </is>
      </c>
      <c r="C22" s="11" t="inlineStr">
        <is>
          <t>Biomass_Agri</t>
        </is>
      </c>
      <c r="D22" s="11" t="n">
        <v>0</v>
      </c>
      <c r="E22" s="11" t="n">
        <v>0</v>
      </c>
      <c r="F22" s="11" t="n">
        <v>2.0315</v>
      </c>
      <c r="G22" s="11" t="n">
        <v>0</v>
      </c>
      <c r="H22" s="11" t="n">
        <v>0</v>
      </c>
      <c r="I22" s="21">
        <f>F22+G22+H22</f>
        <v/>
      </c>
      <c r="J22" s="11" t="n">
        <v>1.719</v>
      </c>
      <c r="K22" s="11" t="n">
        <v>0</v>
      </c>
      <c r="L22" s="11" t="n">
        <v>1.223368435373387</v>
      </c>
      <c r="M22" s="11" t="n">
        <v>356053.6</v>
      </c>
      <c r="N22" s="11" t="n">
        <v>283503.36</v>
      </c>
      <c r="O22" s="11" t="n">
        <v>22.0416</v>
      </c>
      <c r="Q22" s="14" t="n">
        <v>109.479795</v>
      </c>
      <c r="R22" s="14" t="n">
        <v>-47.70091</v>
      </c>
      <c r="S22" s="14" t="n">
        <v>170</v>
      </c>
      <c r="T22" s="14" t="n">
        <v>99.63284299999999</v>
      </c>
      <c r="U22" s="14" t="n">
        <v>113.227017</v>
      </c>
      <c r="V22" s="14" t="n">
        <v>88.855315</v>
      </c>
      <c r="W22" s="14" t="n">
        <v>38.218446</v>
      </c>
      <c r="Y22" s="1">
        <f>B22</f>
        <v/>
      </c>
      <c r="Z22" s="1">
        <f>C22</f>
        <v/>
      </c>
      <c r="AA22" s="10">
        <f>SUM(AD22:AI22)+AK22+AL22</f>
        <v/>
      </c>
      <c r="AB22" s="10">
        <f>SUM(AD22:AI22)+AN22+AO22</f>
        <v/>
      </c>
      <c r="AC22" s="5">
        <f>AA22-AB22</f>
        <v/>
      </c>
      <c r="AD22" s="1">
        <f>D22/I22*W22*-1</f>
        <v/>
      </c>
      <c r="AE22" s="1">
        <f>E22/I22*W22</f>
        <v/>
      </c>
      <c r="AF22" s="1">
        <f t="array" ref="AF22">_xlfn.IFS(C22="Biomass_Corn", 1/I22*S22, C22="Biomass_Agri", 1/I22*V22, C22="Biomass_Wood", 1/I22*U22, C22="Biomass_Herb", 1/I22*T22)</f>
        <v/>
      </c>
      <c r="AG22" s="1">
        <f>M22/I22/(0.9*8760)</f>
        <v/>
      </c>
      <c r="AH22" s="1">
        <f>N22/I22/(0.9*8760)</f>
        <v/>
      </c>
      <c r="AI22" s="1">
        <f>O22/I22</f>
        <v/>
      </c>
      <c r="AJ22" s="1">
        <f>(AY22+AZ22+BA22+BB22+BC22-AW22)/I22</f>
        <v/>
      </c>
      <c r="AK22" s="1">
        <f>(Q22+R22)*-1*K22/I22</f>
        <v/>
      </c>
      <c r="AL22" s="1">
        <f>AJ22*Q22</f>
        <v/>
      </c>
      <c r="AM22" s="1">
        <f>(SUM(AY22:BB22)-AW22)/I22</f>
        <v/>
      </c>
      <c r="AN22" s="1">
        <f>K22/I22*-1*R22</f>
        <v/>
      </c>
      <c r="AO22" s="1">
        <f>AM22*Q22</f>
        <v/>
      </c>
      <c r="AQ22" s="8">
        <f>J22</f>
        <v/>
      </c>
      <c r="AR22" s="8" t="n">
        <v>0.243968185</v>
      </c>
      <c r="AS22" s="8" t="n">
        <v>0.249427613</v>
      </c>
      <c r="AT22" s="9" t="n">
        <v>0.246356685</v>
      </c>
      <c r="AU22" s="8" t="n">
        <v>0.23037491</v>
      </c>
      <c r="AW22" s="9">
        <f>AQ22</f>
        <v/>
      </c>
      <c r="AY22" s="9">
        <f>AR22*F22</f>
        <v/>
      </c>
      <c r="AZ22" s="9">
        <f>AS22*H22</f>
        <v/>
      </c>
      <c r="BA22" s="9">
        <f>AT22*G22</f>
        <v/>
      </c>
      <c r="BB22" s="9">
        <f>L22</f>
        <v/>
      </c>
      <c r="BC22" s="9">
        <f>K22</f>
        <v/>
      </c>
      <c r="BE22" s="1">
        <f>AW22-SUM(AY22:BC22)</f>
        <v/>
      </c>
    </row>
    <row r="23">
      <c r="B23" s="12" t="inlineStr">
        <is>
          <t>NW_Gasoline_Gasification_Non_CCS_Agri</t>
        </is>
      </c>
      <c r="C23" s="11" t="inlineStr">
        <is>
          <t>Biomass_Agri</t>
        </is>
      </c>
      <c r="D23" s="11" t="n">
        <v>0</v>
      </c>
      <c r="E23" s="11" t="n">
        <v>0</v>
      </c>
      <c r="F23" s="11" t="n">
        <v>1.8572</v>
      </c>
      <c r="G23" s="11" t="n">
        <v>0</v>
      </c>
      <c r="H23" s="11" t="n">
        <v>0</v>
      </c>
      <c r="I23" s="21">
        <f>F23+G23+H23</f>
        <v/>
      </c>
      <c r="J23" s="11" t="n">
        <v>1.664</v>
      </c>
      <c r="K23" s="11" t="n">
        <v>0</v>
      </c>
      <c r="L23" s="11" t="n">
        <v>1.210913080341336</v>
      </c>
      <c r="M23" s="11" t="n">
        <v>356053.6</v>
      </c>
      <c r="N23" s="11" t="n">
        <v>283503.36</v>
      </c>
      <c r="O23" s="11" t="n">
        <v>22.0416</v>
      </c>
      <c r="Q23" s="14" t="n">
        <v>109.479795</v>
      </c>
      <c r="R23" s="14" t="n">
        <v>-21.506692</v>
      </c>
      <c r="S23" s="14" t="n">
        <v>170</v>
      </c>
      <c r="T23" s="14" t="n">
        <v>137.934648</v>
      </c>
      <c r="U23" s="14" t="n">
        <v>157.881351</v>
      </c>
      <c r="V23" s="14" t="n">
        <v>111.364845</v>
      </c>
      <c r="W23" s="14" t="n">
        <v>20.230252</v>
      </c>
      <c r="Y23" s="1">
        <f>B23</f>
        <v/>
      </c>
      <c r="Z23" s="1">
        <f>C23</f>
        <v/>
      </c>
      <c r="AA23" s="10">
        <f>SUM(AD23:AI23)+AK23+AL23</f>
        <v/>
      </c>
      <c r="AB23" s="10">
        <f>SUM(AD23:AI23)+AN23+AO23</f>
        <v/>
      </c>
      <c r="AC23" s="5">
        <f>AA23-AB23</f>
        <v/>
      </c>
      <c r="AD23" s="1">
        <f>D23/I23*W23*-1</f>
        <v/>
      </c>
      <c r="AE23" s="1">
        <f>E23/I23*W23</f>
        <v/>
      </c>
      <c r="AF23" s="1">
        <f t="array" ref="AF23">_xlfn.IFS(C23="Biomass_Corn", 1/I23*S23, C23="Biomass_Agri", 1/I23*V23, C23="Biomass_Wood", 1/I23*U23, C23="Biomass_Herb", 1/I23*T23)</f>
        <v/>
      </c>
      <c r="AG23" s="1">
        <f>M23/I23/(0.9*8760)</f>
        <v/>
      </c>
      <c r="AH23" s="1">
        <f>N23/I23/(0.9*8760)</f>
        <v/>
      </c>
      <c r="AI23" s="1">
        <f>O23/I23</f>
        <v/>
      </c>
      <c r="AJ23" s="1">
        <f>(AY23+AZ23+BA23+BB23+BC23-AW23)/I23</f>
        <v/>
      </c>
      <c r="AK23" s="1">
        <f>(Q23+R23)*-1*K23/I23</f>
        <v/>
      </c>
      <c r="AL23" s="1">
        <f>AJ23*Q23</f>
        <v/>
      </c>
      <c r="AM23" s="1">
        <f>(SUM(AY23:BB23)-AW23)/I23</f>
        <v/>
      </c>
      <c r="AN23" s="1">
        <f>K23/I23*-1*R23</f>
        <v/>
      </c>
      <c r="AO23" s="1">
        <f>AM23*Q23</f>
        <v/>
      </c>
      <c r="AQ23" s="8">
        <f>J23</f>
        <v/>
      </c>
      <c r="AR23" s="8" t="n">
        <v>0.243968185</v>
      </c>
      <c r="AS23" s="8" t="n">
        <v>0.249427613</v>
      </c>
      <c r="AT23" s="9" t="n">
        <v>0.246356685</v>
      </c>
      <c r="AU23" s="8" t="n">
        <v>0.23037491</v>
      </c>
      <c r="AW23" s="9">
        <f>AQ23</f>
        <v/>
      </c>
      <c r="AY23" s="9">
        <f>AR23*F23</f>
        <v/>
      </c>
      <c r="AZ23" s="9">
        <f>AS23*H23</f>
        <v/>
      </c>
      <c r="BA23" s="9">
        <f>AT23*G23</f>
        <v/>
      </c>
      <c r="BB23" s="9">
        <f>L23</f>
        <v/>
      </c>
      <c r="BC23" s="9">
        <f>K23</f>
        <v/>
      </c>
      <c r="BE23" s="1">
        <f>AW23-SUM(AY23:BC23)</f>
        <v/>
      </c>
    </row>
    <row r="24">
      <c r="B24" s="12" t="inlineStr">
        <is>
          <t>SW_Gasoline_Gasification_Non_CCS_Agri</t>
        </is>
      </c>
      <c r="C24" s="11" t="inlineStr">
        <is>
          <t>Biomass_Agri</t>
        </is>
      </c>
      <c r="D24" s="11" t="n">
        <v>0</v>
      </c>
      <c r="E24" s="11" t="n">
        <v>0</v>
      </c>
      <c r="F24" s="11" t="n">
        <v>1.8916</v>
      </c>
      <c r="G24" s="11" t="n">
        <v>0</v>
      </c>
      <c r="H24" s="11" t="n">
        <v>0</v>
      </c>
      <c r="I24" s="21">
        <f>F24+G24+H24</f>
        <v/>
      </c>
      <c r="J24" s="11" t="n">
        <v>1.687</v>
      </c>
      <c r="K24" s="11" t="n">
        <v>0</v>
      </c>
      <c r="L24" s="11" t="n">
        <v>1.225512545347664</v>
      </c>
      <c r="M24" s="11" t="n">
        <v>356053.6</v>
      </c>
      <c r="N24" s="11" t="n">
        <v>283503.36</v>
      </c>
      <c r="O24" s="11" t="n">
        <v>22.0416</v>
      </c>
      <c r="Q24" s="14" t="n">
        <v>109.479795</v>
      </c>
      <c r="R24" s="14" t="n">
        <v>-31.70346</v>
      </c>
      <c r="S24" s="14" t="n">
        <v>170</v>
      </c>
      <c r="T24" s="14" t="n">
        <v>110.461518</v>
      </c>
      <c r="U24" s="14" t="n">
        <v>127.408748</v>
      </c>
      <c r="V24" s="14" t="n">
        <v>98.83247799999999</v>
      </c>
      <c r="W24" s="14" t="n">
        <v>25.324637</v>
      </c>
      <c r="Y24" s="1">
        <f>B24</f>
        <v/>
      </c>
      <c r="Z24" s="1">
        <f>C24</f>
        <v/>
      </c>
      <c r="AA24" s="10">
        <f>SUM(AD24:AI24)+AK24+AL24</f>
        <v/>
      </c>
      <c r="AB24" s="10">
        <f>SUM(AD24:AI24)+AN24+AO24</f>
        <v/>
      </c>
      <c r="AC24" s="5">
        <f>AA24-AB24</f>
        <v/>
      </c>
      <c r="AD24" s="1">
        <f>D24/I24*W24*-1</f>
        <v/>
      </c>
      <c r="AE24" s="1">
        <f>E24/I24*W24</f>
        <v/>
      </c>
      <c r="AF24" s="1">
        <f t="array" ref="AF24">_xlfn.IFS(C24="Biomass_Corn", 1/I24*S24, C24="Biomass_Agri", 1/I24*V24, C24="Biomass_Wood", 1/I24*U24, C24="Biomass_Herb", 1/I24*T24)</f>
        <v/>
      </c>
      <c r="AG24" s="1">
        <f>M24/I24/(0.9*8760)</f>
        <v/>
      </c>
      <c r="AH24" s="1">
        <f>N24/I24/(0.9*8760)</f>
        <v/>
      </c>
      <c r="AI24" s="1">
        <f>O24/I24</f>
        <v/>
      </c>
      <c r="AJ24" s="1">
        <f>(AY24+AZ24+BA24+BB24+BC24-AW24)/I24</f>
        <v/>
      </c>
      <c r="AK24" s="1">
        <f>(Q24+R24)*-1*K24/I24</f>
        <v/>
      </c>
      <c r="AL24" s="1">
        <f>AJ24*Q24</f>
        <v/>
      </c>
      <c r="AM24" s="1">
        <f>(SUM(AY24:BB24)-AW24)/I24</f>
        <v/>
      </c>
      <c r="AN24" s="1">
        <f>K24/I24*-1*R24</f>
        <v/>
      </c>
      <c r="AO24" s="1">
        <f>AM24*Q24</f>
        <v/>
      </c>
      <c r="AQ24" s="8">
        <f>J24</f>
        <v/>
      </c>
      <c r="AR24" s="8" t="n">
        <v>0.243968185</v>
      </c>
      <c r="AS24" s="8" t="n">
        <v>0.249427613</v>
      </c>
      <c r="AT24" s="9" t="n">
        <v>0.246356685</v>
      </c>
      <c r="AU24" s="8" t="n">
        <v>0.23037491</v>
      </c>
      <c r="AW24" s="9">
        <f>AQ24</f>
        <v/>
      </c>
      <c r="AY24" s="9">
        <f>AR24*F24</f>
        <v/>
      </c>
      <c r="AZ24" s="9">
        <f>AS24*H24</f>
        <v/>
      </c>
      <c r="BA24" s="9">
        <f>AT24*G24</f>
        <v/>
      </c>
      <c r="BB24" s="9">
        <f>L24</f>
        <v/>
      </c>
      <c r="BC24" s="9">
        <f>K24</f>
        <v/>
      </c>
      <c r="BE24" s="1">
        <f>AW24-SUM(AY24:BC24)</f>
        <v/>
      </c>
    </row>
    <row r="25">
      <c r="B25" s="12" t="inlineStr">
        <is>
          <t>TX_Gasoline_Gasification_Non_CCS_Agri</t>
        </is>
      </c>
      <c r="C25" s="11" t="inlineStr">
        <is>
          <t>Biomass_Agri</t>
        </is>
      </c>
      <c r="D25" s="11" t="n">
        <v>0</v>
      </c>
      <c r="E25" s="11" t="n">
        <v>0</v>
      </c>
      <c r="F25" s="11" t="n">
        <v>1.8427</v>
      </c>
      <c r="G25" s="11" t="n">
        <v>0</v>
      </c>
      <c r="H25" s="11" t="n">
        <v>0</v>
      </c>
      <c r="I25" s="21">
        <f>F25+G25+H25</f>
        <v/>
      </c>
      <c r="J25" s="11" t="n">
        <v>1.633</v>
      </c>
      <c r="K25" s="11" t="n">
        <v>0</v>
      </c>
      <c r="L25" s="11" t="n">
        <v>1.183435885338682</v>
      </c>
      <c r="M25" s="11" t="n">
        <v>356053.6</v>
      </c>
      <c r="N25" s="11" t="n">
        <v>283503.36</v>
      </c>
      <c r="O25" s="11" t="n">
        <v>22.0416</v>
      </c>
      <c r="Q25" s="14" t="n">
        <v>109.479795</v>
      </c>
      <c r="R25" s="14" t="n">
        <v>-54.115443</v>
      </c>
      <c r="S25" s="14" t="n">
        <v>170</v>
      </c>
      <c r="T25" s="14" t="n">
        <v>100.773744</v>
      </c>
      <c r="U25" s="14" t="n">
        <v>108.668072</v>
      </c>
      <c r="V25" s="14" t="n">
        <v>89.424565</v>
      </c>
      <c r="W25" s="14" t="n">
        <v>39.359472</v>
      </c>
      <c r="Y25" s="1">
        <f>B25</f>
        <v/>
      </c>
      <c r="Z25" s="1">
        <f>C25</f>
        <v/>
      </c>
      <c r="AA25" s="10">
        <f>SUM(AD25:AI25)+AK25+AL25</f>
        <v/>
      </c>
      <c r="AB25" s="10">
        <f>SUM(AD25:AI25)+AN25+AO25</f>
        <v/>
      </c>
      <c r="AC25" s="5">
        <f>AA25-AB25</f>
        <v/>
      </c>
      <c r="AD25" s="1">
        <f>D25/I25*W25*-1</f>
        <v/>
      </c>
      <c r="AE25" s="1">
        <f>E25/I25*W25</f>
        <v/>
      </c>
      <c r="AF25" s="1">
        <f t="array" ref="AF25">_xlfn.IFS(C25="Biomass_Corn", 1/I25*S25, C25="Biomass_Agri", 1/I25*V25, C25="Biomass_Wood", 1/I25*U25, C25="Biomass_Herb", 1/I25*T25)</f>
        <v/>
      </c>
      <c r="AG25" s="1">
        <f>M25/I25/(0.9*8760)</f>
        <v/>
      </c>
      <c r="AH25" s="1">
        <f>N25/I25/(0.9*8760)</f>
        <v/>
      </c>
      <c r="AI25" s="1">
        <f>O25/I25</f>
        <v/>
      </c>
      <c r="AJ25" s="1">
        <f>(AY25+AZ25+BA25+BB25+BC25-AW25)/I25</f>
        <v/>
      </c>
      <c r="AK25" s="1">
        <f>(Q25+R25)*-1*K25/I25</f>
        <v/>
      </c>
      <c r="AL25" s="1">
        <f>AJ25*Q25</f>
        <v/>
      </c>
      <c r="AM25" s="1">
        <f>(SUM(AY25:BB25)-AW25)/I25</f>
        <v/>
      </c>
      <c r="AN25" s="1">
        <f>K25/I25*-1*R25</f>
        <v/>
      </c>
      <c r="AO25" s="1">
        <f>AM25*Q25</f>
        <v/>
      </c>
      <c r="AQ25" s="8">
        <f>J25</f>
        <v/>
      </c>
      <c r="AR25" s="8" t="n">
        <v>0.243968185</v>
      </c>
      <c r="AS25" s="8" t="n">
        <v>0.249427613</v>
      </c>
      <c r="AT25" s="9" t="n">
        <v>0.246356685</v>
      </c>
      <c r="AU25" s="8" t="n">
        <v>0.23037491</v>
      </c>
      <c r="AW25" s="9">
        <f>AQ25</f>
        <v/>
      </c>
      <c r="AY25" s="9">
        <f>AR25*F25</f>
        <v/>
      </c>
      <c r="AZ25" s="9">
        <f>AS25*H25</f>
        <v/>
      </c>
      <c r="BA25" s="9">
        <f>AT25*G25</f>
        <v/>
      </c>
      <c r="BB25" s="9">
        <f>L25</f>
        <v/>
      </c>
      <c r="BC25" s="9">
        <f>K25</f>
        <v/>
      </c>
      <c r="BE25" s="1">
        <f>AW25-SUM(AY25:BC25)</f>
        <v/>
      </c>
    </row>
    <row r="26">
      <c r="B26" s="12" t="inlineStr">
        <is>
          <t>NCEN_Gasoline_Gasification_Non_CCS_Agri</t>
        </is>
      </c>
      <c r="C26" s="11" t="inlineStr">
        <is>
          <t>Biomass_Agri</t>
        </is>
      </c>
      <c r="D26" s="11" t="n">
        <v>0</v>
      </c>
      <c r="E26" s="11" t="n">
        <v>0</v>
      </c>
      <c r="F26" s="11" t="n">
        <v>1.9216</v>
      </c>
      <c r="G26" s="11" t="n">
        <v>0</v>
      </c>
      <c r="H26" s="11" t="n">
        <v>0</v>
      </c>
      <c r="I26" s="21">
        <f>F26+G26+H26</f>
        <v/>
      </c>
      <c r="J26" s="11" t="n">
        <v>1.71</v>
      </c>
      <c r="K26" s="11" t="n">
        <v>0</v>
      </c>
      <c r="L26" s="11" t="n">
        <v>1.241195950353176</v>
      </c>
      <c r="M26" s="11" t="n">
        <v>356053.6</v>
      </c>
      <c r="N26" s="11" t="n">
        <v>283503.36</v>
      </c>
      <c r="O26" s="11" t="n">
        <v>22.0416</v>
      </c>
      <c r="Q26" s="14" t="n">
        <v>109.479795</v>
      </c>
      <c r="R26" s="14" t="n">
        <v>-41.717135</v>
      </c>
      <c r="S26" s="14" t="n">
        <v>170</v>
      </c>
      <c r="T26" s="14" t="n">
        <v>104.167382</v>
      </c>
      <c r="U26" s="14" t="n">
        <v>115.526389</v>
      </c>
      <c r="V26" s="14" t="n">
        <v>92.044978</v>
      </c>
      <c r="W26" s="14" t="n">
        <v>30.708173</v>
      </c>
      <c r="Y26" s="1">
        <f>B26</f>
        <v/>
      </c>
      <c r="Z26" s="1">
        <f>C26</f>
        <v/>
      </c>
      <c r="AA26" s="10">
        <f>SUM(AD26:AI26)+AK26+AL26</f>
        <v/>
      </c>
      <c r="AB26" s="10">
        <f>SUM(AD26:AI26)+AN26+AO26</f>
        <v/>
      </c>
      <c r="AC26" s="5">
        <f>AA26-AB26</f>
        <v/>
      </c>
      <c r="AD26" s="1">
        <f>D26/I26*W26*-1</f>
        <v/>
      </c>
      <c r="AE26" s="1">
        <f>E26/I26*W26</f>
        <v/>
      </c>
      <c r="AF26" s="1">
        <f t="array" ref="AF26">_xlfn.IFS(C26="Biomass_Corn", 1/I26*S26, C26="Biomass_Agri", 1/I26*V26, C26="Biomass_Wood", 1/I26*U26, C26="Biomass_Herb", 1/I26*T26)</f>
        <v/>
      </c>
      <c r="AG26" s="1">
        <f>M26/I26/(0.9*8760)</f>
        <v/>
      </c>
      <c r="AH26" s="1">
        <f>N26/I26/(0.9*8760)</f>
        <v/>
      </c>
      <c r="AI26" s="1">
        <f>O26/I26</f>
        <v/>
      </c>
      <c r="AJ26" s="1">
        <f>(AY26+AZ26+BA26+BB26+BC26-AW26)/I26</f>
        <v/>
      </c>
      <c r="AK26" s="1">
        <f>(Q26+R26)*-1*K26/I26</f>
        <v/>
      </c>
      <c r="AL26" s="1">
        <f>AJ26*Q26</f>
        <v/>
      </c>
      <c r="AM26" s="1">
        <f>(SUM(AY26:BB26)-AW26)/I26</f>
        <v/>
      </c>
      <c r="AN26" s="1">
        <f>K26/I26*-1*R26</f>
        <v/>
      </c>
      <c r="AO26" s="1">
        <f>AM26*Q26</f>
        <v/>
      </c>
      <c r="AQ26" s="8">
        <f>J26</f>
        <v/>
      </c>
      <c r="AR26" s="8" t="n">
        <v>0.243968185</v>
      </c>
      <c r="AS26" s="8" t="n">
        <v>0.249427613</v>
      </c>
      <c r="AT26" s="9" t="n">
        <v>0.246356685</v>
      </c>
      <c r="AU26" s="8" t="n">
        <v>0.23037491</v>
      </c>
      <c r="AW26" s="9">
        <f>AQ26</f>
        <v/>
      </c>
      <c r="AY26" s="9">
        <f>AR26*F26</f>
        <v/>
      </c>
      <c r="AZ26" s="9">
        <f>AS26*H26</f>
        <v/>
      </c>
      <c r="BA26" s="9">
        <f>AT26*G26</f>
        <v/>
      </c>
      <c r="BB26" s="9">
        <f>L26</f>
        <v/>
      </c>
      <c r="BC26" s="9">
        <f>K26</f>
        <v/>
      </c>
      <c r="BE26" s="1">
        <f>AW26-SUM(AY26:BC26)</f>
        <v/>
      </c>
    </row>
    <row r="27">
      <c r="B27" s="12" t="inlineStr">
        <is>
          <t>CEN_Gasoline_Gasification_Non_CCS_Agri</t>
        </is>
      </c>
      <c r="C27" s="11" t="inlineStr">
        <is>
          <t>Biomass_Agri</t>
        </is>
      </c>
      <c r="D27" s="11" t="n">
        <v>0</v>
      </c>
      <c r="E27" s="11" t="n">
        <v>0</v>
      </c>
      <c r="F27" s="11" t="n">
        <v>1.9071</v>
      </c>
      <c r="G27" s="11" t="n">
        <v>0</v>
      </c>
      <c r="H27" s="11" t="n">
        <v>0</v>
      </c>
      <c r="I27" s="21">
        <f>F27+G27+H27</f>
        <v/>
      </c>
      <c r="J27" s="11" t="n">
        <v>1.7</v>
      </c>
      <c r="K27" s="11" t="n">
        <v>0</v>
      </c>
      <c r="L27" s="11" t="n">
        <v>1.234718755350523</v>
      </c>
      <c r="M27" s="11" t="n">
        <v>356053.6</v>
      </c>
      <c r="N27" s="11" t="n">
        <v>283503.36</v>
      </c>
      <c r="O27" s="11" t="n">
        <v>22.0416</v>
      </c>
      <c r="Q27" s="14" t="n">
        <v>109.479795</v>
      </c>
      <c r="R27" s="14" t="n">
        <v>-47.70091</v>
      </c>
      <c r="S27" s="14" t="n">
        <v>170</v>
      </c>
      <c r="T27" s="14" t="n">
        <v>99.63284299999999</v>
      </c>
      <c r="U27" s="14" t="n">
        <v>113.227017</v>
      </c>
      <c r="V27" s="14" t="n">
        <v>88.855315</v>
      </c>
      <c r="W27" s="14" t="n">
        <v>38.218446</v>
      </c>
      <c r="Y27" s="1">
        <f>B27</f>
        <v/>
      </c>
      <c r="Z27" s="1">
        <f>C27</f>
        <v/>
      </c>
      <c r="AA27" s="10">
        <f>SUM(AD27:AI27)+AK27+AL27</f>
        <v/>
      </c>
      <c r="AB27" s="10">
        <f>SUM(AD27:AI27)+AN27+AO27</f>
        <v/>
      </c>
      <c r="AC27" s="5">
        <f>AA27-AB27</f>
        <v/>
      </c>
      <c r="AD27" s="1">
        <f>D27/I27*W27*-1</f>
        <v/>
      </c>
      <c r="AE27" s="1">
        <f>E27/I27*W27</f>
        <v/>
      </c>
      <c r="AF27" s="1">
        <f t="array" ref="AF27">_xlfn.IFS(C27="Biomass_Corn", 1/I27*S27, C27="Biomass_Agri", 1/I27*V27, C27="Biomass_Wood", 1/I27*U27, C27="Biomass_Herb", 1/I27*T27)</f>
        <v/>
      </c>
      <c r="AG27" s="1">
        <f>M27/I27/(0.9*8760)</f>
        <v/>
      </c>
      <c r="AH27" s="1">
        <f>N27/I27/(0.9*8760)</f>
        <v/>
      </c>
      <c r="AI27" s="1">
        <f>O27/I27</f>
        <v/>
      </c>
      <c r="AJ27" s="1">
        <f>(AY27+AZ27+BA27+BB27+BC27-AW27)/I27</f>
        <v/>
      </c>
      <c r="AK27" s="1">
        <f>(Q27+R27)*-1*K27/I27</f>
        <v/>
      </c>
      <c r="AL27" s="1">
        <f>AJ27*Q27</f>
        <v/>
      </c>
      <c r="AM27" s="1">
        <f>(SUM(AY27:BB27)-AW27)/I27</f>
        <v/>
      </c>
      <c r="AN27" s="1">
        <f>K27/I27*-1*R27</f>
        <v/>
      </c>
      <c r="AO27" s="1">
        <f>AM27*Q27</f>
        <v/>
      </c>
      <c r="AQ27" s="8">
        <f>J27</f>
        <v/>
      </c>
      <c r="AR27" s="8" t="n">
        <v>0.243968185</v>
      </c>
      <c r="AS27" s="8" t="n">
        <v>0.249427613</v>
      </c>
      <c r="AT27" s="9" t="n">
        <v>0.246356685</v>
      </c>
      <c r="AU27" s="8" t="n">
        <v>0.23037491</v>
      </c>
      <c r="AW27" s="9">
        <f>AQ27</f>
        <v/>
      </c>
      <c r="AY27" s="9">
        <f>AR27*F27</f>
        <v/>
      </c>
      <c r="AZ27" s="9">
        <f>AS27*H27</f>
        <v/>
      </c>
      <c r="BA27" s="9">
        <f>AT27*G27</f>
        <v/>
      </c>
      <c r="BB27" s="9">
        <f>L27</f>
        <v/>
      </c>
      <c r="BC27" s="9">
        <f>K27</f>
        <v/>
      </c>
      <c r="BE27" s="1">
        <f>AW27-SUM(AY27:BC27)</f>
        <v/>
      </c>
    </row>
    <row r="28">
      <c r="B28" s="12" t="inlineStr">
        <is>
          <t>SE_Gasoline_Gasification_Non_CCS_Agri</t>
        </is>
      </c>
      <c r="C28" s="11" t="inlineStr">
        <is>
          <t>Biomass_Agri</t>
        </is>
      </c>
      <c r="D28" s="11" t="n">
        <v>0</v>
      </c>
      <c r="E28" s="11" t="n">
        <v>0</v>
      </c>
      <c r="F28" s="11" t="n">
        <v>1.9138</v>
      </c>
      <c r="G28" s="11" t="n">
        <v>0</v>
      </c>
      <c r="H28" s="11" t="n">
        <v>0</v>
      </c>
      <c r="I28" s="21">
        <f>F28+G28+H28</f>
        <v/>
      </c>
      <c r="J28" s="11" t="n">
        <v>1.689</v>
      </c>
      <c r="K28" s="11" t="n">
        <v>0</v>
      </c>
      <c r="L28" s="11" t="n">
        <v>1.222092845351748</v>
      </c>
      <c r="M28" s="11" t="n">
        <v>356053.6</v>
      </c>
      <c r="N28" s="11" t="n">
        <v>283503.36</v>
      </c>
      <c r="O28" s="11" t="n">
        <v>22.0416</v>
      </c>
      <c r="Q28" s="14" t="n">
        <v>109.479795</v>
      </c>
      <c r="R28" s="14" t="n">
        <v>-21.506692</v>
      </c>
      <c r="S28" s="14" t="n">
        <v>170</v>
      </c>
      <c r="T28" s="14" t="n">
        <v>137.934648</v>
      </c>
      <c r="U28" s="14" t="n">
        <v>157.881351</v>
      </c>
      <c r="V28" s="14" t="n">
        <v>111.364845</v>
      </c>
      <c r="W28" s="14" t="n">
        <v>20.230252</v>
      </c>
      <c r="Y28">
        <f>B28</f>
        <v/>
      </c>
      <c r="Z28">
        <f>C28</f>
        <v/>
      </c>
      <c r="AA28" s="10">
        <f>SUM(AD28:AI28)+AK28+AL28</f>
        <v/>
      </c>
      <c r="AB28" s="10">
        <f>SUM(AD28:AI28)+AN28+AO28</f>
        <v/>
      </c>
      <c r="AC28" s="5">
        <f>AA28-AB28</f>
        <v/>
      </c>
      <c r="AD28" s="1">
        <f>D28/I28*W28*-1</f>
        <v/>
      </c>
      <c r="AE28" s="1">
        <f>E28/I28*W28</f>
        <v/>
      </c>
      <c r="AF28" s="1">
        <f t="array" ref="AF28">_xlfn.IFS(C28="Biomass_Corn", 1/I28*S28, C28="Biomass_Agri", 1/I28*V28, C28="Biomass_Wood", 1/I28*U28, C28="Biomass_Herb", 1/I28*T28)</f>
        <v/>
      </c>
      <c r="AG28" s="1">
        <f>M28/I28/(0.9*8760)</f>
        <v/>
      </c>
      <c r="AH28" s="1">
        <f>N28/I28/(0.9*8760)</f>
        <v/>
      </c>
      <c r="AI28" s="1">
        <f>O28/I28</f>
        <v/>
      </c>
      <c r="AJ28" s="1">
        <f>(AY28+AZ28+BA28+BB28+BC28-AW28)/I28</f>
        <v/>
      </c>
      <c r="AK28" s="1">
        <f>(Q28+R28)*-1*K28/I28</f>
        <v/>
      </c>
      <c r="AL28">
        <f>AJ28*Q28</f>
        <v/>
      </c>
      <c r="AM28" s="1">
        <f>(SUM(AY28:BB28)-AW28)/I28</f>
        <v/>
      </c>
      <c r="AN28" s="1">
        <f>K28/I28*-1*R28</f>
        <v/>
      </c>
      <c r="AO28">
        <f>AM28*Q28</f>
        <v/>
      </c>
      <c r="AQ28" s="8">
        <f>J28</f>
        <v/>
      </c>
      <c r="AR28" s="8" t="n">
        <v>0.243968185</v>
      </c>
      <c r="AS28" s="8" t="n">
        <v>0.249427613</v>
      </c>
      <c r="AT28" s="9" t="n">
        <v>0.246356685</v>
      </c>
      <c r="AU28" s="8" t="n">
        <v>0.23037491</v>
      </c>
      <c r="AW28" s="9">
        <f>AQ28</f>
        <v/>
      </c>
      <c r="AY28" s="9">
        <f>AR28*F28</f>
        <v/>
      </c>
      <c r="AZ28" s="9">
        <f>AS28*H28</f>
        <v/>
      </c>
      <c r="BA28" s="9">
        <f>AT28*G28</f>
        <v/>
      </c>
      <c r="BB28" s="9">
        <f>L28</f>
        <v/>
      </c>
      <c r="BC28" s="9">
        <f>K28</f>
        <v/>
      </c>
      <c r="BE28" s="1">
        <f>AW28-SUM(AY28:BC28)</f>
        <v/>
      </c>
    </row>
    <row r="29">
      <c r="B29" s="12" t="inlineStr">
        <is>
          <t>MIDAT_Gasoline_Gasification_Non_CCS_Agri</t>
        </is>
      </c>
      <c r="C29" s="11" t="inlineStr">
        <is>
          <t>Biomass_Agri</t>
        </is>
      </c>
      <c r="D29" s="11" t="n">
        <v>0</v>
      </c>
      <c r="E29" s="11" t="n">
        <v>0</v>
      </c>
      <c r="F29" s="11" t="n">
        <v>1.9194</v>
      </c>
      <c r="G29" s="11" t="n">
        <v>0</v>
      </c>
      <c r="H29" s="11" t="n">
        <v>0</v>
      </c>
      <c r="I29" s="21">
        <f>F29+G29+H29</f>
        <v/>
      </c>
      <c r="J29" s="11" t="n">
        <v>1.708</v>
      </c>
      <c r="K29" s="11" t="n">
        <v>0</v>
      </c>
      <c r="L29" s="11" t="n">
        <v>1.239737920352768</v>
      </c>
      <c r="M29" s="11" t="n">
        <v>356053.6</v>
      </c>
      <c r="N29" s="11" t="n">
        <v>283503.36</v>
      </c>
      <c r="O29" s="11" t="n">
        <v>22.0416</v>
      </c>
      <c r="Q29" s="14" t="n">
        <v>109.479795</v>
      </c>
      <c r="R29" s="14" t="n">
        <v>-31.70346</v>
      </c>
      <c r="S29" s="14" t="n">
        <v>170</v>
      </c>
      <c r="T29" s="14" t="n">
        <v>110.461518</v>
      </c>
      <c r="U29" s="14" t="n">
        <v>127.408748</v>
      </c>
      <c r="V29" s="14" t="n">
        <v>98.83247799999999</v>
      </c>
      <c r="W29" s="14" t="n">
        <v>25.324637</v>
      </c>
      <c r="Y29">
        <f>B29</f>
        <v/>
      </c>
      <c r="Z29">
        <f>C29</f>
        <v/>
      </c>
      <c r="AA29" s="10">
        <f>SUM(AD29:AI29)+AK29+AL29</f>
        <v/>
      </c>
      <c r="AB29" s="10">
        <f>SUM(AD29:AI29)+AN29+AO29</f>
        <v/>
      </c>
      <c r="AC29" s="5">
        <f>AA29-AB29</f>
        <v/>
      </c>
      <c r="AD29" s="1">
        <f>D29/I29*W29*-1</f>
        <v/>
      </c>
      <c r="AE29" s="1">
        <f>E29/I29*W29</f>
        <v/>
      </c>
      <c r="AF29" s="1">
        <f t="array" ref="AF29">_xlfn.IFS(C29="Biomass_Corn", 1/I29*S29, C29="Biomass_Agri", 1/I29*V29, C29="Biomass_Wood", 1/I29*U29, C29="Biomass_Herb", 1/I29*T29)</f>
        <v/>
      </c>
      <c r="AG29" s="1">
        <f>M29/I29/(0.9*8760)</f>
        <v/>
      </c>
      <c r="AH29" s="1">
        <f>N29/I29/(0.9*8760)</f>
        <v/>
      </c>
      <c r="AI29" s="1">
        <f>O29/I29</f>
        <v/>
      </c>
      <c r="AJ29" s="1">
        <f>(AY29+AZ29+BA29+BB29+BC29-AW29)/I29</f>
        <v/>
      </c>
      <c r="AK29" s="1">
        <f>(Q29+R29)*-1*K29/I29</f>
        <v/>
      </c>
      <c r="AL29">
        <f>AJ29*Q29</f>
        <v/>
      </c>
      <c r="AM29" s="1">
        <f>(SUM(AY29:BB29)-AW29)/I29</f>
        <v/>
      </c>
      <c r="AN29" s="1">
        <f>K29/I29*-1*R29</f>
        <v/>
      </c>
      <c r="AO29">
        <f>AM29*Q29</f>
        <v/>
      </c>
      <c r="AQ29" s="8">
        <f>J29</f>
        <v/>
      </c>
      <c r="AR29" s="8" t="n">
        <v>0.243968185</v>
      </c>
      <c r="AS29" s="8" t="n">
        <v>0.249427613</v>
      </c>
      <c r="AT29" s="9" t="n">
        <v>0.246356685</v>
      </c>
      <c r="AU29" s="8" t="n">
        <v>0.23037491</v>
      </c>
      <c r="AW29" s="9">
        <f>AQ29</f>
        <v/>
      </c>
      <c r="AY29" s="9">
        <f>AR29*F29</f>
        <v/>
      </c>
      <c r="AZ29" s="9">
        <f>AS29*H29</f>
        <v/>
      </c>
      <c r="BA29" s="9">
        <f>AT29*G29</f>
        <v/>
      </c>
      <c r="BB29" s="9">
        <f>L29</f>
        <v/>
      </c>
      <c r="BC29" s="9">
        <f>K29</f>
        <v/>
      </c>
      <c r="BE29" s="1">
        <f>AW29-SUM(AY29:BC29)</f>
        <v/>
      </c>
    </row>
    <row r="30">
      <c r="B30" s="12" t="inlineStr">
        <is>
          <t>NE_Gasoline_Gasification_Non_CCS_Agri</t>
        </is>
      </c>
      <c r="C30" s="11" t="inlineStr">
        <is>
          <t>Biomass_Agri</t>
        </is>
      </c>
      <c r="D30" s="11" t="n">
        <v>0</v>
      </c>
      <c r="E30" s="11" t="n">
        <v>0</v>
      </c>
      <c r="F30" s="11" t="n">
        <v>1.9416</v>
      </c>
      <c r="G30" s="11" t="n">
        <v>0</v>
      </c>
      <c r="H30" s="11" t="n">
        <v>0</v>
      </c>
      <c r="I30" s="21">
        <f>F30+G30+H30</f>
        <v/>
      </c>
      <c r="J30" s="11" t="n">
        <v>1.715</v>
      </c>
      <c r="K30" s="11" t="n">
        <v>0</v>
      </c>
      <c r="L30" s="11" t="n">
        <v>1.241318220356851</v>
      </c>
      <c r="M30" s="11" t="n">
        <v>356053.6</v>
      </c>
      <c r="N30" s="11" t="n">
        <v>283503.36</v>
      </c>
      <c r="O30" s="11" t="n">
        <v>22.0416</v>
      </c>
      <c r="Q30" s="14" t="n">
        <v>109.479795</v>
      </c>
      <c r="R30" s="14" t="n">
        <v>-54.115443</v>
      </c>
      <c r="S30" s="14" t="n">
        <v>170</v>
      </c>
      <c r="T30" s="14" t="n">
        <v>100.773744</v>
      </c>
      <c r="U30" s="14" t="n">
        <v>108.668072</v>
      </c>
      <c r="V30" s="14" t="n">
        <v>89.424565</v>
      </c>
      <c r="W30" s="14" t="n">
        <v>39.359472</v>
      </c>
      <c r="Y30">
        <f>B30</f>
        <v/>
      </c>
      <c r="Z30">
        <f>C30</f>
        <v/>
      </c>
      <c r="AA30" s="10">
        <f>SUM(AD30:AI30)+AK30+AL30</f>
        <v/>
      </c>
      <c r="AB30" s="10">
        <f>SUM(AD30:AI30)+AN30+AO30</f>
        <v/>
      </c>
      <c r="AC30" s="5">
        <f>AA30-AB30</f>
        <v/>
      </c>
      <c r="AD30" s="1">
        <f>D30/I30*W30*-1</f>
        <v/>
      </c>
      <c r="AE30" s="1">
        <f>E30/I30*W30</f>
        <v/>
      </c>
      <c r="AF30" s="1">
        <f t="array" ref="AF30">_xlfn.IFS(C30="Biomass_Corn", 1/I30*S30, C30="Biomass_Agri", 1/I30*V30, C30="Biomass_Wood", 1/I30*U30, C30="Biomass_Herb", 1/I30*T30)</f>
        <v/>
      </c>
      <c r="AG30" s="1">
        <f>M30/I30/(0.9*8760)</f>
        <v/>
      </c>
      <c r="AH30" s="1">
        <f>N30/I30/(0.9*8760)</f>
        <v/>
      </c>
      <c r="AI30" s="1">
        <f>O30/I30</f>
        <v/>
      </c>
      <c r="AJ30" s="1">
        <f>(AY30+AZ30+BA30+BB30+BC30-AW30)/I30</f>
        <v/>
      </c>
      <c r="AK30" s="1">
        <f>(Q30+R30)*-1*K30/I30</f>
        <v/>
      </c>
      <c r="AL30">
        <f>AJ30*Q30</f>
        <v/>
      </c>
      <c r="AM30" s="1">
        <f>(SUM(AY30:BB30)-AW30)/I30</f>
        <v/>
      </c>
      <c r="AN30" s="1">
        <f>K30/I30*-1*R30</f>
        <v/>
      </c>
      <c r="AO30">
        <f>AM30*Q30</f>
        <v/>
      </c>
      <c r="AQ30" s="8">
        <f>J30</f>
        <v/>
      </c>
      <c r="AR30" s="8" t="n">
        <v>0.243968185</v>
      </c>
      <c r="AS30" s="8" t="n">
        <v>0.249427613</v>
      </c>
      <c r="AT30" s="9" t="n">
        <v>0.246356685</v>
      </c>
      <c r="AU30" s="8" t="n">
        <v>0.23037491</v>
      </c>
      <c r="AW30" s="9">
        <f>AQ30</f>
        <v/>
      </c>
      <c r="AY30" s="9">
        <f>AR30*F30</f>
        <v/>
      </c>
      <c r="AZ30" s="9">
        <f>AS30*H30</f>
        <v/>
      </c>
      <c r="BA30" s="9">
        <f>AT30*G30</f>
        <v/>
      </c>
      <c r="BB30" s="9">
        <f>L30</f>
        <v/>
      </c>
      <c r="BC30" s="9">
        <f>K30</f>
        <v/>
      </c>
      <c r="BE30" s="1">
        <f>AW30-SUM(AY30:BC30)</f>
        <v/>
      </c>
    </row>
    <row r="31">
      <c r="B31" s="12" t="inlineStr">
        <is>
          <t>CA_Gasoline_Gasification_CCS_31_Herb</t>
        </is>
      </c>
      <c r="C31" s="11" t="inlineStr">
        <is>
          <t>Biomass_Herb</t>
        </is>
      </c>
      <c r="D31" s="11" t="n">
        <v>0</v>
      </c>
      <c r="E31" s="11" t="n">
        <v>0.1041</v>
      </c>
      <c r="F31" s="11" t="n">
        <v>2.0204</v>
      </c>
      <c r="G31" s="11" t="n">
        <v>0</v>
      </c>
      <c r="H31" s="11" t="n">
        <v>0</v>
      </c>
      <c r="I31" s="21">
        <f>F31+G31+H31</f>
        <v/>
      </c>
      <c r="J31" s="11" t="n">
        <v>1.721</v>
      </c>
      <c r="K31" s="11" t="n">
        <v>0.3810726919507287</v>
      </c>
      <c r="L31" s="11" t="n">
        <v>0.8470055934206172</v>
      </c>
      <c r="M31" s="11" t="n">
        <v>434628.32</v>
      </c>
      <c r="N31" s="11" t="n">
        <v>354088</v>
      </c>
      <c r="O31" s="11" t="n">
        <v>23.5872</v>
      </c>
      <c r="Q31" s="14" t="n">
        <v>109.479795</v>
      </c>
      <c r="R31" s="14" t="n">
        <v>-41.717135</v>
      </c>
      <c r="S31" s="14" t="n">
        <v>170</v>
      </c>
      <c r="T31" s="14" t="n">
        <v>104.167382</v>
      </c>
      <c r="U31" s="14" t="n">
        <v>115.526389</v>
      </c>
      <c r="V31" s="14" t="n">
        <v>92.044978</v>
      </c>
      <c r="W31" s="14" t="n">
        <v>30.708173</v>
      </c>
      <c r="Y31">
        <f>B31</f>
        <v/>
      </c>
      <c r="Z31">
        <f>C31</f>
        <v/>
      </c>
      <c r="AA31" s="10">
        <f>SUM(AD31:AI31)+AK31+AL31</f>
        <v/>
      </c>
      <c r="AB31" s="10">
        <f>SUM(AD31:AI31)+AN31+AO31</f>
        <v/>
      </c>
      <c r="AC31" s="5">
        <f>AA31-AB31</f>
        <v/>
      </c>
      <c r="AD31" s="1">
        <f>D31/I31*W31*-1</f>
        <v/>
      </c>
      <c r="AE31" s="1">
        <f>E31/I31*W31</f>
        <v/>
      </c>
      <c r="AF31" s="1">
        <f t="array" ref="AF31">_xlfn.IFS(C31="Biomass_Corn", 1/I31*S31, C31="Biomass_Agri", 1/I31*V31, C31="Biomass_Wood", 1/I31*U31, C31="Biomass_Herb", 1/I31*T31)</f>
        <v/>
      </c>
      <c r="AG31" s="1">
        <f>M31/I31/(0.9*8760)</f>
        <v/>
      </c>
      <c r="AH31" s="1">
        <f>N31/I31/(0.9*8760)</f>
        <v/>
      </c>
      <c r="AI31" s="1">
        <f>O31/I31</f>
        <v/>
      </c>
      <c r="AJ31" s="1">
        <f>(AY31+AZ31+BA31+BB31+BC31-AW31)/I31</f>
        <v/>
      </c>
      <c r="AK31" s="1">
        <f>(Q31+R31)*-1*K31/I31</f>
        <v/>
      </c>
      <c r="AL31">
        <f>AJ31*Q31</f>
        <v/>
      </c>
      <c r="AM31" s="1">
        <f>(SUM(AY31:BB31)-AW31)/I31</f>
        <v/>
      </c>
      <c r="AN31" s="1">
        <f>K31/I31*-1*R31</f>
        <v/>
      </c>
      <c r="AO31">
        <f>AM31*Q31</f>
        <v/>
      </c>
      <c r="AQ31" s="8">
        <f>J31</f>
        <v/>
      </c>
      <c r="AR31" s="8" t="n">
        <v>0.243968185</v>
      </c>
      <c r="AS31" s="8" t="n">
        <v>0.249427613</v>
      </c>
      <c r="AT31" s="9" t="n">
        <v>0.246356685</v>
      </c>
      <c r="AU31" s="8" t="n">
        <v>0.23037491</v>
      </c>
      <c r="AW31" s="9">
        <f>AQ31</f>
        <v/>
      </c>
      <c r="AY31" s="9">
        <f>AR31*F31</f>
        <v/>
      </c>
      <c r="AZ31" s="9">
        <f>AS31*H31</f>
        <v/>
      </c>
      <c r="BA31" s="9">
        <f>AT31*G31</f>
        <v/>
      </c>
      <c r="BB31" s="9">
        <f>L31</f>
        <v/>
      </c>
      <c r="BC31" s="9">
        <f>K31</f>
        <v/>
      </c>
      <c r="BE31" s="1">
        <f>AW31-SUM(AY31:BC31)</f>
        <v/>
      </c>
    </row>
    <row r="32">
      <c r="B32" s="12" t="inlineStr">
        <is>
          <t>NW_Gasoline_Gasification_CCS_31_Herb</t>
        </is>
      </c>
      <c r="C32" s="11" t="inlineStr">
        <is>
          <t>Biomass_Herb</t>
        </is>
      </c>
      <c r="D32" s="11" t="n">
        <v>0</v>
      </c>
      <c r="E32" s="11" t="n">
        <v>0.1041</v>
      </c>
      <c r="F32" s="11" t="n">
        <v>2.0249</v>
      </c>
      <c r="G32" s="11" t="n">
        <v>0</v>
      </c>
      <c r="H32" s="11" t="n">
        <v>0</v>
      </c>
      <c r="I32" s="21">
        <f>F32+G32+H32</f>
        <v/>
      </c>
      <c r="J32" s="11" t="n">
        <v>1.726</v>
      </c>
      <c r="K32" s="11" t="n">
        <v>0.3822878453689819</v>
      </c>
      <c r="L32" s="11" t="n">
        <v>0.8497065000031803</v>
      </c>
      <c r="M32" s="11" t="n">
        <v>434628.32</v>
      </c>
      <c r="N32" s="11" t="n">
        <v>354088</v>
      </c>
      <c r="O32" s="11" t="n">
        <v>23.5872</v>
      </c>
      <c r="Q32" s="14" t="n">
        <v>109.479795</v>
      </c>
      <c r="R32" s="14" t="n">
        <v>-47.70091</v>
      </c>
      <c r="S32" s="14" t="n">
        <v>170</v>
      </c>
      <c r="T32" s="14" t="n">
        <v>99.63284299999999</v>
      </c>
      <c r="U32" s="14" t="n">
        <v>113.227017</v>
      </c>
      <c r="V32" s="14" t="n">
        <v>88.855315</v>
      </c>
      <c r="W32" s="14" t="n">
        <v>38.218446</v>
      </c>
      <c r="Y32">
        <f>B32</f>
        <v/>
      </c>
      <c r="Z32">
        <f>C32</f>
        <v/>
      </c>
      <c r="AA32" s="10">
        <f>SUM(AD32:AI32)+AK32+AL32</f>
        <v/>
      </c>
      <c r="AB32" s="10">
        <f>SUM(AD32:AI32)+AN32+AO32</f>
        <v/>
      </c>
      <c r="AC32" s="5">
        <f>AA32-AB32</f>
        <v/>
      </c>
      <c r="AD32" s="1">
        <f>D32/I32*W32*-1</f>
        <v/>
      </c>
      <c r="AE32" s="1">
        <f>E32/I32*W32</f>
        <v/>
      </c>
      <c r="AF32" s="1">
        <f t="array" ref="AF32">_xlfn.IFS(C32="Biomass_Corn", 1/I32*S32, C32="Biomass_Agri", 1/I32*V32, C32="Biomass_Wood", 1/I32*U32, C32="Biomass_Herb", 1/I32*T32)</f>
        <v/>
      </c>
      <c r="AG32" s="1">
        <f>M32/I32/(0.9*8760)</f>
        <v/>
      </c>
      <c r="AH32" s="1">
        <f>N32/I32/(0.9*8760)</f>
        <v/>
      </c>
      <c r="AI32" s="1">
        <f>O32/I32</f>
        <v/>
      </c>
      <c r="AJ32" s="1">
        <f>(AY32+AZ32+BA32+BB32+BC32-AW32)/I32</f>
        <v/>
      </c>
      <c r="AK32" s="1">
        <f>(Q32+R32)*-1*K32/I32</f>
        <v/>
      </c>
      <c r="AL32">
        <f>AJ32*Q32</f>
        <v/>
      </c>
      <c r="AM32" s="1">
        <f>(SUM(AY32:BB32)-AW32)/I32</f>
        <v/>
      </c>
      <c r="AN32" s="1">
        <f>K32/I32*-1*R32</f>
        <v/>
      </c>
      <c r="AO32">
        <f>AM32*Q32</f>
        <v/>
      </c>
      <c r="AQ32" s="8">
        <f>J32</f>
        <v/>
      </c>
      <c r="AR32" s="8" t="n">
        <v>0.243968185</v>
      </c>
      <c r="AS32" s="8" t="n">
        <v>0.249427613</v>
      </c>
      <c r="AT32" s="9" t="n">
        <v>0.246356685</v>
      </c>
      <c r="AU32" s="8" t="n">
        <v>0.23037491</v>
      </c>
      <c r="AW32" s="9">
        <f>AQ32</f>
        <v/>
      </c>
      <c r="AY32" s="9">
        <f>AR32*F32</f>
        <v/>
      </c>
      <c r="AZ32" s="9">
        <f>AS32*H32</f>
        <v/>
      </c>
      <c r="BA32" s="9">
        <f>AT32*G32</f>
        <v/>
      </c>
      <c r="BB32" s="9">
        <f>L32</f>
        <v/>
      </c>
      <c r="BC32" s="9">
        <f>K32</f>
        <v/>
      </c>
      <c r="BE32" s="1">
        <f>AW32-SUM(AY32:BC32)</f>
        <v/>
      </c>
    </row>
    <row r="33">
      <c r="B33" s="12" t="inlineStr">
        <is>
          <t>SW_Gasoline_Gasification_CCS_31_Herb</t>
        </is>
      </c>
      <c r="C33" s="11" t="inlineStr">
        <is>
          <t>Biomass_Herb</t>
        </is>
      </c>
      <c r="D33" s="11" t="n">
        <v>0</v>
      </c>
      <c r="E33" s="11" t="n">
        <v>0.1041</v>
      </c>
      <c r="F33" s="11" t="n">
        <v>2.0115</v>
      </c>
      <c r="G33" s="11" t="n">
        <v>0</v>
      </c>
      <c r="H33" s="11" t="n">
        <v>0</v>
      </c>
      <c r="I33" s="21">
        <f>F33+G33+H33</f>
        <v/>
      </c>
      <c r="J33" s="11" t="n">
        <v>1.71</v>
      </c>
      <c r="K33" s="11" t="n">
        <v>0.3783320851142218</v>
      </c>
      <c r="L33" s="11" t="n">
        <v>0.8409140802554907</v>
      </c>
      <c r="M33" s="11" t="n">
        <v>434628.32</v>
      </c>
      <c r="N33" s="11" t="n">
        <v>354088</v>
      </c>
      <c r="O33" s="11" t="n">
        <v>23.5872</v>
      </c>
      <c r="Q33" s="14" t="n">
        <v>109.479795</v>
      </c>
      <c r="R33" s="14" t="n">
        <v>-21.506692</v>
      </c>
      <c r="S33" s="14" t="n">
        <v>170</v>
      </c>
      <c r="T33" s="14" t="n">
        <v>137.934648</v>
      </c>
      <c r="U33" s="14" t="n">
        <v>157.881351</v>
      </c>
      <c r="V33" s="14" t="n">
        <v>111.364845</v>
      </c>
      <c r="W33" s="14" t="n">
        <v>20.230252</v>
      </c>
      <c r="Y33">
        <f>B33</f>
        <v/>
      </c>
      <c r="Z33">
        <f>C33</f>
        <v/>
      </c>
      <c r="AA33" s="10">
        <f>SUM(AD33:AI33)+AK33+AL33</f>
        <v/>
      </c>
      <c r="AB33" s="10">
        <f>SUM(AD33:AI33)+AN33+AO33</f>
        <v/>
      </c>
      <c r="AC33" s="5">
        <f>AA33-AB33</f>
        <v/>
      </c>
      <c r="AD33" s="1">
        <f>D33/I33*W33*-1</f>
        <v/>
      </c>
      <c r="AE33" s="1">
        <f>E33/I33*W33</f>
        <v/>
      </c>
      <c r="AF33" s="1">
        <f t="array" ref="AF33">_xlfn.IFS(C33="Biomass_Corn", 1/I33*S33, C33="Biomass_Agri", 1/I33*V33, C33="Biomass_Wood", 1/I33*U33, C33="Biomass_Herb", 1/I33*T33)</f>
        <v/>
      </c>
      <c r="AG33" s="1">
        <f>M33/I33/(0.9*8760)</f>
        <v/>
      </c>
      <c r="AH33" s="1">
        <f>N33/I33/(0.9*8760)</f>
        <v/>
      </c>
      <c r="AI33" s="1">
        <f>O33/I33</f>
        <v/>
      </c>
      <c r="AJ33" s="1">
        <f>(AY33+AZ33+BA33+BB33+BC33-AW33)/I33</f>
        <v/>
      </c>
      <c r="AK33" s="1">
        <f>(Q33+R33)*-1*K33/I33</f>
        <v/>
      </c>
      <c r="AL33">
        <f>AJ33*Q33</f>
        <v/>
      </c>
      <c r="AM33" s="1">
        <f>(SUM(AY33:BB33)-AW33)/I33</f>
        <v/>
      </c>
      <c r="AN33" s="1">
        <f>K33/I33*-1*R33</f>
        <v/>
      </c>
      <c r="AO33">
        <f>AM33*Q33</f>
        <v/>
      </c>
      <c r="AQ33" s="8">
        <f>J33</f>
        <v/>
      </c>
      <c r="AR33" s="8" t="n">
        <v>0.243968185</v>
      </c>
      <c r="AS33" s="8" t="n">
        <v>0.249427613</v>
      </c>
      <c r="AT33" s="9" t="n">
        <v>0.246356685</v>
      </c>
      <c r="AU33" s="8" t="n">
        <v>0.23037491</v>
      </c>
      <c r="AW33" s="9">
        <f>AQ33</f>
        <v/>
      </c>
      <c r="AY33" s="9">
        <f>AR33*F33</f>
        <v/>
      </c>
      <c r="AZ33" s="9">
        <f>AS33*H33</f>
        <v/>
      </c>
      <c r="BA33" s="9">
        <f>AT33*G33</f>
        <v/>
      </c>
      <c r="BB33" s="9">
        <f>L33</f>
        <v/>
      </c>
      <c r="BC33" s="9">
        <f>K33</f>
        <v/>
      </c>
      <c r="BE33" s="1">
        <f>AW33-SUM(AY33:BC33)</f>
        <v/>
      </c>
    </row>
    <row r="34">
      <c r="B34" s="12" t="inlineStr">
        <is>
          <t>TX_Gasoline_Gasification_CCS_31_Herb</t>
        </is>
      </c>
      <c r="C34" s="11" t="inlineStr">
        <is>
          <t>Biomass_Herb</t>
        </is>
      </c>
      <c r="D34" s="11" t="n">
        <v>0</v>
      </c>
      <c r="E34" s="11" t="n">
        <v>0.1041</v>
      </c>
      <c r="F34" s="11" t="n">
        <v>2.016</v>
      </c>
      <c r="G34" s="11" t="n">
        <v>0</v>
      </c>
      <c r="H34" s="11" t="n">
        <v>0</v>
      </c>
      <c r="I34" s="21">
        <f>F34+G34+H34</f>
        <v/>
      </c>
      <c r="J34" s="11" t="n">
        <v>1.714</v>
      </c>
      <c r="K34" s="11" t="n">
        <v>0.3792369385324752</v>
      </c>
      <c r="L34" s="11" t="n">
        <v>0.842925286838054</v>
      </c>
      <c r="M34" s="11" t="n">
        <v>434628.32</v>
      </c>
      <c r="N34" s="11" t="n">
        <v>354088</v>
      </c>
      <c r="O34" s="11" t="n">
        <v>23.5872</v>
      </c>
      <c r="Q34" s="14" t="n">
        <v>109.479795</v>
      </c>
      <c r="R34" s="14" t="n">
        <v>-31.70346</v>
      </c>
      <c r="S34" s="14" t="n">
        <v>170</v>
      </c>
      <c r="T34" s="14" t="n">
        <v>110.461518</v>
      </c>
      <c r="U34" s="14" t="n">
        <v>127.408748</v>
      </c>
      <c r="V34" s="14" t="n">
        <v>98.83247799999999</v>
      </c>
      <c r="W34" s="14" t="n">
        <v>25.324637</v>
      </c>
      <c r="Y34">
        <f>B34</f>
        <v/>
      </c>
      <c r="Z34">
        <f>C34</f>
        <v/>
      </c>
      <c r="AA34" s="10">
        <f>SUM(AD34:AI34)+AK34+AL34</f>
        <v/>
      </c>
      <c r="AB34" s="10">
        <f>SUM(AD34:AI34)+AN34+AO34</f>
        <v/>
      </c>
      <c r="AC34" s="5">
        <f>AA34-AB34</f>
        <v/>
      </c>
      <c r="AD34" s="1">
        <f>D34/I34*W34*-1</f>
        <v/>
      </c>
      <c r="AE34" s="1">
        <f>E34/I34*W34</f>
        <v/>
      </c>
      <c r="AF34" s="1">
        <f t="array" ref="AF34">_xlfn.IFS(C34="Biomass_Corn", 1/I34*S34, C34="Biomass_Agri", 1/I34*V34, C34="Biomass_Wood", 1/I34*U34, C34="Biomass_Herb", 1/I34*T34)</f>
        <v/>
      </c>
      <c r="AG34" s="1">
        <f>M34/I34/(0.9*8760)</f>
        <v/>
      </c>
      <c r="AH34" s="1">
        <f>N34/I34/(0.9*8760)</f>
        <v/>
      </c>
      <c r="AI34" s="1">
        <f>O34/I34</f>
        <v/>
      </c>
      <c r="AJ34" s="1">
        <f>(AY34+AZ34+BA34+BB34+BC34-AW34)/I34</f>
        <v/>
      </c>
      <c r="AK34" s="1">
        <f>(Q34+R34)*-1*K34/I34</f>
        <v/>
      </c>
      <c r="AL34">
        <f>AJ34*Q34</f>
        <v/>
      </c>
      <c r="AM34" s="1">
        <f>(SUM(AY34:BB34)-AW34)/I34</f>
        <v/>
      </c>
      <c r="AN34" s="1">
        <f>K34/I34*-1*R34</f>
        <v/>
      </c>
      <c r="AO34">
        <f>AM34*Q34</f>
        <v/>
      </c>
      <c r="AQ34" s="8">
        <f>J34</f>
        <v/>
      </c>
      <c r="AR34" s="8" t="n">
        <v>0.243968185</v>
      </c>
      <c r="AS34" s="8" t="n">
        <v>0.249427613</v>
      </c>
      <c r="AT34" s="9" t="n">
        <v>0.246356685</v>
      </c>
      <c r="AU34" s="8" t="n">
        <v>0.23037491</v>
      </c>
      <c r="AW34" s="9">
        <f>AQ34</f>
        <v/>
      </c>
      <c r="AY34" s="9">
        <f>AR34*F34</f>
        <v/>
      </c>
      <c r="AZ34" s="9">
        <f>AS34*H34</f>
        <v/>
      </c>
      <c r="BA34" s="9">
        <f>AT34*G34</f>
        <v/>
      </c>
      <c r="BB34" s="9">
        <f>L34</f>
        <v/>
      </c>
      <c r="BC34" s="9">
        <f>K34</f>
        <v/>
      </c>
      <c r="BE34" s="1">
        <f>AW34-SUM(AY34:BC34)</f>
        <v/>
      </c>
    </row>
    <row r="35">
      <c r="B35" s="12" t="inlineStr">
        <is>
          <t>NCEN_Gasoline_Gasification_CCS_31_Herb</t>
        </is>
      </c>
      <c r="C35" s="11" t="inlineStr">
        <is>
          <t>Biomass_Herb</t>
        </is>
      </c>
      <c r="D35" s="11" t="n">
        <v>0</v>
      </c>
      <c r="E35" s="11" t="n">
        <v>0.1041</v>
      </c>
      <c r="F35" s="11" t="n">
        <v>2.0371</v>
      </c>
      <c r="G35" s="11" t="n">
        <v>0</v>
      </c>
      <c r="H35" s="11" t="n">
        <v>0</v>
      </c>
      <c r="I35" s="21">
        <f>F35+G35+H35</f>
        <v/>
      </c>
      <c r="J35" s="11" t="n">
        <v>1.74</v>
      </c>
      <c r="K35" s="11" t="n">
        <v>0.3857070922691788</v>
      </c>
      <c r="L35" s="11" t="n">
        <v>0.8573064181052291</v>
      </c>
      <c r="M35" s="11" t="n">
        <v>434628.32</v>
      </c>
      <c r="N35" s="11" t="n">
        <v>354088</v>
      </c>
      <c r="O35" s="11" t="n">
        <v>23.5872</v>
      </c>
      <c r="Q35" s="14" t="n">
        <v>109.479795</v>
      </c>
      <c r="R35" s="14" t="n">
        <v>-54.115443</v>
      </c>
      <c r="S35" s="14" t="n">
        <v>170</v>
      </c>
      <c r="T35" s="14" t="n">
        <v>100.773744</v>
      </c>
      <c r="U35" s="14" t="n">
        <v>108.668072</v>
      </c>
      <c r="V35" s="14" t="n">
        <v>89.424565</v>
      </c>
      <c r="W35" s="14" t="n">
        <v>39.359472</v>
      </c>
      <c r="Y35">
        <f>B35</f>
        <v/>
      </c>
      <c r="Z35">
        <f>C35</f>
        <v/>
      </c>
      <c r="AA35" s="10">
        <f>SUM(AD35:AI35)+AK35+AL35</f>
        <v/>
      </c>
      <c r="AB35" s="10">
        <f>SUM(AD35:AI35)+AN35+AO35</f>
        <v/>
      </c>
      <c r="AC35" s="5">
        <f>AA35-AB35</f>
        <v/>
      </c>
      <c r="AD35" s="1">
        <f>D35/I35*W35*-1</f>
        <v/>
      </c>
      <c r="AE35" s="1">
        <f>E35/I35*W35</f>
        <v/>
      </c>
      <c r="AF35" s="1">
        <f t="array" ref="AF35">_xlfn.IFS(C35="Biomass_Corn", 1/I35*S35, C35="Biomass_Agri", 1/I35*V35, C35="Biomass_Wood", 1/I35*U35, C35="Biomass_Herb", 1/I35*T35)</f>
        <v/>
      </c>
      <c r="AG35" s="1">
        <f>M35/I35/(0.9*8760)</f>
        <v/>
      </c>
      <c r="AH35" s="1">
        <f>N35/I35/(0.9*8760)</f>
        <v/>
      </c>
      <c r="AI35" s="1">
        <f>O35/I35</f>
        <v/>
      </c>
      <c r="AJ35" s="1">
        <f>(AY35+AZ35+BA35+BB35+BC35-AW35)/I35</f>
        <v/>
      </c>
      <c r="AK35" s="1">
        <f>(Q35+R35)*-1*K35/I35</f>
        <v/>
      </c>
      <c r="AL35">
        <f>AJ35*Q35</f>
        <v/>
      </c>
      <c r="AM35" s="1">
        <f>(SUM(AY35:BB35)-AW35)/I35</f>
        <v/>
      </c>
      <c r="AN35" s="1">
        <f>K35/I35*-1*R35</f>
        <v/>
      </c>
      <c r="AO35">
        <f>AM35*Q35</f>
        <v/>
      </c>
      <c r="AQ35" s="8">
        <f>J35</f>
        <v/>
      </c>
      <c r="AR35" s="8" t="n">
        <v>0.243968185</v>
      </c>
      <c r="AS35" s="8" t="n">
        <v>0.249427613</v>
      </c>
      <c r="AT35" s="9" t="n">
        <v>0.246356685</v>
      </c>
      <c r="AU35" s="8" t="n">
        <v>0.23037491</v>
      </c>
      <c r="AW35" s="9">
        <f>AQ35</f>
        <v/>
      </c>
      <c r="AY35" s="9">
        <f>AR35*F35</f>
        <v/>
      </c>
      <c r="AZ35" s="9">
        <f>AS35*H35</f>
        <v/>
      </c>
      <c r="BA35" s="9">
        <f>AT35*G35</f>
        <v/>
      </c>
      <c r="BB35" s="9">
        <f>L35</f>
        <v/>
      </c>
      <c r="BC35" s="9">
        <f>K35</f>
        <v/>
      </c>
      <c r="BE35" s="1">
        <f>AW35-SUM(AY35:BC35)</f>
        <v/>
      </c>
    </row>
    <row r="36">
      <c r="B36" s="12" t="inlineStr">
        <is>
          <t>CEN_Gasoline_Gasification_CCS_31_Herb</t>
        </is>
      </c>
      <c r="C36" s="11" t="inlineStr">
        <is>
          <t>Biomass_Herb</t>
        </is>
      </c>
      <c r="D36" s="11" t="n">
        <v>0</v>
      </c>
      <c r="E36" s="11" t="n">
        <v>0.1041</v>
      </c>
      <c r="F36" s="11" t="n">
        <v>2.0249</v>
      </c>
      <c r="G36" s="11" t="n">
        <v>0</v>
      </c>
      <c r="H36" s="11" t="n">
        <v>0</v>
      </c>
      <c r="I36" s="21">
        <f>F36+G36+H36</f>
        <v/>
      </c>
      <c r="J36" s="11" t="n">
        <v>1.723</v>
      </c>
      <c r="K36" s="11" t="n">
        <v>0.381356945368982</v>
      </c>
      <c r="L36" s="11" t="n">
        <v>0.8476374000031806</v>
      </c>
      <c r="M36" s="11" t="n">
        <v>434628.32</v>
      </c>
      <c r="N36" s="11" t="n">
        <v>354088</v>
      </c>
      <c r="O36" s="11" t="n">
        <v>23.5872</v>
      </c>
      <c r="Q36" s="14" t="n">
        <v>109.479795</v>
      </c>
      <c r="R36" s="14" t="n">
        <v>-41.717135</v>
      </c>
      <c r="S36" s="14" t="n">
        <v>170</v>
      </c>
      <c r="T36" s="14" t="n">
        <v>104.167382</v>
      </c>
      <c r="U36" s="14" t="n">
        <v>115.526389</v>
      </c>
      <c r="V36" s="14" t="n">
        <v>92.044978</v>
      </c>
      <c r="W36" s="14" t="n">
        <v>30.708173</v>
      </c>
      <c r="Y36">
        <f>B36</f>
        <v/>
      </c>
      <c r="Z36">
        <f>C36</f>
        <v/>
      </c>
      <c r="AA36" s="10">
        <f>SUM(AD36:AI36)+AK36+AL36</f>
        <v/>
      </c>
      <c r="AB36" s="10">
        <f>SUM(AD36:AI36)+AN36+AO36</f>
        <v/>
      </c>
      <c r="AC36" s="5">
        <f>AA36-AB36</f>
        <v/>
      </c>
      <c r="AD36" s="1">
        <f>D36/I36*W36*-1</f>
        <v/>
      </c>
      <c r="AE36" s="1">
        <f>E36/I36*W36</f>
        <v/>
      </c>
      <c r="AF36" s="1">
        <f t="array" ref="AF36">_xlfn.IFS(C36="Biomass_Corn", 1/I36*S36, C36="Biomass_Agri", 1/I36*V36, C36="Biomass_Wood", 1/I36*U36, C36="Biomass_Herb", 1/I36*T36)</f>
        <v/>
      </c>
      <c r="AG36" s="1">
        <f>M36/I36/(0.9*8760)</f>
        <v/>
      </c>
      <c r="AH36" s="1">
        <f>N36/I36/(0.9*8760)</f>
        <v/>
      </c>
      <c r="AI36" s="1">
        <f>O36/I36</f>
        <v/>
      </c>
      <c r="AJ36" s="1">
        <f>(AY36+AZ36+BA36+BB36+BC36-AW36)/I36</f>
        <v/>
      </c>
      <c r="AK36" s="1">
        <f>(Q36+R36)*-1*K36/I36</f>
        <v/>
      </c>
      <c r="AL36">
        <f>AJ36*Q36</f>
        <v/>
      </c>
      <c r="AM36" s="1">
        <f>(SUM(AY36:BB36)-AW36)/I36</f>
        <v/>
      </c>
      <c r="AN36" s="1">
        <f>K36/I36*-1*R36</f>
        <v/>
      </c>
      <c r="AO36">
        <f>AM36*Q36</f>
        <v/>
      </c>
      <c r="AQ36" s="8">
        <f>J36</f>
        <v/>
      </c>
      <c r="AR36" s="8" t="n">
        <v>0.243968185</v>
      </c>
      <c r="AS36" s="8" t="n">
        <v>0.249427613</v>
      </c>
      <c r="AT36" s="9" t="n">
        <v>0.246356685</v>
      </c>
      <c r="AU36" s="8" t="n">
        <v>0.23037491</v>
      </c>
      <c r="AW36" s="9">
        <f>AQ36</f>
        <v/>
      </c>
      <c r="AY36" s="9">
        <f>AR36*F36</f>
        <v/>
      </c>
      <c r="AZ36" s="9">
        <f>AS36*H36</f>
        <v/>
      </c>
      <c r="BA36" s="9">
        <f>AT36*G36</f>
        <v/>
      </c>
      <c r="BB36" s="9">
        <f>L36</f>
        <v/>
      </c>
      <c r="BC36" s="9">
        <f>K36</f>
        <v/>
      </c>
      <c r="BE36" s="1">
        <f>AW36-SUM(AY36:BC36)</f>
        <v/>
      </c>
    </row>
    <row r="37">
      <c r="B37" s="12" t="inlineStr">
        <is>
          <t>SE_Gasoline_Gasification_CCS_31_Herb</t>
        </is>
      </c>
      <c r="C37" s="11" t="inlineStr">
        <is>
          <t>Biomass_Herb</t>
        </is>
      </c>
      <c r="D37" s="11" t="n">
        <v>0</v>
      </c>
      <c r="E37" s="11" t="n">
        <v>0.1041</v>
      </c>
      <c r="F37" s="11" t="n">
        <v>2.0215</v>
      </c>
      <c r="G37" s="11" t="n">
        <v>0</v>
      </c>
      <c r="H37" s="11" t="n">
        <v>0</v>
      </c>
      <c r="I37" s="21">
        <f>F37+G37+H37</f>
        <v/>
      </c>
      <c r="J37" s="11" t="n">
        <v>1.717</v>
      </c>
      <c r="K37" s="11" t="n">
        <v>0.379747405305292</v>
      </c>
      <c r="L37" s="11" t="n">
        <v>0.8440598950662581</v>
      </c>
      <c r="M37" s="11" t="n">
        <v>434628.32</v>
      </c>
      <c r="N37" s="11" t="n">
        <v>354088</v>
      </c>
      <c r="O37" s="11" t="n">
        <v>23.5872</v>
      </c>
      <c r="Q37" s="14" t="n">
        <v>109.479795</v>
      </c>
      <c r="R37" s="14" t="n">
        <v>-47.70091</v>
      </c>
      <c r="S37" s="14" t="n">
        <v>170</v>
      </c>
      <c r="T37" s="14" t="n">
        <v>99.63284299999999</v>
      </c>
      <c r="U37" s="14" t="n">
        <v>113.227017</v>
      </c>
      <c r="V37" s="14" t="n">
        <v>88.855315</v>
      </c>
      <c r="W37" s="14" t="n">
        <v>38.218446</v>
      </c>
      <c r="Y37">
        <f>B37</f>
        <v/>
      </c>
      <c r="Z37">
        <f>C37</f>
        <v/>
      </c>
      <c r="AA37" s="10">
        <f>SUM(AD37:AI37)+AK37+AL37</f>
        <v/>
      </c>
      <c r="AB37" s="10">
        <f>SUM(AD37:AI37)+AN37+AO37</f>
        <v/>
      </c>
      <c r="AC37" s="5">
        <f>AA37-AB37</f>
        <v/>
      </c>
      <c r="AD37" s="1">
        <f>D37/I37*W37*-1</f>
        <v/>
      </c>
      <c r="AE37" s="1">
        <f>E37/I37*W37</f>
        <v/>
      </c>
      <c r="AF37" s="1">
        <f t="array" ref="AF37">_xlfn.IFS(C37="Biomass_Corn", 1/I37*S37, C37="Biomass_Agri", 1/I37*V37, C37="Biomass_Wood", 1/I37*U37, C37="Biomass_Herb", 1/I37*T37)</f>
        <v/>
      </c>
      <c r="AG37" s="1">
        <f>M37/I37/(0.9*8760)</f>
        <v/>
      </c>
      <c r="AH37" s="1">
        <f>N37/I37/(0.9*8760)</f>
        <v/>
      </c>
      <c r="AI37" s="1">
        <f>O37/I37</f>
        <v/>
      </c>
      <c r="AJ37" s="1">
        <f>(AY37+AZ37+BA37+BB37+BC37-AW37)/I37</f>
        <v/>
      </c>
      <c r="AK37" s="1">
        <f>(Q37+R37)*-1*K37/I37</f>
        <v/>
      </c>
      <c r="AL37">
        <f>AJ37*Q37</f>
        <v/>
      </c>
      <c r="AM37" s="1">
        <f>(SUM(AY37:BB37)-AW37)/I37</f>
        <v/>
      </c>
      <c r="AN37" s="1">
        <f>K37/I37*-1*R37</f>
        <v/>
      </c>
      <c r="AO37">
        <f>AM37*Q37</f>
        <v/>
      </c>
      <c r="AQ37" s="8">
        <f>J37</f>
        <v/>
      </c>
      <c r="AR37" s="8" t="n">
        <v>0.243968185</v>
      </c>
      <c r="AS37" s="8" t="n">
        <v>0.249427613</v>
      </c>
      <c r="AT37" s="9" t="n">
        <v>0.246356685</v>
      </c>
      <c r="AU37" s="8" t="n">
        <v>0.23037491</v>
      </c>
      <c r="AW37" s="9">
        <f>AQ37</f>
        <v/>
      </c>
      <c r="AY37" s="9">
        <f>AR37*F37</f>
        <v/>
      </c>
      <c r="AZ37" s="9">
        <f>AS37*H37</f>
        <v/>
      </c>
      <c r="BA37" s="9">
        <f>AT37*G37</f>
        <v/>
      </c>
      <c r="BB37" s="9">
        <f>L37</f>
        <v/>
      </c>
      <c r="BC37" s="9">
        <f>K37</f>
        <v/>
      </c>
      <c r="BE37" s="1">
        <f>AW37-SUM(AY37:BC37)</f>
        <v/>
      </c>
    </row>
    <row r="38">
      <c r="B38" s="12" t="inlineStr">
        <is>
          <t>MIDAT_Gasoline_Gasification_CCS_31_Herb</t>
        </is>
      </c>
      <c r="C38" s="11" t="inlineStr">
        <is>
          <t>Biomass_Herb</t>
        </is>
      </c>
      <c r="D38" s="11" t="n">
        <v>0</v>
      </c>
      <c r="E38" s="11" t="n">
        <v>0.1041</v>
      </c>
      <c r="F38" s="11" t="n">
        <v>2.0327</v>
      </c>
      <c r="G38" s="11" t="n">
        <v>0</v>
      </c>
      <c r="H38" s="11" t="n">
        <v>0</v>
      </c>
      <c r="I38" s="21">
        <f>F38+G38+H38</f>
        <v/>
      </c>
      <c r="J38" s="11" t="n">
        <v>1.736</v>
      </c>
      <c r="K38" s="11" t="n">
        <v>0.3848022388509254</v>
      </c>
      <c r="L38" s="11" t="n">
        <v>0.8552952115226659</v>
      </c>
      <c r="M38" s="11" t="n">
        <v>434628.32</v>
      </c>
      <c r="N38" s="11" t="n">
        <v>354088</v>
      </c>
      <c r="O38" s="11" t="n">
        <v>23.5872</v>
      </c>
      <c r="Q38" s="14" t="n">
        <v>109.479795</v>
      </c>
      <c r="R38" s="14" t="n">
        <v>-21.506692</v>
      </c>
      <c r="S38" s="14" t="n">
        <v>170</v>
      </c>
      <c r="T38" s="14" t="n">
        <v>137.934648</v>
      </c>
      <c r="U38" s="14" t="n">
        <v>157.881351</v>
      </c>
      <c r="V38" s="14" t="n">
        <v>111.364845</v>
      </c>
      <c r="W38" s="14" t="n">
        <v>20.230252</v>
      </c>
      <c r="Y38">
        <f>B38</f>
        <v/>
      </c>
      <c r="Z38">
        <f>C38</f>
        <v/>
      </c>
      <c r="AA38" s="10">
        <f>SUM(AD38:AI38)+AK38+AL38</f>
        <v/>
      </c>
      <c r="AB38" s="10">
        <f>SUM(AD38:AI38)+AN38+AO38</f>
        <v/>
      </c>
      <c r="AC38" s="5">
        <f>AA38-AB38</f>
        <v/>
      </c>
      <c r="AD38" s="1">
        <f>D38/I38*W38*-1</f>
        <v/>
      </c>
      <c r="AE38" s="1">
        <f>E38/I38*W38</f>
        <v/>
      </c>
      <c r="AF38" s="1">
        <f t="array" ref="AF38">_xlfn.IFS(C38="Biomass_Corn", 1/I38*S38, C38="Biomass_Agri", 1/I38*V38, C38="Biomass_Wood", 1/I38*U38, C38="Biomass_Herb", 1/I38*T38)</f>
        <v/>
      </c>
      <c r="AG38" s="1">
        <f>M38/I38/(0.9*8760)</f>
        <v/>
      </c>
      <c r="AH38" s="1">
        <f>N38/I38/(0.9*8760)</f>
        <v/>
      </c>
      <c r="AI38" s="1">
        <f>O38/I38</f>
        <v/>
      </c>
      <c r="AJ38" s="1">
        <f>(AY38+AZ38+BA38+BB38+BC38-AW38)/I38</f>
        <v/>
      </c>
      <c r="AK38" s="1">
        <f>(Q38+R38)*-1*K38/I38</f>
        <v/>
      </c>
      <c r="AL38">
        <f>AJ38*Q38</f>
        <v/>
      </c>
      <c r="AM38" s="1">
        <f>(SUM(AY38:BB38)-AW38)/I38</f>
        <v/>
      </c>
      <c r="AN38" s="1">
        <f>K38/I38*-1*R38</f>
        <v/>
      </c>
      <c r="AO38">
        <f>AM38*Q38</f>
        <v/>
      </c>
      <c r="AQ38" s="8">
        <f>J38</f>
        <v/>
      </c>
      <c r="AR38" s="8" t="n">
        <v>0.243968185</v>
      </c>
      <c r="AS38" s="8" t="n">
        <v>0.249427613</v>
      </c>
      <c r="AT38" s="9" t="n">
        <v>0.246356685</v>
      </c>
      <c r="AU38" s="8" t="n">
        <v>0.23037491</v>
      </c>
      <c r="AW38" s="9">
        <f>AQ38</f>
        <v/>
      </c>
      <c r="AY38" s="9">
        <f>AR38*F38</f>
        <v/>
      </c>
      <c r="AZ38" s="9">
        <f>AS38*H38</f>
        <v/>
      </c>
      <c r="BA38" s="9">
        <f>AT38*G38</f>
        <v/>
      </c>
      <c r="BB38" s="9">
        <f>L38</f>
        <v/>
      </c>
      <c r="BC38" s="9">
        <f>K38</f>
        <v/>
      </c>
      <c r="BE38" s="1">
        <f>AW38-SUM(AY38:BC38)</f>
        <v/>
      </c>
    </row>
    <row r="39">
      <c r="B39" s="12" t="inlineStr">
        <is>
          <t>NE_Gasoline_Gasification_CCS_31_Herb</t>
        </is>
      </c>
      <c r="C39" s="11" t="inlineStr">
        <is>
          <t>Biomass_Herb</t>
        </is>
      </c>
      <c r="D39" s="11" t="n">
        <v>0</v>
      </c>
      <c r="E39" s="11" t="n">
        <v>0.1041</v>
      </c>
      <c r="F39" s="11" t="n">
        <v>2.0404</v>
      </c>
      <c r="G39" s="11" t="n">
        <v>0</v>
      </c>
      <c r="H39" s="11" t="n">
        <v>0</v>
      </c>
      <c r="I39" s="21">
        <f>F39+G39+H39</f>
        <v/>
      </c>
      <c r="J39" s="11" t="n">
        <v>1.745</v>
      </c>
      <c r="K39" s="11" t="n">
        <v>0.3870063323328689</v>
      </c>
      <c r="L39" s="11" t="n">
        <v>0.8601942230421517</v>
      </c>
      <c r="M39" s="11" t="n">
        <v>434628.32</v>
      </c>
      <c r="N39" s="11" t="n">
        <v>354088</v>
      </c>
      <c r="O39" s="11" t="n">
        <v>23.5872</v>
      </c>
      <c r="Q39" s="14" t="n">
        <v>109.479795</v>
      </c>
      <c r="R39" s="14" t="n">
        <v>-31.70346</v>
      </c>
      <c r="S39" s="14" t="n">
        <v>170</v>
      </c>
      <c r="T39" s="14" t="n">
        <v>110.461518</v>
      </c>
      <c r="U39" s="14" t="n">
        <v>127.408748</v>
      </c>
      <c r="V39" s="14" t="n">
        <v>98.83247799999999</v>
      </c>
      <c r="W39" s="14" t="n">
        <v>25.324637</v>
      </c>
      <c r="Y39">
        <f>B39</f>
        <v/>
      </c>
      <c r="Z39">
        <f>C39</f>
        <v/>
      </c>
      <c r="AA39" s="10">
        <f>SUM(AD39:AI39)+AK39+AL39</f>
        <v/>
      </c>
      <c r="AB39" s="10">
        <f>SUM(AD39:AI39)+AN39+AO39</f>
        <v/>
      </c>
      <c r="AC39" s="5">
        <f>AA39-AB39</f>
        <v/>
      </c>
      <c r="AD39" s="1">
        <f>D39/I39*W39*-1</f>
        <v/>
      </c>
      <c r="AE39" s="1">
        <f>E39/I39*W39</f>
        <v/>
      </c>
      <c r="AF39" s="1">
        <f t="array" ref="AF39">_xlfn.IFS(C39="Biomass_Corn", 1/I39*S39, C39="Biomass_Agri", 1/I39*V39, C39="Biomass_Wood", 1/I39*U39, C39="Biomass_Herb", 1/I39*T39)</f>
        <v/>
      </c>
      <c r="AG39" s="1">
        <f>M39/I39/(0.9*8760)</f>
        <v/>
      </c>
      <c r="AH39" s="1">
        <f>N39/I39/(0.9*8760)</f>
        <v/>
      </c>
      <c r="AI39" s="1">
        <f>O39/I39</f>
        <v/>
      </c>
      <c r="AJ39" s="1">
        <f>(AY39+AZ39+BA39+BB39+BC39-AW39)/I39</f>
        <v/>
      </c>
      <c r="AK39" s="1">
        <f>(Q39+R39)*-1*K39/I39</f>
        <v/>
      </c>
      <c r="AL39">
        <f>AJ39*Q39</f>
        <v/>
      </c>
      <c r="AM39" s="1">
        <f>(SUM(AY39:BB39)-AW39)/I39</f>
        <v/>
      </c>
      <c r="AN39" s="1">
        <f>K39/I39*-1*R39</f>
        <v/>
      </c>
      <c r="AO39">
        <f>AM39*Q39</f>
        <v/>
      </c>
      <c r="AQ39" s="8">
        <f>J39</f>
        <v/>
      </c>
      <c r="AR39" s="8" t="n">
        <v>0.243968185</v>
      </c>
      <c r="AS39" s="8" t="n">
        <v>0.249427613</v>
      </c>
      <c r="AT39" s="9" t="n">
        <v>0.246356685</v>
      </c>
      <c r="AU39" s="8" t="n">
        <v>0.23037491</v>
      </c>
      <c r="AW39" s="9">
        <f>AQ39</f>
        <v/>
      </c>
      <c r="AY39" s="9">
        <f>AR39*F39</f>
        <v/>
      </c>
      <c r="AZ39" s="9">
        <f>AS39*H39</f>
        <v/>
      </c>
      <c r="BA39" s="9">
        <f>AT39*G39</f>
        <v/>
      </c>
      <c r="BB39" s="9">
        <f>L39</f>
        <v/>
      </c>
      <c r="BC39" s="9">
        <f>K39</f>
        <v/>
      </c>
      <c r="BE39" s="1">
        <f>AW39-SUM(AY39:BC39)</f>
        <v/>
      </c>
    </row>
    <row r="40">
      <c r="B40" s="12" t="inlineStr">
        <is>
          <t>CA_Gasoline_Gasification_CCS_31_Wood</t>
        </is>
      </c>
      <c r="C40" s="11" t="inlineStr">
        <is>
          <t>Biomass_Wood</t>
        </is>
      </c>
      <c r="D40" s="11" t="n">
        <v>0</v>
      </c>
      <c r="E40" s="11" t="n">
        <v>0.1041</v>
      </c>
      <c r="F40" s="11" t="n">
        <v>2.1504</v>
      </c>
      <c r="G40" s="11" t="n">
        <v>0</v>
      </c>
      <c r="H40" s="11" t="n">
        <v>0</v>
      </c>
      <c r="I40" s="21">
        <f>F40+G40+H40</f>
        <v/>
      </c>
      <c r="J40" s="11" t="n">
        <v>1.843</v>
      </c>
      <c r="K40" s="11" t="n">
        <v>0.4090911544346403</v>
      </c>
      <c r="L40" s="11" t="n">
        <v>0.9092818859605908</v>
      </c>
      <c r="M40" s="11" t="n">
        <v>434628.32</v>
      </c>
      <c r="N40" s="11" t="n">
        <v>354088</v>
      </c>
      <c r="O40" s="11" t="n">
        <v>23.5872</v>
      </c>
      <c r="Q40" s="14" t="n">
        <v>109.479795</v>
      </c>
      <c r="R40" s="14" t="n">
        <v>-54.115443</v>
      </c>
      <c r="S40" s="14" t="n">
        <v>170</v>
      </c>
      <c r="T40" s="14" t="n">
        <v>100.773744</v>
      </c>
      <c r="U40" s="14" t="n">
        <v>108.668072</v>
      </c>
      <c r="V40" s="14" t="n">
        <v>89.424565</v>
      </c>
      <c r="W40" s="14" t="n">
        <v>39.359472</v>
      </c>
      <c r="Y40">
        <f>B40</f>
        <v/>
      </c>
      <c r="Z40">
        <f>C40</f>
        <v/>
      </c>
      <c r="AA40" s="10">
        <f>SUM(AD40:AI40)+AK40+AL40</f>
        <v/>
      </c>
      <c r="AB40" s="10">
        <f>SUM(AD40:AI40)+AN40+AO40</f>
        <v/>
      </c>
      <c r="AC40" s="5">
        <f>AA40-AB40</f>
        <v/>
      </c>
      <c r="AD40" s="1">
        <f>D40/I40*W40*-1</f>
        <v/>
      </c>
      <c r="AE40" s="1">
        <f>E40/I40*W40</f>
        <v/>
      </c>
      <c r="AF40" s="1">
        <f t="array" ref="AF40">_xlfn.IFS(C40="Biomass_Corn", 1/I40*S40, C40="Biomass_Agri", 1/I40*V40, C40="Biomass_Wood", 1/I40*U40, C40="Biomass_Herb", 1/I40*T40)</f>
        <v/>
      </c>
      <c r="AG40" s="1">
        <f>M40/I40/(0.9*8760)</f>
        <v/>
      </c>
      <c r="AH40" s="1">
        <f>N40/I40/(0.9*8760)</f>
        <v/>
      </c>
      <c r="AI40" s="1">
        <f>O40/I40</f>
        <v/>
      </c>
      <c r="AJ40" s="1">
        <f>(AY40+AZ40+BA40+BB40+BC40-AW40)/I40</f>
        <v/>
      </c>
      <c r="AK40" s="1">
        <f>(Q40+R40)*-1*K40/I40</f>
        <v/>
      </c>
      <c r="AL40">
        <f>AJ40*Q40</f>
        <v/>
      </c>
      <c r="AM40" s="1">
        <f>(SUM(AY40:BB40)-AW40)/I40</f>
        <v/>
      </c>
      <c r="AN40" s="1">
        <f>K40/I40*-1*R40</f>
        <v/>
      </c>
      <c r="AO40">
        <f>AM40*Q40</f>
        <v/>
      </c>
      <c r="AQ40" s="8">
        <f>J40</f>
        <v/>
      </c>
      <c r="AR40" s="8" t="n">
        <v>0.243968185</v>
      </c>
      <c r="AS40" s="8" t="n">
        <v>0.249427613</v>
      </c>
      <c r="AT40" s="9" t="n">
        <v>0.246356685</v>
      </c>
      <c r="AU40" s="8" t="n">
        <v>0.23037491</v>
      </c>
      <c r="AW40" s="9">
        <f>AQ40</f>
        <v/>
      </c>
      <c r="AY40" s="9">
        <f>AR40*F40</f>
        <v/>
      </c>
      <c r="AZ40" s="9">
        <f>AS40*H40</f>
        <v/>
      </c>
      <c r="BA40" s="9">
        <f>AT40*G40</f>
        <v/>
      </c>
      <c r="BB40" s="9">
        <f>L40</f>
        <v/>
      </c>
      <c r="BC40" s="9">
        <f>K40</f>
        <v/>
      </c>
      <c r="BE40" s="1">
        <f>AW40-SUM(AY40:BC40)</f>
        <v/>
      </c>
    </row>
    <row r="41">
      <c r="B41" s="12" t="inlineStr">
        <is>
          <t>NW_Gasoline_Gasification_CCS_31_Wood</t>
        </is>
      </c>
      <c r="C41" s="11" t="inlineStr">
        <is>
          <t>Biomass_Wood</t>
        </is>
      </c>
      <c r="D41" s="11" t="n">
        <v>0</v>
      </c>
      <c r="E41" s="11" t="n">
        <v>0.1041</v>
      </c>
      <c r="F41" s="11" t="n">
        <v>2.1459</v>
      </c>
      <c r="G41" s="11" t="n">
        <v>0</v>
      </c>
      <c r="H41" s="11" t="n">
        <v>0</v>
      </c>
      <c r="I41" s="21">
        <f>F41+G41+H41</f>
        <v/>
      </c>
      <c r="J41" s="11" t="n">
        <v>1.818</v>
      </c>
      <c r="K41" s="11" t="n">
        <v>0.4016700010163869</v>
      </c>
      <c r="L41" s="11" t="n">
        <v>0.8927869793780278</v>
      </c>
      <c r="M41" s="11" t="n">
        <v>434628.32</v>
      </c>
      <c r="N41" s="11" t="n">
        <v>354088</v>
      </c>
      <c r="O41" s="11" t="n">
        <v>23.5872</v>
      </c>
      <c r="Q41" s="14" t="n">
        <v>109.479795</v>
      </c>
      <c r="R41" s="14" t="n">
        <v>-41.717135</v>
      </c>
      <c r="S41" s="14" t="n">
        <v>170</v>
      </c>
      <c r="T41" s="14" t="n">
        <v>104.167382</v>
      </c>
      <c r="U41" s="14" t="n">
        <v>115.526389</v>
      </c>
      <c r="V41" s="14" t="n">
        <v>92.044978</v>
      </c>
      <c r="W41" s="14" t="n">
        <v>30.708173</v>
      </c>
      <c r="Y41">
        <f>B41</f>
        <v/>
      </c>
      <c r="Z41">
        <f>C41</f>
        <v/>
      </c>
      <c r="AA41" s="10">
        <f>SUM(AD41:AI41)+AK41+AL41</f>
        <v/>
      </c>
      <c r="AB41" s="10">
        <f>SUM(AD41:AI41)+AN41+AO41</f>
        <v/>
      </c>
      <c r="AC41" s="5">
        <f>AA41-AB41</f>
        <v/>
      </c>
      <c r="AD41" s="1">
        <f>D41/I41*W41*-1</f>
        <v/>
      </c>
      <c r="AE41" s="1">
        <f>E41/I41*W41</f>
        <v/>
      </c>
      <c r="AF41" s="1">
        <f t="array" ref="AF41">_xlfn.IFS(C41="Biomass_Corn", 1/I41*S41, C41="Biomass_Agri", 1/I41*V41, C41="Biomass_Wood", 1/I41*U41, C41="Biomass_Herb", 1/I41*T41)</f>
        <v/>
      </c>
      <c r="AG41" s="1">
        <f>M41/I41/(0.9*8760)</f>
        <v/>
      </c>
      <c r="AH41" s="1">
        <f>N41/I41/(0.9*8760)</f>
        <v/>
      </c>
      <c r="AI41" s="1">
        <f>O41/I41</f>
        <v/>
      </c>
      <c r="AJ41" s="1">
        <f>(AY41+AZ41+BA41+BB41+BC41-AW41)/I41</f>
        <v/>
      </c>
      <c r="AK41" s="1">
        <f>(Q41+R41)*-1*K41/I41</f>
        <v/>
      </c>
      <c r="AL41">
        <f>AJ41*Q41</f>
        <v/>
      </c>
      <c r="AM41" s="1">
        <f>(SUM(AY41:BB41)-AW41)/I41</f>
        <v/>
      </c>
      <c r="AN41" s="1">
        <f>K41/I41*-1*R41</f>
        <v/>
      </c>
      <c r="AO41">
        <f>AM41*Q41</f>
        <v/>
      </c>
      <c r="AQ41" s="8">
        <f>J41</f>
        <v/>
      </c>
      <c r="AR41" s="8" t="n">
        <v>0.243968185</v>
      </c>
      <c r="AS41" s="8" t="n">
        <v>0.249427613</v>
      </c>
      <c r="AT41" s="9" t="n">
        <v>0.246356685</v>
      </c>
      <c r="AU41" s="8" t="n">
        <v>0.23037491</v>
      </c>
      <c r="AW41" s="9">
        <f>AQ41</f>
        <v/>
      </c>
      <c r="AY41" s="9">
        <f>AR41*F41</f>
        <v/>
      </c>
      <c r="AZ41" s="9">
        <f>AS41*H41</f>
        <v/>
      </c>
      <c r="BA41" s="9">
        <f>AT41*G41</f>
        <v/>
      </c>
      <c r="BB41" s="9">
        <f>L41</f>
        <v/>
      </c>
      <c r="BC41" s="9">
        <f>K41</f>
        <v/>
      </c>
      <c r="BE41" s="1">
        <f>AW41-SUM(AY41:BC41)</f>
        <v/>
      </c>
    </row>
    <row r="42">
      <c r="B42" s="12" t="inlineStr">
        <is>
          <t>SW_Gasoline_Gasification_CCS_31_Wood</t>
        </is>
      </c>
      <c r="C42" s="11" t="inlineStr">
        <is>
          <t>Biomass_Wood</t>
        </is>
      </c>
      <c r="D42" s="11" t="n">
        <v>0</v>
      </c>
      <c r="E42" s="11" t="n">
        <v>0.1041</v>
      </c>
      <c r="F42" s="11" t="n">
        <v>2.126</v>
      </c>
      <c r="G42" s="11" t="n">
        <v>0</v>
      </c>
      <c r="H42" s="11" t="n">
        <v>0</v>
      </c>
      <c r="I42" s="21">
        <f>F42+G42+H42</f>
        <v/>
      </c>
      <c r="J42" s="11" t="n">
        <v>1.798</v>
      </c>
      <c r="K42" s="11" t="n">
        <v>0.3969775606342466</v>
      </c>
      <c r="L42" s="11" t="n">
        <v>0.8823571497564934</v>
      </c>
      <c r="M42" s="11" t="n">
        <v>434628.32</v>
      </c>
      <c r="N42" s="11" t="n">
        <v>354088</v>
      </c>
      <c r="O42" s="11" t="n">
        <v>23.5872</v>
      </c>
      <c r="Q42" s="14" t="n">
        <v>109.479795</v>
      </c>
      <c r="R42" s="14" t="n">
        <v>-47.70091</v>
      </c>
      <c r="S42" s="14" t="n">
        <v>170</v>
      </c>
      <c r="T42" s="14" t="n">
        <v>99.63284299999999</v>
      </c>
      <c r="U42" s="14" t="n">
        <v>113.227017</v>
      </c>
      <c r="V42" s="14" t="n">
        <v>88.855315</v>
      </c>
      <c r="W42" s="14" t="n">
        <v>38.218446</v>
      </c>
      <c r="Y42">
        <f>B42</f>
        <v/>
      </c>
      <c r="Z42">
        <f>C42</f>
        <v/>
      </c>
      <c r="AA42" s="10">
        <f>SUM(AD42:AI42)+AK42+AL42</f>
        <v/>
      </c>
      <c r="AB42" s="10">
        <f>SUM(AD42:AI42)+AN42+AO42</f>
        <v/>
      </c>
      <c r="AC42" s="5">
        <f>AA42-AB42</f>
        <v/>
      </c>
      <c r="AD42" s="1">
        <f>D42/I42*W42*-1</f>
        <v/>
      </c>
      <c r="AE42" s="1">
        <f>E42/I42*W42</f>
        <v/>
      </c>
      <c r="AF42" s="1">
        <f t="array" ref="AF42">_xlfn.IFS(C42="Biomass_Corn", 1/I42*S42, C42="Biomass_Agri", 1/I42*V42, C42="Biomass_Wood", 1/I42*U42, C42="Biomass_Herb", 1/I42*T42)</f>
        <v/>
      </c>
      <c r="AG42" s="1">
        <f>M42/I42/(0.9*8760)</f>
        <v/>
      </c>
      <c r="AH42" s="1">
        <f>N42/I42/(0.9*8760)</f>
        <v/>
      </c>
      <c r="AI42" s="1">
        <f>O42/I42</f>
        <v/>
      </c>
      <c r="AJ42" s="1">
        <f>(AY42+AZ42+BA42+BB42+BC42-AW42)/I42</f>
        <v/>
      </c>
      <c r="AK42" s="1">
        <f>(Q42+R42)*-1*K42/I42</f>
        <v/>
      </c>
      <c r="AL42">
        <f>AJ42*Q42</f>
        <v/>
      </c>
      <c r="AM42" s="1">
        <f>(SUM(AY42:BB42)-AW42)/I42</f>
        <v/>
      </c>
      <c r="AN42" s="1">
        <f>K42/I42*-1*R42</f>
        <v/>
      </c>
      <c r="AO42">
        <f>AM42*Q42</f>
        <v/>
      </c>
      <c r="AQ42" s="8">
        <f>J42</f>
        <v/>
      </c>
      <c r="AR42" s="8" t="n">
        <v>0.243968185</v>
      </c>
      <c r="AS42" s="8" t="n">
        <v>0.249427613</v>
      </c>
      <c r="AT42" s="9" t="n">
        <v>0.246356685</v>
      </c>
      <c r="AU42" s="8" t="n">
        <v>0.23037491</v>
      </c>
      <c r="AW42" s="9">
        <f>AQ42</f>
        <v/>
      </c>
      <c r="AY42" s="9">
        <f>AR42*F42</f>
        <v/>
      </c>
      <c r="AZ42" s="9">
        <f>AS42*H42</f>
        <v/>
      </c>
      <c r="BA42" s="9">
        <f>AT42*G42</f>
        <v/>
      </c>
      <c r="BB42" s="9">
        <f>L42</f>
        <v/>
      </c>
      <c r="BC42" s="9">
        <f>K42</f>
        <v/>
      </c>
      <c r="BE42" s="1">
        <f>AW42-SUM(AY42:BC42)</f>
        <v/>
      </c>
    </row>
    <row r="43">
      <c r="B43" s="12" t="inlineStr">
        <is>
          <t>TX_Gasoline_Gasification_CCS_31_Wood</t>
        </is>
      </c>
      <c r="C43" s="11" t="inlineStr">
        <is>
          <t>Biomass_Wood</t>
        </is>
      </c>
      <c r="D43" s="11" t="n">
        <v>0</v>
      </c>
      <c r="E43" s="11" t="n">
        <v>0.1041</v>
      </c>
      <c r="F43" s="11" t="n">
        <v>2.1093</v>
      </c>
      <c r="G43" s="11" t="n">
        <v>0</v>
      </c>
      <c r="H43" s="11" t="n">
        <v>0</v>
      </c>
      <c r="I43" s="21">
        <f>F43+G43+H43</f>
        <v/>
      </c>
      <c r="J43" s="11" t="n">
        <v>1.821</v>
      </c>
      <c r="K43" s="11" t="n">
        <v>0.4053757603157963</v>
      </c>
      <c r="L43" s="11" t="n">
        <v>0.9010237250718812</v>
      </c>
      <c r="M43" s="11" t="n">
        <v>434628.32</v>
      </c>
      <c r="N43" s="11" t="n">
        <v>354088</v>
      </c>
      <c r="O43" s="11" t="n">
        <v>23.5872</v>
      </c>
      <c r="Q43" s="14" t="n">
        <v>109.479795</v>
      </c>
      <c r="R43" s="14" t="n">
        <v>-21.506692</v>
      </c>
      <c r="S43" s="14" t="n">
        <v>170</v>
      </c>
      <c r="T43" s="14" t="n">
        <v>137.934648</v>
      </c>
      <c r="U43" s="14" t="n">
        <v>157.881351</v>
      </c>
      <c r="V43" s="14" t="n">
        <v>111.364845</v>
      </c>
      <c r="W43" s="14" t="n">
        <v>20.230252</v>
      </c>
      <c r="Y43">
        <f>B43</f>
        <v/>
      </c>
      <c r="Z43">
        <f>C43</f>
        <v/>
      </c>
      <c r="AA43" s="10">
        <f>SUM(AD43:AI43)+AK43+AL43</f>
        <v/>
      </c>
      <c r="AB43" s="10">
        <f>SUM(AD43:AI43)+AN43+AO43</f>
        <v/>
      </c>
      <c r="AC43" s="5">
        <f>AA43-AB43</f>
        <v/>
      </c>
      <c r="AD43" s="1">
        <f>D43/I43*W43*-1</f>
        <v/>
      </c>
      <c r="AE43" s="1">
        <f>E43/I43*W43</f>
        <v/>
      </c>
      <c r="AF43" s="1">
        <f t="array" ref="AF43">_xlfn.IFS(C43="Biomass_Corn", 1/I43*S43, C43="Biomass_Agri", 1/I43*V43, C43="Biomass_Wood", 1/I43*U43, C43="Biomass_Herb", 1/I43*T43)</f>
        <v/>
      </c>
      <c r="AG43" s="1">
        <f>M43/I43/(0.9*8760)</f>
        <v/>
      </c>
      <c r="AH43" s="1">
        <f>N43/I43/(0.9*8760)</f>
        <v/>
      </c>
      <c r="AI43" s="1">
        <f>O43/I43</f>
        <v/>
      </c>
      <c r="AJ43" s="1">
        <f>(AY43+AZ43+BA43+BB43+BC43-AW43)/I43</f>
        <v/>
      </c>
      <c r="AK43" s="1">
        <f>(Q43+R43)*-1*K43/I43</f>
        <v/>
      </c>
      <c r="AL43">
        <f>AJ43*Q43</f>
        <v/>
      </c>
      <c r="AM43" s="1">
        <f>(SUM(AY43:BB43)-AW43)/I43</f>
        <v/>
      </c>
      <c r="AN43" s="1">
        <f>K43/I43*-1*R43</f>
        <v/>
      </c>
      <c r="AO43">
        <f>AM43*Q43</f>
        <v/>
      </c>
      <c r="AQ43" s="8">
        <f>J43</f>
        <v/>
      </c>
      <c r="AR43" s="8" t="n">
        <v>0.243968185</v>
      </c>
      <c r="AS43" s="8" t="n">
        <v>0.249427613</v>
      </c>
      <c r="AT43" s="9" t="n">
        <v>0.246356685</v>
      </c>
      <c r="AU43" s="8" t="n">
        <v>0.23037491</v>
      </c>
      <c r="AW43" s="9">
        <f>AQ43</f>
        <v/>
      </c>
      <c r="AY43" s="9">
        <f>AR43*F43</f>
        <v/>
      </c>
      <c r="AZ43" s="9">
        <f>AS43*H43</f>
        <v/>
      </c>
      <c r="BA43" s="9">
        <f>AT43*G43</f>
        <v/>
      </c>
      <c r="BB43" s="9">
        <f>L43</f>
        <v/>
      </c>
      <c r="BC43" s="9">
        <f>K43</f>
        <v/>
      </c>
      <c r="BE43" s="1">
        <f>AW43-SUM(AY43:BC43)</f>
        <v/>
      </c>
    </row>
    <row r="44">
      <c r="B44" s="12" t="inlineStr">
        <is>
          <t>NCEN_Gasoline_Gasification_CCS_31_Wood</t>
        </is>
      </c>
      <c r="C44" s="11" t="inlineStr">
        <is>
          <t>Biomass_Wood</t>
        </is>
      </c>
      <c r="D44" s="11" t="n">
        <v>0</v>
      </c>
      <c r="E44" s="11" t="n">
        <v>0.1041</v>
      </c>
      <c r="F44" s="11" t="n">
        <v>2.1171</v>
      </c>
      <c r="G44" s="11" t="n">
        <v>0</v>
      </c>
      <c r="H44" s="11" t="n">
        <v>0</v>
      </c>
      <c r="I44" s="21">
        <f>F44+G44+H44</f>
        <v/>
      </c>
      <c r="J44" s="11" t="n">
        <v>1.802</v>
      </c>
      <c r="K44" s="11" t="n">
        <v>0.3988914537977399</v>
      </c>
      <c r="L44" s="11" t="n">
        <v>0.8866111365913669</v>
      </c>
      <c r="M44" s="11" t="n">
        <v>434628.32</v>
      </c>
      <c r="N44" s="11" t="n">
        <v>354088</v>
      </c>
      <c r="O44" s="11" t="n">
        <v>23.5872</v>
      </c>
      <c r="Q44" s="14" t="n">
        <v>109.479795</v>
      </c>
      <c r="R44" s="14" t="n">
        <v>-31.70346</v>
      </c>
      <c r="S44" s="14" t="n">
        <v>170</v>
      </c>
      <c r="T44" s="14" t="n">
        <v>110.461518</v>
      </c>
      <c r="U44" s="14" t="n">
        <v>127.408748</v>
      </c>
      <c r="V44" s="14" t="n">
        <v>98.83247799999999</v>
      </c>
      <c r="W44" s="14" t="n">
        <v>25.324637</v>
      </c>
      <c r="Y44">
        <f>B44</f>
        <v/>
      </c>
      <c r="Z44">
        <f>C44</f>
        <v/>
      </c>
      <c r="AA44" s="10">
        <f>SUM(AD44:AI44)+AK44+AL44</f>
        <v/>
      </c>
      <c r="AB44" s="10">
        <f>SUM(AD44:AI44)+AN44+AO44</f>
        <v/>
      </c>
      <c r="AC44" s="5">
        <f>AA44-AB44</f>
        <v/>
      </c>
      <c r="AD44" s="1">
        <f>D44/I44*W44*-1</f>
        <v/>
      </c>
      <c r="AE44" s="1">
        <f>E44/I44*W44</f>
        <v/>
      </c>
      <c r="AF44" s="1">
        <f t="array" ref="AF44">_xlfn.IFS(C44="Biomass_Corn", 1/I44*S44, C44="Biomass_Agri", 1/I44*V44, C44="Biomass_Wood", 1/I44*U44, C44="Biomass_Herb", 1/I44*T44)</f>
        <v/>
      </c>
      <c r="AG44" s="1">
        <f>M44/I44/(0.9*8760)</f>
        <v/>
      </c>
      <c r="AH44" s="1">
        <f>N44/I44/(0.9*8760)</f>
        <v/>
      </c>
      <c r="AI44" s="1">
        <f>O44/I44</f>
        <v/>
      </c>
      <c r="AJ44" s="1">
        <f>(AY44+AZ44+BA44+BB44+BC44-AW44)/I44</f>
        <v/>
      </c>
      <c r="AK44" s="1">
        <f>(Q44+R44)*-1*K44/I44</f>
        <v/>
      </c>
      <c r="AL44">
        <f>AJ44*Q44</f>
        <v/>
      </c>
      <c r="AM44" s="1">
        <f>(SUM(AY44:BB44)-AW44)/I44</f>
        <v/>
      </c>
      <c r="AN44" s="1">
        <f>K44/I44*-1*R44</f>
        <v/>
      </c>
      <c r="AO44">
        <f>AM44*Q44</f>
        <v/>
      </c>
      <c r="AQ44" s="8">
        <f>J44</f>
        <v/>
      </c>
      <c r="AR44" s="8" t="n">
        <v>0.243968185</v>
      </c>
      <c r="AS44" s="8" t="n">
        <v>0.249427613</v>
      </c>
      <c r="AT44" s="9" t="n">
        <v>0.246356685</v>
      </c>
      <c r="AU44" s="8" t="n">
        <v>0.23037491</v>
      </c>
      <c r="AW44" s="9">
        <f>AQ44</f>
        <v/>
      </c>
      <c r="AY44" s="9">
        <f>AR44*F44</f>
        <v/>
      </c>
      <c r="AZ44" s="9">
        <f>AS44*H44</f>
        <v/>
      </c>
      <c r="BA44" s="9">
        <f>AT44*G44</f>
        <v/>
      </c>
      <c r="BB44" s="9">
        <f>L44</f>
        <v/>
      </c>
      <c r="BC44" s="9">
        <f>K44</f>
        <v/>
      </c>
      <c r="BE44" s="1">
        <f>AW44-SUM(AY44:BC44)</f>
        <v/>
      </c>
    </row>
    <row r="45">
      <c r="B45" s="12" t="inlineStr">
        <is>
          <t>CEN_Gasoline_Gasification_CCS_31_Wood</t>
        </is>
      </c>
      <c r="C45" s="11" t="inlineStr">
        <is>
          <t>Biomass_Wood</t>
        </is>
      </c>
      <c r="D45" s="11" t="n">
        <v>0</v>
      </c>
      <c r="E45" s="11" t="n">
        <v>0.1041</v>
      </c>
      <c r="F45" s="11" t="n">
        <v>2.1182</v>
      </c>
      <c r="G45" s="11" t="n">
        <v>0</v>
      </c>
      <c r="H45" s="11" t="n">
        <v>0</v>
      </c>
      <c r="I45" s="21">
        <f>F45+G45+H45</f>
        <v/>
      </c>
      <c r="J45" s="11" t="n">
        <v>1.802</v>
      </c>
      <c r="K45" s="11" t="n">
        <v>0.3988073671523032</v>
      </c>
      <c r="L45" s="11" t="n">
        <v>0.8864242382370077</v>
      </c>
      <c r="M45" s="11" t="n">
        <v>434628.32</v>
      </c>
      <c r="N45" s="11" t="n">
        <v>354088</v>
      </c>
      <c r="O45" s="11" t="n">
        <v>23.5872</v>
      </c>
      <c r="Q45" s="14" t="n">
        <v>109.479795</v>
      </c>
      <c r="R45" s="14" t="n">
        <v>-54.115443</v>
      </c>
      <c r="S45" s="14" t="n">
        <v>170</v>
      </c>
      <c r="T45" s="14" t="n">
        <v>100.773744</v>
      </c>
      <c r="U45" s="14" t="n">
        <v>108.668072</v>
      </c>
      <c r="V45" s="14" t="n">
        <v>89.424565</v>
      </c>
      <c r="W45" s="14" t="n">
        <v>39.359472</v>
      </c>
      <c r="Y45">
        <f>B45</f>
        <v/>
      </c>
      <c r="Z45">
        <f>C45</f>
        <v/>
      </c>
      <c r="AA45" s="10">
        <f>SUM(AD45:AI45)+AK45+AL45</f>
        <v/>
      </c>
      <c r="AB45" s="10">
        <f>SUM(AD45:AI45)+AN45+AO45</f>
        <v/>
      </c>
      <c r="AC45" s="5">
        <f>AA45-AB45</f>
        <v/>
      </c>
      <c r="AD45" s="1">
        <f>D45/I45*W45*-1</f>
        <v/>
      </c>
      <c r="AE45" s="1">
        <f>E45/I45*W45</f>
        <v/>
      </c>
      <c r="AF45" s="1">
        <f t="array" ref="AF45">_xlfn.IFS(C45="Biomass_Corn", 1/I45*S45, C45="Biomass_Agri", 1/I45*V45, C45="Biomass_Wood", 1/I45*U45, C45="Biomass_Herb", 1/I45*T45)</f>
        <v/>
      </c>
      <c r="AG45" s="1">
        <f>M45/I45/(0.9*8760)</f>
        <v/>
      </c>
      <c r="AH45" s="1">
        <f>N45/I45/(0.9*8760)</f>
        <v/>
      </c>
      <c r="AI45" s="1">
        <f>O45/I45</f>
        <v/>
      </c>
      <c r="AJ45" s="1">
        <f>(AY45+AZ45+BA45+BB45+BC45-AW45)/I45</f>
        <v/>
      </c>
      <c r="AK45" s="1">
        <f>(Q45+R45)*-1*K45/I45</f>
        <v/>
      </c>
      <c r="AL45">
        <f>AJ45*Q45</f>
        <v/>
      </c>
      <c r="AM45" s="1">
        <f>(SUM(AY45:BB45)-AW45)/I45</f>
        <v/>
      </c>
      <c r="AN45" s="1">
        <f>K45/I45*-1*R45</f>
        <v/>
      </c>
      <c r="AO45">
        <f>AM45*Q45</f>
        <v/>
      </c>
      <c r="AQ45" s="8">
        <f>J45</f>
        <v/>
      </c>
      <c r="AR45" s="8" t="n">
        <v>0.243968185</v>
      </c>
      <c r="AS45" s="8" t="n">
        <v>0.249427613</v>
      </c>
      <c r="AT45" s="9" t="n">
        <v>0.246356685</v>
      </c>
      <c r="AU45" s="8" t="n">
        <v>0.23037491</v>
      </c>
      <c r="AW45" s="9">
        <f>AQ45</f>
        <v/>
      </c>
      <c r="AY45" s="9">
        <f>AR45*F45</f>
        <v/>
      </c>
      <c r="AZ45" s="9">
        <f>AS45*H45</f>
        <v/>
      </c>
      <c r="BA45" s="9">
        <f>AT45*G45</f>
        <v/>
      </c>
      <c r="BB45" s="9">
        <f>L45</f>
        <v/>
      </c>
      <c r="BC45" s="9">
        <f>K45</f>
        <v/>
      </c>
      <c r="BE45" s="1">
        <f>AW45-SUM(AY45:BC45)</f>
        <v/>
      </c>
    </row>
    <row r="46">
      <c r="B46" s="12" t="inlineStr">
        <is>
          <t>SE_Gasoline_Gasification_CCS_31_Wood</t>
        </is>
      </c>
      <c r="C46" s="11" t="inlineStr">
        <is>
          <t>Biomass_Wood</t>
        </is>
      </c>
      <c r="D46" s="11" t="n">
        <v>0</v>
      </c>
      <c r="E46" s="11" t="n">
        <v>0.1041</v>
      </c>
      <c r="F46" s="11" t="n">
        <v>2.126</v>
      </c>
      <c r="G46" s="11" t="n">
        <v>0</v>
      </c>
      <c r="H46" s="11" t="n">
        <v>0</v>
      </c>
      <c r="I46" s="21">
        <f>F46+G46+H46</f>
        <v/>
      </c>
      <c r="J46" s="11" t="n">
        <v>1.821</v>
      </c>
      <c r="K46" s="11" t="n">
        <v>0.4041144606342465</v>
      </c>
      <c r="L46" s="11" t="n">
        <v>0.8982202497564932</v>
      </c>
      <c r="M46" s="11" t="n">
        <v>434628.32</v>
      </c>
      <c r="N46" s="11" t="n">
        <v>354088</v>
      </c>
      <c r="O46" s="11" t="n">
        <v>23.5872</v>
      </c>
      <c r="Q46" s="14" t="n">
        <v>109.479795</v>
      </c>
      <c r="R46" s="14" t="n">
        <v>-41.717135</v>
      </c>
      <c r="S46" s="14" t="n">
        <v>170</v>
      </c>
      <c r="T46" s="14" t="n">
        <v>104.167382</v>
      </c>
      <c r="U46" s="14" t="n">
        <v>115.526389</v>
      </c>
      <c r="V46" s="14" t="n">
        <v>92.044978</v>
      </c>
      <c r="W46" s="14" t="n">
        <v>30.708173</v>
      </c>
      <c r="Y46">
        <f>B46</f>
        <v/>
      </c>
      <c r="Z46">
        <f>C46</f>
        <v/>
      </c>
      <c r="AA46" s="10">
        <f>SUM(AD46:AI46)+AK46+AL46</f>
        <v/>
      </c>
      <c r="AB46" s="10">
        <f>SUM(AD46:AI46)+AN46+AO46</f>
        <v/>
      </c>
      <c r="AC46" s="5">
        <f>AA46-AB46</f>
        <v/>
      </c>
      <c r="AD46" s="1">
        <f>D46/I46*W46*-1</f>
        <v/>
      </c>
      <c r="AE46" s="1">
        <f>E46/I46*W46</f>
        <v/>
      </c>
      <c r="AF46" s="1">
        <f t="array" ref="AF46">_xlfn.IFS(C46="Biomass_Corn", 1/I46*S46, C46="Biomass_Agri", 1/I46*V46, C46="Biomass_Wood", 1/I46*U46, C46="Biomass_Herb", 1/I46*T46)</f>
        <v/>
      </c>
      <c r="AG46" s="1">
        <f>M46/I46/(0.9*8760)</f>
        <v/>
      </c>
      <c r="AH46" s="1">
        <f>N46/I46/(0.9*8760)</f>
        <v/>
      </c>
      <c r="AI46" s="1">
        <f>O46/I46</f>
        <v/>
      </c>
      <c r="AJ46" s="1">
        <f>(AY46+AZ46+BA46+BB46+BC46-AW46)/I46</f>
        <v/>
      </c>
      <c r="AK46" s="1">
        <f>(Q46+R46)*-1*K46/I46</f>
        <v/>
      </c>
      <c r="AL46">
        <f>AJ46*Q46</f>
        <v/>
      </c>
      <c r="AM46" s="1">
        <f>(SUM(AY46:BB46)-AW46)/I46</f>
        <v/>
      </c>
      <c r="AN46" s="1">
        <f>K46/I46*-1*R46</f>
        <v/>
      </c>
      <c r="AO46">
        <f>AM46*Q46</f>
        <v/>
      </c>
      <c r="AQ46" s="8">
        <f>J46</f>
        <v/>
      </c>
      <c r="AR46" s="8" t="n">
        <v>0.243968185</v>
      </c>
      <c r="AS46" s="8" t="n">
        <v>0.249427613</v>
      </c>
      <c r="AT46" s="9" t="n">
        <v>0.246356685</v>
      </c>
      <c r="AU46" s="8" t="n">
        <v>0.23037491</v>
      </c>
      <c r="AW46" s="9">
        <f>AQ46</f>
        <v/>
      </c>
      <c r="AY46" s="9">
        <f>AR46*F46</f>
        <v/>
      </c>
      <c r="AZ46" s="9">
        <f>AS46*H46</f>
        <v/>
      </c>
      <c r="BA46" s="9">
        <f>AT46*G46</f>
        <v/>
      </c>
      <c r="BB46" s="9">
        <f>L46</f>
        <v/>
      </c>
      <c r="BC46" s="9">
        <f>K46</f>
        <v/>
      </c>
      <c r="BE46" s="1">
        <f>AW46-SUM(AY46:BC46)</f>
        <v/>
      </c>
    </row>
    <row r="47">
      <c r="B47" s="12" t="inlineStr">
        <is>
          <t>MIDAT_Gasoline_Gasification_CCS_31_Wood</t>
        </is>
      </c>
      <c r="C47" s="11" t="inlineStr">
        <is>
          <t>Biomass_Wood</t>
        </is>
      </c>
      <c r="D47" s="11" t="n">
        <v>0</v>
      </c>
      <c r="E47" s="11" t="n">
        <v>0.1041</v>
      </c>
      <c r="F47" s="11" t="n">
        <v>2.1115</v>
      </c>
      <c r="G47" s="11" t="n">
        <v>0</v>
      </c>
      <c r="H47" s="11" t="n">
        <v>0</v>
      </c>
      <c r="I47" s="21">
        <f>F47+G47+H47</f>
        <v/>
      </c>
      <c r="J47" s="11" t="n">
        <v>1.806</v>
      </c>
      <c r="K47" s="11" t="n">
        <v>0.4005530870249231</v>
      </c>
      <c r="L47" s="11" t="n">
        <v>0.8903044283631628</v>
      </c>
      <c r="M47" s="11" t="n">
        <v>434628.32</v>
      </c>
      <c r="N47" s="11" t="n">
        <v>354088</v>
      </c>
      <c r="O47" s="11" t="n">
        <v>23.5872</v>
      </c>
      <c r="Q47" s="14" t="n">
        <v>109.479795</v>
      </c>
      <c r="R47" s="14" t="n">
        <v>-47.70091</v>
      </c>
      <c r="S47" s="14" t="n">
        <v>170</v>
      </c>
      <c r="T47" s="14" t="n">
        <v>99.63284299999999</v>
      </c>
      <c r="U47" s="14" t="n">
        <v>113.227017</v>
      </c>
      <c r="V47" s="14" t="n">
        <v>88.855315</v>
      </c>
      <c r="W47" s="14" t="n">
        <v>38.218446</v>
      </c>
      <c r="Y47">
        <f>B47</f>
        <v/>
      </c>
      <c r="Z47">
        <f>C47</f>
        <v/>
      </c>
      <c r="AA47" s="10">
        <f>SUM(AD47:AI47)+AK47+AL47</f>
        <v/>
      </c>
      <c r="AB47" s="10">
        <f>SUM(AD47:AI47)+AN47+AO47</f>
        <v/>
      </c>
      <c r="AC47" s="5">
        <f>AA47-AB47</f>
        <v/>
      </c>
      <c r="AD47" s="1">
        <f>D47/I47*W47*-1</f>
        <v/>
      </c>
      <c r="AE47" s="1">
        <f>E47/I47*W47</f>
        <v/>
      </c>
      <c r="AF47" s="1">
        <f t="array" ref="AF47">_xlfn.IFS(C47="Biomass_Corn", 1/I47*S47, C47="Biomass_Agri", 1/I47*V47, C47="Biomass_Wood", 1/I47*U47, C47="Biomass_Herb", 1/I47*T47)</f>
        <v/>
      </c>
      <c r="AG47" s="1">
        <f>M47/I47/(0.9*8760)</f>
        <v/>
      </c>
      <c r="AH47" s="1">
        <f>N47/I47/(0.9*8760)</f>
        <v/>
      </c>
      <c r="AI47" s="1">
        <f>O47/I47</f>
        <v/>
      </c>
      <c r="AJ47" s="1">
        <f>(AY47+AZ47+BA47+BB47+BC47-AW47)/I47</f>
        <v/>
      </c>
      <c r="AK47" s="1">
        <f>(Q47+R47)*-1*K47/I47</f>
        <v/>
      </c>
      <c r="AL47">
        <f>AJ47*Q47</f>
        <v/>
      </c>
      <c r="AM47" s="1">
        <f>(SUM(AY47:BB47)-AW47)/I47</f>
        <v/>
      </c>
      <c r="AN47" s="1">
        <f>K47/I47*-1*R47</f>
        <v/>
      </c>
      <c r="AO47">
        <f>AM47*Q47</f>
        <v/>
      </c>
      <c r="AQ47" s="8">
        <f>J47</f>
        <v/>
      </c>
      <c r="AR47" s="8" t="n">
        <v>0.243968185</v>
      </c>
      <c r="AS47" s="8" t="n">
        <v>0.249427613</v>
      </c>
      <c r="AT47" s="9" t="n">
        <v>0.246356685</v>
      </c>
      <c r="AU47" s="8" t="n">
        <v>0.23037491</v>
      </c>
      <c r="AW47" s="9">
        <f>AQ47</f>
        <v/>
      </c>
      <c r="AY47" s="9">
        <f>AR47*F47</f>
        <v/>
      </c>
      <c r="AZ47" s="9">
        <f>AS47*H47</f>
        <v/>
      </c>
      <c r="BA47" s="9">
        <f>AT47*G47</f>
        <v/>
      </c>
      <c r="BB47" s="9">
        <f>L47</f>
        <v/>
      </c>
      <c r="BC47" s="9">
        <f>K47</f>
        <v/>
      </c>
      <c r="BE47" s="1">
        <f>AW47-SUM(AY47:BC47)</f>
        <v/>
      </c>
    </row>
    <row r="48">
      <c r="B48" s="12" t="inlineStr">
        <is>
          <t>NE_Gasoline_Gasification_CCS_31_Wood</t>
        </is>
      </c>
      <c r="C48" s="11" t="inlineStr">
        <is>
          <t>Biomass_Wood</t>
        </is>
      </c>
      <c r="D48" s="11" t="n">
        <v>0</v>
      </c>
      <c r="E48" s="11" t="n">
        <v>0.1041</v>
      </c>
      <c r="F48" s="11" t="n">
        <v>2.0982</v>
      </c>
      <c r="G48" s="11" t="n">
        <v>0</v>
      </c>
      <c r="H48" s="11" t="n">
        <v>0</v>
      </c>
      <c r="I48" s="21">
        <f>F48+G48+H48</f>
        <v/>
      </c>
      <c r="J48" s="11" t="n">
        <v>1.826</v>
      </c>
      <c r="K48" s="11" t="n">
        <v>0.407768126770163</v>
      </c>
      <c r="L48" s="11" t="n">
        <v>0.9063412086154734</v>
      </c>
      <c r="M48" s="11" t="n">
        <v>434628.32</v>
      </c>
      <c r="N48" s="11" t="n">
        <v>354088</v>
      </c>
      <c r="O48" s="11" t="n">
        <v>23.5872</v>
      </c>
      <c r="Q48" s="14" t="n">
        <v>109.479795</v>
      </c>
      <c r="R48" s="14" t="n">
        <v>-21.506692</v>
      </c>
      <c r="S48" s="14" t="n">
        <v>170</v>
      </c>
      <c r="T48" s="14" t="n">
        <v>137.934648</v>
      </c>
      <c r="U48" s="14" t="n">
        <v>157.881351</v>
      </c>
      <c r="V48" s="14" t="n">
        <v>111.364845</v>
      </c>
      <c r="W48" s="14" t="n">
        <v>20.230252</v>
      </c>
      <c r="Y48">
        <f>B48</f>
        <v/>
      </c>
      <c r="Z48">
        <f>C48</f>
        <v/>
      </c>
      <c r="AA48" s="10">
        <f>SUM(AD48:AI48)+AK48+AL48</f>
        <v/>
      </c>
      <c r="AB48" s="10">
        <f>SUM(AD48:AI48)+AN48+AO48</f>
        <v/>
      </c>
      <c r="AC48" s="5">
        <f>AA48-AB48</f>
        <v/>
      </c>
      <c r="AD48" s="1">
        <f>D48/I48*W48*-1</f>
        <v/>
      </c>
      <c r="AE48" s="1">
        <f>E48/I48*W48</f>
        <v/>
      </c>
      <c r="AF48" s="1">
        <f t="array" ref="AF48">_xlfn.IFS(C48="Biomass_Corn", 1/I48*S48, C48="Biomass_Agri", 1/I48*V48, C48="Biomass_Wood", 1/I48*U48, C48="Biomass_Herb", 1/I48*T48)</f>
        <v/>
      </c>
      <c r="AG48" s="1">
        <f>M48/I48/(0.9*8760)</f>
        <v/>
      </c>
      <c r="AH48" s="1">
        <f>N48/I48/(0.9*8760)</f>
        <v/>
      </c>
      <c r="AI48" s="1">
        <f>O48/I48</f>
        <v/>
      </c>
      <c r="AJ48" s="1">
        <f>(AY48+AZ48+BA48+BB48+BC48-AW48)/I48</f>
        <v/>
      </c>
      <c r="AK48" s="1">
        <f>(Q48+R48)*-1*K48/I48</f>
        <v/>
      </c>
      <c r="AL48">
        <f>AJ48*Q48</f>
        <v/>
      </c>
      <c r="AM48" s="1">
        <f>(SUM(AY48:BB48)-AW48)/I48</f>
        <v/>
      </c>
      <c r="AN48" s="1">
        <f>K48/I48*-1*R48</f>
        <v/>
      </c>
      <c r="AO48">
        <f>AM48*Q48</f>
        <v/>
      </c>
      <c r="AQ48" s="8">
        <f>J48</f>
        <v/>
      </c>
      <c r="AR48" s="8" t="n">
        <v>0.243968185</v>
      </c>
      <c r="AS48" s="8" t="n">
        <v>0.249427613</v>
      </c>
      <c r="AT48" s="9" t="n">
        <v>0.246356685</v>
      </c>
      <c r="AU48" s="8" t="n">
        <v>0.23037491</v>
      </c>
      <c r="AW48" s="9">
        <f>AQ48</f>
        <v/>
      </c>
      <c r="AY48" s="9">
        <f>AR48*F48</f>
        <v/>
      </c>
      <c r="AZ48" s="9">
        <f>AS48*H48</f>
        <v/>
      </c>
      <c r="BA48" s="9">
        <f>AT48*G48</f>
        <v/>
      </c>
      <c r="BB48" s="9">
        <f>L48</f>
        <v/>
      </c>
      <c r="BC48" s="9">
        <f>K48</f>
        <v/>
      </c>
      <c r="BE48" s="1">
        <f>AW48-SUM(AY48:BC48)</f>
        <v/>
      </c>
    </row>
    <row r="49">
      <c r="B49" s="12" t="inlineStr">
        <is>
          <t>CA_Gasoline_Gasification_CCS_31_Agri</t>
        </is>
      </c>
      <c r="C49" s="11" t="inlineStr">
        <is>
          <t>Biomass_Agri</t>
        </is>
      </c>
      <c r="D49" s="11" t="n">
        <v>0</v>
      </c>
      <c r="E49" s="11" t="n">
        <v>0.1041</v>
      </c>
      <c r="F49" s="11" t="n">
        <v>2.0315</v>
      </c>
      <c r="G49" s="11" t="n">
        <v>0</v>
      </c>
      <c r="H49" s="11" t="n">
        <v>0</v>
      </c>
      <c r="I49" s="21">
        <f>F49+G49+H49</f>
        <v/>
      </c>
      <c r="J49" s="11" t="n">
        <v>1.719</v>
      </c>
      <c r="K49" s="11" t="n">
        <v>0.3796112254963621</v>
      </c>
      <c r="L49" s="11" t="n">
        <v>0.8437572098770252</v>
      </c>
      <c r="M49" s="11" t="n">
        <v>434628.32</v>
      </c>
      <c r="N49" s="11" t="n">
        <v>354088</v>
      </c>
      <c r="O49" s="11" t="n">
        <v>23.5872</v>
      </c>
      <c r="Q49" s="14" t="n">
        <v>109.479795</v>
      </c>
      <c r="R49" s="14" t="n">
        <v>-6.495931</v>
      </c>
      <c r="S49" s="14" t="n">
        <v>170</v>
      </c>
      <c r="T49" s="14" t="n">
        <v>1554.082648</v>
      </c>
      <c r="U49" s="14" t="n">
        <v>159.857018</v>
      </c>
      <c r="V49" s="14" t="n">
        <v>138.164517</v>
      </c>
      <c r="W49" s="14" t="n">
        <v>36.550692</v>
      </c>
      <c r="Y49">
        <f>B49</f>
        <v/>
      </c>
      <c r="Z49">
        <f>C49</f>
        <v/>
      </c>
      <c r="AA49" s="10">
        <f>SUM(AD49:AI49)+AK49+AL49</f>
        <v/>
      </c>
      <c r="AB49" s="10">
        <f>SUM(AD49:AI49)+AN49+AO49</f>
        <v/>
      </c>
      <c r="AC49" s="5">
        <f>AA49-AB49</f>
        <v/>
      </c>
      <c r="AD49" s="1">
        <f>D49/I49*W49*-1</f>
        <v/>
      </c>
      <c r="AE49" s="1">
        <f>E49/I49*W49</f>
        <v/>
      </c>
      <c r="AF49" s="1">
        <f t="array" ref="AF49">_xlfn.IFS(C49="Biomass_Corn", 1/I49*S49, C49="Biomass_Agri", 1/I49*V49, C49="Biomass_Wood", 1/I49*U49, C49="Biomass_Herb", 1/I49*T49)</f>
        <v/>
      </c>
      <c r="AG49" s="1">
        <f>M49/I49/(0.9*8760)</f>
        <v/>
      </c>
      <c r="AH49" s="1">
        <f>N49/I49/(0.9*8760)</f>
        <v/>
      </c>
      <c r="AI49" s="1">
        <f>O49/I49</f>
        <v/>
      </c>
      <c r="AJ49" s="1">
        <f>(AY49+AZ49+BA49+BB49+BC49-AW49)/I49</f>
        <v/>
      </c>
      <c r="AK49" s="1">
        <f>(Q49+R49)*-1*K49/I49</f>
        <v/>
      </c>
      <c r="AL49">
        <f>AJ49*Q49</f>
        <v/>
      </c>
      <c r="AM49" s="1">
        <f>(SUM(AY49:BB49)-AW49)/I49</f>
        <v/>
      </c>
      <c r="AN49" s="1">
        <f>K49/I49*-1*R49</f>
        <v/>
      </c>
      <c r="AO49">
        <f>AM49*Q49</f>
        <v/>
      </c>
      <c r="AQ49" s="8">
        <f>J49</f>
        <v/>
      </c>
      <c r="AR49" s="8" t="n">
        <v>0.243968185</v>
      </c>
      <c r="AS49" s="8" t="n">
        <v>0.249427613</v>
      </c>
      <c r="AT49" s="9" t="n">
        <v>0.246356685</v>
      </c>
      <c r="AU49" s="8" t="n">
        <v>0.23037491</v>
      </c>
      <c r="AW49" s="9">
        <f>AQ49</f>
        <v/>
      </c>
      <c r="AY49" s="9">
        <f>AR49*F49</f>
        <v/>
      </c>
      <c r="AZ49" s="9">
        <f>AS49*H49</f>
        <v/>
      </c>
      <c r="BA49" s="9">
        <f>AT49*G49</f>
        <v/>
      </c>
      <c r="BB49" s="9">
        <f>L49</f>
        <v/>
      </c>
      <c r="BC49" s="9">
        <f>K49</f>
        <v/>
      </c>
      <c r="BE49" s="1">
        <f>AW49-SUM(AY49:BC49)</f>
        <v/>
      </c>
    </row>
    <row r="50">
      <c r="B50" s="12" t="inlineStr">
        <is>
          <t>NW_Gasoline_Gasification_CCS_31_Agri</t>
        </is>
      </c>
      <c r="C50" s="11" t="inlineStr">
        <is>
          <t>Biomass_Agri</t>
        </is>
      </c>
      <c r="D50" s="11" t="n">
        <v>0</v>
      </c>
      <c r="E50" s="11" t="n">
        <v>0.1041</v>
      </c>
      <c r="F50" s="11" t="n">
        <v>1.8572</v>
      </c>
      <c r="G50" s="11" t="n">
        <v>0</v>
      </c>
      <c r="H50" s="11" t="n">
        <v>0</v>
      </c>
      <c r="I50" s="21">
        <f>F50+G50+H50</f>
        <v/>
      </c>
      <c r="J50" s="11" t="n">
        <v>1.664</v>
      </c>
      <c r="K50" s="11" t="n">
        <v>0.3757463288299165</v>
      </c>
      <c r="L50" s="11" t="n">
        <v>0.8351667515114194</v>
      </c>
      <c r="M50" s="11" t="n">
        <v>434628.32</v>
      </c>
      <c r="N50" s="11" t="n">
        <v>354088</v>
      </c>
      <c r="O50" s="11" t="n">
        <v>23.5872</v>
      </c>
      <c r="Q50" s="14" t="n">
        <v>109.479795</v>
      </c>
      <c r="R50" s="14" t="n">
        <v>-7.354813</v>
      </c>
      <c r="S50" s="14" t="n">
        <v>170</v>
      </c>
      <c r="T50" s="14" t="n">
        <v>138.356765</v>
      </c>
      <c r="U50" s="14" t="n">
        <v>156.777934</v>
      </c>
      <c r="V50" s="14" t="n">
        <v>119.345797</v>
      </c>
      <c r="W50" s="14" t="n">
        <v>26.773822</v>
      </c>
      <c r="Y50">
        <f>B50</f>
        <v/>
      </c>
      <c r="Z50">
        <f>C50</f>
        <v/>
      </c>
      <c r="AA50" s="10">
        <f>SUM(AD50:AI50)+AK50+AL50</f>
        <v/>
      </c>
      <c r="AB50" s="10">
        <f>SUM(AD50:AI50)+AN50+AO50</f>
        <v/>
      </c>
      <c r="AC50" s="5">
        <f>AA50-AB50</f>
        <v/>
      </c>
      <c r="AD50" s="1">
        <f>D50/I50*W50*-1</f>
        <v/>
      </c>
      <c r="AE50" s="1">
        <f>E50/I50*W50</f>
        <v/>
      </c>
      <c r="AF50" s="1">
        <f t="array" ref="AF50">_xlfn.IFS(C50="Biomass_Corn", 1/I50*S50, C50="Biomass_Agri", 1/I50*V50, C50="Biomass_Wood", 1/I50*U50, C50="Biomass_Herb", 1/I50*T50)</f>
        <v/>
      </c>
      <c r="AG50" s="1">
        <f>M50/I50/(0.9*8760)</f>
        <v/>
      </c>
      <c r="AH50" s="1">
        <f>N50/I50/(0.9*8760)</f>
        <v/>
      </c>
      <c r="AI50" s="1">
        <f>O50/I50</f>
        <v/>
      </c>
      <c r="AJ50" s="1">
        <f>(AY50+AZ50+BA50+BB50+BC50-AW50)/I50</f>
        <v/>
      </c>
      <c r="AK50" s="1">
        <f>(Q50+R50)*-1*K50/I50</f>
        <v/>
      </c>
      <c r="AL50">
        <f>AJ50*Q50</f>
        <v/>
      </c>
      <c r="AM50" s="1">
        <f>(SUM(AY50:BB50)-AW50)/I50</f>
        <v/>
      </c>
      <c r="AN50" s="1">
        <f>K50/I50*-1*R50</f>
        <v/>
      </c>
      <c r="AO50">
        <f>AM50*Q50</f>
        <v/>
      </c>
      <c r="AQ50" s="8">
        <f>J50</f>
        <v/>
      </c>
      <c r="AR50" s="8" t="n">
        <v>0.243968185</v>
      </c>
      <c r="AS50" s="8" t="n">
        <v>0.249427613</v>
      </c>
      <c r="AT50" s="9" t="n">
        <v>0.246356685</v>
      </c>
      <c r="AU50" s="8" t="n">
        <v>0.23037491</v>
      </c>
      <c r="AW50" s="9">
        <f>AQ50</f>
        <v/>
      </c>
      <c r="AY50" s="9">
        <f>AR50*F50</f>
        <v/>
      </c>
      <c r="AZ50" s="9">
        <f>AS50*H50</f>
        <v/>
      </c>
      <c r="BA50" s="9">
        <f>AT50*G50</f>
        <v/>
      </c>
      <c r="BB50" s="9">
        <f>L50</f>
        <v/>
      </c>
      <c r="BC50" s="9">
        <f>K50</f>
        <v/>
      </c>
      <c r="BE50" s="1">
        <f>AW50-SUM(AY50:BC50)</f>
        <v/>
      </c>
    </row>
    <row r="51">
      <c r="B51" s="12" t="inlineStr">
        <is>
          <t>SW_Gasoline_Gasification_CCS_31_Agri</t>
        </is>
      </c>
      <c r="C51" s="11" t="inlineStr">
        <is>
          <t>Biomass_Agri</t>
        </is>
      </c>
      <c r="D51" s="11" t="n">
        <v>0</v>
      </c>
      <c r="E51" s="11" t="n">
        <v>0.1041</v>
      </c>
      <c r="F51" s="11" t="n">
        <v>1.8916</v>
      </c>
      <c r="G51" s="11" t="n">
        <v>0</v>
      </c>
      <c r="H51" s="11" t="n">
        <v>0</v>
      </c>
      <c r="I51" s="21">
        <f>F51+G51+H51</f>
        <v/>
      </c>
      <c r="J51" s="11" t="n">
        <v>1.687</v>
      </c>
      <c r="K51" s="11" t="n">
        <v>0.3802765428213803</v>
      </c>
      <c r="L51" s="11" t="n">
        <v>0.8452360025262842</v>
      </c>
      <c r="M51" s="11" t="n">
        <v>434628.32</v>
      </c>
      <c r="N51" s="11" t="n">
        <v>354088</v>
      </c>
      <c r="O51" s="11" t="n">
        <v>23.5872</v>
      </c>
      <c r="Q51" s="14" t="n">
        <v>109.479795</v>
      </c>
      <c r="R51" s="14" t="n">
        <v>-16.598628</v>
      </c>
      <c r="S51" s="14" t="n">
        <v>170</v>
      </c>
      <c r="T51" s="14" t="n">
        <v>123.651932</v>
      </c>
      <c r="U51" s="14" t="n">
        <v>141.0224</v>
      </c>
      <c r="V51" s="14" t="n">
        <v>111.7672</v>
      </c>
      <c r="W51" s="14" t="n">
        <v>27.997804</v>
      </c>
      <c r="Y51">
        <f>B51</f>
        <v/>
      </c>
      <c r="Z51">
        <f>C51</f>
        <v/>
      </c>
      <c r="AA51" s="10">
        <f>SUM(AD51:AI51)+AK51+AL51</f>
        <v/>
      </c>
      <c r="AB51" s="10">
        <f>SUM(AD51:AI51)+AN51+AO51</f>
        <v/>
      </c>
      <c r="AC51" s="5">
        <f>AA51-AB51</f>
        <v/>
      </c>
      <c r="AD51" s="1">
        <f>D51/I51*W51*-1</f>
        <v/>
      </c>
      <c r="AE51" s="1">
        <f>E51/I51*W51</f>
        <v/>
      </c>
      <c r="AF51" s="1">
        <f t="array" ref="AF51">_xlfn.IFS(C51="Biomass_Corn", 1/I51*S51, C51="Biomass_Agri", 1/I51*V51, C51="Biomass_Wood", 1/I51*U51, C51="Biomass_Herb", 1/I51*T51)</f>
        <v/>
      </c>
      <c r="AG51" s="1">
        <f>M51/I51/(0.9*8760)</f>
        <v/>
      </c>
      <c r="AH51" s="1">
        <f>N51/I51/(0.9*8760)</f>
        <v/>
      </c>
      <c r="AI51" s="1">
        <f>O51/I51</f>
        <v/>
      </c>
      <c r="AJ51" s="1">
        <f>(AY51+AZ51+BA51+BB51+BC51-AW51)/I51</f>
        <v/>
      </c>
      <c r="AK51" s="1">
        <f>(Q51+R51)*-1*K51/I51</f>
        <v/>
      </c>
      <c r="AL51">
        <f>AJ51*Q51</f>
        <v/>
      </c>
      <c r="AM51" s="1">
        <f>(SUM(AY51:BB51)-AW51)/I51</f>
        <v/>
      </c>
      <c r="AN51" s="1">
        <f>K51/I51*-1*R51</f>
        <v/>
      </c>
      <c r="AO51">
        <f>AM51*Q51</f>
        <v/>
      </c>
      <c r="AQ51" s="8">
        <f>J51</f>
        <v/>
      </c>
      <c r="AR51" s="8" t="n">
        <v>0.243968185</v>
      </c>
      <c r="AS51" s="8" t="n">
        <v>0.249427613</v>
      </c>
      <c r="AT51" s="9" t="n">
        <v>0.246356685</v>
      </c>
      <c r="AU51" s="8" t="n">
        <v>0.23037491</v>
      </c>
      <c r="AW51" s="9">
        <f>AQ51</f>
        <v/>
      </c>
      <c r="AY51" s="9">
        <f>AR51*F51</f>
        <v/>
      </c>
      <c r="AZ51" s="9">
        <f>AS51*H51</f>
        <v/>
      </c>
      <c r="BA51" s="9">
        <f>AT51*G51</f>
        <v/>
      </c>
      <c r="BB51" s="9">
        <f>L51</f>
        <v/>
      </c>
      <c r="BC51" s="9">
        <f>K51</f>
        <v/>
      </c>
      <c r="BE51" s="1">
        <f>AW51-SUM(AY51:BC51)</f>
        <v/>
      </c>
    </row>
    <row r="52">
      <c r="B52" s="12" t="inlineStr">
        <is>
          <t>TX_Gasoline_Gasification_CCS_31_Agri</t>
        </is>
      </c>
      <c r="C52" s="11" t="inlineStr">
        <is>
          <t>Biomass_Agri</t>
        </is>
      </c>
      <c r="D52" s="11" t="n">
        <v>0</v>
      </c>
      <c r="E52" s="11" t="n">
        <v>0.1041</v>
      </c>
      <c r="F52" s="11" t="n">
        <v>1.8427</v>
      </c>
      <c r="G52" s="11" t="n">
        <v>0</v>
      </c>
      <c r="H52" s="11" t="n">
        <v>0</v>
      </c>
      <c r="I52" s="21">
        <f>F52+G52+H52</f>
        <v/>
      </c>
      <c r="J52" s="11" t="n">
        <v>1.633</v>
      </c>
      <c r="K52" s="11" t="n">
        <v>0.3672201552205931</v>
      </c>
      <c r="L52" s="11" t="n">
        <v>0.816215730118089</v>
      </c>
      <c r="M52" s="11" t="n">
        <v>434628.32</v>
      </c>
      <c r="N52" s="11" t="n">
        <v>354088</v>
      </c>
      <c r="O52" s="11" t="n">
        <v>23.5872</v>
      </c>
      <c r="Q52" s="14" t="n">
        <v>109.479795</v>
      </c>
      <c r="R52" s="14" t="n">
        <v>-21.506692</v>
      </c>
      <c r="S52" s="14" t="n">
        <v>170</v>
      </c>
      <c r="T52" s="14" t="n">
        <v>137.934648</v>
      </c>
      <c r="U52" s="14" t="n">
        <v>157.881351</v>
      </c>
      <c r="V52" s="14" t="n">
        <v>111.364845</v>
      </c>
      <c r="W52" s="14" t="n">
        <v>20.230252</v>
      </c>
      <c r="Y52">
        <f>B52</f>
        <v/>
      </c>
      <c r="Z52">
        <f>C52</f>
        <v/>
      </c>
      <c r="AA52" s="10">
        <f>SUM(AD52:AI52)+AK52+AL52</f>
        <v/>
      </c>
      <c r="AB52" s="10">
        <f>SUM(AD52:AI52)+AN52+AO52</f>
        <v/>
      </c>
      <c r="AC52" s="5">
        <f>AA52-AB52</f>
        <v/>
      </c>
      <c r="AD52" s="1">
        <f>D52/I52*W52*-1</f>
        <v/>
      </c>
      <c r="AE52" s="1">
        <f>E52/I52*W52</f>
        <v/>
      </c>
      <c r="AF52" s="1">
        <f t="array" ref="AF52">_xlfn.IFS(C52="Biomass_Corn", 1/I52*S52, C52="Biomass_Agri", 1/I52*V52, C52="Biomass_Wood", 1/I52*U52, C52="Biomass_Herb", 1/I52*T52)</f>
        <v/>
      </c>
      <c r="AG52" s="1">
        <f>M52/I52/(0.9*8760)</f>
        <v/>
      </c>
      <c r="AH52" s="1">
        <f>N52/I52/(0.9*8760)</f>
        <v/>
      </c>
      <c r="AI52" s="1">
        <f>O52/I52</f>
        <v/>
      </c>
      <c r="AJ52" s="1">
        <f>(AY52+AZ52+BA52+BB52+BC52-AW52)/I52</f>
        <v/>
      </c>
      <c r="AK52" s="1">
        <f>(Q52+R52)*-1*K52/I52</f>
        <v/>
      </c>
      <c r="AL52">
        <f>AJ52*Q52</f>
        <v/>
      </c>
      <c r="AM52" s="1">
        <f>(SUM(AY52:BB52)-AW52)/I52</f>
        <v/>
      </c>
      <c r="AN52" s="1">
        <f>K52/I52*-1*R52</f>
        <v/>
      </c>
      <c r="AO52">
        <f>AM52*Q52</f>
        <v/>
      </c>
      <c r="AQ52" s="8">
        <f>J52</f>
        <v/>
      </c>
      <c r="AR52" s="8" t="n">
        <v>0.243968185</v>
      </c>
      <c r="AS52" s="8" t="n">
        <v>0.249427613</v>
      </c>
      <c r="AT52" s="9" t="n">
        <v>0.246356685</v>
      </c>
      <c r="AU52" s="8" t="n">
        <v>0.23037491</v>
      </c>
      <c r="AW52" s="9">
        <f>AQ52</f>
        <v/>
      </c>
      <c r="AY52" s="9">
        <f>AR52*F52</f>
        <v/>
      </c>
      <c r="AZ52" s="9">
        <f>AS52*H52</f>
        <v/>
      </c>
      <c r="BA52" s="9">
        <f>AT52*G52</f>
        <v/>
      </c>
      <c r="BB52" s="9">
        <f>L52</f>
        <v/>
      </c>
      <c r="BC52" s="9">
        <f>K52</f>
        <v/>
      </c>
      <c r="BE52" s="1">
        <f>AW52-SUM(AY52:BC52)</f>
        <v/>
      </c>
    </row>
    <row r="53">
      <c r="B53" s="12" t="inlineStr">
        <is>
          <t>NCEN_Gasoline_Gasification_CCS_31_Agri</t>
        </is>
      </c>
      <c r="C53" s="11" t="inlineStr">
        <is>
          <t>Biomass_Agri</t>
        </is>
      </c>
      <c r="D53" s="11" t="n">
        <v>0</v>
      </c>
      <c r="E53" s="11" t="n">
        <v>0.1041</v>
      </c>
      <c r="F53" s="11" t="n">
        <v>1.9216</v>
      </c>
      <c r="G53" s="11" t="n">
        <v>0</v>
      </c>
      <c r="H53" s="11" t="n">
        <v>0</v>
      </c>
      <c r="I53" s="21">
        <f>F53+G53+H53</f>
        <v/>
      </c>
      <c r="J53" s="11" t="n">
        <v>1.71</v>
      </c>
      <c r="K53" s="11" t="n">
        <v>0.3851431033945907</v>
      </c>
      <c r="L53" s="11" t="n">
        <v>0.8560528469585857</v>
      </c>
      <c r="M53" s="11" t="n">
        <v>434628.32</v>
      </c>
      <c r="N53" s="11" t="n">
        <v>354088</v>
      </c>
      <c r="O53" s="11" t="n">
        <v>23.5872</v>
      </c>
      <c r="Q53" s="14" t="n">
        <v>109.479795</v>
      </c>
      <c r="R53" s="14" t="n">
        <v>-41.717135</v>
      </c>
      <c r="S53" s="14" t="n">
        <v>170</v>
      </c>
      <c r="T53" s="14" t="n">
        <v>104.167382</v>
      </c>
      <c r="U53" s="14" t="n">
        <v>115.526389</v>
      </c>
      <c r="V53" s="14" t="n">
        <v>92.044978</v>
      </c>
      <c r="W53" s="14" t="n">
        <v>30.708173</v>
      </c>
      <c r="Y53">
        <f>B53</f>
        <v/>
      </c>
      <c r="Z53">
        <f>C53</f>
        <v/>
      </c>
      <c r="AA53" s="10">
        <f>SUM(AD53:AI53)+AK53+AL53</f>
        <v/>
      </c>
      <c r="AB53" s="10">
        <f>SUM(AD53:AI53)+AN53+AO53</f>
        <v/>
      </c>
      <c r="AC53" s="5">
        <f>AA53-AB53</f>
        <v/>
      </c>
      <c r="AD53" s="1">
        <f>D53/I53*W53*-1</f>
        <v/>
      </c>
      <c r="AE53" s="1">
        <f>E53/I53*W53</f>
        <v/>
      </c>
      <c r="AF53" s="1">
        <f t="array" ref="AF53">_xlfn.IFS(C53="Biomass_Corn", 1/I53*S53, C53="Biomass_Agri", 1/I53*V53, C53="Biomass_Wood", 1/I53*U53, C53="Biomass_Herb", 1/I53*T53)</f>
        <v/>
      </c>
      <c r="AG53" s="1">
        <f>M53/I53/(0.9*8760)</f>
        <v/>
      </c>
      <c r="AH53" s="1">
        <f>N53/I53/(0.9*8760)</f>
        <v/>
      </c>
      <c r="AI53" s="1">
        <f>O53/I53</f>
        <v/>
      </c>
      <c r="AJ53" s="1">
        <f>(AY53+AZ53+BA53+BB53+BC53-AW53)/I53</f>
        <v/>
      </c>
      <c r="AK53" s="1">
        <f>(Q53+R53)*-1*K53/I53</f>
        <v/>
      </c>
      <c r="AL53">
        <f>AJ53*Q53</f>
        <v/>
      </c>
      <c r="AM53" s="1">
        <f>(SUM(AY53:BB53)-AW53)/I53</f>
        <v/>
      </c>
      <c r="AN53" s="1">
        <f>K53/I53*-1*R53</f>
        <v/>
      </c>
      <c r="AO53">
        <f>AM53*Q53</f>
        <v/>
      </c>
      <c r="AQ53" s="8">
        <f>J53</f>
        <v/>
      </c>
      <c r="AR53" s="8" t="n">
        <v>0.243968185</v>
      </c>
      <c r="AS53" s="8" t="n">
        <v>0.249427613</v>
      </c>
      <c r="AT53" s="9" t="n">
        <v>0.246356685</v>
      </c>
      <c r="AU53" s="8" t="n">
        <v>0.23037491</v>
      </c>
      <c r="AW53" s="9">
        <f>AQ53</f>
        <v/>
      </c>
      <c r="AY53" s="9">
        <f>AR53*F53</f>
        <v/>
      </c>
      <c r="AZ53" s="9">
        <f>AS53*H53</f>
        <v/>
      </c>
      <c r="BA53" s="9">
        <f>AT53*G53</f>
        <v/>
      </c>
      <c r="BB53" s="9">
        <f>L53</f>
        <v/>
      </c>
      <c r="BC53" s="9">
        <f>K53</f>
        <v/>
      </c>
      <c r="BE53" s="1">
        <f>AW53-SUM(AY53:BC53)</f>
        <v/>
      </c>
    </row>
    <row r="54">
      <c r="B54" s="12" t="inlineStr">
        <is>
          <t>CEN_Gasoline_Gasification_CCS_31_Agri</t>
        </is>
      </c>
      <c r="C54" s="11" t="inlineStr">
        <is>
          <t>Biomass_Agri</t>
        </is>
      </c>
      <c r="D54" s="11" t="n">
        <v>0</v>
      </c>
      <c r="E54" s="11" t="n">
        <v>0.1041</v>
      </c>
      <c r="F54" s="11" t="n">
        <v>1.9071</v>
      </c>
      <c r="G54" s="11" t="n">
        <v>0</v>
      </c>
      <c r="H54" s="11" t="n">
        <v>0</v>
      </c>
      <c r="I54" s="21">
        <f>F54+G54+H54</f>
        <v/>
      </c>
      <c r="J54" s="11" t="n">
        <v>1.7</v>
      </c>
      <c r="K54" s="11" t="n">
        <v>0.3831332297852671</v>
      </c>
      <c r="L54" s="11" t="n">
        <v>0.8515855255652554</v>
      </c>
      <c r="M54" s="11" t="n">
        <v>434628.32</v>
      </c>
      <c r="N54" s="11" t="n">
        <v>354088</v>
      </c>
      <c r="O54" s="11" t="n">
        <v>23.5872</v>
      </c>
      <c r="Q54" s="14" t="n">
        <v>109.479795</v>
      </c>
      <c r="R54" s="14" t="n">
        <v>-31.70346</v>
      </c>
      <c r="S54" s="14" t="n">
        <v>170</v>
      </c>
      <c r="T54" s="14" t="n">
        <v>110.461518</v>
      </c>
      <c r="U54" s="14" t="n">
        <v>127.408748</v>
      </c>
      <c r="V54" s="14" t="n">
        <v>98.83247799999999</v>
      </c>
      <c r="W54" s="14" t="n">
        <v>25.324637</v>
      </c>
      <c r="Y54">
        <f>B54</f>
        <v/>
      </c>
      <c r="Z54">
        <f>C54</f>
        <v/>
      </c>
      <c r="AA54" s="10">
        <f>SUM(AD54:AI54)+AK54+AL54</f>
        <v/>
      </c>
      <c r="AB54" s="10">
        <f>SUM(AD54:AI54)+AN54+AO54</f>
        <v/>
      </c>
      <c r="AC54" s="5">
        <f>AA54-AB54</f>
        <v/>
      </c>
      <c r="AD54" s="1">
        <f>D54/I54*W54*-1</f>
        <v/>
      </c>
      <c r="AE54" s="1">
        <f>E54/I54*W54</f>
        <v/>
      </c>
      <c r="AF54" s="1">
        <f t="array" ref="AF54">_xlfn.IFS(C54="Biomass_Corn", 1/I54*S54, C54="Biomass_Agri", 1/I54*V54, C54="Biomass_Wood", 1/I54*U54, C54="Biomass_Herb", 1/I54*T54)</f>
        <v/>
      </c>
      <c r="AG54" s="1">
        <f>M54/I54/(0.9*8760)</f>
        <v/>
      </c>
      <c r="AH54" s="1">
        <f>N54/I54/(0.9*8760)</f>
        <v/>
      </c>
      <c r="AI54" s="1">
        <f>O54/I54</f>
        <v/>
      </c>
      <c r="AJ54" s="1">
        <f>(AY54+AZ54+BA54+BB54+BC54-AW54)/I54</f>
        <v/>
      </c>
      <c r="AK54" s="1">
        <f>(Q54+R54)*-1*K54/I54</f>
        <v/>
      </c>
      <c r="AL54">
        <f>AJ54*Q54</f>
        <v/>
      </c>
      <c r="AM54" s="1">
        <f>(SUM(AY54:BB54)-AW54)/I54</f>
        <v/>
      </c>
      <c r="AN54" s="1">
        <f>K54/I54*-1*R54</f>
        <v/>
      </c>
      <c r="AO54">
        <f>AM54*Q54</f>
        <v/>
      </c>
      <c r="AQ54" s="8">
        <f>J54</f>
        <v/>
      </c>
      <c r="AR54" s="8" t="n">
        <v>0.243968185</v>
      </c>
      <c r="AS54" s="8" t="n">
        <v>0.249427613</v>
      </c>
      <c r="AT54" s="9" t="n">
        <v>0.246356685</v>
      </c>
      <c r="AU54" s="8" t="n">
        <v>0.23037491</v>
      </c>
      <c r="AW54" s="9">
        <f>AQ54</f>
        <v/>
      </c>
      <c r="AY54" s="9">
        <f>AR54*F54</f>
        <v/>
      </c>
      <c r="AZ54" s="9">
        <f>AS54*H54</f>
        <v/>
      </c>
      <c r="BA54" s="9">
        <f>AT54*G54</f>
        <v/>
      </c>
      <c r="BB54" s="9">
        <f>L54</f>
        <v/>
      </c>
      <c r="BC54" s="9">
        <f>K54</f>
        <v/>
      </c>
      <c r="BE54" s="1">
        <f>AW54-SUM(AY54:BC54)</f>
        <v/>
      </c>
    </row>
    <row r="55">
      <c r="B55" s="12" t="inlineStr">
        <is>
          <t>SE_Gasoline_Gasification_CCS_31_Agri</t>
        </is>
      </c>
      <c r="C55" s="11" t="inlineStr">
        <is>
          <t>Biomass_Agri</t>
        </is>
      </c>
      <c r="D55" s="11" t="n">
        <v>0</v>
      </c>
      <c r="E55" s="11" t="n">
        <v>0.1041</v>
      </c>
      <c r="F55" s="11" t="n">
        <v>1.9138</v>
      </c>
      <c r="G55" s="11" t="n">
        <v>0</v>
      </c>
      <c r="H55" s="11" t="n">
        <v>0</v>
      </c>
      <c r="I55" s="21">
        <f>F55+G55+H55</f>
        <v/>
      </c>
      <c r="J55" s="11" t="n">
        <v>1.689</v>
      </c>
      <c r="K55" s="11" t="n">
        <v>0.3792154099126473</v>
      </c>
      <c r="L55" s="11" t="n">
        <v>0.8428774354391003</v>
      </c>
      <c r="M55" s="11" t="n">
        <v>434628.32</v>
      </c>
      <c r="N55" s="11" t="n">
        <v>354088</v>
      </c>
      <c r="O55" s="11" t="n">
        <v>23.5872</v>
      </c>
      <c r="Q55" s="14" t="n">
        <v>109.479795</v>
      </c>
      <c r="R55" s="14" t="n">
        <v>-47.70091</v>
      </c>
      <c r="S55" s="14" t="n">
        <v>170</v>
      </c>
      <c r="T55" s="14" t="n">
        <v>99.63284299999999</v>
      </c>
      <c r="U55" s="14" t="n">
        <v>113.227017</v>
      </c>
      <c r="V55" s="14" t="n">
        <v>88.855315</v>
      </c>
      <c r="W55" s="14" t="n">
        <v>38.218446</v>
      </c>
      <c r="Y55">
        <f>B55</f>
        <v/>
      </c>
      <c r="Z55">
        <f>C55</f>
        <v/>
      </c>
      <c r="AA55" s="10">
        <f>SUM(AD55:AI55)+AK55+AL55</f>
        <v/>
      </c>
      <c r="AB55" s="10">
        <f>SUM(AD55:AI55)+AN55+AO55</f>
        <v/>
      </c>
      <c r="AC55" s="5">
        <f>AA55-AB55</f>
        <v/>
      </c>
      <c r="AD55" s="1">
        <f>D55/I55*W55*-1</f>
        <v/>
      </c>
      <c r="AE55" s="1">
        <f>E55/I55*W55</f>
        <v/>
      </c>
      <c r="AF55" s="1">
        <f t="array" ref="AF55">_xlfn.IFS(C55="Biomass_Corn", 1/I55*S55, C55="Biomass_Agri", 1/I55*V55, C55="Biomass_Wood", 1/I55*U55, C55="Biomass_Herb", 1/I55*T55)</f>
        <v/>
      </c>
      <c r="AG55" s="1">
        <f>M55/I55/(0.9*8760)</f>
        <v/>
      </c>
      <c r="AH55" s="1">
        <f>N55/I55/(0.9*8760)</f>
        <v/>
      </c>
      <c r="AI55" s="1">
        <f>O55/I55</f>
        <v/>
      </c>
      <c r="AJ55" s="1">
        <f>(AY55+AZ55+BA55+BB55+BC55-AW55)/I55</f>
        <v/>
      </c>
      <c r="AK55" s="1">
        <f>(Q55+R55)*-1*K55/I55</f>
        <v/>
      </c>
      <c r="AL55">
        <f>AJ55*Q55</f>
        <v/>
      </c>
      <c r="AM55" s="1">
        <f>(SUM(AY55:BB55)-AW55)/I55</f>
        <v/>
      </c>
      <c r="AN55" s="1">
        <f>K55/I55*-1*R55</f>
        <v/>
      </c>
      <c r="AO55">
        <f>AM55*Q55</f>
        <v/>
      </c>
      <c r="AQ55" s="8">
        <f>J55</f>
        <v/>
      </c>
      <c r="AR55" s="8" t="n">
        <v>0.243968185</v>
      </c>
      <c r="AS55" s="8" t="n">
        <v>0.249427613</v>
      </c>
      <c r="AT55" s="9" t="n">
        <v>0.246356685</v>
      </c>
      <c r="AU55" s="8" t="n">
        <v>0.23037491</v>
      </c>
      <c r="AW55" s="9">
        <f>AQ55</f>
        <v/>
      </c>
      <c r="AY55" s="9">
        <f>AR55*F55</f>
        <v/>
      </c>
      <c r="AZ55" s="9">
        <f>AS55*H55</f>
        <v/>
      </c>
      <c r="BA55" s="9">
        <f>AT55*G55</f>
        <v/>
      </c>
      <c r="BB55" s="9">
        <f>L55</f>
        <v/>
      </c>
      <c r="BC55" s="9">
        <f>K55</f>
        <v/>
      </c>
      <c r="BE55" s="1">
        <f>AW55-SUM(AY55:BC55)</f>
        <v/>
      </c>
    </row>
    <row r="56">
      <c r="B56" s="12" t="inlineStr">
        <is>
          <t>MIDAT_Gasoline_Gasification_CCS_31_Agri</t>
        </is>
      </c>
      <c r="C56" s="11" t="inlineStr">
        <is>
          <t>Biomass_Agri</t>
        </is>
      </c>
      <c r="D56" s="11" t="n">
        <v>0</v>
      </c>
      <c r="E56" s="11" t="n">
        <v>0.1041</v>
      </c>
      <c r="F56" s="11" t="n">
        <v>1.9194</v>
      </c>
      <c r="G56" s="11" t="n">
        <v>0</v>
      </c>
      <c r="H56" s="11" t="n">
        <v>0</v>
      </c>
      <c r="I56" s="21">
        <f>F56+G56+H56</f>
        <v/>
      </c>
      <c r="J56" s="11" t="n">
        <v>1.708</v>
      </c>
      <c r="K56" s="11" t="n">
        <v>0.384690676685464</v>
      </c>
      <c r="L56" s="11" t="n">
        <v>0.8550472436673041</v>
      </c>
      <c r="M56" s="11" t="n">
        <v>434628.32</v>
      </c>
      <c r="N56" s="11" t="n">
        <v>354088</v>
      </c>
      <c r="O56" s="11" t="n">
        <v>23.5872</v>
      </c>
      <c r="Q56" s="14" t="n">
        <v>109.479795</v>
      </c>
      <c r="R56" s="14" t="n">
        <v>-54.115443</v>
      </c>
      <c r="S56" s="14" t="n">
        <v>170</v>
      </c>
      <c r="T56" s="14" t="n">
        <v>100.773744</v>
      </c>
      <c r="U56" s="14" t="n">
        <v>108.668072</v>
      </c>
      <c r="V56" s="14" t="n">
        <v>89.424565</v>
      </c>
      <c r="W56" s="14" t="n">
        <v>39.359472</v>
      </c>
      <c r="Y56">
        <f>B56</f>
        <v/>
      </c>
      <c r="Z56">
        <f>C56</f>
        <v/>
      </c>
      <c r="AA56" s="10">
        <f>SUM(AD56:AI56)+AK56+AL56</f>
        <v/>
      </c>
      <c r="AB56" s="10">
        <f>SUM(AD56:AI56)+AN56+AO56</f>
        <v/>
      </c>
      <c r="AC56" s="5">
        <f>AA56-AB56</f>
        <v/>
      </c>
      <c r="AD56" s="1">
        <f>D56/I56*W56*-1</f>
        <v/>
      </c>
      <c r="AE56" s="1">
        <f>E56/I56*W56</f>
        <v/>
      </c>
      <c r="AF56" s="1">
        <f t="array" ref="AF56">_xlfn.IFS(C56="Biomass_Corn", 1/I56*S56, C56="Biomass_Agri", 1/I56*V56, C56="Biomass_Wood", 1/I56*U56, C56="Biomass_Herb", 1/I56*T56)</f>
        <v/>
      </c>
      <c r="AG56" s="1">
        <f>M56/I56/(0.9*8760)</f>
        <v/>
      </c>
      <c r="AH56" s="1">
        <f>N56/I56/(0.9*8760)</f>
        <v/>
      </c>
      <c r="AI56" s="1">
        <f>O56/I56</f>
        <v/>
      </c>
      <c r="AJ56" s="1">
        <f>(AY56+AZ56+BA56+BB56+BC56-AW56)/I56</f>
        <v/>
      </c>
      <c r="AK56" s="1">
        <f>(Q56+R56)*-1*K56/I56</f>
        <v/>
      </c>
      <c r="AL56">
        <f>AJ56*Q56</f>
        <v/>
      </c>
      <c r="AM56" s="1">
        <f>(SUM(AY56:BB56)-AW56)/I56</f>
        <v/>
      </c>
      <c r="AN56" s="1">
        <f>K56/I56*-1*R56</f>
        <v/>
      </c>
      <c r="AO56">
        <f>AM56*Q56</f>
        <v/>
      </c>
      <c r="AQ56" s="8">
        <f>J56</f>
        <v/>
      </c>
      <c r="AR56" s="8" t="n">
        <v>0.243968185</v>
      </c>
      <c r="AS56" s="8" t="n">
        <v>0.249427613</v>
      </c>
      <c r="AT56" s="9" t="n">
        <v>0.246356685</v>
      </c>
      <c r="AU56" s="8" t="n">
        <v>0.23037491</v>
      </c>
      <c r="AW56" s="9">
        <f>AQ56</f>
        <v/>
      </c>
      <c r="AY56" s="9">
        <f>AR56*F56</f>
        <v/>
      </c>
      <c r="AZ56" s="9">
        <f>AS56*H56</f>
        <v/>
      </c>
      <c r="BA56" s="9">
        <f>AT56*G56</f>
        <v/>
      </c>
      <c r="BB56" s="9">
        <f>L56</f>
        <v/>
      </c>
      <c r="BC56" s="9">
        <f>K56</f>
        <v/>
      </c>
      <c r="BE56" s="1">
        <f>AW56-SUM(AY56:BC56)</f>
        <v/>
      </c>
    </row>
    <row r="57">
      <c r="B57" s="12" t="inlineStr">
        <is>
          <t>NE_Gasoline_Gasification_CCS_31_Agri</t>
        </is>
      </c>
      <c r="C57" s="11" t="inlineStr">
        <is>
          <t>Biomass_Agri</t>
        </is>
      </c>
      <c r="D57" s="11" t="n">
        <v>0</v>
      </c>
      <c r="E57" s="11" t="n">
        <v>0.1041</v>
      </c>
      <c r="F57" s="11" t="n">
        <v>1.9416</v>
      </c>
      <c r="G57" s="11" t="n">
        <v>0</v>
      </c>
      <c r="H57" s="11" t="n">
        <v>0</v>
      </c>
      <c r="I57" s="21">
        <f>F57+G57+H57</f>
        <v/>
      </c>
      <c r="J57" s="11" t="n">
        <v>1.715</v>
      </c>
      <c r="K57" s="11" t="n">
        <v>0.385181043776731</v>
      </c>
      <c r="L57" s="11" t="n">
        <v>0.8561371765801203</v>
      </c>
      <c r="M57" s="11" t="n">
        <v>434628.32</v>
      </c>
      <c r="N57" s="11" t="n">
        <v>354088</v>
      </c>
      <c r="O57" s="11" t="n">
        <v>23.5872</v>
      </c>
      <c r="Q57" s="14" t="n">
        <v>109.479795</v>
      </c>
      <c r="R57" s="14" t="n">
        <v>-62.623761</v>
      </c>
      <c r="S57" s="14" t="n">
        <v>170</v>
      </c>
      <c r="T57" s="14" t="n">
        <v>101.592362</v>
      </c>
      <c r="U57" s="14" t="n">
        <v>107.351319</v>
      </c>
      <c r="V57" s="14" t="n">
        <v>91.70665</v>
      </c>
      <c r="W57" s="14" t="n">
        <v>47.446025</v>
      </c>
      <c r="Y57">
        <f>B57</f>
        <v/>
      </c>
      <c r="Z57">
        <f>C57</f>
        <v/>
      </c>
      <c r="AA57" s="10">
        <f>SUM(AD57:AI57)+AK57+AL57</f>
        <v/>
      </c>
      <c r="AB57" s="10">
        <f>SUM(AD57:AI57)+AN57+AO57</f>
        <v/>
      </c>
      <c r="AC57" s="5">
        <f>AA57-AB57</f>
        <v/>
      </c>
      <c r="AD57" s="1">
        <f>D57/I57*W57*-1</f>
        <v/>
      </c>
      <c r="AE57" s="1">
        <f>E57/I57*W57</f>
        <v/>
      </c>
      <c r="AF57" s="1">
        <f t="array" ref="AF57">_xlfn.IFS(C57="Biomass_Corn", 1/I57*S57, C57="Biomass_Agri", 1/I57*V57, C57="Biomass_Wood", 1/I57*U57, C57="Biomass_Herb", 1/I57*T57)</f>
        <v/>
      </c>
      <c r="AG57" s="1">
        <f>M57/I57/(0.9*8760)</f>
        <v/>
      </c>
      <c r="AH57" s="1">
        <f>N57/I57/(0.9*8760)</f>
        <v/>
      </c>
      <c r="AI57" s="1">
        <f>O57/I57</f>
        <v/>
      </c>
      <c r="AJ57" s="1">
        <f>(AY57+AZ57+BA57+BB57+BC57-AW57)/I57</f>
        <v/>
      </c>
      <c r="AK57" s="1">
        <f>(Q57+R57)*-1*K57/I57</f>
        <v/>
      </c>
      <c r="AL57">
        <f>AJ57*Q57</f>
        <v/>
      </c>
      <c r="AM57" s="1">
        <f>(SUM(AY57:BB57)-AW57)/I57</f>
        <v/>
      </c>
      <c r="AN57" s="1">
        <f>K57/I57*-1*R57</f>
        <v/>
      </c>
      <c r="AO57">
        <f>AM57*Q57</f>
        <v/>
      </c>
      <c r="AQ57" s="8">
        <f>J57</f>
        <v/>
      </c>
      <c r="AR57" s="8" t="n">
        <v>0.243968185</v>
      </c>
      <c r="AS57" s="8" t="n">
        <v>0.249427613</v>
      </c>
      <c r="AT57" s="9" t="n">
        <v>0.246356685</v>
      </c>
      <c r="AU57" s="8" t="n">
        <v>0.23037491</v>
      </c>
      <c r="AW57" s="9">
        <f>AQ57</f>
        <v/>
      </c>
      <c r="AY57" s="9">
        <f>AR57*F57</f>
        <v/>
      </c>
      <c r="AZ57" s="9">
        <f>AS57*H57</f>
        <v/>
      </c>
      <c r="BA57" s="9">
        <f>AT57*G57</f>
        <v/>
      </c>
      <c r="BB57" s="9">
        <f>L57</f>
        <v/>
      </c>
      <c r="BC57" s="9">
        <f>K57</f>
        <v/>
      </c>
      <c r="BE57" s="1">
        <f>AW57-SUM(AY57:BC57)</f>
        <v/>
      </c>
    </row>
    <row r="58">
      <c r="B58" s="12" t="inlineStr">
        <is>
          <t>CA_Gasoline_Gasification_CCS_99_Herb</t>
        </is>
      </c>
      <c r="C58" s="11" t="inlineStr">
        <is>
          <t>Biomass_Herb</t>
        </is>
      </c>
      <c r="D58" s="11" t="n">
        <v>0</v>
      </c>
      <c r="E58" s="11" t="n">
        <v>1.1596</v>
      </c>
      <c r="F58" s="11" t="n">
        <v>2.0204</v>
      </c>
      <c r="G58" s="11" t="n">
        <v>0</v>
      </c>
      <c r="H58" s="11" t="n">
        <v>0</v>
      </c>
      <c r="I58" s="21">
        <f>F58+G58+H58</f>
        <v/>
      </c>
      <c r="J58" s="11" t="n">
        <v>1.721</v>
      </c>
      <c r="K58" s="11" t="n">
        <v>1.219604545202284</v>
      </c>
      <c r="L58" s="11" t="n">
        <v>0.008473740169062299</v>
      </c>
      <c r="M58" s="11" t="n">
        <v>590486.4</v>
      </c>
      <c r="N58" s="11" t="n">
        <v>434613.76</v>
      </c>
      <c r="O58" s="11" t="n">
        <v>28.7392</v>
      </c>
      <c r="Q58" s="15" t="n">
        <v>109.479795</v>
      </c>
      <c r="R58" s="15" t="n">
        <v>-6.495931</v>
      </c>
      <c r="S58" s="15" t="n">
        <v>170</v>
      </c>
      <c r="T58" s="14" t="n">
        <v>1554.082648</v>
      </c>
      <c r="U58" s="14" t="n">
        <v>159.857018</v>
      </c>
      <c r="V58" s="14" t="n">
        <v>138.164517</v>
      </c>
      <c r="W58" s="14" t="n">
        <v>36.550692</v>
      </c>
      <c r="Y58">
        <f>B58</f>
        <v/>
      </c>
      <c r="Z58">
        <f>C58</f>
        <v/>
      </c>
      <c r="AA58" s="10">
        <f>SUM(AD58:AI58)+AK58+AL58</f>
        <v/>
      </c>
      <c r="AB58" s="10">
        <f>SUM(AD58:AI58)+AN58+AO58</f>
        <v/>
      </c>
      <c r="AC58" s="5">
        <f>AA58-AB58</f>
        <v/>
      </c>
      <c r="AD58" s="1">
        <f>D58/I58*W58*-1</f>
        <v/>
      </c>
      <c r="AE58" s="1">
        <f>E58/I58*W58</f>
        <v/>
      </c>
      <c r="AF58" s="1">
        <f t="array" ref="AF58">_xlfn.IFS(C58="Biomass_Corn", 1/I58*S58, C58="Biomass_Agri", 1/I58*V58, C58="Biomass_Wood", 1/I58*U58, C58="Biomass_Herb", 1/I58*T58)</f>
        <v/>
      </c>
      <c r="AG58" s="1">
        <f>M58/I58/(0.9*8760)</f>
        <v/>
      </c>
      <c r="AH58" s="1">
        <f>N58/I58/(0.9*8760)</f>
        <v/>
      </c>
      <c r="AI58" s="1">
        <f>O58/I58</f>
        <v/>
      </c>
      <c r="AJ58" s="1">
        <f>(AY58+AZ58+BA58+BB58+BC58-AW58)/I58</f>
        <v/>
      </c>
      <c r="AK58" s="1">
        <f>(Q58+R58)*-1*K58/I58</f>
        <v/>
      </c>
      <c r="AL58">
        <f>AJ58*Q58</f>
        <v/>
      </c>
      <c r="AM58" s="1">
        <f>(SUM(AY58:BB58)-AW58)/I58</f>
        <v/>
      </c>
      <c r="AN58" s="1">
        <f>K58/I58*-1*R58</f>
        <v/>
      </c>
      <c r="AO58">
        <f>AM58*Q58</f>
        <v/>
      </c>
      <c r="AQ58" s="8">
        <f>J58</f>
        <v/>
      </c>
      <c r="AR58" s="8" t="n">
        <v>0.243968185</v>
      </c>
      <c r="AS58" s="8" t="n">
        <v>0.249427613</v>
      </c>
      <c r="AT58" s="9" t="n">
        <v>0.246356685</v>
      </c>
      <c r="AU58" s="8" t="n">
        <v>0.23037491</v>
      </c>
      <c r="AW58" s="9">
        <f>AQ58</f>
        <v/>
      </c>
      <c r="AY58" s="9">
        <f>AR58*F58</f>
        <v/>
      </c>
      <c r="AZ58" s="9">
        <f>AS58*H58</f>
        <v/>
      </c>
      <c r="BA58" s="9">
        <f>AT58*G58</f>
        <v/>
      </c>
      <c r="BB58" s="9">
        <f>L58</f>
        <v/>
      </c>
      <c r="BC58" s="9">
        <f>K58</f>
        <v/>
      </c>
      <c r="BE58" s="1">
        <f>AW58-SUM(AY58:BC58)</f>
        <v/>
      </c>
    </row>
    <row r="59">
      <c r="B59" s="12" t="inlineStr">
        <is>
          <t>NW_Gasoline_Gasification_CCS_99_Herb</t>
        </is>
      </c>
      <c r="C59" s="11" t="inlineStr">
        <is>
          <t>Biomass_Herb</t>
        </is>
      </c>
      <c r="D59" s="11" t="n">
        <v>0</v>
      </c>
      <c r="E59" s="11" t="n">
        <v>1.1596</v>
      </c>
      <c r="F59" s="11" t="n">
        <v>2.0249</v>
      </c>
      <c r="G59" s="11" t="n">
        <v>0</v>
      </c>
      <c r="H59" s="11" t="n">
        <v>0</v>
      </c>
      <c r="I59" s="21">
        <f>F59+G59+H59</f>
        <v/>
      </c>
      <c r="J59" s="11" t="n">
        <v>1.726</v>
      </c>
      <c r="K59" s="11" t="n">
        <v>1.223493584389094</v>
      </c>
      <c r="L59" s="11" t="n">
        <v>0.008500760983067899</v>
      </c>
      <c r="M59" s="11" t="n">
        <v>590486.4</v>
      </c>
      <c r="N59" s="11" t="n">
        <v>434613.76</v>
      </c>
      <c r="O59" s="11" t="n">
        <v>28.7392</v>
      </c>
      <c r="Q59" s="15" t="n">
        <v>109.479795</v>
      </c>
      <c r="R59" s="15" t="n">
        <v>-7.354813</v>
      </c>
      <c r="S59" s="15" t="n">
        <v>170</v>
      </c>
      <c r="T59" s="14" t="n">
        <v>138.356765</v>
      </c>
      <c r="U59" s="14" t="n">
        <v>156.777934</v>
      </c>
      <c r="V59" s="14" t="n">
        <v>119.345797</v>
      </c>
      <c r="W59" s="14" t="n">
        <v>26.773822</v>
      </c>
      <c r="Y59">
        <f>B59</f>
        <v/>
      </c>
      <c r="Z59">
        <f>C59</f>
        <v/>
      </c>
      <c r="AA59" s="10">
        <f>SUM(AD59:AI59)+AK59+AL59</f>
        <v/>
      </c>
      <c r="AB59" s="10">
        <f>SUM(AD59:AI59)+AN59+AO59</f>
        <v/>
      </c>
      <c r="AC59" s="5">
        <f>AA59-AB59</f>
        <v/>
      </c>
      <c r="AD59" s="1">
        <f>D59/I59*W59*-1</f>
        <v/>
      </c>
      <c r="AE59" s="1">
        <f>E59/I59*W59</f>
        <v/>
      </c>
      <c r="AF59" s="1">
        <f t="array" ref="AF59">_xlfn.IFS(C59="Biomass_Corn", 1/I59*S59, C59="Biomass_Agri", 1/I59*V59, C59="Biomass_Wood", 1/I59*U59, C59="Biomass_Herb", 1/I59*T59)</f>
        <v/>
      </c>
      <c r="AG59" s="1">
        <f>M59/I59/(0.9*8760)</f>
        <v/>
      </c>
      <c r="AH59" s="1">
        <f>N59/I59/(0.9*8760)</f>
        <v/>
      </c>
      <c r="AI59" s="1">
        <f>O59/I59</f>
        <v/>
      </c>
      <c r="AJ59" s="1">
        <f>(AY59+AZ59+BA59+BB59+BC59-AW59)/I59</f>
        <v/>
      </c>
      <c r="AK59" s="1">
        <f>(Q59+R59)*-1*K59/I59</f>
        <v/>
      </c>
      <c r="AL59">
        <f>AJ59*Q59</f>
        <v/>
      </c>
      <c r="AM59" s="1">
        <f>(SUM(AY59:BB59)-AW59)/I59</f>
        <v/>
      </c>
      <c r="AN59" s="1">
        <f>K59/I59*-1*R59</f>
        <v/>
      </c>
      <c r="AO59">
        <f>AM59*Q59</f>
        <v/>
      </c>
      <c r="AQ59" s="8">
        <f>J59</f>
        <v/>
      </c>
      <c r="AR59" s="8" t="n">
        <v>0.243968185</v>
      </c>
      <c r="AS59" s="8" t="n">
        <v>0.249427613</v>
      </c>
      <c r="AT59" s="9" t="n">
        <v>0.246356685</v>
      </c>
      <c r="AU59" s="8" t="n">
        <v>0.23037491</v>
      </c>
      <c r="AW59" s="9">
        <f>AQ59</f>
        <v/>
      </c>
      <c r="AY59" s="9">
        <f>AR59*F59</f>
        <v/>
      </c>
      <c r="AZ59" s="9">
        <f>AS59*H59</f>
        <v/>
      </c>
      <c r="BA59" s="9">
        <f>AT59*G59</f>
        <v/>
      </c>
      <c r="BB59" s="9">
        <f>L59</f>
        <v/>
      </c>
      <c r="BC59" s="9">
        <f>K59</f>
        <v/>
      </c>
      <c r="BE59" s="1">
        <f>AW59-SUM(AY59:BC59)</f>
        <v/>
      </c>
    </row>
    <row r="60">
      <c r="B60" s="12" t="inlineStr">
        <is>
          <t>SW_Gasoline_Gasification_CCS_99_Herb</t>
        </is>
      </c>
      <c r="C60" s="11" t="inlineStr">
        <is>
          <t>Biomass_Herb</t>
        </is>
      </c>
      <c r="D60" s="11" t="n">
        <v>0</v>
      </c>
      <c r="E60" s="11" t="n">
        <v>1.1596</v>
      </c>
      <c r="F60" s="11" t="n">
        <v>2.0115</v>
      </c>
      <c r="G60" s="11" t="n">
        <v>0</v>
      </c>
      <c r="H60" s="11" t="n">
        <v>0</v>
      </c>
      <c r="I60" s="21">
        <f>F60+G60+H60</f>
        <v/>
      </c>
      <c r="J60" s="11" t="n">
        <v>1.71</v>
      </c>
      <c r="K60" s="11" t="n">
        <v>1.210833366828661</v>
      </c>
      <c r="L60" s="11" t="n">
        <v>0.008412798541051</v>
      </c>
      <c r="M60" s="11" t="n">
        <v>590486.4</v>
      </c>
      <c r="N60" s="11" t="n">
        <v>434613.76</v>
      </c>
      <c r="O60" s="11" t="n">
        <v>28.7392</v>
      </c>
      <c r="Q60" s="15" t="n">
        <v>109.479795</v>
      </c>
      <c r="R60" s="15" t="n">
        <v>-16.598628</v>
      </c>
      <c r="S60" s="15" t="n">
        <v>170</v>
      </c>
      <c r="T60" s="14" t="n">
        <v>123.651932</v>
      </c>
      <c r="U60" s="14" t="n">
        <v>141.0224</v>
      </c>
      <c r="V60" s="14" t="n">
        <v>111.7672</v>
      </c>
      <c r="W60" s="14" t="n">
        <v>27.997804</v>
      </c>
      <c r="Y60">
        <f>B60</f>
        <v/>
      </c>
      <c r="Z60">
        <f>C60</f>
        <v/>
      </c>
      <c r="AA60" s="10">
        <f>SUM(AD60:AI60)+AK60+AL60</f>
        <v/>
      </c>
      <c r="AB60" s="10">
        <f>SUM(AD60:AI60)+AN60+AO60</f>
        <v/>
      </c>
      <c r="AC60" s="5">
        <f>AA60-AB60</f>
        <v/>
      </c>
      <c r="AD60" s="1">
        <f>D60/I60*W60*-1</f>
        <v/>
      </c>
      <c r="AE60" s="1">
        <f>E60/I60*W60</f>
        <v/>
      </c>
      <c r="AF60" s="1">
        <f t="array" ref="AF60">_xlfn.IFS(C60="Biomass_Corn", 1/I60*S60, C60="Biomass_Agri", 1/I60*V60, C60="Biomass_Wood", 1/I60*U60, C60="Biomass_Herb", 1/I60*T60)</f>
        <v/>
      </c>
      <c r="AG60" s="1">
        <f>M60/I60/(0.9*8760)</f>
        <v/>
      </c>
      <c r="AH60" s="1">
        <f>N60/I60/(0.9*8760)</f>
        <v/>
      </c>
      <c r="AI60" s="1">
        <f>O60/I60</f>
        <v/>
      </c>
      <c r="AJ60" s="1">
        <f>(AY60+AZ60+BA60+BB60+BC60-AW60)/I60</f>
        <v/>
      </c>
      <c r="AK60" s="1">
        <f>(Q60+R60)*-1*K60/I60</f>
        <v/>
      </c>
      <c r="AL60">
        <f>AJ60*Q60</f>
        <v/>
      </c>
      <c r="AM60" s="1">
        <f>(SUM(AY60:BB60)-AW60)/I60</f>
        <v/>
      </c>
      <c r="AN60" s="1">
        <f>K60/I60*-1*R60</f>
        <v/>
      </c>
      <c r="AO60">
        <f>AM60*Q60</f>
        <v/>
      </c>
      <c r="AQ60" s="8">
        <f>J60</f>
        <v/>
      </c>
      <c r="AR60" s="8" t="n">
        <v>0.243968185</v>
      </c>
      <c r="AS60" s="8" t="n">
        <v>0.249427613</v>
      </c>
      <c r="AT60" s="9" t="n">
        <v>0.246356685</v>
      </c>
      <c r="AU60" s="8" t="n">
        <v>0.23037491</v>
      </c>
      <c r="AW60" s="9">
        <f>AQ60</f>
        <v/>
      </c>
      <c r="AY60" s="9">
        <f>AR60*F60</f>
        <v/>
      </c>
      <c r="AZ60" s="9">
        <f>AS60*H60</f>
        <v/>
      </c>
      <c r="BA60" s="9">
        <f>AT60*G60</f>
        <v/>
      </c>
      <c r="BB60" s="9">
        <f>L60</f>
        <v/>
      </c>
      <c r="BC60" s="9">
        <f>K60</f>
        <v/>
      </c>
      <c r="BE60" s="1">
        <f>AW60-SUM(AY60:BC60)</f>
        <v/>
      </c>
    </row>
    <row r="61">
      <c r="B61" s="12" t="inlineStr">
        <is>
          <t>TX_Gasoline_Gasification_CCS_99_Herb</t>
        </is>
      </c>
      <c r="C61" s="11" t="inlineStr">
        <is>
          <t>Biomass_Herb</t>
        </is>
      </c>
      <c r="D61" s="11" t="n">
        <v>0</v>
      </c>
      <c r="E61" s="11" t="n">
        <v>1.1596</v>
      </c>
      <c r="F61" s="11" t="n">
        <v>2.016</v>
      </c>
      <c r="G61" s="11" t="n">
        <v>0</v>
      </c>
      <c r="H61" s="11" t="n">
        <v>0</v>
      </c>
      <c r="I61" s="21">
        <f>F61+G61+H61</f>
        <v/>
      </c>
      <c r="J61" s="11" t="n">
        <v>1.714</v>
      </c>
      <c r="K61" s="11" t="n">
        <v>1.213729306015473</v>
      </c>
      <c r="L61" s="11" t="n">
        <v>0.008432919355056599</v>
      </c>
      <c r="M61" s="11" t="n">
        <v>590486.4</v>
      </c>
      <c r="N61" s="11" t="n">
        <v>434613.76</v>
      </c>
      <c r="O61" s="11" t="n">
        <v>28.7392</v>
      </c>
      <c r="Q61" s="15" t="n">
        <v>109.479795</v>
      </c>
      <c r="R61" s="15" t="n">
        <v>-21.506692</v>
      </c>
      <c r="S61" s="15" t="n">
        <v>170</v>
      </c>
      <c r="T61" s="14" t="n">
        <v>137.934648</v>
      </c>
      <c r="U61" s="14" t="n">
        <v>157.881351</v>
      </c>
      <c r="V61" s="14" t="n">
        <v>111.364845</v>
      </c>
      <c r="W61" s="14" t="n">
        <v>20.230252</v>
      </c>
      <c r="Y61">
        <f>B61</f>
        <v/>
      </c>
      <c r="Z61">
        <f>C61</f>
        <v/>
      </c>
      <c r="AA61" s="10">
        <f>SUM(AD61:AI61)+AK61+AL61</f>
        <v/>
      </c>
      <c r="AB61" s="10">
        <f>SUM(AD61:AI61)+AN61+AO61</f>
        <v/>
      </c>
      <c r="AC61" s="5">
        <f>AA61-AB61</f>
        <v/>
      </c>
      <c r="AD61" s="1">
        <f>D61/I61*W61*-1</f>
        <v/>
      </c>
      <c r="AE61" s="1">
        <f>E61/I61*W61</f>
        <v/>
      </c>
      <c r="AF61" s="1">
        <f t="array" ref="AF61">_xlfn.IFS(C61="Biomass_Corn", 1/I61*S61, C61="Biomass_Agri", 1/I61*V61, C61="Biomass_Wood", 1/I61*U61, C61="Biomass_Herb", 1/I61*T61)</f>
        <v/>
      </c>
      <c r="AG61" s="1">
        <f>M61/I61/(0.9*8760)</f>
        <v/>
      </c>
      <c r="AH61" s="1">
        <f>N61/I61/(0.9*8760)</f>
        <v/>
      </c>
      <c r="AI61" s="1">
        <f>O61/I61</f>
        <v/>
      </c>
      <c r="AJ61" s="1">
        <f>(AY61+AZ61+BA61+BB61+BC61-AW61)/I61</f>
        <v/>
      </c>
      <c r="AK61" s="1">
        <f>(Q61+R61)*-1*K61/I61</f>
        <v/>
      </c>
      <c r="AL61">
        <f>AJ61*Q61</f>
        <v/>
      </c>
      <c r="AM61" s="1">
        <f>(SUM(AY61:BB61)-AW61)/I61</f>
        <v/>
      </c>
      <c r="AN61" s="1">
        <f>K61/I61*-1*R61</f>
        <v/>
      </c>
      <c r="AO61">
        <f>AM61*Q61</f>
        <v/>
      </c>
      <c r="AQ61" s="8">
        <f>J61</f>
        <v/>
      </c>
      <c r="AR61" s="8" t="n">
        <v>0.243968185</v>
      </c>
      <c r="AS61" s="8" t="n">
        <v>0.249427613</v>
      </c>
      <c r="AT61" s="9" t="n">
        <v>0.246356685</v>
      </c>
      <c r="AU61" s="8" t="n">
        <v>0.23037491</v>
      </c>
      <c r="AW61" s="9">
        <f>AQ61</f>
        <v/>
      </c>
      <c r="AY61" s="9">
        <f>AR61*F61</f>
        <v/>
      </c>
      <c r="AZ61" s="9">
        <f>AS61*H61</f>
        <v/>
      </c>
      <c r="BA61" s="9">
        <f>AT61*G61</f>
        <v/>
      </c>
      <c r="BB61" s="9">
        <f>L61</f>
        <v/>
      </c>
      <c r="BC61" s="9">
        <f>K61</f>
        <v/>
      </c>
      <c r="BE61" s="1">
        <f>AW61-SUM(AY61:BC61)</f>
        <v/>
      </c>
    </row>
    <row r="62">
      <c r="B62" s="12" t="inlineStr">
        <is>
          <t>NCEN_Gasoline_Gasification_CCS_99_Herb</t>
        </is>
      </c>
      <c r="C62" s="11" t="inlineStr">
        <is>
          <t>Biomass_Herb</t>
        </is>
      </c>
      <c r="D62" s="11" t="n">
        <v>0</v>
      </c>
      <c r="E62" s="11" t="n">
        <v>1.1596</v>
      </c>
      <c r="F62" s="11" t="n">
        <v>2.0371</v>
      </c>
      <c r="G62" s="11" t="n">
        <v>0</v>
      </c>
      <c r="H62" s="11" t="n">
        <v>0</v>
      </c>
      <c r="I62" s="21">
        <f>F62+G62+H62</f>
        <v/>
      </c>
      <c r="J62" s="11" t="n">
        <v>1.74</v>
      </c>
      <c r="K62" s="11" t="n">
        <v>1.234436717152824</v>
      </c>
      <c r="L62" s="11" t="n">
        <v>0.0085767932215834</v>
      </c>
      <c r="M62" s="11" t="n">
        <v>590486.4</v>
      </c>
      <c r="N62" s="11" t="n">
        <v>434613.76</v>
      </c>
      <c r="O62" s="11" t="n">
        <v>28.7392</v>
      </c>
      <c r="Q62" s="15" t="n">
        <v>109.479795</v>
      </c>
      <c r="R62" s="15" t="n">
        <v>-41.717135</v>
      </c>
      <c r="S62" s="15" t="n">
        <v>170</v>
      </c>
      <c r="T62" s="14" t="n">
        <v>104.167382</v>
      </c>
      <c r="U62" s="14" t="n">
        <v>115.526389</v>
      </c>
      <c r="V62" s="14" t="n">
        <v>92.044978</v>
      </c>
      <c r="W62" s="14" t="n">
        <v>30.708173</v>
      </c>
      <c r="Y62">
        <f>B62</f>
        <v/>
      </c>
      <c r="Z62">
        <f>C62</f>
        <v/>
      </c>
      <c r="AA62" s="10">
        <f>SUM(AD62:AI62)+AK62+AL62</f>
        <v/>
      </c>
      <c r="AB62" s="10">
        <f>SUM(AD62:AI62)+AN62+AO62</f>
        <v/>
      </c>
      <c r="AC62" s="5">
        <f>AA62-AB62</f>
        <v/>
      </c>
      <c r="AD62" s="1">
        <f>D62/I62*W62*-1</f>
        <v/>
      </c>
      <c r="AE62" s="1">
        <f>E62/I62*W62</f>
        <v/>
      </c>
      <c r="AF62" s="1">
        <f t="array" ref="AF62">_xlfn.IFS(C62="Biomass_Corn", 1/I62*S62, C62="Biomass_Agri", 1/I62*V62, C62="Biomass_Wood", 1/I62*U62, C62="Biomass_Herb", 1/I62*T62)</f>
        <v/>
      </c>
      <c r="AG62" s="1">
        <f>M62/I62/(0.9*8760)</f>
        <v/>
      </c>
      <c r="AH62" s="1">
        <f>N62/I62/(0.9*8760)</f>
        <v/>
      </c>
      <c r="AI62" s="1">
        <f>O62/I62</f>
        <v/>
      </c>
      <c r="AJ62" s="1">
        <f>(AY62+AZ62+BA62+BB62+BC62-AW62)/I62</f>
        <v/>
      </c>
      <c r="AK62" s="1">
        <f>(Q62+R62)*-1*K62/I62</f>
        <v/>
      </c>
      <c r="AL62">
        <f>AJ62*Q62</f>
        <v/>
      </c>
      <c r="AM62" s="1">
        <f>(SUM(AY62:BB62)-AW62)/I62</f>
        <v/>
      </c>
      <c r="AN62" s="1">
        <f>K62/I62*-1*R62</f>
        <v/>
      </c>
      <c r="AO62">
        <f>AM62*Q62</f>
        <v/>
      </c>
      <c r="AQ62" s="8">
        <f>J62</f>
        <v/>
      </c>
      <c r="AR62" s="8" t="n">
        <v>0.243968185</v>
      </c>
      <c r="AS62" s="8" t="n">
        <v>0.249427613</v>
      </c>
      <c r="AT62" s="9" t="n">
        <v>0.246356685</v>
      </c>
      <c r="AU62" s="8" t="n">
        <v>0.23037491</v>
      </c>
      <c r="AW62" s="9">
        <f>AQ62</f>
        <v/>
      </c>
      <c r="AY62" s="9">
        <f>AR62*F62</f>
        <v/>
      </c>
      <c r="AZ62" s="9">
        <f>AS62*H62</f>
        <v/>
      </c>
      <c r="BA62" s="9">
        <f>AT62*G62</f>
        <v/>
      </c>
      <c r="BB62" s="9">
        <f>L62</f>
        <v/>
      </c>
      <c r="BC62" s="9">
        <f>K62</f>
        <v/>
      </c>
      <c r="BE62" s="1">
        <f>AW62-SUM(AY62:BC62)</f>
        <v/>
      </c>
    </row>
    <row r="63">
      <c r="B63" s="12" t="inlineStr">
        <is>
          <t>CEN_Gasoline_Gasification_CCS_99_Herb</t>
        </is>
      </c>
      <c r="C63" s="11" t="inlineStr">
        <is>
          <t>Biomass_Herb</t>
        </is>
      </c>
      <c r="D63" s="11" t="n">
        <v>0</v>
      </c>
      <c r="E63" s="11" t="n">
        <v>1.1596</v>
      </c>
      <c r="F63" s="11" t="n">
        <v>2.0249</v>
      </c>
      <c r="G63" s="11" t="n">
        <v>0</v>
      </c>
      <c r="H63" s="11" t="n">
        <v>0</v>
      </c>
      <c r="I63" s="21">
        <f>F63+G63+H63</f>
        <v/>
      </c>
      <c r="J63" s="11" t="n">
        <v>1.723</v>
      </c>
      <c r="K63" s="11" t="n">
        <v>1.220514284389095</v>
      </c>
      <c r="L63" s="11" t="n">
        <v>0.008480060983067901</v>
      </c>
      <c r="M63" s="11" t="n">
        <v>590486.4</v>
      </c>
      <c r="N63" s="11" t="n">
        <v>434613.76</v>
      </c>
      <c r="O63" s="11" t="n">
        <v>28.7392</v>
      </c>
      <c r="Q63" s="15" t="n">
        <v>109.479795</v>
      </c>
      <c r="R63" s="15" t="n">
        <v>-31.70346</v>
      </c>
      <c r="S63" s="15" t="n">
        <v>170</v>
      </c>
      <c r="T63" s="14" t="n">
        <v>110.461518</v>
      </c>
      <c r="U63" s="14" t="n">
        <v>127.408748</v>
      </c>
      <c r="V63" s="14" t="n">
        <v>98.83247799999999</v>
      </c>
      <c r="W63" s="14" t="n">
        <v>25.324637</v>
      </c>
      <c r="Y63">
        <f>B63</f>
        <v/>
      </c>
      <c r="Z63">
        <f>C63</f>
        <v/>
      </c>
      <c r="AA63" s="10">
        <f>SUM(AD63:AI63)+AK63+AL63</f>
        <v/>
      </c>
      <c r="AB63" s="10">
        <f>SUM(AD63:AI63)+AN63+AO63</f>
        <v/>
      </c>
      <c r="AC63" s="5">
        <f>AA63-AB63</f>
        <v/>
      </c>
      <c r="AD63" s="1">
        <f>D63/I63*W63*-1</f>
        <v/>
      </c>
      <c r="AE63" s="1">
        <f>E63/I63*W63</f>
        <v/>
      </c>
      <c r="AF63" s="1">
        <f t="array" ref="AF63">_xlfn.IFS(C63="Biomass_Corn", 1/I63*S63, C63="Biomass_Agri", 1/I63*V63, C63="Biomass_Wood", 1/I63*U63, C63="Biomass_Herb", 1/I63*T63)</f>
        <v/>
      </c>
      <c r="AG63" s="1">
        <f>M63/I63/(0.9*8760)</f>
        <v/>
      </c>
      <c r="AH63" s="1">
        <f>N63/I63/(0.9*8760)</f>
        <v/>
      </c>
      <c r="AI63" s="1">
        <f>O63/I63</f>
        <v/>
      </c>
      <c r="AJ63" s="1">
        <f>(AY63+AZ63+BA63+BB63+BC63-AW63)/I63</f>
        <v/>
      </c>
      <c r="AK63" s="1">
        <f>(Q63+R63)*-1*K63/I63</f>
        <v/>
      </c>
      <c r="AL63">
        <f>AJ63*Q63</f>
        <v/>
      </c>
      <c r="AM63" s="1">
        <f>(SUM(AY63:BB63)-AW63)/I63</f>
        <v/>
      </c>
      <c r="AN63" s="1">
        <f>K63/I63*-1*R63</f>
        <v/>
      </c>
      <c r="AO63">
        <f>AM63*Q63</f>
        <v/>
      </c>
      <c r="AQ63" s="8">
        <f>J63</f>
        <v/>
      </c>
      <c r="AR63" s="8" t="n">
        <v>0.243968185</v>
      </c>
      <c r="AS63" s="8" t="n">
        <v>0.249427613</v>
      </c>
      <c r="AT63" s="9" t="n">
        <v>0.246356685</v>
      </c>
      <c r="AU63" s="8" t="n">
        <v>0.23037491</v>
      </c>
      <c r="AW63" s="9">
        <f>AQ63</f>
        <v/>
      </c>
      <c r="AY63" s="9">
        <f>AR63*F63</f>
        <v/>
      </c>
      <c r="AZ63" s="9">
        <f>AS63*H63</f>
        <v/>
      </c>
      <c r="BA63" s="9">
        <f>AT63*G63</f>
        <v/>
      </c>
      <c r="BB63" s="9">
        <f>L63</f>
        <v/>
      </c>
      <c r="BC63" s="9">
        <f>K63</f>
        <v/>
      </c>
      <c r="BE63" s="1">
        <f>AW63-SUM(AY63:BC63)</f>
        <v/>
      </c>
    </row>
    <row r="64">
      <c r="B64" s="12" t="inlineStr">
        <is>
          <t>SE_Gasoline_Gasification_CCS_99_Herb</t>
        </is>
      </c>
      <c r="C64" s="11" t="inlineStr">
        <is>
          <t>Biomass_Herb</t>
        </is>
      </c>
      <c r="D64" s="11" t="n">
        <v>0</v>
      </c>
      <c r="E64" s="11" t="n">
        <v>1.1596</v>
      </c>
      <c r="F64" s="11" t="n">
        <v>2.0215</v>
      </c>
      <c r="G64" s="11" t="n">
        <v>0</v>
      </c>
      <c r="H64" s="11" t="n">
        <v>0</v>
      </c>
      <c r="I64" s="21">
        <f>F64+G64+H64</f>
        <v/>
      </c>
      <c r="J64" s="11" t="n">
        <v>1.717</v>
      </c>
      <c r="K64" s="11" t="n">
        <v>1.215363029998986</v>
      </c>
      <c r="L64" s="11" t="n">
        <v>0.008444270372563701</v>
      </c>
      <c r="M64" s="11" t="n">
        <v>590486.4</v>
      </c>
      <c r="N64" s="11" t="n">
        <v>434613.76</v>
      </c>
      <c r="O64" s="11" t="n">
        <v>28.7392</v>
      </c>
      <c r="Q64" s="15" t="n">
        <v>109.479795</v>
      </c>
      <c r="R64" s="15" t="n">
        <v>-47.70091</v>
      </c>
      <c r="S64" s="15" t="n">
        <v>170</v>
      </c>
      <c r="T64" s="14" t="n">
        <v>99.63284299999999</v>
      </c>
      <c r="U64" s="14" t="n">
        <v>113.227017</v>
      </c>
      <c r="V64" s="14" t="n">
        <v>88.855315</v>
      </c>
      <c r="W64" s="14" t="n">
        <v>38.218446</v>
      </c>
      <c r="Y64">
        <f>B64</f>
        <v/>
      </c>
      <c r="Z64">
        <f>C64</f>
        <v/>
      </c>
      <c r="AA64" s="10">
        <f>SUM(AD64:AI64)+AK64+AL64</f>
        <v/>
      </c>
      <c r="AB64" s="10">
        <f>SUM(AD64:AI64)+AN64+AO64</f>
        <v/>
      </c>
      <c r="AC64" s="5">
        <f>AA64-AB64</f>
        <v/>
      </c>
      <c r="AD64" s="1">
        <f>D64/I64*W64*-1</f>
        <v/>
      </c>
      <c r="AE64" s="1">
        <f>E64/I64*W64</f>
        <v/>
      </c>
      <c r="AF64" s="1">
        <f t="array" ref="AF64">_xlfn.IFS(C64="Biomass_Corn", 1/I64*S64, C64="Biomass_Agri", 1/I64*V64, C64="Biomass_Wood", 1/I64*U64, C64="Biomass_Herb", 1/I64*T64)</f>
        <v/>
      </c>
      <c r="AG64" s="1">
        <f>M64/I64/(0.9*8760)</f>
        <v/>
      </c>
      <c r="AH64" s="1">
        <f>N64/I64/(0.9*8760)</f>
        <v/>
      </c>
      <c r="AI64" s="1">
        <f>O64/I64</f>
        <v/>
      </c>
      <c r="AJ64" s="1">
        <f>(AY64+AZ64+BA64+BB64+BC64-AW64)/I64</f>
        <v/>
      </c>
      <c r="AK64" s="1">
        <f>(Q64+R64)*-1*K64/I64</f>
        <v/>
      </c>
      <c r="AL64">
        <f>AJ64*Q64</f>
        <v/>
      </c>
      <c r="AM64" s="1">
        <f>(SUM(AY64:BB64)-AW64)/I64</f>
        <v/>
      </c>
      <c r="AN64" s="1">
        <f>K64/I64*-1*R64</f>
        <v/>
      </c>
      <c r="AO64">
        <f>AM64*Q64</f>
        <v/>
      </c>
      <c r="AQ64" s="8">
        <f>J64</f>
        <v/>
      </c>
      <c r="AR64" s="8" t="n">
        <v>0.243968185</v>
      </c>
      <c r="AS64" s="8" t="n">
        <v>0.249427613</v>
      </c>
      <c r="AT64" s="9" t="n">
        <v>0.246356685</v>
      </c>
      <c r="AU64" s="8" t="n">
        <v>0.23037491</v>
      </c>
      <c r="AW64" s="9">
        <f>AQ64</f>
        <v/>
      </c>
      <c r="AY64" s="9">
        <f>AR64*F64</f>
        <v/>
      </c>
      <c r="AZ64" s="9">
        <f>AS64*H64</f>
        <v/>
      </c>
      <c r="BA64" s="9">
        <f>AT64*G64</f>
        <v/>
      </c>
      <c r="BB64" s="9">
        <f>L64</f>
        <v/>
      </c>
      <c r="BC64" s="9">
        <f>K64</f>
        <v/>
      </c>
      <c r="BE64" s="1">
        <f>AW64-SUM(AY64:BC64)</f>
        <v/>
      </c>
    </row>
    <row r="65">
      <c r="B65" s="12" t="inlineStr">
        <is>
          <t>MIDAT_Gasoline_Gasification_CCS_99_Herb</t>
        </is>
      </c>
      <c r="C65" s="11" t="inlineStr">
        <is>
          <t>Biomass_Herb</t>
        </is>
      </c>
      <c r="D65" s="11" t="n">
        <v>0</v>
      </c>
      <c r="E65" s="11" t="n">
        <v>1.1596</v>
      </c>
      <c r="F65" s="11" t="n">
        <v>2.0327</v>
      </c>
      <c r="G65" s="11" t="n">
        <v>0</v>
      </c>
      <c r="H65" s="11" t="n">
        <v>0</v>
      </c>
      <c r="I65" s="21">
        <f>F65+G65+H65</f>
        <v/>
      </c>
      <c r="J65" s="11" t="n">
        <v>1.736</v>
      </c>
      <c r="K65" s="11" t="n">
        <v>1.231540777966014</v>
      </c>
      <c r="L65" s="11" t="n">
        <v>0.008556672407577799</v>
      </c>
      <c r="M65" s="11" t="n">
        <v>590486.4</v>
      </c>
      <c r="N65" s="11" t="n">
        <v>434613.76</v>
      </c>
      <c r="O65" s="11" t="n">
        <v>28.7392</v>
      </c>
      <c r="Q65" s="15" t="n">
        <v>109.479795</v>
      </c>
      <c r="R65" s="15" t="n">
        <v>-54.115443</v>
      </c>
      <c r="S65" s="15" t="n">
        <v>170</v>
      </c>
      <c r="T65" s="14" t="n">
        <v>100.773744</v>
      </c>
      <c r="U65" s="14" t="n">
        <v>108.668072</v>
      </c>
      <c r="V65" s="14" t="n">
        <v>89.424565</v>
      </c>
      <c r="W65" s="14" t="n">
        <v>39.359472</v>
      </c>
      <c r="Y65">
        <f>B65</f>
        <v/>
      </c>
      <c r="Z65">
        <f>C65</f>
        <v/>
      </c>
      <c r="AA65" s="10">
        <f>SUM(AD65:AI65)+AK65+AL65</f>
        <v/>
      </c>
      <c r="AB65" s="10">
        <f>SUM(AD65:AI65)+AN65+AO65</f>
        <v/>
      </c>
      <c r="AC65" s="5">
        <f>AA65-AB65</f>
        <v/>
      </c>
      <c r="AD65" s="1">
        <f>D65/I65*W65*-1</f>
        <v/>
      </c>
      <c r="AE65" s="1">
        <f>E65/I65*W65</f>
        <v/>
      </c>
      <c r="AF65" s="1">
        <f t="array" ref="AF65">_xlfn.IFS(C65="Biomass_Corn", 1/I65*S65, C65="Biomass_Agri", 1/I65*V65, C65="Biomass_Wood", 1/I65*U65, C65="Biomass_Herb", 1/I65*T65)</f>
        <v/>
      </c>
      <c r="AG65" s="1">
        <f>M65/I65/(0.9*8760)</f>
        <v/>
      </c>
      <c r="AH65" s="1">
        <f>N65/I65/(0.9*8760)</f>
        <v/>
      </c>
      <c r="AI65" s="1">
        <f>O65/I65</f>
        <v/>
      </c>
      <c r="AJ65" s="1">
        <f>(AY65+AZ65+BA65+BB65+BC65-AW65)/I65</f>
        <v/>
      </c>
      <c r="AK65" s="1">
        <f>(Q65+R65)*-1*K65/I65</f>
        <v/>
      </c>
      <c r="AL65">
        <f>AJ65*Q65</f>
        <v/>
      </c>
      <c r="AM65" s="1">
        <f>(SUM(AY65:BB65)-AW65)/I65</f>
        <v/>
      </c>
      <c r="AN65" s="1">
        <f>K65/I65*-1*R65</f>
        <v/>
      </c>
      <c r="AO65">
        <f>AM65*Q65</f>
        <v/>
      </c>
      <c r="AQ65" s="8">
        <f>J65</f>
        <v/>
      </c>
      <c r="AR65" s="8" t="n">
        <v>0.243968185</v>
      </c>
      <c r="AS65" s="8" t="n">
        <v>0.249427613</v>
      </c>
      <c r="AT65" s="9" t="n">
        <v>0.246356685</v>
      </c>
      <c r="AU65" s="8" t="n">
        <v>0.23037491</v>
      </c>
      <c r="AW65" s="9">
        <f>AQ65</f>
        <v/>
      </c>
      <c r="AY65" s="9">
        <f>AR65*F65</f>
        <v/>
      </c>
      <c r="AZ65" s="9">
        <f>AS65*H65</f>
        <v/>
      </c>
      <c r="BA65" s="9">
        <f>AT65*G65</f>
        <v/>
      </c>
      <c r="BB65" s="9">
        <f>L65</f>
        <v/>
      </c>
      <c r="BC65" s="9">
        <f>K65</f>
        <v/>
      </c>
      <c r="BE65" s="1">
        <f>AW65-SUM(AY65:BC65)</f>
        <v/>
      </c>
    </row>
    <row r="66">
      <c r="B66" s="12" t="inlineStr">
        <is>
          <t>NE_Gasoline_Gasification_CCS_99_Herb</t>
        </is>
      </c>
      <c r="C66" s="11" t="inlineStr">
        <is>
          <t>Biomass_Herb</t>
        </is>
      </c>
      <c r="D66" s="11" t="n">
        <v>0</v>
      </c>
      <c r="E66" s="11" t="n">
        <v>1.1596</v>
      </c>
      <c r="F66" s="11" t="n">
        <v>2.0404</v>
      </c>
      <c r="G66" s="11" t="n">
        <v>0</v>
      </c>
      <c r="H66" s="11" t="n">
        <v>0</v>
      </c>
      <c r="I66" s="21">
        <f>F66+G66+H66</f>
        <v/>
      </c>
      <c r="J66" s="11" t="n">
        <v>1.745</v>
      </c>
      <c r="K66" s="11" t="n">
        <v>1.238594871542933</v>
      </c>
      <c r="L66" s="11" t="n">
        <v>0.0086056838320876</v>
      </c>
      <c r="M66" s="11" t="n">
        <v>590486.4</v>
      </c>
      <c r="N66" s="11" t="n">
        <v>434613.76</v>
      </c>
      <c r="O66" s="11" t="n">
        <v>28.7392</v>
      </c>
      <c r="Q66" s="15" t="n">
        <v>109.479795</v>
      </c>
      <c r="R66" s="15" t="n">
        <v>-62.623761</v>
      </c>
      <c r="S66" s="15" t="n">
        <v>170</v>
      </c>
      <c r="T66" s="14" t="n">
        <v>101.592362</v>
      </c>
      <c r="U66" s="14" t="n">
        <v>107.351319</v>
      </c>
      <c r="V66" s="14" t="n">
        <v>91.70665</v>
      </c>
      <c r="W66" s="14" t="n">
        <v>47.446025</v>
      </c>
      <c r="Y66">
        <f>B66</f>
        <v/>
      </c>
      <c r="Z66">
        <f>C66</f>
        <v/>
      </c>
      <c r="AA66" s="10">
        <f>SUM(AD66:AI66)+AK66+AL66</f>
        <v/>
      </c>
      <c r="AB66" s="10">
        <f>SUM(AD66:AI66)+AN66+AO66</f>
        <v/>
      </c>
      <c r="AC66" s="5">
        <f>AA66-AB66</f>
        <v/>
      </c>
      <c r="AD66" s="1">
        <f>D66/I66*W66*-1</f>
        <v/>
      </c>
      <c r="AE66" s="1">
        <f>E66/I66*W66</f>
        <v/>
      </c>
      <c r="AF66" s="1">
        <f t="array" ref="AF66">_xlfn.IFS(C66="Biomass_Corn", 1/I66*S66, C66="Biomass_Agri", 1/I66*V66, C66="Biomass_Wood", 1/I66*U66, C66="Biomass_Herb", 1/I66*T66)</f>
        <v/>
      </c>
      <c r="AG66" s="1">
        <f>M66/I66/(0.9*8760)</f>
        <v/>
      </c>
      <c r="AH66" s="1">
        <f>N66/I66/(0.9*8760)</f>
        <v/>
      </c>
      <c r="AI66" s="1">
        <f>O66/I66</f>
        <v/>
      </c>
      <c r="AJ66" s="1">
        <f>(AY66+AZ66+BA66+BB66+BC66-AW66)/I66</f>
        <v/>
      </c>
      <c r="AK66" s="1">
        <f>(Q66+R66)*-1*K66/I66</f>
        <v/>
      </c>
      <c r="AL66">
        <f>AJ66*Q66</f>
        <v/>
      </c>
      <c r="AM66" s="1">
        <f>(SUM(AY66:BB66)-AW66)/I66</f>
        <v/>
      </c>
      <c r="AN66" s="1">
        <f>K66/I66*-1*R66</f>
        <v/>
      </c>
      <c r="AO66">
        <f>AM66*Q66</f>
        <v/>
      </c>
      <c r="AQ66" s="8">
        <f>J66</f>
        <v/>
      </c>
      <c r="AR66" s="8" t="n">
        <v>0.243968185</v>
      </c>
      <c r="AS66" s="8" t="n">
        <v>0.249427613</v>
      </c>
      <c r="AT66" s="9" t="n">
        <v>0.246356685</v>
      </c>
      <c r="AU66" s="8" t="n">
        <v>0.23037491</v>
      </c>
      <c r="AW66" s="9">
        <f>AQ66</f>
        <v/>
      </c>
      <c r="AY66" s="9">
        <f>AR66*F66</f>
        <v/>
      </c>
      <c r="AZ66" s="9">
        <f>AS66*H66</f>
        <v/>
      </c>
      <c r="BA66" s="9">
        <f>AT66*G66</f>
        <v/>
      </c>
      <c r="BB66" s="9">
        <f>L66</f>
        <v/>
      </c>
      <c r="BC66" s="9">
        <f>K66</f>
        <v/>
      </c>
      <c r="BE66" s="1">
        <f>AW66-SUM(AY66:BC66)</f>
        <v/>
      </c>
    </row>
    <row r="67">
      <c r="B67" s="12" t="inlineStr">
        <is>
          <t>CA_Gasoline_Gasification_CCS_99_Wood</t>
        </is>
      </c>
      <c r="C67" s="20" t="inlineStr">
        <is>
          <t>Biomass_Wood</t>
        </is>
      </c>
      <c r="D67" s="20" t="n">
        <v>0</v>
      </c>
      <c r="E67" s="20" t="n">
        <v>1.1596</v>
      </c>
      <c r="F67" s="20" t="n">
        <v>2.1504</v>
      </c>
      <c r="G67" s="20" t="n">
        <v>0</v>
      </c>
      <c r="H67" s="20" t="n">
        <v>0</v>
      </c>
      <c r="I67" s="21">
        <f>F67+G67+H67</f>
        <v/>
      </c>
      <c r="J67" s="20" t="n">
        <v>1.843</v>
      </c>
      <c r="K67" s="20" t="n">
        <v>1.309276266416504</v>
      </c>
      <c r="L67" s="20" t="n">
        <v>0.0090967739787271</v>
      </c>
      <c r="M67" s="20" t="n">
        <v>590486.4</v>
      </c>
      <c r="N67" s="20" t="n">
        <v>434613.76</v>
      </c>
      <c r="O67" s="20" t="n">
        <v>28.7392</v>
      </c>
      <c r="Q67" s="19" t="n">
        <v>109.479795</v>
      </c>
      <c r="R67" s="19" t="n">
        <v>-6.495931</v>
      </c>
      <c r="S67" s="19" t="n">
        <v>170</v>
      </c>
      <c r="T67" s="19" t="n">
        <v>1554.082648</v>
      </c>
      <c r="U67" s="19" t="n">
        <v>159.857018</v>
      </c>
      <c r="V67" s="19" t="n">
        <v>138.164517</v>
      </c>
      <c r="W67" s="19" t="n">
        <v>36.550692</v>
      </c>
      <c r="Y67">
        <f>B67</f>
        <v/>
      </c>
      <c r="Z67">
        <f>C67</f>
        <v/>
      </c>
      <c r="AA67" s="18">
        <f>SUM(AD67:AI67)+AK67+AL67</f>
        <v/>
      </c>
      <c r="AB67" s="18">
        <f>SUM(AD67:AI67)+AN67+AO67</f>
        <v/>
      </c>
      <c r="AC67" s="5">
        <f>AA67-AB67</f>
        <v/>
      </c>
      <c r="AD67" s="1">
        <f>D67/I67*W67*-1</f>
        <v/>
      </c>
      <c r="AE67" s="1">
        <f>E67/I67*W67</f>
        <v/>
      </c>
      <c r="AF67" s="1">
        <f t="array" ref="AF67">_xlfn.IFS(C67="Biomass_Corn", 1/I67*S67, C67="Biomass_Agri", 1/I67*V67, C67="Biomass_Wood", 1/I67*U67, C67="Biomass_Herb", 1/I67*T67)</f>
        <v/>
      </c>
      <c r="AG67" s="1">
        <f>M67/I67/(0.9*8760)</f>
        <v/>
      </c>
      <c r="AH67" s="1">
        <f>N67/I67/(0.9*8760)</f>
        <v/>
      </c>
      <c r="AI67" s="1">
        <f>O67/I67</f>
        <v/>
      </c>
      <c r="AJ67" s="1">
        <f>(AY67+AZ67+BA67+BB67+BC67-AW67)/I67</f>
        <v/>
      </c>
      <c r="AK67" s="1">
        <f>(Q67+R67)*-1*K67/I67</f>
        <v/>
      </c>
      <c r="AL67">
        <f>AJ67*Q67</f>
        <v/>
      </c>
      <c r="AM67" s="1">
        <f>(SUM(AY67:BB67)-AW67)/I67</f>
        <v/>
      </c>
      <c r="AN67" s="1">
        <f>K67/I67*-1*R67</f>
        <v/>
      </c>
      <c r="AO67">
        <f>AM67*Q67</f>
        <v/>
      </c>
      <c r="AQ67" s="17">
        <f>J67</f>
        <v/>
      </c>
      <c r="AR67" s="8" t="n">
        <v>0.243968185</v>
      </c>
      <c r="AS67" s="8" t="n">
        <v>0.249427613</v>
      </c>
      <c r="AT67" s="9" t="n">
        <v>0.246356685</v>
      </c>
      <c r="AU67" s="17" t="n">
        <v>0.23037491</v>
      </c>
      <c r="AW67" s="9">
        <f>AQ67</f>
        <v/>
      </c>
      <c r="AY67" s="9">
        <f>AR67*F67</f>
        <v/>
      </c>
      <c r="AZ67" s="9">
        <f>AS67*H67</f>
        <v/>
      </c>
      <c r="BA67" s="9">
        <f>AT67*G67</f>
        <v/>
      </c>
      <c r="BB67" s="9">
        <f>L67</f>
        <v/>
      </c>
      <c r="BC67" s="9">
        <f>K67</f>
        <v/>
      </c>
      <c r="BE67" s="1">
        <f>AW67-SUM(AY67:BC67)</f>
        <v/>
      </c>
    </row>
    <row r="68">
      <c r="B68" s="12" t="inlineStr">
        <is>
          <t>NW_Gasoline_Gasification_CCS_99_Wood</t>
        </is>
      </c>
      <c r="C68" s="20" t="inlineStr">
        <is>
          <t>Biomass_Wood</t>
        </is>
      </c>
      <c r="D68" s="20" t="n">
        <v>0</v>
      </c>
      <c r="E68" s="20" t="n">
        <v>1.1596</v>
      </c>
      <c r="F68" s="20" t="n">
        <v>2.1459</v>
      </c>
      <c r="G68" s="20" t="n">
        <v>0</v>
      </c>
      <c r="H68" s="20" t="n">
        <v>0</v>
      </c>
      <c r="I68" s="21">
        <f>F68+G68+H68</f>
        <v/>
      </c>
      <c r="J68" s="20" t="n">
        <v>1.818</v>
      </c>
      <c r="K68" s="20" t="n">
        <v>1.285525227229693</v>
      </c>
      <c r="L68" s="20" t="n">
        <v>0.0089317531647214</v>
      </c>
      <c r="M68" s="20" t="n">
        <v>590486.4</v>
      </c>
      <c r="N68" s="20" t="n">
        <v>434613.76</v>
      </c>
      <c r="O68" s="20" t="n">
        <v>28.7392</v>
      </c>
      <c r="Q68" s="19" t="n">
        <v>109.479795</v>
      </c>
      <c r="R68" s="19" t="n">
        <v>-7.354813</v>
      </c>
      <c r="S68" s="19" t="n">
        <v>170</v>
      </c>
      <c r="T68" s="19" t="n">
        <v>138.356765</v>
      </c>
      <c r="U68" s="19" t="n">
        <v>156.777934</v>
      </c>
      <c r="V68" s="19" t="n">
        <v>119.345797</v>
      </c>
      <c r="W68" s="19" t="n">
        <v>26.773822</v>
      </c>
      <c r="Y68">
        <f>B68</f>
        <v/>
      </c>
      <c r="Z68">
        <f>C68</f>
        <v/>
      </c>
      <c r="AA68" s="18">
        <f>SUM(AD68:AI68)+AK68+AL68</f>
        <v/>
      </c>
      <c r="AB68" s="18">
        <f>SUM(AD68:AI68)+AN68+AO68</f>
        <v/>
      </c>
      <c r="AC68" s="5">
        <f>AA68-AB68</f>
        <v/>
      </c>
      <c r="AD68" s="1">
        <f>D68/I68*W68*-1</f>
        <v/>
      </c>
      <c r="AE68" s="1">
        <f>E68/I68*W68</f>
        <v/>
      </c>
      <c r="AF68" s="1">
        <f t="array" ref="AF68">_xlfn.IFS(C68="Biomass_Corn", 1/I68*S68, C68="Biomass_Agri", 1/I68*V68, C68="Biomass_Wood", 1/I68*U68, C68="Biomass_Herb", 1/I68*T68)</f>
        <v/>
      </c>
      <c r="AG68" s="1">
        <f>M68/I68/(0.9*8760)</f>
        <v/>
      </c>
      <c r="AH68" s="1">
        <f>N68/I68/(0.9*8760)</f>
        <v/>
      </c>
      <c r="AI68" s="1">
        <f>O68/I68</f>
        <v/>
      </c>
      <c r="AJ68" s="1">
        <f>(AY68+AZ68+BA68+BB68+BC68-AW68)/I68</f>
        <v/>
      </c>
      <c r="AK68" s="1">
        <f>(Q68+R68)*-1*K68/I68</f>
        <v/>
      </c>
      <c r="AL68">
        <f>AJ68*Q68</f>
        <v/>
      </c>
      <c r="AM68" s="1">
        <f>(SUM(AY68:BB68)-AW68)/I68</f>
        <v/>
      </c>
      <c r="AN68" s="1">
        <f>K68/I68*-1*R68</f>
        <v/>
      </c>
      <c r="AO68">
        <f>AM68*Q68</f>
        <v/>
      </c>
      <c r="AQ68" s="17">
        <f>J68</f>
        <v/>
      </c>
      <c r="AR68" s="8" t="n">
        <v>0.243968185</v>
      </c>
      <c r="AS68" s="8" t="n">
        <v>0.249427613</v>
      </c>
      <c r="AT68" s="9" t="n">
        <v>0.246356685</v>
      </c>
      <c r="AU68" s="17" t="n">
        <v>0.23037491</v>
      </c>
      <c r="AW68" s="9">
        <f>AQ68</f>
        <v/>
      </c>
      <c r="AY68" s="9">
        <f>AR68*F68</f>
        <v/>
      </c>
      <c r="AZ68" s="9">
        <f>AS68*H68</f>
        <v/>
      </c>
      <c r="BA68" s="9">
        <f>AT68*G68</f>
        <v/>
      </c>
      <c r="BB68" s="9">
        <f>L68</f>
        <v/>
      </c>
      <c r="BC68" s="9">
        <f>K68</f>
        <v/>
      </c>
      <c r="BE68" s="1">
        <f>AW68-SUM(AY68:BC68)</f>
        <v/>
      </c>
    </row>
    <row r="69">
      <c r="B69" s="12" t="inlineStr">
        <is>
          <t>SW_Gasoline_Gasification_CCS_99_Wood</t>
        </is>
      </c>
      <c r="C69" s="20" t="inlineStr">
        <is>
          <t>Biomass_Wood</t>
        </is>
      </c>
      <c r="D69" s="20" t="n">
        <v>0</v>
      </c>
      <c r="E69" s="20" t="n">
        <v>1.1596</v>
      </c>
      <c r="F69" s="20" t="n">
        <v>2.126</v>
      </c>
      <c r="G69" s="20" t="n">
        <v>0</v>
      </c>
      <c r="H69" s="20" t="n">
        <v>0</v>
      </c>
      <c r="I69" s="21">
        <f>F69+G69+H69</f>
        <v/>
      </c>
      <c r="J69" s="20" t="n">
        <v>1.798</v>
      </c>
      <c r="K69" s="20" t="n">
        <v>1.270507300889044</v>
      </c>
      <c r="L69" s="20" t="n">
        <v>0.008827409501696099</v>
      </c>
      <c r="M69" s="20" t="n">
        <v>590486.4</v>
      </c>
      <c r="N69" s="20" t="n">
        <v>434613.76</v>
      </c>
      <c r="O69" s="20" t="n">
        <v>28.7392</v>
      </c>
      <c r="Q69" s="19" t="n">
        <v>109.479795</v>
      </c>
      <c r="R69" s="19" t="n">
        <v>-7.354813</v>
      </c>
      <c r="S69" s="19" t="n">
        <v>170</v>
      </c>
      <c r="T69" s="19" t="n">
        <v>138.356765</v>
      </c>
      <c r="U69" s="19" t="n">
        <v>156.777934</v>
      </c>
      <c r="V69" s="19" t="n">
        <v>119.345797</v>
      </c>
      <c r="W69" s="19" t="n">
        <v>26.773822</v>
      </c>
      <c r="Y69">
        <f>B69</f>
        <v/>
      </c>
      <c r="Z69">
        <f>C69</f>
        <v/>
      </c>
      <c r="AA69" s="18">
        <f>SUM(AD69:AI69)+AK69+AL69</f>
        <v/>
      </c>
      <c r="AB69" s="18">
        <f>SUM(AD69:AI69)+AN69+AO69</f>
        <v/>
      </c>
      <c r="AC69" s="5">
        <f>AA69-AB69</f>
        <v/>
      </c>
      <c r="AD69" s="1">
        <f>D69/I69*W69*-1</f>
        <v/>
      </c>
      <c r="AE69" s="1">
        <f>E69/I69*W69</f>
        <v/>
      </c>
      <c r="AF69" s="1">
        <f t="array" ref="AF69">_xlfn.IFS(C69="Biomass_Corn", 1/I69*S69, C69="Biomass_Agri", 1/I69*V69, C69="Biomass_Wood", 1/I69*U69, C69="Biomass_Herb", 1/I69*T69)</f>
        <v/>
      </c>
      <c r="AG69" s="1">
        <f>M69/I69/(0.9*8760)</f>
        <v/>
      </c>
      <c r="AH69" s="1">
        <f>N69/I69/(0.9*8760)</f>
        <v/>
      </c>
      <c r="AI69" s="1">
        <f>O69/I69</f>
        <v/>
      </c>
      <c r="AJ69" s="1">
        <f>(AY69+AZ69+BA69+BB69+BC69-AW69)/I69</f>
        <v/>
      </c>
      <c r="AK69" s="1">
        <f>(Q69+R69)*-1*K69/I69</f>
        <v/>
      </c>
      <c r="AL69">
        <f>AJ69*Q69</f>
        <v/>
      </c>
      <c r="AM69" s="1">
        <f>(SUM(AY69:BB69)-AW69)/I69</f>
        <v/>
      </c>
      <c r="AN69" s="1">
        <f>K69/I69*-1*R69</f>
        <v/>
      </c>
      <c r="AO69">
        <f>AM69*Q69</f>
        <v/>
      </c>
      <c r="AQ69" s="17">
        <f>J69</f>
        <v/>
      </c>
      <c r="AR69" s="8" t="n">
        <v>0.243968185</v>
      </c>
      <c r="AS69" s="8" t="n">
        <v>0.249427613</v>
      </c>
      <c r="AT69" s="9" t="n">
        <v>0.246356685</v>
      </c>
      <c r="AU69" s="17" t="n">
        <v>0.23037491</v>
      </c>
      <c r="AW69" s="9">
        <f>AQ69</f>
        <v/>
      </c>
      <c r="AY69" s="9">
        <f>AR69*F69</f>
        <v/>
      </c>
      <c r="AZ69" s="9">
        <f>AS69*H69</f>
        <v/>
      </c>
      <c r="BA69" s="9">
        <f>AT69*G69</f>
        <v/>
      </c>
      <c r="BB69" s="9">
        <f>L69</f>
        <v/>
      </c>
      <c r="BC69" s="9">
        <f>K69</f>
        <v/>
      </c>
      <c r="BE69" s="1">
        <f>AW69-SUM(AY69:BC69)</f>
        <v/>
      </c>
    </row>
    <row r="70">
      <c r="B70" s="12" t="inlineStr">
        <is>
          <t>TX_Gasoline_Gasification_CCS_99_Wood</t>
        </is>
      </c>
      <c r="C70" s="20" t="inlineStr">
        <is>
          <t>Biomass_Wood</t>
        </is>
      </c>
      <c r="D70" s="20" t="n">
        <v>0</v>
      </c>
      <c r="E70" s="20" t="n">
        <v>1.1596</v>
      </c>
      <c r="F70" s="20" t="n">
        <v>2.1093</v>
      </c>
      <c r="G70" s="20" t="n">
        <v>0</v>
      </c>
      <c r="H70" s="20" t="n">
        <v>0</v>
      </c>
      <c r="I70" s="21">
        <f>F70+G70+H70</f>
        <v/>
      </c>
      <c r="J70" s="20" t="n">
        <v>1.821</v>
      </c>
      <c r="K70" s="20" t="n">
        <v>1.297385328938502</v>
      </c>
      <c r="L70" s="20" t="n">
        <v>0.009014156449174899</v>
      </c>
      <c r="M70" s="20" t="n">
        <v>590486.4</v>
      </c>
      <c r="N70" s="20" t="n">
        <v>434613.76</v>
      </c>
      <c r="O70" s="20" t="n">
        <v>28.7392</v>
      </c>
      <c r="Q70" s="19" t="n">
        <v>109.479795</v>
      </c>
      <c r="R70" s="19" t="n">
        <v>-7.354813</v>
      </c>
      <c r="S70" s="19" t="n">
        <v>170</v>
      </c>
      <c r="T70" s="19" t="n">
        <v>138.356765</v>
      </c>
      <c r="U70" s="19" t="n">
        <v>156.777934</v>
      </c>
      <c r="V70" s="19" t="n">
        <v>119.345797</v>
      </c>
      <c r="W70" s="19" t="n">
        <v>26.773822</v>
      </c>
      <c r="Y70">
        <f>B70</f>
        <v/>
      </c>
      <c r="Z70">
        <f>C70</f>
        <v/>
      </c>
      <c r="AA70" s="18">
        <f>SUM(AD70:AI70)+AK70+AL70</f>
        <v/>
      </c>
      <c r="AB70" s="18">
        <f>SUM(AD70:AI70)+AN70+AO70</f>
        <v/>
      </c>
      <c r="AC70" s="5">
        <f>AA70-AB70</f>
        <v/>
      </c>
      <c r="AD70" s="1">
        <f>D70/I70*W70*-1</f>
        <v/>
      </c>
      <c r="AE70" s="1">
        <f>E70/I70*W70</f>
        <v/>
      </c>
      <c r="AF70" s="1">
        <f t="array" ref="AF70">_xlfn.IFS(C70="Biomass_Corn", 1/I70*S70, C70="Biomass_Agri", 1/I70*V70, C70="Biomass_Wood", 1/I70*U70, C70="Biomass_Herb", 1/I70*T70)</f>
        <v/>
      </c>
      <c r="AG70" s="1">
        <f>M70/I70/(0.9*8760)</f>
        <v/>
      </c>
      <c r="AH70" s="1">
        <f>N70/I70/(0.9*8760)</f>
        <v/>
      </c>
      <c r="AI70" s="1">
        <f>O70/I70</f>
        <v/>
      </c>
      <c r="AJ70" s="1">
        <f>(AY70+AZ70+BA70+BB70+BC70-AW70)/I70</f>
        <v/>
      </c>
      <c r="AK70" s="1">
        <f>(Q70+R70)*-1*K70/I70</f>
        <v/>
      </c>
      <c r="AL70">
        <f>AJ70*Q70</f>
        <v/>
      </c>
      <c r="AM70" s="1">
        <f>(SUM(AY70:BB70)-AW70)/I70</f>
        <v/>
      </c>
      <c r="AN70" s="1">
        <f>K70/I70*-1*R70</f>
        <v/>
      </c>
      <c r="AO70">
        <f>AM70*Q70</f>
        <v/>
      </c>
      <c r="AQ70" s="17">
        <f>J70</f>
        <v/>
      </c>
      <c r="AR70" s="8" t="n">
        <v>0.243968185</v>
      </c>
      <c r="AS70" s="8" t="n">
        <v>0.249427613</v>
      </c>
      <c r="AT70" s="9" t="n">
        <v>0.246356685</v>
      </c>
      <c r="AU70" s="17" t="n">
        <v>0.23037491</v>
      </c>
      <c r="AW70" s="9">
        <f>AQ70</f>
        <v/>
      </c>
      <c r="AY70" s="9">
        <f>AR70*F70</f>
        <v/>
      </c>
      <c r="AZ70" s="9">
        <f>AS70*H70</f>
        <v/>
      </c>
      <c r="BA70" s="9">
        <f>AT70*G70</f>
        <v/>
      </c>
      <c r="BB70" s="9">
        <f>L70</f>
        <v/>
      </c>
      <c r="BC70" s="9">
        <f>K70</f>
        <v/>
      </c>
      <c r="BE70" s="1">
        <f>AW70-SUM(AY70:BC70)</f>
        <v/>
      </c>
    </row>
    <row r="71">
      <c r="B71" s="12" t="inlineStr">
        <is>
          <t>NCEN_Gasoline_Gasification_CCS_99_Wood</t>
        </is>
      </c>
      <c r="C71" s="20" t="inlineStr">
        <is>
          <t>Biomass_Wood</t>
        </is>
      </c>
      <c r="D71" s="20" t="n">
        <v>0</v>
      </c>
      <c r="E71" s="20" t="n">
        <v>1.1596</v>
      </c>
      <c r="F71" s="20" t="n">
        <v>2.1171</v>
      </c>
      <c r="G71" s="20" t="n">
        <v>0</v>
      </c>
      <c r="H71" s="20" t="n">
        <v>0</v>
      </c>
      <c r="I71" s="21">
        <f>F71+G71+H71</f>
        <v/>
      </c>
      <c r="J71" s="20" t="n">
        <v>1.802</v>
      </c>
      <c r="K71" s="20" t="n">
        <v>1.276632622515422</v>
      </c>
      <c r="L71" s="20" t="n">
        <v>0.008869967873684799</v>
      </c>
      <c r="M71" s="20" t="n">
        <v>590486.4</v>
      </c>
      <c r="N71" s="20" t="n">
        <v>434613.76</v>
      </c>
      <c r="O71" s="20" t="n">
        <v>28.7392</v>
      </c>
      <c r="Q71" s="19" t="n">
        <v>109.479795</v>
      </c>
      <c r="R71" s="19" t="n">
        <v>-7.354813</v>
      </c>
      <c r="S71" s="19" t="n">
        <v>170</v>
      </c>
      <c r="T71" s="19" t="n">
        <v>138.356765</v>
      </c>
      <c r="U71" s="19" t="n">
        <v>156.777934</v>
      </c>
      <c r="V71" s="19" t="n">
        <v>119.345797</v>
      </c>
      <c r="W71" s="19" t="n">
        <v>26.773822</v>
      </c>
      <c r="Y71">
        <f>B71</f>
        <v/>
      </c>
      <c r="Z71">
        <f>C71</f>
        <v/>
      </c>
      <c r="AA71" s="18">
        <f>SUM(AD71:AI71)+AK71+AL71</f>
        <v/>
      </c>
      <c r="AB71" s="18">
        <f>SUM(AD71:AI71)+AN71+AO71</f>
        <v/>
      </c>
      <c r="AC71" s="5">
        <f>AA71-AB71</f>
        <v/>
      </c>
      <c r="AD71" s="1">
        <f>D71/I71*W71*-1</f>
        <v/>
      </c>
      <c r="AE71" s="1">
        <f>E71/I71*W71</f>
        <v/>
      </c>
      <c r="AF71" s="1">
        <f t="array" ref="AF71">_xlfn.IFS(C71="Biomass_Corn", 1/I71*S71, C71="Biomass_Agri", 1/I71*V71, C71="Biomass_Wood", 1/I71*U71, C71="Biomass_Herb", 1/I71*T71)</f>
        <v/>
      </c>
      <c r="AG71" s="1">
        <f>M71/I71/(0.9*8760)</f>
        <v/>
      </c>
      <c r="AH71" s="1">
        <f>N71/I71/(0.9*8760)</f>
        <v/>
      </c>
      <c r="AI71" s="1">
        <f>O71/I71</f>
        <v/>
      </c>
      <c r="AJ71" s="1">
        <f>(AY71+AZ71+BA71+BB71+BC71-AW71)/I71</f>
        <v/>
      </c>
      <c r="AK71" s="1">
        <f>(Q71+R71)*-1*K71/I71</f>
        <v/>
      </c>
      <c r="AL71">
        <f>AJ71*Q71</f>
        <v/>
      </c>
      <c r="AM71" s="1">
        <f>(SUM(AY71:BB71)-AW71)/I71</f>
        <v/>
      </c>
      <c r="AN71" s="1">
        <f>K71/I71*-1*R71</f>
        <v/>
      </c>
      <c r="AO71">
        <f>AM71*Q71</f>
        <v/>
      </c>
      <c r="AQ71" s="17">
        <f>J71</f>
        <v/>
      </c>
      <c r="AR71" s="8" t="n">
        <v>0.243968185</v>
      </c>
      <c r="AS71" s="8" t="n">
        <v>0.249427613</v>
      </c>
      <c r="AT71" s="9" t="n">
        <v>0.246356685</v>
      </c>
      <c r="AU71" s="17" t="n">
        <v>0.23037491</v>
      </c>
      <c r="AW71" s="9">
        <f>AQ71</f>
        <v/>
      </c>
      <c r="AY71" s="9">
        <f>AR71*F71</f>
        <v/>
      </c>
      <c r="AZ71" s="9">
        <f>AS71*H71</f>
        <v/>
      </c>
      <c r="BA71" s="9">
        <f>AT71*G71</f>
        <v/>
      </c>
      <c r="BB71" s="9">
        <f>L71</f>
        <v/>
      </c>
      <c r="BC71" s="9">
        <f>K71</f>
        <v/>
      </c>
      <c r="BE71" s="1">
        <f>AW71-SUM(AY71:BC71)</f>
        <v/>
      </c>
    </row>
    <row r="72">
      <c r="B72" s="12" t="inlineStr">
        <is>
          <t>CEN_Gasoline_Gasification_CCS_99_Wood</t>
        </is>
      </c>
      <c r="C72" s="20" t="inlineStr">
        <is>
          <t>Biomass_Wood</t>
        </is>
      </c>
      <c r="D72" s="20" t="n">
        <v>0</v>
      </c>
      <c r="E72" s="20" t="n">
        <v>1.1596</v>
      </c>
      <c r="F72" s="20" t="n">
        <v>2.1182</v>
      </c>
      <c r="G72" s="20" t="n">
        <v>0</v>
      </c>
      <c r="H72" s="20" t="n">
        <v>0</v>
      </c>
      <c r="I72" s="21">
        <f>F72+G72+H72</f>
        <v/>
      </c>
      <c r="J72" s="20" t="n">
        <v>1.802</v>
      </c>
      <c r="K72" s="20" t="n">
        <v>1.276363507312125</v>
      </c>
      <c r="L72" s="20" t="n">
        <v>0.0088680980771862</v>
      </c>
      <c r="M72" s="20" t="n">
        <v>590486.4</v>
      </c>
      <c r="N72" s="20" t="n">
        <v>434613.76</v>
      </c>
      <c r="O72" s="20" t="n">
        <v>28.7392</v>
      </c>
      <c r="Q72" s="19" t="n">
        <v>109.479795</v>
      </c>
      <c r="R72" s="19" t="n">
        <v>-7.354813</v>
      </c>
      <c r="S72" s="19" t="n">
        <v>170</v>
      </c>
      <c r="T72" s="19" t="n">
        <v>138.356765</v>
      </c>
      <c r="U72" s="19" t="n">
        <v>156.777934</v>
      </c>
      <c r="V72" s="19" t="n">
        <v>119.345797</v>
      </c>
      <c r="W72" s="19" t="n">
        <v>26.773822</v>
      </c>
      <c r="Y72">
        <f>B72</f>
        <v/>
      </c>
      <c r="Z72">
        <f>C72</f>
        <v/>
      </c>
      <c r="AA72" s="18">
        <f>SUM(AD72:AI72)+AK72+AL72</f>
        <v/>
      </c>
      <c r="AB72" s="18">
        <f>SUM(AD72:AI72)+AN72+AO72</f>
        <v/>
      </c>
      <c r="AC72" s="5">
        <f>AA72-AB72</f>
        <v/>
      </c>
      <c r="AD72" s="1">
        <f>D72/I72*W72*-1</f>
        <v/>
      </c>
      <c r="AE72" s="1">
        <f>E72/I72*W72</f>
        <v/>
      </c>
      <c r="AF72" s="1">
        <f t="array" ref="AF72">_xlfn.IFS(C72="Biomass_Corn", 1/I72*S72, C72="Biomass_Agri", 1/I72*V72, C72="Biomass_Wood", 1/I72*U72, C72="Biomass_Herb", 1/I72*T72)</f>
        <v/>
      </c>
      <c r="AG72" s="1">
        <f>M72/I72/(0.9*8760)</f>
        <v/>
      </c>
      <c r="AH72" s="1">
        <f>N72/I72/(0.9*8760)</f>
        <v/>
      </c>
      <c r="AI72" s="1">
        <f>O72/I72</f>
        <v/>
      </c>
      <c r="AJ72" s="1">
        <f>(AY72+AZ72+BA72+BB72+BC72-AW72)/I72</f>
        <v/>
      </c>
      <c r="AK72" s="1">
        <f>(Q72+R72)*-1*K72/I72</f>
        <v/>
      </c>
      <c r="AL72">
        <f>AJ72*Q72</f>
        <v/>
      </c>
      <c r="AM72" s="1">
        <f>(SUM(AY72:BB72)-AW72)/I72</f>
        <v/>
      </c>
      <c r="AN72" s="1">
        <f>K72/I72*-1*R72</f>
        <v/>
      </c>
      <c r="AO72">
        <f>AM72*Q72</f>
        <v/>
      </c>
      <c r="AQ72" s="17">
        <f>J72</f>
        <v/>
      </c>
      <c r="AR72" s="8" t="n">
        <v>0.243968185</v>
      </c>
      <c r="AS72" s="8" t="n">
        <v>0.249427613</v>
      </c>
      <c r="AT72" s="9" t="n">
        <v>0.246356685</v>
      </c>
      <c r="AU72" s="17" t="n">
        <v>0.23037491</v>
      </c>
      <c r="AW72" s="9">
        <f>AQ72</f>
        <v/>
      </c>
      <c r="AY72" s="9">
        <f>AR72*F72</f>
        <v/>
      </c>
      <c r="AZ72" s="9">
        <f>AS72*H72</f>
        <v/>
      </c>
      <c r="BA72" s="9">
        <f>AT72*G72</f>
        <v/>
      </c>
      <c r="BB72" s="9">
        <f>L72</f>
        <v/>
      </c>
      <c r="BC72" s="9">
        <f>K72</f>
        <v/>
      </c>
      <c r="BE72" s="1">
        <f>AW72-SUM(AY72:BC72)</f>
        <v/>
      </c>
    </row>
    <row r="73">
      <c r="B73" s="12" t="inlineStr">
        <is>
          <t>SE_Gasoline_Gasification_CCS_99_Wood</t>
        </is>
      </c>
      <c r="C73" s="20" t="inlineStr">
        <is>
          <t>Biomass_Wood</t>
        </is>
      </c>
      <c r="D73" s="20" t="n">
        <v>0</v>
      </c>
      <c r="E73" s="20" t="n">
        <v>1.1596</v>
      </c>
      <c r="F73" s="20" t="n">
        <v>2.126</v>
      </c>
      <c r="G73" s="20" t="n">
        <v>0</v>
      </c>
      <c r="H73" s="20" t="n">
        <v>0</v>
      </c>
      <c r="I73" s="21">
        <f>F73+G73+H73</f>
        <v/>
      </c>
      <c r="J73" s="20" t="n">
        <v>1.821</v>
      </c>
      <c r="K73" s="20" t="n">
        <v>1.293348600889044</v>
      </c>
      <c r="L73" s="20" t="n">
        <v>0.0089861095016961</v>
      </c>
      <c r="M73" s="20" t="n">
        <v>590486.4</v>
      </c>
      <c r="N73" s="20" t="n">
        <v>434613.76</v>
      </c>
      <c r="O73" s="20" t="n">
        <v>28.7392</v>
      </c>
      <c r="Q73" s="19" t="n">
        <v>109.479795</v>
      </c>
      <c r="R73" s="19" t="n">
        <v>-7.354813</v>
      </c>
      <c r="S73" s="19" t="n">
        <v>170</v>
      </c>
      <c r="T73" s="19" t="n">
        <v>138.356765</v>
      </c>
      <c r="U73" s="19" t="n">
        <v>156.777934</v>
      </c>
      <c r="V73" s="19" t="n">
        <v>119.345797</v>
      </c>
      <c r="W73" s="19" t="n">
        <v>26.773822</v>
      </c>
      <c r="Y73">
        <f>B73</f>
        <v/>
      </c>
      <c r="Z73">
        <f>C73</f>
        <v/>
      </c>
      <c r="AA73" s="18">
        <f>SUM(AD73:AI73)+AK73+AL73</f>
        <v/>
      </c>
      <c r="AB73" s="18">
        <f>SUM(AD73:AI73)+AN73+AO73</f>
        <v/>
      </c>
      <c r="AC73" s="5">
        <f>AA73-AB73</f>
        <v/>
      </c>
      <c r="AD73" s="1">
        <f>D73/I73*W73*-1</f>
        <v/>
      </c>
      <c r="AE73" s="1">
        <f>E73/I73*W73</f>
        <v/>
      </c>
      <c r="AF73" s="1">
        <f t="array" ref="AF73">_xlfn.IFS(C73="Biomass_Corn", 1/I73*S73, C73="Biomass_Agri", 1/I73*V73, C73="Biomass_Wood", 1/I73*U73, C73="Biomass_Herb", 1/I73*T73)</f>
        <v/>
      </c>
      <c r="AG73" s="1">
        <f>M73/I73/(0.9*8760)</f>
        <v/>
      </c>
      <c r="AH73" s="1">
        <f>N73/I73/(0.9*8760)</f>
        <v/>
      </c>
      <c r="AI73" s="1">
        <f>O73/I73</f>
        <v/>
      </c>
      <c r="AJ73" s="1">
        <f>(AY73+AZ73+BA73+BB73+BC73-AW73)/I73</f>
        <v/>
      </c>
      <c r="AK73" s="1">
        <f>(Q73+R73)*-1*K73/I73</f>
        <v/>
      </c>
      <c r="AL73">
        <f>AJ73*Q73</f>
        <v/>
      </c>
      <c r="AM73" s="1">
        <f>(SUM(AY73:BB73)-AW73)/I73</f>
        <v/>
      </c>
      <c r="AN73" s="1">
        <f>K73/I73*-1*R73</f>
        <v/>
      </c>
      <c r="AO73">
        <f>AM73*Q73</f>
        <v/>
      </c>
      <c r="AQ73" s="17">
        <f>J73</f>
        <v/>
      </c>
      <c r="AR73" s="8" t="n">
        <v>0.243968185</v>
      </c>
      <c r="AS73" s="8" t="n">
        <v>0.249427613</v>
      </c>
      <c r="AT73" s="9" t="n">
        <v>0.246356685</v>
      </c>
      <c r="AU73" s="17" t="n">
        <v>0.23037491</v>
      </c>
      <c r="AW73" s="9">
        <f>AQ73</f>
        <v/>
      </c>
      <c r="AY73" s="9">
        <f>AR73*F73</f>
        <v/>
      </c>
      <c r="AZ73" s="9">
        <f>AS73*H73</f>
        <v/>
      </c>
      <c r="BA73" s="9">
        <f>AT73*G73</f>
        <v/>
      </c>
      <c r="BB73" s="9">
        <f>L73</f>
        <v/>
      </c>
      <c r="BC73" s="9">
        <f>K73</f>
        <v/>
      </c>
      <c r="BE73" s="1">
        <f>AW73-SUM(AY73:BC73)</f>
        <v/>
      </c>
    </row>
    <row r="74">
      <c r="B74" s="12" t="inlineStr">
        <is>
          <t>MIDAT_Gasoline_Gasification_CCS_99_Wood</t>
        </is>
      </c>
      <c r="C74" s="20" t="inlineStr">
        <is>
          <t>Biomass_Wood</t>
        </is>
      </c>
      <c r="D74" s="20" t="n">
        <v>0</v>
      </c>
      <c r="E74" s="20" t="n">
        <v>1.1596</v>
      </c>
      <c r="F74" s="20" t="n">
        <v>2.1115</v>
      </c>
      <c r="G74" s="20" t="n">
        <v>0</v>
      </c>
      <c r="H74" s="20" t="n">
        <v>0</v>
      </c>
      <c r="I74" s="21">
        <f>F74+G74+H74</f>
        <v/>
      </c>
      <c r="J74" s="20" t="n">
        <v>1.806</v>
      </c>
      <c r="K74" s="20" t="n">
        <v>1.281950598531908</v>
      </c>
      <c r="L74" s="20" t="n">
        <v>0.0089069168561778</v>
      </c>
      <c r="M74" s="20" t="n">
        <v>590486.4</v>
      </c>
      <c r="N74" s="20" t="n">
        <v>434613.76</v>
      </c>
      <c r="O74" s="20" t="n">
        <v>28.7392</v>
      </c>
      <c r="Q74" s="19" t="n">
        <v>109.479795</v>
      </c>
      <c r="R74" s="19" t="n">
        <v>-7.354813</v>
      </c>
      <c r="S74" s="19" t="n">
        <v>170</v>
      </c>
      <c r="T74" s="19" t="n">
        <v>138.356765</v>
      </c>
      <c r="U74" s="19" t="n">
        <v>156.777934</v>
      </c>
      <c r="V74" s="19" t="n">
        <v>119.345797</v>
      </c>
      <c r="W74" s="19" t="n">
        <v>26.773822</v>
      </c>
      <c r="Y74">
        <f>B74</f>
        <v/>
      </c>
      <c r="Z74">
        <f>C74</f>
        <v/>
      </c>
      <c r="AA74" s="18">
        <f>SUM(AD74:AI74)+AK74+AL74</f>
        <v/>
      </c>
      <c r="AB74" s="18">
        <f>SUM(AD74:AI74)+AN74+AO74</f>
        <v/>
      </c>
      <c r="AC74" s="5">
        <f>AA74-AB74</f>
        <v/>
      </c>
      <c r="AD74" s="1">
        <f>D74/I74*W74*-1</f>
        <v/>
      </c>
      <c r="AE74" s="1">
        <f>E74/I74*W74</f>
        <v/>
      </c>
      <c r="AF74" s="1">
        <f t="array" ref="AF74">_xlfn.IFS(C74="Biomass_Corn", 1/I74*S74, C74="Biomass_Agri", 1/I74*V74, C74="Biomass_Wood", 1/I74*U74, C74="Biomass_Herb", 1/I74*T74)</f>
        <v/>
      </c>
      <c r="AG74" s="1">
        <f>M74/I74/(0.9*8760)</f>
        <v/>
      </c>
      <c r="AH74" s="1">
        <f>N74/I74/(0.9*8760)</f>
        <v/>
      </c>
      <c r="AI74" s="1">
        <f>O74/I74</f>
        <v/>
      </c>
      <c r="AJ74" s="1">
        <f>(AY74+AZ74+BA74+BB74+BC74-AW74)/I74</f>
        <v/>
      </c>
      <c r="AK74" s="1">
        <f>(Q74+R74)*-1*K74/I74</f>
        <v/>
      </c>
      <c r="AL74">
        <f>AJ74*Q74</f>
        <v/>
      </c>
      <c r="AM74" s="1">
        <f>(SUM(AY74:BB74)-AW74)/I74</f>
        <v/>
      </c>
      <c r="AN74" s="1">
        <f>K74/I74*-1*R74</f>
        <v/>
      </c>
      <c r="AO74">
        <f>AM74*Q74</f>
        <v/>
      </c>
      <c r="AQ74" s="17">
        <f>J74</f>
        <v/>
      </c>
      <c r="AR74" s="8" t="n">
        <v>0.243968185</v>
      </c>
      <c r="AS74" s="8" t="n">
        <v>0.249427613</v>
      </c>
      <c r="AT74" s="9" t="n">
        <v>0.246356685</v>
      </c>
      <c r="AU74" s="17" t="n">
        <v>0.23037491</v>
      </c>
      <c r="AW74" s="9">
        <f>AQ74</f>
        <v/>
      </c>
      <c r="AY74" s="9">
        <f>AR74*F74</f>
        <v/>
      </c>
      <c r="AZ74" s="9">
        <f>AS74*H74</f>
        <v/>
      </c>
      <c r="BA74" s="9">
        <f>AT74*G74</f>
        <v/>
      </c>
      <c r="BB74" s="9">
        <f>L74</f>
        <v/>
      </c>
      <c r="BC74" s="9">
        <f>K74</f>
        <v/>
      </c>
      <c r="BE74" s="1">
        <f>AW74-SUM(AY74:BC74)</f>
        <v/>
      </c>
    </row>
    <row r="75">
      <c r="B75" s="12" t="inlineStr">
        <is>
          <t>NE_Gasoline_Gasification_CCS_99_Wood</t>
        </is>
      </c>
      <c r="C75" s="20" t="inlineStr">
        <is>
          <t>Biomass_Wood</t>
        </is>
      </c>
      <c r="D75" s="20" t="n">
        <v>0</v>
      </c>
      <c r="E75" s="20" t="n">
        <v>1.1596</v>
      </c>
      <c r="F75" s="20" t="n">
        <v>2.0982</v>
      </c>
      <c r="G75" s="20" t="n">
        <v>0</v>
      </c>
      <c r="H75" s="20" t="n">
        <v>0</v>
      </c>
      <c r="I75" s="21">
        <f>F75+G75+H75</f>
        <v/>
      </c>
      <c r="J75" s="20" t="n">
        <v>1.826</v>
      </c>
      <c r="K75" s="20" t="n">
        <v>1.305041980971476</v>
      </c>
      <c r="L75" s="20" t="n">
        <v>0.0090673544141609</v>
      </c>
      <c r="M75" s="20" t="n">
        <v>590486.4</v>
      </c>
      <c r="N75" s="20" t="n">
        <v>434613.76</v>
      </c>
      <c r="O75" s="20" t="n">
        <v>28.7392</v>
      </c>
      <c r="Q75" s="19" t="n">
        <v>109.479795</v>
      </c>
      <c r="R75" s="19" t="n">
        <v>-7.354813</v>
      </c>
      <c r="S75" s="19" t="n">
        <v>170</v>
      </c>
      <c r="T75" s="19" t="n">
        <v>138.356765</v>
      </c>
      <c r="U75" s="19" t="n">
        <v>156.777934</v>
      </c>
      <c r="V75" s="19" t="n">
        <v>119.345797</v>
      </c>
      <c r="W75" s="19" t="n">
        <v>26.773822</v>
      </c>
      <c r="Y75">
        <f>B75</f>
        <v/>
      </c>
      <c r="Z75">
        <f>C75</f>
        <v/>
      </c>
      <c r="AA75" s="18">
        <f>SUM(AD75:AI75)+AK75+AL75</f>
        <v/>
      </c>
      <c r="AB75" s="18">
        <f>SUM(AD75:AI75)+AN75+AO75</f>
        <v/>
      </c>
      <c r="AC75" s="5">
        <f>AA75-AB75</f>
        <v/>
      </c>
      <c r="AD75" s="1">
        <f>D75/I75*W75*-1</f>
        <v/>
      </c>
      <c r="AE75" s="1">
        <f>E75/I75*W75</f>
        <v/>
      </c>
      <c r="AF75" s="1">
        <f t="array" ref="AF75">_xlfn.IFS(C75="Biomass_Corn", 1/I75*S75, C75="Biomass_Agri", 1/I75*V75, C75="Biomass_Wood", 1/I75*U75, C75="Biomass_Herb", 1/I75*T75)</f>
        <v/>
      </c>
      <c r="AG75" s="1">
        <f>M75/I75/(0.9*8760)</f>
        <v/>
      </c>
      <c r="AH75" s="1">
        <f>N75/I75/(0.9*8760)</f>
        <v/>
      </c>
      <c r="AI75" s="1">
        <f>O75/I75</f>
        <v/>
      </c>
      <c r="AJ75" s="1">
        <f>(AY75+AZ75+BA75+BB75+BC75-AW75)/I75</f>
        <v/>
      </c>
      <c r="AK75" s="1">
        <f>(Q75+R75)*-1*K75/I75</f>
        <v/>
      </c>
      <c r="AL75">
        <f>AJ75*Q75</f>
        <v/>
      </c>
      <c r="AM75" s="1">
        <f>(SUM(AY75:BB75)-AW75)/I75</f>
        <v/>
      </c>
      <c r="AN75" s="1">
        <f>K75/I75*-1*R75</f>
        <v/>
      </c>
      <c r="AO75">
        <f>AM75*Q75</f>
        <v/>
      </c>
      <c r="AQ75" s="17">
        <f>J75</f>
        <v/>
      </c>
      <c r="AR75" s="8" t="n">
        <v>0.243968185</v>
      </c>
      <c r="AS75" s="8" t="n">
        <v>0.249427613</v>
      </c>
      <c r="AT75" s="9" t="n">
        <v>0.246356685</v>
      </c>
      <c r="AU75" s="17" t="n">
        <v>0.23037491</v>
      </c>
      <c r="AW75" s="9">
        <f>AQ75</f>
        <v/>
      </c>
      <c r="AY75" s="9">
        <f>AR75*F75</f>
        <v/>
      </c>
      <c r="AZ75" s="9">
        <f>AS75*H75</f>
        <v/>
      </c>
      <c r="BA75" s="9">
        <f>AT75*G75</f>
        <v/>
      </c>
      <c r="BB75" s="9">
        <f>L75</f>
        <v/>
      </c>
      <c r="BC75" s="9">
        <f>K75</f>
        <v/>
      </c>
      <c r="BE75" s="1">
        <f>AW75-SUM(AY75:BC75)</f>
        <v/>
      </c>
    </row>
    <row r="76">
      <c r="B76" s="12" t="inlineStr">
        <is>
          <t>CA_Gasoline_Gasification_CCS_99_Agri</t>
        </is>
      </c>
      <c r="C76" s="20" t="inlineStr">
        <is>
          <t>Biomass_Agri</t>
        </is>
      </c>
      <c r="D76" s="20" t="n">
        <v>0</v>
      </c>
      <c r="E76" s="20" t="n">
        <v>1.1596</v>
      </c>
      <c r="F76" s="20" t="n">
        <v>2.0315</v>
      </c>
      <c r="G76" s="20" t="n">
        <v>0</v>
      </c>
      <c r="H76" s="20" t="n">
        <v>0</v>
      </c>
      <c r="I76" s="21">
        <f>F76+G76+H76</f>
        <v/>
      </c>
      <c r="J76" s="20" t="n">
        <v>1.719</v>
      </c>
      <c r="K76" s="20" t="n">
        <v>1.214927193169311</v>
      </c>
      <c r="L76" s="20" t="n">
        <v>0.008441242204076301</v>
      </c>
      <c r="M76" s="20" t="n">
        <v>590486.4</v>
      </c>
      <c r="N76" s="20" t="n">
        <v>434613.76</v>
      </c>
      <c r="O76" s="20" t="n">
        <v>28.7392</v>
      </c>
      <c r="Q76" s="19" t="n">
        <v>109.479795</v>
      </c>
      <c r="R76" s="19" t="n">
        <v>-7.354813</v>
      </c>
      <c r="S76" s="19" t="n">
        <v>170</v>
      </c>
      <c r="T76" s="19" t="n">
        <v>138.356765</v>
      </c>
      <c r="U76" s="19" t="n">
        <v>156.777934</v>
      </c>
      <c r="V76" s="19" t="n">
        <v>119.345797</v>
      </c>
      <c r="W76" s="19" t="n">
        <v>26.773822</v>
      </c>
      <c r="Y76">
        <f>B76</f>
        <v/>
      </c>
      <c r="Z76">
        <f>C76</f>
        <v/>
      </c>
      <c r="AA76" s="18">
        <f>SUM(AD76:AI76)+AK76+AL76</f>
        <v/>
      </c>
      <c r="AB76" s="18">
        <f>SUM(AD76:AI76)+AN76+AO76</f>
        <v/>
      </c>
      <c r="AC76" s="5">
        <f>AA76-AB76</f>
        <v/>
      </c>
      <c r="AD76" s="1">
        <f>D76/I76*W76*-1</f>
        <v/>
      </c>
      <c r="AE76" s="1">
        <f>E76/I76*W76</f>
        <v/>
      </c>
      <c r="AF76" s="1">
        <f t="array" ref="AF76">_xlfn.IFS(C76="Biomass_Corn", 1/I76*S76, C76="Biomass_Agri", 1/I76*V76, C76="Biomass_Wood", 1/I76*U76, C76="Biomass_Herb", 1/I76*T76)</f>
        <v/>
      </c>
      <c r="AG76" s="1">
        <f>M76/I76/(0.9*8760)</f>
        <v/>
      </c>
      <c r="AH76" s="1">
        <f>N76/I76/(0.9*8760)</f>
        <v/>
      </c>
      <c r="AI76" s="1">
        <f>O76/I76</f>
        <v/>
      </c>
      <c r="AJ76" s="1">
        <f>(AY76+AZ76+BA76+BB76+BC76-AW76)/I76</f>
        <v/>
      </c>
      <c r="AK76" s="1">
        <f>(Q76+R76)*-1*K76/I76</f>
        <v/>
      </c>
      <c r="AL76">
        <f>AJ76*Q76</f>
        <v/>
      </c>
      <c r="AM76" s="1">
        <f>(SUM(AY76:BB76)-AW76)/I76</f>
        <v/>
      </c>
      <c r="AN76" s="1">
        <f>K76/I76*-1*R76</f>
        <v/>
      </c>
      <c r="AO76">
        <f>AM76*Q76</f>
        <v/>
      </c>
      <c r="AQ76" s="17">
        <f>J76</f>
        <v/>
      </c>
      <c r="AR76" s="8" t="n">
        <v>0.243968185</v>
      </c>
      <c r="AS76" s="8" t="n">
        <v>0.249427613</v>
      </c>
      <c r="AT76" s="9" t="n">
        <v>0.246356685</v>
      </c>
      <c r="AU76" s="17" t="n">
        <v>0.23037491</v>
      </c>
      <c r="AW76" s="9">
        <f>AQ76</f>
        <v/>
      </c>
      <c r="AY76" s="9">
        <f>AR76*F76</f>
        <v/>
      </c>
      <c r="AZ76" s="9">
        <f>AS76*H76</f>
        <v/>
      </c>
      <c r="BA76" s="9">
        <f>AT76*G76</f>
        <v/>
      </c>
      <c r="BB76" s="9">
        <f>L76</f>
        <v/>
      </c>
      <c r="BC76" s="9">
        <f>K76</f>
        <v/>
      </c>
      <c r="BE76" s="1">
        <f>AW76-SUM(AY76:BC76)</f>
        <v/>
      </c>
    </row>
    <row r="77">
      <c r="B77" s="12" t="inlineStr">
        <is>
          <t>NW_Gasoline_Gasification_CCS_99_Agri</t>
        </is>
      </c>
      <c r="C77" s="20" t="inlineStr">
        <is>
          <t>Biomass_Agri</t>
        </is>
      </c>
      <c r="D77" s="20" t="n">
        <v>0</v>
      </c>
      <c r="E77" s="20" t="n">
        <v>1.1596</v>
      </c>
      <c r="F77" s="20" t="n">
        <v>1.8572</v>
      </c>
      <c r="G77" s="20" t="n">
        <v>0</v>
      </c>
      <c r="H77" s="20" t="n">
        <v>0</v>
      </c>
      <c r="I77" s="21">
        <f>F77+G77+H77</f>
        <v/>
      </c>
      <c r="J77" s="20" t="n">
        <v>1.664</v>
      </c>
      <c r="K77" s="20" t="n">
        <v>1.202557780086981</v>
      </c>
      <c r="L77" s="20" t="n">
        <v>0.0083553002543552</v>
      </c>
      <c r="M77" s="20" t="n">
        <v>590486.4</v>
      </c>
      <c r="N77" s="20" t="n">
        <v>434613.76</v>
      </c>
      <c r="O77" s="20" t="n">
        <v>28.7392</v>
      </c>
      <c r="Q77" s="19" t="n">
        <v>109.479795</v>
      </c>
      <c r="R77" s="19" t="n">
        <v>-7.354813</v>
      </c>
      <c r="S77" s="19" t="n">
        <v>170</v>
      </c>
      <c r="T77" s="19" t="n">
        <v>138.356765</v>
      </c>
      <c r="U77" s="19" t="n">
        <v>156.777934</v>
      </c>
      <c r="V77" s="19" t="n">
        <v>119.345797</v>
      </c>
      <c r="W77" s="19" t="n">
        <v>26.773822</v>
      </c>
      <c r="Y77">
        <f>B77</f>
        <v/>
      </c>
      <c r="Z77">
        <f>C77</f>
        <v/>
      </c>
      <c r="AA77" s="18">
        <f>SUM(AD77:AI77)+AK77+AL77</f>
        <v/>
      </c>
      <c r="AB77" s="18">
        <f>SUM(AD77:AI77)+AN77+AO77</f>
        <v/>
      </c>
      <c r="AC77" s="5">
        <f>AA77-AB77</f>
        <v/>
      </c>
      <c r="AD77" s="1">
        <f>D77/I77*W77*-1</f>
        <v/>
      </c>
      <c r="AE77" s="1">
        <f>E77/I77*W77</f>
        <v/>
      </c>
      <c r="AF77" s="1">
        <f t="array" ref="AF77">_xlfn.IFS(C77="Biomass_Corn", 1/I77*S77, C77="Biomass_Agri", 1/I77*V77, C77="Biomass_Wood", 1/I77*U77, C77="Biomass_Herb", 1/I77*T77)</f>
        <v/>
      </c>
      <c r="AG77" s="1">
        <f>M77/I77/(0.9*8760)</f>
        <v/>
      </c>
      <c r="AH77" s="1">
        <f>N77/I77/(0.9*8760)</f>
        <v/>
      </c>
      <c r="AI77" s="1">
        <f>O77/I77</f>
        <v/>
      </c>
      <c r="AJ77" s="1">
        <f>(AY77+AZ77+BA77+BB77+BC77-AW77)/I77</f>
        <v/>
      </c>
      <c r="AK77" s="1">
        <f>(Q77+R77)*-1*K77/I77</f>
        <v/>
      </c>
      <c r="AL77">
        <f>AJ77*Q77</f>
        <v/>
      </c>
      <c r="AM77" s="1">
        <f>(SUM(AY77:BB77)-AW77)/I77</f>
        <v/>
      </c>
      <c r="AN77" s="1">
        <f>K77/I77*-1*R77</f>
        <v/>
      </c>
      <c r="AO77">
        <f>AM77*Q77</f>
        <v/>
      </c>
      <c r="AQ77" s="17">
        <f>J77</f>
        <v/>
      </c>
      <c r="AR77" s="8" t="n">
        <v>0.243968185</v>
      </c>
      <c r="AS77" s="8" t="n">
        <v>0.249427613</v>
      </c>
      <c r="AT77" s="9" t="n">
        <v>0.246356685</v>
      </c>
      <c r="AU77" s="17" t="n">
        <v>0.23037491</v>
      </c>
      <c r="AW77" s="9">
        <f>AQ77</f>
        <v/>
      </c>
      <c r="AY77" s="9">
        <f>AR77*F77</f>
        <v/>
      </c>
      <c r="AZ77" s="9">
        <f>AS77*H77</f>
        <v/>
      </c>
      <c r="BA77" s="9">
        <f>AT77*G77</f>
        <v/>
      </c>
      <c r="BB77" s="9">
        <f>L77</f>
        <v/>
      </c>
      <c r="BC77" s="9">
        <f>K77</f>
        <v/>
      </c>
      <c r="BE77" s="1">
        <f>AW77-SUM(AY77:BC77)</f>
        <v/>
      </c>
    </row>
    <row r="78">
      <c r="B78" s="12" t="inlineStr">
        <is>
          <t>SW_Gasoline_Gasification_CCS_99_Agri</t>
        </is>
      </c>
      <c r="C78" s="20" t="inlineStr">
        <is>
          <t>Biomass_Agri</t>
        </is>
      </c>
      <c r="D78" s="20" t="n">
        <v>0</v>
      </c>
      <c r="E78" s="20" t="n">
        <v>1.1596</v>
      </c>
      <c r="F78" s="20" t="n">
        <v>1.8916</v>
      </c>
      <c r="G78" s="20" t="n">
        <v>0</v>
      </c>
      <c r="H78" s="20" t="n">
        <v>0</v>
      </c>
      <c r="I78" s="21">
        <f>F78+G78+H78</f>
        <v/>
      </c>
      <c r="J78" s="20" t="n">
        <v>1.687</v>
      </c>
      <c r="K78" s="20" t="n">
        <v>1.217056508784766</v>
      </c>
      <c r="L78" s="20" t="n">
        <v>0.008456036562898899</v>
      </c>
      <c r="M78" s="20" t="n">
        <v>590486.4</v>
      </c>
      <c r="N78" s="20" t="n">
        <v>434613.76</v>
      </c>
      <c r="O78" s="20" t="n">
        <v>28.7392</v>
      </c>
      <c r="Q78" s="19" t="n">
        <v>109.479795</v>
      </c>
      <c r="R78" s="19" t="n">
        <v>-7.354813</v>
      </c>
      <c r="S78" s="19" t="n">
        <v>170</v>
      </c>
      <c r="T78" s="19" t="n">
        <v>138.356765</v>
      </c>
      <c r="U78" s="19" t="n">
        <v>156.777934</v>
      </c>
      <c r="V78" s="19" t="n">
        <v>119.345797</v>
      </c>
      <c r="W78" s="19" t="n">
        <v>26.773822</v>
      </c>
      <c r="Y78">
        <f>B78</f>
        <v/>
      </c>
      <c r="Z78">
        <f>C78</f>
        <v/>
      </c>
      <c r="AA78" s="18">
        <f>SUM(AD78:AI78)+AK78+AL78</f>
        <v/>
      </c>
      <c r="AB78" s="18">
        <f>SUM(AD78:AI78)+AN78+AO78</f>
        <v/>
      </c>
      <c r="AC78" s="5">
        <f>AA78-AB78</f>
        <v/>
      </c>
      <c r="AD78" s="1">
        <f>D78/I78*W78*-1</f>
        <v/>
      </c>
      <c r="AE78" s="1">
        <f>E78/I78*W78</f>
        <v/>
      </c>
      <c r="AF78" s="1">
        <f t="array" ref="AF78">_xlfn.IFS(C78="Biomass_Corn", 1/I78*S78, C78="Biomass_Agri", 1/I78*V78, C78="Biomass_Wood", 1/I78*U78, C78="Biomass_Herb", 1/I78*T78)</f>
        <v/>
      </c>
      <c r="AG78" s="1">
        <f>M78/I78/(0.9*8760)</f>
        <v/>
      </c>
      <c r="AH78" s="1">
        <f>N78/I78/(0.9*8760)</f>
        <v/>
      </c>
      <c r="AI78" s="1">
        <f>O78/I78</f>
        <v/>
      </c>
      <c r="AJ78" s="1">
        <f>(AY78+AZ78+BA78+BB78+BC78-AW78)/I78</f>
        <v/>
      </c>
      <c r="AK78" s="1">
        <f>(Q78+R78)*-1*K78/I78</f>
        <v/>
      </c>
      <c r="AL78">
        <f>AJ78*Q78</f>
        <v/>
      </c>
      <c r="AM78" s="1">
        <f>(SUM(AY78:BB78)-AW78)/I78</f>
        <v/>
      </c>
      <c r="AN78" s="1">
        <f>K78/I78*-1*R78</f>
        <v/>
      </c>
      <c r="AO78">
        <f>AM78*Q78</f>
        <v/>
      </c>
      <c r="AQ78" s="17">
        <f>J78</f>
        <v/>
      </c>
      <c r="AR78" s="8" t="n">
        <v>0.243968185</v>
      </c>
      <c r="AS78" s="8" t="n">
        <v>0.249427613</v>
      </c>
      <c r="AT78" s="9" t="n">
        <v>0.246356685</v>
      </c>
      <c r="AU78" s="17" t="n">
        <v>0.23037491</v>
      </c>
      <c r="AW78" s="9">
        <f>AQ78</f>
        <v/>
      </c>
      <c r="AY78" s="9">
        <f>AR78*F78</f>
        <v/>
      </c>
      <c r="AZ78" s="9">
        <f>AS78*H78</f>
        <v/>
      </c>
      <c r="BA78" s="9">
        <f>AT78*G78</f>
        <v/>
      </c>
      <c r="BB78" s="9">
        <f>L78</f>
        <v/>
      </c>
      <c r="BC78" s="9">
        <f>K78</f>
        <v/>
      </c>
      <c r="BE78" s="1">
        <f>AW78-SUM(AY78:BC78)</f>
        <v/>
      </c>
    </row>
    <row r="79">
      <c r="B79" s="12" t="inlineStr">
        <is>
          <t>TX_Gasoline_Gasification_CCS_99_Agri</t>
        </is>
      </c>
      <c r="C79" s="20" t="inlineStr">
        <is>
          <t>Biomass_Agri</t>
        </is>
      </c>
      <c r="D79" s="20" t="n">
        <v>0</v>
      </c>
      <c r="E79" s="20" t="n">
        <v>1.1596</v>
      </c>
      <c r="F79" s="20" t="n">
        <v>1.8427</v>
      </c>
      <c r="G79" s="20" t="n">
        <v>0</v>
      </c>
      <c r="H79" s="20" t="n">
        <v>0</v>
      </c>
      <c r="I79" s="21">
        <f>F79+G79+H79</f>
        <v/>
      </c>
      <c r="J79" s="20" t="n">
        <v>1.633</v>
      </c>
      <c r="K79" s="20" t="n">
        <v>1.175270177729845</v>
      </c>
      <c r="L79" s="20" t="n">
        <v>0.008165707608836901</v>
      </c>
      <c r="M79" s="20" t="n">
        <v>590486.4</v>
      </c>
      <c r="N79" s="20" t="n">
        <v>434613.76</v>
      </c>
      <c r="O79" s="20" t="n">
        <v>28.7392</v>
      </c>
      <c r="Q79" s="19" t="n">
        <v>109.479795</v>
      </c>
      <c r="R79" s="19" t="n">
        <v>-7.354813</v>
      </c>
      <c r="S79" s="19" t="n">
        <v>170</v>
      </c>
      <c r="T79" s="19" t="n">
        <v>138.356765</v>
      </c>
      <c r="U79" s="19" t="n">
        <v>156.777934</v>
      </c>
      <c r="V79" s="19" t="n">
        <v>119.345797</v>
      </c>
      <c r="W79" s="19" t="n">
        <v>26.773822</v>
      </c>
      <c r="Y79">
        <f>B79</f>
        <v/>
      </c>
      <c r="Z79">
        <f>C79</f>
        <v/>
      </c>
      <c r="AA79" s="18">
        <f>SUM(AD79:AI79)+AK79+AL79</f>
        <v/>
      </c>
      <c r="AB79" s="18">
        <f>SUM(AD79:AI79)+AN79+AO79</f>
        <v/>
      </c>
      <c r="AC79" s="5">
        <f>AA79-AB79</f>
        <v/>
      </c>
      <c r="AD79" s="1">
        <f>D79/I79*W79*-1</f>
        <v/>
      </c>
      <c r="AE79" s="1">
        <f>E79/I79*W79</f>
        <v/>
      </c>
      <c r="AF79" s="1">
        <f t="array" ref="AF79">_xlfn.IFS(C79="Biomass_Corn", 1/I79*S79, C79="Biomass_Agri", 1/I79*V79, C79="Biomass_Wood", 1/I79*U79, C79="Biomass_Herb", 1/I79*T79)</f>
        <v/>
      </c>
      <c r="AG79" s="1">
        <f>M79/I79/(0.9*8760)</f>
        <v/>
      </c>
      <c r="AH79" s="1">
        <f>N79/I79/(0.9*8760)</f>
        <v/>
      </c>
      <c r="AI79" s="1">
        <f>O79/I79</f>
        <v/>
      </c>
      <c r="AJ79" s="1">
        <f>(AY79+AZ79+BA79+BB79+BC79-AW79)/I79</f>
        <v/>
      </c>
      <c r="AK79" s="1">
        <f>(Q79+R79)*-1*K79/I79</f>
        <v/>
      </c>
      <c r="AL79">
        <f>AJ79*Q79</f>
        <v/>
      </c>
      <c r="AM79" s="1">
        <f>(SUM(AY79:BB79)-AW79)/I79</f>
        <v/>
      </c>
      <c r="AN79" s="1">
        <f>K79/I79*-1*R79</f>
        <v/>
      </c>
      <c r="AO79">
        <f>AM79*Q79</f>
        <v/>
      </c>
      <c r="AQ79" s="17">
        <f>J79</f>
        <v/>
      </c>
      <c r="AR79" s="8" t="n">
        <v>0.243968185</v>
      </c>
      <c r="AS79" s="8" t="n">
        <v>0.249427613</v>
      </c>
      <c r="AT79" s="9" t="n">
        <v>0.246356685</v>
      </c>
      <c r="AU79" s="17" t="n">
        <v>0.23037491</v>
      </c>
      <c r="AW79" s="9">
        <f>AQ79</f>
        <v/>
      </c>
      <c r="AY79" s="9">
        <f>AR79*F79</f>
        <v/>
      </c>
      <c r="AZ79" s="9">
        <f>AS79*H79</f>
        <v/>
      </c>
      <c r="BA79" s="9">
        <f>AT79*G79</f>
        <v/>
      </c>
      <c r="BB79" s="9">
        <f>L79</f>
        <v/>
      </c>
      <c r="BC79" s="9">
        <f>K79</f>
        <v/>
      </c>
      <c r="BE79" s="1">
        <f>AW79-SUM(AY79:BC79)</f>
        <v/>
      </c>
    </row>
    <row r="80">
      <c r="B80" s="12" t="inlineStr">
        <is>
          <t>NCEN_Gasoline_Gasification_CCS_99_Agri</t>
        </is>
      </c>
      <c r="C80" s="20" t="inlineStr">
        <is>
          <t>Biomass_Agri</t>
        </is>
      </c>
      <c r="D80" s="20" t="n">
        <v>0</v>
      </c>
      <c r="E80" s="20" t="n">
        <v>1.1596</v>
      </c>
      <c r="F80" s="20" t="n">
        <v>1.9216</v>
      </c>
      <c r="G80" s="20" t="n">
        <v>0</v>
      </c>
      <c r="H80" s="20" t="n">
        <v>0</v>
      </c>
      <c r="I80" s="21">
        <f>F80+G80+H80</f>
        <v/>
      </c>
      <c r="J80" s="20" t="n">
        <v>1.71</v>
      </c>
      <c r="K80" s="20" t="n">
        <v>1.23263169829574</v>
      </c>
      <c r="L80" s="20" t="n">
        <v>0.0085642520574369</v>
      </c>
      <c r="M80" s="20" t="n">
        <v>590486.4</v>
      </c>
      <c r="N80" s="20" t="n">
        <v>434613.76</v>
      </c>
      <c r="O80" s="20" t="n">
        <v>28.7392</v>
      </c>
      <c r="Q80" s="19" t="n">
        <v>109.479795</v>
      </c>
      <c r="R80" s="19" t="n">
        <v>-7.354813</v>
      </c>
      <c r="S80" s="19" t="n">
        <v>170</v>
      </c>
      <c r="T80" s="19" t="n">
        <v>138.356765</v>
      </c>
      <c r="U80" s="19" t="n">
        <v>156.777934</v>
      </c>
      <c r="V80" s="19" t="n">
        <v>119.345797</v>
      </c>
      <c r="W80" s="19" t="n">
        <v>26.773822</v>
      </c>
      <c r="Y80">
        <f>B80</f>
        <v/>
      </c>
      <c r="Z80">
        <f>C80</f>
        <v/>
      </c>
      <c r="AA80" s="18">
        <f>SUM(AD80:AI80)+AK80+AL80</f>
        <v/>
      </c>
      <c r="AB80" s="18">
        <f>SUM(AD80:AI80)+AN80+AO80</f>
        <v/>
      </c>
      <c r="AC80" s="5">
        <f>AA80-AB80</f>
        <v/>
      </c>
      <c r="AD80" s="1">
        <f>D80/I80*W80*-1</f>
        <v/>
      </c>
      <c r="AE80" s="1">
        <f>E80/I80*W80</f>
        <v/>
      </c>
      <c r="AF80" s="1">
        <f t="array" ref="AF80">_xlfn.IFS(C80="Biomass_Corn", 1/I80*S80, C80="Biomass_Agri", 1/I80*V80, C80="Biomass_Wood", 1/I80*U80, C80="Biomass_Herb", 1/I80*T80)</f>
        <v/>
      </c>
      <c r="AG80" s="1">
        <f>M80/I80/(0.9*8760)</f>
        <v/>
      </c>
      <c r="AH80" s="1">
        <f>N80/I80/(0.9*8760)</f>
        <v/>
      </c>
      <c r="AI80" s="1">
        <f>O80/I80</f>
        <v/>
      </c>
      <c r="AJ80" s="1">
        <f>(AY80+AZ80+BA80+BB80+BC80-AW80)/I80</f>
        <v/>
      </c>
      <c r="AK80" s="1">
        <f>(Q80+R80)*-1*K80/I80</f>
        <v/>
      </c>
      <c r="AL80">
        <f>AJ80*Q80</f>
        <v/>
      </c>
      <c r="AM80" s="1">
        <f>(SUM(AY80:BB80)-AW80)/I80</f>
        <v/>
      </c>
      <c r="AN80" s="1">
        <f>K80/I80*-1*R80</f>
        <v/>
      </c>
      <c r="AO80">
        <f>AM80*Q80</f>
        <v/>
      </c>
      <c r="AQ80" s="17">
        <f>J80</f>
        <v/>
      </c>
      <c r="AR80" s="8" t="n">
        <v>0.243968185</v>
      </c>
      <c r="AS80" s="8" t="n">
        <v>0.249427613</v>
      </c>
      <c r="AT80" s="9" t="n">
        <v>0.246356685</v>
      </c>
      <c r="AU80" s="17" t="n">
        <v>0.23037491</v>
      </c>
      <c r="AW80" s="9">
        <f>AQ80</f>
        <v/>
      </c>
      <c r="AY80" s="9">
        <f>AR80*F80</f>
        <v/>
      </c>
      <c r="AZ80" s="9">
        <f>AS80*H80</f>
        <v/>
      </c>
      <c r="BA80" s="9">
        <f>AT80*G80</f>
        <v/>
      </c>
      <c r="BB80" s="9">
        <f>L80</f>
        <v/>
      </c>
      <c r="BC80" s="9">
        <f>K80</f>
        <v/>
      </c>
      <c r="BE80" s="1">
        <f>AW80-SUM(AY80:BC80)</f>
        <v/>
      </c>
    </row>
    <row r="81">
      <c r="B81" s="12" t="inlineStr">
        <is>
          <t>CEN_Gasoline_Gasification_CCS_99_Agri</t>
        </is>
      </c>
      <c r="C81" s="20" t="inlineStr">
        <is>
          <t>Biomass_Agri</t>
        </is>
      </c>
      <c r="D81" s="20" t="n">
        <v>0</v>
      </c>
      <c r="E81" s="20" t="n">
        <v>1.1596</v>
      </c>
      <c r="F81" s="20" t="n">
        <v>1.9071</v>
      </c>
      <c r="G81" s="20" t="n">
        <v>0</v>
      </c>
      <c r="H81" s="20" t="n">
        <v>0</v>
      </c>
      <c r="I81" s="21">
        <f>F81+G81+H81</f>
        <v/>
      </c>
      <c r="J81" s="20" t="n">
        <v>1.7</v>
      </c>
      <c r="K81" s="20" t="n">
        <v>1.226199195938604</v>
      </c>
      <c r="L81" s="20" t="n">
        <v>0.008519559411918599</v>
      </c>
      <c r="M81" s="20" t="n">
        <v>590486.4</v>
      </c>
      <c r="N81" s="20" t="n">
        <v>434613.76</v>
      </c>
      <c r="O81" s="20" t="n">
        <v>28.7392</v>
      </c>
      <c r="Q81" s="19" t="n">
        <v>109.479795</v>
      </c>
      <c r="R81" s="19" t="n">
        <v>-7.354813</v>
      </c>
      <c r="S81" s="19" t="n">
        <v>170</v>
      </c>
      <c r="T81" s="19" t="n">
        <v>138.356765</v>
      </c>
      <c r="U81" s="19" t="n">
        <v>156.777934</v>
      </c>
      <c r="V81" s="19" t="n">
        <v>119.345797</v>
      </c>
      <c r="W81" s="19" t="n">
        <v>26.773822</v>
      </c>
      <c r="Y81">
        <f>B81</f>
        <v/>
      </c>
      <c r="Z81">
        <f>C81</f>
        <v/>
      </c>
      <c r="AA81" s="18">
        <f>SUM(AD81:AI81)+AK81+AL81</f>
        <v/>
      </c>
      <c r="AB81" s="18">
        <f>SUM(AD81:AI81)+AN81+AO81</f>
        <v/>
      </c>
      <c r="AC81" s="5">
        <f>AA81-AB81</f>
        <v/>
      </c>
      <c r="AD81" s="1">
        <f>D81/I81*W81*-1</f>
        <v/>
      </c>
      <c r="AE81" s="1">
        <f>E81/I81*W81</f>
        <v/>
      </c>
      <c r="AF81" s="1">
        <f t="array" ref="AF81">_xlfn.IFS(C81="Biomass_Corn", 1/I81*S81, C81="Biomass_Agri", 1/I81*V81, C81="Biomass_Wood", 1/I81*U81, C81="Biomass_Herb", 1/I81*T81)</f>
        <v/>
      </c>
      <c r="AG81" s="1">
        <f>M81/I81/(0.9*8760)</f>
        <v/>
      </c>
      <c r="AH81" s="1">
        <f>N81/I81/(0.9*8760)</f>
        <v/>
      </c>
      <c r="AI81" s="1">
        <f>O81/I81</f>
        <v/>
      </c>
      <c r="AJ81" s="1">
        <f>(AY81+AZ81+BA81+BB81+BC81-AW81)/I81</f>
        <v/>
      </c>
      <c r="AK81" s="1">
        <f>(Q81+R81)*-1*K81/I81</f>
        <v/>
      </c>
      <c r="AL81">
        <f>AJ81*Q81</f>
        <v/>
      </c>
      <c r="AM81" s="1">
        <f>(SUM(AY81:BB81)-AW81)/I81</f>
        <v/>
      </c>
      <c r="AN81" s="1">
        <f>K81/I81*-1*R81</f>
        <v/>
      </c>
      <c r="AO81">
        <f>AM81*Q81</f>
        <v/>
      </c>
      <c r="AQ81" s="17">
        <f>J81</f>
        <v/>
      </c>
      <c r="AR81" s="8" t="n">
        <v>0.243968185</v>
      </c>
      <c r="AS81" s="8" t="n">
        <v>0.249427613</v>
      </c>
      <c r="AT81" s="9" t="n">
        <v>0.246356685</v>
      </c>
      <c r="AU81" s="17" t="n">
        <v>0.23037491</v>
      </c>
      <c r="AW81" s="9">
        <f>AQ81</f>
        <v/>
      </c>
      <c r="AY81" s="9">
        <f>AR81*F81</f>
        <v/>
      </c>
      <c r="AZ81" s="9">
        <f>AS81*H81</f>
        <v/>
      </c>
      <c r="BA81" s="9">
        <f>AT81*G81</f>
        <v/>
      </c>
      <c r="BB81" s="9">
        <f>L81</f>
        <v/>
      </c>
      <c r="BC81" s="9">
        <f>K81</f>
        <v/>
      </c>
      <c r="BE81" s="1">
        <f>AW81-SUM(AY81:BC81)</f>
        <v/>
      </c>
    </row>
    <row r="82">
      <c r="B82" s="12" t="inlineStr">
        <is>
          <t>SE_Gasoline_Gasification_CCS_99_Agri</t>
        </is>
      </c>
      <c r="C82" s="20" t="inlineStr">
        <is>
          <t>Biomass_Agri</t>
        </is>
      </c>
      <c r="D82" s="20" t="n">
        <v>0</v>
      </c>
      <c r="E82" s="20" t="n">
        <v>1.1596</v>
      </c>
      <c r="F82" s="20" t="n">
        <v>1.9138</v>
      </c>
      <c r="G82" s="20" t="n">
        <v>0</v>
      </c>
      <c r="H82" s="20" t="n">
        <v>0</v>
      </c>
      <c r="I82" s="21">
        <f>F82+G82+H82</f>
        <v/>
      </c>
      <c r="J82" s="20" t="n">
        <v>1.689</v>
      </c>
      <c r="K82" s="20" t="n">
        <v>1.213660404718821</v>
      </c>
      <c r="L82" s="20" t="n">
        <v>0.008432440632927</v>
      </c>
      <c r="M82" s="20" t="n">
        <v>590486.4</v>
      </c>
      <c r="N82" s="20" t="n">
        <v>434613.76</v>
      </c>
      <c r="O82" s="20" t="n">
        <v>28.7392</v>
      </c>
      <c r="Q82" s="19" t="n">
        <v>109.479795</v>
      </c>
      <c r="R82" s="19" t="n">
        <v>-7.354813</v>
      </c>
      <c r="S82" s="19" t="n">
        <v>170</v>
      </c>
      <c r="T82" s="19" t="n">
        <v>138.356765</v>
      </c>
      <c r="U82" s="19" t="n">
        <v>156.777934</v>
      </c>
      <c r="V82" s="19" t="n">
        <v>119.345797</v>
      </c>
      <c r="W82" s="19" t="n">
        <v>26.773822</v>
      </c>
      <c r="Y82">
        <f>B82</f>
        <v/>
      </c>
      <c r="Z82">
        <f>C82</f>
        <v/>
      </c>
      <c r="AA82" s="18">
        <f>SUM(AD82:AI82)+AK82+AL82</f>
        <v/>
      </c>
      <c r="AB82" s="18">
        <f>SUM(AD82:AI82)+AN82+AO82</f>
        <v/>
      </c>
      <c r="AC82" s="5">
        <f>AA82-AB82</f>
        <v/>
      </c>
      <c r="AD82" s="1">
        <f>D82/I82*W82*-1</f>
        <v/>
      </c>
      <c r="AE82" s="1">
        <f>E82/I82*W82</f>
        <v/>
      </c>
      <c r="AF82" s="1">
        <f t="array" ref="AF82">_xlfn.IFS(C82="Biomass_Corn", 1/I82*S82, C82="Biomass_Agri", 1/I82*V82, C82="Biomass_Wood", 1/I82*U82, C82="Biomass_Herb", 1/I82*T82)</f>
        <v/>
      </c>
      <c r="AG82" s="1">
        <f>M82/I82/(0.9*8760)</f>
        <v/>
      </c>
      <c r="AH82" s="1">
        <f>N82/I82/(0.9*8760)</f>
        <v/>
      </c>
      <c r="AI82" s="1">
        <f>O82/I82</f>
        <v/>
      </c>
      <c r="AJ82" s="1">
        <f>(AY82+AZ82+BA82+BB82+BC82-AW82)/I82</f>
        <v/>
      </c>
      <c r="AK82" s="1">
        <f>(Q82+R82)*-1*K82/I82</f>
        <v/>
      </c>
      <c r="AL82">
        <f>AJ82*Q82</f>
        <v/>
      </c>
      <c r="AM82" s="1">
        <f>(SUM(AY82:BB82)-AW82)/I82</f>
        <v/>
      </c>
      <c r="AN82" s="1">
        <f>K82/I82*-1*R82</f>
        <v/>
      </c>
      <c r="AO82">
        <f>AM82*Q82</f>
        <v/>
      </c>
      <c r="AQ82" s="17">
        <f>J82</f>
        <v/>
      </c>
      <c r="AR82" s="8" t="n">
        <v>0.243968185</v>
      </c>
      <c r="AS82" s="8" t="n">
        <v>0.249427613</v>
      </c>
      <c r="AT82" s="9" t="n">
        <v>0.246356685</v>
      </c>
      <c r="AU82" s="17" t="n">
        <v>0.23037491</v>
      </c>
      <c r="AW82" s="9">
        <f>AQ82</f>
        <v/>
      </c>
      <c r="AY82" s="9">
        <f>AR82*F82</f>
        <v/>
      </c>
      <c r="AZ82" s="9">
        <f>AS82*H82</f>
        <v/>
      </c>
      <c r="BA82" s="9">
        <f>AT82*G82</f>
        <v/>
      </c>
      <c r="BB82" s="9">
        <f>L82</f>
        <v/>
      </c>
      <c r="BC82" s="9">
        <f>K82</f>
        <v/>
      </c>
      <c r="BE82" s="1">
        <f>AW82-SUM(AY82:BC82)</f>
        <v/>
      </c>
    </row>
    <row r="83">
      <c r="B83" s="12" t="inlineStr">
        <is>
          <t>MIDAT_Gasoline_Gasification_CCS_99_Agri</t>
        </is>
      </c>
      <c r="C83" s="20" t="inlineStr">
        <is>
          <t>Biomass_Agri</t>
        </is>
      </c>
      <c r="D83" s="20" t="n">
        <v>0</v>
      </c>
      <c r="E83" s="20" t="n">
        <v>1.1596</v>
      </c>
      <c r="F83" s="20" t="n">
        <v>1.9194</v>
      </c>
      <c r="G83" s="20" t="n">
        <v>0</v>
      </c>
      <c r="H83" s="20" t="n">
        <v>0</v>
      </c>
      <c r="I83" s="21">
        <f>F83+G83+H83</f>
        <v/>
      </c>
      <c r="J83" s="20" t="n">
        <v>1.708</v>
      </c>
      <c r="K83" s="20" t="n">
        <v>1.231183728702334</v>
      </c>
      <c r="L83" s="20" t="n">
        <v>0.0085541916504341</v>
      </c>
      <c r="M83" s="20" t="n">
        <v>590486.4</v>
      </c>
      <c r="N83" s="20" t="n">
        <v>434613.76</v>
      </c>
      <c r="O83" s="20" t="n">
        <v>28.7392</v>
      </c>
      <c r="Q83" s="19" t="n">
        <v>109.479795</v>
      </c>
      <c r="R83" s="19" t="n">
        <v>-7.354813</v>
      </c>
      <c r="S83" s="19" t="n">
        <v>170</v>
      </c>
      <c r="T83" s="19" t="n">
        <v>138.356765</v>
      </c>
      <c r="U83" s="19" t="n">
        <v>156.777934</v>
      </c>
      <c r="V83" s="19" t="n">
        <v>119.345797</v>
      </c>
      <c r="W83" s="19" t="n">
        <v>26.773822</v>
      </c>
      <c r="Y83">
        <f>B83</f>
        <v/>
      </c>
      <c r="Z83">
        <f>C83</f>
        <v/>
      </c>
      <c r="AA83" s="18">
        <f>SUM(AD83:AI83)+AK83+AL83</f>
        <v/>
      </c>
      <c r="AB83" s="18">
        <f>SUM(AD83:AI83)+AN83+AO83</f>
        <v/>
      </c>
      <c r="AC83" s="5">
        <f>AA83-AB83</f>
        <v/>
      </c>
      <c r="AD83" s="1">
        <f>D83/I83*W83*-1</f>
        <v/>
      </c>
      <c r="AE83" s="1">
        <f>E83/I83*W83</f>
        <v/>
      </c>
      <c r="AF83" s="1">
        <f t="array" ref="AF83">_xlfn.IFS(C83="Biomass_Corn", 1/I83*S83, C83="Biomass_Agri", 1/I83*V83, C83="Biomass_Wood", 1/I83*U83, C83="Biomass_Herb", 1/I83*T83)</f>
        <v/>
      </c>
      <c r="AG83" s="1">
        <f>M83/I83/(0.9*8760)</f>
        <v/>
      </c>
      <c r="AH83" s="1">
        <f>N83/I83/(0.9*8760)</f>
        <v/>
      </c>
      <c r="AI83" s="1">
        <f>O83/I83</f>
        <v/>
      </c>
      <c r="AJ83" s="1">
        <f>(AY83+AZ83+BA83+BB83+BC83-AW83)/I83</f>
        <v/>
      </c>
      <c r="AK83" s="1">
        <f>(Q83+R83)*-1*K83/I83</f>
        <v/>
      </c>
      <c r="AL83">
        <f>AJ83*Q83</f>
        <v/>
      </c>
      <c r="AM83" s="1">
        <f>(SUM(AY83:BB83)-AW83)/I83</f>
        <v/>
      </c>
      <c r="AN83" s="1">
        <f>K83/I83*-1*R83</f>
        <v/>
      </c>
      <c r="AO83">
        <f>AM83*Q83</f>
        <v/>
      </c>
      <c r="AQ83" s="17">
        <f>J83</f>
        <v/>
      </c>
      <c r="AR83" s="8" t="n">
        <v>0.243968185</v>
      </c>
      <c r="AS83" s="8" t="n">
        <v>0.249427613</v>
      </c>
      <c r="AT83" s="9" t="n">
        <v>0.246356685</v>
      </c>
      <c r="AU83" s="17" t="n">
        <v>0.23037491</v>
      </c>
      <c r="AW83" s="9">
        <f>AQ83</f>
        <v/>
      </c>
      <c r="AY83" s="9">
        <f>AR83*F83</f>
        <v/>
      </c>
      <c r="AZ83" s="9">
        <f>AS83*H83</f>
        <v/>
      </c>
      <c r="BA83" s="9">
        <f>AT83*G83</f>
        <v/>
      </c>
      <c r="BB83" s="9">
        <f>L83</f>
        <v/>
      </c>
      <c r="BC83" s="9">
        <f>K83</f>
        <v/>
      </c>
      <c r="BE83" s="1">
        <f>AW83-SUM(AY83:BC83)</f>
        <v/>
      </c>
    </row>
    <row r="84">
      <c r="B84" s="12" t="inlineStr">
        <is>
          <t>NE_Gasoline_Gasification_CCS_99_Agri</t>
        </is>
      </c>
      <c r="C84" s="20" t="inlineStr">
        <is>
          <t>Biomass_Agri</t>
        </is>
      </c>
      <c r="D84" s="20" t="n">
        <v>0</v>
      </c>
      <c r="E84" s="20" t="n">
        <v>1.1596</v>
      </c>
      <c r="F84" s="20" t="n">
        <v>1.9416</v>
      </c>
      <c r="G84" s="20" t="n">
        <v>0</v>
      </c>
      <c r="H84" s="20" t="n">
        <v>0</v>
      </c>
      <c r="I84" s="21">
        <f>F84+G84+H84</f>
        <v/>
      </c>
      <c r="J84" s="20" t="n">
        <v>1.715</v>
      </c>
      <c r="K84" s="20" t="n">
        <v>1.232753124636389</v>
      </c>
      <c r="L84" s="20" t="n">
        <v>0.0085650957204622</v>
      </c>
      <c r="M84" s="20" t="n">
        <v>590486.4</v>
      </c>
      <c r="N84" s="20" t="n">
        <v>434613.76</v>
      </c>
      <c r="O84" s="20" t="n">
        <v>28.7392</v>
      </c>
      <c r="Q84" s="19" t="n">
        <v>109.479795</v>
      </c>
      <c r="R84" s="19" t="n">
        <v>-7.354813</v>
      </c>
      <c r="S84" s="19" t="n">
        <v>170</v>
      </c>
      <c r="T84" s="19" t="n">
        <v>138.356765</v>
      </c>
      <c r="U84" s="19" t="n">
        <v>156.777934</v>
      </c>
      <c r="V84" s="19" t="n">
        <v>119.345797</v>
      </c>
      <c r="W84" s="19" t="n">
        <v>26.773822</v>
      </c>
      <c r="Y84">
        <f>B84</f>
        <v/>
      </c>
      <c r="Z84">
        <f>C84</f>
        <v/>
      </c>
      <c r="AA84" s="18">
        <f>SUM(AD84:AI84)+AK84+AL84</f>
        <v/>
      </c>
      <c r="AB84" s="18">
        <f>SUM(AD84:AI84)+AN84+AO84</f>
        <v/>
      </c>
      <c r="AC84" s="5">
        <f>AA84-AB84</f>
        <v/>
      </c>
      <c r="AD84" s="1">
        <f>D84/I84*W84*-1</f>
        <v/>
      </c>
      <c r="AE84" s="1">
        <f>E84/I84*W84</f>
        <v/>
      </c>
      <c r="AF84" s="1">
        <f t="array" ref="AF84">_xlfn.IFS(C84="Biomass_Corn", 1/I84*S84, C84="Biomass_Agri", 1/I84*V84, C84="Biomass_Wood", 1/I84*U84, C84="Biomass_Herb", 1/I84*T84)</f>
        <v/>
      </c>
      <c r="AG84" s="1">
        <f>M84/I84/(0.9*8760)</f>
        <v/>
      </c>
      <c r="AH84" s="1">
        <f>N84/I84/(0.9*8760)</f>
        <v/>
      </c>
      <c r="AI84" s="1">
        <f>O84/I84</f>
        <v/>
      </c>
      <c r="AJ84" s="1">
        <f>(AY84+AZ84+BA84+BB84+BC84-AW84)/I84</f>
        <v/>
      </c>
      <c r="AK84" s="1">
        <f>(Q84+R84)*-1*K84/I84</f>
        <v/>
      </c>
      <c r="AL84">
        <f>AJ84*Q84</f>
        <v/>
      </c>
      <c r="AM84" s="1">
        <f>(SUM(AY84:BB84)-AW84)/I84</f>
        <v/>
      </c>
      <c r="AN84" s="1">
        <f>K84/I84*-1*R84</f>
        <v/>
      </c>
      <c r="AO84">
        <f>AM84*Q84</f>
        <v/>
      </c>
      <c r="AQ84" s="17">
        <f>J84</f>
        <v/>
      </c>
      <c r="AR84" s="8" t="n">
        <v>0.243968185</v>
      </c>
      <c r="AS84" s="8" t="n">
        <v>0.249427613</v>
      </c>
      <c r="AT84" s="9" t="n">
        <v>0.246356685</v>
      </c>
      <c r="AU84" s="17" t="n">
        <v>0.23037491</v>
      </c>
      <c r="AW84" s="9">
        <f>AQ84</f>
        <v/>
      </c>
      <c r="AY84" s="9">
        <f>AR84*F84</f>
        <v/>
      </c>
      <c r="AZ84" s="9">
        <f>AS84*H84</f>
        <v/>
      </c>
      <c r="BA84" s="9">
        <f>AT84*G84</f>
        <v/>
      </c>
      <c r="BB84" s="9">
        <f>L84</f>
        <v/>
      </c>
      <c r="BC84" s="9">
        <f>K84</f>
        <v/>
      </c>
      <c r="BE84" s="1">
        <f>AW84-SUM(AY84:BC84)</f>
        <v/>
      </c>
    </row>
    <row r="85">
      <c r="B85" s="12" t="inlineStr">
        <is>
          <t>CA_FT_High_Diesel_Non_CCS_Herb</t>
        </is>
      </c>
      <c r="C85" s="20" t="inlineStr">
        <is>
          <t>Biomass_Herb</t>
        </is>
      </c>
      <c r="D85" s="20" t="n">
        <v>0</v>
      </c>
      <c r="E85" s="20" t="n">
        <v>2.8679</v>
      </c>
      <c r="F85" s="20" t="n">
        <v>0.6596</v>
      </c>
      <c r="G85" s="20" t="n">
        <v>0.68</v>
      </c>
      <c r="H85" s="20" t="n">
        <v>1.3472</v>
      </c>
      <c r="I85" s="21">
        <f>F85+G85+H85</f>
        <v/>
      </c>
      <c r="J85" s="20" t="n">
        <v>1.721</v>
      </c>
      <c r="K85" s="20" t="n">
        <v>0</v>
      </c>
      <c r="L85" s="20" t="n">
        <v>1.056526164370964</v>
      </c>
      <c r="M85" s="20" t="n">
        <v>492864.96</v>
      </c>
      <c r="N85" s="20" t="n">
        <v>547339.52</v>
      </c>
      <c r="O85" s="20" t="n">
        <v>0</v>
      </c>
      <c r="Q85" s="19" t="n">
        <v>109.479795</v>
      </c>
      <c r="R85" s="19" t="n">
        <v>-7.354813</v>
      </c>
      <c r="S85" s="19" t="n">
        <v>170</v>
      </c>
      <c r="T85" s="19" t="n">
        <v>138.356765</v>
      </c>
      <c r="U85" s="19" t="n">
        <v>156.777934</v>
      </c>
      <c r="V85" s="19" t="n">
        <v>119.345797</v>
      </c>
      <c r="W85" s="19" t="n">
        <v>26.773822</v>
      </c>
      <c r="Y85">
        <f>B85</f>
        <v/>
      </c>
      <c r="Z85">
        <f>C85</f>
        <v/>
      </c>
      <c r="AA85" s="18">
        <f>SUM(AD85:AI85)+AK85+AL85</f>
        <v/>
      </c>
      <c r="AB85" s="18">
        <f>SUM(AD85:AI85)+AN85+AO85</f>
        <v/>
      </c>
      <c r="AC85" s="5">
        <f>AA85-AB85</f>
        <v/>
      </c>
      <c r="AD85" s="1">
        <f>D85/I85*W85*-1</f>
        <v/>
      </c>
      <c r="AE85" s="1">
        <f>E85/I85*W85</f>
        <v/>
      </c>
      <c r="AF85" s="1">
        <f t="array" ref="AF85">_xlfn.IFS(C85="Biomass_Corn", 1/I85*S85, C85="Biomass_Agri", 1/I85*V85, C85="Biomass_Wood", 1/I85*U85, C85="Biomass_Herb", 1/I85*T85)</f>
        <v/>
      </c>
      <c r="AG85" s="1">
        <f>M85/I85/(0.9*8760)</f>
        <v/>
      </c>
      <c r="AH85" s="1">
        <f>N85/I85/(0.9*8760)</f>
        <v/>
      </c>
      <c r="AI85" s="1">
        <f>O85/I85</f>
        <v/>
      </c>
      <c r="AJ85" s="1">
        <f>(AY85+AZ85+BA85+BB85+BC85-AW85)/I85</f>
        <v/>
      </c>
      <c r="AK85" s="1">
        <f>(Q85+R85)*-1*K85/I85</f>
        <v/>
      </c>
      <c r="AL85">
        <f>AJ85*Q85</f>
        <v/>
      </c>
      <c r="AM85" s="1">
        <f>(SUM(AY85:BB85)-AW85)/I85</f>
        <v/>
      </c>
      <c r="AN85" s="1">
        <f>K85/I85*-1*R85</f>
        <v/>
      </c>
      <c r="AO85">
        <f>AM85*Q85</f>
        <v/>
      </c>
      <c r="AQ85" s="17">
        <f>J85</f>
        <v/>
      </c>
      <c r="AR85" s="8" t="n">
        <v>0.243968185</v>
      </c>
      <c r="AS85" s="8" t="n">
        <v>0.249427613</v>
      </c>
      <c r="AT85" s="9" t="n">
        <v>0.246356685</v>
      </c>
      <c r="AU85" s="17" t="n">
        <v>0.23037491</v>
      </c>
      <c r="AW85" s="9">
        <f>AQ85</f>
        <v/>
      </c>
      <c r="AY85" s="9">
        <f>AR85*F85</f>
        <v/>
      </c>
      <c r="AZ85" s="9">
        <f>AS85*H85</f>
        <v/>
      </c>
      <c r="BA85" s="9">
        <f>AT85*G85</f>
        <v/>
      </c>
      <c r="BB85" s="9">
        <f>L85</f>
        <v/>
      </c>
      <c r="BC85" s="9">
        <f>K85</f>
        <v/>
      </c>
      <c r="BE85" s="1">
        <f>AW85-SUM(AY85:BC85)</f>
        <v/>
      </c>
    </row>
    <row r="86">
      <c r="B86" s="12" t="inlineStr">
        <is>
          <t>NW_FT_High_Diesel_Non_CCS_Herb</t>
        </is>
      </c>
      <c r="C86" s="20" t="inlineStr">
        <is>
          <t>Biomass_Herb</t>
        </is>
      </c>
      <c r="D86" s="20" t="n">
        <v>0</v>
      </c>
      <c r="E86" s="20" t="n">
        <v>2.8679</v>
      </c>
      <c r="F86" s="20" t="n">
        <v>0.6611</v>
      </c>
      <c r="G86" s="20" t="n">
        <v>0.6815</v>
      </c>
      <c r="H86" s="20" t="n">
        <v>1.3501</v>
      </c>
      <c r="I86" s="21">
        <f>F86+G86+H86</f>
        <v/>
      </c>
      <c r="J86" s="20" t="n">
        <v>1.726</v>
      </c>
      <c r="K86" s="20" t="n">
        <v>0</v>
      </c>
      <c r="L86" s="20" t="n">
        <v>1.060064979465787</v>
      </c>
      <c r="M86" s="20" t="n">
        <v>492864.96</v>
      </c>
      <c r="N86" s="20" t="n">
        <v>547339.52</v>
      </c>
      <c r="O86" s="20" t="n">
        <v>0</v>
      </c>
      <c r="Q86" s="19" t="n">
        <v>109.479795</v>
      </c>
      <c r="R86" s="19" t="n">
        <v>-7.354813</v>
      </c>
      <c r="S86" s="19" t="n">
        <v>170</v>
      </c>
      <c r="T86" s="19" t="n">
        <v>138.356765</v>
      </c>
      <c r="U86" s="19" t="n">
        <v>156.777934</v>
      </c>
      <c r="V86" s="19" t="n">
        <v>119.345797</v>
      </c>
      <c r="W86" s="19" t="n">
        <v>26.773822</v>
      </c>
      <c r="Y86">
        <f>B86</f>
        <v/>
      </c>
      <c r="Z86">
        <f>C86</f>
        <v/>
      </c>
      <c r="AA86" s="18">
        <f>SUM(AD86:AI86)+AK86+AL86</f>
        <v/>
      </c>
      <c r="AB86" s="18">
        <f>SUM(AD86:AI86)+AN86+AO86</f>
        <v/>
      </c>
      <c r="AC86" s="5">
        <f>AA86-AB86</f>
        <v/>
      </c>
      <c r="AD86" s="1">
        <f>D86/I86*W86*-1</f>
        <v/>
      </c>
      <c r="AE86" s="1">
        <f>E86/I86*W86</f>
        <v/>
      </c>
      <c r="AF86" s="1">
        <f t="array" ref="AF86">_xlfn.IFS(C86="Biomass_Corn", 1/I86*S86, C86="Biomass_Agri", 1/I86*V86, C86="Biomass_Wood", 1/I86*U86, C86="Biomass_Herb", 1/I86*T86)</f>
        <v/>
      </c>
      <c r="AG86" s="1">
        <f>M86/I86/(0.9*8760)</f>
        <v/>
      </c>
      <c r="AH86" s="1">
        <f>N86/I86/(0.9*8760)</f>
        <v/>
      </c>
      <c r="AI86" s="1">
        <f>O86/I86</f>
        <v/>
      </c>
      <c r="AJ86" s="1">
        <f>(AY86+AZ86+BA86+BB86+BC86-AW86)/I86</f>
        <v/>
      </c>
      <c r="AK86" s="1">
        <f>(Q86+R86)*-1*K86/I86</f>
        <v/>
      </c>
      <c r="AL86">
        <f>AJ86*Q86</f>
        <v/>
      </c>
      <c r="AM86" s="1">
        <f>(SUM(AY86:BB86)-AW86)/I86</f>
        <v/>
      </c>
      <c r="AN86" s="1">
        <f>K86/I86*-1*R86</f>
        <v/>
      </c>
      <c r="AO86">
        <f>AM86*Q86</f>
        <v/>
      </c>
      <c r="AQ86" s="17">
        <f>J86</f>
        <v/>
      </c>
      <c r="AR86" s="8" t="n">
        <v>0.243968185</v>
      </c>
      <c r="AS86" s="8" t="n">
        <v>0.249427613</v>
      </c>
      <c r="AT86" s="9" t="n">
        <v>0.246356685</v>
      </c>
      <c r="AU86" s="17" t="n">
        <v>0.23037491</v>
      </c>
      <c r="AW86" s="9">
        <f>AQ86</f>
        <v/>
      </c>
      <c r="AY86" s="9">
        <f>AR86*F86</f>
        <v/>
      </c>
      <c r="AZ86" s="9">
        <f>AS86*H86</f>
        <v/>
      </c>
      <c r="BA86" s="9">
        <f>AT86*G86</f>
        <v/>
      </c>
      <c r="BB86" s="9">
        <f>L86</f>
        <v/>
      </c>
      <c r="BC86" s="9">
        <f>K86</f>
        <v/>
      </c>
      <c r="BE86" s="1">
        <f>AW86-SUM(AY86:BC86)</f>
        <v/>
      </c>
    </row>
    <row r="87">
      <c r="B87" s="12" t="inlineStr">
        <is>
          <t>SW_FT_High_Diesel_Non_CCS_Herb</t>
        </is>
      </c>
      <c r="C87" s="20" t="inlineStr">
        <is>
          <t>Biomass_Herb</t>
        </is>
      </c>
      <c r="D87" s="20" t="n">
        <v>0</v>
      </c>
      <c r="E87" s="20" t="n">
        <v>2.8679</v>
      </c>
      <c r="F87" s="20" t="n">
        <v>0.6567</v>
      </c>
      <c r="G87" s="20" t="n">
        <v>0.677</v>
      </c>
      <c r="H87" s="20" t="n">
        <v>1.3412</v>
      </c>
      <c r="I87" s="21">
        <f>F87+G87+H87</f>
        <v/>
      </c>
      <c r="J87" s="20" t="n">
        <v>1.71</v>
      </c>
      <c r="K87" s="20" t="n">
        <v>0</v>
      </c>
      <c r="L87" s="20" t="n">
        <v>1.048448534181317</v>
      </c>
      <c r="M87" s="20" t="n">
        <v>492864.96</v>
      </c>
      <c r="N87" s="20" t="n">
        <v>547339.52</v>
      </c>
      <c r="O87" s="20" t="n">
        <v>0</v>
      </c>
      <c r="Q87" s="19" t="n">
        <v>109.479795</v>
      </c>
      <c r="R87" s="19" t="n">
        <v>-7.354813</v>
      </c>
      <c r="S87" s="19" t="n">
        <v>170</v>
      </c>
      <c r="T87" s="19" t="n">
        <v>138.356765</v>
      </c>
      <c r="U87" s="19" t="n">
        <v>156.777934</v>
      </c>
      <c r="V87" s="19" t="n">
        <v>119.345797</v>
      </c>
      <c r="W87" s="19" t="n">
        <v>26.773822</v>
      </c>
      <c r="Y87">
        <f>B87</f>
        <v/>
      </c>
      <c r="Z87">
        <f>C87</f>
        <v/>
      </c>
      <c r="AA87" s="18">
        <f>SUM(AD87:AI87)+AK87+AL87</f>
        <v/>
      </c>
      <c r="AB87" s="18">
        <f>SUM(AD87:AI87)+AN87+AO87</f>
        <v/>
      </c>
      <c r="AC87" s="5">
        <f>AA87-AB87</f>
        <v/>
      </c>
      <c r="AD87" s="1">
        <f>D87/I87*W87*-1</f>
        <v/>
      </c>
      <c r="AE87" s="1">
        <f>E87/I87*W87</f>
        <v/>
      </c>
      <c r="AF87" s="1">
        <f t="array" ref="AF87">_xlfn.IFS(C87="Biomass_Corn", 1/I87*S87, C87="Biomass_Agri", 1/I87*V87, C87="Biomass_Wood", 1/I87*U87, C87="Biomass_Herb", 1/I87*T87)</f>
        <v/>
      </c>
      <c r="AG87" s="1">
        <f>M87/I87/(0.9*8760)</f>
        <v/>
      </c>
      <c r="AH87" s="1">
        <f>N87/I87/(0.9*8760)</f>
        <v/>
      </c>
      <c r="AI87" s="1">
        <f>O87/I87</f>
        <v/>
      </c>
      <c r="AJ87" s="1">
        <f>(AY87+AZ87+BA87+BB87+BC87-AW87)/I87</f>
        <v/>
      </c>
      <c r="AK87" s="1">
        <f>(Q87+R87)*-1*K87/I87</f>
        <v/>
      </c>
      <c r="AL87">
        <f>AJ87*Q87</f>
        <v/>
      </c>
      <c r="AM87" s="1">
        <f>(SUM(AY87:BB87)-AW87)/I87</f>
        <v/>
      </c>
      <c r="AN87" s="1">
        <f>K87/I87*-1*R87</f>
        <v/>
      </c>
      <c r="AO87">
        <f>AM87*Q87</f>
        <v/>
      </c>
      <c r="AQ87" s="17">
        <f>J87</f>
        <v/>
      </c>
      <c r="AR87" s="8" t="n">
        <v>0.243968185</v>
      </c>
      <c r="AS87" s="8" t="n">
        <v>0.249427613</v>
      </c>
      <c r="AT87" s="9" t="n">
        <v>0.246356685</v>
      </c>
      <c r="AU87" s="17" t="n">
        <v>0.23037491</v>
      </c>
      <c r="AW87" s="9">
        <f>AQ87</f>
        <v/>
      </c>
      <c r="AY87" s="9">
        <f>AR87*F87</f>
        <v/>
      </c>
      <c r="AZ87" s="9">
        <f>AS87*H87</f>
        <v/>
      </c>
      <c r="BA87" s="9">
        <f>AT87*G87</f>
        <v/>
      </c>
      <c r="BB87" s="9">
        <f>L87</f>
        <v/>
      </c>
      <c r="BC87" s="9">
        <f>K87</f>
        <v/>
      </c>
      <c r="BE87" s="1">
        <f>AW87-SUM(AY87:BC87)</f>
        <v/>
      </c>
    </row>
    <row r="88">
      <c r="B88" s="12" t="inlineStr">
        <is>
          <t>TX_FT_High_Diesel_Non_CCS_Herb</t>
        </is>
      </c>
      <c r="C88" s="20" t="inlineStr">
        <is>
          <t>Biomass_Herb</t>
        </is>
      </c>
      <c r="D88" s="20" t="n">
        <v>0</v>
      </c>
      <c r="E88" s="20" t="n">
        <v>2.8679</v>
      </c>
      <c r="F88" s="20" t="n">
        <v>0.6582</v>
      </c>
      <c r="G88" s="20" t="n">
        <v>0.6785</v>
      </c>
      <c r="H88" s="20" t="n">
        <v>1.3442</v>
      </c>
      <c r="I88" s="21">
        <f>F88+G88+H88</f>
        <v/>
      </c>
      <c r="J88" s="20" t="n">
        <v>1.714</v>
      </c>
      <c r="K88" s="20" t="n">
        <v>0</v>
      </c>
      <c r="L88" s="20" t="n">
        <v>1.05098734927614</v>
      </c>
      <c r="M88" s="20" t="n">
        <v>492864.96</v>
      </c>
      <c r="N88" s="20" t="n">
        <v>547339.52</v>
      </c>
      <c r="O88" s="20" t="n">
        <v>0</v>
      </c>
      <c r="Q88" s="19" t="n">
        <v>109.479795</v>
      </c>
      <c r="R88" s="19" t="n">
        <v>-7.354813</v>
      </c>
      <c r="S88" s="19" t="n">
        <v>170</v>
      </c>
      <c r="T88" s="19" t="n">
        <v>138.356765</v>
      </c>
      <c r="U88" s="19" t="n">
        <v>156.777934</v>
      </c>
      <c r="V88" s="19" t="n">
        <v>119.345797</v>
      </c>
      <c r="W88" s="19" t="n">
        <v>26.773822</v>
      </c>
      <c r="Y88">
        <f>B88</f>
        <v/>
      </c>
      <c r="Z88">
        <f>C88</f>
        <v/>
      </c>
      <c r="AA88" s="18">
        <f>SUM(AD88:AI88)+AK88+AL88</f>
        <v/>
      </c>
      <c r="AB88" s="18">
        <f>SUM(AD88:AI88)+AN88+AO88</f>
        <v/>
      </c>
      <c r="AC88" s="5">
        <f>AA88-AB88</f>
        <v/>
      </c>
      <c r="AD88" s="1">
        <f>D88/I88*W88*-1</f>
        <v/>
      </c>
      <c r="AE88" s="1">
        <f>E88/I88*W88</f>
        <v/>
      </c>
      <c r="AF88" s="1">
        <f t="array" ref="AF88">_xlfn.IFS(C88="Biomass_Corn", 1/I88*S88, C88="Biomass_Agri", 1/I88*V88, C88="Biomass_Wood", 1/I88*U88, C88="Biomass_Herb", 1/I88*T88)</f>
        <v/>
      </c>
      <c r="AG88" s="1">
        <f>M88/I88/(0.9*8760)</f>
        <v/>
      </c>
      <c r="AH88" s="1">
        <f>N88/I88/(0.9*8760)</f>
        <v/>
      </c>
      <c r="AI88" s="1">
        <f>O88/I88</f>
        <v/>
      </c>
      <c r="AJ88" s="1">
        <f>(AY88+AZ88+BA88+BB88+BC88-AW88)/I88</f>
        <v/>
      </c>
      <c r="AK88" s="1">
        <f>(Q88+R88)*-1*K88/I88</f>
        <v/>
      </c>
      <c r="AL88">
        <f>AJ88*Q88</f>
        <v/>
      </c>
      <c r="AM88" s="1">
        <f>(SUM(AY88:BB88)-AW88)/I88</f>
        <v/>
      </c>
      <c r="AN88" s="1">
        <f>K88/I88*-1*R88</f>
        <v/>
      </c>
      <c r="AO88">
        <f>AM88*Q88</f>
        <v/>
      </c>
      <c r="AQ88" s="17">
        <f>J88</f>
        <v/>
      </c>
      <c r="AR88" s="8" t="n">
        <v>0.243968185</v>
      </c>
      <c r="AS88" s="8" t="n">
        <v>0.249427613</v>
      </c>
      <c r="AT88" s="9" t="n">
        <v>0.246356685</v>
      </c>
      <c r="AU88" s="17" t="n">
        <v>0.23037491</v>
      </c>
      <c r="AW88" s="9">
        <f>AQ88</f>
        <v/>
      </c>
      <c r="AY88" s="9">
        <f>AR88*F88</f>
        <v/>
      </c>
      <c r="AZ88" s="9">
        <f>AS88*H88</f>
        <v/>
      </c>
      <c r="BA88" s="9">
        <f>AT88*G88</f>
        <v/>
      </c>
      <c r="BB88" s="9">
        <f>L88</f>
        <v/>
      </c>
      <c r="BC88" s="9">
        <f>K88</f>
        <v/>
      </c>
      <c r="BE88" s="1">
        <f>AW88-SUM(AY88:BC88)</f>
        <v/>
      </c>
    </row>
    <row r="89">
      <c r="B89" s="12" t="inlineStr">
        <is>
          <t>NCEN_FT_High_Diesel_Non_CCS_Herb</t>
        </is>
      </c>
      <c r="C89" s="20" t="inlineStr">
        <is>
          <t>Biomass_Herb</t>
        </is>
      </c>
      <c r="D89" s="20" t="n">
        <v>0</v>
      </c>
      <c r="E89" s="20" t="n">
        <v>2.8679</v>
      </c>
      <c r="F89" s="20" t="n">
        <v>0.665</v>
      </c>
      <c r="G89" s="20" t="n">
        <v>0.6856</v>
      </c>
      <c r="H89" s="20" t="n">
        <v>1.3583</v>
      </c>
      <c r="I89" s="21">
        <f>F89+G89+H89</f>
        <v/>
      </c>
      <c r="J89" s="20" t="n">
        <v>1.74</v>
      </c>
      <c r="K89" s="20" t="n">
        <v>0</v>
      </c>
      <c r="L89" s="20" t="n">
        <v>1.070046720976551</v>
      </c>
      <c r="M89" s="20" t="n">
        <v>492864.96</v>
      </c>
      <c r="N89" s="20" t="n">
        <v>547339.52</v>
      </c>
      <c r="O89" s="20" t="n">
        <v>0</v>
      </c>
      <c r="Q89" s="19" t="n">
        <v>109.479795</v>
      </c>
      <c r="R89" s="19" t="n">
        <v>-7.354813</v>
      </c>
      <c r="S89" s="19" t="n">
        <v>170</v>
      </c>
      <c r="T89" s="19" t="n">
        <v>138.356765</v>
      </c>
      <c r="U89" s="19" t="n">
        <v>156.777934</v>
      </c>
      <c r="V89" s="19" t="n">
        <v>119.345797</v>
      </c>
      <c r="W89" s="19" t="n">
        <v>26.773822</v>
      </c>
      <c r="Y89">
        <f>B89</f>
        <v/>
      </c>
      <c r="Z89">
        <f>C89</f>
        <v/>
      </c>
      <c r="AA89" s="18">
        <f>SUM(AD89:AI89)+AK89+AL89</f>
        <v/>
      </c>
      <c r="AB89" s="18">
        <f>SUM(AD89:AI89)+AN89+AO89</f>
        <v/>
      </c>
      <c r="AC89" s="5">
        <f>AA89-AB89</f>
        <v/>
      </c>
      <c r="AD89" s="1">
        <f>D89/I89*W89*-1</f>
        <v/>
      </c>
      <c r="AE89" s="1">
        <f>E89/I89*W89</f>
        <v/>
      </c>
      <c r="AF89" s="1">
        <f t="array" ref="AF89">_xlfn.IFS(C89="Biomass_Corn", 1/I89*S89, C89="Biomass_Agri", 1/I89*V89, C89="Biomass_Wood", 1/I89*U89, C89="Biomass_Herb", 1/I89*T89)</f>
        <v/>
      </c>
      <c r="AG89" s="1">
        <f>M89/I89/(0.9*8760)</f>
        <v/>
      </c>
      <c r="AH89" s="1">
        <f>N89/I89/(0.9*8760)</f>
        <v/>
      </c>
      <c r="AI89" s="1">
        <f>O89/I89</f>
        <v/>
      </c>
      <c r="AJ89" s="1">
        <f>(AY89+AZ89+BA89+BB89+BC89-AW89)/I89</f>
        <v/>
      </c>
      <c r="AK89" s="1">
        <f>(Q89+R89)*-1*K89/I89</f>
        <v/>
      </c>
      <c r="AL89">
        <f>AJ89*Q89</f>
        <v/>
      </c>
      <c r="AM89" s="1">
        <f>(SUM(AY89:BB89)-AW89)/I89</f>
        <v/>
      </c>
      <c r="AN89" s="1">
        <f>K89/I89*-1*R89</f>
        <v/>
      </c>
      <c r="AO89">
        <f>AM89*Q89</f>
        <v/>
      </c>
      <c r="AQ89" s="17">
        <f>J89</f>
        <v/>
      </c>
      <c r="AR89" s="8" t="n">
        <v>0.243968185</v>
      </c>
      <c r="AS89" s="8" t="n">
        <v>0.249427613</v>
      </c>
      <c r="AT89" s="9" t="n">
        <v>0.246356685</v>
      </c>
      <c r="AU89" s="17" t="n">
        <v>0.23037491</v>
      </c>
      <c r="AW89" s="9">
        <f>AQ89</f>
        <v/>
      </c>
      <c r="AY89" s="9">
        <f>AR89*F89</f>
        <v/>
      </c>
      <c r="AZ89" s="9">
        <f>AS89*H89</f>
        <v/>
      </c>
      <c r="BA89" s="9">
        <f>AT89*G89</f>
        <v/>
      </c>
      <c r="BB89" s="9">
        <f>L89</f>
        <v/>
      </c>
      <c r="BC89" s="9">
        <f>K89</f>
        <v/>
      </c>
      <c r="BE89" s="1">
        <f>AW89-SUM(AY89:BC89)</f>
        <v/>
      </c>
    </row>
    <row r="90">
      <c r="B90" s="12" t="inlineStr">
        <is>
          <t>CEN_FT_High_Diesel_Non_CCS_Herb</t>
        </is>
      </c>
      <c r="C90" s="20" t="inlineStr">
        <is>
          <t>Biomass_Herb</t>
        </is>
      </c>
      <c r="D90" s="20" t="n">
        <v>0</v>
      </c>
      <c r="E90" s="20" t="n">
        <v>2.8679</v>
      </c>
      <c r="F90" s="20" t="n">
        <v>0.6611</v>
      </c>
      <c r="G90" s="20" t="n">
        <v>0.6815</v>
      </c>
      <c r="H90" s="20" t="n">
        <v>1.3501</v>
      </c>
      <c r="I90" s="21">
        <f>F90+G90+H90</f>
        <v/>
      </c>
      <c r="J90" s="20" t="n">
        <v>1.723</v>
      </c>
      <c r="K90" s="20" t="n">
        <v>0</v>
      </c>
      <c r="L90" s="20" t="n">
        <v>1.057064979465787</v>
      </c>
      <c r="M90" s="20" t="n">
        <v>492864.96</v>
      </c>
      <c r="N90" s="20" t="n">
        <v>547339.52</v>
      </c>
      <c r="O90" s="20" t="n">
        <v>0</v>
      </c>
      <c r="Q90" s="19" t="n">
        <v>109.479795</v>
      </c>
      <c r="R90" s="19" t="n">
        <v>-7.354813</v>
      </c>
      <c r="S90" s="19" t="n">
        <v>170</v>
      </c>
      <c r="T90" s="19" t="n">
        <v>138.356765</v>
      </c>
      <c r="U90" s="19" t="n">
        <v>156.777934</v>
      </c>
      <c r="V90" s="19" t="n">
        <v>119.345797</v>
      </c>
      <c r="W90" s="19" t="n">
        <v>26.773822</v>
      </c>
      <c r="Y90">
        <f>B90</f>
        <v/>
      </c>
      <c r="Z90">
        <f>C90</f>
        <v/>
      </c>
      <c r="AA90" s="18">
        <f>SUM(AD90:AI90)+AK90+AL90</f>
        <v/>
      </c>
      <c r="AB90" s="18">
        <f>SUM(AD90:AI90)+AN90+AO90</f>
        <v/>
      </c>
      <c r="AC90" s="5">
        <f>AA90-AB90</f>
        <v/>
      </c>
      <c r="AD90" s="1">
        <f>D90/I90*W90*-1</f>
        <v/>
      </c>
      <c r="AE90" s="1">
        <f>E90/I90*W90</f>
        <v/>
      </c>
      <c r="AF90" s="1">
        <f t="array" ref="AF90">_xlfn.IFS(C90="Biomass_Corn", 1/I90*S90, C90="Biomass_Agri", 1/I90*V90, C90="Biomass_Wood", 1/I90*U90, C90="Biomass_Herb", 1/I90*T90)</f>
        <v/>
      </c>
      <c r="AG90" s="1">
        <f>M90/I90/(0.9*8760)</f>
        <v/>
      </c>
      <c r="AH90" s="1">
        <f>N90/I90/(0.9*8760)</f>
        <v/>
      </c>
      <c r="AI90" s="1">
        <f>O90/I90</f>
        <v/>
      </c>
      <c r="AJ90" s="1">
        <f>(AY90+AZ90+BA90+BB90+BC90-AW90)/I90</f>
        <v/>
      </c>
      <c r="AK90" s="1">
        <f>(Q90+R90)*-1*K90/I90</f>
        <v/>
      </c>
      <c r="AL90">
        <f>AJ90*Q90</f>
        <v/>
      </c>
      <c r="AM90" s="1">
        <f>(SUM(AY90:BB90)-AW90)/I90</f>
        <v/>
      </c>
      <c r="AN90" s="1">
        <f>K90/I90*-1*R90</f>
        <v/>
      </c>
      <c r="AO90">
        <f>AM90*Q90</f>
        <v/>
      </c>
      <c r="AQ90" s="17">
        <f>J90</f>
        <v/>
      </c>
      <c r="AR90" s="8" t="n">
        <v>0.243968185</v>
      </c>
      <c r="AS90" s="8" t="n">
        <v>0.249427613</v>
      </c>
      <c r="AT90" s="9" t="n">
        <v>0.246356685</v>
      </c>
      <c r="AU90" s="17" t="n">
        <v>0.23037491</v>
      </c>
      <c r="AW90" s="9">
        <f>AQ90</f>
        <v/>
      </c>
      <c r="AY90" s="9">
        <f>AR90*F90</f>
        <v/>
      </c>
      <c r="AZ90" s="9">
        <f>AS90*H90</f>
        <v/>
      </c>
      <c r="BA90" s="9">
        <f>AT90*G90</f>
        <v/>
      </c>
      <c r="BB90" s="9">
        <f>L90</f>
        <v/>
      </c>
      <c r="BC90" s="9">
        <f>K90</f>
        <v/>
      </c>
      <c r="BE90" s="1">
        <f>AW90-SUM(AY90:BC90)</f>
        <v/>
      </c>
    </row>
    <row r="91">
      <c r="B91" s="12" t="inlineStr">
        <is>
          <t>SE_FT_High_Diesel_Non_CCS_Herb</t>
        </is>
      </c>
      <c r="C91" s="20" t="inlineStr">
        <is>
          <t>Biomass_Herb</t>
        </is>
      </c>
      <c r="D91" s="20" t="n">
        <v>0</v>
      </c>
      <c r="E91" s="20" t="n">
        <v>2.8679</v>
      </c>
      <c r="F91" s="20" t="n">
        <v>0.66</v>
      </c>
      <c r="G91" s="20" t="n">
        <v>0.6804</v>
      </c>
      <c r="H91" s="20" t="n">
        <v>1.3479</v>
      </c>
      <c r="I91" s="21">
        <f>F91+G91+H91</f>
        <v/>
      </c>
      <c r="J91" s="20" t="n">
        <v>1.717</v>
      </c>
      <c r="K91" s="20" t="n">
        <v>0</v>
      </c>
      <c r="L91" s="20" t="n">
        <v>1.05216086814467</v>
      </c>
      <c r="M91" s="20" t="n">
        <v>492864.96</v>
      </c>
      <c r="N91" s="20" t="n">
        <v>547339.52</v>
      </c>
      <c r="O91" s="20" t="n">
        <v>0</v>
      </c>
      <c r="Q91" s="19" t="n">
        <v>109.479795</v>
      </c>
      <c r="R91" s="19" t="n">
        <v>-7.354813</v>
      </c>
      <c r="S91" s="19" t="n">
        <v>170</v>
      </c>
      <c r="T91" s="19" t="n">
        <v>138.356765</v>
      </c>
      <c r="U91" s="19" t="n">
        <v>156.777934</v>
      </c>
      <c r="V91" s="19" t="n">
        <v>119.345797</v>
      </c>
      <c r="W91" s="19" t="n">
        <v>26.773822</v>
      </c>
      <c r="Y91">
        <f>B91</f>
        <v/>
      </c>
      <c r="Z91">
        <f>C91</f>
        <v/>
      </c>
      <c r="AA91" s="18">
        <f>SUM(AD91:AI91)+AK91+AL91</f>
        <v/>
      </c>
      <c r="AB91" s="18">
        <f>SUM(AD91:AI91)+AN91+AO91</f>
        <v/>
      </c>
      <c r="AC91" s="5">
        <f>AA91-AB91</f>
        <v/>
      </c>
      <c r="AD91" s="1">
        <f>D91/I91*W91*-1</f>
        <v/>
      </c>
      <c r="AE91" s="1">
        <f>E91/I91*W91</f>
        <v/>
      </c>
      <c r="AF91" s="1">
        <f t="array" ref="AF91">_xlfn.IFS(C91="Biomass_Corn", 1/I91*S91, C91="Biomass_Agri", 1/I91*V91, C91="Biomass_Wood", 1/I91*U91, C91="Biomass_Herb", 1/I91*T91)</f>
        <v/>
      </c>
      <c r="AG91" s="1">
        <f>M91/I91/(0.9*8760)</f>
        <v/>
      </c>
      <c r="AH91" s="1">
        <f>N91/I91/(0.9*8760)</f>
        <v/>
      </c>
      <c r="AI91" s="1">
        <f>O91/I91</f>
        <v/>
      </c>
      <c r="AJ91" s="1">
        <f>(AY91+AZ91+BA91+BB91+BC91-AW91)/I91</f>
        <v/>
      </c>
      <c r="AK91" s="1">
        <f>(Q91+R91)*-1*K91/I91</f>
        <v/>
      </c>
      <c r="AL91">
        <f>AJ91*Q91</f>
        <v/>
      </c>
      <c r="AM91" s="1">
        <f>(SUM(AY91:BB91)-AW91)/I91</f>
        <v/>
      </c>
      <c r="AN91" s="1">
        <f>K91/I91*-1*R91</f>
        <v/>
      </c>
      <c r="AO91">
        <f>AM91*Q91</f>
        <v/>
      </c>
      <c r="AQ91" s="17">
        <f>J91</f>
        <v/>
      </c>
      <c r="AR91" s="8" t="n">
        <v>0.243968185</v>
      </c>
      <c r="AS91" s="8" t="n">
        <v>0.249427613</v>
      </c>
      <c r="AT91" s="9" t="n">
        <v>0.246356685</v>
      </c>
      <c r="AU91" s="17" t="n">
        <v>0.23037491</v>
      </c>
      <c r="AW91" s="9">
        <f>AQ91</f>
        <v/>
      </c>
      <c r="AY91" s="9">
        <f>AR91*F91</f>
        <v/>
      </c>
      <c r="AZ91" s="9">
        <f>AS91*H91</f>
        <v/>
      </c>
      <c r="BA91" s="9">
        <f>AT91*G91</f>
        <v/>
      </c>
      <c r="BB91" s="9">
        <f>L91</f>
        <v/>
      </c>
      <c r="BC91" s="9">
        <f>K91</f>
        <v/>
      </c>
      <c r="BE91" s="1">
        <f>AW91-SUM(AY91:BC91)</f>
        <v/>
      </c>
    </row>
    <row r="92">
      <c r="B92" s="12" t="inlineStr">
        <is>
          <t>MIDAT_FT_High_Diesel_Non_CCS_Herb</t>
        </is>
      </c>
      <c r="C92" s="20" t="inlineStr">
        <is>
          <t>Biomass_Herb</t>
        </is>
      </c>
      <c r="D92" s="20" t="n">
        <v>0</v>
      </c>
      <c r="E92" s="20" t="n">
        <v>2.8679</v>
      </c>
      <c r="F92" s="20" t="n">
        <v>0.6636</v>
      </c>
      <c r="G92" s="20" t="n">
        <v>0.6841</v>
      </c>
      <c r="H92" s="20" t="n">
        <v>1.3553</v>
      </c>
      <c r="I92" s="21">
        <f>F92+G92+H92</f>
        <v/>
      </c>
      <c r="J92" s="20" t="n">
        <v>1.736</v>
      </c>
      <c r="K92" s="20" t="n">
        <v>0</v>
      </c>
      <c r="L92" s="20" t="n">
        <v>1.067507905881728</v>
      </c>
      <c r="M92" s="20" t="n">
        <v>492864.96</v>
      </c>
      <c r="N92" s="20" t="n">
        <v>547339.52</v>
      </c>
      <c r="O92" s="20" t="n">
        <v>0</v>
      </c>
      <c r="Q92" s="19" t="n">
        <v>109.479795</v>
      </c>
      <c r="R92" s="19" t="n">
        <v>-7.354813</v>
      </c>
      <c r="S92" s="19" t="n">
        <v>170</v>
      </c>
      <c r="T92" s="19" t="n">
        <v>138.356765</v>
      </c>
      <c r="U92" s="19" t="n">
        <v>156.777934</v>
      </c>
      <c r="V92" s="19" t="n">
        <v>119.345797</v>
      </c>
      <c r="W92" s="19" t="n">
        <v>26.773822</v>
      </c>
      <c r="Y92">
        <f>B92</f>
        <v/>
      </c>
      <c r="Z92">
        <f>C92</f>
        <v/>
      </c>
      <c r="AA92" s="18">
        <f>SUM(AD92:AI92)+AK92+AL92</f>
        <v/>
      </c>
      <c r="AB92" s="18">
        <f>SUM(AD92:AI92)+AN92+AO92</f>
        <v/>
      </c>
      <c r="AC92" s="5">
        <f>AA92-AB92</f>
        <v/>
      </c>
      <c r="AD92" s="1">
        <f>D92/I92*W92*-1</f>
        <v/>
      </c>
      <c r="AE92" s="1">
        <f>E92/I92*W92</f>
        <v/>
      </c>
      <c r="AF92" s="1">
        <f t="array" ref="AF92">_xlfn.IFS(C92="Biomass_Corn", 1/I92*S92, C92="Biomass_Agri", 1/I92*V92, C92="Biomass_Wood", 1/I92*U92, C92="Biomass_Herb", 1/I92*T92)</f>
        <v/>
      </c>
      <c r="AG92" s="1">
        <f>M92/I92/(0.9*8760)</f>
        <v/>
      </c>
      <c r="AH92" s="1">
        <f>N92/I92/(0.9*8760)</f>
        <v/>
      </c>
      <c r="AI92" s="1">
        <f>O92/I92</f>
        <v/>
      </c>
      <c r="AJ92" s="1">
        <f>(AY92+AZ92+BA92+BB92+BC92-AW92)/I92</f>
        <v/>
      </c>
      <c r="AK92" s="1">
        <f>(Q92+R92)*-1*K92/I92</f>
        <v/>
      </c>
      <c r="AL92">
        <f>AJ92*Q92</f>
        <v/>
      </c>
      <c r="AM92" s="1">
        <f>(SUM(AY92:BB92)-AW92)/I92</f>
        <v/>
      </c>
      <c r="AN92" s="1">
        <f>K92/I92*-1*R92</f>
        <v/>
      </c>
      <c r="AO92">
        <f>AM92*Q92</f>
        <v/>
      </c>
      <c r="AQ92" s="17">
        <f>J92</f>
        <v/>
      </c>
      <c r="AR92" s="8" t="n">
        <v>0.243968185</v>
      </c>
      <c r="AS92" s="8" t="n">
        <v>0.249427613</v>
      </c>
      <c r="AT92" s="9" t="n">
        <v>0.246356685</v>
      </c>
      <c r="AU92" s="17" t="n">
        <v>0.23037491</v>
      </c>
      <c r="AW92" s="9">
        <f>AQ92</f>
        <v/>
      </c>
      <c r="AY92" s="9">
        <f>AR92*F92</f>
        <v/>
      </c>
      <c r="AZ92" s="9">
        <f>AS92*H92</f>
        <v/>
      </c>
      <c r="BA92" s="9">
        <f>AT92*G92</f>
        <v/>
      </c>
      <c r="BB92" s="9">
        <f>L92</f>
        <v/>
      </c>
      <c r="BC92" s="9">
        <f>K92</f>
        <v/>
      </c>
      <c r="BE92" s="1">
        <f>AW92-SUM(AY92:BC92)</f>
        <v/>
      </c>
    </row>
    <row r="93">
      <c r="B93" s="12" t="inlineStr">
        <is>
          <t>NE_FT_High_Diesel_Non_CCS_Herb</t>
        </is>
      </c>
      <c r="C93" s="20" t="inlineStr">
        <is>
          <t>Biomass_Herb</t>
        </is>
      </c>
      <c r="D93" s="20" t="n">
        <v>0</v>
      </c>
      <c r="E93" s="20" t="n">
        <v>2.8679</v>
      </c>
      <c r="F93" s="20" t="n">
        <v>0.6661</v>
      </c>
      <c r="G93" s="20" t="n">
        <v>0.6868</v>
      </c>
      <c r="H93" s="20" t="n">
        <v>1.3605</v>
      </c>
      <c r="I93" s="21">
        <f>F93+G93+H93</f>
        <v/>
      </c>
      <c r="J93" s="20" t="n">
        <v>1.745</v>
      </c>
      <c r="K93" s="20" t="n">
        <v>0</v>
      </c>
      <c r="L93" s="20" t="n">
        <v>1.073950832297669</v>
      </c>
      <c r="M93" s="20" t="n">
        <v>492864.96</v>
      </c>
      <c r="N93" s="20" t="n">
        <v>547339.52</v>
      </c>
      <c r="O93" s="20" t="n">
        <v>0</v>
      </c>
      <c r="Q93" s="19" t="n">
        <v>109.479795</v>
      </c>
      <c r="R93" s="19" t="n">
        <v>-7.354813</v>
      </c>
      <c r="S93" s="19" t="n">
        <v>170</v>
      </c>
      <c r="T93" s="19" t="n">
        <v>138.356765</v>
      </c>
      <c r="U93" s="19" t="n">
        <v>156.777934</v>
      </c>
      <c r="V93" s="19" t="n">
        <v>119.345797</v>
      </c>
      <c r="W93" s="19" t="n">
        <v>26.773822</v>
      </c>
      <c r="Y93">
        <f>B93</f>
        <v/>
      </c>
      <c r="Z93">
        <f>C93</f>
        <v/>
      </c>
      <c r="AA93" s="18">
        <f>SUM(AD93:AI93)+AK93+AL93</f>
        <v/>
      </c>
      <c r="AB93" s="18">
        <f>SUM(AD93:AI93)+AN93+AO93</f>
        <v/>
      </c>
      <c r="AC93" s="5">
        <f>AA93-AB93</f>
        <v/>
      </c>
      <c r="AD93" s="1">
        <f>D93/I93*W93*-1</f>
        <v/>
      </c>
      <c r="AE93" s="1">
        <f>E93/I93*W93</f>
        <v/>
      </c>
      <c r="AF93" s="1">
        <f t="array" ref="AF93">_xlfn.IFS(C93="Biomass_Corn", 1/I93*S93, C93="Biomass_Agri", 1/I93*V93, C93="Biomass_Wood", 1/I93*U93, C93="Biomass_Herb", 1/I93*T93)</f>
        <v/>
      </c>
      <c r="AG93" s="1">
        <f>M93/I93/(0.9*8760)</f>
        <v/>
      </c>
      <c r="AH93" s="1">
        <f>N93/I93/(0.9*8760)</f>
        <v/>
      </c>
      <c r="AI93" s="1">
        <f>O93/I93</f>
        <v/>
      </c>
      <c r="AJ93" s="1">
        <f>(AY93+AZ93+BA93+BB93+BC93-AW93)/I93</f>
        <v/>
      </c>
      <c r="AK93" s="1">
        <f>(Q93+R93)*-1*K93/I93</f>
        <v/>
      </c>
      <c r="AL93">
        <f>AJ93*Q93</f>
        <v/>
      </c>
      <c r="AM93" s="1">
        <f>(SUM(AY93:BB93)-AW93)/I93</f>
        <v/>
      </c>
      <c r="AN93" s="1">
        <f>K93/I93*-1*R93</f>
        <v/>
      </c>
      <c r="AO93">
        <f>AM93*Q93</f>
        <v/>
      </c>
      <c r="AQ93" s="17">
        <f>J93</f>
        <v/>
      </c>
      <c r="AR93" s="8" t="n">
        <v>0.243968185</v>
      </c>
      <c r="AS93" s="8" t="n">
        <v>0.249427613</v>
      </c>
      <c r="AT93" s="9" t="n">
        <v>0.246356685</v>
      </c>
      <c r="AU93" s="17" t="n">
        <v>0.23037491</v>
      </c>
      <c r="AW93" s="9">
        <f>AQ93</f>
        <v/>
      </c>
      <c r="AY93" s="9">
        <f>AR93*F93</f>
        <v/>
      </c>
      <c r="AZ93" s="9">
        <f>AS93*H93</f>
        <v/>
      </c>
      <c r="BA93" s="9">
        <f>AT93*G93</f>
        <v/>
      </c>
      <c r="BB93" s="9">
        <f>L93</f>
        <v/>
      </c>
      <c r="BC93" s="9">
        <f>K93</f>
        <v/>
      </c>
      <c r="BE93" s="1">
        <f>AW93-SUM(AY93:BC93)</f>
        <v/>
      </c>
    </row>
    <row r="94">
      <c r="B94" s="12" t="inlineStr">
        <is>
          <t>CA_FT_High_Diesel_Non_CCS_Wood</t>
        </is>
      </c>
      <c r="C94" s="20" t="inlineStr">
        <is>
          <t>Biomass_Wood</t>
        </is>
      </c>
      <c r="D94" s="20" t="n">
        <v>0</v>
      </c>
      <c r="E94" s="20" t="n">
        <v>2.8679</v>
      </c>
      <c r="F94" s="20" t="n">
        <v>0.702</v>
      </c>
      <c r="G94" s="20" t="n">
        <v>0.7238</v>
      </c>
      <c r="H94" s="20" t="n">
        <v>1.4338</v>
      </c>
      <c r="I94" s="21">
        <f>F94+G94+H94</f>
        <v/>
      </c>
      <c r="J94" s="20" t="n">
        <v>1.843</v>
      </c>
      <c r="K94" s="20" t="n">
        <v>0</v>
      </c>
      <c r="L94" s="20" t="n">
        <v>1.135786505894549</v>
      </c>
      <c r="M94" s="20" t="n">
        <v>492864.96</v>
      </c>
      <c r="N94" s="20" t="n">
        <v>547339.52</v>
      </c>
      <c r="O94" s="20" t="n">
        <v>0</v>
      </c>
      <c r="Q94" s="19" t="n">
        <v>109.479795</v>
      </c>
      <c r="R94" s="19" t="n">
        <v>-7.354813</v>
      </c>
      <c r="S94" s="19" t="n">
        <v>170</v>
      </c>
      <c r="T94" s="19" t="n">
        <v>138.356765</v>
      </c>
      <c r="U94" s="19" t="n">
        <v>156.777934</v>
      </c>
      <c r="V94" s="19" t="n">
        <v>119.345797</v>
      </c>
      <c r="W94" s="19" t="n">
        <v>26.773822</v>
      </c>
      <c r="Y94">
        <f>B94</f>
        <v/>
      </c>
      <c r="Z94">
        <f>C94</f>
        <v/>
      </c>
      <c r="AA94" s="18">
        <f>SUM(AD94:AI94)+AK94+AL94</f>
        <v/>
      </c>
      <c r="AB94" s="18">
        <f>SUM(AD94:AI94)+AN94+AO94</f>
        <v/>
      </c>
      <c r="AC94" s="5">
        <f>AA94-AB94</f>
        <v/>
      </c>
      <c r="AD94" s="1">
        <f>D94/I94*W94*-1</f>
        <v/>
      </c>
      <c r="AE94" s="1">
        <f>E94/I94*W94</f>
        <v/>
      </c>
      <c r="AF94" s="1">
        <f t="array" ref="AF94">_xlfn.IFS(C94="Biomass_Corn", 1/I94*S94, C94="Biomass_Agri", 1/I94*V94, C94="Biomass_Wood", 1/I94*U94, C94="Biomass_Herb", 1/I94*T94)</f>
        <v/>
      </c>
      <c r="AG94" s="1">
        <f>M94/I94/(0.9*8760)</f>
        <v/>
      </c>
      <c r="AH94" s="1">
        <f>N94/I94/(0.9*8760)</f>
        <v/>
      </c>
      <c r="AI94" s="1">
        <f>O94/I94</f>
        <v/>
      </c>
      <c r="AJ94" s="1">
        <f>(AY94+AZ94+BA94+BB94+BC94-AW94)/I94</f>
        <v/>
      </c>
      <c r="AK94" s="1">
        <f>(Q94+R94)*-1*K94/I94</f>
        <v/>
      </c>
      <c r="AL94">
        <f>AJ94*Q94</f>
        <v/>
      </c>
      <c r="AM94" s="1">
        <f>(SUM(AY94:BB94)-AW94)/I94</f>
        <v/>
      </c>
      <c r="AN94" s="1">
        <f>K94/I94*-1*R94</f>
        <v/>
      </c>
      <c r="AO94">
        <f>AM94*Q94</f>
        <v/>
      </c>
      <c r="AQ94" s="17">
        <f>J94</f>
        <v/>
      </c>
      <c r="AR94" s="8" t="n">
        <v>0.243968185</v>
      </c>
      <c r="AS94" s="8" t="n">
        <v>0.249427613</v>
      </c>
      <c r="AT94" s="9" t="n">
        <v>0.246356685</v>
      </c>
      <c r="AU94" s="17" t="n">
        <v>0.23037491</v>
      </c>
      <c r="AW94" s="9">
        <f>AQ94</f>
        <v/>
      </c>
      <c r="AY94" s="9">
        <f>AR94*F94</f>
        <v/>
      </c>
      <c r="AZ94" s="9">
        <f>AS94*H94</f>
        <v/>
      </c>
      <c r="BA94" s="9">
        <f>AT94*G94</f>
        <v/>
      </c>
      <c r="BB94" s="9">
        <f>L94</f>
        <v/>
      </c>
      <c r="BC94" s="9">
        <f>K94</f>
        <v/>
      </c>
      <c r="BE94" s="1">
        <f>AW94-SUM(AY94:BC94)</f>
        <v/>
      </c>
    </row>
    <row r="95">
      <c r="B95" s="12" t="inlineStr">
        <is>
          <t>NW_FT_High_Diesel_Non_CCS_Wood</t>
        </is>
      </c>
      <c r="C95" s="20" t="inlineStr">
        <is>
          <t>Biomass_Wood</t>
        </is>
      </c>
      <c r="D95" s="20" t="n">
        <v>0</v>
      </c>
      <c r="E95" s="20" t="n">
        <v>2.8679</v>
      </c>
      <c r="F95" s="20" t="n">
        <v>0.7006</v>
      </c>
      <c r="G95" s="20" t="n">
        <v>0.7223000000000001</v>
      </c>
      <c r="H95" s="20" t="n">
        <v>1.4309</v>
      </c>
      <c r="I95" s="21">
        <f>F95+G95+H95</f>
        <v/>
      </c>
      <c r="J95" s="20" t="n">
        <v>1.818</v>
      </c>
      <c r="K95" s="20" t="n">
        <v>0</v>
      </c>
      <c r="L95" s="20" t="n">
        <v>1.112247690799726</v>
      </c>
      <c r="M95" s="20" t="n">
        <v>492864.96</v>
      </c>
      <c r="N95" s="20" t="n">
        <v>547339.52</v>
      </c>
      <c r="O95" s="20" t="n">
        <v>0</v>
      </c>
      <c r="Q95" s="19" t="n">
        <v>109.479795</v>
      </c>
      <c r="R95" s="19" t="n">
        <v>-7.354813</v>
      </c>
      <c r="S95" s="19" t="n">
        <v>170</v>
      </c>
      <c r="T95" s="19" t="n">
        <v>138.356765</v>
      </c>
      <c r="U95" s="19" t="n">
        <v>156.777934</v>
      </c>
      <c r="V95" s="19" t="n">
        <v>119.345797</v>
      </c>
      <c r="W95" s="19" t="n">
        <v>26.773822</v>
      </c>
      <c r="Y95">
        <f>B95</f>
        <v/>
      </c>
      <c r="Z95">
        <f>C95</f>
        <v/>
      </c>
      <c r="AA95" s="18">
        <f>SUM(AD95:AI95)+AK95+AL95</f>
        <v/>
      </c>
      <c r="AB95" s="18">
        <f>SUM(AD95:AI95)+AN95+AO95</f>
        <v/>
      </c>
      <c r="AC95" s="5">
        <f>AA95-AB95</f>
        <v/>
      </c>
      <c r="AD95" s="1">
        <f>D95/I95*W95*-1</f>
        <v/>
      </c>
      <c r="AE95" s="1">
        <f>E95/I95*W95</f>
        <v/>
      </c>
      <c r="AF95" s="1">
        <f t="array" ref="AF95">_xlfn.IFS(C95="Biomass_Corn", 1/I95*S95, C95="Biomass_Agri", 1/I95*V95, C95="Biomass_Wood", 1/I95*U95, C95="Biomass_Herb", 1/I95*T95)</f>
        <v/>
      </c>
      <c r="AG95" s="1">
        <f>M95/I95/(0.9*8760)</f>
        <v/>
      </c>
      <c r="AH95" s="1">
        <f>N95/I95/(0.9*8760)</f>
        <v/>
      </c>
      <c r="AI95" s="1">
        <f>O95/I95</f>
        <v/>
      </c>
      <c r="AJ95" s="1">
        <f>(AY95+AZ95+BA95+BB95+BC95-AW95)/I95</f>
        <v/>
      </c>
      <c r="AK95" s="1">
        <f>(Q95+R95)*-1*K95/I95</f>
        <v/>
      </c>
      <c r="AL95">
        <f>AJ95*Q95</f>
        <v/>
      </c>
      <c r="AM95" s="1">
        <f>(SUM(AY95:BB95)-AW95)/I95</f>
        <v/>
      </c>
      <c r="AN95" s="1">
        <f>K95/I95*-1*R95</f>
        <v/>
      </c>
      <c r="AO95">
        <f>AM95*Q95</f>
        <v/>
      </c>
      <c r="AQ95" s="17">
        <f>J95</f>
        <v/>
      </c>
      <c r="AR95" s="8" t="n">
        <v>0.243968185</v>
      </c>
      <c r="AS95" s="8" t="n">
        <v>0.249427613</v>
      </c>
      <c r="AT95" s="9" t="n">
        <v>0.246356685</v>
      </c>
      <c r="AU95" s="17" t="n">
        <v>0.23037491</v>
      </c>
      <c r="AW95" s="9">
        <f>AQ95</f>
        <v/>
      </c>
      <c r="AY95" s="9">
        <f>AR95*F95</f>
        <v/>
      </c>
      <c r="AZ95" s="9">
        <f>AS95*H95</f>
        <v/>
      </c>
      <c r="BA95" s="9">
        <f>AT95*G95</f>
        <v/>
      </c>
      <c r="BB95" s="9">
        <f>L95</f>
        <v/>
      </c>
      <c r="BC95" s="9">
        <f>K95</f>
        <v/>
      </c>
      <c r="BE95" s="1">
        <f>AW95-SUM(AY95:BC95)</f>
        <v/>
      </c>
    </row>
    <row r="96">
      <c r="B96" s="12" t="inlineStr">
        <is>
          <t>SW_FT_High_Diesel_Non_CCS_Wood</t>
        </is>
      </c>
      <c r="C96" s="20" t="inlineStr">
        <is>
          <t>Biomass_Wood</t>
        </is>
      </c>
      <c r="D96" s="20" t="n">
        <v>0</v>
      </c>
      <c r="E96" s="20" t="n">
        <v>2.8679</v>
      </c>
      <c r="F96" s="20" t="n">
        <v>0.6941000000000001</v>
      </c>
      <c r="G96" s="20" t="n">
        <v>0.7155</v>
      </c>
      <c r="H96" s="20" t="n">
        <v>1.4175</v>
      </c>
      <c r="I96" s="21">
        <f>F96+G96+H96</f>
        <v/>
      </c>
      <c r="J96" s="20" t="n">
        <v>1.798</v>
      </c>
      <c r="K96" s="20" t="n">
        <v>0</v>
      </c>
      <c r="L96" s="20" t="n">
        <v>1.09882302287302</v>
      </c>
      <c r="M96" s="20" t="n">
        <v>492864.96</v>
      </c>
      <c r="N96" s="20" t="n">
        <v>547339.52</v>
      </c>
      <c r="O96" s="20" t="n">
        <v>0</v>
      </c>
      <c r="Q96" s="19" t="n">
        <v>109.479795</v>
      </c>
      <c r="R96" s="19" t="n">
        <v>-7.354813</v>
      </c>
      <c r="S96" s="19" t="n">
        <v>170</v>
      </c>
      <c r="T96" s="19" t="n">
        <v>138.356765</v>
      </c>
      <c r="U96" s="19" t="n">
        <v>156.777934</v>
      </c>
      <c r="V96" s="19" t="n">
        <v>119.345797</v>
      </c>
      <c r="W96" s="19" t="n">
        <v>26.773822</v>
      </c>
      <c r="Y96">
        <f>B96</f>
        <v/>
      </c>
      <c r="Z96">
        <f>C96</f>
        <v/>
      </c>
      <c r="AA96" s="18">
        <f>SUM(AD96:AI96)+AK96+AL96</f>
        <v/>
      </c>
      <c r="AB96" s="18">
        <f>SUM(AD96:AI96)+AN96+AO96</f>
        <v/>
      </c>
      <c r="AC96" s="5">
        <f>AA96-AB96</f>
        <v/>
      </c>
      <c r="AD96" s="1">
        <f>D96/I96*W96*-1</f>
        <v/>
      </c>
      <c r="AE96" s="1">
        <f>E96/I96*W96</f>
        <v/>
      </c>
      <c r="AF96" s="1">
        <f t="array" ref="AF96">_xlfn.IFS(C96="Biomass_Corn", 1/I96*S96, C96="Biomass_Agri", 1/I96*V96, C96="Biomass_Wood", 1/I96*U96, C96="Biomass_Herb", 1/I96*T96)</f>
        <v/>
      </c>
      <c r="AG96" s="1">
        <f>M96/I96/(0.9*8760)</f>
        <v/>
      </c>
      <c r="AH96" s="1">
        <f>N96/I96/(0.9*8760)</f>
        <v/>
      </c>
      <c r="AI96" s="1">
        <f>O96/I96</f>
        <v/>
      </c>
      <c r="AJ96" s="1">
        <f>(AY96+AZ96+BA96+BB96+BC96-AW96)/I96</f>
        <v/>
      </c>
      <c r="AK96" s="1">
        <f>(Q96+R96)*-1*K96/I96</f>
        <v/>
      </c>
      <c r="AL96">
        <f>AJ96*Q96</f>
        <v/>
      </c>
      <c r="AM96" s="1">
        <f>(SUM(AY96:BB96)-AW96)/I96</f>
        <v/>
      </c>
      <c r="AN96" s="1">
        <f>K96/I96*-1*R96</f>
        <v/>
      </c>
      <c r="AO96">
        <f>AM96*Q96</f>
        <v/>
      </c>
      <c r="AQ96" s="17">
        <f>J96</f>
        <v/>
      </c>
      <c r="AR96" s="8" t="n">
        <v>0.243968185</v>
      </c>
      <c r="AS96" s="8" t="n">
        <v>0.249427613</v>
      </c>
      <c r="AT96" s="9" t="n">
        <v>0.246356685</v>
      </c>
      <c r="AU96" s="17" t="n">
        <v>0.23037491</v>
      </c>
      <c r="AW96" s="9">
        <f>AQ96</f>
        <v/>
      </c>
      <c r="AY96" s="9">
        <f>AR96*F96</f>
        <v/>
      </c>
      <c r="AZ96" s="9">
        <f>AS96*H96</f>
        <v/>
      </c>
      <c r="BA96" s="9">
        <f>AT96*G96</f>
        <v/>
      </c>
      <c r="BB96" s="9">
        <f>L96</f>
        <v/>
      </c>
      <c r="BC96" s="9">
        <f>K96</f>
        <v/>
      </c>
      <c r="BE96" s="1">
        <f>AW96-SUM(AY96:BC96)</f>
        <v/>
      </c>
    </row>
    <row r="97">
      <c r="B97" s="12" t="inlineStr">
        <is>
          <t>TX_FT_High_Diesel_Non_CCS_Wood</t>
        </is>
      </c>
      <c r="C97" s="20" t="inlineStr">
        <is>
          <t>Biomass_Wood</t>
        </is>
      </c>
      <c r="D97" s="20" t="n">
        <v>0</v>
      </c>
      <c r="E97" s="20" t="n">
        <v>2.8679</v>
      </c>
      <c r="F97" s="20" t="n">
        <v>0.6886</v>
      </c>
      <c r="G97" s="20" t="n">
        <v>0.7099</v>
      </c>
      <c r="H97" s="20" t="n">
        <v>1.4064</v>
      </c>
      <c r="I97" s="21">
        <f>F97+G97+H97</f>
        <v/>
      </c>
      <c r="J97" s="20" t="n">
        <v>1.821</v>
      </c>
      <c r="K97" s="20" t="n">
        <v>0</v>
      </c>
      <c r="L97" s="20" t="n">
        <v>1.127302466267432</v>
      </c>
      <c r="M97" s="20" t="n">
        <v>492864.96</v>
      </c>
      <c r="N97" s="20" t="n">
        <v>547339.52</v>
      </c>
      <c r="O97" s="20" t="n">
        <v>0</v>
      </c>
      <c r="Q97" s="19" t="n">
        <v>109.479795</v>
      </c>
      <c r="R97" s="19" t="n">
        <v>-7.354813</v>
      </c>
      <c r="S97" s="19" t="n">
        <v>170</v>
      </c>
      <c r="T97" s="19" t="n">
        <v>138.356765</v>
      </c>
      <c r="U97" s="19" t="n">
        <v>156.777934</v>
      </c>
      <c r="V97" s="19" t="n">
        <v>119.345797</v>
      </c>
      <c r="W97" s="19" t="n">
        <v>26.773822</v>
      </c>
      <c r="Y97">
        <f>B97</f>
        <v/>
      </c>
      <c r="Z97">
        <f>C97</f>
        <v/>
      </c>
      <c r="AA97" s="18">
        <f>SUM(AD97:AI97)+AK97+AL97</f>
        <v/>
      </c>
      <c r="AB97" s="18">
        <f>SUM(AD97:AI97)+AN97+AO97</f>
        <v/>
      </c>
      <c r="AC97" s="5">
        <f>AA97-AB97</f>
        <v/>
      </c>
      <c r="AD97" s="1">
        <f>D97/I97*W97*-1</f>
        <v/>
      </c>
      <c r="AE97" s="1">
        <f>E97/I97*W97</f>
        <v/>
      </c>
      <c r="AF97" s="1">
        <f t="array" ref="AF97">_xlfn.IFS(C97="Biomass_Corn", 1/I97*S97, C97="Biomass_Agri", 1/I97*V97, C97="Biomass_Wood", 1/I97*U97, C97="Biomass_Herb", 1/I97*T97)</f>
        <v/>
      </c>
      <c r="AG97" s="1">
        <f>M97/I97/(0.9*8760)</f>
        <v/>
      </c>
      <c r="AH97" s="1">
        <f>N97/I97/(0.9*8760)</f>
        <v/>
      </c>
      <c r="AI97" s="1">
        <f>O97/I97</f>
        <v/>
      </c>
      <c r="AJ97" s="1">
        <f>(AY97+AZ97+BA97+BB97+BC97-AW97)/I97</f>
        <v/>
      </c>
      <c r="AK97" s="1">
        <f>(Q97+R97)*-1*K97/I97</f>
        <v/>
      </c>
      <c r="AL97">
        <f>AJ97*Q97</f>
        <v/>
      </c>
      <c r="AM97" s="1">
        <f>(SUM(AY97:BB97)-AW97)/I97</f>
        <v/>
      </c>
      <c r="AN97" s="1">
        <f>K97/I97*-1*R97</f>
        <v/>
      </c>
      <c r="AO97">
        <f>AM97*Q97</f>
        <v/>
      </c>
      <c r="AQ97" s="17">
        <f>J97</f>
        <v/>
      </c>
      <c r="AR97" s="8" t="n">
        <v>0.243968185</v>
      </c>
      <c r="AS97" s="8" t="n">
        <v>0.249427613</v>
      </c>
      <c r="AT97" s="9" t="n">
        <v>0.246356685</v>
      </c>
      <c r="AU97" s="17" t="n">
        <v>0.23037491</v>
      </c>
      <c r="AW97" s="9">
        <f>AQ97</f>
        <v/>
      </c>
      <c r="AY97" s="9">
        <f>AR97*F97</f>
        <v/>
      </c>
      <c r="AZ97" s="9">
        <f>AS97*H97</f>
        <v/>
      </c>
      <c r="BA97" s="9">
        <f>AT97*G97</f>
        <v/>
      </c>
      <c r="BB97" s="9">
        <f>L97</f>
        <v/>
      </c>
      <c r="BC97" s="9">
        <f>K97</f>
        <v/>
      </c>
      <c r="BE97" s="1">
        <f>AW97-SUM(AY97:BC97)</f>
        <v/>
      </c>
    </row>
    <row r="98">
      <c r="B98" s="12" t="inlineStr">
        <is>
          <t>NCEN_FT_High_Diesel_Non_CCS_Wood</t>
        </is>
      </c>
      <c r="C98" s="20" t="inlineStr">
        <is>
          <t>Biomass_Wood</t>
        </is>
      </c>
      <c r="D98" s="20" t="n">
        <v>0</v>
      </c>
      <c r="E98" s="20" t="n">
        <v>2.8679</v>
      </c>
      <c r="F98" s="20" t="n">
        <v>0.6912</v>
      </c>
      <c r="G98" s="20" t="n">
        <v>0.7126</v>
      </c>
      <c r="H98" s="20" t="n">
        <v>1.4116</v>
      </c>
      <c r="I98" s="21">
        <f>F98+G98+H98</f>
        <v/>
      </c>
      <c r="J98" s="20" t="n">
        <v>1.802</v>
      </c>
      <c r="K98" s="20" t="n">
        <v>0</v>
      </c>
      <c r="L98" s="20" t="n">
        <v>1.105745392683373</v>
      </c>
      <c r="M98" s="20" t="n">
        <v>492864.96</v>
      </c>
      <c r="N98" s="20" t="n">
        <v>547339.52</v>
      </c>
      <c r="O98" s="20" t="n">
        <v>0</v>
      </c>
      <c r="Q98" s="19" t="n">
        <v>109.479795</v>
      </c>
      <c r="R98" s="19" t="n">
        <v>-7.354813</v>
      </c>
      <c r="S98" s="19" t="n">
        <v>170</v>
      </c>
      <c r="T98" s="19" t="n">
        <v>138.356765</v>
      </c>
      <c r="U98" s="19" t="n">
        <v>156.777934</v>
      </c>
      <c r="V98" s="19" t="n">
        <v>119.345797</v>
      </c>
      <c r="W98" s="19" t="n">
        <v>26.773822</v>
      </c>
      <c r="Y98">
        <f>B98</f>
        <v/>
      </c>
      <c r="Z98">
        <f>C98</f>
        <v/>
      </c>
      <c r="AA98" s="18">
        <f>SUM(AD98:AI98)+AK98+AL98</f>
        <v/>
      </c>
      <c r="AB98" s="18">
        <f>SUM(AD98:AI98)+AN98+AO98</f>
        <v/>
      </c>
      <c r="AC98" s="5">
        <f>AA98-AB98</f>
        <v/>
      </c>
      <c r="AD98" s="1">
        <f>D98/I98*W98*-1</f>
        <v/>
      </c>
      <c r="AE98" s="1">
        <f>E98/I98*W98</f>
        <v/>
      </c>
      <c r="AF98" s="1">
        <f t="array" ref="AF98">_xlfn.IFS(C98="Biomass_Corn", 1/I98*S98, C98="Biomass_Agri", 1/I98*V98, C98="Biomass_Wood", 1/I98*U98, C98="Biomass_Herb", 1/I98*T98)</f>
        <v/>
      </c>
      <c r="AG98" s="1">
        <f>M98/I98/(0.9*8760)</f>
        <v/>
      </c>
      <c r="AH98" s="1">
        <f>N98/I98/(0.9*8760)</f>
        <v/>
      </c>
      <c r="AI98" s="1">
        <f>O98/I98</f>
        <v/>
      </c>
      <c r="AJ98" s="1">
        <f>(AY98+AZ98+BA98+BB98+BC98-AW98)/I98</f>
        <v/>
      </c>
      <c r="AK98" s="1">
        <f>(Q98+R98)*-1*K98/I98</f>
        <v/>
      </c>
      <c r="AL98">
        <f>AJ98*Q98</f>
        <v/>
      </c>
      <c r="AM98" s="1">
        <f>(SUM(AY98:BB98)-AW98)/I98</f>
        <v/>
      </c>
      <c r="AN98" s="1">
        <f>K98/I98*-1*R98</f>
        <v/>
      </c>
      <c r="AO98">
        <f>AM98*Q98</f>
        <v/>
      </c>
      <c r="AQ98" s="17">
        <f>J98</f>
        <v/>
      </c>
      <c r="AR98" s="8" t="n">
        <v>0.243968185</v>
      </c>
      <c r="AS98" s="8" t="n">
        <v>0.249427613</v>
      </c>
      <c r="AT98" s="9" t="n">
        <v>0.246356685</v>
      </c>
      <c r="AU98" s="17" t="n">
        <v>0.23037491</v>
      </c>
      <c r="AW98" s="9">
        <f>AQ98</f>
        <v/>
      </c>
      <c r="AY98" s="9">
        <f>AR98*F98</f>
        <v/>
      </c>
      <c r="AZ98" s="9">
        <f>AS98*H98</f>
        <v/>
      </c>
      <c r="BA98" s="9">
        <f>AT98*G98</f>
        <v/>
      </c>
      <c r="BB98" s="9">
        <f>L98</f>
        <v/>
      </c>
      <c r="BC98" s="9">
        <f>K98</f>
        <v/>
      </c>
      <c r="BE98" s="1">
        <f>AW98-SUM(AY98:BC98)</f>
        <v/>
      </c>
    </row>
    <row r="99">
      <c r="B99" s="12" t="inlineStr">
        <is>
          <t>CEN_FT_High_Diesel_Non_CCS_Wood</t>
        </is>
      </c>
      <c r="C99" s="20" t="inlineStr">
        <is>
          <t>Biomass_Wood</t>
        </is>
      </c>
      <c r="D99" s="20" t="n">
        <v>0</v>
      </c>
      <c r="E99" s="20" t="n">
        <v>2.8679</v>
      </c>
      <c r="F99" s="20" t="n">
        <v>0.6915</v>
      </c>
      <c r="G99" s="20" t="n">
        <v>0.7129</v>
      </c>
      <c r="H99" s="20" t="n">
        <v>1.4123</v>
      </c>
      <c r="I99" s="21">
        <f>F99+G99+H99</f>
        <v/>
      </c>
      <c r="J99" s="20" t="n">
        <v>1.802</v>
      </c>
      <c r="K99" s="20" t="n">
        <v>0</v>
      </c>
      <c r="L99" s="20" t="n">
        <v>1.105380096457079</v>
      </c>
      <c r="M99" s="20" t="n">
        <v>492864.96</v>
      </c>
      <c r="N99" s="20" t="n">
        <v>547339.52</v>
      </c>
      <c r="O99" s="20" t="n">
        <v>0</v>
      </c>
      <c r="Q99" s="19" t="n">
        <v>109.479795</v>
      </c>
      <c r="R99" s="19" t="n">
        <v>-7.354813</v>
      </c>
      <c r="S99" s="19" t="n">
        <v>170</v>
      </c>
      <c r="T99" s="19" t="n">
        <v>138.356765</v>
      </c>
      <c r="U99" s="19" t="n">
        <v>156.777934</v>
      </c>
      <c r="V99" s="19" t="n">
        <v>119.345797</v>
      </c>
      <c r="W99" s="19" t="n">
        <v>26.773822</v>
      </c>
      <c r="Y99">
        <f>B99</f>
        <v/>
      </c>
      <c r="Z99">
        <f>C99</f>
        <v/>
      </c>
      <c r="AA99" s="18">
        <f>SUM(AD99:AI99)+AK99+AL99</f>
        <v/>
      </c>
      <c r="AB99" s="18">
        <f>SUM(AD99:AI99)+AN99+AO99</f>
        <v/>
      </c>
      <c r="AC99" s="5">
        <f>AA99-AB99</f>
        <v/>
      </c>
      <c r="AD99" s="1">
        <f>D99/I99*W99*-1</f>
        <v/>
      </c>
      <c r="AE99" s="1">
        <f>E99/I99*W99</f>
        <v/>
      </c>
      <c r="AF99" s="1">
        <f t="array" ref="AF99">_xlfn.IFS(C99="Biomass_Corn", 1/I99*S99, C99="Biomass_Agri", 1/I99*V99, C99="Biomass_Wood", 1/I99*U99, C99="Biomass_Herb", 1/I99*T99)</f>
        <v/>
      </c>
      <c r="AG99" s="1">
        <f>M99/I99/(0.9*8760)</f>
        <v/>
      </c>
      <c r="AH99" s="1">
        <f>N99/I99/(0.9*8760)</f>
        <v/>
      </c>
      <c r="AI99" s="1">
        <f>O99/I99</f>
        <v/>
      </c>
      <c r="AJ99" s="1">
        <f>(AY99+AZ99+BA99+BB99+BC99-AW99)/I99</f>
        <v/>
      </c>
      <c r="AK99" s="1">
        <f>(Q99+R99)*-1*K99/I99</f>
        <v/>
      </c>
      <c r="AL99">
        <f>AJ99*Q99</f>
        <v/>
      </c>
      <c r="AM99" s="1">
        <f>(SUM(AY99:BB99)-AW99)/I99</f>
        <v/>
      </c>
      <c r="AN99" s="1">
        <f>K99/I99*-1*R99</f>
        <v/>
      </c>
      <c r="AO99">
        <f>AM99*Q99</f>
        <v/>
      </c>
      <c r="AQ99" s="17">
        <f>J99</f>
        <v/>
      </c>
      <c r="AR99" s="8" t="n">
        <v>0.243968185</v>
      </c>
      <c r="AS99" s="8" t="n">
        <v>0.249427613</v>
      </c>
      <c r="AT99" s="9" t="n">
        <v>0.246356685</v>
      </c>
      <c r="AU99" s="17" t="n">
        <v>0.23037491</v>
      </c>
      <c r="AW99" s="9">
        <f>AQ99</f>
        <v/>
      </c>
      <c r="AY99" s="9">
        <f>AR99*F99</f>
        <v/>
      </c>
      <c r="AZ99" s="9">
        <f>AS99*H99</f>
        <v/>
      </c>
      <c r="BA99" s="9">
        <f>AT99*G99</f>
        <v/>
      </c>
      <c r="BB99" s="9">
        <f>L99</f>
        <v/>
      </c>
      <c r="BC99" s="9">
        <f>K99</f>
        <v/>
      </c>
      <c r="BE99" s="1">
        <f>AW99-SUM(AY99:BC99)</f>
        <v/>
      </c>
    </row>
    <row r="100">
      <c r="B100" s="12" t="inlineStr">
        <is>
          <t>SE_FT_High_Diesel_Non_CCS_Wood</t>
        </is>
      </c>
      <c r="C100" s="20" t="inlineStr">
        <is>
          <t>Biomass_Wood</t>
        </is>
      </c>
      <c r="D100" s="20" t="n">
        <v>0</v>
      </c>
      <c r="E100" s="20" t="n">
        <v>2.8679</v>
      </c>
      <c r="F100" s="20" t="n">
        <v>0.6941000000000001</v>
      </c>
      <c r="G100" s="20" t="n">
        <v>0.7155</v>
      </c>
      <c r="H100" s="20" t="n">
        <v>1.4175</v>
      </c>
      <c r="I100" s="21">
        <f>F100+G100+H100</f>
        <v/>
      </c>
      <c r="J100" s="20" t="n">
        <v>1.821</v>
      </c>
      <c r="K100" s="20" t="n">
        <v>0</v>
      </c>
      <c r="L100" s="20" t="n">
        <v>1.12182302287302</v>
      </c>
      <c r="M100" s="20" t="n">
        <v>492864.96</v>
      </c>
      <c r="N100" s="20" t="n">
        <v>547339.52</v>
      </c>
      <c r="O100" s="20" t="n">
        <v>0</v>
      </c>
      <c r="Q100" s="19" t="n">
        <v>109.479795</v>
      </c>
      <c r="R100" s="19" t="n">
        <v>-7.354813</v>
      </c>
      <c r="S100" s="19" t="n">
        <v>170</v>
      </c>
      <c r="T100" s="19" t="n">
        <v>138.356765</v>
      </c>
      <c r="U100" s="19" t="n">
        <v>156.777934</v>
      </c>
      <c r="V100" s="19" t="n">
        <v>119.345797</v>
      </c>
      <c r="W100" s="19" t="n">
        <v>26.773822</v>
      </c>
      <c r="Y100">
        <f>B100</f>
        <v/>
      </c>
      <c r="Z100">
        <f>C100</f>
        <v/>
      </c>
      <c r="AA100" s="18">
        <f>SUM(AD100:AI100)+AK100+AL100</f>
        <v/>
      </c>
      <c r="AB100" s="18">
        <f>SUM(AD100:AI100)+AN100+AO100</f>
        <v/>
      </c>
      <c r="AC100" s="5">
        <f>AA100-AB100</f>
        <v/>
      </c>
      <c r="AD100" s="1">
        <f>D100/I100*W100*-1</f>
        <v/>
      </c>
      <c r="AE100" s="1">
        <f>E100/I100*W100</f>
        <v/>
      </c>
      <c r="AF100" s="1">
        <f t="array" ref="AF100">_xlfn.IFS(C100="Biomass_Corn", 1/I100*S100, C100="Biomass_Agri", 1/I100*V100, C100="Biomass_Wood", 1/I100*U100, C100="Biomass_Herb", 1/I100*T100)</f>
        <v/>
      </c>
      <c r="AG100" s="1">
        <f>M100/I100/(0.9*8760)</f>
        <v/>
      </c>
      <c r="AH100" s="1">
        <f>N100/I100/(0.9*8760)</f>
        <v/>
      </c>
      <c r="AI100" s="1">
        <f>O100/I100</f>
        <v/>
      </c>
      <c r="AJ100" s="1">
        <f>(AY100+AZ100+BA100+BB100+BC100-AW100)/I100</f>
        <v/>
      </c>
      <c r="AK100" s="1">
        <f>(Q100+R100)*-1*K100/I100</f>
        <v/>
      </c>
      <c r="AL100">
        <f>AJ100*Q100</f>
        <v/>
      </c>
      <c r="AM100" s="1">
        <f>(SUM(AY100:BB100)-AW100)/I100</f>
        <v/>
      </c>
      <c r="AN100" s="1">
        <f>K100/I100*-1*R100</f>
        <v/>
      </c>
      <c r="AO100">
        <f>AM100*Q100</f>
        <v/>
      </c>
      <c r="AQ100" s="17">
        <f>J100</f>
        <v/>
      </c>
      <c r="AR100" s="8" t="n">
        <v>0.243968185</v>
      </c>
      <c r="AS100" s="8" t="n">
        <v>0.249427613</v>
      </c>
      <c r="AT100" s="9" t="n">
        <v>0.246356685</v>
      </c>
      <c r="AU100" s="17" t="n">
        <v>0.23037491</v>
      </c>
      <c r="AW100" s="9">
        <f>AQ100</f>
        <v/>
      </c>
      <c r="AY100" s="9">
        <f>AR100*F100</f>
        <v/>
      </c>
      <c r="AZ100" s="9">
        <f>AS100*H100</f>
        <v/>
      </c>
      <c r="BA100" s="9">
        <f>AT100*G100</f>
        <v/>
      </c>
      <c r="BB100" s="9">
        <f>L100</f>
        <v/>
      </c>
      <c r="BC100" s="9">
        <f>K100</f>
        <v/>
      </c>
      <c r="BE100" s="1">
        <f>AW100-SUM(AY100:BC100)</f>
        <v/>
      </c>
    </row>
    <row r="101">
      <c r="B101" s="12" t="inlineStr">
        <is>
          <t>MIDAT_FT_High_Diesel_Non_CCS_Wood</t>
        </is>
      </c>
      <c r="C101" s="20" t="inlineStr">
        <is>
          <t>Biomass_Wood</t>
        </is>
      </c>
      <c r="D101" s="20" t="n">
        <v>0</v>
      </c>
      <c r="E101" s="20" t="n">
        <v>2.8679</v>
      </c>
      <c r="F101" s="20" t="n">
        <v>0.6893</v>
      </c>
      <c r="G101" s="20" t="n">
        <v>0.7107</v>
      </c>
      <c r="H101" s="20" t="n">
        <v>1.4079</v>
      </c>
      <c r="I101" s="21">
        <f>F101+G101+H101</f>
        <v/>
      </c>
      <c r="J101" s="20" t="n">
        <v>1.806</v>
      </c>
      <c r="K101" s="20" t="n">
        <v>0</v>
      </c>
      <c r="L101" s="20" t="n">
        <v>1.111571873814844</v>
      </c>
      <c r="M101" s="20" t="n">
        <v>492864.96</v>
      </c>
      <c r="N101" s="20" t="n">
        <v>547339.52</v>
      </c>
      <c r="O101" s="20" t="n">
        <v>0</v>
      </c>
      <c r="Q101" s="19" t="n">
        <v>109.479795</v>
      </c>
      <c r="R101" s="19" t="n">
        <v>-7.354813</v>
      </c>
      <c r="S101" s="19" t="n">
        <v>170</v>
      </c>
      <c r="T101" s="19" t="n">
        <v>138.356765</v>
      </c>
      <c r="U101" s="19" t="n">
        <v>156.777934</v>
      </c>
      <c r="V101" s="19" t="n">
        <v>119.345797</v>
      </c>
      <c r="W101" s="19" t="n">
        <v>26.773822</v>
      </c>
      <c r="Y101">
        <f>B101</f>
        <v/>
      </c>
      <c r="Z101">
        <f>C101</f>
        <v/>
      </c>
      <c r="AA101" s="18">
        <f>SUM(AD101:AI101)+AK101+AL101</f>
        <v/>
      </c>
      <c r="AB101" s="18">
        <f>SUM(AD101:AI101)+AN101+AO101</f>
        <v/>
      </c>
      <c r="AC101" s="5">
        <f>AA101-AB101</f>
        <v/>
      </c>
      <c r="AD101" s="1">
        <f>D101/I101*W101*-1</f>
        <v/>
      </c>
      <c r="AE101" s="1">
        <f>E101/I101*W101</f>
        <v/>
      </c>
      <c r="AF101" s="1">
        <f t="array" ref="AF101">_xlfn.IFS(C101="Biomass_Corn", 1/I101*S101, C101="Biomass_Agri", 1/I101*V101, C101="Biomass_Wood", 1/I101*U101, C101="Biomass_Herb", 1/I101*T101)</f>
        <v/>
      </c>
      <c r="AG101" s="1">
        <f>M101/I101/(0.9*8760)</f>
        <v/>
      </c>
      <c r="AH101" s="1">
        <f>N101/I101/(0.9*8760)</f>
        <v/>
      </c>
      <c r="AI101" s="1">
        <f>O101/I101</f>
        <v/>
      </c>
      <c r="AJ101" s="1">
        <f>(AY101+AZ101+BA101+BB101+BC101-AW101)/I101</f>
        <v/>
      </c>
      <c r="AK101" s="1">
        <f>(Q101+R101)*-1*K101/I101</f>
        <v/>
      </c>
      <c r="AL101">
        <f>AJ101*Q101</f>
        <v/>
      </c>
      <c r="AM101" s="1">
        <f>(SUM(AY101:BB101)-AW101)/I101</f>
        <v/>
      </c>
      <c r="AN101" s="1">
        <f>K101/I101*-1*R101</f>
        <v/>
      </c>
      <c r="AO101">
        <f>AM101*Q101</f>
        <v/>
      </c>
      <c r="AQ101" s="17">
        <f>J101</f>
        <v/>
      </c>
      <c r="AR101" s="8" t="n">
        <v>0.243968185</v>
      </c>
      <c r="AS101" s="8" t="n">
        <v>0.249427613</v>
      </c>
      <c r="AT101" s="9" t="n">
        <v>0.246356685</v>
      </c>
      <c r="AU101" s="17" t="n">
        <v>0.23037491</v>
      </c>
      <c r="AW101" s="9">
        <f>AQ101</f>
        <v/>
      </c>
      <c r="AY101" s="9">
        <f>AR101*F101</f>
        <v/>
      </c>
      <c r="AZ101" s="9">
        <f>AS101*H101</f>
        <v/>
      </c>
      <c r="BA101" s="9">
        <f>AT101*G101</f>
        <v/>
      </c>
      <c r="BB101" s="9">
        <f>L101</f>
        <v/>
      </c>
      <c r="BC101" s="9">
        <f>K101</f>
        <v/>
      </c>
      <c r="BE101" s="1">
        <f>AW101-SUM(AY101:BC101)</f>
        <v/>
      </c>
    </row>
    <row r="102">
      <c r="B102" s="12" t="inlineStr">
        <is>
          <t>NE_FT_High_Diesel_Non_CCS_Wood</t>
        </is>
      </c>
      <c r="C102" s="20" t="inlineStr">
        <is>
          <t>Biomass_Wood</t>
        </is>
      </c>
      <c r="D102" s="20" t="n">
        <v>0</v>
      </c>
      <c r="E102" s="20" t="n">
        <v>2.8679</v>
      </c>
      <c r="F102" s="20" t="n">
        <v>0.6850000000000001</v>
      </c>
      <c r="G102" s="20" t="n">
        <v>0.7062</v>
      </c>
      <c r="H102" s="20" t="n">
        <v>1.399</v>
      </c>
      <c r="I102" s="21">
        <f>F102+G102+H102</f>
        <v/>
      </c>
      <c r="J102" s="20" t="n">
        <v>1.826</v>
      </c>
      <c r="K102" s="20" t="n">
        <v>0</v>
      </c>
      <c r="L102" s="20" t="n">
        <v>1.135955428530374</v>
      </c>
      <c r="M102" s="20" t="n">
        <v>492864.96</v>
      </c>
      <c r="N102" s="20" t="n">
        <v>547339.52</v>
      </c>
      <c r="O102" s="20" t="n">
        <v>0</v>
      </c>
      <c r="Q102" s="19" t="n">
        <v>109.479795</v>
      </c>
      <c r="R102" s="19" t="n">
        <v>-7.354813</v>
      </c>
      <c r="S102" s="19" t="n">
        <v>170</v>
      </c>
      <c r="T102" s="19" t="n">
        <v>138.356765</v>
      </c>
      <c r="U102" s="19" t="n">
        <v>156.777934</v>
      </c>
      <c r="V102" s="19" t="n">
        <v>119.345797</v>
      </c>
      <c r="W102" s="19" t="n">
        <v>26.773822</v>
      </c>
      <c r="Y102">
        <f>B102</f>
        <v/>
      </c>
      <c r="Z102">
        <f>C102</f>
        <v/>
      </c>
      <c r="AA102" s="18">
        <f>SUM(AD102:AI102)+AK102+AL102</f>
        <v/>
      </c>
      <c r="AB102" s="18">
        <f>SUM(AD102:AI102)+AN102+AO102</f>
        <v/>
      </c>
      <c r="AC102" s="5">
        <f>AA102-AB102</f>
        <v/>
      </c>
      <c r="AD102" s="1">
        <f>D102/I102*W102*-1</f>
        <v/>
      </c>
      <c r="AE102" s="1">
        <f>E102/I102*W102</f>
        <v/>
      </c>
      <c r="AF102" s="1">
        <f t="array" ref="AF102">_xlfn.IFS(C102="Biomass_Corn", 1/I102*S102, C102="Biomass_Agri", 1/I102*V102, C102="Biomass_Wood", 1/I102*U102, C102="Biomass_Herb", 1/I102*T102)</f>
        <v/>
      </c>
      <c r="AG102" s="1">
        <f>M102/I102/(0.9*8760)</f>
        <v/>
      </c>
      <c r="AH102" s="1">
        <f>N102/I102/(0.9*8760)</f>
        <v/>
      </c>
      <c r="AI102" s="1">
        <f>O102/I102</f>
        <v/>
      </c>
      <c r="AJ102" s="1">
        <f>(AY102+AZ102+BA102+BB102+BC102-AW102)/I102</f>
        <v/>
      </c>
      <c r="AK102" s="1">
        <f>(Q102+R102)*-1*K102/I102</f>
        <v/>
      </c>
      <c r="AL102">
        <f>AJ102*Q102</f>
        <v/>
      </c>
      <c r="AM102" s="1">
        <f>(SUM(AY102:BB102)-AW102)/I102</f>
        <v/>
      </c>
      <c r="AN102" s="1">
        <f>K102/I102*-1*R102</f>
        <v/>
      </c>
      <c r="AO102">
        <f>AM102*Q102</f>
        <v/>
      </c>
      <c r="AQ102" s="17">
        <f>J102</f>
        <v/>
      </c>
      <c r="AR102" s="8" t="n">
        <v>0.243968185</v>
      </c>
      <c r="AS102" s="8" t="n">
        <v>0.249427613</v>
      </c>
      <c r="AT102" s="9" t="n">
        <v>0.246356685</v>
      </c>
      <c r="AU102" s="17" t="n">
        <v>0.23037491</v>
      </c>
      <c r="AW102" s="9">
        <f>AQ102</f>
        <v/>
      </c>
      <c r="AY102" s="9">
        <f>AR102*F102</f>
        <v/>
      </c>
      <c r="AZ102" s="9">
        <f>AS102*H102</f>
        <v/>
      </c>
      <c r="BA102" s="9">
        <f>AT102*G102</f>
        <v/>
      </c>
      <c r="BB102" s="9">
        <f>L102</f>
        <v/>
      </c>
      <c r="BC102" s="9">
        <f>K102</f>
        <v/>
      </c>
      <c r="BE102" s="1">
        <f>AW102-SUM(AY102:BC102)</f>
        <v/>
      </c>
    </row>
    <row r="103">
      <c r="B103" s="12" t="inlineStr">
        <is>
          <t>CA_FT_High_Diesel_Agri</t>
        </is>
      </c>
      <c r="C103" s="20" t="inlineStr">
        <is>
          <t>Biomass_Agri</t>
        </is>
      </c>
      <c r="D103" s="20" t="n">
        <v>0</v>
      </c>
      <c r="E103" s="20" t="n">
        <v>2.8679</v>
      </c>
      <c r="F103" s="20" t="n">
        <v>0.6632</v>
      </c>
      <c r="G103" s="20" t="n">
        <v>0.6838</v>
      </c>
      <c r="H103" s="20" t="n">
        <v>1.3546</v>
      </c>
      <c r="I103" s="21">
        <f>F103+G103+H103</f>
        <v/>
      </c>
      <c r="J103" s="20" t="n">
        <v>1.719</v>
      </c>
      <c r="K103" s="20" t="n">
        <v>0</v>
      </c>
      <c r="L103" s="20" t="n">
        <v>1.050873202108022</v>
      </c>
      <c r="M103" s="20" t="n">
        <v>492864.96</v>
      </c>
      <c r="N103" s="20" t="n">
        <v>547339.52</v>
      </c>
      <c r="O103" s="20" t="n">
        <v>0</v>
      </c>
      <c r="Q103" s="19" t="n">
        <v>109.479795</v>
      </c>
      <c r="R103" s="19" t="n">
        <v>-7.354813</v>
      </c>
      <c r="S103" s="19" t="n">
        <v>170</v>
      </c>
      <c r="T103" s="19" t="n">
        <v>138.356765</v>
      </c>
      <c r="U103" s="19" t="n">
        <v>156.777934</v>
      </c>
      <c r="V103" s="19" t="n">
        <v>119.345797</v>
      </c>
      <c r="W103" s="19" t="n">
        <v>26.773822</v>
      </c>
      <c r="Y103">
        <f>B103</f>
        <v/>
      </c>
      <c r="Z103">
        <f>C103</f>
        <v/>
      </c>
      <c r="AA103" s="18">
        <f>SUM(AD103:AI103)+AK103+AL103</f>
        <v/>
      </c>
      <c r="AB103" s="18">
        <f>SUM(AD103:AI103)+AN103+AO103</f>
        <v/>
      </c>
      <c r="AC103" s="5">
        <f>AA103-AB103</f>
        <v/>
      </c>
      <c r="AD103" s="1">
        <f>D103/I103*W103*-1</f>
        <v/>
      </c>
      <c r="AE103" s="1">
        <f>E103/I103*W103</f>
        <v/>
      </c>
      <c r="AF103" s="1">
        <f t="array" ref="AF103">_xlfn.IFS(C103="Biomass_Corn", 1/I103*S103, C103="Biomass_Agri", 1/I103*V103, C103="Biomass_Wood", 1/I103*U103, C103="Biomass_Herb", 1/I103*T103)</f>
        <v/>
      </c>
      <c r="AG103" s="1">
        <f>M103/I103/(0.9*8760)</f>
        <v/>
      </c>
      <c r="AH103" s="1">
        <f>N103/I103/(0.9*8760)</f>
        <v/>
      </c>
      <c r="AI103" s="1">
        <f>O103/I103</f>
        <v/>
      </c>
      <c r="AJ103" s="1">
        <f>(AY103+AZ103+BA103+BB103+BC103-AW103)/I103</f>
        <v/>
      </c>
      <c r="AK103" s="1">
        <f>(Q103+R103)*-1*K103/I103</f>
        <v/>
      </c>
      <c r="AL103">
        <f>AJ103*Q103</f>
        <v/>
      </c>
      <c r="AM103" s="1">
        <f>(SUM(AY103:BB103)-AW103)/I103</f>
        <v/>
      </c>
      <c r="AN103" s="1">
        <f>K103/I103*-1*R103</f>
        <v/>
      </c>
      <c r="AO103">
        <f>AM103*Q103</f>
        <v/>
      </c>
      <c r="AQ103" s="17">
        <f>J103</f>
        <v/>
      </c>
      <c r="AR103" s="8" t="n">
        <v>0.243968185</v>
      </c>
      <c r="AS103" s="8" t="n">
        <v>0.249427613</v>
      </c>
      <c r="AT103" s="9" t="n">
        <v>0.246356685</v>
      </c>
      <c r="AU103" s="17" t="n">
        <v>0.23037491</v>
      </c>
      <c r="AW103" s="9">
        <f>AQ103</f>
        <v/>
      </c>
      <c r="AY103" s="9">
        <f>AR103*F103</f>
        <v/>
      </c>
      <c r="AZ103" s="9">
        <f>AS103*H103</f>
        <v/>
      </c>
      <c r="BA103" s="9">
        <f>AT103*G103</f>
        <v/>
      </c>
      <c r="BB103" s="9">
        <f>L103</f>
        <v/>
      </c>
      <c r="BC103" s="9">
        <f>K103</f>
        <v/>
      </c>
      <c r="BE103" s="1">
        <f>AW103-SUM(AY103:BC103)</f>
        <v/>
      </c>
    </row>
    <row r="104">
      <c r="B104" s="12" t="inlineStr">
        <is>
          <t>NW_FT_High_Diesel_Agri</t>
        </is>
      </c>
      <c r="C104" s="20" t="inlineStr">
        <is>
          <t>Biomass_Agri</t>
        </is>
      </c>
      <c r="D104" s="20" t="n">
        <v>0</v>
      </c>
      <c r="E104" s="20" t="n">
        <v>2.8679</v>
      </c>
      <c r="F104" s="20" t="n">
        <v>0.6063</v>
      </c>
      <c r="G104" s="20" t="n">
        <v>0.6251</v>
      </c>
      <c r="H104" s="20" t="n">
        <v>1.2383</v>
      </c>
      <c r="I104" s="21">
        <f>F104+G104+H104</f>
        <v/>
      </c>
      <c r="J104" s="20" t="n">
        <v>1.664</v>
      </c>
      <c r="K104" s="20" t="n">
        <v>0</v>
      </c>
      <c r="L104" s="20" t="n">
        <v>1.053224709636202</v>
      </c>
      <c r="M104" s="20" t="n">
        <v>492864.96</v>
      </c>
      <c r="N104" s="20" t="n">
        <v>547339.52</v>
      </c>
      <c r="O104" s="20" t="n">
        <v>0</v>
      </c>
      <c r="Q104" s="19" t="n">
        <v>109.479795</v>
      </c>
      <c r="R104" s="19" t="n">
        <v>-7.354813</v>
      </c>
      <c r="S104" s="19" t="n">
        <v>170</v>
      </c>
      <c r="T104" s="19" t="n">
        <v>138.356765</v>
      </c>
      <c r="U104" s="19" t="n">
        <v>156.777934</v>
      </c>
      <c r="V104" s="19" t="n">
        <v>119.345797</v>
      </c>
      <c r="W104" s="19" t="n">
        <v>26.773822</v>
      </c>
      <c r="Y104">
        <f>B104</f>
        <v/>
      </c>
      <c r="Z104">
        <f>C104</f>
        <v/>
      </c>
      <c r="AA104" s="18">
        <f>SUM(AD104:AI104)+AK104+AL104</f>
        <v/>
      </c>
      <c r="AB104" s="18">
        <f>SUM(AD104:AI104)+AN104+AO104</f>
        <v/>
      </c>
      <c r="AC104" s="5">
        <f>AA104-AB104</f>
        <v/>
      </c>
      <c r="AD104" s="1">
        <f>D104/I104*W104*-1</f>
        <v/>
      </c>
      <c r="AE104" s="1">
        <f>E104/I104*W104</f>
        <v/>
      </c>
      <c r="AF104" s="1">
        <f t="array" ref="AF104">_xlfn.IFS(C104="Biomass_Corn", 1/I104*S104, C104="Biomass_Agri", 1/I104*V104, C104="Biomass_Wood", 1/I104*U104, C104="Biomass_Herb", 1/I104*T104)</f>
        <v/>
      </c>
      <c r="AG104" s="1">
        <f>M104/I104/(0.9*8760)</f>
        <v/>
      </c>
      <c r="AH104" s="1">
        <f>N104/I104/(0.9*8760)</f>
        <v/>
      </c>
      <c r="AI104" s="1">
        <f>O104/I104</f>
        <v/>
      </c>
      <c r="AJ104" s="1">
        <f>(AY104+AZ104+BA104+BB104+BC104-AW104)/I104</f>
        <v/>
      </c>
      <c r="AK104" s="1">
        <f>(Q104+R104)*-1*K104/I104</f>
        <v/>
      </c>
      <c r="AL104">
        <f>AJ104*Q104</f>
        <v/>
      </c>
      <c r="AM104" s="1">
        <f>(SUM(AY104:BB104)-AW104)/I104</f>
        <v/>
      </c>
      <c r="AN104" s="1">
        <f>K104/I104*-1*R104</f>
        <v/>
      </c>
      <c r="AO104">
        <f>AM104*Q104</f>
        <v/>
      </c>
      <c r="AQ104" s="17">
        <f>J104</f>
        <v/>
      </c>
      <c r="AR104" s="8" t="n">
        <v>0.243968185</v>
      </c>
      <c r="AS104" s="8" t="n">
        <v>0.249427613</v>
      </c>
      <c r="AT104" s="9" t="n">
        <v>0.246356685</v>
      </c>
      <c r="AU104" s="17" t="n">
        <v>0.23037491</v>
      </c>
      <c r="AW104" s="9">
        <f>AQ104</f>
        <v/>
      </c>
      <c r="AY104" s="9">
        <f>AR104*F104</f>
        <v/>
      </c>
      <c r="AZ104" s="9">
        <f>AS104*H104</f>
        <v/>
      </c>
      <c r="BA104" s="9">
        <f>AT104*G104</f>
        <v/>
      </c>
      <c r="BB104" s="9">
        <f>L104</f>
        <v/>
      </c>
      <c r="BC104" s="9">
        <f>K104</f>
        <v/>
      </c>
      <c r="BE104" s="1">
        <f>AW104-SUM(AY104:BC104)</f>
        <v/>
      </c>
    </row>
    <row r="105">
      <c r="B105" s="12" t="inlineStr">
        <is>
          <t>SW_FT_High_Diesel_Agri</t>
        </is>
      </c>
      <c r="C105" s="20" t="inlineStr">
        <is>
          <t>Biomass_Agri</t>
        </is>
      </c>
      <c r="D105" s="20" t="n">
        <v>0</v>
      </c>
      <c r="E105" s="20" t="n">
        <v>2.8679</v>
      </c>
      <c r="F105" s="20" t="n">
        <v>0.6175</v>
      </c>
      <c r="G105" s="20" t="n">
        <v>0.6367</v>
      </c>
      <c r="H105" s="20" t="n">
        <v>1.2613</v>
      </c>
      <c r="I105" s="21">
        <f>F105+G105+H105</f>
        <v/>
      </c>
      <c r="J105" s="20" t="n">
        <v>1.687</v>
      </c>
      <c r="K105" s="20" t="n">
        <v>0</v>
      </c>
      <c r="L105" s="20" t="n">
        <v>1.064900526621083</v>
      </c>
      <c r="M105" s="20" t="n">
        <v>492864.96</v>
      </c>
      <c r="N105" s="20" t="n">
        <v>547339.52</v>
      </c>
      <c r="O105" s="20" t="n">
        <v>0</v>
      </c>
      <c r="Q105" s="19" t="n">
        <v>109.479795</v>
      </c>
      <c r="R105" s="19" t="n">
        <v>-7.354813</v>
      </c>
      <c r="S105" s="19" t="n">
        <v>170</v>
      </c>
      <c r="T105" s="19" t="n">
        <v>138.356765</v>
      </c>
      <c r="U105" s="19" t="n">
        <v>156.777934</v>
      </c>
      <c r="V105" s="19" t="n">
        <v>119.345797</v>
      </c>
      <c r="W105" s="19" t="n">
        <v>26.773822</v>
      </c>
      <c r="Y105">
        <f>B105</f>
        <v/>
      </c>
      <c r="Z105">
        <f>C105</f>
        <v/>
      </c>
      <c r="AA105" s="18">
        <f>SUM(AD105:AI105)+AK105+AL105</f>
        <v/>
      </c>
      <c r="AB105" s="18">
        <f>SUM(AD105:AI105)+AN105+AO105</f>
        <v/>
      </c>
      <c r="AC105" s="5">
        <f>AA105-AB105</f>
        <v/>
      </c>
      <c r="AD105" s="1">
        <f>D105/I105*W105*-1</f>
        <v/>
      </c>
      <c r="AE105" s="1">
        <f>E105/I105*W105</f>
        <v/>
      </c>
      <c r="AF105" s="1">
        <f t="array" ref="AF105">_xlfn.IFS(C105="Biomass_Corn", 1/I105*S105, C105="Biomass_Agri", 1/I105*V105, C105="Biomass_Wood", 1/I105*U105, C105="Biomass_Herb", 1/I105*T105)</f>
        <v/>
      </c>
      <c r="AG105" s="1">
        <f>M105/I105/(0.9*8760)</f>
        <v/>
      </c>
      <c r="AH105" s="1">
        <f>N105/I105/(0.9*8760)</f>
        <v/>
      </c>
      <c r="AI105" s="1">
        <f>O105/I105</f>
        <v/>
      </c>
      <c r="AJ105" s="1">
        <f>(AY105+AZ105+BA105+BB105+BC105-AW105)/I105</f>
        <v/>
      </c>
      <c r="AK105" s="1">
        <f>(Q105+R105)*-1*K105/I105</f>
        <v/>
      </c>
      <c r="AL105">
        <f>AJ105*Q105</f>
        <v/>
      </c>
      <c r="AM105" s="1">
        <f>(SUM(AY105:BB105)-AW105)/I105</f>
        <v/>
      </c>
      <c r="AN105" s="1">
        <f>K105/I105*-1*R105</f>
        <v/>
      </c>
      <c r="AO105">
        <f>AM105*Q105</f>
        <v/>
      </c>
      <c r="AQ105" s="17">
        <f>J105</f>
        <v/>
      </c>
      <c r="AR105" s="8" t="n">
        <v>0.243968185</v>
      </c>
      <c r="AS105" s="8" t="n">
        <v>0.249427613</v>
      </c>
      <c r="AT105" s="9" t="n">
        <v>0.246356685</v>
      </c>
      <c r="AU105" s="17" t="n">
        <v>0.23037491</v>
      </c>
      <c r="AW105" s="9">
        <f>AQ105</f>
        <v/>
      </c>
      <c r="AY105" s="9">
        <f>AR105*F105</f>
        <v/>
      </c>
      <c r="AZ105" s="9">
        <f>AS105*H105</f>
        <v/>
      </c>
      <c r="BA105" s="9">
        <f>AT105*G105</f>
        <v/>
      </c>
      <c r="BB105" s="9">
        <f>L105</f>
        <v/>
      </c>
      <c r="BC105" s="9">
        <f>K105</f>
        <v/>
      </c>
      <c r="BE105" s="1">
        <f>AW105-SUM(AY105:BC105)</f>
        <v/>
      </c>
    </row>
    <row r="106">
      <c r="B106" s="12" t="inlineStr">
        <is>
          <t>TX_FT_High_Diesel_Agri</t>
        </is>
      </c>
      <c r="C106" s="20" t="inlineStr">
        <is>
          <t>Biomass_Agri</t>
        </is>
      </c>
      <c r="D106" s="20" t="n">
        <v>0</v>
      </c>
      <c r="E106" s="20" t="n">
        <v>2.8679</v>
      </c>
      <c r="F106" s="20" t="n">
        <v>0.6016</v>
      </c>
      <c r="G106" s="20" t="n">
        <v>0.6202</v>
      </c>
      <c r="H106" s="20" t="n">
        <v>1.2287</v>
      </c>
      <c r="I106" s="21">
        <f>F106+G106+H106</f>
        <v/>
      </c>
      <c r="J106" s="20" t="n">
        <v>1.633</v>
      </c>
      <c r="K106" s="20" t="n">
        <v>0</v>
      </c>
      <c r="L106" s="20" t="n">
        <v>1.026973560578026</v>
      </c>
      <c r="M106" s="20" t="n">
        <v>492864.96</v>
      </c>
      <c r="N106" s="20" t="n">
        <v>547339.52</v>
      </c>
      <c r="O106" s="20" t="n">
        <v>0</v>
      </c>
      <c r="Q106" s="19" t="n">
        <v>109.479795</v>
      </c>
      <c r="R106" s="19" t="n">
        <v>-7.354813</v>
      </c>
      <c r="S106" s="19" t="n">
        <v>170</v>
      </c>
      <c r="T106" s="19" t="n">
        <v>138.356765</v>
      </c>
      <c r="U106" s="19" t="n">
        <v>156.777934</v>
      </c>
      <c r="V106" s="19" t="n">
        <v>119.345797</v>
      </c>
      <c r="W106" s="19" t="n">
        <v>26.773822</v>
      </c>
      <c r="Y106">
        <f>B106</f>
        <v/>
      </c>
      <c r="Z106">
        <f>C106</f>
        <v/>
      </c>
      <c r="AA106" s="18">
        <f>SUM(AD106:AI106)+AK106+AL106</f>
        <v/>
      </c>
      <c r="AB106" s="18">
        <f>SUM(AD106:AI106)+AN106+AO106</f>
        <v/>
      </c>
      <c r="AC106" s="5">
        <f>AA106-AB106</f>
        <v/>
      </c>
      <c r="AD106" s="1">
        <f>D106/I106*W106*-1</f>
        <v/>
      </c>
      <c r="AE106" s="1">
        <f>E106/I106*W106</f>
        <v/>
      </c>
      <c r="AF106" s="1">
        <f t="array" ref="AF106">_xlfn.IFS(C106="Biomass_Corn", 1/I106*S106, C106="Biomass_Agri", 1/I106*V106, C106="Biomass_Wood", 1/I106*U106, C106="Biomass_Herb", 1/I106*T106)</f>
        <v/>
      </c>
      <c r="AG106" s="1">
        <f>M106/I106/(0.9*8760)</f>
        <v/>
      </c>
      <c r="AH106" s="1">
        <f>N106/I106/(0.9*8760)</f>
        <v/>
      </c>
      <c r="AI106" s="1">
        <f>O106/I106</f>
        <v/>
      </c>
      <c r="AJ106" s="1">
        <f>(AY106+AZ106+BA106+BB106+BC106-AW106)/I106</f>
        <v/>
      </c>
      <c r="AK106" s="1">
        <f>(Q106+R106)*-1*K106/I106</f>
        <v/>
      </c>
      <c r="AL106">
        <f>AJ106*Q106</f>
        <v/>
      </c>
      <c r="AM106" s="1">
        <f>(SUM(AY106:BB106)-AW106)/I106</f>
        <v/>
      </c>
      <c r="AN106" s="1">
        <f>K106/I106*-1*R106</f>
        <v/>
      </c>
      <c r="AO106">
        <f>AM106*Q106</f>
        <v/>
      </c>
      <c r="AQ106" s="17">
        <f>J106</f>
        <v/>
      </c>
      <c r="AR106" s="8" t="n">
        <v>0.243968185</v>
      </c>
      <c r="AS106" s="8" t="n">
        <v>0.249427613</v>
      </c>
      <c r="AT106" s="9" t="n">
        <v>0.246356685</v>
      </c>
      <c r="AU106" s="17" t="n">
        <v>0.23037491</v>
      </c>
      <c r="AW106" s="9">
        <f>AQ106</f>
        <v/>
      </c>
      <c r="AY106" s="9">
        <f>AR106*F106</f>
        <v/>
      </c>
      <c r="AZ106" s="9">
        <f>AS106*H106</f>
        <v/>
      </c>
      <c r="BA106" s="9">
        <f>AT106*G106</f>
        <v/>
      </c>
      <c r="BB106" s="9">
        <f>L106</f>
        <v/>
      </c>
      <c r="BC106" s="9">
        <f>K106</f>
        <v/>
      </c>
      <c r="BE106" s="1">
        <f>AW106-SUM(AY106:BC106)</f>
        <v/>
      </c>
    </row>
    <row r="107">
      <c r="B107" s="12" t="inlineStr">
        <is>
          <t>NCEN_FT_High_Diesel_Agri</t>
        </is>
      </c>
      <c r="C107" s="20" t="inlineStr">
        <is>
          <t>Biomass_Agri</t>
        </is>
      </c>
      <c r="D107" s="20" t="n">
        <v>0</v>
      </c>
      <c r="E107" s="20" t="n">
        <v>2.8679</v>
      </c>
      <c r="F107" s="20" t="n">
        <v>0.6273</v>
      </c>
      <c r="G107" s="20" t="n">
        <v>0.6468</v>
      </c>
      <c r="H107" s="20" t="n">
        <v>1.2812</v>
      </c>
      <c r="I107" s="21">
        <f>F107+G107+H107</f>
        <v/>
      </c>
      <c r="J107" s="20" t="n">
        <v>1.71</v>
      </c>
      <c r="K107" s="20" t="n">
        <v>0</v>
      </c>
      <c r="L107" s="20" t="n">
        <v>1.078037528511142</v>
      </c>
      <c r="M107" s="20" t="n">
        <v>492864.96</v>
      </c>
      <c r="N107" s="20" t="n">
        <v>547339.52</v>
      </c>
      <c r="O107" s="20" t="n">
        <v>0</v>
      </c>
      <c r="Q107" s="19" t="n">
        <v>109.479795</v>
      </c>
      <c r="R107" s="19" t="n">
        <v>-7.354813</v>
      </c>
      <c r="S107" s="19" t="n">
        <v>170</v>
      </c>
      <c r="T107" s="19" t="n">
        <v>138.356765</v>
      </c>
      <c r="U107" s="19" t="n">
        <v>156.777934</v>
      </c>
      <c r="V107" s="19" t="n">
        <v>119.345797</v>
      </c>
      <c r="W107" s="19" t="n">
        <v>26.773822</v>
      </c>
      <c r="Y107">
        <f>B107</f>
        <v/>
      </c>
      <c r="Z107">
        <f>C107</f>
        <v/>
      </c>
      <c r="AA107" s="18">
        <f>SUM(AD107:AI107)+AK107+AL107</f>
        <v/>
      </c>
      <c r="AB107" s="18">
        <f>SUM(AD107:AI107)+AN107+AO107</f>
        <v/>
      </c>
      <c r="AC107" s="5">
        <f>AA107-AB107</f>
        <v/>
      </c>
      <c r="AD107" s="1">
        <f>D107/I107*W107*-1</f>
        <v/>
      </c>
      <c r="AE107" s="1">
        <f>E107/I107*W107</f>
        <v/>
      </c>
      <c r="AF107" s="1">
        <f t="array" ref="AF107">_xlfn.IFS(C107="Biomass_Corn", 1/I107*S107, C107="Biomass_Agri", 1/I107*V107, C107="Biomass_Wood", 1/I107*U107, C107="Biomass_Herb", 1/I107*T107)</f>
        <v/>
      </c>
      <c r="AG107" s="1">
        <f>M107/I107/(0.9*8760)</f>
        <v/>
      </c>
      <c r="AH107" s="1">
        <f>N107/I107/(0.9*8760)</f>
        <v/>
      </c>
      <c r="AI107" s="1">
        <f>O107/I107</f>
        <v/>
      </c>
      <c r="AJ107" s="1">
        <f>(AY107+AZ107+BA107+BB107+BC107-AW107)/I107</f>
        <v/>
      </c>
      <c r="AK107" s="1">
        <f>(Q107+R107)*-1*K107/I107</f>
        <v/>
      </c>
      <c r="AL107">
        <f>AJ107*Q107</f>
        <v/>
      </c>
      <c r="AM107" s="1">
        <f>(SUM(AY107:BB107)-AW107)/I107</f>
        <v/>
      </c>
      <c r="AN107" s="1">
        <f>K107/I107*-1*R107</f>
        <v/>
      </c>
      <c r="AO107">
        <f>AM107*Q107</f>
        <v/>
      </c>
      <c r="AQ107" s="17">
        <f>J107</f>
        <v/>
      </c>
      <c r="AR107" s="8" t="n">
        <v>0.243968185</v>
      </c>
      <c r="AS107" s="8" t="n">
        <v>0.249427613</v>
      </c>
      <c r="AT107" s="9" t="n">
        <v>0.246356685</v>
      </c>
      <c r="AU107" s="17" t="n">
        <v>0.23037491</v>
      </c>
      <c r="AW107" s="9">
        <f>AQ107</f>
        <v/>
      </c>
      <c r="AY107" s="9">
        <f>AR107*F107</f>
        <v/>
      </c>
      <c r="AZ107" s="9">
        <f>AS107*H107</f>
        <v/>
      </c>
      <c r="BA107" s="9">
        <f>AT107*G107</f>
        <v/>
      </c>
      <c r="BB107" s="9">
        <f>L107</f>
        <v/>
      </c>
      <c r="BC107" s="9">
        <f>K107</f>
        <v/>
      </c>
      <c r="BE107" s="1">
        <f>AW107-SUM(AY107:BC107)</f>
        <v/>
      </c>
    </row>
    <row r="108">
      <c r="B108" s="12" t="inlineStr">
        <is>
          <t>CEN_FT_High_Diesel_Agri</t>
        </is>
      </c>
      <c r="C108" s="20" t="inlineStr">
        <is>
          <t>Biomass_Agri</t>
        </is>
      </c>
      <c r="D108" s="20" t="n">
        <v>0</v>
      </c>
      <c r="E108" s="20" t="n">
        <v>2.8679</v>
      </c>
      <c r="F108" s="20" t="n">
        <v>0.6226</v>
      </c>
      <c r="G108" s="20" t="n">
        <v>0.6419</v>
      </c>
      <c r="H108" s="20" t="n">
        <v>1.2716</v>
      </c>
      <c r="I108" s="21">
        <f>F108+G108+H108</f>
        <v/>
      </c>
      <c r="J108" s="20" t="n">
        <v>1.7</v>
      </c>
      <c r="K108" s="20" t="n">
        <v>0</v>
      </c>
      <c r="L108" s="20" t="n">
        <v>1.072786379452965</v>
      </c>
      <c r="M108" s="20" t="n">
        <v>492864.96</v>
      </c>
      <c r="N108" s="20" t="n">
        <v>547339.52</v>
      </c>
      <c r="O108" s="20" t="n">
        <v>0</v>
      </c>
      <c r="Q108" s="19" t="n">
        <v>109.479795</v>
      </c>
      <c r="R108" s="19" t="n">
        <v>-7.354813</v>
      </c>
      <c r="S108" s="19" t="n">
        <v>170</v>
      </c>
      <c r="T108" s="19" t="n">
        <v>138.356765</v>
      </c>
      <c r="U108" s="19" t="n">
        <v>156.777934</v>
      </c>
      <c r="V108" s="19" t="n">
        <v>119.345797</v>
      </c>
      <c r="W108" s="19" t="n">
        <v>26.773822</v>
      </c>
      <c r="Y108">
        <f>B108</f>
        <v/>
      </c>
      <c r="Z108">
        <f>C108</f>
        <v/>
      </c>
      <c r="AA108" s="18">
        <f>SUM(AD108:AI108)+AK108+AL108</f>
        <v/>
      </c>
      <c r="AB108" s="18">
        <f>SUM(AD108:AI108)+AN108+AO108</f>
        <v/>
      </c>
      <c r="AC108" s="5">
        <f>AA108-AB108</f>
        <v/>
      </c>
      <c r="AD108" s="1">
        <f>D108/I108*W108*-1</f>
        <v/>
      </c>
      <c r="AE108" s="1">
        <f>E108/I108*W108</f>
        <v/>
      </c>
      <c r="AF108" s="1">
        <f t="array" ref="AF108">_xlfn.IFS(C108="Biomass_Corn", 1/I108*S108, C108="Biomass_Agri", 1/I108*V108, C108="Biomass_Wood", 1/I108*U108, C108="Biomass_Herb", 1/I108*T108)</f>
        <v/>
      </c>
      <c r="AG108" s="1">
        <f>M108/I108/(0.9*8760)</f>
        <v/>
      </c>
      <c r="AH108" s="1">
        <f>N108/I108/(0.9*8760)</f>
        <v/>
      </c>
      <c r="AI108" s="1">
        <f>O108/I108</f>
        <v/>
      </c>
      <c r="AJ108" s="1">
        <f>(AY108+AZ108+BA108+BB108+BC108-AW108)/I108</f>
        <v/>
      </c>
      <c r="AK108" s="1">
        <f>(Q108+R108)*-1*K108/I108</f>
        <v/>
      </c>
      <c r="AL108">
        <f>AJ108*Q108</f>
        <v/>
      </c>
      <c r="AM108" s="1">
        <f>(SUM(AY108:BB108)-AW108)/I108</f>
        <v/>
      </c>
      <c r="AN108" s="1">
        <f>K108/I108*-1*R108</f>
        <v/>
      </c>
      <c r="AO108">
        <f>AM108*Q108</f>
        <v/>
      </c>
      <c r="AQ108" s="17">
        <f>J108</f>
        <v/>
      </c>
      <c r="AR108" s="8" t="n">
        <v>0.243968185</v>
      </c>
      <c r="AS108" s="8" t="n">
        <v>0.249427613</v>
      </c>
      <c r="AT108" s="9" t="n">
        <v>0.246356685</v>
      </c>
      <c r="AU108" s="17" t="n">
        <v>0.23037491</v>
      </c>
      <c r="AW108" s="9">
        <f>AQ108</f>
        <v/>
      </c>
      <c r="AY108" s="9">
        <f>AR108*F108</f>
        <v/>
      </c>
      <c r="AZ108" s="9">
        <f>AS108*H108</f>
        <v/>
      </c>
      <c r="BA108" s="9">
        <f>AT108*G108</f>
        <v/>
      </c>
      <c r="BB108" s="9">
        <f>L108</f>
        <v/>
      </c>
      <c r="BC108" s="9">
        <f>K108</f>
        <v/>
      </c>
      <c r="BE108" s="1">
        <f>AW108-SUM(AY108:BC108)</f>
        <v/>
      </c>
    </row>
    <row r="109">
      <c r="B109" s="12" t="inlineStr">
        <is>
          <t>SE_FT_High_Diesel_Agri</t>
        </is>
      </c>
      <c r="C109" s="20" t="inlineStr">
        <is>
          <t>Biomass_Agri</t>
        </is>
      </c>
      <c r="D109" s="20" t="n">
        <v>0</v>
      </c>
      <c r="E109" s="20" t="n">
        <v>2.8679</v>
      </c>
      <c r="F109" s="20" t="n">
        <v>0.6248</v>
      </c>
      <c r="G109" s="20" t="n">
        <v>0.6441</v>
      </c>
      <c r="H109" s="20" t="n">
        <v>1.2761</v>
      </c>
      <c r="I109" s="21">
        <f>F109+G109+H109</f>
        <v/>
      </c>
      <c r="J109" s="20" t="n">
        <v>1.689</v>
      </c>
      <c r="K109" s="20" t="n">
        <v>0</v>
      </c>
      <c r="L109" s="20" t="n">
        <v>1.059594602095201</v>
      </c>
      <c r="M109" s="20" t="n">
        <v>492864.96</v>
      </c>
      <c r="N109" s="20" t="n">
        <v>547339.52</v>
      </c>
      <c r="O109" s="20" t="n">
        <v>0</v>
      </c>
      <c r="Q109" s="19" t="n">
        <v>109.479795</v>
      </c>
      <c r="R109" s="19" t="n">
        <v>-7.354813</v>
      </c>
      <c r="S109" s="19" t="n">
        <v>170</v>
      </c>
      <c r="T109" s="19" t="n">
        <v>138.356765</v>
      </c>
      <c r="U109" s="19" t="n">
        <v>156.777934</v>
      </c>
      <c r="V109" s="19" t="n">
        <v>119.345797</v>
      </c>
      <c r="W109" s="19" t="n">
        <v>26.773822</v>
      </c>
      <c r="Y109">
        <f>B109</f>
        <v/>
      </c>
      <c r="Z109">
        <f>C109</f>
        <v/>
      </c>
      <c r="AA109" s="18">
        <f>SUM(AD109:AI109)+AK109+AL109</f>
        <v/>
      </c>
      <c r="AB109" s="18">
        <f>SUM(AD109:AI109)+AN109+AO109</f>
        <v/>
      </c>
      <c r="AC109" s="5">
        <f>AA109-AB109</f>
        <v/>
      </c>
      <c r="AD109" s="1">
        <f>D109/I109*W109*-1</f>
        <v/>
      </c>
      <c r="AE109" s="1">
        <f>E109/I109*W109</f>
        <v/>
      </c>
      <c r="AF109" s="1">
        <f t="array" ref="AF109">_xlfn.IFS(C109="Biomass_Corn", 1/I109*S109, C109="Biomass_Agri", 1/I109*V109, C109="Biomass_Wood", 1/I109*U109, C109="Biomass_Herb", 1/I109*T109)</f>
        <v/>
      </c>
      <c r="AG109" s="1">
        <f>M109/I109/(0.9*8760)</f>
        <v/>
      </c>
      <c r="AH109" s="1">
        <f>N109/I109/(0.9*8760)</f>
        <v/>
      </c>
      <c r="AI109" s="1">
        <f>O109/I109</f>
        <v/>
      </c>
      <c r="AJ109" s="1">
        <f>(AY109+AZ109+BA109+BB109+BC109-AW109)/I109</f>
        <v/>
      </c>
      <c r="AK109" s="1">
        <f>(Q109+R109)*-1*K109/I109</f>
        <v/>
      </c>
      <c r="AL109">
        <f>AJ109*Q109</f>
        <v/>
      </c>
      <c r="AM109" s="1">
        <f>(SUM(AY109:BB109)-AW109)/I109</f>
        <v/>
      </c>
      <c r="AN109" s="1">
        <f>K109/I109*-1*R109</f>
        <v/>
      </c>
      <c r="AO109">
        <f>AM109*Q109</f>
        <v/>
      </c>
      <c r="AQ109" s="17">
        <f>J109</f>
        <v/>
      </c>
      <c r="AR109" s="8" t="n">
        <v>0.243968185</v>
      </c>
      <c r="AS109" s="8" t="n">
        <v>0.249427613</v>
      </c>
      <c r="AT109" s="9" t="n">
        <v>0.246356685</v>
      </c>
      <c r="AU109" s="17" t="n">
        <v>0.23037491</v>
      </c>
      <c r="AW109" s="9">
        <f>AQ109</f>
        <v/>
      </c>
      <c r="AY109" s="9">
        <f>AR109*F109</f>
        <v/>
      </c>
      <c r="AZ109" s="9">
        <f>AS109*H109</f>
        <v/>
      </c>
      <c r="BA109" s="9">
        <f>AT109*G109</f>
        <v/>
      </c>
      <c r="BB109" s="9">
        <f>L109</f>
        <v/>
      </c>
      <c r="BC109" s="9">
        <f>K109</f>
        <v/>
      </c>
      <c r="BE109" s="1">
        <f>AW109-SUM(AY109:BC109)</f>
        <v/>
      </c>
    </row>
    <row r="110">
      <c r="B110" s="12" t="inlineStr">
        <is>
          <t>MIDAT_FT_High_Diesel_Agri</t>
        </is>
      </c>
      <c r="C110" s="20" t="inlineStr">
        <is>
          <t>Biomass_Agri</t>
        </is>
      </c>
      <c r="D110" s="20" t="n">
        <v>0</v>
      </c>
      <c r="E110" s="20" t="n">
        <v>2.8679</v>
      </c>
      <c r="F110" s="20" t="n">
        <v>0.6266</v>
      </c>
      <c r="G110" s="20" t="n">
        <v>0.646</v>
      </c>
      <c r="H110" s="20" t="n">
        <v>1.2798</v>
      </c>
      <c r="I110" s="21">
        <f>F110+G110+H110</f>
        <v/>
      </c>
      <c r="J110" s="20" t="n">
        <v>1.708</v>
      </c>
      <c r="K110" s="20" t="n">
        <v>0</v>
      </c>
      <c r="L110" s="20" t="n">
        <v>1.07676812096373</v>
      </c>
      <c r="M110" s="20" t="n">
        <v>492864.96</v>
      </c>
      <c r="N110" s="20" t="n">
        <v>547339.52</v>
      </c>
      <c r="O110" s="20" t="n">
        <v>0</v>
      </c>
      <c r="Q110" s="19" t="n">
        <v>109.479795</v>
      </c>
      <c r="R110" s="19" t="n">
        <v>-7.354813</v>
      </c>
      <c r="S110" s="19" t="n">
        <v>170</v>
      </c>
      <c r="T110" s="19" t="n">
        <v>138.356765</v>
      </c>
      <c r="U110" s="19" t="n">
        <v>156.777934</v>
      </c>
      <c r="V110" s="19" t="n">
        <v>119.345797</v>
      </c>
      <c r="W110" s="19" t="n">
        <v>26.773822</v>
      </c>
      <c r="Y110">
        <f>B110</f>
        <v/>
      </c>
      <c r="Z110">
        <f>C110</f>
        <v/>
      </c>
      <c r="AA110" s="18">
        <f>SUM(AD110:AI110)+AK110+AL110</f>
        <v/>
      </c>
      <c r="AB110" s="18">
        <f>SUM(AD110:AI110)+AN110+AO110</f>
        <v/>
      </c>
      <c r="AC110" s="5">
        <f>AA110-AB110</f>
        <v/>
      </c>
      <c r="AD110" s="1">
        <f>D110/I110*W110*-1</f>
        <v/>
      </c>
      <c r="AE110" s="1">
        <f>E110/I110*W110</f>
        <v/>
      </c>
      <c r="AF110" s="1">
        <f t="array" ref="AF110">_xlfn.IFS(C110="Biomass_Corn", 1/I110*S110, C110="Biomass_Agri", 1/I110*V110, C110="Biomass_Wood", 1/I110*U110, C110="Biomass_Herb", 1/I110*T110)</f>
        <v/>
      </c>
      <c r="AG110" s="1">
        <f>M110/I110/(0.9*8760)</f>
        <v/>
      </c>
      <c r="AH110" s="1">
        <f>N110/I110/(0.9*8760)</f>
        <v/>
      </c>
      <c r="AI110" s="1">
        <f>O110/I110</f>
        <v/>
      </c>
      <c r="AJ110" s="1">
        <f>(AY110+AZ110+BA110+BB110+BC110-AW110)/I110</f>
        <v/>
      </c>
      <c r="AK110" s="1">
        <f>(Q110+R110)*-1*K110/I110</f>
        <v/>
      </c>
      <c r="AL110">
        <f>AJ110*Q110</f>
        <v/>
      </c>
      <c r="AM110" s="1">
        <f>(SUM(AY110:BB110)-AW110)/I110</f>
        <v/>
      </c>
      <c r="AN110" s="1">
        <f>K110/I110*-1*R110</f>
        <v/>
      </c>
      <c r="AO110">
        <f>AM110*Q110</f>
        <v/>
      </c>
      <c r="AQ110" s="17">
        <f>J110</f>
        <v/>
      </c>
      <c r="AR110" s="8" t="n">
        <v>0.243968185</v>
      </c>
      <c r="AS110" s="8" t="n">
        <v>0.249427613</v>
      </c>
      <c r="AT110" s="9" t="n">
        <v>0.246356685</v>
      </c>
      <c r="AU110" s="17" t="n">
        <v>0.23037491</v>
      </c>
      <c r="AW110" s="9">
        <f>AQ110</f>
        <v/>
      </c>
      <c r="AY110" s="9">
        <f>AR110*F110</f>
        <v/>
      </c>
      <c r="AZ110" s="9">
        <f>AS110*H110</f>
        <v/>
      </c>
      <c r="BA110" s="9">
        <f>AT110*G110</f>
        <v/>
      </c>
      <c r="BB110" s="9">
        <f>L110</f>
        <v/>
      </c>
      <c r="BC110" s="9">
        <f>K110</f>
        <v/>
      </c>
      <c r="BE110" s="1">
        <f>AW110-SUM(AY110:BC110)</f>
        <v/>
      </c>
    </row>
    <row r="111">
      <c r="B111" s="12" t="inlineStr">
        <is>
          <t>NE_FT_High_Diesel_Agri</t>
        </is>
      </c>
      <c r="C111" s="20" t="inlineStr">
        <is>
          <t>Biomass_Agri</t>
        </is>
      </c>
      <c r="D111" s="20" t="n">
        <v>0</v>
      </c>
      <c r="E111" s="20" t="n">
        <v>2.8679</v>
      </c>
      <c r="F111" s="20" t="n">
        <v>0.6339</v>
      </c>
      <c r="G111" s="20" t="n">
        <v>0.6535</v>
      </c>
      <c r="H111" s="20" t="n">
        <v>1.2946</v>
      </c>
      <c r="I111" s="21">
        <f>F111+G111+H111</f>
        <v/>
      </c>
      <c r="J111" s="20" t="n">
        <v>1.715</v>
      </c>
      <c r="K111" s="20" t="n">
        <v>0</v>
      </c>
      <c r="L111" s="20" t="n">
        <v>1.076462196437847</v>
      </c>
      <c r="M111" s="20" t="n">
        <v>492864.96</v>
      </c>
      <c r="N111" s="20" t="n">
        <v>547339.52</v>
      </c>
      <c r="O111" s="20" t="n">
        <v>0</v>
      </c>
      <c r="Q111" s="19" t="n">
        <v>109.479795</v>
      </c>
      <c r="R111" s="19" t="n">
        <v>-7.354813</v>
      </c>
      <c r="S111" s="19" t="n">
        <v>170</v>
      </c>
      <c r="T111" s="19" t="n">
        <v>138.356765</v>
      </c>
      <c r="U111" s="19" t="n">
        <v>156.777934</v>
      </c>
      <c r="V111" s="19" t="n">
        <v>119.345797</v>
      </c>
      <c r="W111" s="19" t="n">
        <v>26.773822</v>
      </c>
      <c r="Y111">
        <f>B111</f>
        <v/>
      </c>
      <c r="Z111">
        <f>C111</f>
        <v/>
      </c>
      <c r="AA111" s="18">
        <f>SUM(AD111:AI111)+AK111+AL111</f>
        <v/>
      </c>
      <c r="AB111" s="18">
        <f>SUM(AD111:AI111)+AN111+AO111</f>
        <v/>
      </c>
      <c r="AC111" s="5">
        <f>AA111-AB111</f>
        <v/>
      </c>
      <c r="AD111" s="1">
        <f>D111/I111*W111*-1</f>
        <v/>
      </c>
      <c r="AE111" s="1">
        <f>E111/I111*W111</f>
        <v/>
      </c>
      <c r="AF111" s="1">
        <f t="array" ref="AF111">_xlfn.IFS(C111="Biomass_Corn", 1/I111*S111, C111="Biomass_Agri", 1/I111*V111, C111="Biomass_Wood", 1/I111*U111, C111="Biomass_Herb", 1/I111*T111)</f>
        <v/>
      </c>
      <c r="AG111" s="1">
        <f>M111/I111/(0.9*8760)</f>
        <v/>
      </c>
      <c r="AH111" s="1">
        <f>N111/I111/(0.9*8760)</f>
        <v/>
      </c>
      <c r="AI111" s="1">
        <f>O111/I111</f>
        <v/>
      </c>
      <c r="AJ111" s="1">
        <f>(AY111+AZ111+BA111+BB111+BC111-AW111)/I111</f>
        <v/>
      </c>
      <c r="AK111" s="1">
        <f>(Q111+R111)*-1*K111/I111</f>
        <v/>
      </c>
      <c r="AL111">
        <f>AJ111*Q111</f>
        <v/>
      </c>
      <c r="AM111" s="1">
        <f>(SUM(AY111:BB111)-AW111)/I111</f>
        <v/>
      </c>
      <c r="AN111" s="1">
        <f>K111/I111*-1*R111</f>
        <v/>
      </c>
      <c r="AO111">
        <f>AM111*Q111</f>
        <v/>
      </c>
      <c r="AQ111" s="17">
        <f>J111</f>
        <v/>
      </c>
      <c r="AR111" s="8" t="n">
        <v>0.243968185</v>
      </c>
      <c r="AS111" s="8" t="n">
        <v>0.249427613</v>
      </c>
      <c r="AT111" s="9" t="n">
        <v>0.246356685</v>
      </c>
      <c r="AU111" s="17" t="n">
        <v>0.23037491</v>
      </c>
      <c r="AW111" s="9">
        <f>AQ111</f>
        <v/>
      </c>
      <c r="AY111" s="9">
        <f>AR111*F111</f>
        <v/>
      </c>
      <c r="AZ111" s="9">
        <f>AS111*H111</f>
        <v/>
      </c>
      <c r="BA111" s="9">
        <f>AT111*G111</f>
        <v/>
      </c>
      <c r="BB111" s="9">
        <f>L111</f>
        <v/>
      </c>
      <c r="BC111" s="9">
        <f>K111</f>
        <v/>
      </c>
      <c r="BE111" s="1">
        <f>AW111-SUM(AY111:BC111)</f>
        <v/>
      </c>
    </row>
    <row r="112">
      <c r="B112" s="12" t="inlineStr">
        <is>
          <t>CA_FT_High_Diesel_CCS_53_Herb</t>
        </is>
      </c>
      <c r="C112" s="20" t="inlineStr">
        <is>
          <t>Biomass_Herb</t>
        </is>
      </c>
      <c r="D112" s="20" t="n">
        <v>0</v>
      </c>
      <c r="E112" s="20" t="n">
        <v>2.9403</v>
      </c>
      <c r="F112" s="20" t="n">
        <v>0.6596</v>
      </c>
      <c r="G112" s="20" t="n">
        <v>0.68</v>
      </c>
      <c r="H112" s="20" t="n">
        <v>1.3472</v>
      </c>
      <c r="I112" s="21">
        <f>F112+G112+H112</f>
        <v/>
      </c>
      <c r="J112" s="20" t="n">
        <v>1.721</v>
      </c>
      <c r="K112" s="20" t="n">
        <v>0.5577401621714317</v>
      </c>
      <c r="L112" s="20" t="n">
        <v>0.4987860021995319</v>
      </c>
      <c r="M112" s="20" t="n">
        <v>547496.3199999999</v>
      </c>
      <c r="N112" s="20" t="n">
        <v>596414.5600000001</v>
      </c>
      <c r="O112" s="20" t="n">
        <v>1.064</v>
      </c>
      <c r="Q112" s="19" t="n">
        <v>109.479795</v>
      </c>
      <c r="R112" s="19" t="n">
        <v>-7.354813</v>
      </c>
      <c r="S112" s="19" t="n">
        <v>170</v>
      </c>
      <c r="T112" s="19" t="n">
        <v>138.356765</v>
      </c>
      <c r="U112" s="19" t="n">
        <v>156.777934</v>
      </c>
      <c r="V112" s="19" t="n">
        <v>119.345797</v>
      </c>
      <c r="W112" s="19" t="n">
        <v>26.773822</v>
      </c>
      <c r="Y112">
        <f>B112</f>
        <v/>
      </c>
      <c r="Z112">
        <f>C112</f>
        <v/>
      </c>
      <c r="AA112" s="18">
        <f>SUM(AD112:AI112)+AK112+AL112</f>
        <v/>
      </c>
      <c r="AB112" s="18">
        <f>SUM(AD112:AI112)+AN112+AO112</f>
        <v/>
      </c>
      <c r="AC112" s="5">
        <f>AA112-AB112</f>
        <v/>
      </c>
      <c r="AD112" s="1">
        <f>D112/I112*W112*-1</f>
        <v/>
      </c>
      <c r="AE112" s="1">
        <f>E112/I112*W112</f>
        <v/>
      </c>
      <c r="AF112" s="1">
        <f t="array" ref="AF112">_xlfn.IFS(C112="Biomass_Corn", 1/I112*S112, C112="Biomass_Agri", 1/I112*V112, C112="Biomass_Wood", 1/I112*U112, C112="Biomass_Herb", 1/I112*T112)</f>
        <v/>
      </c>
      <c r="AG112" s="1">
        <f>M112/I112/(0.9*8760)</f>
        <v/>
      </c>
      <c r="AH112" s="1">
        <f>N112/I112/(0.9*8760)</f>
        <v/>
      </c>
      <c r="AI112" s="1">
        <f>O112/I112</f>
        <v/>
      </c>
      <c r="AJ112" s="1">
        <f>(AY112+AZ112+BA112+BB112+BC112-AW112)/I112</f>
        <v/>
      </c>
      <c r="AK112" s="1">
        <f>(Q112+R112)*-1*K112/I112</f>
        <v/>
      </c>
      <c r="AL112">
        <f>AJ112*Q112</f>
        <v/>
      </c>
      <c r="AM112" s="1">
        <f>(SUM(AY112:BB112)-AW112)/I112</f>
        <v/>
      </c>
      <c r="AN112" s="1">
        <f>K112/I112*-1*R112</f>
        <v/>
      </c>
      <c r="AO112">
        <f>AM112*Q112</f>
        <v/>
      </c>
      <c r="AQ112" s="17">
        <f>J112</f>
        <v/>
      </c>
      <c r="AR112" s="8" t="n">
        <v>0.243968185</v>
      </c>
      <c r="AS112" s="8" t="n">
        <v>0.249427613</v>
      </c>
      <c r="AT112" s="9" t="n">
        <v>0.246356685</v>
      </c>
      <c r="AU112" s="17" t="n">
        <v>0.23037491</v>
      </c>
      <c r="AW112" s="9">
        <f>AQ112</f>
        <v/>
      </c>
      <c r="AY112" s="9">
        <f>AR112*F112</f>
        <v/>
      </c>
      <c r="AZ112" s="9">
        <f>AS112*H112</f>
        <v/>
      </c>
      <c r="BA112" s="9">
        <f>AT112*G112</f>
        <v/>
      </c>
      <c r="BB112" s="9">
        <f>L112</f>
        <v/>
      </c>
      <c r="BC112" s="9">
        <f>K112</f>
        <v/>
      </c>
      <c r="BE112" s="1">
        <f>AW112-SUM(AY112:BC112)</f>
        <v/>
      </c>
    </row>
    <row r="113">
      <c r="B113" s="12" t="inlineStr">
        <is>
          <t>NW_FT_High_Diesel_CCS_53_Herb</t>
        </is>
      </c>
      <c r="C113" s="20" t="inlineStr">
        <is>
          <t>Biomass_Herb</t>
        </is>
      </c>
      <c r="D113" s="20" t="n">
        <v>0</v>
      </c>
      <c r="E113" s="20" t="n">
        <v>2.9403</v>
      </c>
      <c r="F113" s="20" t="n">
        <v>0.6611</v>
      </c>
      <c r="G113" s="20" t="n">
        <v>0.6815</v>
      </c>
      <c r="H113" s="20" t="n">
        <v>1.3501</v>
      </c>
      <c r="I113" s="21">
        <f>F113+G113+H113</f>
        <v/>
      </c>
      <c r="J113" s="20" t="n">
        <v>1.726</v>
      </c>
      <c r="K113" s="20" t="n">
        <v>0.5596083026599888</v>
      </c>
      <c r="L113" s="20" t="n">
        <v>0.500456676805798</v>
      </c>
      <c r="M113" s="20" t="n">
        <v>547496.3199999999</v>
      </c>
      <c r="N113" s="20" t="n">
        <v>596414.5600000001</v>
      </c>
      <c r="O113" s="20" t="n">
        <v>1.064</v>
      </c>
      <c r="Q113" s="19" t="n">
        <v>109.479795</v>
      </c>
      <c r="R113" s="19" t="n">
        <v>-7.354813</v>
      </c>
      <c r="S113" s="19" t="n">
        <v>170</v>
      </c>
      <c r="T113" s="19" t="n">
        <v>138.356765</v>
      </c>
      <c r="U113" s="19" t="n">
        <v>156.777934</v>
      </c>
      <c r="V113" s="19" t="n">
        <v>119.345797</v>
      </c>
      <c r="W113" s="19" t="n">
        <v>26.773822</v>
      </c>
      <c r="Y113">
        <f>B113</f>
        <v/>
      </c>
      <c r="Z113">
        <f>C113</f>
        <v/>
      </c>
      <c r="AA113" s="18">
        <f>SUM(AD113:AI113)+AK113+AL113</f>
        <v/>
      </c>
      <c r="AB113" s="18">
        <f>SUM(AD113:AI113)+AN113+AO113</f>
        <v/>
      </c>
      <c r="AC113" s="5">
        <f>AA113-AB113</f>
        <v/>
      </c>
      <c r="AD113" s="1">
        <f>D113/I113*W113*-1</f>
        <v/>
      </c>
      <c r="AE113" s="1">
        <f>E113/I113*W113</f>
        <v/>
      </c>
      <c r="AF113" s="1">
        <f t="array" ref="AF113">_xlfn.IFS(C113="Biomass_Corn", 1/I113*S113, C113="Biomass_Agri", 1/I113*V113, C113="Biomass_Wood", 1/I113*U113, C113="Biomass_Herb", 1/I113*T113)</f>
        <v/>
      </c>
      <c r="AG113" s="1">
        <f>M113/I113/(0.9*8760)</f>
        <v/>
      </c>
      <c r="AH113" s="1">
        <f>N113/I113/(0.9*8760)</f>
        <v/>
      </c>
      <c r="AI113" s="1">
        <f>O113/I113</f>
        <v/>
      </c>
      <c r="AJ113" s="1">
        <f>(AY113+AZ113+BA113+BB113+BC113-AW113)/I113</f>
        <v/>
      </c>
      <c r="AK113" s="1">
        <f>(Q113+R113)*-1*K113/I113</f>
        <v/>
      </c>
      <c r="AL113">
        <f>AJ113*Q113</f>
        <v/>
      </c>
      <c r="AM113" s="1">
        <f>(SUM(AY113:BB113)-AW113)/I113</f>
        <v/>
      </c>
      <c r="AN113" s="1">
        <f>K113/I113*-1*R113</f>
        <v/>
      </c>
      <c r="AO113">
        <f>AM113*Q113</f>
        <v/>
      </c>
      <c r="AQ113" s="17">
        <f>J113</f>
        <v/>
      </c>
      <c r="AR113" s="8" t="n">
        <v>0.243968185</v>
      </c>
      <c r="AS113" s="8" t="n">
        <v>0.249427613</v>
      </c>
      <c r="AT113" s="9" t="n">
        <v>0.246356685</v>
      </c>
      <c r="AU113" s="17" t="n">
        <v>0.23037491</v>
      </c>
      <c r="AW113" s="9">
        <f>AQ113</f>
        <v/>
      </c>
      <c r="AY113" s="9">
        <f>AR113*F113</f>
        <v/>
      </c>
      <c r="AZ113" s="9">
        <f>AS113*H113</f>
        <v/>
      </c>
      <c r="BA113" s="9">
        <f>AT113*G113</f>
        <v/>
      </c>
      <c r="BB113" s="9">
        <f>L113</f>
        <v/>
      </c>
      <c r="BC113" s="9">
        <f>K113</f>
        <v/>
      </c>
      <c r="BE113" s="1">
        <f>AW113-SUM(AY113:BC113)</f>
        <v/>
      </c>
    </row>
    <row r="114">
      <c r="B114" s="12" t="inlineStr">
        <is>
          <t>SW_FT_High_Diesel_CCS_53_Herb</t>
        </is>
      </c>
      <c r="C114" s="20" t="inlineStr">
        <is>
          <t>Biomass_Herb</t>
        </is>
      </c>
      <c r="D114" s="20" t="n">
        <v>0</v>
      </c>
      <c r="E114" s="20" t="n">
        <v>2.9403</v>
      </c>
      <c r="F114" s="20" t="n">
        <v>0.6567</v>
      </c>
      <c r="G114" s="20" t="n">
        <v>0.677</v>
      </c>
      <c r="H114" s="20" t="n">
        <v>1.3412</v>
      </c>
      <c r="I114" s="21">
        <f>F114+G114+H114</f>
        <v/>
      </c>
      <c r="J114" s="20" t="n">
        <v>1.71</v>
      </c>
      <c r="K114" s="20" t="n">
        <v>0.5534759811943171</v>
      </c>
      <c r="L114" s="20" t="n">
        <v>0.4949725529869995</v>
      </c>
      <c r="M114" s="20" t="n">
        <v>547496.3199999999</v>
      </c>
      <c r="N114" s="20" t="n">
        <v>596414.5600000001</v>
      </c>
      <c r="O114" s="20" t="n">
        <v>1.064</v>
      </c>
      <c r="Q114" s="19" t="n">
        <v>109.479795</v>
      </c>
      <c r="R114" s="19" t="n">
        <v>-7.354813</v>
      </c>
      <c r="S114" s="19" t="n">
        <v>170</v>
      </c>
      <c r="T114" s="19" t="n">
        <v>138.356765</v>
      </c>
      <c r="U114" s="19" t="n">
        <v>156.777934</v>
      </c>
      <c r="V114" s="19" t="n">
        <v>119.345797</v>
      </c>
      <c r="W114" s="19" t="n">
        <v>26.773822</v>
      </c>
      <c r="Y114">
        <f>B114</f>
        <v/>
      </c>
      <c r="Z114">
        <f>C114</f>
        <v/>
      </c>
      <c r="AA114" s="18">
        <f>SUM(AD114:AI114)+AK114+AL114</f>
        <v/>
      </c>
      <c r="AB114" s="18">
        <f>SUM(AD114:AI114)+AN114+AO114</f>
        <v/>
      </c>
      <c r="AC114" s="5">
        <f>AA114-AB114</f>
        <v/>
      </c>
      <c r="AD114" s="1">
        <f>D114/I114*W114*-1</f>
        <v/>
      </c>
      <c r="AE114" s="1">
        <f>E114/I114*W114</f>
        <v/>
      </c>
      <c r="AF114" s="1">
        <f t="array" ref="AF114">_xlfn.IFS(C114="Biomass_Corn", 1/I114*S114, C114="Biomass_Agri", 1/I114*V114, C114="Biomass_Wood", 1/I114*U114, C114="Biomass_Herb", 1/I114*T114)</f>
        <v/>
      </c>
      <c r="AG114" s="1">
        <f>M114/I114/(0.9*8760)</f>
        <v/>
      </c>
      <c r="AH114" s="1">
        <f>N114/I114/(0.9*8760)</f>
        <v/>
      </c>
      <c r="AI114" s="1">
        <f>O114/I114</f>
        <v/>
      </c>
      <c r="AJ114" s="1">
        <f>(AY114+AZ114+BA114+BB114+BC114-AW114)/I114</f>
        <v/>
      </c>
      <c r="AK114" s="1">
        <f>(Q114+R114)*-1*K114/I114</f>
        <v/>
      </c>
      <c r="AL114">
        <f>AJ114*Q114</f>
        <v/>
      </c>
      <c r="AM114" s="1">
        <f>(SUM(AY114:BB114)-AW114)/I114</f>
        <v/>
      </c>
      <c r="AN114" s="1">
        <f>K114/I114*-1*R114</f>
        <v/>
      </c>
      <c r="AO114">
        <f>AM114*Q114</f>
        <v/>
      </c>
      <c r="AQ114" s="17">
        <f>J114</f>
        <v/>
      </c>
      <c r="AR114" s="8" t="n">
        <v>0.243968185</v>
      </c>
      <c r="AS114" s="8" t="n">
        <v>0.249427613</v>
      </c>
      <c r="AT114" s="9" t="n">
        <v>0.246356685</v>
      </c>
      <c r="AU114" s="17" t="n">
        <v>0.23037491</v>
      </c>
      <c r="AW114" s="9">
        <f>AQ114</f>
        <v/>
      </c>
      <c r="AY114" s="9">
        <f>AR114*F114</f>
        <v/>
      </c>
      <c r="AZ114" s="9">
        <f>AS114*H114</f>
        <v/>
      </c>
      <c r="BA114" s="9">
        <f>AT114*G114</f>
        <v/>
      </c>
      <c r="BB114" s="9">
        <f>L114</f>
        <v/>
      </c>
      <c r="BC114" s="9">
        <f>K114</f>
        <v/>
      </c>
      <c r="BE114" s="1">
        <f>AW114-SUM(AY114:BC114)</f>
        <v/>
      </c>
    </row>
    <row r="115">
      <c r="B115" s="12" t="inlineStr">
        <is>
          <t>TX_FT_High_Diesel_CCS_53_Herb</t>
        </is>
      </c>
      <c r="C115" s="20" t="inlineStr">
        <is>
          <t>Biomass_Herb</t>
        </is>
      </c>
      <c r="D115" s="20" t="n">
        <v>0</v>
      </c>
      <c r="E115" s="20" t="n">
        <v>2.9403</v>
      </c>
      <c r="F115" s="20" t="n">
        <v>0.6582</v>
      </c>
      <c r="G115" s="20" t="n">
        <v>0.6785</v>
      </c>
      <c r="H115" s="20" t="n">
        <v>1.3442</v>
      </c>
      <c r="I115" s="21">
        <f>F115+G115+H115</f>
        <v/>
      </c>
      <c r="J115" s="20" t="n">
        <v>1.714</v>
      </c>
      <c r="K115" s="20" t="n">
        <v>0.5548162216828741</v>
      </c>
      <c r="L115" s="20" t="n">
        <v>0.4961711275932655</v>
      </c>
      <c r="M115" s="20" t="n">
        <v>547496.3199999999</v>
      </c>
      <c r="N115" s="20" t="n">
        <v>596414.5600000001</v>
      </c>
      <c r="O115" s="20" t="n">
        <v>1.064</v>
      </c>
      <c r="Q115" s="19" t="n">
        <v>109.479795</v>
      </c>
      <c r="R115" s="19" t="n">
        <v>-7.354813</v>
      </c>
      <c r="S115" s="19" t="n">
        <v>170</v>
      </c>
      <c r="T115" s="19" t="n">
        <v>138.356765</v>
      </c>
      <c r="U115" s="19" t="n">
        <v>156.777934</v>
      </c>
      <c r="V115" s="19" t="n">
        <v>119.345797</v>
      </c>
      <c r="W115" s="19" t="n">
        <v>26.773822</v>
      </c>
      <c r="Y115">
        <f>B115</f>
        <v/>
      </c>
      <c r="Z115">
        <f>C115</f>
        <v/>
      </c>
      <c r="AA115" s="18">
        <f>SUM(AD115:AI115)+AK115+AL115</f>
        <v/>
      </c>
      <c r="AB115" s="18">
        <f>SUM(AD115:AI115)+AN115+AO115</f>
        <v/>
      </c>
      <c r="AC115" s="5">
        <f>AA115-AB115</f>
        <v/>
      </c>
      <c r="AD115" s="1">
        <f>D115/I115*W115*-1</f>
        <v/>
      </c>
      <c r="AE115" s="1">
        <f>E115/I115*W115</f>
        <v/>
      </c>
      <c r="AF115" s="1">
        <f t="array" ref="AF115">_xlfn.IFS(C115="Biomass_Corn", 1/I115*S115, C115="Biomass_Agri", 1/I115*V115, C115="Biomass_Wood", 1/I115*U115, C115="Biomass_Herb", 1/I115*T115)</f>
        <v/>
      </c>
      <c r="AG115" s="1">
        <f>M115/I115/(0.9*8760)</f>
        <v/>
      </c>
      <c r="AH115" s="1">
        <f>N115/I115/(0.9*8760)</f>
        <v/>
      </c>
      <c r="AI115" s="1">
        <f>O115/I115</f>
        <v/>
      </c>
      <c r="AJ115" s="1">
        <f>(AY115+AZ115+BA115+BB115+BC115-AW115)/I115</f>
        <v/>
      </c>
      <c r="AK115" s="1">
        <f>(Q115+R115)*-1*K115/I115</f>
        <v/>
      </c>
      <c r="AL115">
        <f>AJ115*Q115</f>
        <v/>
      </c>
      <c r="AM115" s="1">
        <f>(SUM(AY115:BB115)-AW115)/I115</f>
        <v/>
      </c>
      <c r="AN115" s="1">
        <f>K115/I115*-1*R115</f>
        <v/>
      </c>
      <c r="AO115">
        <f>AM115*Q115</f>
        <v/>
      </c>
      <c r="AQ115" s="17">
        <f>J115</f>
        <v/>
      </c>
      <c r="AR115" s="8" t="n">
        <v>0.243968185</v>
      </c>
      <c r="AS115" s="8" t="n">
        <v>0.249427613</v>
      </c>
      <c r="AT115" s="9" t="n">
        <v>0.246356685</v>
      </c>
      <c r="AU115" s="17" t="n">
        <v>0.23037491</v>
      </c>
      <c r="AW115" s="9">
        <f>AQ115</f>
        <v/>
      </c>
      <c r="AY115" s="9">
        <f>AR115*F115</f>
        <v/>
      </c>
      <c r="AZ115" s="9">
        <f>AS115*H115</f>
        <v/>
      </c>
      <c r="BA115" s="9">
        <f>AT115*G115</f>
        <v/>
      </c>
      <c r="BB115" s="9">
        <f>L115</f>
        <v/>
      </c>
      <c r="BC115" s="9">
        <f>K115</f>
        <v/>
      </c>
      <c r="BE115" s="1">
        <f>AW115-SUM(AY115:BC115)</f>
        <v/>
      </c>
    </row>
    <row r="116">
      <c r="B116" s="12" t="inlineStr">
        <is>
          <t>NCEN_FT_High_Diesel_CCS_53_Herb</t>
        </is>
      </c>
      <c r="C116" s="20" t="inlineStr">
        <is>
          <t>Biomass_Herb</t>
        </is>
      </c>
      <c r="D116" s="20" t="n">
        <v>0</v>
      </c>
      <c r="E116" s="20" t="n">
        <v>2.9403</v>
      </c>
      <c r="F116" s="20" t="n">
        <v>0.665</v>
      </c>
      <c r="G116" s="20" t="n">
        <v>0.6856</v>
      </c>
      <c r="H116" s="20" t="n">
        <v>1.3583</v>
      </c>
      <c r="I116" s="21">
        <f>F116+G116+H116</f>
        <v/>
      </c>
      <c r="J116" s="20" t="n">
        <v>1.74</v>
      </c>
      <c r="K116" s="20" t="n">
        <v>0.5648776640035216</v>
      </c>
      <c r="L116" s="20" t="n">
        <v>0.5051690569730298</v>
      </c>
      <c r="M116" s="20" t="n">
        <v>547496.3199999999</v>
      </c>
      <c r="N116" s="20" t="n">
        <v>596414.5600000001</v>
      </c>
      <c r="O116" s="20" t="n">
        <v>1.064</v>
      </c>
      <c r="Q116" s="19" t="n">
        <v>109.479795</v>
      </c>
      <c r="R116" s="19" t="n">
        <v>-7.354813</v>
      </c>
      <c r="S116" s="19" t="n">
        <v>170</v>
      </c>
      <c r="T116" s="19" t="n">
        <v>138.356765</v>
      </c>
      <c r="U116" s="19" t="n">
        <v>156.777934</v>
      </c>
      <c r="V116" s="19" t="n">
        <v>119.345797</v>
      </c>
      <c r="W116" s="19" t="n">
        <v>26.773822</v>
      </c>
      <c r="Y116">
        <f>B116</f>
        <v/>
      </c>
      <c r="Z116">
        <f>C116</f>
        <v/>
      </c>
      <c r="AA116" s="18">
        <f>SUM(AD116:AI116)+AK116+AL116</f>
        <v/>
      </c>
      <c r="AB116" s="18">
        <f>SUM(AD116:AI116)+AN116+AO116</f>
        <v/>
      </c>
      <c r="AC116" s="5">
        <f>AA116-AB116</f>
        <v/>
      </c>
      <c r="AD116" s="1">
        <f>D116/I116*W116*-1</f>
        <v/>
      </c>
      <c r="AE116" s="1">
        <f>E116/I116*W116</f>
        <v/>
      </c>
      <c r="AF116" s="1">
        <f t="array" ref="AF116">_xlfn.IFS(C116="Biomass_Corn", 1/I116*S116, C116="Biomass_Agri", 1/I116*V116, C116="Biomass_Wood", 1/I116*U116, C116="Biomass_Herb", 1/I116*T116)</f>
        <v/>
      </c>
      <c r="AG116" s="1">
        <f>M116/I116/(0.9*8760)</f>
        <v/>
      </c>
      <c r="AH116" s="1">
        <f>N116/I116/(0.9*8760)</f>
        <v/>
      </c>
      <c r="AI116" s="1">
        <f>O116/I116</f>
        <v/>
      </c>
      <c r="AJ116" s="1">
        <f>(AY116+AZ116+BA116+BB116+BC116-AW116)/I116</f>
        <v/>
      </c>
      <c r="AK116" s="1">
        <f>(Q116+R116)*-1*K116/I116</f>
        <v/>
      </c>
      <c r="AL116">
        <f>AJ116*Q116</f>
        <v/>
      </c>
      <c r="AM116" s="1">
        <f>(SUM(AY116:BB116)-AW116)/I116</f>
        <v/>
      </c>
      <c r="AN116" s="1">
        <f>K116/I116*-1*R116</f>
        <v/>
      </c>
      <c r="AO116">
        <f>AM116*Q116</f>
        <v/>
      </c>
      <c r="AQ116" s="17">
        <f>J116</f>
        <v/>
      </c>
      <c r="AR116" s="8" t="n">
        <v>0.243968185</v>
      </c>
      <c r="AS116" s="8" t="n">
        <v>0.249427613</v>
      </c>
      <c r="AT116" s="9" t="n">
        <v>0.246356685</v>
      </c>
      <c r="AU116" s="17" t="n">
        <v>0.23037491</v>
      </c>
      <c r="AW116" s="9">
        <f>AQ116</f>
        <v/>
      </c>
      <c r="AY116" s="9">
        <f>AR116*F116</f>
        <v/>
      </c>
      <c r="AZ116" s="9">
        <f>AS116*H116</f>
        <v/>
      </c>
      <c r="BA116" s="9">
        <f>AT116*G116</f>
        <v/>
      </c>
      <c r="BB116" s="9">
        <f>L116</f>
        <v/>
      </c>
      <c r="BC116" s="9">
        <f>K116</f>
        <v/>
      </c>
      <c r="BE116" s="1">
        <f>AW116-SUM(AY116:BC116)</f>
        <v/>
      </c>
    </row>
    <row r="117">
      <c r="B117" s="12" t="inlineStr">
        <is>
          <t>CEN_FT_High_Diesel_CCS_53_Herb</t>
        </is>
      </c>
      <c r="C117" s="20" t="inlineStr">
        <is>
          <t>Biomass_Herb</t>
        </is>
      </c>
      <c r="D117" s="20" t="n">
        <v>0</v>
      </c>
      <c r="E117" s="20" t="n">
        <v>2.9403</v>
      </c>
      <c r="F117" s="20" t="n">
        <v>0.6611</v>
      </c>
      <c r="G117" s="20" t="n">
        <v>0.6815</v>
      </c>
      <c r="H117" s="20" t="n">
        <v>1.3501</v>
      </c>
      <c r="I117" s="21">
        <f>F117+G117+H117</f>
        <v/>
      </c>
      <c r="J117" s="20" t="n">
        <v>1.723</v>
      </c>
      <c r="K117" s="20" t="n">
        <v>0.558024602659989</v>
      </c>
      <c r="L117" s="20" t="n">
        <v>0.499040376805798</v>
      </c>
      <c r="M117" s="20" t="n">
        <v>547496.3199999999</v>
      </c>
      <c r="N117" s="20" t="n">
        <v>596414.5600000001</v>
      </c>
      <c r="O117" s="20" t="n">
        <v>1.064</v>
      </c>
      <c r="Q117" s="19" t="n">
        <v>109.479795</v>
      </c>
      <c r="R117" s="19" t="n">
        <v>-7.354813</v>
      </c>
      <c r="S117" s="19" t="n">
        <v>170</v>
      </c>
      <c r="T117" s="19" t="n">
        <v>138.356765</v>
      </c>
      <c r="U117" s="19" t="n">
        <v>156.777934</v>
      </c>
      <c r="V117" s="19" t="n">
        <v>119.345797</v>
      </c>
      <c r="W117" s="19" t="n">
        <v>26.773822</v>
      </c>
      <c r="Y117">
        <f>B117</f>
        <v/>
      </c>
      <c r="Z117">
        <f>C117</f>
        <v/>
      </c>
      <c r="AA117" s="18">
        <f>SUM(AD117:AI117)+AK117+AL117</f>
        <v/>
      </c>
      <c r="AB117" s="18">
        <f>SUM(AD117:AI117)+AN117+AO117</f>
        <v/>
      </c>
      <c r="AC117" s="5">
        <f>AA117-AB117</f>
        <v/>
      </c>
      <c r="AD117" s="1">
        <f>D117/I117*W117*-1</f>
        <v/>
      </c>
      <c r="AE117" s="1">
        <f>E117/I117*W117</f>
        <v/>
      </c>
      <c r="AF117" s="1">
        <f t="array" ref="AF117">_xlfn.IFS(C117="Biomass_Corn", 1/I117*S117, C117="Biomass_Agri", 1/I117*V117, C117="Biomass_Wood", 1/I117*U117, C117="Biomass_Herb", 1/I117*T117)</f>
        <v/>
      </c>
      <c r="AG117" s="1">
        <f>M117/I117/(0.9*8760)</f>
        <v/>
      </c>
      <c r="AH117" s="1">
        <f>N117/I117/(0.9*8760)</f>
        <v/>
      </c>
      <c r="AI117" s="1">
        <f>O117/I117</f>
        <v/>
      </c>
      <c r="AJ117" s="1">
        <f>(AY117+AZ117+BA117+BB117+BC117-AW117)/I117</f>
        <v/>
      </c>
      <c r="AK117" s="1">
        <f>(Q117+R117)*-1*K117/I117</f>
        <v/>
      </c>
      <c r="AL117">
        <f>AJ117*Q117</f>
        <v/>
      </c>
      <c r="AM117" s="1">
        <f>(SUM(AY117:BB117)-AW117)/I117</f>
        <v/>
      </c>
      <c r="AN117" s="1">
        <f>K117/I117*-1*R117</f>
        <v/>
      </c>
      <c r="AO117">
        <f>AM117*Q117</f>
        <v/>
      </c>
      <c r="AQ117" s="17">
        <f>J117</f>
        <v/>
      </c>
      <c r="AR117" s="8" t="n">
        <v>0.243968185</v>
      </c>
      <c r="AS117" s="8" t="n">
        <v>0.249427613</v>
      </c>
      <c r="AT117" s="9" t="n">
        <v>0.246356685</v>
      </c>
      <c r="AU117" s="17" t="n">
        <v>0.23037491</v>
      </c>
      <c r="AW117" s="9">
        <f>AQ117</f>
        <v/>
      </c>
      <c r="AY117" s="9">
        <f>AR117*F117</f>
        <v/>
      </c>
      <c r="AZ117" s="9">
        <f>AS117*H117</f>
        <v/>
      </c>
      <c r="BA117" s="9">
        <f>AT117*G117</f>
        <v/>
      </c>
      <c r="BB117" s="9">
        <f>L117</f>
        <v/>
      </c>
      <c r="BC117" s="9">
        <f>K117</f>
        <v/>
      </c>
      <c r="BE117" s="1">
        <f>AW117-SUM(AY117:BC117)</f>
        <v/>
      </c>
    </row>
    <row r="118">
      <c r="B118" s="12" t="inlineStr">
        <is>
          <t>SE_FT_High_Diesel_CCS_53_Herb</t>
        </is>
      </c>
      <c r="C118" s="20" t="inlineStr">
        <is>
          <t>Biomass_Herb</t>
        </is>
      </c>
      <c r="D118" s="20" t="n">
        <v>0</v>
      </c>
      <c r="E118" s="20" t="n">
        <v>2.9403</v>
      </c>
      <c r="F118" s="20" t="n">
        <v>0.66</v>
      </c>
      <c r="G118" s="20" t="n">
        <v>0.6804</v>
      </c>
      <c r="H118" s="20" t="n">
        <v>1.3479</v>
      </c>
      <c r="I118" s="21">
        <f>F118+G118+H118</f>
        <v/>
      </c>
      <c r="J118" s="20" t="n">
        <v>1.717</v>
      </c>
      <c r="K118" s="20" t="n">
        <v>0.5554357222935711</v>
      </c>
      <c r="L118" s="20" t="n">
        <v>0.4967251458510984</v>
      </c>
      <c r="M118" s="20" t="n">
        <v>547496.3199999999</v>
      </c>
      <c r="N118" s="20" t="n">
        <v>596414.5600000001</v>
      </c>
      <c r="O118" s="20" t="n">
        <v>1.064</v>
      </c>
      <c r="Q118" s="19" t="n">
        <v>109.479795</v>
      </c>
      <c r="R118" s="19" t="n">
        <v>-7.354813</v>
      </c>
      <c r="S118" s="19" t="n">
        <v>170</v>
      </c>
      <c r="T118" s="19" t="n">
        <v>138.356765</v>
      </c>
      <c r="U118" s="19" t="n">
        <v>156.777934</v>
      </c>
      <c r="V118" s="19" t="n">
        <v>119.345797</v>
      </c>
      <c r="W118" s="19" t="n">
        <v>26.773822</v>
      </c>
      <c r="Y118">
        <f>B118</f>
        <v/>
      </c>
      <c r="Z118">
        <f>C118</f>
        <v/>
      </c>
      <c r="AA118" s="18">
        <f>SUM(AD118:AI118)+AK118+AL118</f>
        <v/>
      </c>
      <c r="AB118" s="18">
        <f>SUM(AD118:AI118)+AN118+AO118</f>
        <v/>
      </c>
      <c r="AC118" s="5">
        <f>AA118-AB118</f>
        <v/>
      </c>
      <c r="AD118" s="1">
        <f>D118/I118*W118*-1</f>
        <v/>
      </c>
      <c r="AE118" s="1">
        <f>E118/I118*W118</f>
        <v/>
      </c>
      <c r="AF118" s="1">
        <f t="array" ref="AF118">_xlfn.IFS(C118="Biomass_Corn", 1/I118*S118, C118="Biomass_Agri", 1/I118*V118, C118="Biomass_Wood", 1/I118*U118, C118="Biomass_Herb", 1/I118*T118)</f>
        <v/>
      </c>
      <c r="AG118" s="1">
        <f>M118/I118/(0.9*8760)</f>
        <v/>
      </c>
      <c r="AH118" s="1">
        <f>N118/I118/(0.9*8760)</f>
        <v/>
      </c>
      <c r="AI118" s="1">
        <f>O118/I118</f>
        <v/>
      </c>
      <c r="AJ118" s="1">
        <f>(AY118+AZ118+BA118+BB118+BC118-AW118)/I118</f>
        <v/>
      </c>
      <c r="AK118" s="1">
        <f>(Q118+R118)*-1*K118/I118</f>
        <v/>
      </c>
      <c r="AL118">
        <f>AJ118*Q118</f>
        <v/>
      </c>
      <c r="AM118" s="1">
        <f>(SUM(AY118:BB118)-AW118)/I118</f>
        <v/>
      </c>
      <c r="AN118" s="1">
        <f>K118/I118*-1*R118</f>
        <v/>
      </c>
      <c r="AO118">
        <f>AM118*Q118</f>
        <v/>
      </c>
      <c r="AQ118" s="17">
        <f>J118</f>
        <v/>
      </c>
      <c r="AR118" s="8" t="n">
        <v>0.243968185</v>
      </c>
      <c r="AS118" s="8" t="n">
        <v>0.249427613</v>
      </c>
      <c r="AT118" s="9" t="n">
        <v>0.246356685</v>
      </c>
      <c r="AU118" s="17" t="n">
        <v>0.23037491</v>
      </c>
      <c r="AW118" s="9">
        <f>AQ118</f>
        <v/>
      </c>
      <c r="AY118" s="9">
        <f>AR118*F118</f>
        <v/>
      </c>
      <c r="AZ118" s="9">
        <f>AS118*H118</f>
        <v/>
      </c>
      <c r="BA118" s="9">
        <f>AT118*G118</f>
        <v/>
      </c>
      <c r="BB118" s="9">
        <f>L118</f>
        <v/>
      </c>
      <c r="BC118" s="9">
        <f>K118</f>
        <v/>
      </c>
      <c r="BE118" s="1">
        <f>AW118-SUM(AY118:BC118)</f>
        <v/>
      </c>
    </row>
    <row r="119">
      <c r="B119" s="12" t="inlineStr">
        <is>
          <t>MIDAT_FT_High_Diesel_CCS_53_Herb</t>
        </is>
      </c>
      <c r="C119" s="20" t="inlineStr">
        <is>
          <t>Biomass_Herb</t>
        </is>
      </c>
      <c r="D119" s="20" t="n">
        <v>0</v>
      </c>
      <c r="E119" s="20" t="n">
        <v>2.9403</v>
      </c>
      <c r="F119" s="20" t="n">
        <v>0.6636</v>
      </c>
      <c r="G119" s="20" t="n">
        <v>0.6841</v>
      </c>
      <c r="H119" s="20" t="n">
        <v>1.3553</v>
      </c>
      <c r="I119" s="21">
        <f>F119+G119+H119</f>
        <v/>
      </c>
      <c r="J119" s="20" t="n">
        <v>1.736</v>
      </c>
      <c r="K119" s="20" t="n">
        <v>0.5635374235149642</v>
      </c>
      <c r="L119" s="20" t="n">
        <v>0.5039704823667637</v>
      </c>
      <c r="M119" s="20" t="n">
        <v>547496.3199999999</v>
      </c>
      <c r="N119" s="20" t="n">
        <v>596414.5600000001</v>
      </c>
      <c r="O119" s="20" t="n">
        <v>1.064</v>
      </c>
      <c r="Q119" s="19" t="n">
        <v>109.479795</v>
      </c>
      <c r="R119" s="19" t="n">
        <v>-7.354813</v>
      </c>
      <c r="S119" s="19" t="n">
        <v>170</v>
      </c>
      <c r="T119" s="19" t="n">
        <v>138.356765</v>
      </c>
      <c r="U119" s="19" t="n">
        <v>156.777934</v>
      </c>
      <c r="V119" s="19" t="n">
        <v>119.345797</v>
      </c>
      <c r="W119" s="19" t="n">
        <v>26.773822</v>
      </c>
      <c r="Y119">
        <f>B119</f>
        <v/>
      </c>
      <c r="Z119">
        <f>C119</f>
        <v/>
      </c>
      <c r="AA119" s="18">
        <f>SUM(AD119:AI119)+AK119+AL119</f>
        <v/>
      </c>
      <c r="AB119" s="18">
        <f>SUM(AD119:AI119)+AN119+AO119</f>
        <v/>
      </c>
      <c r="AC119" s="5">
        <f>AA119-AB119</f>
        <v/>
      </c>
      <c r="AD119" s="1">
        <f>D119/I119*W119*-1</f>
        <v/>
      </c>
      <c r="AE119" s="1">
        <f>E119/I119*W119</f>
        <v/>
      </c>
      <c r="AF119" s="1">
        <f t="array" ref="AF119">_xlfn.IFS(C119="Biomass_Corn", 1/I119*S119, C119="Biomass_Agri", 1/I119*V119, C119="Biomass_Wood", 1/I119*U119, C119="Biomass_Herb", 1/I119*T119)</f>
        <v/>
      </c>
      <c r="AG119" s="1">
        <f>M119/I119/(0.9*8760)</f>
        <v/>
      </c>
      <c r="AH119" s="1">
        <f>N119/I119/(0.9*8760)</f>
        <v/>
      </c>
      <c r="AI119" s="1">
        <f>O119/I119</f>
        <v/>
      </c>
      <c r="AJ119" s="1">
        <f>(AY119+AZ119+BA119+BB119+BC119-AW119)/I119</f>
        <v/>
      </c>
      <c r="AK119" s="1">
        <f>(Q119+R119)*-1*K119/I119</f>
        <v/>
      </c>
      <c r="AL119">
        <f>AJ119*Q119</f>
        <v/>
      </c>
      <c r="AM119" s="1">
        <f>(SUM(AY119:BB119)-AW119)/I119</f>
        <v/>
      </c>
      <c r="AN119" s="1">
        <f>K119/I119*-1*R119</f>
        <v/>
      </c>
      <c r="AO119">
        <f>AM119*Q119</f>
        <v/>
      </c>
      <c r="AQ119" s="17">
        <f>J119</f>
        <v/>
      </c>
      <c r="AR119" s="8" t="n">
        <v>0.243968185</v>
      </c>
      <c r="AS119" s="8" t="n">
        <v>0.249427613</v>
      </c>
      <c r="AT119" s="9" t="n">
        <v>0.246356685</v>
      </c>
      <c r="AU119" s="17" t="n">
        <v>0.23037491</v>
      </c>
      <c r="AW119" s="9">
        <f>AQ119</f>
        <v/>
      </c>
      <c r="AY119" s="9">
        <f>AR119*F119</f>
        <v/>
      </c>
      <c r="AZ119" s="9">
        <f>AS119*H119</f>
        <v/>
      </c>
      <c r="BA119" s="9">
        <f>AT119*G119</f>
        <v/>
      </c>
      <c r="BB119" s="9">
        <f>L119</f>
        <v/>
      </c>
      <c r="BC119" s="9">
        <f>K119</f>
        <v/>
      </c>
      <c r="BE119" s="1">
        <f>AW119-SUM(AY119:BC119)</f>
        <v/>
      </c>
    </row>
    <row r="120">
      <c r="B120" s="12" t="inlineStr">
        <is>
          <t>NE_FT_High_Diesel_CCS_53_Herb</t>
        </is>
      </c>
      <c r="C120" s="20" t="inlineStr">
        <is>
          <t>Biomass_Herb</t>
        </is>
      </c>
      <c r="D120" s="20" t="n">
        <v>0</v>
      </c>
      <c r="E120" s="20" t="n">
        <v>2.9403</v>
      </c>
      <c r="F120" s="20" t="n">
        <v>0.6661</v>
      </c>
      <c r="G120" s="20" t="n">
        <v>0.6868</v>
      </c>
      <c r="H120" s="20" t="n">
        <v>1.3605</v>
      </c>
      <c r="I120" s="21">
        <f>F120+G120+H120</f>
        <v/>
      </c>
      <c r="J120" s="20" t="n">
        <v>1.745</v>
      </c>
      <c r="K120" s="20" t="n">
        <v>0.5669386443699395</v>
      </c>
      <c r="L120" s="20" t="n">
        <v>0.5070121879277295</v>
      </c>
      <c r="M120" s="20" t="n">
        <v>547496.3199999999</v>
      </c>
      <c r="N120" s="20" t="n">
        <v>596414.5600000001</v>
      </c>
      <c r="O120" s="20" t="n">
        <v>1.064</v>
      </c>
      <c r="Q120" s="19" t="n">
        <v>109.479795</v>
      </c>
      <c r="R120" s="19" t="n">
        <v>-7.354813</v>
      </c>
      <c r="S120" s="19" t="n">
        <v>170</v>
      </c>
      <c r="T120" s="19" t="n">
        <v>138.356765</v>
      </c>
      <c r="U120" s="19" t="n">
        <v>156.777934</v>
      </c>
      <c r="V120" s="19" t="n">
        <v>119.345797</v>
      </c>
      <c r="W120" s="19" t="n">
        <v>26.773822</v>
      </c>
      <c r="Y120">
        <f>B120</f>
        <v/>
      </c>
      <c r="Z120">
        <f>C120</f>
        <v/>
      </c>
      <c r="AA120" s="18">
        <f>SUM(AD120:AI120)+AK120+AL120</f>
        <v/>
      </c>
      <c r="AB120" s="18">
        <f>SUM(AD120:AI120)+AN120+AO120</f>
        <v/>
      </c>
      <c r="AC120" s="5">
        <f>AA120-AB120</f>
        <v/>
      </c>
      <c r="AD120" s="1">
        <f>D120/I120*W120*-1</f>
        <v/>
      </c>
      <c r="AE120" s="1">
        <f>E120/I120*W120</f>
        <v/>
      </c>
      <c r="AF120" s="1">
        <f t="array" ref="AF120">_xlfn.IFS(C120="Biomass_Corn", 1/I120*S120, C120="Biomass_Agri", 1/I120*V120, C120="Biomass_Wood", 1/I120*U120, C120="Biomass_Herb", 1/I120*T120)</f>
        <v/>
      </c>
      <c r="AG120" s="1">
        <f>M120/I120/(0.9*8760)</f>
        <v/>
      </c>
      <c r="AH120" s="1">
        <f>N120/I120/(0.9*8760)</f>
        <v/>
      </c>
      <c r="AI120" s="1">
        <f>O120/I120</f>
        <v/>
      </c>
      <c r="AJ120" s="1">
        <f>(AY120+AZ120+BA120+BB120+BC120-AW120)/I120</f>
        <v/>
      </c>
      <c r="AK120" s="1">
        <f>(Q120+R120)*-1*K120/I120</f>
        <v/>
      </c>
      <c r="AL120">
        <f>AJ120*Q120</f>
        <v/>
      </c>
      <c r="AM120" s="1">
        <f>(SUM(AY120:BB120)-AW120)/I120</f>
        <v/>
      </c>
      <c r="AN120" s="1">
        <f>K120/I120*-1*R120</f>
        <v/>
      </c>
      <c r="AO120">
        <f>AM120*Q120</f>
        <v/>
      </c>
      <c r="AQ120" s="17">
        <f>J120</f>
        <v/>
      </c>
      <c r="AR120" s="8" t="n">
        <v>0.243968185</v>
      </c>
      <c r="AS120" s="8" t="n">
        <v>0.249427613</v>
      </c>
      <c r="AT120" s="9" t="n">
        <v>0.246356685</v>
      </c>
      <c r="AU120" s="17" t="n">
        <v>0.23037491</v>
      </c>
      <c r="AW120" s="9">
        <f>AQ120</f>
        <v/>
      </c>
      <c r="AY120" s="9">
        <f>AR120*F120</f>
        <v/>
      </c>
      <c r="AZ120" s="9">
        <f>AS120*H120</f>
        <v/>
      </c>
      <c r="BA120" s="9">
        <f>AT120*G120</f>
        <v/>
      </c>
      <c r="BB120" s="9">
        <f>L120</f>
        <v/>
      </c>
      <c r="BC120" s="9">
        <f>K120</f>
        <v/>
      </c>
      <c r="BE120" s="1">
        <f>AW120-SUM(AY120:BC120)</f>
        <v/>
      </c>
    </row>
    <row r="121">
      <c r="B121" s="12" t="inlineStr">
        <is>
          <t>CA_FT_High_Diesel_CCS_53_Wood</t>
        </is>
      </c>
      <c r="C121" s="20" t="inlineStr">
        <is>
          <t>Biomass_Wood</t>
        </is>
      </c>
      <c r="D121" s="20" t="n">
        <v>0</v>
      </c>
      <c r="E121" s="20" t="n">
        <v>2.9403</v>
      </c>
      <c r="F121" s="20" t="n">
        <v>0.702</v>
      </c>
      <c r="G121" s="20" t="n">
        <v>0.7238</v>
      </c>
      <c r="H121" s="20" t="n">
        <v>1.4338</v>
      </c>
      <c r="I121" s="21">
        <f>F121+G121+H121</f>
        <v/>
      </c>
      <c r="J121" s="20" t="n">
        <v>1.843</v>
      </c>
      <c r="K121" s="20" t="n">
        <v>0.5995816964617326</v>
      </c>
      <c r="L121" s="20" t="n">
        <v>0.5362048094328167</v>
      </c>
      <c r="M121" s="20" t="n">
        <v>547496.3199999999</v>
      </c>
      <c r="N121" s="20" t="n">
        <v>596414.5600000001</v>
      </c>
      <c r="O121" s="20" t="n">
        <v>1.064</v>
      </c>
      <c r="Q121" s="19" t="n">
        <v>109.479795</v>
      </c>
      <c r="R121" s="19" t="n">
        <v>-7.354813</v>
      </c>
      <c r="S121" s="19" t="n">
        <v>170</v>
      </c>
      <c r="T121" s="19" t="n">
        <v>138.356765</v>
      </c>
      <c r="U121" s="19" t="n">
        <v>156.777934</v>
      </c>
      <c r="V121" s="19" t="n">
        <v>119.345797</v>
      </c>
      <c r="W121" s="19" t="n">
        <v>26.773822</v>
      </c>
      <c r="Y121">
        <f>B121</f>
        <v/>
      </c>
      <c r="Z121">
        <f>C121</f>
        <v/>
      </c>
      <c r="AA121" s="18">
        <f>SUM(AD121:AI121)+AK121+AL121</f>
        <v/>
      </c>
      <c r="AB121" s="18">
        <f>SUM(AD121:AI121)+AN121+AO121</f>
        <v/>
      </c>
      <c r="AC121" s="5">
        <f>AA121-AB121</f>
        <v/>
      </c>
      <c r="AD121" s="1">
        <f>D121/I121*W121*-1</f>
        <v/>
      </c>
      <c r="AE121" s="1">
        <f>E121/I121*W121</f>
        <v/>
      </c>
      <c r="AF121" s="1">
        <f t="array" ref="AF121">_xlfn.IFS(C121="Biomass_Corn", 1/I121*S121, C121="Biomass_Agri", 1/I121*V121, C121="Biomass_Wood", 1/I121*U121, C121="Biomass_Herb", 1/I121*T121)</f>
        <v/>
      </c>
      <c r="AG121" s="1">
        <f>M121/I121/(0.9*8760)</f>
        <v/>
      </c>
      <c r="AH121" s="1">
        <f>N121/I121/(0.9*8760)</f>
        <v/>
      </c>
      <c r="AI121" s="1">
        <f>O121/I121</f>
        <v/>
      </c>
      <c r="AJ121" s="1">
        <f>(AY121+AZ121+BA121+BB121+BC121-AW121)/I121</f>
        <v/>
      </c>
      <c r="AK121" s="1">
        <f>(Q121+R121)*-1*K121/I121</f>
        <v/>
      </c>
      <c r="AL121">
        <f>AJ121*Q121</f>
        <v/>
      </c>
      <c r="AM121" s="1">
        <f>(SUM(AY121:BB121)-AW121)/I121</f>
        <v/>
      </c>
      <c r="AN121" s="1">
        <f>K121/I121*-1*R121</f>
        <v/>
      </c>
      <c r="AO121">
        <f>AM121*Q121</f>
        <v/>
      </c>
      <c r="AQ121" s="17">
        <f>J121</f>
        <v/>
      </c>
      <c r="AR121" s="8" t="n">
        <v>0.243968185</v>
      </c>
      <c r="AS121" s="8" t="n">
        <v>0.249427613</v>
      </c>
      <c r="AT121" s="9" t="n">
        <v>0.246356685</v>
      </c>
      <c r="AU121" s="17" t="n">
        <v>0.23037491</v>
      </c>
      <c r="AW121" s="9">
        <f>AQ121</f>
        <v/>
      </c>
      <c r="AY121" s="9">
        <f>AR121*F121</f>
        <v/>
      </c>
      <c r="AZ121" s="9">
        <f>AS121*H121</f>
        <v/>
      </c>
      <c r="BA121" s="9">
        <f>AT121*G121</f>
        <v/>
      </c>
      <c r="BB121" s="9">
        <f>L121</f>
        <v/>
      </c>
      <c r="BC121" s="9">
        <f>K121</f>
        <v/>
      </c>
      <c r="BE121" s="1">
        <f>AW121-SUM(AY121:BC121)</f>
        <v/>
      </c>
    </row>
    <row r="122">
      <c r="B122" s="12" t="inlineStr">
        <is>
          <t>NW_FT_High_Diesel_CCS_53_Wood</t>
        </is>
      </c>
      <c r="C122" s="20" t="inlineStr">
        <is>
          <t>Biomass_Wood</t>
        </is>
      </c>
      <c r="D122" s="20" t="n">
        <v>0</v>
      </c>
      <c r="E122" s="20" t="n">
        <v>2.9403</v>
      </c>
      <c r="F122" s="20" t="n">
        <v>0.7006</v>
      </c>
      <c r="G122" s="20" t="n">
        <v>0.7223000000000001</v>
      </c>
      <c r="H122" s="20" t="n">
        <v>1.4309</v>
      </c>
      <c r="I122" s="21">
        <f>F122+G122+H122</f>
        <v/>
      </c>
      <c r="J122" s="20" t="n">
        <v>1.818</v>
      </c>
      <c r="K122" s="20" t="n">
        <v>0.5871555559731754</v>
      </c>
      <c r="L122" s="20" t="n">
        <v>0.5250921348265505</v>
      </c>
      <c r="M122" s="20" t="n">
        <v>547496.3199999999</v>
      </c>
      <c r="N122" s="20" t="n">
        <v>596414.5600000001</v>
      </c>
      <c r="O122" s="20" t="n">
        <v>1.064</v>
      </c>
      <c r="Q122" s="19" t="n">
        <v>109.479795</v>
      </c>
      <c r="R122" s="19" t="n">
        <v>-7.354813</v>
      </c>
      <c r="S122" s="19" t="n">
        <v>170</v>
      </c>
      <c r="T122" s="19" t="n">
        <v>138.356765</v>
      </c>
      <c r="U122" s="19" t="n">
        <v>156.777934</v>
      </c>
      <c r="V122" s="19" t="n">
        <v>119.345797</v>
      </c>
      <c r="W122" s="19" t="n">
        <v>26.773822</v>
      </c>
      <c r="Y122">
        <f>B122</f>
        <v/>
      </c>
      <c r="Z122">
        <f>C122</f>
        <v/>
      </c>
      <c r="AA122" s="18">
        <f>SUM(AD122:AI122)+AK122+AL122</f>
        <v/>
      </c>
      <c r="AB122" s="18">
        <f>SUM(AD122:AI122)+AN122+AO122</f>
        <v/>
      </c>
      <c r="AC122" s="5">
        <f>AA122-AB122</f>
        <v/>
      </c>
      <c r="AD122" s="1">
        <f>D122/I122*W122*-1</f>
        <v/>
      </c>
      <c r="AE122" s="1">
        <f>E122/I122*W122</f>
        <v/>
      </c>
      <c r="AF122" s="1">
        <f t="array" ref="AF122">_xlfn.IFS(C122="Biomass_Corn", 1/I122*S122, C122="Biomass_Agri", 1/I122*V122, C122="Biomass_Wood", 1/I122*U122, C122="Biomass_Herb", 1/I122*T122)</f>
        <v/>
      </c>
      <c r="AG122" s="1">
        <f>M122/I122/(0.9*8760)</f>
        <v/>
      </c>
      <c r="AH122" s="1">
        <f>N122/I122/(0.9*8760)</f>
        <v/>
      </c>
      <c r="AI122" s="1">
        <f>O122/I122</f>
        <v/>
      </c>
      <c r="AJ122" s="1">
        <f>(AY122+AZ122+BA122+BB122+BC122-AW122)/I122</f>
        <v/>
      </c>
      <c r="AK122" s="1">
        <f>(Q122+R122)*-1*K122/I122</f>
        <v/>
      </c>
      <c r="AL122">
        <f>AJ122*Q122</f>
        <v/>
      </c>
      <c r="AM122" s="1">
        <f>(SUM(AY122:BB122)-AW122)/I122</f>
        <v/>
      </c>
      <c r="AN122" s="1">
        <f>K122/I122*-1*R122</f>
        <v/>
      </c>
      <c r="AO122">
        <f>AM122*Q122</f>
        <v/>
      </c>
      <c r="AQ122" s="17">
        <f>J122</f>
        <v/>
      </c>
      <c r="AR122" s="8" t="n">
        <v>0.243968185</v>
      </c>
      <c r="AS122" s="8" t="n">
        <v>0.249427613</v>
      </c>
      <c r="AT122" s="9" t="n">
        <v>0.246356685</v>
      </c>
      <c r="AU122" s="17" t="n">
        <v>0.23037491</v>
      </c>
      <c r="AW122" s="9">
        <f>AQ122</f>
        <v/>
      </c>
      <c r="AY122" s="9">
        <f>AR122*F122</f>
        <v/>
      </c>
      <c r="AZ122" s="9">
        <f>AS122*H122</f>
        <v/>
      </c>
      <c r="BA122" s="9">
        <f>AT122*G122</f>
        <v/>
      </c>
      <c r="BB122" s="9">
        <f>L122</f>
        <v/>
      </c>
      <c r="BC122" s="9">
        <f>K122</f>
        <v/>
      </c>
      <c r="BE122" s="1">
        <f>AW122-SUM(AY122:BC122)</f>
        <v/>
      </c>
    </row>
    <row r="123">
      <c r="B123" s="12" t="inlineStr">
        <is>
          <t>SW_FT_High_Diesel_CCS_53_Wood</t>
        </is>
      </c>
      <c r="C123" s="20" t="inlineStr">
        <is>
          <t>Biomass_Wood</t>
        </is>
      </c>
      <c r="D123" s="20" t="n">
        <v>0</v>
      </c>
      <c r="E123" s="20" t="n">
        <v>2.9403</v>
      </c>
      <c r="F123" s="20" t="n">
        <v>0.6941000000000001</v>
      </c>
      <c r="G123" s="20" t="n">
        <v>0.7155</v>
      </c>
      <c r="H123" s="20" t="n">
        <v>1.4175</v>
      </c>
      <c r="I123" s="21">
        <f>F123+G123+H123</f>
        <v/>
      </c>
      <c r="J123" s="20" t="n">
        <v>1.798</v>
      </c>
      <c r="K123" s="20" t="n">
        <v>0.5800686737746674</v>
      </c>
      <c r="L123" s="20" t="n">
        <v>0.5187543490983528</v>
      </c>
      <c r="M123" s="20" t="n">
        <v>547496.3199999999</v>
      </c>
      <c r="N123" s="20" t="n">
        <v>596414.5600000001</v>
      </c>
      <c r="O123" s="20" t="n">
        <v>1.064</v>
      </c>
      <c r="Q123" s="19" t="n">
        <v>109.479795</v>
      </c>
      <c r="R123" s="19" t="n">
        <v>-7.354813</v>
      </c>
      <c r="S123" s="19" t="n">
        <v>170</v>
      </c>
      <c r="T123" s="19" t="n">
        <v>138.356765</v>
      </c>
      <c r="U123" s="19" t="n">
        <v>156.777934</v>
      </c>
      <c r="V123" s="19" t="n">
        <v>119.345797</v>
      </c>
      <c r="W123" s="19" t="n">
        <v>26.773822</v>
      </c>
      <c r="Y123">
        <f>B123</f>
        <v/>
      </c>
      <c r="Z123">
        <f>C123</f>
        <v/>
      </c>
      <c r="AA123" s="18">
        <f>SUM(AD123:AI123)+AK123+AL123</f>
        <v/>
      </c>
      <c r="AB123" s="18">
        <f>SUM(AD123:AI123)+AN123+AO123</f>
        <v/>
      </c>
      <c r="AC123" s="5">
        <f>AA123-AB123</f>
        <v/>
      </c>
      <c r="AD123" s="1">
        <f>D123/I123*W123*-1</f>
        <v/>
      </c>
      <c r="AE123" s="1">
        <f>E123/I123*W123</f>
        <v/>
      </c>
      <c r="AF123" s="1">
        <f t="array" ref="AF123">_xlfn.IFS(C123="Biomass_Corn", 1/I123*S123, C123="Biomass_Agri", 1/I123*V123, C123="Biomass_Wood", 1/I123*U123, C123="Biomass_Herb", 1/I123*T123)</f>
        <v/>
      </c>
      <c r="AG123" s="1">
        <f>M123/I123/(0.9*8760)</f>
        <v/>
      </c>
      <c r="AH123" s="1">
        <f>N123/I123/(0.9*8760)</f>
        <v/>
      </c>
      <c r="AI123" s="1">
        <f>O123/I123</f>
        <v/>
      </c>
      <c r="AJ123" s="1">
        <f>(AY123+AZ123+BA123+BB123+BC123-AW123)/I123</f>
        <v/>
      </c>
      <c r="AK123" s="1">
        <f>(Q123+R123)*-1*K123/I123</f>
        <v/>
      </c>
      <c r="AL123">
        <f>AJ123*Q123</f>
        <v/>
      </c>
      <c r="AM123" s="1">
        <f>(SUM(AY123:BB123)-AW123)/I123</f>
        <v/>
      </c>
      <c r="AN123" s="1">
        <f>K123/I123*-1*R123</f>
        <v/>
      </c>
      <c r="AO123">
        <f>AM123*Q123</f>
        <v/>
      </c>
      <c r="AQ123" s="17">
        <f>J123</f>
        <v/>
      </c>
      <c r="AR123" s="8" t="n">
        <v>0.243968185</v>
      </c>
      <c r="AS123" s="8" t="n">
        <v>0.249427613</v>
      </c>
      <c r="AT123" s="9" t="n">
        <v>0.246356685</v>
      </c>
      <c r="AU123" s="17" t="n">
        <v>0.23037491</v>
      </c>
      <c r="AW123" s="9">
        <f>AQ123</f>
        <v/>
      </c>
      <c r="AY123" s="9">
        <f>AR123*F123</f>
        <v/>
      </c>
      <c r="AZ123" s="9">
        <f>AS123*H123</f>
        <v/>
      </c>
      <c r="BA123" s="9">
        <f>AT123*G123</f>
        <v/>
      </c>
      <c r="BB123" s="9">
        <f>L123</f>
        <v/>
      </c>
      <c r="BC123" s="9">
        <f>K123</f>
        <v/>
      </c>
      <c r="BE123" s="1">
        <f>AW123-SUM(AY123:BC123)</f>
        <v/>
      </c>
    </row>
    <row r="124">
      <c r="B124" s="12" t="inlineStr">
        <is>
          <t>TX_FT_High_Diesel_CCS_53_Wood</t>
        </is>
      </c>
      <c r="C124" s="20" t="inlineStr">
        <is>
          <t>Biomass_Wood</t>
        </is>
      </c>
      <c r="D124" s="20" t="n">
        <v>0</v>
      </c>
      <c r="E124" s="20" t="n">
        <v>2.9403</v>
      </c>
      <c r="F124" s="20" t="n">
        <v>0.6886</v>
      </c>
      <c r="G124" s="20" t="n">
        <v>0.7099</v>
      </c>
      <c r="H124" s="20" t="n">
        <v>1.4064</v>
      </c>
      <c r="I124" s="21">
        <f>F124+G124+H124</f>
        <v/>
      </c>
      <c r="J124" s="20" t="n">
        <v>1.821</v>
      </c>
      <c r="K124" s="20" t="n">
        <v>0.5951029719425777</v>
      </c>
      <c r="L124" s="20" t="n">
        <v>0.5321994943248548</v>
      </c>
      <c r="M124" s="20" t="n">
        <v>547496.3199999999</v>
      </c>
      <c r="N124" s="20" t="n">
        <v>596414.5600000001</v>
      </c>
      <c r="O124" s="20" t="n">
        <v>1.064</v>
      </c>
      <c r="Q124" s="19" t="n">
        <v>109.479795</v>
      </c>
      <c r="R124" s="19" t="n">
        <v>-7.354813</v>
      </c>
      <c r="S124" s="19" t="n">
        <v>170</v>
      </c>
      <c r="T124" s="19" t="n">
        <v>138.356765</v>
      </c>
      <c r="U124" s="19" t="n">
        <v>156.777934</v>
      </c>
      <c r="V124" s="19" t="n">
        <v>119.345797</v>
      </c>
      <c r="W124" s="19" t="n">
        <v>26.773822</v>
      </c>
      <c r="Y124">
        <f>B124</f>
        <v/>
      </c>
      <c r="Z124">
        <f>C124</f>
        <v/>
      </c>
      <c r="AA124" s="18">
        <f>SUM(AD124:AI124)+AK124+AL124</f>
        <v/>
      </c>
      <c r="AB124" s="18">
        <f>SUM(AD124:AI124)+AN124+AO124</f>
        <v/>
      </c>
      <c r="AC124" s="5">
        <f>AA124-AB124</f>
        <v/>
      </c>
      <c r="AD124" s="1">
        <f>D124/I124*W124*-1</f>
        <v/>
      </c>
      <c r="AE124" s="1">
        <f>E124/I124*W124</f>
        <v/>
      </c>
      <c r="AF124" s="1">
        <f t="array" ref="AF124">_xlfn.IFS(C124="Biomass_Corn", 1/I124*S124, C124="Biomass_Agri", 1/I124*V124, C124="Biomass_Wood", 1/I124*U124, C124="Biomass_Herb", 1/I124*T124)</f>
        <v/>
      </c>
      <c r="AG124" s="1">
        <f>M124/I124/(0.9*8760)</f>
        <v/>
      </c>
      <c r="AH124" s="1">
        <f>N124/I124/(0.9*8760)</f>
        <v/>
      </c>
      <c r="AI124" s="1">
        <f>O124/I124</f>
        <v/>
      </c>
      <c r="AJ124" s="1">
        <f>(AY124+AZ124+BA124+BB124+BC124-AW124)/I124</f>
        <v/>
      </c>
      <c r="AK124" s="1">
        <f>(Q124+R124)*-1*K124/I124</f>
        <v/>
      </c>
      <c r="AL124">
        <f>AJ124*Q124</f>
        <v/>
      </c>
      <c r="AM124" s="1">
        <f>(SUM(AY124:BB124)-AW124)/I124</f>
        <v/>
      </c>
      <c r="AN124" s="1">
        <f>K124/I124*-1*R124</f>
        <v/>
      </c>
      <c r="AO124">
        <f>AM124*Q124</f>
        <v/>
      </c>
      <c r="AQ124" s="17">
        <f>J124</f>
        <v/>
      </c>
      <c r="AR124" s="8" t="n">
        <v>0.243968185</v>
      </c>
      <c r="AS124" s="8" t="n">
        <v>0.249427613</v>
      </c>
      <c r="AT124" s="9" t="n">
        <v>0.246356685</v>
      </c>
      <c r="AU124" s="17" t="n">
        <v>0.23037491</v>
      </c>
      <c r="AW124" s="9">
        <f>AQ124</f>
        <v/>
      </c>
      <c r="AY124" s="9">
        <f>AR124*F124</f>
        <v/>
      </c>
      <c r="AZ124" s="9">
        <f>AS124*H124</f>
        <v/>
      </c>
      <c r="BA124" s="9">
        <f>AT124*G124</f>
        <v/>
      </c>
      <c r="BB124" s="9">
        <f>L124</f>
        <v/>
      </c>
      <c r="BC124" s="9">
        <f>K124</f>
        <v/>
      </c>
      <c r="BE124" s="1">
        <f>AW124-SUM(AY124:BC124)</f>
        <v/>
      </c>
    </row>
    <row r="125">
      <c r="B125" s="12" t="inlineStr">
        <is>
          <t>NCEN_FT_High_Diesel_CCS_53_Wood</t>
        </is>
      </c>
      <c r="C125" s="20" t="inlineStr">
        <is>
          <t>Biomass_Wood</t>
        </is>
      </c>
      <c r="D125" s="20" t="n">
        <v>0</v>
      </c>
      <c r="E125" s="20" t="n">
        <v>2.9403</v>
      </c>
      <c r="F125" s="20" t="n">
        <v>0.6912</v>
      </c>
      <c r="G125" s="20" t="n">
        <v>0.7126</v>
      </c>
      <c r="H125" s="20" t="n">
        <v>1.4116</v>
      </c>
      <c r="I125" s="21">
        <f>F125+G125+H125</f>
        <v/>
      </c>
      <c r="J125" s="20" t="n">
        <v>1.802</v>
      </c>
      <c r="K125" s="20" t="n">
        <v>0.5837229927975528</v>
      </c>
      <c r="L125" s="20" t="n">
        <v>0.5220223998858206</v>
      </c>
      <c r="M125" s="20" t="n">
        <v>547496.3199999999</v>
      </c>
      <c r="N125" s="20" t="n">
        <v>596414.5600000001</v>
      </c>
      <c r="O125" s="20" t="n">
        <v>1.064</v>
      </c>
      <c r="Q125" s="19" t="n">
        <v>109.479795</v>
      </c>
      <c r="R125" s="19" t="n">
        <v>-7.354813</v>
      </c>
      <c r="S125" s="19" t="n">
        <v>170</v>
      </c>
      <c r="T125" s="19" t="n">
        <v>138.356765</v>
      </c>
      <c r="U125" s="19" t="n">
        <v>156.777934</v>
      </c>
      <c r="V125" s="19" t="n">
        <v>119.345797</v>
      </c>
      <c r="W125" s="19" t="n">
        <v>26.773822</v>
      </c>
      <c r="Y125">
        <f>B125</f>
        <v/>
      </c>
      <c r="Z125">
        <f>C125</f>
        <v/>
      </c>
      <c r="AA125" s="18">
        <f>SUM(AD125:AI125)+AK125+AL125</f>
        <v/>
      </c>
      <c r="AB125" s="18">
        <f>SUM(AD125:AI125)+AN125+AO125</f>
        <v/>
      </c>
      <c r="AC125" s="5">
        <f>AA125-AB125</f>
        <v/>
      </c>
      <c r="AD125" s="1">
        <f>D125/I125*W125*-1</f>
        <v/>
      </c>
      <c r="AE125" s="1">
        <f>E125/I125*W125</f>
        <v/>
      </c>
      <c r="AF125" s="1">
        <f t="array" ref="AF125">_xlfn.IFS(C125="Biomass_Corn", 1/I125*S125, C125="Biomass_Agri", 1/I125*V125, C125="Biomass_Wood", 1/I125*U125, C125="Biomass_Herb", 1/I125*T125)</f>
        <v/>
      </c>
      <c r="AG125" s="1">
        <f>M125/I125/(0.9*8760)</f>
        <v/>
      </c>
      <c r="AH125" s="1">
        <f>N125/I125/(0.9*8760)</f>
        <v/>
      </c>
      <c r="AI125" s="1">
        <f>O125/I125</f>
        <v/>
      </c>
      <c r="AJ125" s="1">
        <f>(AY125+AZ125+BA125+BB125+BC125-AW125)/I125</f>
        <v/>
      </c>
      <c r="AK125" s="1">
        <f>(Q125+R125)*-1*K125/I125</f>
        <v/>
      </c>
      <c r="AL125">
        <f>AJ125*Q125</f>
        <v/>
      </c>
      <c r="AM125" s="1">
        <f>(SUM(AY125:BB125)-AW125)/I125</f>
        <v/>
      </c>
      <c r="AN125" s="1">
        <f>K125/I125*-1*R125</f>
        <v/>
      </c>
      <c r="AO125">
        <f>AM125*Q125</f>
        <v/>
      </c>
      <c r="AQ125" s="17">
        <f>J125</f>
        <v/>
      </c>
      <c r="AR125" s="8" t="n">
        <v>0.243968185</v>
      </c>
      <c r="AS125" s="8" t="n">
        <v>0.249427613</v>
      </c>
      <c r="AT125" s="9" t="n">
        <v>0.246356685</v>
      </c>
      <c r="AU125" s="17" t="n">
        <v>0.23037491</v>
      </c>
      <c r="AW125" s="9">
        <f>AQ125</f>
        <v/>
      </c>
      <c r="AY125" s="9">
        <f>AR125*F125</f>
        <v/>
      </c>
      <c r="AZ125" s="9">
        <f>AS125*H125</f>
        <v/>
      </c>
      <c r="BA125" s="9">
        <f>AT125*G125</f>
        <v/>
      </c>
      <c r="BB125" s="9">
        <f>L125</f>
        <v/>
      </c>
      <c r="BC125" s="9">
        <f>K125</f>
        <v/>
      </c>
      <c r="BE125" s="1">
        <f>AW125-SUM(AY125:BC125)</f>
        <v/>
      </c>
    </row>
    <row r="126">
      <c r="B126" s="12" t="inlineStr">
        <is>
          <t>CEN_FT_High_Diesel_CCS_53_Wood</t>
        </is>
      </c>
      <c r="C126" s="20" t="inlineStr">
        <is>
          <t>Biomass_Wood</t>
        </is>
      </c>
      <c r="D126" s="20" t="n">
        <v>0</v>
      </c>
      <c r="E126" s="20" t="n">
        <v>2.9403</v>
      </c>
      <c r="F126" s="20" t="n">
        <v>0.6915</v>
      </c>
      <c r="G126" s="20" t="n">
        <v>0.7129</v>
      </c>
      <c r="H126" s="20" t="n">
        <v>1.4123</v>
      </c>
      <c r="I126" s="21">
        <f>F126+G126+H126</f>
        <v/>
      </c>
      <c r="J126" s="20" t="n">
        <v>1.802</v>
      </c>
      <c r="K126" s="20" t="n">
        <v>0.5835301529196921</v>
      </c>
      <c r="L126" s="20" t="n">
        <v>0.5218499435373871</v>
      </c>
      <c r="M126" s="20" t="n">
        <v>547496.3199999999</v>
      </c>
      <c r="N126" s="20" t="n">
        <v>596414.5600000001</v>
      </c>
      <c r="O126" s="20" t="n">
        <v>1.064</v>
      </c>
      <c r="Q126" s="19" t="n">
        <v>109.479795</v>
      </c>
      <c r="R126" s="19" t="n">
        <v>-7.354813</v>
      </c>
      <c r="S126" s="19" t="n">
        <v>170</v>
      </c>
      <c r="T126" s="19" t="n">
        <v>138.356765</v>
      </c>
      <c r="U126" s="19" t="n">
        <v>156.777934</v>
      </c>
      <c r="V126" s="19" t="n">
        <v>119.345797</v>
      </c>
      <c r="W126" s="19" t="n">
        <v>26.773822</v>
      </c>
      <c r="Y126">
        <f>B126</f>
        <v/>
      </c>
      <c r="Z126">
        <f>C126</f>
        <v/>
      </c>
      <c r="AA126" s="18">
        <f>SUM(AD126:AI126)+AK126+AL126</f>
        <v/>
      </c>
      <c r="AB126" s="18">
        <f>SUM(AD126:AI126)+AN126+AO126</f>
        <v/>
      </c>
      <c r="AC126" s="5">
        <f>AA126-AB126</f>
        <v/>
      </c>
      <c r="AD126" s="1">
        <f>D126/I126*W126*-1</f>
        <v/>
      </c>
      <c r="AE126" s="1">
        <f>E126/I126*W126</f>
        <v/>
      </c>
      <c r="AF126" s="1">
        <f t="array" ref="AF126">_xlfn.IFS(C126="Biomass_Corn", 1/I126*S126, C126="Biomass_Agri", 1/I126*V126, C126="Biomass_Wood", 1/I126*U126, C126="Biomass_Herb", 1/I126*T126)</f>
        <v/>
      </c>
      <c r="AG126" s="1">
        <f>M126/I126/(0.9*8760)</f>
        <v/>
      </c>
      <c r="AH126" s="1">
        <f>N126/I126/(0.9*8760)</f>
        <v/>
      </c>
      <c r="AI126" s="1">
        <f>O126/I126</f>
        <v/>
      </c>
      <c r="AJ126" s="1">
        <f>(AY126+AZ126+BA126+BB126+BC126-AW126)/I126</f>
        <v/>
      </c>
      <c r="AK126" s="1">
        <f>(Q126+R126)*-1*K126/I126</f>
        <v/>
      </c>
      <c r="AL126">
        <f>AJ126*Q126</f>
        <v/>
      </c>
      <c r="AM126" s="1">
        <f>(SUM(AY126:BB126)-AW126)/I126</f>
        <v/>
      </c>
      <c r="AN126" s="1">
        <f>K126/I126*-1*R126</f>
        <v/>
      </c>
      <c r="AO126">
        <f>AM126*Q126</f>
        <v/>
      </c>
      <c r="AQ126" s="17">
        <f>J126</f>
        <v/>
      </c>
      <c r="AR126" s="8" t="n">
        <v>0.243968185</v>
      </c>
      <c r="AS126" s="8" t="n">
        <v>0.249427613</v>
      </c>
      <c r="AT126" s="9" t="n">
        <v>0.246356685</v>
      </c>
      <c r="AU126" s="17" t="n">
        <v>0.23037491</v>
      </c>
      <c r="AW126" s="9">
        <f>AQ126</f>
        <v/>
      </c>
      <c r="AY126" s="9">
        <f>AR126*F126</f>
        <v/>
      </c>
      <c r="AZ126" s="9">
        <f>AS126*H126</f>
        <v/>
      </c>
      <c r="BA126" s="9">
        <f>AT126*G126</f>
        <v/>
      </c>
      <c r="BB126" s="9">
        <f>L126</f>
        <v/>
      </c>
      <c r="BC126" s="9">
        <f>K126</f>
        <v/>
      </c>
      <c r="BE126" s="1">
        <f>AW126-SUM(AY126:BC126)</f>
        <v/>
      </c>
    </row>
    <row r="127">
      <c r="B127" s="12" t="inlineStr">
        <is>
          <t>SE_FT_High_Diesel_CCS_53_Wood</t>
        </is>
      </c>
      <c r="C127" s="20" t="inlineStr">
        <is>
          <t>Biomass_Wood</t>
        </is>
      </c>
      <c r="D127" s="20" t="n">
        <v>0</v>
      </c>
      <c r="E127" s="20" t="n">
        <v>2.9403</v>
      </c>
      <c r="F127" s="20" t="n">
        <v>0.6941000000000001</v>
      </c>
      <c r="G127" s="20" t="n">
        <v>0.7155</v>
      </c>
      <c r="H127" s="20" t="n">
        <v>1.4175</v>
      </c>
      <c r="I127" s="21">
        <f>F127+G127+H127</f>
        <v/>
      </c>
      <c r="J127" s="20" t="n">
        <v>1.821</v>
      </c>
      <c r="K127" s="20" t="n">
        <v>0.5922103737746672</v>
      </c>
      <c r="L127" s="20" t="n">
        <v>0.5296126490983527</v>
      </c>
      <c r="M127" s="20" t="n">
        <v>547496.3199999999</v>
      </c>
      <c r="N127" s="20" t="n">
        <v>596414.5600000001</v>
      </c>
      <c r="O127" s="20" t="n">
        <v>1.064</v>
      </c>
      <c r="Q127" s="19" t="n">
        <v>109.479795</v>
      </c>
      <c r="R127" s="19" t="n">
        <v>-7.354813</v>
      </c>
      <c r="S127" s="19" t="n">
        <v>170</v>
      </c>
      <c r="T127" s="19" t="n">
        <v>138.356765</v>
      </c>
      <c r="U127" s="19" t="n">
        <v>156.777934</v>
      </c>
      <c r="V127" s="19" t="n">
        <v>119.345797</v>
      </c>
      <c r="W127" s="19" t="n">
        <v>26.773822</v>
      </c>
      <c r="Y127">
        <f>B127</f>
        <v/>
      </c>
      <c r="Z127">
        <f>C127</f>
        <v/>
      </c>
      <c r="AA127" s="18">
        <f>SUM(AD127:AI127)+AK127+AL127</f>
        <v/>
      </c>
      <c r="AB127" s="18">
        <f>SUM(AD127:AI127)+AN127+AO127</f>
        <v/>
      </c>
      <c r="AC127" s="5">
        <f>AA127-AB127</f>
        <v/>
      </c>
      <c r="AD127" s="1">
        <f>D127/I127*W127*-1</f>
        <v/>
      </c>
      <c r="AE127" s="1">
        <f>E127/I127*W127</f>
        <v/>
      </c>
      <c r="AF127" s="1">
        <f t="array" ref="AF127">_xlfn.IFS(C127="Biomass_Corn", 1/I127*S127, C127="Biomass_Agri", 1/I127*V127, C127="Biomass_Wood", 1/I127*U127, C127="Biomass_Herb", 1/I127*T127)</f>
        <v/>
      </c>
      <c r="AG127" s="1">
        <f>M127/I127/(0.9*8760)</f>
        <v/>
      </c>
      <c r="AH127" s="1">
        <f>N127/I127/(0.9*8760)</f>
        <v/>
      </c>
      <c r="AI127" s="1">
        <f>O127/I127</f>
        <v/>
      </c>
      <c r="AJ127" s="1">
        <f>(AY127+AZ127+BA127+BB127+BC127-AW127)/I127</f>
        <v/>
      </c>
      <c r="AK127" s="1">
        <f>(Q127+R127)*-1*K127/I127</f>
        <v/>
      </c>
      <c r="AL127">
        <f>AJ127*Q127</f>
        <v/>
      </c>
      <c r="AM127" s="1">
        <f>(SUM(AY127:BB127)-AW127)/I127</f>
        <v/>
      </c>
      <c r="AN127" s="1">
        <f>K127/I127*-1*R127</f>
        <v/>
      </c>
      <c r="AO127">
        <f>AM127*Q127</f>
        <v/>
      </c>
      <c r="AQ127" s="17">
        <f>J127</f>
        <v/>
      </c>
      <c r="AR127" s="8" t="n">
        <v>0.243968185</v>
      </c>
      <c r="AS127" s="8" t="n">
        <v>0.249427613</v>
      </c>
      <c r="AT127" s="9" t="n">
        <v>0.246356685</v>
      </c>
      <c r="AU127" s="17" t="n">
        <v>0.23037491</v>
      </c>
      <c r="AW127" s="9">
        <f>AQ127</f>
        <v/>
      </c>
      <c r="AY127" s="9">
        <f>AR127*F127</f>
        <v/>
      </c>
      <c r="AZ127" s="9">
        <f>AS127*H127</f>
        <v/>
      </c>
      <c r="BA127" s="9">
        <f>AT127*G127</f>
        <v/>
      </c>
      <c r="BB127" s="9">
        <f>L127</f>
        <v/>
      </c>
      <c r="BC127" s="9">
        <f>K127</f>
        <v/>
      </c>
      <c r="BE127" s="1">
        <f>AW127-SUM(AY127:BC127)</f>
        <v/>
      </c>
    </row>
    <row r="128">
      <c r="B128" s="12" t="inlineStr">
        <is>
          <t>MIDAT_FT_High_Diesel_CCS_53_Wood</t>
        </is>
      </c>
      <c r="C128" s="20" t="inlineStr">
        <is>
          <t>Biomass_Wood</t>
        </is>
      </c>
      <c r="D128" s="20" t="n">
        <v>0</v>
      </c>
      <c r="E128" s="20" t="n">
        <v>2.9403</v>
      </c>
      <c r="F128" s="20" t="n">
        <v>0.6893</v>
      </c>
      <c r="G128" s="20" t="n">
        <v>0.7107</v>
      </c>
      <c r="H128" s="20" t="n">
        <v>1.4079</v>
      </c>
      <c r="I128" s="21">
        <f>F128+G128+H128</f>
        <v/>
      </c>
      <c r="J128" s="20" t="n">
        <v>1.806</v>
      </c>
      <c r="K128" s="20" t="n">
        <v>0.5867987921868562</v>
      </c>
      <c r="L128" s="20" t="n">
        <v>0.5247730816279877</v>
      </c>
      <c r="M128" s="20" t="n">
        <v>547496.3199999999</v>
      </c>
      <c r="N128" s="20" t="n">
        <v>596414.5600000001</v>
      </c>
      <c r="O128" s="20" t="n">
        <v>1.064</v>
      </c>
      <c r="Q128" s="19" t="n">
        <v>109.479795</v>
      </c>
      <c r="R128" s="19" t="n">
        <v>-7.354813</v>
      </c>
      <c r="S128" s="19" t="n">
        <v>170</v>
      </c>
      <c r="T128" s="19" t="n">
        <v>138.356765</v>
      </c>
      <c r="U128" s="19" t="n">
        <v>156.777934</v>
      </c>
      <c r="V128" s="19" t="n">
        <v>119.345797</v>
      </c>
      <c r="W128" s="19" t="n">
        <v>26.773822</v>
      </c>
      <c r="Y128">
        <f>B128</f>
        <v/>
      </c>
      <c r="Z128">
        <f>C128</f>
        <v/>
      </c>
      <c r="AA128" s="18">
        <f>SUM(AD128:AI128)+AK128+AL128</f>
        <v/>
      </c>
      <c r="AB128" s="18">
        <f>SUM(AD128:AI128)+AN128+AO128</f>
        <v/>
      </c>
      <c r="AC128" s="5">
        <f>AA128-AB128</f>
        <v/>
      </c>
      <c r="AD128" s="1">
        <f>D128/I128*W128*-1</f>
        <v/>
      </c>
      <c r="AE128" s="1">
        <f>E128/I128*W128</f>
        <v/>
      </c>
      <c r="AF128" s="1">
        <f t="array" ref="AF128">_xlfn.IFS(C128="Biomass_Corn", 1/I128*S128, C128="Biomass_Agri", 1/I128*V128, C128="Biomass_Wood", 1/I128*U128, C128="Biomass_Herb", 1/I128*T128)</f>
        <v/>
      </c>
      <c r="AG128" s="1">
        <f>M128/I128/(0.9*8760)</f>
        <v/>
      </c>
      <c r="AH128" s="1">
        <f>N128/I128/(0.9*8760)</f>
        <v/>
      </c>
      <c r="AI128" s="1">
        <f>O128/I128</f>
        <v/>
      </c>
      <c r="AJ128" s="1">
        <f>(AY128+AZ128+BA128+BB128+BC128-AW128)/I128</f>
        <v/>
      </c>
      <c r="AK128" s="1">
        <f>(Q128+R128)*-1*K128/I128</f>
        <v/>
      </c>
      <c r="AL128">
        <f>AJ128*Q128</f>
        <v/>
      </c>
      <c r="AM128" s="1">
        <f>(SUM(AY128:BB128)-AW128)/I128</f>
        <v/>
      </c>
      <c r="AN128" s="1">
        <f>K128/I128*-1*R128</f>
        <v/>
      </c>
      <c r="AO128">
        <f>AM128*Q128</f>
        <v/>
      </c>
      <c r="AQ128" s="17">
        <f>J128</f>
        <v/>
      </c>
      <c r="AR128" s="8" t="n">
        <v>0.243968185</v>
      </c>
      <c r="AS128" s="8" t="n">
        <v>0.249427613</v>
      </c>
      <c r="AT128" s="9" t="n">
        <v>0.246356685</v>
      </c>
      <c r="AU128" s="17" t="n">
        <v>0.23037491</v>
      </c>
      <c r="AW128" s="9">
        <f>AQ128</f>
        <v/>
      </c>
      <c r="AY128" s="9">
        <f>AR128*F128</f>
        <v/>
      </c>
      <c r="AZ128" s="9">
        <f>AS128*H128</f>
        <v/>
      </c>
      <c r="BA128" s="9">
        <f>AT128*G128</f>
        <v/>
      </c>
      <c r="BB128" s="9">
        <f>L128</f>
        <v/>
      </c>
      <c r="BC128" s="9">
        <f>K128</f>
        <v/>
      </c>
      <c r="BE128" s="1">
        <f>AW128-SUM(AY128:BC128)</f>
        <v/>
      </c>
    </row>
    <row r="129">
      <c r="B129" s="12" t="inlineStr">
        <is>
          <t>NE_FT_High_Diesel_CCS_53_Wood</t>
        </is>
      </c>
      <c r="C129" s="20" t="inlineStr">
        <is>
          <t>Biomass_Wood</t>
        </is>
      </c>
      <c r="D129" s="20" t="n">
        <v>0</v>
      </c>
      <c r="E129" s="20" t="n">
        <v>2.9403</v>
      </c>
      <c r="F129" s="20" t="n">
        <v>0.6850000000000001</v>
      </c>
      <c r="G129" s="20" t="n">
        <v>0.7062</v>
      </c>
      <c r="H129" s="20" t="n">
        <v>1.399</v>
      </c>
      <c r="I129" s="21">
        <f>F129+G129+H129</f>
        <v/>
      </c>
      <c r="J129" s="20" t="n">
        <v>1.826</v>
      </c>
      <c r="K129" s="20" t="n">
        <v>0.5996708707211844</v>
      </c>
      <c r="L129" s="20" t="n">
        <v>0.5362845578091895</v>
      </c>
      <c r="M129" s="20" t="n">
        <v>547496.3199999999</v>
      </c>
      <c r="N129" s="20" t="n">
        <v>596414.5600000001</v>
      </c>
      <c r="O129" s="20" t="n">
        <v>1.064</v>
      </c>
      <c r="Q129" s="19" t="n">
        <v>109.479795</v>
      </c>
      <c r="R129" s="19" t="n">
        <v>-7.354813</v>
      </c>
      <c r="S129" s="19" t="n">
        <v>170</v>
      </c>
      <c r="T129" s="19" t="n">
        <v>138.356765</v>
      </c>
      <c r="U129" s="19" t="n">
        <v>156.777934</v>
      </c>
      <c r="V129" s="19" t="n">
        <v>119.345797</v>
      </c>
      <c r="W129" s="19" t="n">
        <v>26.773822</v>
      </c>
      <c r="Y129">
        <f>B129</f>
        <v/>
      </c>
      <c r="Z129">
        <f>C129</f>
        <v/>
      </c>
      <c r="AA129" s="18">
        <f>SUM(AD129:AI129)+AK129+AL129</f>
        <v/>
      </c>
      <c r="AB129" s="18">
        <f>SUM(AD129:AI129)+AN129+AO129</f>
        <v/>
      </c>
      <c r="AC129" s="5">
        <f>AA129-AB129</f>
        <v/>
      </c>
      <c r="AD129" s="1">
        <f>D129/I129*W129*-1</f>
        <v/>
      </c>
      <c r="AE129" s="1">
        <f>E129/I129*W129</f>
        <v/>
      </c>
      <c r="AF129" s="1">
        <f t="array" ref="AF129">_xlfn.IFS(C129="Biomass_Corn", 1/I129*S129, C129="Biomass_Agri", 1/I129*V129, C129="Biomass_Wood", 1/I129*U129, C129="Biomass_Herb", 1/I129*T129)</f>
        <v/>
      </c>
      <c r="AG129" s="1">
        <f>M129/I129/(0.9*8760)</f>
        <v/>
      </c>
      <c r="AH129" s="1">
        <f>N129/I129/(0.9*8760)</f>
        <v/>
      </c>
      <c r="AI129" s="1">
        <f>O129/I129</f>
        <v/>
      </c>
      <c r="AJ129" s="1">
        <f>(AY129+AZ129+BA129+BB129+BC129-AW129)/I129</f>
        <v/>
      </c>
      <c r="AK129" s="1">
        <f>(Q129+R129)*-1*K129/I129</f>
        <v/>
      </c>
      <c r="AL129">
        <f>AJ129*Q129</f>
        <v/>
      </c>
      <c r="AM129" s="1">
        <f>(SUM(AY129:BB129)-AW129)/I129</f>
        <v/>
      </c>
      <c r="AN129" s="1">
        <f>K129/I129*-1*R129</f>
        <v/>
      </c>
      <c r="AO129">
        <f>AM129*Q129</f>
        <v/>
      </c>
      <c r="AQ129" s="17">
        <f>J129</f>
        <v/>
      </c>
      <c r="AR129" s="8" t="n">
        <v>0.243968185</v>
      </c>
      <c r="AS129" s="8" t="n">
        <v>0.249427613</v>
      </c>
      <c r="AT129" s="9" t="n">
        <v>0.246356685</v>
      </c>
      <c r="AU129" s="17" t="n">
        <v>0.23037491</v>
      </c>
      <c r="AW129" s="9">
        <f>AQ129</f>
        <v/>
      </c>
      <c r="AY129" s="9">
        <f>AR129*F129</f>
        <v/>
      </c>
      <c r="AZ129" s="9">
        <f>AS129*H129</f>
        <v/>
      </c>
      <c r="BA129" s="9">
        <f>AT129*G129</f>
        <v/>
      </c>
      <c r="BB129" s="9">
        <f>L129</f>
        <v/>
      </c>
      <c r="BC129" s="9">
        <f>K129</f>
        <v/>
      </c>
      <c r="BE129" s="1">
        <f>AW129-SUM(AY129:BC129)</f>
        <v/>
      </c>
    </row>
    <row r="130">
      <c r="B130" s="12" t="inlineStr">
        <is>
          <t>CA_FT_High_Diesel_CCS_53_Agri</t>
        </is>
      </c>
      <c r="C130" s="20" t="inlineStr">
        <is>
          <t>Biomass_Agri</t>
        </is>
      </c>
      <c r="D130" s="20" t="n">
        <v>0</v>
      </c>
      <c r="E130" s="20" t="n">
        <v>2.9403</v>
      </c>
      <c r="F130" s="20" t="n">
        <v>0.6632</v>
      </c>
      <c r="G130" s="20" t="n">
        <v>0.6838</v>
      </c>
      <c r="H130" s="20" t="n">
        <v>1.3546</v>
      </c>
      <c r="I130" s="21">
        <f>F130+G130+H130</f>
        <v/>
      </c>
      <c r="J130" s="20" t="n">
        <v>1.719</v>
      </c>
      <c r="K130" s="20" t="n">
        <v>0.5547559633928247</v>
      </c>
      <c r="L130" s="20" t="n">
        <v>0.4961172387151971</v>
      </c>
      <c r="M130" s="20" t="n">
        <v>547496.3199999999</v>
      </c>
      <c r="N130" s="20" t="n">
        <v>596414.5600000001</v>
      </c>
      <c r="O130" s="20" t="n">
        <v>1.064</v>
      </c>
      <c r="Q130" s="19" t="n">
        <v>109.479795</v>
      </c>
      <c r="R130" s="19" t="n">
        <v>-7.354813</v>
      </c>
      <c r="S130" s="19" t="n">
        <v>170</v>
      </c>
      <c r="T130" s="19" t="n">
        <v>138.356765</v>
      </c>
      <c r="U130" s="19" t="n">
        <v>156.777934</v>
      </c>
      <c r="V130" s="19" t="n">
        <v>119.345797</v>
      </c>
      <c r="W130" s="19" t="n">
        <v>26.773822</v>
      </c>
      <c r="Y130">
        <f>B130</f>
        <v/>
      </c>
      <c r="Z130">
        <f>C130</f>
        <v/>
      </c>
      <c r="AA130" s="18">
        <f>SUM(AD130:AI130)+AK130+AL130</f>
        <v/>
      </c>
      <c r="AB130" s="18">
        <f>SUM(AD130:AI130)+AN130+AO130</f>
        <v/>
      </c>
      <c r="AC130" s="5">
        <f>AA130-AB130</f>
        <v/>
      </c>
      <c r="AD130" s="1">
        <f>D130/I130*W130*-1</f>
        <v/>
      </c>
      <c r="AE130" s="1">
        <f>E130/I130*W130</f>
        <v/>
      </c>
      <c r="AF130" s="1">
        <f t="array" ref="AF130">_xlfn.IFS(C130="Biomass_Corn", 1/I130*S130, C130="Biomass_Agri", 1/I130*V130, C130="Biomass_Wood", 1/I130*U130, C130="Biomass_Herb", 1/I130*T130)</f>
        <v/>
      </c>
      <c r="AG130" s="1">
        <f>M130/I130/(0.9*8760)</f>
        <v/>
      </c>
      <c r="AH130" s="1">
        <f>N130/I130/(0.9*8760)</f>
        <v/>
      </c>
      <c r="AI130" s="1">
        <f>O130/I130</f>
        <v/>
      </c>
      <c r="AJ130" s="1">
        <f>(AY130+AZ130+BA130+BB130+BC130-AW130)/I130</f>
        <v/>
      </c>
      <c r="AK130" s="1">
        <f>(Q130+R130)*-1*K130/I130</f>
        <v/>
      </c>
      <c r="AL130">
        <f>AJ130*Q130</f>
        <v/>
      </c>
      <c r="AM130" s="1">
        <f>(SUM(AY130:BB130)-AW130)/I130</f>
        <v/>
      </c>
      <c r="AN130" s="1">
        <f>K130/I130*-1*R130</f>
        <v/>
      </c>
      <c r="AO130">
        <f>AM130*Q130</f>
        <v/>
      </c>
      <c r="AQ130" s="17">
        <f>J130</f>
        <v/>
      </c>
      <c r="AR130" s="8" t="n">
        <v>0.243968185</v>
      </c>
      <c r="AS130" s="8" t="n">
        <v>0.249427613</v>
      </c>
      <c r="AT130" s="9" t="n">
        <v>0.246356685</v>
      </c>
      <c r="AU130" s="17" t="n">
        <v>0.23037491</v>
      </c>
      <c r="AW130" s="9">
        <f>AQ130</f>
        <v/>
      </c>
      <c r="AY130" s="9">
        <f>AR130*F130</f>
        <v/>
      </c>
      <c r="AZ130" s="9">
        <f>AS130*H130</f>
        <v/>
      </c>
      <c r="BA130" s="9">
        <f>AT130*G130</f>
        <v/>
      </c>
      <c r="BB130" s="9">
        <f>L130</f>
        <v/>
      </c>
      <c r="BC130" s="9">
        <f>K130</f>
        <v/>
      </c>
      <c r="BE130" s="1">
        <f>AW130-SUM(AY130:BC130)</f>
        <v/>
      </c>
    </row>
    <row r="131">
      <c r="B131" s="12" t="inlineStr">
        <is>
          <t>NW_FT_High_Diesel_CCS_53_Agri</t>
        </is>
      </c>
      <c r="C131" s="20" t="inlineStr">
        <is>
          <t>Biomass_Agri</t>
        </is>
      </c>
      <c r="D131" s="20" t="n">
        <v>0</v>
      </c>
      <c r="E131" s="20" t="n">
        <v>2.9403</v>
      </c>
      <c r="F131" s="20" t="n">
        <v>0.6063</v>
      </c>
      <c r="G131" s="20" t="n">
        <v>0.6251</v>
      </c>
      <c r="H131" s="20" t="n">
        <v>1.2383</v>
      </c>
      <c r="I131" s="21">
        <f>F131+G131+H131</f>
        <v/>
      </c>
      <c r="J131" s="20" t="n">
        <v>1.664</v>
      </c>
      <c r="K131" s="20" t="n">
        <v>0.5559973242169509</v>
      </c>
      <c r="L131" s="20" t="n">
        <v>0.4972273854192508</v>
      </c>
      <c r="M131" s="20" t="n">
        <v>547496.3199999999</v>
      </c>
      <c r="N131" s="20" t="n">
        <v>596414.5600000001</v>
      </c>
      <c r="O131" s="20" t="n">
        <v>1.064</v>
      </c>
      <c r="Q131" s="19" t="n">
        <v>109.479795</v>
      </c>
      <c r="R131" s="19" t="n">
        <v>-7.354813</v>
      </c>
      <c r="S131" s="19" t="n">
        <v>170</v>
      </c>
      <c r="T131" s="19" t="n">
        <v>138.356765</v>
      </c>
      <c r="U131" s="19" t="n">
        <v>156.777934</v>
      </c>
      <c r="V131" s="19" t="n">
        <v>119.345797</v>
      </c>
      <c r="W131" s="19" t="n">
        <v>26.773822</v>
      </c>
      <c r="Y131">
        <f>B131</f>
        <v/>
      </c>
      <c r="Z131">
        <f>C131</f>
        <v/>
      </c>
      <c r="AA131" s="18">
        <f>SUM(AD131:AI131)+AK131+AL131</f>
        <v/>
      </c>
      <c r="AB131" s="18">
        <f>SUM(AD131:AI131)+AN131+AO131</f>
        <v/>
      </c>
      <c r="AC131" s="5">
        <f>AA131-AB131</f>
        <v/>
      </c>
      <c r="AD131" s="1">
        <f>D131/I131*W131*-1</f>
        <v/>
      </c>
      <c r="AE131" s="1">
        <f>E131/I131*W131</f>
        <v/>
      </c>
      <c r="AF131" s="1">
        <f t="array" ref="AF131">_xlfn.IFS(C131="Biomass_Corn", 1/I131*S131, C131="Biomass_Agri", 1/I131*V131, C131="Biomass_Wood", 1/I131*U131, C131="Biomass_Herb", 1/I131*T131)</f>
        <v/>
      </c>
      <c r="AG131" s="1">
        <f>M131/I131/(0.9*8760)</f>
        <v/>
      </c>
      <c r="AH131" s="1">
        <f>N131/I131/(0.9*8760)</f>
        <v/>
      </c>
      <c r="AI131" s="1">
        <f>O131/I131</f>
        <v/>
      </c>
      <c r="AJ131" s="1">
        <f>(AY131+AZ131+BA131+BB131+BC131-AW131)/I131</f>
        <v/>
      </c>
      <c r="AK131" s="1">
        <f>(Q131+R131)*-1*K131/I131</f>
        <v/>
      </c>
      <c r="AL131">
        <f>AJ131*Q131</f>
        <v/>
      </c>
      <c r="AM131" s="1">
        <f>(SUM(AY131:BB131)-AW131)/I131</f>
        <v/>
      </c>
      <c r="AN131" s="1">
        <f>K131/I131*-1*R131</f>
        <v/>
      </c>
      <c r="AO131">
        <f>AM131*Q131</f>
        <v/>
      </c>
      <c r="AQ131" s="17">
        <f>J131</f>
        <v/>
      </c>
      <c r="AR131" s="8" t="n">
        <v>0.243968185</v>
      </c>
      <c r="AS131" s="8" t="n">
        <v>0.249427613</v>
      </c>
      <c r="AT131" s="9" t="n">
        <v>0.246356685</v>
      </c>
      <c r="AU131" s="17" t="n">
        <v>0.23037491</v>
      </c>
      <c r="AW131" s="9">
        <f>AQ131</f>
        <v/>
      </c>
      <c r="AY131" s="9">
        <f>AR131*F131</f>
        <v/>
      </c>
      <c r="AZ131" s="9">
        <f>AS131*H131</f>
        <v/>
      </c>
      <c r="BA131" s="9">
        <f>AT131*G131</f>
        <v/>
      </c>
      <c r="BB131" s="9">
        <f>L131</f>
        <v/>
      </c>
      <c r="BC131" s="9">
        <f>K131</f>
        <v/>
      </c>
      <c r="BE131" s="1">
        <f>AW131-SUM(AY131:BC131)</f>
        <v/>
      </c>
    </row>
    <row r="132">
      <c r="B132" s="12" t="inlineStr">
        <is>
          <t>SW_FT_High_Diesel_CCS_53_Agri</t>
        </is>
      </c>
      <c r="C132" s="20" t="inlineStr">
        <is>
          <t>Biomass_Agri</t>
        </is>
      </c>
      <c r="D132" s="20" t="n">
        <v>0</v>
      </c>
      <c r="E132" s="20" t="n">
        <v>2.9403</v>
      </c>
      <c r="F132" s="20" t="n">
        <v>0.6175</v>
      </c>
      <c r="G132" s="20" t="n">
        <v>0.6367</v>
      </c>
      <c r="H132" s="20" t="n">
        <v>1.2613</v>
      </c>
      <c r="I132" s="21">
        <f>F132+G132+H132</f>
        <v/>
      </c>
      <c r="J132" s="20" t="n">
        <v>1.687</v>
      </c>
      <c r="K132" s="20" t="n">
        <v>0.56216098800327</v>
      </c>
      <c r="L132" s="20" t="n">
        <v>0.5027395386178134</v>
      </c>
      <c r="M132" s="20" t="n">
        <v>547496.3199999999</v>
      </c>
      <c r="N132" s="20" t="n">
        <v>596414.5600000001</v>
      </c>
      <c r="O132" s="20" t="n">
        <v>1.064</v>
      </c>
      <c r="Q132" s="19" t="n">
        <v>109.479795</v>
      </c>
      <c r="R132" s="19" t="n">
        <v>-7.354813</v>
      </c>
      <c r="S132" s="19" t="n">
        <v>170</v>
      </c>
      <c r="T132" s="19" t="n">
        <v>138.356765</v>
      </c>
      <c r="U132" s="19" t="n">
        <v>156.777934</v>
      </c>
      <c r="V132" s="19" t="n">
        <v>119.345797</v>
      </c>
      <c r="W132" s="19" t="n">
        <v>26.773822</v>
      </c>
      <c r="Y132">
        <f>B132</f>
        <v/>
      </c>
      <c r="Z132">
        <f>C132</f>
        <v/>
      </c>
      <c r="AA132" s="18">
        <f>SUM(AD132:AI132)+AK132+AL132</f>
        <v/>
      </c>
      <c r="AB132" s="18">
        <f>SUM(AD132:AI132)+AN132+AO132</f>
        <v/>
      </c>
      <c r="AC132" s="5">
        <f>AA132-AB132</f>
        <v/>
      </c>
      <c r="AD132" s="1">
        <f>D132/I132*W132*-1</f>
        <v/>
      </c>
      <c r="AE132" s="1">
        <f>E132/I132*W132</f>
        <v/>
      </c>
      <c r="AF132" s="1">
        <f t="array" ref="AF132">_xlfn.IFS(C132="Biomass_Corn", 1/I132*S132, C132="Biomass_Agri", 1/I132*V132, C132="Biomass_Wood", 1/I132*U132, C132="Biomass_Herb", 1/I132*T132)</f>
        <v/>
      </c>
      <c r="AG132" s="1">
        <f>M132/I132/(0.9*8760)</f>
        <v/>
      </c>
      <c r="AH132" s="1">
        <f>N132/I132/(0.9*8760)</f>
        <v/>
      </c>
      <c r="AI132" s="1">
        <f>O132/I132</f>
        <v/>
      </c>
      <c r="AJ132" s="1">
        <f>(AY132+AZ132+BA132+BB132+BC132-AW132)/I132</f>
        <v/>
      </c>
      <c r="AK132" s="1">
        <f>(Q132+R132)*-1*K132/I132</f>
        <v/>
      </c>
      <c r="AL132">
        <f>AJ132*Q132</f>
        <v/>
      </c>
      <c r="AM132" s="1">
        <f>(SUM(AY132:BB132)-AW132)/I132</f>
        <v/>
      </c>
      <c r="AN132" s="1">
        <f>K132/I132*-1*R132</f>
        <v/>
      </c>
      <c r="AO132">
        <f>AM132*Q132</f>
        <v/>
      </c>
      <c r="AQ132" s="17">
        <f>J132</f>
        <v/>
      </c>
      <c r="AR132" s="8" t="n">
        <v>0.243968185</v>
      </c>
      <c r="AS132" s="8" t="n">
        <v>0.249427613</v>
      </c>
      <c r="AT132" s="9" t="n">
        <v>0.246356685</v>
      </c>
      <c r="AU132" s="17" t="n">
        <v>0.23037491</v>
      </c>
      <c r="AW132" s="9">
        <f>AQ132</f>
        <v/>
      </c>
      <c r="AY132" s="9">
        <f>AR132*F132</f>
        <v/>
      </c>
      <c r="AZ132" s="9">
        <f>AS132*H132</f>
        <v/>
      </c>
      <c r="BA132" s="9">
        <f>AT132*G132</f>
        <v/>
      </c>
      <c r="BB132" s="9">
        <f>L132</f>
        <v/>
      </c>
      <c r="BC132" s="9">
        <f>K132</f>
        <v/>
      </c>
      <c r="BE132" s="1">
        <f>AW132-SUM(AY132:BC132)</f>
        <v/>
      </c>
    </row>
    <row r="133">
      <c r="B133" s="12" t="inlineStr">
        <is>
          <t>TX_FT_High_Diesel_CCS_53_Agri</t>
        </is>
      </c>
      <c r="C133" s="20" t="inlineStr">
        <is>
          <t>Biomass_Agri</t>
        </is>
      </c>
      <c r="D133" s="20" t="n">
        <v>0</v>
      </c>
      <c r="E133" s="20" t="n">
        <v>2.9403</v>
      </c>
      <c r="F133" s="20" t="n">
        <v>0.6016</v>
      </c>
      <c r="G133" s="20" t="n">
        <v>0.6202</v>
      </c>
      <c r="H133" s="20" t="n">
        <v>1.2287</v>
      </c>
      <c r="I133" s="21">
        <f>F133+G133+H133</f>
        <v/>
      </c>
      <c r="J133" s="20" t="n">
        <v>1.633</v>
      </c>
      <c r="K133" s="20" t="n">
        <v>0.5421393426291397</v>
      </c>
      <c r="L133" s="20" t="n">
        <v>0.4848342179488857</v>
      </c>
      <c r="M133" s="20" t="n">
        <v>547496.3199999999</v>
      </c>
      <c r="N133" s="20" t="n">
        <v>596414.5600000001</v>
      </c>
      <c r="O133" s="20" t="n">
        <v>1.064</v>
      </c>
      <c r="Q133" s="19" t="n">
        <v>109.479795</v>
      </c>
      <c r="R133" s="19" t="n">
        <v>-7.354813</v>
      </c>
      <c r="S133" s="19" t="n">
        <v>170</v>
      </c>
      <c r="T133" s="19" t="n">
        <v>138.356765</v>
      </c>
      <c r="U133" s="19" t="n">
        <v>156.777934</v>
      </c>
      <c r="V133" s="19" t="n">
        <v>119.345797</v>
      </c>
      <c r="W133" s="19" t="n">
        <v>26.773822</v>
      </c>
      <c r="Y133">
        <f>B133</f>
        <v/>
      </c>
      <c r="Z133">
        <f>C133</f>
        <v/>
      </c>
      <c r="AA133" s="18">
        <f>SUM(AD133:AI133)+AK133+AL133</f>
        <v/>
      </c>
      <c r="AB133" s="18">
        <f>SUM(AD133:AI133)+AN133+AO133</f>
        <v/>
      </c>
      <c r="AC133" s="5">
        <f>AA133-AB133</f>
        <v/>
      </c>
      <c r="AD133" s="1">
        <f>D133/I133*W133*-1</f>
        <v/>
      </c>
      <c r="AE133" s="1">
        <f>E133/I133*W133</f>
        <v/>
      </c>
      <c r="AF133" s="1">
        <f t="array" ref="AF133">_xlfn.IFS(C133="Biomass_Corn", 1/I133*S133, C133="Biomass_Agri", 1/I133*V133, C133="Biomass_Wood", 1/I133*U133, C133="Biomass_Herb", 1/I133*T133)</f>
        <v/>
      </c>
      <c r="AG133" s="1">
        <f>M133/I133/(0.9*8760)</f>
        <v/>
      </c>
      <c r="AH133" s="1">
        <f>N133/I133/(0.9*8760)</f>
        <v/>
      </c>
      <c r="AI133" s="1">
        <f>O133/I133</f>
        <v/>
      </c>
      <c r="AJ133" s="1">
        <f>(AY133+AZ133+BA133+BB133+BC133-AW133)/I133</f>
        <v/>
      </c>
      <c r="AK133" s="1">
        <f>(Q133+R133)*-1*K133/I133</f>
        <v/>
      </c>
      <c r="AL133">
        <f>AJ133*Q133</f>
        <v/>
      </c>
      <c r="AM133" s="1">
        <f>(SUM(AY133:BB133)-AW133)/I133</f>
        <v/>
      </c>
      <c r="AN133" s="1">
        <f>K133/I133*-1*R133</f>
        <v/>
      </c>
      <c r="AO133">
        <f>AM133*Q133</f>
        <v/>
      </c>
      <c r="AQ133" s="17">
        <f>J133</f>
        <v/>
      </c>
      <c r="AR133" s="8" t="n">
        <v>0.243968185</v>
      </c>
      <c r="AS133" s="8" t="n">
        <v>0.249427613</v>
      </c>
      <c r="AT133" s="9" t="n">
        <v>0.246356685</v>
      </c>
      <c r="AU133" s="17" t="n">
        <v>0.23037491</v>
      </c>
      <c r="AW133" s="9">
        <f>AQ133</f>
        <v/>
      </c>
      <c r="AY133" s="9">
        <f>AR133*F133</f>
        <v/>
      </c>
      <c r="AZ133" s="9">
        <f>AS133*H133</f>
        <v/>
      </c>
      <c r="BA133" s="9">
        <f>AT133*G133</f>
        <v/>
      </c>
      <c r="BB133" s="9">
        <f>L133</f>
        <v/>
      </c>
      <c r="BC133" s="9">
        <f>K133</f>
        <v/>
      </c>
      <c r="BE133" s="1">
        <f>AW133-SUM(AY133:BC133)</f>
        <v/>
      </c>
    </row>
    <row r="134">
      <c r="B134" s="12" t="inlineStr">
        <is>
          <t>NCEN_FT_High_Diesel_CCS_53_Agri</t>
        </is>
      </c>
      <c r="C134" s="20" t="inlineStr">
        <is>
          <t>Biomass_Agri</t>
        </is>
      </c>
      <c r="D134" s="20" t="n">
        <v>0</v>
      </c>
      <c r="E134" s="20" t="n">
        <v>2.9403</v>
      </c>
      <c r="F134" s="20" t="n">
        <v>0.6273</v>
      </c>
      <c r="G134" s="20" t="n">
        <v>0.6468</v>
      </c>
      <c r="H134" s="20" t="n">
        <v>1.2812</v>
      </c>
      <c r="I134" s="21">
        <f>F134+G134+H134</f>
        <v/>
      </c>
      <c r="J134" s="20" t="n">
        <v>1.71</v>
      </c>
      <c r="K134" s="20" t="n">
        <v>0.5690960113010317</v>
      </c>
      <c r="L134" s="20" t="n">
        <v>0.5089415172101099</v>
      </c>
      <c r="M134" s="20" t="n">
        <v>547496.3199999999</v>
      </c>
      <c r="N134" s="20" t="n">
        <v>596414.5600000001</v>
      </c>
      <c r="O134" s="20" t="n">
        <v>1.064</v>
      </c>
      <c r="Q134" s="19" t="n">
        <v>109.479795</v>
      </c>
      <c r="R134" s="19" t="n">
        <v>-7.354813</v>
      </c>
      <c r="S134" s="19" t="n">
        <v>170</v>
      </c>
      <c r="T134" s="19" t="n">
        <v>138.356765</v>
      </c>
      <c r="U134" s="19" t="n">
        <v>156.777934</v>
      </c>
      <c r="V134" s="19" t="n">
        <v>119.345797</v>
      </c>
      <c r="W134" s="19" t="n">
        <v>26.773822</v>
      </c>
      <c r="Y134">
        <f>B134</f>
        <v/>
      </c>
      <c r="Z134">
        <f>C134</f>
        <v/>
      </c>
      <c r="AA134" s="18">
        <f>SUM(AD134:AI134)+AK134+AL134</f>
        <v/>
      </c>
      <c r="AB134" s="18">
        <f>SUM(AD134:AI134)+AN134+AO134</f>
        <v/>
      </c>
      <c r="AC134" s="5">
        <f>AA134-AB134</f>
        <v/>
      </c>
      <c r="AD134" s="1">
        <f>D134/I134*W134*-1</f>
        <v/>
      </c>
      <c r="AE134" s="1">
        <f>E134/I134*W134</f>
        <v/>
      </c>
      <c r="AF134" s="1">
        <f t="array" ref="AF134">_xlfn.IFS(C134="Biomass_Corn", 1/I134*S134, C134="Biomass_Agri", 1/I134*V134, C134="Biomass_Wood", 1/I134*U134, C134="Biomass_Herb", 1/I134*T134)</f>
        <v/>
      </c>
      <c r="AG134" s="1">
        <f>M134/I134/(0.9*8760)</f>
        <v/>
      </c>
      <c r="AH134" s="1">
        <f>N134/I134/(0.9*8760)</f>
        <v/>
      </c>
      <c r="AI134" s="1">
        <f>O134/I134</f>
        <v/>
      </c>
      <c r="AJ134" s="1">
        <f>(AY134+AZ134+BA134+BB134+BC134-AW134)/I134</f>
        <v/>
      </c>
      <c r="AK134" s="1">
        <f>(Q134+R134)*-1*K134/I134</f>
        <v/>
      </c>
      <c r="AL134">
        <f>AJ134*Q134</f>
        <v/>
      </c>
      <c r="AM134" s="1">
        <f>(SUM(AY134:BB134)-AW134)/I134</f>
        <v/>
      </c>
      <c r="AN134" s="1">
        <f>K134/I134*-1*R134</f>
        <v/>
      </c>
      <c r="AO134">
        <f>AM134*Q134</f>
        <v/>
      </c>
      <c r="AQ134" s="17">
        <f>J134</f>
        <v/>
      </c>
      <c r="AR134" s="8" t="n">
        <v>0.243968185</v>
      </c>
      <c r="AS134" s="8" t="n">
        <v>0.249427613</v>
      </c>
      <c r="AT134" s="9" t="n">
        <v>0.246356685</v>
      </c>
      <c r="AU134" s="17" t="n">
        <v>0.23037491</v>
      </c>
      <c r="AW134" s="9">
        <f>AQ134</f>
        <v/>
      </c>
      <c r="AY134" s="9">
        <f>AR134*F134</f>
        <v/>
      </c>
      <c r="AZ134" s="9">
        <f>AS134*H134</f>
        <v/>
      </c>
      <c r="BA134" s="9">
        <f>AT134*G134</f>
        <v/>
      </c>
      <c r="BB134" s="9">
        <f>L134</f>
        <v/>
      </c>
      <c r="BC134" s="9">
        <f>K134</f>
        <v/>
      </c>
      <c r="BE134" s="1">
        <f>AW134-SUM(AY134:BC134)</f>
        <v/>
      </c>
    </row>
    <row r="135">
      <c r="B135" s="12" t="inlineStr">
        <is>
          <t>CEN_FT_High_Diesel_CCS_53_Agri</t>
        </is>
      </c>
      <c r="C135" s="20" t="inlineStr">
        <is>
          <t>Biomass_Agri</t>
        </is>
      </c>
      <c r="D135" s="20" t="n">
        <v>0</v>
      </c>
      <c r="E135" s="20" t="n">
        <v>2.9403</v>
      </c>
      <c r="F135" s="20" t="n">
        <v>0.6226</v>
      </c>
      <c r="G135" s="20" t="n">
        <v>0.6419</v>
      </c>
      <c r="H135" s="20" t="n">
        <v>1.2716</v>
      </c>
      <c r="I135" s="21">
        <f>F135+G135+H135</f>
        <v/>
      </c>
      <c r="J135" s="20" t="n">
        <v>1.7</v>
      </c>
      <c r="K135" s="20" t="n">
        <v>0.5663239297132204</v>
      </c>
      <c r="L135" s="20" t="n">
        <v>0.5064624497397449</v>
      </c>
      <c r="M135" s="20" t="n">
        <v>547496.3199999999</v>
      </c>
      <c r="N135" s="20" t="n">
        <v>596414.5600000001</v>
      </c>
      <c r="O135" s="20" t="n">
        <v>1.064</v>
      </c>
      <c r="Q135" s="19" t="n">
        <v>109.479795</v>
      </c>
      <c r="R135" s="19" t="n">
        <v>-7.354813</v>
      </c>
      <c r="S135" s="19" t="n">
        <v>170</v>
      </c>
      <c r="T135" s="19" t="n">
        <v>138.356765</v>
      </c>
      <c r="U135" s="19" t="n">
        <v>156.777934</v>
      </c>
      <c r="V135" s="19" t="n">
        <v>119.345797</v>
      </c>
      <c r="W135" s="19" t="n">
        <v>26.773822</v>
      </c>
      <c r="Y135">
        <f>B135</f>
        <v/>
      </c>
      <c r="Z135">
        <f>C135</f>
        <v/>
      </c>
      <c r="AA135" s="18">
        <f>SUM(AD135:AI135)+AK135+AL135</f>
        <v/>
      </c>
      <c r="AB135" s="18">
        <f>SUM(AD135:AI135)+AN135+AO135</f>
        <v/>
      </c>
      <c r="AC135" s="5">
        <f>AA135-AB135</f>
        <v/>
      </c>
      <c r="AD135" s="1">
        <f>D135/I135*W135*-1</f>
        <v/>
      </c>
      <c r="AE135" s="1">
        <f>E135/I135*W135</f>
        <v/>
      </c>
      <c r="AF135" s="1">
        <f t="array" ref="AF135">_xlfn.IFS(C135="Biomass_Corn", 1/I135*S135, C135="Biomass_Agri", 1/I135*V135, C135="Biomass_Wood", 1/I135*U135, C135="Biomass_Herb", 1/I135*T135)</f>
        <v/>
      </c>
      <c r="AG135" s="1">
        <f>M135/I135/(0.9*8760)</f>
        <v/>
      </c>
      <c r="AH135" s="1">
        <f>N135/I135/(0.9*8760)</f>
        <v/>
      </c>
      <c r="AI135" s="1">
        <f>O135/I135</f>
        <v/>
      </c>
      <c r="AJ135" s="1">
        <f>(AY135+AZ135+BA135+BB135+BC135-AW135)/I135</f>
        <v/>
      </c>
      <c r="AK135" s="1">
        <f>(Q135+R135)*-1*K135/I135</f>
        <v/>
      </c>
      <c r="AL135">
        <f>AJ135*Q135</f>
        <v/>
      </c>
      <c r="AM135" s="1">
        <f>(SUM(AY135:BB135)-AW135)/I135</f>
        <v/>
      </c>
      <c r="AN135" s="1">
        <f>K135/I135*-1*R135</f>
        <v/>
      </c>
      <c r="AO135">
        <f>AM135*Q135</f>
        <v/>
      </c>
      <c r="AQ135" s="17">
        <f>J135</f>
        <v/>
      </c>
      <c r="AR135" s="8" t="n">
        <v>0.243968185</v>
      </c>
      <c r="AS135" s="8" t="n">
        <v>0.249427613</v>
      </c>
      <c r="AT135" s="9" t="n">
        <v>0.246356685</v>
      </c>
      <c r="AU135" s="17" t="n">
        <v>0.23037491</v>
      </c>
      <c r="AW135" s="9">
        <f>AQ135</f>
        <v/>
      </c>
      <c r="AY135" s="9">
        <f>AR135*F135</f>
        <v/>
      </c>
      <c r="AZ135" s="9">
        <f>AS135*H135</f>
        <v/>
      </c>
      <c r="BA135" s="9">
        <f>AT135*G135</f>
        <v/>
      </c>
      <c r="BB135" s="9">
        <f>L135</f>
        <v/>
      </c>
      <c r="BC135" s="9">
        <f>K135</f>
        <v/>
      </c>
      <c r="BE135" s="1">
        <f>AW135-SUM(AY135:BC135)</f>
        <v/>
      </c>
    </row>
    <row r="136">
      <c r="B136" s="12" t="inlineStr">
        <is>
          <t>SE_FT_High_Diesel_CCS_53_Agri</t>
        </is>
      </c>
      <c r="C136" s="20" t="inlineStr">
        <is>
          <t>Biomass_Agri</t>
        </is>
      </c>
      <c r="D136" s="20" t="n">
        <v>0</v>
      </c>
      <c r="E136" s="20" t="n">
        <v>2.9403</v>
      </c>
      <c r="F136" s="20" t="n">
        <v>0.6248</v>
      </c>
      <c r="G136" s="20" t="n">
        <v>0.6441</v>
      </c>
      <c r="H136" s="20" t="n">
        <v>1.2761</v>
      </c>
      <c r="I136" s="21">
        <f>F136+G136+H136</f>
        <v/>
      </c>
      <c r="J136" s="20" t="n">
        <v>1.689</v>
      </c>
      <c r="K136" s="20" t="n">
        <v>0.5593599904460566</v>
      </c>
      <c r="L136" s="20" t="n">
        <v>0.5002346116491442</v>
      </c>
      <c r="M136" s="20" t="n">
        <v>547496.3199999999</v>
      </c>
      <c r="N136" s="20" t="n">
        <v>596414.5600000001</v>
      </c>
      <c r="O136" s="20" t="n">
        <v>1.064</v>
      </c>
      <c r="Q136" s="19" t="n">
        <v>109.479795</v>
      </c>
      <c r="R136" s="19" t="n">
        <v>-7.354813</v>
      </c>
      <c r="S136" s="19" t="n">
        <v>170</v>
      </c>
      <c r="T136" s="19" t="n">
        <v>138.356765</v>
      </c>
      <c r="U136" s="19" t="n">
        <v>156.777934</v>
      </c>
      <c r="V136" s="19" t="n">
        <v>119.345797</v>
      </c>
      <c r="W136" s="19" t="n">
        <v>26.773822</v>
      </c>
      <c r="Y136">
        <f>B136</f>
        <v/>
      </c>
      <c r="Z136">
        <f>C136</f>
        <v/>
      </c>
      <c r="AA136" s="18">
        <f>SUM(AD136:AI136)+AK136+AL136</f>
        <v/>
      </c>
      <c r="AB136" s="18">
        <f>SUM(AD136:AI136)+AN136+AO136</f>
        <v/>
      </c>
      <c r="AC136" s="5">
        <f>AA136-AB136</f>
        <v/>
      </c>
      <c r="AD136" s="1">
        <f>D136/I136*W136*-1</f>
        <v/>
      </c>
      <c r="AE136" s="1">
        <f>E136/I136*W136</f>
        <v/>
      </c>
      <c r="AF136" s="1">
        <f t="array" ref="AF136">_xlfn.IFS(C136="Biomass_Corn", 1/I136*S136, C136="Biomass_Agri", 1/I136*V136, C136="Biomass_Wood", 1/I136*U136, C136="Biomass_Herb", 1/I136*T136)</f>
        <v/>
      </c>
      <c r="AG136" s="1">
        <f>M136/I136/(0.9*8760)</f>
        <v/>
      </c>
      <c r="AH136" s="1">
        <f>N136/I136/(0.9*8760)</f>
        <v/>
      </c>
      <c r="AI136" s="1">
        <f>O136/I136</f>
        <v/>
      </c>
      <c r="AJ136" s="1">
        <f>(AY136+AZ136+BA136+BB136+BC136-AW136)/I136</f>
        <v/>
      </c>
      <c r="AK136" s="1">
        <f>(Q136+R136)*-1*K136/I136</f>
        <v/>
      </c>
      <c r="AL136">
        <f>AJ136*Q136</f>
        <v/>
      </c>
      <c r="AM136" s="1">
        <f>(SUM(AY136:BB136)-AW136)/I136</f>
        <v/>
      </c>
      <c r="AN136" s="1">
        <f>K136/I136*-1*R136</f>
        <v/>
      </c>
      <c r="AO136">
        <f>AM136*Q136</f>
        <v/>
      </c>
      <c r="AQ136" s="17">
        <f>J136</f>
        <v/>
      </c>
      <c r="AR136" s="8" t="n">
        <v>0.243968185</v>
      </c>
      <c r="AS136" s="8" t="n">
        <v>0.249427613</v>
      </c>
      <c r="AT136" s="9" t="n">
        <v>0.246356685</v>
      </c>
      <c r="AU136" s="17" t="n">
        <v>0.23037491</v>
      </c>
      <c r="AW136" s="9">
        <f>AQ136</f>
        <v/>
      </c>
      <c r="AY136" s="9">
        <f>AR136*F136</f>
        <v/>
      </c>
      <c r="AZ136" s="9">
        <f>AS136*H136</f>
        <v/>
      </c>
      <c r="BA136" s="9">
        <f>AT136*G136</f>
        <v/>
      </c>
      <c r="BB136" s="9">
        <f>L136</f>
        <v/>
      </c>
      <c r="BC136" s="9">
        <f>K136</f>
        <v/>
      </c>
      <c r="BE136" s="1">
        <f>AW136-SUM(AY136:BC136)</f>
        <v/>
      </c>
    </row>
    <row r="137">
      <c r="B137" s="12" t="inlineStr">
        <is>
          <t>MIDAT_FT_High_Diesel_CCS_53_Agri</t>
        </is>
      </c>
      <c r="C137" s="20" t="inlineStr">
        <is>
          <t>Biomass_Agri</t>
        </is>
      </c>
      <c r="D137" s="20" t="n">
        <v>0</v>
      </c>
      <c r="E137" s="20" t="n">
        <v>2.9403</v>
      </c>
      <c r="F137" s="20" t="n">
        <v>0.6266</v>
      </c>
      <c r="G137" s="20" t="n">
        <v>0.646</v>
      </c>
      <c r="H137" s="20" t="n">
        <v>1.2798</v>
      </c>
      <c r="I137" s="21">
        <f>F137+G137+H137</f>
        <v/>
      </c>
      <c r="J137" s="20" t="n">
        <v>1.708</v>
      </c>
      <c r="K137" s="20" t="n">
        <v>0.568425891056753</v>
      </c>
      <c r="L137" s="20" t="n">
        <v>0.5083422299069769</v>
      </c>
      <c r="M137" s="20" t="n">
        <v>547496.3199999999</v>
      </c>
      <c r="N137" s="20" t="n">
        <v>596414.5600000001</v>
      </c>
      <c r="O137" s="20" t="n">
        <v>1.064</v>
      </c>
      <c r="Q137" s="19" t="n">
        <v>109.479795</v>
      </c>
      <c r="R137" s="19" t="n">
        <v>-7.354813</v>
      </c>
      <c r="S137" s="19" t="n">
        <v>170</v>
      </c>
      <c r="T137" s="19" t="n">
        <v>138.356765</v>
      </c>
      <c r="U137" s="19" t="n">
        <v>156.777934</v>
      </c>
      <c r="V137" s="19" t="n">
        <v>119.345797</v>
      </c>
      <c r="W137" s="19" t="n">
        <v>26.773822</v>
      </c>
      <c r="Y137">
        <f>B137</f>
        <v/>
      </c>
      <c r="Z137">
        <f>C137</f>
        <v/>
      </c>
      <c r="AA137" s="18">
        <f>SUM(AD137:AI137)+AK137+AL137</f>
        <v/>
      </c>
      <c r="AB137" s="18">
        <f>SUM(AD137:AI137)+AN137+AO137</f>
        <v/>
      </c>
      <c r="AC137" s="5">
        <f>AA137-AB137</f>
        <v/>
      </c>
      <c r="AD137" s="1">
        <f>D137/I137*W137*-1</f>
        <v/>
      </c>
      <c r="AE137" s="1">
        <f>E137/I137*W137</f>
        <v/>
      </c>
      <c r="AF137" s="1">
        <f t="array" ref="AF137">_xlfn.IFS(C137="Biomass_Corn", 1/I137*S137, C137="Biomass_Agri", 1/I137*V137, C137="Biomass_Wood", 1/I137*U137, C137="Biomass_Herb", 1/I137*T137)</f>
        <v/>
      </c>
      <c r="AG137" s="1">
        <f>M137/I137/(0.9*8760)</f>
        <v/>
      </c>
      <c r="AH137" s="1">
        <f>N137/I137/(0.9*8760)</f>
        <v/>
      </c>
      <c r="AI137" s="1">
        <f>O137/I137</f>
        <v/>
      </c>
      <c r="AJ137" s="1">
        <f>(AY137+AZ137+BA137+BB137+BC137-AW137)/I137</f>
        <v/>
      </c>
      <c r="AK137" s="1">
        <f>(Q137+R137)*-1*K137/I137</f>
        <v/>
      </c>
      <c r="AL137">
        <f>AJ137*Q137</f>
        <v/>
      </c>
      <c r="AM137" s="1">
        <f>(SUM(AY137:BB137)-AW137)/I137</f>
        <v/>
      </c>
      <c r="AN137" s="1">
        <f>K137/I137*-1*R137</f>
        <v/>
      </c>
      <c r="AO137">
        <f>AM137*Q137</f>
        <v/>
      </c>
      <c r="AQ137" s="17">
        <f>J137</f>
        <v/>
      </c>
      <c r="AR137" s="8" t="n">
        <v>0.243968185</v>
      </c>
      <c r="AS137" s="8" t="n">
        <v>0.249427613</v>
      </c>
      <c r="AT137" s="9" t="n">
        <v>0.246356685</v>
      </c>
      <c r="AU137" s="17" t="n">
        <v>0.23037491</v>
      </c>
      <c r="AW137" s="9">
        <f>AQ137</f>
        <v/>
      </c>
      <c r="AY137" s="9">
        <f>AR137*F137</f>
        <v/>
      </c>
      <c r="AZ137" s="9">
        <f>AS137*H137</f>
        <v/>
      </c>
      <c r="BA137" s="9">
        <f>AT137*G137</f>
        <v/>
      </c>
      <c r="BB137" s="9">
        <f>L137</f>
        <v/>
      </c>
      <c r="BC137" s="9">
        <f>K137</f>
        <v/>
      </c>
      <c r="BE137" s="1">
        <f>AW137-SUM(AY137:BC137)</f>
        <v/>
      </c>
    </row>
    <row r="138">
      <c r="B138" s="12" t="inlineStr">
        <is>
          <t>NE_FT_High_Diesel_CCS_53_Agri</t>
        </is>
      </c>
      <c r="C138" s="20" t="inlineStr">
        <is>
          <t>Biomass_Agri</t>
        </is>
      </c>
      <c r="D138" s="20" t="n">
        <v>0</v>
      </c>
      <c r="E138" s="20" t="n">
        <v>2.9403</v>
      </c>
      <c r="F138" s="20" t="n">
        <v>0.6339</v>
      </c>
      <c r="G138" s="20" t="n">
        <v>0.6535</v>
      </c>
      <c r="H138" s="20" t="n">
        <v>1.2946</v>
      </c>
      <c r="I138" s="21">
        <f>F138+G138+H138</f>
        <v/>
      </c>
      <c r="J138" s="20" t="n">
        <v>1.715</v>
      </c>
      <c r="K138" s="20" t="n">
        <v>0.5682643934995395</v>
      </c>
      <c r="L138" s="20" t="n">
        <v>0.5081978029383076</v>
      </c>
      <c r="M138" s="20" t="n">
        <v>547496.3199999999</v>
      </c>
      <c r="N138" s="20" t="n">
        <v>596414.5600000001</v>
      </c>
      <c r="O138" s="20" t="n">
        <v>1.064</v>
      </c>
      <c r="Q138" s="19" t="n">
        <v>109.479795</v>
      </c>
      <c r="R138" s="19" t="n">
        <v>-7.354813</v>
      </c>
      <c r="S138" s="19" t="n">
        <v>170</v>
      </c>
      <c r="T138" s="19" t="n">
        <v>138.356765</v>
      </c>
      <c r="U138" s="19" t="n">
        <v>156.777934</v>
      </c>
      <c r="V138" s="19" t="n">
        <v>119.345797</v>
      </c>
      <c r="W138" s="19" t="n">
        <v>26.773822</v>
      </c>
      <c r="Y138">
        <f>B138</f>
        <v/>
      </c>
      <c r="Z138">
        <f>C138</f>
        <v/>
      </c>
      <c r="AA138" s="18">
        <f>SUM(AD138:AI138)+AK138+AL138</f>
        <v/>
      </c>
      <c r="AB138" s="18">
        <f>SUM(AD138:AI138)+AN138+AO138</f>
        <v/>
      </c>
      <c r="AC138" s="5">
        <f>AA138-AB138</f>
        <v/>
      </c>
      <c r="AD138" s="1">
        <f>D138/I138*W138*-1</f>
        <v/>
      </c>
      <c r="AE138" s="1">
        <f>E138/I138*W138</f>
        <v/>
      </c>
      <c r="AF138" s="1">
        <f t="array" ref="AF138">_xlfn.IFS(C138="Biomass_Corn", 1/I138*S138, C138="Biomass_Agri", 1/I138*V138, C138="Biomass_Wood", 1/I138*U138, C138="Biomass_Herb", 1/I138*T138)</f>
        <v/>
      </c>
      <c r="AG138" s="1">
        <f>M138/I138/(0.9*8760)</f>
        <v/>
      </c>
      <c r="AH138" s="1">
        <f>N138/I138/(0.9*8760)</f>
        <v/>
      </c>
      <c r="AI138" s="1">
        <f>O138/I138</f>
        <v/>
      </c>
      <c r="AJ138" s="1">
        <f>(AY138+AZ138+BA138+BB138+BC138-AW138)/I138</f>
        <v/>
      </c>
      <c r="AK138" s="1">
        <f>(Q138+R138)*-1*K138/I138</f>
        <v/>
      </c>
      <c r="AL138">
        <f>AJ138*Q138</f>
        <v/>
      </c>
      <c r="AM138" s="1">
        <f>(SUM(AY138:BB138)-AW138)/I138</f>
        <v/>
      </c>
      <c r="AN138" s="1">
        <f>K138/I138*-1*R138</f>
        <v/>
      </c>
      <c r="AO138">
        <f>AM138*Q138</f>
        <v/>
      </c>
      <c r="AQ138" s="17">
        <f>J138</f>
        <v/>
      </c>
      <c r="AR138" s="8" t="n">
        <v>0.243968185</v>
      </c>
      <c r="AS138" s="8" t="n">
        <v>0.249427613</v>
      </c>
      <c r="AT138" s="9" t="n">
        <v>0.246356685</v>
      </c>
      <c r="AU138" s="17" t="n">
        <v>0.23037491</v>
      </c>
      <c r="AW138" s="9">
        <f>AQ138</f>
        <v/>
      </c>
      <c r="AY138" s="9">
        <f>AR138*F138</f>
        <v/>
      </c>
      <c r="AZ138" s="9">
        <f>AS138*H138</f>
        <v/>
      </c>
      <c r="BA138" s="9">
        <f>AT138*G138</f>
        <v/>
      </c>
      <c r="BB138" s="9">
        <f>L138</f>
        <v/>
      </c>
      <c r="BC138" s="9">
        <f>K138</f>
        <v/>
      </c>
      <c r="BE138" s="1">
        <f>AW138-SUM(AY138:BC138)</f>
        <v/>
      </c>
    </row>
    <row r="139">
      <c r="B139" s="12" t="inlineStr">
        <is>
          <t>CA_FT_High_Diesel_CCS_99_Herb</t>
        </is>
      </c>
      <c r="C139" s="20" t="inlineStr">
        <is>
          <t>Biomass_Herb</t>
        </is>
      </c>
      <c r="D139" s="20" t="n">
        <v>0</v>
      </c>
      <c r="E139" s="20" t="n">
        <v>3.5965</v>
      </c>
      <c r="F139" s="20" t="n">
        <v>0.6596</v>
      </c>
      <c r="G139" s="20" t="n">
        <v>0.68</v>
      </c>
      <c r="H139" s="20" t="n">
        <v>1.3472</v>
      </c>
      <c r="I139" s="21">
        <f>F139+G139+H139</f>
        <v/>
      </c>
      <c r="J139" s="20" t="n">
        <v>1.721</v>
      </c>
      <c r="K139" s="20" t="n">
        <v>1.05156049139842</v>
      </c>
      <c r="L139" s="20" t="n">
        <v>0.0049656729725435</v>
      </c>
      <c r="M139" s="20" t="n">
        <v>644392</v>
      </c>
      <c r="N139" s="20" t="n">
        <v>646477.4399999999</v>
      </c>
      <c r="O139" s="20" t="n">
        <v>4.256</v>
      </c>
      <c r="Q139" s="19" t="n">
        <v>109.479795</v>
      </c>
      <c r="R139" s="19" t="n">
        <v>-7.354813</v>
      </c>
      <c r="S139" s="19" t="n">
        <v>170</v>
      </c>
      <c r="T139" s="19" t="n">
        <v>138.356765</v>
      </c>
      <c r="U139" s="19" t="n">
        <v>156.777934</v>
      </c>
      <c r="V139" s="19" t="n">
        <v>119.345797</v>
      </c>
      <c r="W139" s="19" t="n">
        <v>26.773822</v>
      </c>
      <c r="Y139">
        <f>B139</f>
        <v/>
      </c>
      <c r="Z139">
        <f>C139</f>
        <v/>
      </c>
      <c r="AA139" s="18">
        <f>SUM(AD139:AI139)+AK139+AL139</f>
        <v/>
      </c>
      <c r="AB139" s="18">
        <f>SUM(AD139:AI139)+AN139+AO139</f>
        <v/>
      </c>
      <c r="AC139" s="5">
        <f>AA139-AB139</f>
        <v/>
      </c>
      <c r="AD139" s="1">
        <f>D139/I139*W139*-1</f>
        <v/>
      </c>
      <c r="AE139" s="1">
        <f>E139/I139*W139</f>
        <v/>
      </c>
      <c r="AF139" s="1">
        <f t="array" ref="AF139">_xlfn.IFS(C139="Biomass_Corn", 1/I139*S139, C139="Biomass_Agri", 1/I139*V139, C139="Biomass_Wood", 1/I139*U139, C139="Biomass_Herb", 1/I139*T139)</f>
        <v/>
      </c>
      <c r="AG139" s="1">
        <f>M139/I139/(0.9*8760)</f>
        <v/>
      </c>
      <c r="AH139" s="1">
        <f>N139/I139/(0.9*8760)</f>
        <v/>
      </c>
      <c r="AI139" s="1">
        <f>O139/I139</f>
        <v/>
      </c>
      <c r="AJ139" s="1">
        <f>(AY139+AZ139+BA139+BB139+BC139-AW139)/I139</f>
        <v/>
      </c>
      <c r="AK139" s="1">
        <f>(Q139+R139)*-1*K139/I139</f>
        <v/>
      </c>
      <c r="AL139">
        <f>AJ139*Q139</f>
        <v/>
      </c>
      <c r="AM139" s="1">
        <f>(SUM(AY139:BB139)-AW139)/I139</f>
        <v/>
      </c>
      <c r="AN139" s="1">
        <f>K139/I139*-1*R139</f>
        <v/>
      </c>
      <c r="AO139">
        <f>AM139*Q139</f>
        <v/>
      </c>
      <c r="AQ139" s="17">
        <f>J139</f>
        <v/>
      </c>
      <c r="AR139" s="8" t="n">
        <v>0.243968185</v>
      </c>
      <c r="AS139" s="8" t="n">
        <v>0.249427613</v>
      </c>
      <c r="AT139" s="9" t="n">
        <v>0.246356685</v>
      </c>
      <c r="AU139" s="17" t="n">
        <v>0.23037491</v>
      </c>
      <c r="AW139" s="9">
        <f>AQ139</f>
        <v/>
      </c>
      <c r="AY139" s="9">
        <f>AR139*F139</f>
        <v/>
      </c>
      <c r="AZ139" s="9">
        <f>AS139*H139</f>
        <v/>
      </c>
      <c r="BA139" s="9">
        <f>AT139*G139</f>
        <v/>
      </c>
      <c r="BB139" s="9">
        <f>L139</f>
        <v/>
      </c>
      <c r="BC139" s="9">
        <f>K139</f>
        <v/>
      </c>
      <c r="BE139" s="1">
        <f>AW139-SUM(AY139:BC139)</f>
        <v/>
      </c>
    </row>
    <row r="140">
      <c r="B140" s="12" t="inlineStr">
        <is>
          <t>NW_FT_High_Diesel_CCS_99_Herb</t>
        </is>
      </c>
      <c r="C140" s="20" t="inlineStr">
        <is>
          <t>Biomass_Herb</t>
        </is>
      </c>
      <c r="D140" s="20" t="n">
        <v>0</v>
      </c>
      <c r="E140" s="20" t="n">
        <v>3.5965</v>
      </c>
      <c r="F140" s="20" t="n">
        <v>0.6611</v>
      </c>
      <c r="G140" s="20" t="n">
        <v>0.6815</v>
      </c>
      <c r="H140" s="20" t="n">
        <v>1.3501</v>
      </c>
      <c r="I140" s="21">
        <f>F140+G140+H140</f>
        <v/>
      </c>
      <c r="J140" s="20" t="n">
        <v>1.726</v>
      </c>
      <c r="K140" s="20" t="n">
        <v>1.055082674062298</v>
      </c>
      <c r="L140" s="20" t="n">
        <v>0.0049823054034892</v>
      </c>
      <c r="M140" s="20" t="n">
        <v>644392</v>
      </c>
      <c r="N140" s="20" t="n">
        <v>646477.4399999999</v>
      </c>
      <c r="O140" s="20" t="n">
        <v>4.256</v>
      </c>
      <c r="Q140" s="19" t="n">
        <v>109.479795</v>
      </c>
      <c r="R140" s="19" t="n">
        <v>-7.354813</v>
      </c>
      <c r="S140" s="19" t="n">
        <v>170</v>
      </c>
      <c r="T140" s="19" t="n">
        <v>138.356765</v>
      </c>
      <c r="U140" s="19" t="n">
        <v>156.777934</v>
      </c>
      <c r="V140" s="19" t="n">
        <v>119.345797</v>
      </c>
      <c r="W140" s="19" t="n">
        <v>26.773822</v>
      </c>
      <c r="Y140">
        <f>B140</f>
        <v/>
      </c>
      <c r="Z140">
        <f>C140</f>
        <v/>
      </c>
      <c r="AA140" s="18">
        <f>SUM(AD140:AI140)+AK140+AL140</f>
        <v/>
      </c>
      <c r="AB140" s="18">
        <f>SUM(AD140:AI140)+AN140+AO140</f>
        <v/>
      </c>
      <c r="AC140" s="5">
        <f>AA140-AB140</f>
        <v/>
      </c>
      <c r="AD140" s="1">
        <f>D140/I140*W140*-1</f>
        <v/>
      </c>
      <c r="AE140" s="1">
        <f>E140/I140*W140</f>
        <v/>
      </c>
      <c r="AF140" s="1">
        <f t="array" ref="AF140">_xlfn.IFS(C140="Biomass_Corn", 1/I140*S140, C140="Biomass_Agri", 1/I140*V140, C140="Biomass_Wood", 1/I140*U140, C140="Biomass_Herb", 1/I140*T140)</f>
        <v/>
      </c>
      <c r="AG140" s="1">
        <f>M140/I140/(0.9*8760)</f>
        <v/>
      </c>
      <c r="AH140" s="1">
        <f>N140/I140/(0.9*8760)</f>
        <v/>
      </c>
      <c r="AI140" s="1">
        <f>O140/I140</f>
        <v/>
      </c>
      <c r="AJ140" s="1">
        <f>(AY140+AZ140+BA140+BB140+BC140-AW140)/I140</f>
        <v/>
      </c>
      <c r="AK140" s="1">
        <f>(Q140+R140)*-1*K140/I140</f>
        <v/>
      </c>
      <c r="AL140">
        <f>AJ140*Q140</f>
        <v/>
      </c>
      <c r="AM140" s="1">
        <f>(SUM(AY140:BB140)-AW140)/I140</f>
        <v/>
      </c>
      <c r="AN140" s="1">
        <f>K140/I140*-1*R140</f>
        <v/>
      </c>
      <c r="AO140">
        <f>AM140*Q140</f>
        <v/>
      </c>
      <c r="AQ140" s="17">
        <f>J140</f>
        <v/>
      </c>
      <c r="AR140" s="8" t="n">
        <v>0.243968185</v>
      </c>
      <c r="AS140" s="8" t="n">
        <v>0.249427613</v>
      </c>
      <c r="AT140" s="9" t="n">
        <v>0.246356685</v>
      </c>
      <c r="AU140" s="17" t="n">
        <v>0.23037491</v>
      </c>
      <c r="AW140" s="9">
        <f>AQ140</f>
        <v/>
      </c>
      <c r="AY140" s="9">
        <f>AR140*F140</f>
        <v/>
      </c>
      <c r="AZ140" s="9">
        <f>AS140*H140</f>
        <v/>
      </c>
      <c r="BA140" s="9">
        <f>AT140*G140</f>
        <v/>
      </c>
      <c r="BB140" s="9">
        <f>L140</f>
        <v/>
      </c>
      <c r="BC140" s="9">
        <f>K140</f>
        <v/>
      </c>
      <c r="BE140" s="1">
        <f>AW140-SUM(AY140:BC140)</f>
        <v/>
      </c>
    </row>
    <row r="141">
      <c r="B141" s="12" t="inlineStr">
        <is>
          <t>SW_FT_High_Diesel_CCS_99_Herb</t>
        </is>
      </c>
      <c r="C141" s="20" t="inlineStr">
        <is>
          <t>Biomass_Herb</t>
        </is>
      </c>
      <c r="D141" s="20" t="n">
        <v>0</v>
      </c>
      <c r="E141" s="20" t="n">
        <v>3.5965</v>
      </c>
      <c r="F141" s="20" t="n">
        <v>0.6567</v>
      </c>
      <c r="G141" s="20" t="n">
        <v>0.677</v>
      </c>
      <c r="H141" s="20" t="n">
        <v>1.3412</v>
      </c>
      <c r="I141" s="21">
        <f>F141+G141+H141</f>
        <v/>
      </c>
      <c r="J141" s="20" t="n">
        <v>1.71</v>
      </c>
      <c r="K141" s="20" t="n">
        <v>1.043520826070664</v>
      </c>
      <c r="L141" s="20" t="n">
        <v>0.0049277081106522</v>
      </c>
      <c r="M141" s="20" t="n">
        <v>644392</v>
      </c>
      <c r="N141" s="20" t="n">
        <v>646477.4399999999</v>
      </c>
      <c r="O141" s="20" t="n">
        <v>4.256</v>
      </c>
      <c r="Q141" s="19" t="n">
        <v>109.479795</v>
      </c>
      <c r="R141" s="19" t="n">
        <v>-7.354813</v>
      </c>
      <c r="S141" s="19" t="n">
        <v>170</v>
      </c>
      <c r="T141" s="19" t="n">
        <v>138.356765</v>
      </c>
      <c r="U141" s="19" t="n">
        <v>156.777934</v>
      </c>
      <c r="V141" s="19" t="n">
        <v>119.345797</v>
      </c>
      <c r="W141" s="19" t="n">
        <v>26.773822</v>
      </c>
      <c r="Y141">
        <f>B141</f>
        <v/>
      </c>
      <c r="Z141">
        <f>C141</f>
        <v/>
      </c>
      <c r="AA141" s="18">
        <f>SUM(AD141:AI141)+AK141+AL141</f>
        <v/>
      </c>
      <c r="AB141" s="18">
        <f>SUM(AD141:AI141)+AN141+AO141</f>
        <v/>
      </c>
      <c r="AC141" s="5">
        <f>AA141-AB141</f>
        <v/>
      </c>
      <c r="AD141" s="1">
        <f>D141/I141*W141*-1</f>
        <v/>
      </c>
      <c r="AE141" s="1">
        <f>E141/I141*W141</f>
        <v/>
      </c>
      <c r="AF141" s="1">
        <f t="array" ref="AF141">_xlfn.IFS(C141="Biomass_Corn", 1/I141*S141, C141="Biomass_Agri", 1/I141*V141, C141="Biomass_Wood", 1/I141*U141, C141="Biomass_Herb", 1/I141*T141)</f>
        <v/>
      </c>
      <c r="AG141" s="1">
        <f>M141/I141/(0.9*8760)</f>
        <v/>
      </c>
      <c r="AH141" s="1">
        <f>N141/I141/(0.9*8760)</f>
        <v/>
      </c>
      <c r="AI141" s="1">
        <f>O141/I141</f>
        <v/>
      </c>
      <c r="AJ141" s="1">
        <f>(AY141+AZ141+BA141+BB141+BC141-AW141)/I141</f>
        <v/>
      </c>
      <c r="AK141" s="1">
        <f>(Q141+R141)*-1*K141/I141</f>
        <v/>
      </c>
      <c r="AL141">
        <f>AJ141*Q141</f>
        <v/>
      </c>
      <c r="AM141" s="1">
        <f>(SUM(AY141:BB141)-AW141)/I141</f>
        <v/>
      </c>
      <c r="AN141" s="1">
        <f>K141/I141*-1*R141</f>
        <v/>
      </c>
      <c r="AO141">
        <f>AM141*Q141</f>
        <v/>
      </c>
      <c r="AQ141" s="17">
        <f>J141</f>
        <v/>
      </c>
      <c r="AR141" s="8" t="n">
        <v>0.243968185</v>
      </c>
      <c r="AS141" s="8" t="n">
        <v>0.249427613</v>
      </c>
      <c r="AT141" s="9" t="n">
        <v>0.246356685</v>
      </c>
      <c r="AU141" s="17" t="n">
        <v>0.23037491</v>
      </c>
      <c r="AW141" s="9">
        <f>AQ141</f>
        <v/>
      </c>
      <c r="AY141" s="9">
        <f>AR141*F141</f>
        <v/>
      </c>
      <c r="AZ141" s="9">
        <f>AS141*H141</f>
        <v/>
      </c>
      <c r="BA141" s="9">
        <f>AT141*G141</f>
        <v/>
      </c>
      <c r="BB141" s="9">
        <f>L141</f>
        <v/>
      </c>
      <c r="BC141" s="9">
        <f>K141</f>
        <v/>
      </c>
      <c r="BE141" s="1">
        <f>AW141-SUM(AY141:BC141)</f>
        <v/>
      </c>
    </row>
    <row r="142">
      <c r="B142" s="12" t="inlineStr">
        <is>
          <t>TX_FT_High_Diesel_CCS_99_Herb</t>
        </is>
      </c>
      <c r="C142" s="20" t="inlineStr">
        <is>
          <t>Biomass_Herb</t>
        </is>
      </c>
      <c r="D142" s="20" t="n">
        <v>0</v>
      </c>
      <c r="E142" s="20" t="n">
        <v>3.5965</v>
      </c>
      <c r="F142" s="20" t="n">
        <v>0.6582</v>
      </c>
      <c r="G142" s="20" t="n">
        <v>0.6785</v>
      </c>
      <c r="H142" s="20" t="n">
        <v>1.3442</v>
      </c>
      <c r="I142" s="21">
        <f>F142+G142+H142</f>
        <v/>
      </c>
      <c r="J142" s="20" t="n">
        <v>1.714</v>
      </c>
      <c r="K142" s="20" t="n">
        <v>1.046047708734542</v>
      </c>
      <c r="L142" s="20" t="n">
        <v>0.0049396405415978</v>
      </c>
      <c r="M142" s="20" t="n">
        <v>644392</v>
      </c>
      <c r="N142" s="20" t="n">
        <v>646477.4399999999</v>
      </c>
      <c r="O142" s="20" t="n">
        <v>4.256</v>
      </c>
      <c r="Q142" s="19" t="n">
        <v>109.479795</v>
      </c>
      <c r="R142" s="19" t="n">
        <v>-7.354813</v>
      </c>
      <c r="S142" s="19" t="n">
        <v>170</v>
      </c>
      <c r="T142" s="19" t="n">
        <v>138.356765</v>
      </c>
      <c r="U142" s="19" t="n">
        <v>156.777934</v>
      </c>
      <c r="V142" s="19" t="n">
        <v>119.345797</v>
      </c>
      <c r="W142" s="19" t="n">
        <v>26.773822</v>
      </c>
      <c r="Y142">
        <f>B142</f>
        <v/>
      </c>
      <c r="Z142">
        <f>C142</f>
        <v/>
      </c>
      <c r="AA142" s="18">
        <f>SUM(AD142:AI142)+AK142+AL142</f>
        <v/>
      </c>
      <c r="AB142" s="18">
        <f>SUM(AD142:AI142)+AN142+AO142</f>
        <v/>
      </c>
      <c r="AC142" s="5">
        <f>AA142-AB142</f>
        <v/>
      </c>
      <c r="AD142" s="1">
        <f>D142/I142*W142*-1</f>
        <v/>
      </c>
      <c r="AE142" s="1">
        <f>E142/I142*W142</f>
        <v/>
      </c>
      <c r="AF142" s="1">
        <f t="array" ref="AF142">_xlfn.IFS(C142="Biomass_Corn", 1/I142*S142, C142="Biomass_Agri", 1/I142*V142, C142="Biomass_Wood", 1/I142*U142, C142="Biomass_Herb", 1/I142*T142)</f>
        <v/>
      </c>
      <c r="AG142" s="1">
        <f>M142/I142/(0.9*8760)</f>
        <v/>
      </c>
      <c r="AH142" s="1">
        <f>N142/I142/(0.9*8760)</f>
        <v/>
      </c>
      <c r="AI142" s="1">
        <f>O142/I142</f>
        <v/>
      </c>
      <c r="AJ142" s="1">
        <f>(AY142+AZ142+BA142+BB142+BC142-AW142)/I142</f>
        <v/>
      </c>
      <c r="AK142" s="1">
        <f>(Q142+R142)*-1*K142/I142</f>
        <v/>
      </c>
      <c r="AL142">
        <f>AJ142*Q142</f>
        <v/>
      </c>
      <c r="AM142" s="1">
        <f>(SUM(AY142:BB142)-AW142)/I142</f>
        <v/>
      </c>
      <c r="AN142" s="1">
        <f>K142/I142*-1*R142</f>
        <v/>
      </c>
      <c r="AO142">
        <f>AM142*Q142</f>
        <v/>
      </c>
      <c r="AQ142" s="17">
        <f>J142</f>
        <v/>
      </c>
      <c r="AR142" s="8" t="n">
        <v>0.243968185</v>
      </c>
      <c r="AS142" s="8" t="n">
        <v>0.249427613</v>
      </c>
      <c r="AT142" s="9" t="n">
        <v>0.246356685</v>
      </c>
      <c r="AU142" s="17" t="n">
        <v>0.23037491</v>
      </c>
      <c r="AW142" s="9">
        <f>AQ142</f>
        <v/>
      </c>
      <c r="AY142" s="9">
        <f>AR142*F142</f>
        <v/>
      </c>
      <c r="AZ142" s="9">
        <f>AS142*H142</f>
        <v/>
      </c>
      <c r="BA142" s="9">
        <f>AT142*G142</f>
        <v/>
      </c>
      <c r="BB142" s="9">
        <f>L142</f>
        <v/>
      </c>
      <c r="BC142" s="9">
        <f>K142</f>
        <v/>
      </c>
      <c r="BE142" s="1">
        <f>AW142-SUM(AY142:BC142)</f>
        <v/>
      </c>
    </row>
    <row r="143">
      <c r="B143" s="12" t="inlineStr">
        <is>
          <t>NCEN_FT_High_Diesel_CCS_99_Herb</t>
        </is>
      </c>
      <c r="C143" s="20" t="inlineStr">
        <is>
          <t>Biomass_Herb</t>
        </is>
      </c>
      <c r="D143" s="20" t="n">
        <v>0</v>
      </c>
      <c r="E143" s="20" t="n">
        <v>3.5965</v>
      </c>
      <c r="F143" s="20" t="n">
        <v>0.665</v>
      </c>
      <c r="G143" s="20" t="n">
        <v>0.6856</v>
      </c>
      <c r="H143" s="20" t="n">
        <v>1.3583</v>
      </c>
      <c r="I143" s="21">
        <f>F143+G143+H143</f>
        <v/>
      </c>
      <c r="J143" s="20" t="n">
        <v>1.74</v>
      </c>
      <c r="K143" s="20" t="n">
        <v>1.065017501387962</v>
      </c>
      <c r="L143" s="20" t="n">
        <v>0.0050292195885898</v>
      </c>
      <c r="M143" s="20" t="n">
        <v>644392</v>
      </c>
      <c r="N143" s="20" t="n">
        <v>646477.4399999999</v>
      </c>
      <c r="O143" s="20" t="n">
        <v>4.256</v>
      </c>
      <c r="Q143" s="19" t="n">
        <v>109.479795</v>
      </c>
      <c r="R143" s="19" t="n">
        <v>-7.354813</v>
      </c>
      <c r="S143" s="19" t="n">
        <v>170</v>
      </c>
      <c r="T143" s="19" t="n">
        <v>138.356765</v>
      </c>
      <c r="U143" s="19" t="n">
        <v>156.777934</v>
      </c>
      <c r="V143" s="19" t="n">
        <v>119.345797</v>
      </c>
      <c r="W143" s="19" t="n">
        <v>26.773822</v>
      </c>
      <c r="Y143">
        <f>B143</f>
        <v/>
      </c>
      <c r="Z143">
        <f>C143</f>
        <v/>
      </c>
      <c r="AA143" s="18">
        <f>SUM(AD143:AI143)+AK143+AL143</f>
        <v/>
      </c>
      <c r="AB143" s="18">
        <f>SUM(AD143:AI143)+AN143+AO143</f>
        <v/>
      </c>
      <c r="AC143" s="5">
        <f>AA143-AB143</f>
        <v/>
      </c>
      <c r="AD143" s="1">
        <f>D143/I143*W143*-1</f>
        <v/>
      </c>
      <c r="AE143" s="1">
        <f>E143/I143*W143</f>
        <v/>
      </c>
      <c r="AF143" s="1">
        <f t="array" ref="AF143">_xlfn.IFS(C143="Biomass_Corn", 1/I143*S143, C143="Biomass_Agri", 1/I143*V143, C143="Biomass_Wood", 1/I143*U143, C143="Biomass_Herb", 1/I143*T143)</f>
        <v/>
      </c>
      <c r="AG143" s="1">
        <f>M143/I143/(0.9*8760)</f>
        <v/>
      </c>
      <c r="AH143" s="1">
        <f>N143/I143/(0.9*8760)</f>
        <v/>
      </c>
      <c r="AI143" s="1">
        <f>O143/I143</f>
        <v/>
      </c>
      <c r="AJ143" s="1">
        <f>(AY143+AZ143+BA143+BB143+BC143-AW143)/I143</f>
        <v/>
      </c>
      <c r="AK143" s="1">
        <f>(Q143+R143)*-1*K143/I143</f>
        <v/>
      </c>
      <c r="AL143">
        <f>AJ143*Q143</f>
        <v/>
      </c>
      <c r="AM143" s="1">
        <f>(SUM(AY143:BB143)-AW143)/I143</f>
        <v/>
      </c>
      <c r="AN143" s="1">
        <f>K143/I143*-1*R143</f>
        <v/>
      </c>
      <c r="AO143">
        <f>AM143*Q143</f>
        <v/>
      </c>
      <c r="AQ143" s="17">
        <f>J143</f>
        <v/>
      </c>
      <c r="AR143" s="8" t="n">
        <v>0.243968185</v>
      </c>
      <c r="AS143" s="8" t="n">
        <v>0.249427613</v>
      </c>
      <c r="AT143" s="9" t="n">
        <v>0.246356685</v>
      </c>
      <c r="AU143" s="17" t="n">
        <v>0.23037491</v>
      </c>
      <c r="AW143" s="9">
        <f>AQ143</f>
        <v/>
      </c>
      <c r="AY143" s="9">
        <f>AR143*F143</f>
        <v/>
      </c>
      <c r="AZ143" s="9">
        <f>AS143*H143</f>
        <v/>
      </c>
      <c r="BA143" s="9">
        <f>AT143*G143</f>
        <v/>
      </c>
      <c r="BB143" s="9">
        <f>L143</f>
        <v/>
      </c>
      <c r="BC143" s="9">
        <f>K143</f>
        <v/>
      </c>
      <c r="BE143" s="1">
        <f>AW143-SUM(AY143:BC143)</f>
        <v/>
      </c>
    </row>
    <row r="144">
      <c r="B144" s="12" t="inlineStr">
        <is>
          <t>CEN_FT_High_Diesel_CCS_99_Herb</t>
        </is>
      </c>
      <c r="C144" s="20" t="inlineStr">
        <is>
          <t>Biomass_Herb</t>
        </is>
      </c>
      <c r="D144" s="20" t="n">
        <v>0</v>
      </c>
      <c r="E144" s="20" t="n">
        <v>3.5965</v>
      </c>
      <c r="F144" s="20" t="n">
        <v>0.6611</v>
      </c>
      <c r="G144" s="20" t="n">
        <v>0.6815</v>
      </c>
      <c r="H144" s="20" t="n">
        <v>1.3501</v>
      </c>
      <c r="I144" s="21">
        <f>F144+G144+H144</f>
        <v/>
      </c>
      <c r="J144" s="20" t="n">
        <v>1.723</v>
      </c>
      <c r="K144" s="20" t="n">
        <v>1.052096774062298</v>
      </c>
      <c r="L144" s="20" t="n">
        <v>0.0049682054034892</v>
      </c>
      <c r="M144" s="20" t="n">
        <v>644392</v>
      </c>
      <c r="N144" s="20" t="n">
        <v>646477.4399999999</v>
      </c>
      <c r="O144" s="20" t="n">
        <v>4.256</v>
      </c>
      <c r="Q144" s="19" t="n">
        <v>109.479795</v>
      </c>
      <c r="R144" s="19" t="n">
        <v>-7.354813</v>
      </c>
      <c r="S144" s="19" t="n">
        <v>170</v>
      </c>
      <c r="T144" s="19" t="n">
        <v>138.356765</v>
      </c>
      <c r="U144" s="19" t="n">
        <v>156.777934</v>
      </c>
      <c r="V144" s="19" t="n">
        <v>119.345797</v>
      </c>
      <c r="W144" s="19" t="n">
        <v>26.773822</v>
      </c>
      <c r="Y144">
        <f>B144</f>
        <v/>
      </c>
      <c r="Z144">
        <f>C144</f>
        <v/>
      </c>
      <c r="AA144" s="18">
        <f>SUM(AD144:AI144)+AK144+AL144</f>
        <v/>
      </c>
      <c r="AB144" s="18">
        <f>SUM(AD144:AI144)+AN144+AO144</f>
        <v/>
      </c>
      <c r="AC144" s="5">
        <f>AA144-AB144</f>
        <v/>
      </c>
      <c r="AD144" s="1">
        <f>D144/I144*W144*-1</f>
        <v/>
      </c>
      <c r="AE144" s="1">
        <f>E144/I144*W144</f>
        <v/>
      </c>
      <c r="AF144" s="1">
        <f t="array" ref="AF144">_xlfn.IFS(C144="Biomass_Corn", 1/I144*S144, C144="Biomass_Agri", 1/I144*V144, C144="Biomass_Wood", 1/I144*U144, C144="Biomass_Herb", 1/I144*T144)</f>
        <v/>
      </c>
      <c r="AG144" s="1">
        <f>M144/I144/(0.9*8760)</f>
        <v/>
      </c>
      <c r="AH144" s="1">
        <f>N144/I144/(0.9*8760)</f>
        <v/>
      </c>
      <c r="AI144" s="1">
        <f>O144/I144</f>
        <v/>
      </c>
      <c r="AJ144" s="1">
        <f>(AY144+AZ144+BA144+BB144+BC144-AW144)/I144</f>
        <v/>
      </c>
      <c r="AK144" s="1">
        <f>(Q144+R144)*-1*K144/I144</f>
        <v/>
      </c>
      <c r="AL144">
        <f>AJ144*Q144</f>
        <v/>
      </c>
      <c r="AM144" s="1">
        <f>(SUM(AY144:BB144)-AW144)/I144</f>
        <v/>
      </c>
      <c r="AN144" s="1">
        <f>K144/I144*-1*R144</f>
        <v/>
      </c>
      <c r="AO144">
        <f>AM144*Q144</f>
        <v/>
      </c>
      <c r="AQ144" s="17">
        <f>J144</f>
        <v/>
      </c>
      <c r="AR144" s="8" t="n">
        <v>0.243968185</v>
      </c>
      <c r="AS144" s="8" t="n">
        <v>0.249427613</v>
      </c>
      <c r="AT144" s="9" t="n">
        <v>0.246356685</v>
      </c>
      <c r="AU144" s="17" t="n">
        <v>0.23037491</v>
      </c>
      <c r="AW144" s="9">
        <f>AQ144</f>
        <v/>
      </c>
      <c r="AY144" s="9">
        <f>AR144*F144</f>
        <v/>
      </c>
      <c r="AZ144" s="9">
        <f>AS144*H144</f>
        <v/>
      </c>
      <c r="BA144" s="9">
        <f>AT144*G144</f>
        <v/>
      </c>
      <c r="BB144" s="9">
        <f>L144</f>
        <v/>
      </c>
      <c r="BC144" s="9">
        <f>K144</f>
        <v/>
      </c>
      <c r="BE144" s="1">
        <f>AW144-SUM(AY144:BC144)</f>
        <v/>
      </c>
    </row>
    <row r="145">
      <c r="B145" s="12" t="inlineStr">
        <is>
          <t>SE_FT_High_Diesel_CCS_99_Herb</t>
        </is>
      </c>
      <c r="C145" s="20" t="inlineStr">
        <is>
          <t>Biomass_Herb</t>
        </is>
      </c>
      <c r="D145" s="20" t="n">
        <v>0</v>
      </c>
      <c r="E145" s="20" t="n">
        <v>3.5965</v>
      </c>
      <c r="F145" s="20" t="n">
        <v>0.66</v>
      </c>
      <c r="G145" s="20" t="n">
        <v>0.6804</v>
      </c>
      <c r="H145" s="20" t="n">
        <v>1.3479</v>
      </c>
      <c r="I145" s="21">
        <f>F145+G145+H145</f>
        <v/>
      </c>
      <c r="J145" s="20" t="n">
        <v>1.717</v>
      </c>
      <c r="K145" s="20" t="n">
        <v>1.04721571206439</v>
      </c>
      <c r="L145" s="20" t="n">
        <v>0.0049451560802799</v>
      </c>
      <c r="M145" s="20" t="n">
        <v>644392</v>
      </c>
      <c r="N145" s="20" t="n">
        <v>646477.4399999999</v>
      </c>
      <c r="O145" s="20" t="n">
        <v>4.256</v>
      </c>
      <c r="Q145" s="19" t="n">
        <v>109.479795</v>
      </c>
      <c r="R145" s="19" t="n">
        <v>-7.354813</v>
      </c>
      <c r="S145" s="19" t="n">
        <v>170</v>
      </c>
      <c r="T145" s="19" t="n">
        <v>138.356765</v>
      </c>
      <c r="U145" s="19" t="n">
        <v>156.777934</v>
      </c>
      <c r="V145" s="19" t="n">
        <v>119.345797</v>
      </c>
      <c r="W145" s="19" t="n">
        <v>26.773822</v>
      </c>
      <c r="Y145">
        <f>B145</f>
        <v/>
      </c>
      <c r="Z145">
        <f>C145</f>
        <v/>
      </c>
      <c r="AA145" s="18">
        <f>SUM(AD145:AI145)+AK145+AL145</f>
        <v/>
      </c>
      <c r="AB145" s="18">
        <f>SUM(AD145:AI145)+AN145+AO145</f>
        <v/>
      </c>
      <c r="AC145" s="5">
        <f>AA145-AB145</f>
        <v/>
      </c>
      <c r="AD145" s="1">
        <f>D145/I145*W145*-1</f>
        <v/>
      </c>
      <c r="AE145" s="1">
        <f>E145/I145*W145</f>
        <v/>
      </c>
      <c r="AF145" s="1">
        <f t="array" ref="AF145">_xlfn.IFS(C145="Biomass_Corn", 1/I145*S145, C145="Biomass_Agri", 1/I145*V145, C145="Biomass_Wood", 1/I145*U145, C145="Biomass_Herb", 1/I145*T145)</f>
        <v/>
      </c>
      <c r="AG145" s="1">
        <f>M145/I145/(0.9*8760)</f>
        <v/>
      </c>
      <c r="AH145" s="1">
        <f>N145/I145/(0.9*8760)</f>
        <v/>
      </c>
      <c r="AI145" s="1">
        <f>O145/I145</f>
        <v/>
      </c>
      <c r="AJ145" s="1">
        <f>(AY145+AZ145+BA145+BB145+BC145-AW145)/I145</f>
        <v/>
      </c>
      <c r="AK145" s="1">
        <f>(Q145+R145)*-1*K145/I145</f>
        <v/>
      </c>
      <c r="AL145">
        <f>AJ145*Q145</f>
        <v/>
      </c>
      <c r="AM145" s="1">
        <f>(SUM(AY145:BB145)-AW145)/I145</f>
        <v/>
      </c>
      <c r="AN145" s="1">
        <f>K145/I145*-1*R145</f>
        <v/>
      </c>
      <c r="AO145">
        <f>AM145*Q145</f>
        <v/>
      </c>
      <c r="AQ145" s="17">
        <f>J145</f>
        <v/>
      </c>
      <c r="AR145" s="8" t="n">
        <v>0.243968185</v>
      </c>
      <c r="AS145" s="8" t="n">
        <v>0.249427613</v>
      </c>
      <c r="AT145" s="9" t="n">
        <v>0.246356685</v>
      </c>
      <c r="AU145" s="17" t="n">
        <v>0.23037491</v>
      </c>
      <c r="AW145" s="9">
        <f>AQ145</f>
        <v/>
      </c>
      <c r="AY145" s="9">
        <f>AR145*F145</f>
        <v/>
      </c>
      <c r="AZ145" s="9">
        <f>AS145*H145</f>
        <v/>
      </c>
      <c r="BA145" s="9">
        <f>AT145*G145</f>
        <v/>
      </c>
      <c r="BB145" s="9">
        <f>L145</f>
        <v/>
      </c>
      <c r="BC145" s="9">
        <f>K145</f>
        <v/>
      </c>
      <c r="BE145" s="1">
        <f>AW145-SUM(AY145:BC145)</f>
        <v/>
      </c>
    </row>
    <row r="146">
      <c r="B146" s="12" t="inlineStr">
        <is>
          <t>MIDAT_FT_High_Diesel_CCS_99_Herb</t>
        </is>
      </c>
      <c r="C146" s="20" t="inlineStr">
        <is>
          <t>Biomass_Herb</t>
        </is>
      </c>
      <c r="D146" s="20" t="n">
        <v>0</v>
      </c>
      <c r="E146" s="20" t="n">
        <v>3.5965</v>
      </c>
      <c r="F146" s="20" t="n">
        <v>0.6636</v>
      </c>
      <c r="G146" s="20" t="n">
        <v>0.6841</v>
      </c>
      <c r="H146" s="20" t="n">
        <v>1.3553</v>
      </c>
      <c r="I146" s="21">
        <f>F146+G146+H146</f>
        <v/>
      </c>
      <c r="J146" s="20" t="n">
        <v>1.736</v>
      </c>
      <c r="K146" s="20" t="n">
        <v>1.062490618724084</v>
      </c>
      <c r="L146" s="20" t="n">
        <v>0.0050172871576441</v>
      </c>
      <c r="M146" s="20" t="n">
        <v>644392</v>
      </c>
      <c r="N146" s="20" t="n">
        <v>646477.4399999999</v>
      </c>
      <c r="O146" s="20" t="n">
        <v>4.256</v>
      </c>
      <c r="Q146" s="19" t="n">
        <v>109.479795</v>
      </c>
      <c r="R146" s="19" t="n">
        <v>-7.354813</v>
      </c>
      <c r="S146" s="19" t="n">
        <v>170</v>
      </c>
      <c r="T146" s="19" t="n">
        <v>138.356765</v>
      </c>
      <c r="U146" s="19" t="n">
        <v>156.777934</v>
      </c>
      <c r="V146" s="19" t="n">
        <v>119.345797</v>
      </c>
      <c r="W146" s="19" t="n">
        <v>26.773822</v>
      </c>
      <c r="Y146">
        <f>B146</f>
        <v/>
      </c>
      <c r="Z146">
        <f>C146</f>
        <v/>
      </c>
      <c r="AA146" s="18">
        <f>SUM(AD146:AI146)+AK146+AL146</f>
        <v/>
      </c>
      <c r="AB146" s="18">
        <f>SUM(AD146:AI146)+AN146+AO146</f>
        <v/>
      </c>
      <c r="AC146" s="5">
        <f>AA146-AB146</f>
        <v/>
      </c>
      <c r="AD146" s="1">
        <f>D146/I146*W146*-1</f>
        <v/>
      </c>
      <c r="AE146" s="1">
        <f>E146/I146*W146</f>
        <v/>
      </c>
      <c r="AF146" s="1">
        <f t="array" ref="AF146">_xlfn.IFS(C146="Biomass_Corn", 1/I146*S146, C146="Biomass_Agri", 1/I146*V146, C146="Biomass_Wood", 1/I146*U146, C146="Biomass_Herb", 1/I146*T146)</f>
        <v/>
      </c>
      <c r="AG146" s="1">
        <f>M146/I146/(0.9*8760)</f>
        <v/>
      </c>
      <c r="AH146" s="1">
        <f>N146/I146/(0.9*8760)</f>
        <v/>
      </c>
      <c r="AI146" s="1">
        <f>O146/I146</f>
        <v/>
      </c>
      <c r="AJ146" s="1">
        <f>(AY146+AZ146+BA146+BB146+BC146-AW146)/I146</f>
        <v/>
      </c>
      <c r="AK146" s="1">
        <f>(Q146+R146)*-1*K146/I146</f>
        <v/>
      </c>
      <c r="AL146">
        <f>AJ146*Q146</f>
        <v/>
      </c>
      <c r="AM146" s="1">
        <f>(SUM(AY146:BB146)-AW146)/I146</f>
        <v/>
      </c>
      <c r="AN146" s="1">
        <f>K146/I146*-1*R146</f>
        <v/>
      </c>
      <c r="AO146">
        <f>AM146*Q146</f>
        <v/>
      </c>
      <c r="AQ146" s="17">
        <f>J146</f>
        <v/>
      </c>
      <c r="AR146" s="8" t="n">
        <v>0.243968185</v>
      </c>
      <c r="AS146" s="8" t="n">
        <v>0.249427613</v>
      </c>
      <c r="AT146" s="9" t="n">
        <v>0.246356685</v>
      </c>
      <c r="AU146" s="17" t="n">
        <v>0.23037491</v>
      </c>
      <c r="AW146" s="9">
        <f>AQ146</f>
        <v/>
      </c>
      <c r="AY146" s="9">
        <f>AR146*F146</f>
        <v/>
      </c>
      <c r="AZ146" s="9">
        <f>AS146*H146</f>
        <v/>
      </c>
      <c r="BA146" s="9">
        <f>AT146*G146</f>
        <v/>
      </c>
      <c r="BB146" s="9">
        <f>L146</f>
        <v/>
      </c>
      <c r="BC146" s="9">
        <f>K146</f>
        <v/>
      </c>
      <c r="BE146" s="1">
        <f>AW146-SUM(AY146:BC146)</f>
        <v/>
      </c>
    </row>
    <row r="147">
      <c r="B147" s="12" t="inlineStr">
        <is>
          <t>NE_FT_High_Diesel_CCS_99_Herb</t>
        </is>
      </c>
      <c r="C147" s="20" t="inlineStr">
        <is>
          <t>Biomass_Herb</t>
        </is>
      </c>
      <c r="D147" s="20" t="n">
        <v>0</v>
      </c>
      <c r="E147" s="20" t="n">
        <v>3.5965</v>
      </c>
      <c r="F147" s="20" t="n">
        <v>0.6661</v>
      </c>
      <c r="G147" s="20" t="n">
        <v>0.6868</v>
      </c>
      <c r="H147" s="20" t="n">
        <v>1.3605</v>
      </c>
      <c r="I147" s="21">
        <f>F147+G147+H147</f>
        <v/>
      </c>
      <c r="J147" s="20" t="n">
        <v>1.745</v>
      </c>
      <c r="K147" s="20" t="n">
        <v>1.06890326338587</v>
      </c>
      <c r="L147" s="20" t="n">
        <v>0.005047568911799</v>
      </c>
      <c r="M147" s="20" t="n">
        <v>644392</v>
      </c>
      <c r="N147" s="20" t="n">
        <v>646477.4399999999</v>
      </c>
      <c r="O147" s="20" t="n">
        <v>4.256</v>
      </c>
      <c r="Q147" s="19" t="n">
        <v>109.479795</v>
      </c>
      <c r="R147" s="19" t="n">
        <v>-7.354813</v>
      </c>
      <c r="S147" s="19" t="n">
        <v>170</v>
      </c>
      <c r="T147" s="19" t="n">
        <v>138.356765</v>
      </c>
      <c r="U147" s="19" t="n">
        <v>156.777934</v>
      </c>
      <c r="V147" s="19" t="n">
        <v>119.345797</v>
      </c>
      <c r="W147" s="19" t="n">
        <v>26.773822</v>
      </c>
      <c r="Y147">
        <f>B147</f>
        <v/>
      </c>
      <c r="Z147">
        <f>C147</f>
        <v/>
      </c>
      <c r="AA147" s="18">
        <f>SUM(AD147:AI147)+AK147+AL147</f>
        <v/>
      </c>
      <c r="AB147" s="18">
        <f>SUM(AD147:AI147)+AN147+AO147</f>
        <v/>
      </c>
      <c r="AC147" s="5">
        <f>AA147-AB147</f>
        <v/>
      </c>
      <c r="AD147" s="1">
        <f>D147/I147*W147*-1</f>
        <v/>
      </c>
      <c r="AE147" s="1">
        <f>E147/I147*W147</f>
        <v/>
      </c>
      <c r="AF147" s="1">
        <f t="array" ref="AF147">_xlfn.IFS(C147="Biomass_Corn", 1/I147*S147, C147="Biomass_Agri", 1/I147*V147, C147="Biomass_Wood", 1/I147*U147, C147="Biomass_Herb", 1/I147*T147)</f>
        <v/>
      </c>
      <c r="AG147" s="1">
        <f>M147/I147/(0.9*8760)</f>
        <v/>
      </c>
      <c r="AH147" s="1">
        <f>N147/I147/(0.9*8760)</f>
        <v/>
      </c>
      <c r="AI147" s="1">
        <f>O147/I147</f>
        <v/>
      </c>
      <c r="AJ147" s="1">
        <f>(AY147+AZ147+BA147+BB147+BC147-AW147)/I147</f>
        <v/>
      </c>
      <c r="AK147" s="1">
        <f>(Q147+R147)*-1*K147/I147</f>
        <v/>
      </c>
      <c r="AL147">
        <f>AJ147*Q147</f>
        <v/>
      </c>
      <c r="AM147" s="1">
        <f>(SUM(AY147:BB147)-AW147)/I147</f>
        <v/>
      </c>
      <c r="AN147" s="1">
        <f>K147/I147*-1*R147</f>
        <v/>
      </c>
      <c r="AO147">
        <f>AM147*Q147</f>
        <v/>
      </c>
      <c r="AQ147" s="17">
        <f>J147</f>
        <v/>
      </c>
      <c r="AR147" s="8" t="n">
        <v>0.243968185</v>
      </c>
      <c r="AS147" s="8" t="n">
        <v>0.249427613</v>
      </c>
      <c r="AT147" s="9" t="n">
        <v>0.246356685</v>
      </c>
      <c r="AU147" s="17" t="n">
        <v>0.23037491</v>
      </c>
      <c r="AW147" s="9">
        <f>AQ147</f>
        <v/>
      </c>
      <c r="AY147" s="9">
        <f>AR147*F147</f>
        <v/>
      </c>
      <c r="AZ147" s="9">
        <f>AS147*H147</f>
        <v/>
      </c>
      <c r="BA147" s="9">
        <f>AT147*G147</f>
        <v/>
      </c>
      <c r="BB147" s="9">
        <f>L147</f>
        <v/>
      </c>
      <c r="BC147" s="9">
        <f>K147</f>
        <v/>
      </c>
      <c r="BE147" s="1">
        <f>AW147-SUM(AY147:BC147)</f>
        <v/>
      </c>
    </row>
    <row r="148">
      <c r="B148" s="12" t="inlineStr">
        <is>
          <t>CA_FT_High_Diesel_CCS_99_Wood</t>
        </is>
      </c>
      <c r="C148" s="20" t="inlineStr">
        <is>
          <t>Biomass_Wood</t>
        </is>
      </c>
      <c r="D148" s="20" t="n">
        <v>0</v>
      </c>
      <c r="E148" s="20" t="n">
        <v>3.5965</v>
      </c>
      <c r="F148" s="20" t="n">
        <v>0.702</v>
      </c>
      <c r="G148" s="20" t="n">
        <v>0.7238</v>
      </c>
      <c r="H148" s="20" t="n">
        <v>1.4338</v>
      </c>
      <c r="I148" s="21">
        <f>F148+G148+H148</f>
        <v/>
      </c>
      <c r="J148" s="20" t="n">
        <v>1.843</v>
      </c>
      <c r="K148" s="20" t="n">
        <v>1.130448309316845</v>
      </c>
      <c r="L148" s="20" t="n">
        <v>0.0053381965777044</v>
      </c>
      <c r="M148" s="20" t="n">
        <v>644392</v>
      </c>
      <c r="N148" s="20" t="n">
        <v>646477.4399999999</v>
      </c>
      <c r="O148" s="20" t="n">
        <v>4.256</v>
      </c>
      <c r="Q148" s="19" t="n">
        <v>109.479795</v>
      </c>
      <c r="R148" s="19" t="n">
        <v>-7.354813</v>
      </c>
      <c r="S148" s="19" t="n">
        <v>170</v>
      </c>
      <c r="T148" s="19" t="n">
        <v>138.356765</v>
      </c>
      <c r="U148" s="19" t="n">
        <v>156.777934</v>
      </c>
      <c r="V148" s="19" t="n">
        <v>119.345797</v>
      </c>
      <c r="W148" s="19" t="n">
        <v>26.773822</v>
      </c>
      <c r="Y148">
        <f>B148</f>
        <v/>
      </c>
      <c r="Z148">
        <f>C148</f>
        <v/>
      </c>
      <c r="AA148" s="18">
        <f>SUM(AD148:AI148)+AK148+AL148</f>
        <v/>
      </c>
      <c r="AB148" s="18">
        <f>SUM(AD148:AI148)+AN148+AO148</f>
        <v/>
      </c>
      <c r="AC148" s="5">
        <f>AA148-AB148</f>
        <v/>
      </c>
      <c r="AD148" s="1">
        <f>D148/I148*W148*-1</f>
        <v/>
      </c>
      <c r="AE148" s="1">
        <f>E148/I148*W148</f>
        <v/>
      </c>
      <c r="AF148" s="1">
        <f t="array" ref="AF148">_xlfn.IFS(C148="Biomass_Corn", 1/I148*S148, C148="Biomass_Agri", 1/I148*V148, C148="Biomass_Wood", 1/I148*U148, C148="Biomass_Herb", 1/I148*T148)</f>
        <v/>
      </c>
      <c r="AG148" s="1">
        <f>M148/I148/(0.9*8760)</f>
        <v/>
      </c>
      <c r="AH148" s="1">
        <f>N148/I148/(0.9*8760)</f>
        <v/>
      </c>
      <c r="AI148" s="1">
        <f>O148/I148</f>
        <v/>
      </c>
      <c r="AJ148" s="1">
        <f>(AY148+AZ148+BA148+BB148+BC148-AW148)/I148</f>
        <v/>
      </c>
      <c r="AK148" s="1">
        <f>(Q148+R148)*-1*K148/I148</f>
        <v/>
      </c>
      <c r="AL148">
        <f>AJ148*Q148</f>
        <v/>
      </c>
      <c r="AM148" s="1">
        <f>(SUM(AY148:BB148)-AW148)/I148</f>
        <v/>
      </c>
      <c r="AN148" s="1">
        <f>K148/I148*-1*R148</f>
        <v/>
      </c>
      <c r="AO148">
        <f>AM148*Q148</f>
        <v/>
      </c>
      <c r="AQ148" s="17">
        <f>J148</f>
        <v/>
      </c>
      <c r="AR148" s="8" t="n">
        <v>0.243968185</v>
      </c>
      <c r="AS148" s="8" t="n">
        <v>0.249427613</v>
      </c>
      <c r="AT148" s="9" t="n">
        <v>0.246356685</v>
      </c>
      <c r="AU148" s="17" t="n">
        <v>0.23037491</v>
      </c>
      <c r="AW148" s="9">
        <f>AQ148</f>
        <v/>
      </c>
      <c r="AY148" s="9">
        <f>AR148*F148</f>
        <v/>
      </c>
      <c r="AZ148" s="9">
        <f>AS148*H148</f>
        <v/>
      </c>
      <c r="BA148" s="9">
        <f>AT148*G148</f>
        <v/>
      </c>
      <c r="BB148" s="9">
        <f>L148</f>
        <v/>
      </c>
      <c r="BC148" s="9">
        <f>K148</f>
        <v/>
      </c>
      <c r="BE148" s="1">
        <f>AW148-SUM(AY148:BC148)</f>
        <v/>
      </c>
    </row>
    <row r="149">
      <c r="B149" s="12" t="inlineStr">
        <is>
          <t>NW_FT_High_Diesel_CCS_99_Wood</t>
        </is>
      </c>
      <c r="C149" s="20" t="inlineStr">
        <is>
          <t>Biomass_Wood</t>
        </is>
      </c>
      <c r="D149" s="20" t="n">
        <v>0</v>
      </c>
      <c r="E149" s="20" t="n">
        <v>3.5965</v>
      </c>
      <c r="F149" s="20" t="n">
        <v>0.7006</v>
      </c>
      <c r="G149" s="20" t="n">
        <v>0.7223000000000001</v>
      </c>
      <c r="H149" s="20" t="n">
        <v>1.4309</v>
      </c>
      <c r="I149" s="21">
        <f>F149+G149+H149</f>
        <v/>
      </c>
      <c r="J149" s="20" t="n">
        <v>1.818</v>
      </c>
      <c r="K149" s="20" t="n">
        <v>1.107020126652967</v>
      </c>
      <c r="L149" s="20" t="n">
        <v>0.0052275641467587</v>
      </c>
      <c r="M149" s="20" t="n">
        <v>644392</v>
      </c>
      <c r="N149" s="20" t="n">
        <v>646477.4399999999</v>
      </c>
      <c r="O149" s="20" t="n">
        <v>4.256</v>
      </c>
      <c r="Q149" s="19" t="n">
        <v>109.479795</v>
      </c>
      <c r="R149" s="19" t="n">
        <v>-7.354813</v>
      </c>
      <c r="S149" s="19" t="n">
        <v>170</v>
      </c>
      <c r="T149" s="19" t="n">
        <v>138.356765</v>
      </c>
      <c r="U149" s="19" t="n">
        <v>156.777934</v>
      </c>
      <c r="V149" s="19" t="n">
        <v>119.345797</v>
      </c>
      <c r="W149" s="19" t="n">
        <v>26.773822</v>
      </c>
      <c r="Y149">
        <f>B149</f>
        <v/>
      </c>
      <c r="Z149">
        <f>C149</f>
        <v/>
      </c>
      <c r="AA149" s="18">
        <f>SUM(AD149:AI149)+AK149+AL149</f>
        <v/>
      </c>
      <c r="AB149" s="18">
        <f>SUM(AD149:AI149)+AN149+AO149</f>
        <v/>
      </c>
      <c r="AC149" s="5">
        <f>AA149-AB149</f>
        <v/>
      </c>
      <c r="AD149" s="1">
        <f>D149/I149*W149*-1</f>
        <v/>
      </c>
      <c r="AE149" s="1">
        <f>E149/I149*W149</f>
        <v/>
      </c>
      <c r="AF149" s="1">
        <f t="array" ref="AF149">_xlfn.IFS(C149="Biomass_Corn", 1/I149*S149, C149="Biomass_Agri", 1/I149*V149, C149="Biomass_Wood", 1/I149*U149, C149="Biomass_Herb", 1/I149*T149)</f>
        <v/>
      </c>
      <c r="AG149" s="1">
        <f>M149/I149/(0.9*8760)</f>
        <v/>
      </c>
      <c r="AH149" s="1">
        <f>N149/I149/(0.9*8760)</f>
        <v/>
      </c>
      <c r="AI149" s="1">
        <f>O149/I149</f>
        <v/>
      </c>
      <c r="AJ149" s="1">
        <f>(AY149+AZ149+BA149+BB149+BC149-AW149)/I149</f>
        <v/>
      </c>
      <c r="AK149" s="1">
        <f>(Q149+R149)*-1*K149/I149</f>
        <v/>
      </c>
      <c r="AL149">
        <f>AJ149*Q149</f>
        <v/>
      </c>
      <c r="AM149" s="1">
        <f>(SUM(AY149:BB149)-AW149)/I149</f>
        <v/>
      </c>
      <c r="AN149" s="1">
        <f>K149/I149*-1*R149</f>
        <v/>
      </c>
      <c r="AO149">
        <f>AM149*Q149</f>
        <v/>
      </c>
      <c r="AQ149" s="17">
        <f>J149</f>
        <v/>
      </c>
      <c r="AR149" s="8" t="n">
        <v>0.243968185</v>
      </c>
      <c r="AS149" s="8" t="n">
        <v>0.249427613</v>
      </c>
      <c r="AT149" s="9" t="n">
        <v>0.246356685</v>
      </c>
      <c r="AU149" s="17" t="n">
        <v>0.23037491</v>
      </c>
      <c r="AW149" s="9">
        <f>AQ149</f>
        <v/>
      </c>
      <c r="AY149" s="9">
        <f>AR149*F149</f>
        <v/>
      </c>
      <c r="AZ149" s="9">
        <f>AS149*H149</f>
        <v/>
      </c>
      <c r="BA149" s="9">
        <f>AT149*G149</f>
        <v/>
      </c>
      <c r="BB149" s="9">
        <f>L149</f>
        <v/>
      </c>
      <c r="BC149" s="9">
        <f>K149</f>
        <v/>
      </c>
      <c r="BE149" s="1">
        <f>AW149-SUM(AY149:BC149)</f>
        <v/>
      </c>
    </row>
    <row r="150">
      <c r="B150" s="12" t="inlineStr">
        <is>
          <t>SW_FT_High_Diesel_CCS_99_Wood</t>
        </is>
      </c>
      <c r="C150" s="20" t="inlineStr">
        <is>
          <t>Biomass_Wood</t>
        </is>
      </c>
      <c r="D150" s="20" t="n">
        <v>0</v>
      </c>
      <c r="E150" s="20" t="n">
        <v>3.5965</v>
      </c>
      <c r="F150" s="20" t="n">
        <v>0.6941000000000001</v>
      </c>
      <c r="G150" s="20" t="n">
        <v>0.7155</v>
      </c>
      <c r="H150" s="20" t="n">
        <v>1.4175</v>
      </c>
      <c r="I150" s="21">
        <f>F150+G150+H150</f>
        <v/>
      </c>
      <c r="J150" s="20" t="n">
        <v>1.798</v>
      </c>
      <c r="K150" s="20" t="n">
        <v>1.093658554665517</v>
      </c>
      <c r="L150" s="20" t="n">
        <v>0.0051644682075032</v>
      </c>
      <c r="M150" s="20" t="n">
        <v>644392</v>
      </c>
      <c r="N150" s="20" t="n">
        <v>646477.4399999999</v>
      </c>
      <c r="O150" s="20" t="n">
        <v>4.256</v>
      </c>
      <c r="Q150" s="19" t="n">
        <v>109.479795</v>
      </c>
      <c r="R150" s="19" t="n">
        <v>-7.354813</v>
      </c>
      <c r="S150" s="19" t="n">
        <v>170</v>
      </c>
      <c r="T150" s="19" t="n">
        <v>138.356765</v>
      </c>
      <c r="U150" s="19" t="n">
        <v>156.777934</v>
      </c>
      <c r="V150" s="19" t="n">
        <v>119.345797</v>
      </c>
      <c r="W150" s="19" t="n">
        <v>26.773822</v>
      </c>
      <c r="Y150">
        <f>B150</f>
        <v/>
      </c>
      <c r="Z150">
        <f>C150</f>
        <v/>
      </c>
      <c r="AA150" s="18">
        <f>SUM(AD150:AI150)+AK150+AL150</f>
        <v/>
      </c>
      <c r="AB150" s="18">
        <f>SUM(AD150:AI150)+AN150+AO150</f>
        <v/>
      </c>
      <c r="AC150" s="5">
        <f>AA150-AB150</f>
        <v/>
      </c>
      <c r="AD150" s="1">
        <f>D150/I150*W150*-1</f>
        <v/>
      </c>
      <c r="AE150" s="1">
        <f>E150/I150*W150</f>
        <v/>
      </c>
      <c r="AF150" s="1">
        <f t="array" ref="AF150">_xlfn.IFS(C150="Biomass_Corn", 1/I150*S150, C150="Biomass_Agri", 1/I150*V150, C150="Biomass_Wood", 1/I150*U150, C150="Biomass_Herb", 1/I150*T150)</f>
        <v/>
      </c>
      <c r="AG150" s="1">
        <f>M150/I150/(0.9*8760)</f>
        <v/>
      </c>
      <c r="AH150" s="1">
        <f>N150/I150/(0.9*8760)</f>
        <v/>
      </c>
      <c r="AI150" s="1">
        <f>O150/I150</f>
        <v/>
      </c>
      <c r="AJ150" s="1">
        <f>(AY150+AZ150+BA150+BB150+BC150-AW150)/I150</f>
        <v/>
      </c>
      <c r="AK150" s="1">
        <f>(Q150+R150)*-1*K150/I150</f>
        <v/>
      </c>
      <c r="AL150">
        <f>AJ150*Q150</f>
        <v/>
      </c>
      <c r="AM150" s="1">
        <f>(SUM(AY150:BB150)-AW150)/I150</f>
        <v/>
      </c>
      <c r="AN150" s="1">
        <f>K150/I150*-1*R150</f>
        <v/>
      </c>
      <c r="AO150">
        <f>AM150*Q150</f>
        <v/>
      </c>
      <c r="AQ150" s="17">
        <f>J150</f>
        <v/>
      </c>
      <c r="AR150" s="8" t="n">
        <v>0.243968185</v>
      </c>
      <c r="AS150" s="8" t="n">
        <v>0.249427613</v>
      </c>
      <c r="AT150" s="9" t="n">
        <v>0.246356685</v>
      </c>
      <c r="AU150" s="17" t="n">
        <v>0.23037491</v>
      </c>
      <c r="AW150" s="9">
        <f>AQ150</f>
        <v/>
      </c>
      <c r="AY150" s="9">
        <f>AR150*F150</f>
        <v/>
      </c>
      <c r="AZ150" s="9">
        <f>AS150*H150</f>
        <v/>
      </c>
      <c r="BA150" s="9">
        <f>AT150*G150</f>
        <v/>
      </c>
      <c r="BB150" s="9">
        <f>L150</f>
        <v/>
      </c>
      <c r="BC150" s="9">
        <f>K150</f>
        <v/>
      </c>
      <c r="BE150" s="1">
        <f>AW150-SUM(AY150:BC150)</f>
        <v/>
      </c>
    </row>
    <row r="151">
      <c r="B151" s="12" t="inlineStr">
        <is>
          <t>TX_FT_High_Diesel_CCS_99_Wood</t>
        </is>
      </c>
      <c r="C151" s="20" t="inlineStr">
        <is>
          <t>Biomass_Wood</t>
        </is>
      </c>
      <c r="D151" s="20" t="n">
        <v>0</v>
      </c>
      <c r="E151" s="20" t="n">
        <v>3.5965</v>
      </c>
      <c r="F151" s="20" t="n">
        <v>0.6886</v>
      </c>
      <c r="G151" s="20" t="n">
        <v>0.7099</v>
      </c>
      <c r="H151" s="20" t="n">
        <v>1.4064</v>
      </c>
      <c r="I151" s="21">
        <f>F151+G151+H151</f>
        <v/>
      </c>
      <c r="J151" s="20" t="n">
        <v>1.821</v>
      </c>
      <c r="K151" s="20" t="n">
        <v>1.122004144675975</v>
      </c>
      <c r="L151" s="20" t="n">
        <v>0.0052983215914569</v>
      </c>
      <c r="M151" s="20" t="n">
        <v>644392</v>
      </c>
      <c r="N151" s="20" t="n">
        <v>646477.4399999999</v>
      </c>
      <c r="O151" s="20" t="n">
        <v>4.256</v>
      </c>
      <c r="Q151" s="19" t="n">
        <v>109.479795</v>
      </c>
      <c r="R151" s="19" t="n">
        <v>-7.354813</v>
      </c>
      <c r="S151" s="19" t="n">
        <v>170</v>
      </c>
      <c r="T151" s="19" t="n">
        <v>138.356765</v>
      </c>
      <c r="U151" s="19" t="n">
        <v>156.777934</v>
      </c>
      <c r="V151" s="19" t="n">
        <v>119.345797</v>
      </c>
      <c r="W151" s="19" t="n">
        <v>26.773822</v>
      </c>
      <c r="Y151">
        <f>B151</f>
        <v/>
      </c>
      <c r="Z151">
        <f>C151</f>
        <v/>
      </c>
      <c r="AA151" s="18">
        <f>SUM(AD151:AI151)+AK151+AL151</f>
        <v/>
      </c>
      <c r="AB151" s="18">
        <f>SUM(AD151:AI151)+AN151+AO151</f>
        <v/>
      </c>
      <c r="AC151" s="5">
        <f>AA151-AB151</f>
        <v/>
      </c>
      <c r="AD151" s="1">
        <f>D151/I151*W151*-1</f>
        <v/>
      </c>
      <c r="AE151" s="1">
        <f>E151/I151*W151</f>
        <v/>
      </c>
      <c r="AF151" s="1">
        <f t="array" ref="AF151">_xlfn.IFS(C151="Biomass_Corn", 1/I151*S151, C151="Biomass_Agri", 1/I151*V151, C151="Biomass_Wood", 1/I151*U151, C151="Biomass_Herb", 1/I151*T151)</f>
        <v/>
      </c>
      <c r="AG151" s="1">
        <f>M151/I151/(0.9*8760)</f>
        <v/>
      </c>
      <c r="AH151" s="1">
        <f>N151/I151/(0.9*8760)</f>
        <v/>
      </c>
      <c r="AI151" s="1">
        <f>O151/I151</f>
        <v/>
      </c>
      <c r="AJ151" s="1">
        <f>(AY151+AZ151+BA151+BB151+BC151-AW151)/I151</f>
        <v/>
      </c>
      <c r="AK151" s="1">
        <f>(Q151+R151)*-1*K151/I151</f>
        <v/>
      </c>
      <c r="AL151">
        <f>AJ151*Q151</f>
        <v/>
      </c>
      <c r="AM151" s="1">
        <f>(SUM(AY151:BB151)-AW151)/I151</f>
        <v/>
      </c>
      <c r="AN151" s="1">
        <f>K151/I151*-1*R151</f>
        <v/>
      </c>
      <c r="AO151">
        <f>AM151*Q151</f>
        <v/>
      </c>
      <c r="AQ151" s="17">
        <f>J151</f>
        <v/>
      </c>
      <c r="AR151" s="8" t="n">
        <v>0.243968185</v>
      </c>
      <c r="AS151" s="8" t="n">
        <v>0.249427613</v>
      </c>
      <c r="AT151" s="9" t="n">
        <v>0.246356685</v>
      </c>
      <c r="AU151" s="17" t="n">
        <v>0.23037491</v>
      </c>
      <c r="AW151" s="9">
        <f>AQ151</f>
        <v/>
      </c>
      <c r="AY151" s="9">
        <f>AR151*F151</f>
        <v/>
      </c>
      <c r="AZ151" s="9">
        <f>AS151*H151</f>
        <v/>
      </c>
      <c r="BA151" s="9">
        <f>AT151*G151</f>
        <v/>
      </c>
      <c r="BB151" s="9">
        <f>L151</f>
        <v/>
      </c>
      <c r="BC151" s="9">
        <f>K151</f>
        <v/>
      </c>
      <c r="BE151" s="1">
        <f>AW151-SUM(AY151:BC151)</f>
        <v/>
      </c>
    </row>
    <row r="152">
      <c r="B152" s="12" t="inlineStr">
        <is>
          <t>NCEN_FT_High_Diesel_CCS_99_Wood</t>
        </is>
      </c>
      <c r="C152" s="20" t="inlineStr">
        <is>
          <t>Biomass_Wood</t>
        </is>
      </c>
      <c r="D152" s="20" t="n">
        <v>0</v>
      </c>
      <c r="E152" s="20" t="n">
        <v>3.5965</v>
      </c>
      <c r="F152" s="20" t="n">
        <v>0.6912</v>
      </c>
      <c r="G152" s="20" t="n">
        <v>0.7126</v>
      </c>
      <c r="H152" s="20" t="n">
        <v>1.4116</v>
      </c>
      <c r="I152" s="21">
        <f>F152+G152+H152</f>
        <v/>
      </c>
      <c r="J152" s="20" t="n">
        <v>1.802</v>
      </c>
      <c r="K152" s="20" t="n">
        <v>1.100548389337761</v>
      </c>
      <c r="L152" s="20" t="n">
        <v>0.0051970033456118</v>
      </c>
      <c r="M152" s="20" t="n">
        <v>644392</v>
      </c>
      <c r="N152" s="20" t="n">
        <v>646477.4399999999</v>
      </c>
      <c r="O152" s="20" t="n">
        <v>4.256</v>
      </c>
      <c r="Q152" s="19" t="n">
        <v>109.479795</v>
      </c>
      <c r="R152" s="19" t="n">
        <v>-7.354813</v>
      </c>
      <c r="S152" s="19" t="n">
        <v>170</v>
      </c>
      <c r="T152" s="19" t="n">
        <v>138.356765</v>
      </c>
      <c r="U152" s="19" t="n">
        <v>156.777934</v>
      </c>
      <c r="V152" s="19" t="n">
        <v>119.345797</v>
      </c>
      <c r="W152" s="19" t="n">
        <v>26.773822</v>
      </c>
      <c r="Y152">
        <f>B152</f>
        <v/>
      </c>
      <c r="Z152">
        <f>C152</f>
        <v/>
      </c>
      <c r="AA152" s="18">
        <f>SUM(AD152:AI152)+AK152+AL152</f>
        <v/>
      </c>
      <c r="AB152" s="18">
        <f>SUM(AD152:AI152)+AN152+AO152</f>
        <v/>
      </c>
      <c r="AC152" s="5">
        <f>AA152-AB152</f>
        <v/>
      </c>
      <c r="AD152" s="1">
        <f>D152/I152*W152*-1</f>
        <v/>
      </c>
      <c r="AE152" s="1">
        <f>E152/I152*W152</f>
        <v/>
      </c>
      <c r="AF152" s="1">
        <f t="array" ref="AF152">_xlfn.IFS(C152="Biomass_Corn", 1/I152*S152, C152="Biomass_Agri", 1/I152*V152, C152="Biomass_Wood", 1/I152*U152, C152="Biomass_Herb", 1/I152*T152)</f>
        <v/>
      </c>
      <c r="AG152" s="1">
        <f>M152/I152/(0.9*8760)</f>
        <v/>
      </c>
      <c r="AH152" s="1">
        <f>N152/I152/(0.9*8760)</f>
        <v/>
      </c>
      <c r="AI152" s="1">
        <f>O152/I152</f>
        <v/>
      </c>
      <c r="AJ152" s="1">
        <f>(AY152+AZ152+BA152+BB152+BC152-AW152)/I152</f>
        <v/>
      </c>
      <c r="AK152" s="1">
        <f>(Q152+R152)*-1*K152/I152</f>
        <v/>
      </c>
      <c r="AL152">
        <f>AJ152*Q152</f>
        <v/>
      </c>
      <c r="AM152" s="1">
        <f>(SUM(AY152:BB152)-AW152)/I152</f>
        <v/>
      </c>
      <c r="AN152" s="1">
        <f>K152/I152*-1*R152</f>
        <v/>
      </c>
      <c r="AO152">
        <f>AM152*Q152</f>
        <v/>
      </c>
      <c r="AQ152" s="17">
        <f>J152</f>
        <v/>
      </c>
      <c r="AR152" s="8" t="n">
        <v>0.243968185</v>
      </c>
      <c r="AS152" s="8" t="n">
        <v>0.249427613</v>
      </c>
      <c r="AT152" s="9" t="n">
        <v>0.246356685</v>
      </c>
      <c r="AU152" s="17" t="n">
        <v>0.23037491</v>
      </c>
      <c r="AW152" s="9">
        <f>AQ152</f>
        <v/>
      </c>
      <c r="AY152" s="9">
        <f>AR152*F152</f>
        <v/>
      </c>
      <c r="AZ152" s="9">
        <f>AS152*H152</f>
        <v/>
      </c>
      <c r="BA152" s="9">
        <f>AT152*G152</f>
        <v/>
      </c>
      <c r="BB152" s="9">
        <f>L152</f>
        <v/>
      </c>
      <c r="BC152" s="9">
        <f>K152</f>
        <v/>
      </c>
      <c r="BE152" s="1">
        <f>AW152-SUM(AY152:BC152)</f>
        <v/>
      </c>
    </row>
    <row r="153">
      <c r="B153" s="12" t="inlineStr">
        <is>
          <t>CEN_FT_High_Diesel_CCS_99_Wood</t>
        </is>
      </c>
      <c r="C153" s="20" t="inlineStr">
        <is>
          <t>Biomass_Wood</t>
        </is>
      </c>
      <c r="D153" s="20" t="n">
        <v>0</v>
      </c>
      <c r="E153" s="20" t="n">
        <v>3.5965</v>
      </c>
      <c r="F153" s="20" t="n">
        <v>0.6915</v>
      </c>
      <c r="G153" s="20" t="n">
        <v>0.7129</v>
      </c>
      <c r="H153" s="20" t="n">
        <v>1.4123</v>
      </c>
      <c r="I153" s="21">
        <f>F153+G153+H153</f>
        <v/>
      </c>
      <c r="J153" s="20" t="n">
        <v>1.802</v>
      </c>
      <c r="K153" s="20" t="n">
        <v>1.100184810003731</v>
      </c>
      <c r="L153" s="20" t="n">
        <v>0.0051952864533483</v>
      </c>
      <c r="M153" s="20" t="n">
        <v>644392</v>
      </c>
      <c r="N153" s="20" t="n">
        <v>646477.4399999999</v>
      </c>
      <c r="O153" s="20" t="n">
        <v>4.256</v>
      </c>
      <c r="Q153" s="19" t="n">
        <v>109.479795</v>
      </c>
      <c r="R153" s="19" t="n">
        <v>-7.354813</v>
      </c>
      <c r="S153" s="19" t="n">
        <v>170</v>
      </c>
      <c r="T153" s="19" t="n">
        <v>138.356765</v>
      </c>
      <c r="U153" s="19" t="n">
        <v>156.777934</v>
      </c>
      <c r="V153" s="19" t="n">
        <v>119.345797</v>
      </c>
      <c r="W153" s="19" t="n">
        <v>26.773822</v>
      </c>
      <c r="Y153">
        <f>B153</f>
        <v/>
      </c>
      <c r="Z153">
        <f>C153</f>
        <v/>
      </c>
      <c r="AA153" s="18">
        <f>SUM(AD153:AI153)+AK153+AL153</f>
        <v/>
      </c>
      <c r="AB153" s="18">
        <f>SUM(AD153:AI153)+AN153+AO153</f>
        <v/>
      </c>
      <c r="AC153" s="5">
        <f>AA153-AB153</f>
        <v/>
      </c>
      <c r="AD153" s="1">
        <f>D153/I153*W153*-1</f>
        <v/>
      </c>
      <c r="AE153" s="1">
        <f>E153/I153*W153</f>
        <v/>
      </c>
      <c r="AF153" s="1">
        <f t="array" ref="AF153">_xlfn.IFS(C153="Biomass_Corn", 1/I153*S153, C153="Biomass_Agri", 1/I153*V153, C153="Biomass_Wood", 1/I153*U153, C153="Biomass_Herb", 1/I153*T153)</f>
        <v/>
      </c>
      <c r="AG153" s="1">
        <f>M153/I153/(0.9*8760)</f>
        <v/>
      </c>
      <c r="AH153" s="1">
        <f>N153/I153/(0.9*8760)</f>
        <v/>
      </c>
      <c r="AI153" s="1">
        <f>O153/I153</f>
        <v/>
      </c>
      <c r="AJ153" s="1">
        <f>(AY153+AZ153+BA153+BB153+BC153-AW153)/I153</f>
        <v/>
      </c>
      <c r="AK153" s="1">
        <f>(Q153+R153)*-1*K153/I153</f>
        <v/>
      </c>
      <c r="AL153">
        <f>AJ153*Q153</f>
        <v/>
      </c>
      <c r="AM153" s="1">
        <f>(SUM(AY153:BB153)-AW153)/I153</f>
        <v/>
      </c>
      <c r="AN153" s="1">
        <f>K153/I153*-1*R153</f>
        <v/>
      </c>
      <c r="AO153">
        <f>AM153*Q153</f>
        <v/>
      </c>
      <c r="AQ153" s="17">
        <f>J153</f>
        <v/>
      </c>
      <c r="AR153" s="8" t="n">
        <v>0.243968185</v>
      </c>
      <c r="AS153" s="8" t="n">
        <v>0.249427613</v>
      </c>
      <c r="AT153" s="9" t="n">
        <v>0.246356685</v>
      </c>
      <c r="AU153" s="17" t="n">
        <v>0.23037491</v>
      </c>
      <c r="AW153" s="9">
        <f>AQ153</f>
        <v/>
      </c>
      <c r="AY153" s="9">
        <f>AR153*F153</f>
        <v/>
      </c>
      <c r="AZ153" s="9">
        <f>AS153*H153</f>
        <v/>
      </c>
      <c r="BA153" s="9">
        <f>AT153*G153</f>
        <v/>
      </c>
      <c r="BB153" s="9">
        <f>L153</f>
        <v/>
      </c>
      <c r="BC153" s="9">
        <f>K153</f>
        <v/>
      </c>
      <c r="BE153" s="1">
        <f>AW153-SUM(AY153:BC153)</f>
        <v/>
      </c>
    </row>
    <row r="154">
      <c r="B154" s="12" t="inlineStr">
        <is>
          <t>SE_FT_High_Diesel_CCS_99_Wood</t>
        </is>
      </c>
      <c r="C154" s="20" t="inlineStr">
        <is>
          <t>Biomass_Wood</t>
        </is>
      </c>
      <c r="D154" s="20" t="n">
        <v>0</v>
      </c>
      <c r="E154" s="20" t="n">
        <v>3.5965</v>
      </c>
      <c r="F154" s="20" t="n">
        <v>0.6941000000000001</v>
      </c>
      <c r="G154" s="20" t="n">
        <v>0.7155</v>
      </c>
      <c r="H154" s="20" t="n">
        <v>1.4175</v>
      </c>
      <c r="I154" s="21">
        <f>F154+G154+H154</f>
        <v/>
      </c>
      <c r="J154" s="20" t="n">
        <v>1.821</v>
      </c>
      <c r="K154" s="20" t="n">
        <v>1.116550454665517</v>
      </c>
      <c r="L154" s="20" t="n">
        <v>0.0052725682075032</v>
      </c>
      <c r="M154" s="20" t="n">
        <v>644392</v>
      </c>
      <c r="N154" s="20" t="n">
        <v>646477.4399999999</v>
      </c>
      <c r="O154" s="20" t="n">
        <v>4.256</v>
      </c>
      <c r="Q154" s="19" t="n">
        <v>109.479795</v>
      </c>
      <c r="R154" s="19" t="n">
        <v>-7.354813</v>
      </c>
      <c r="S154" s="19" t="n">
        <v>170</v>
      </c>
      <c r="T154" s="19" t="n">
        <v>138.356765</v>
      </c>
      <c r="U154" s="19" t="n">
        <v>156.777934</v>
      </c>
      <c r="V154" s="19" t="n">
        <v>119.345797</v>
      </c>
      <c r="W154" s="19" t="n">
        <v>26.773822</v>
      </c>
      <c r="Y154">
        <f>B154</f>
        <v/>
      </c>
      <c r="Z154">
        <f>C154</f>
        <v/>
      </c>
      <c r="AA154" s="18">
        <f>SUM(AD154:AI154)+AK154+AL154</f>
        <v/>
      </c>
      <c r="AB154" s="18">
        <f>SUM(AD154:AI154)+AN154+AO154</f>
        <v/>
      </c>
      <c r="AC154" s="5">
        <f>AA154-AB154</f>
        <v/>
      </c>
      <c r="AD154" s="1">
        <f>D154/I154*W154*-1</f>
        <v/>
      </c>
      <c r="AE154" s="1">
        <f>E154/I154*W154</f>
        <v/>
      </c>
      <c r="AF154" s="1">
        <f t="array" ref="AF154">_xlfn.IFS(C154="Biomass_Corn", 1/I154*S154, C154="Biomass_Agri", 1/I154*V154, C154="Biomass_Wood", 1/I154*U154, C154="Biomass_Herb", 1/I154*T154)</f>
        <v/>
      </c>
      <c r="AG154" s="1">
        <f>M154/I154/(0.9*8760)</f>
        <v/>
      </c>
      <c r="AH154" s="1">
        <f>N154/I154/(0.9*8760)</f>
        <v/>
      </c>
      <c r="AI154" s="1">
        <f>O154/I154</f>
        <v/>
      </c>
      <c r="AJ154" s="1">
        <f>(AY154+AZ154+BA154+BB154+BC154-AW154)/I154</f>
        <v/>
      </c>
      <c r="AK154" s="1">
        <f>(Q154+R154)*-1*K154/I154</f>
        <v/>
      </c>
      <c r="AL154">
        <f>AJ154*Q154</f>
        <v/>
      </c>
      <c r="AM154" s="1">
        <f>(SUM(AY154:BB154)-AW154)/I154</f>
        <v/>
      </c>
      <c r="AN154" s="1">
        <f>K154/I154*-1*R154</f>
        <v/>
      </c>
      <c r="AO154">
        <f>AM154*Q154</f>
        <v/>
      </c>
      <c r="AQ154" s="17">
        <f>J154</f>
        <v/>
      </c>
      <c r="AR154" s="8" t="n">
        <v>0.243968185</v>
      </c>
      <c r="AS154" s="8" t="n">
        <v>0.249427613</v>
      </c>
      <c r="AT154" s="9" t="n">
        <v>0.246356685</v>
      </c>
      <c r="AU154" s="17" t="n">
        <v>0.23037491</v>
      </c>
      <c r="AW154" s="9">
        <f>AQ154</f>
        <v/>
      </c>
      <c r="AY154" s="9">
        <f>AR154*F154</f>
        <v/>
      </c>
      <c r="AZ154" s="9">
        <f>AS154*H154</f>
        <v/>
      </c>
      <c r="BA154" s="9">
        <f>AT154*G154</f>
        <v/>
      </c>
      <c r="BB154" s="9">
        <f>L154</f>
        <v/>
      </c>
      <c r="BC154" s="9">
        <f>K154</f>
        <v/>
      </c>
      <c r="BE154" s="1">
        <f>AW154-SUM(AY154:BC154)</f>
        <v/>
      </c>
    </row>
    <row r="155">
      <c r="B155" s="12" t="inlineStr">
        <is>
          <t>MIDAT_FT_High_Diesel_CCS_99_Wood</t>
        </is>
      </c>
      <c r="C155" s="20" t="inlineStr">
        <is>
          <t>Biomass_Wood</t>
        </is>
      </c>
      <c r="D155" s="20" t="n">
        <v>0</v>
      </c>
      <c r="E155" s="20" t="n">
        <v>3.5965</v>
      </c>
      <c r="F155" s="20" t="n">
        <v>0.6893</v>
      </c>
      <c r="G155" s="20" t="n">
        <v>0.7107</v>
      </c>
      <c r="H155" s="20" t="n">
        <v>1.4079</v>
      </c>
      <c r="I155" s="21">
        <f>F155+G155+H155</f>
        <v/>
      </c>
      <c r="J155" s="20" t="n">
        <v>1.806</v>
      </c>
      <c r="K155" s="20" t="n">
        <v>1.106347486007914</v>
      </c>
      <c r="L155" s="20" t="n">
        <v>0.0052243878069298</v>
      </c>
      <c r="M155" s="20" t="n">
        <v>644392</v>
      </c>
      <c r="N155" s="20" t="n">
        <v>646477.4399999999</v>
      </c>
      <c r="O155" s="20" t="n">
        <v>4.256</v>
      </c>
      <c r="Q155" s="19" t="n">
        <v>109.479795</v>
      </c>
      <c r="R155" s="19" t="n">
        <v>-7.354813</v>
      </c>
      <c r="S155" s="19" t="n">
        <v>170</v>
      </c>
      <c r="T155" s="19" t="n">
        <v>138.356765</v>
      </c>
      <c r="U155" s="19" t="n">
        <v>156.777934</v>
      </c>
      <c r="V155" s="19" t="n">
        <v>119.345797</v>
      </c>
      <c r="W155" s="19" t="n">
        <v>26.773822</v>
      </c>
      <c r="Y155">
        <f>B155</f>
        <v/>
      </c>
      <c r="Z155">
        <f>C155</f>
        <v/>
      </c>
      <c r="AA155" s="18">
        <f>SUM(AD155:AI155)+AK155+AL155</f>
        <v/>
      </c>
      <c r="AB155" s="18">
        <f>SUM(AD155:AI155)+AN155+AO155</f>
        <v/>
      </c>
      <c r="AC155" s="5">
        <f>AA155-AB155</f>
        <v/>
      </c>
      <c r="AD155" s="1">
        <f>D155/I155*W155*-1</f>
        <v/>
      </c>
      <c r="AE155" s="1">
        <f>E155/I155*W155</f>
        <v/>
      </c>
      <c r="AF155" s="1">
        <f t="array" ref="AF155">_xlfn.IFS(C155="Biomass_Corn", 1/I155*S155, C155="Biomass_Agri", 1/I155*V155, C155="Biomass_Wood", 1/I155*U155, C155="Biomass_Herb", 1/I155*T155)</f>
        <v/>
      </c>
      <c r="AG155" s="1">
        <f>M155/I155/(0.9*8760)</f>
        <v/>
      </c>
      <c r="AH155" s="1">
        <f>N155/I155/(0.9*8760)</f>
        <v/>
      </c>
      <c r="AI155" s="1">
        <f>O155/I155</f>
        <v/>
      </c>
      <c r="AJ155" s="1">
        <f>(AY155+AZ155+BA155+BB155+BC155-AW155)/I155</f>
        <v/>
      </c>
      <c r="AK155" s="1">
        <f>(Q155+R155)*-1*K155/I155</f>
        <v/>
      </c>
      <c r="AL155">
        <f>AJ155*Q155</f>
        <v/>
      </c>
      <c r="AM155" s="1">
        <f>(SUM(AY155:BB155)-AW155)/I155</f>
        <v/>
      </c>
      <c r="AN155" s="1">
        <f>K155/I155*-1*R155</f>
        <v/>
      </c>
      <c r="AO155">
        <f>AM155*Q155</f>
        <v/>
      </c>
      <c r="AQ155" s="17">
        <f>J155</f>
        <v/>
      </c>
      <c r="AR155" s="8" t="n">
        <v>0.243968185</v>
      </c>
      <c r="AS155" s="8" t="n">
        <v>0.249427613</v>
      </c>
      <c r="AT155" s="9" t="n">
        <v>0.246356685</v>
      </c>
      <c r="AU155" s="17" t="n">
        <v>0.23037491</v>
      </c>
      <c r="AW155" s="9">
        <f>AQ155</f>
        <v/>
      </c>
      <c r="AY155" s="9">
        <f>AR155*F155</f>
        <v/>
      </c>
      <c r="AZ155" s="9">
        <f>AS155*H155</f>
        <v/>
      </c>
      <c r="BA155" s="9">
        <f>AT155*G155</f>
        <v/>
      </c>
      <c r="BB155" s="9">
        <f>L155</f>
        <v/>
      </c>
      <c r="BC155" s="9">
        <f>K155</f>
        <v/>
      </c>
      <c r="BE155" s="1">
        <f>AW155-SUM(AY155:BC155)</f>
        <v/>
      </c>
    </row>
    <row r="156">
      <c r="B156" s="12" t="inlineStr">
        <is>
          <t>NE_FT_High_Diesel_CCS_99_Wood</t>
        </is>
      </c>
      <c r="C156" s="20" t="inlineStr">
        <is>
          <t>Biomass_Wood</t>
        </is>
      </c>
      <c r="D156" s="20" t="n">
        <v>0</v>
      </c>
      <c r="E156" s="20" t="n">
        <v>3.5965</v>
      </c>
      <c r="F156" s="20" t="n">
        <v>0.6850000000000001</v>
      </c>
      <c r="G156" s="20" t="n">
        <v>0.7062</v>
      </c>
      <c r="H156" s="20" t="n">
        <v>1.399</v>
      </c>
      <c r="I156" s="21">
        <f>F156+G156+H156</f>
        <v/>
      </c>
      <c r="J156" s="20" t="n">
        <v>1.826</v>
      </c>
      <c r="K156" s="20" t="n">
        <v>1.130616438016281</v>
      </c>
      <c r="L156" s="20" t="n">
        <v>0.0053389905140928</v>
      </c>
      <c r="M156" s="20" t="n">
        <v>644392</v>
      </c>
      <c r="N156" s="20" t="n">
        <v>646477.4399999999</v>
      </c>
      <c r="O156" s="20" t="n">
        <v>4.256</v>
      </c>
      <c r="Q156" s="19" t="n">
        <v>109.479795</v>
      </c>
      <c r="R156" s="19" t="n">
        <v>-7.354813</v>
      </c>
      <c r="S156" s="19" t="n">
        <v>170</v>
      </c>
      <c r="T156" s="19" t="n">
        <v>138.356765</v>
      </c>
      <c r="U156" s="19" t="n">
        <v>156.777934</v>
      </c>
      <c r="V156" s="19" t="n">
        <v>119.345797</v>
      </c>
      <c r="W156" s="19" t="n">
        <v>26.773822</v>
      </c>
      <c r="Y156">
        <f>B156</f>
        <v/>
      </c>
      <c r="Z156">
        <f>C156</f>
        <v/>
      </c>
      <c r="AA156" s="18">
        <f>SUM(AD156:AI156)+AK156+AL156</f>
        <v/>
      </c>
      <c r="AB156" s="18">
        <f>SUM(AD156:AI156)+AN156+AO156</f>
        <v/>
      </c>
      <c r="AC156" s="5">
        <f>AA156-AB156</f>
        <v/>
      </c>
      <c r="AD156" s="1">
        <f>D156/I156*W156*-1</f>
        <v/>
      </c>
      <c r="AE156" s="1">
        <f>E156/I156*W156</f>
        <v/>
      </c>
      <c r="AF156" s="1">
        <f t="array" ref="AF156">_xlfn.IFS(C156="Biomass_Corn", 1/I156*S156, C156="Biomass_Agri", 1/I156*V156, C156="Biomass_Wood", 1/I156*U156, C156="Biomass_Herb", 1/I156*T156)</f>
        <v/>
      </c>
      <c r="AG156" s="1">
        <f>M156/I156/(0.9*8760)</f>
        <v/>
      </c>
      <c r="AH156" s="1">
        <f>N156/I156/(0.9*8760)</f>
        <v/>
      </c>
      <c r="AI156" s="1">
        <f>O156/I156</f>
        <v/>
      </c>
      <c r="AJ156" s="1">
        <f>(AY156+AZ156+BA156+BB156+BC156-AW156)/I156</f>
        <v/>
      </c>
      <c r="AK156" s="1">
        <f>(Q156+R156)*-1*K156/I156</f>
        <v/>
      </c>
      <c r="AL156">
        <f>AJ156*Q156</f>
        <v/>
      </c>
      <c r="AM156" s="1">
        <f>(SUM(AY156:BB156)-AW156)/I156</f>
        <v/>
      </c>
      <c r="AN156" s="1">
        <f>K156/I156*-1*R156</f>
        <v/>
      </c>
      <c r="AO156">
        <f>AM156*Q156</f>
        <v/>
      </c>
      <c r="AQ156" s="17">
        <f>J156</f>
        <v/>
      </c>
      <c r="AR156" s="8" t="n">
        <v>0.243968185</v>
      </c>
      <c r="AS156" s="8" t="n">
        <v>0.249427613</v>
      </c>
      <c r="AT156" s="9" t="n">
        <v>0.246356685</v>
      </c>
      <c r="AU156" s="17" t="n">
        <v>0.23037491</v>
      </c>
      <c r="AW156" s="9">
        <f>AQ156</f>
        <v/>
      </c>
      <c r="AY156" s="9">
        <f>AR156*F156</f>
        <v/>
      </c>
      <c r="AZ156" s="9">
        <f>AS156*H156</f>
        <v/>
      </c>
      <c r="BA156" s="9">
        <f>AT156*G156</f>
        <v/>
      </c>
      <c r="BB156" s="9">
        <f>L156</f>
        <v/>
      </c>
      <c r="BC156" s="9">
        <f>K156</f>
        <v/>
      </c>
      <c r="BE156" s="1">
        <f>AW156-SUM(AY156:BC156)</f>
        <v/>
      </c>
    </row>
    <row r="157">
      <c r="B157" s="12" t="inlineStr">
        <is>
          <t>CA_FT_High_Diesel_CCS_99_Agri</t>
        </is>
      </c>
      <c r="C157" s="20" t="inlineStr">
        <is>
          <t>Biomass_Agri</t>
        </is>
      </c>
      <c r="D157" s="20" t="n">
        <v>0</v>
      </c>
      <c r="E157" s="20" t="n">
        <v>3.5965</v>
      </c>
      <c r="F157" s="20" t="n">
        <v>0.6632</v>
      </c>
      <c r="G157" s="20" t="n">
        <v>0.6838</v>
      </c>
      <c r="H157" s="20" t="n">
        <v>1.3546</v>
      </c>
      <c r="I157" s="21">
        <f>F157+G157+H157</f>
        <v/>
      </c>
      <c r="J157" s="20" t="n">
        <v>1.719</v>
      </c>
      <c r="K157" s="20" t="n">
        <v>1.045934098058114</v>
      </c>
      <c r="L157" s="20" t="n">
        <v>0.0049391040499077</v>
      </c>
      <c r="M157" s="20" t="n">
        <v>644392</v>
      </c>
      <c r="N157" s="20" t="n">
        <v>646477.4399999999</v>
      </c>
      <c r="O157" s="20" t="n">
        <v>4.256</v>
      </c>
      <c r="Q157" s="19" t="n">
        <v>109.479795</v>
      </c>
      <c r="R157" s="19" t="n">
        <v>-7.354813</v>
      </c>
      <c r="S157" s="19" t="n">
        <v>170</v>
      </c>
      <c r="T157" s="19" t="n">
        <v>138.356765</v>
      </c>
      <c r="U157" s="19" t="n">
        <v>156.777934</v>
      </c>
      <c r="V157" s="19" t="n">
        <v>119.345797</v>
      </c>
      <c r="W157" s="19" t="n">
        <v>26.773822</v>
      </c>
      <c r="Y157">
        <f>B157</f>
        <v/>
      </c>
      <c r="Z157">
        <f>C157</f>
        <v/>
      </c>
      <c r="AA157" s="18">
        <f>SUM(AD157:AI157)+AK157+AL157</f>
        <v/>
      </c>
      <c r="AB157" s="18">
        <f>SUM(AD157:AI157)+AN157+AO157</f>
        <v/>
      </c>
      <c r="AC157" s="5">
        <f>AA157-AB157</f>
        <v/>
      </c>
      <c r="AD157" s="1">
        <f>D157/I157*W157*-1</f>
        <v/>
      </c>
      <c r="AE157" s="1">
        <f>E157/I157*W157</f>
        <v/>
      </c>
      <c r="AF157" s="1">
        <f t="array" ref="AF157">_xlfn.IFS(C157="Biomass_Corn", 1/I157*S157, C157="Biomass_Agri", 1/I157*V157, C157="Biomass_Wood", 1/I157*U157, C157="Biomass_Herb", 1/I157*T157)</f>
        <v/>
      </c>
      <c r="AG157" s="1">
        <f>M157/I157/(0.9*8760)</f>
        <v/>
      </c>
      <c r="AH157" s="1">
        <f>N157/I157/(0.9*8760)</f>
        <v/>
      </c>
      <c r="AI157" s="1">
        <f>O157/I157</f>
        <v/>
      </c>
      <c r="AJ157" s="1">
        <f>(AY157+AZ157+BA157+BB157+BC157-AW157)/I157</f>
        <v/>
      </c>
      <c r="AK157" s="1">
        <f>(Q157+R157)*-1*K157/I157</f>
        <v/>
      </c>
      <c r="AL157">
        <f>AJ157*Q157</f>
        <v/>
      </c>
      <c r="AM157" s="1">
        <f>(SUM(AY157:BB157)-AW157)/I157</f>
        <v/>
      </c>
      <c r="AN157" s="1">
        <f>K157/I157*-1*R157</f>
        <v/>
      </c>
      <c r="AO157">
        <f>AM157*Q157</f>
        <v/>
      </c>
      <c r="AQ157" s="17">
        <f>J157</f>
        <v/>
      </c>
      <c r="AR157" s="8" t="n">
        <v>0.243968185</v>
      </c>
      <c r="AS157" s="8" t="n">
        <v>0.249427613</v>
      </c>
      <c r="AT157" s="9" t="n">
        <v>0.246356685</v>
      </c>
      <c r="AU157" s="17" t="n">
        <v>0.23037491</v>
      </c>
      <c r="AW157" s="9">
        <f>AQ157</f>
        <v/>
      </c>
      <c r="AY157" s="9">
        <f>AR157*F157</f>
        <v/>
      </c>
      <c r="AZ157" s="9">
        <f>AS157*H157</f>
        <v/>
      </c>
      <c r="BA157" s="9">
        <f>AT157*G157</f>
        <v/>
      </c>
      <c r="BB157" s="9">
        <f>L157</f>
        <v/>
      </c>
      <c r="BC157" s="9">
        <f>K157</f>
        <v/>
      </c>
      <c r="BE157" s="1">
        <f>AW157-SUM(AY157:BC157)</f>
        <v/>
      </c>
    </row>
    <row r="158">
      <c r="B158" s="12" t="inlineStr">
        <is>
          <t>NW_FT_High_Diesel_CCS_99_Agri</t>
        </is>
      </c>
      <c r="C158" s="20" t="inlineStr">
        <is>
          <t>Biomass_Agri</t>
        </is>
      </c>
      <c r="D158" s="20" t="n">
        <v>0</v>
      </c>
      <c r="E158" s="20" t="n">
        <v>3.5965</v>
      </c>
      <c r="F158" s="20" t="n">
        <v>0.6063</v>
      </c>
      <c r="G158" s="20" t="n">
        <v>0.6251</v>
      </c>
      <c r="H158" s="20" t="n">
        <v>1.2383</v>
      </c>
      <c r="I158" s="21">
        <f>F158+G158+H158</f>
        <v/>
      </c>
      <c r="J158" s="20" t="n">
        <v>1.664</v>
      </c>
      <c r="K158" s="20" t="n">
        <v>1.048274553500912</v>
      </c>
      <c r="L158" s="20" t="n">
        <v>0.0049501561352901</v>
      </c>
      <c r="M158" s="20" t="n">
        <v>644392</v>
      </c>
      <c r="N158" s="20" t="n">
        <v>646477.4399999999</v>
      </c>
      <c r="O158" s="20" t="n">
        <v>4.256</v>
      </c>
      <c r="Q158" s="19" t="n">
        <v>109.479795</v>
      </c>
      <c r="R158" s="19" t="n">
        <v>-7.354813</v>
      </c>
      <c r="S158" s="19" t="n">
        <v>170</v>
      </c>
      <c r="T158" s="19" t="n">
        <v>138.356765</v>
      </c>
      <c r="U158" s="19" t="n">
        <v>156.777934</v>
      </c>
      <c r="V158" s="19" t="n">
        <v>119.345797</v>
      </c>
      <c r="W158" s="19" t="n">
        <v>26.773822</v>
      </c>
      <c r="Y158">
        <f>B158</f>
        <v/>
      </c>
      <c r="Z158">
        <f>C158</f>
        <v/>
      </c>
      <c r="AA158" s="18">
        <f>SUM(AD158:AI158)+AK158+AL158</f>
        <v/>
      </c>
      <c r="AB158" s="18">
        <f>SUM(AD158:AI158)+AN158+AO158</f>
        <v/>
      </c>
      <c r="AC158" s="5">
        <f>AA158-AB158</f>
        <v/>
      </c>
      <c r="AD158" s="1">
        <f>D158/I158*W158*-1</f>
        <v/>
      </c>
      <c r="AE158" s="1">
        <f>E158/I158*W158</f>
        <v/>
      </c>
      <c r="AF158" s="1">
        <f t="array" ref="AF158">_xlfn.IFS(C158="Biomass_Corn", 1/I158*S158, C158="Biomass_Agri", 1/I158*V158, C158="Biomass_Wood", 1/I158*U158, C158="Biomass_Herb", 1/I158*T158)</f>
        <v/>
      </c>
      <c r="AG158" s="1">
        <f>M158/I158/(0.9*8760)</f>
        <v/>
      </c>
      <c r="AH158" s="1">
        <f>N158/I158/(0.9*8760)</f>
        <v/>
      </c>
      <c r="AI158" s="1">
        <f>O158/I158</f>
        <v/>
      </c>
      <c r="AJ158" s="1">
        <f>(AY158+AZ158+BA158+BB158+BC158-AW158)/I158</f>
        <v/>
      </c>
      <c r="AK158" s="1">
        <f>(Q158+R158)*-1*K158/I158</f>
        <v/>
      </c>
      <c r="AL158">
        <f>AJ158*Q158</f>
        <v/>
      </c>
      <c r="AM158" s="1">
        <f>(SUM(AY158:BB158)-AW158)/I158</f>
        <v/>
      </c>
      <c r="AN158" s="1">
        <f>K158/I158*-1*R158</f>
        <v/>
      </c>
      <c r="AO158">
        <f>AM158*Q158</f>
        <v/>
      </c>
      <c r="AQ158" s="17">
        <f>J158</f>
        <v/>
      </c>
      <c r="AR158" s="8" t="n">
        <v>0.243968185</v>
      </c>
      <c r="AS158" s="8" t="n">
        <v>0.249427613</v>
      </c>
      <c r="AT158" s="9" t="n">
        <v>0.246356685</v>
      </c>
      <c r="AU158" s="17" t="n">
        <v>0.23037491</v>
      </c>
      <c r="AW158" s="9">
        <f>AQ158</f>
        <v/>
      </c>
      <c r="AY158" s="9">
        <f>AR158*F158</f>
        <v/>
      </c>
      <c r="AZ158" s="9">
        <f>AS158*H158</f>
        <v/>
      </c>
      <c r="BA158" s="9">
        <f>AT158*G158</f>
        <v/>
      </c>
      <c r="BB158" s="9">
        <f>L158</f>
        <v/>
      </c>
      <c r="BC158" s="9">
        <f>K158</f>
        <v/>
      </c>
      <c r="BE158" s="1">
        <f>AW158-SUM(AY158:BC158)</f>
        <v/>
      </c>
    </row>
    <row r="159">
      <c r="B159" s="12" t="inlineStr">
        <is>
          <t>SW_FT_High_Diesel_CCS_99_Agri</t>
        </is>
      </c>
      <c r="C159" s="20" t="inlineStr">
        <is>
          <t>Biomass_Agri</t>
        </is>
      </c>
      <c r="D159" s="20" t="n">
        <v>0</v>
      </c>
      <c r="E159" s="20" t="n">
        <v>3.5965</v>
      </c>
      <c r="F159" s="20" t="n">
        <v>0.6175</v>
      </c>
      <c r="G159" s="20" t="n">
        <v>0.6367</v>
      </c>
      <c r="H159" s="20" t="n">
        <v>1.2613</v>
      </c>
      <c r="I159" s="21">
        <f>F159+G159+H159</f>
        <v/>
      </c>
      <c r="J159" s="20" t="n">
        <v>1.687</v>
      </c>
      <c r="K159" s="20" t="n">
        <v>1.059895494145964</v>
      </c>
      <c r="L159" s="20" t="n">
        <v>0.0050050324751191</v>
      </c>
      <c r="M159" s="20" t="n">
        <v>644392</v>
      </c>
      <c r="N159" s="20" t="n">
        <v>646477.4399999999</v>
      </c>
      <c r="O159" s="20" t="n">
        <v>4.256</v>
      </c>
      <c r="Q159" s="19" t="n">
        <v>109.479795</v>
      </c>
      <c r="R159" s="19" t="n">
        <v>-7.354813</v>
      </c>
      <c r="S159" s="19" t="n">
        <v>170</v>
      </c>
      <c r="T159" s="19" t="n">
        <v>138.356765</v>
      </c>
      <c r="U159" s="19" t="n">
        <v>156.777934</v>
      </c>
      <c r="V159" s="19" t="n">
        <v>119.345797</v>
      </c>
      <c r="W159" s="19" t="n">
        <v>26.773822</v>
      </c>
      <c r="Y159">
        <f>B159</f>
        <v/>
      </c>
      <c r="Z159">
        <f>C159</f>
        <v/>
      </c>
      <c r="AA159" s="18">
        <f>SUM(AD159:AI159)+AK159+AL159</f>
        <v/>
      </c>
      <c r="AB159" s="18">
        <f>SUM(AD159:AI159)+AN159+AO159</f>
        <v/>
      </c>
      <c r="AC159" s="5">
        <f>AA159-AB159</f>
        <v/>
      </c>
      <c r="AD159" s="1">
        <f>D159/I159*W159*-1</f>
        <v/>
      </c>
      <c r="AE159" s="1">
        <f>E159/I159*W159</f>
        <v/>
      </c>
      <c r="AF159" s="1">
        <f t="array" ref="AF159">_xlfn.IFS(C159="Biomass_Corn", 1/I159*S159, C159="Biomass_Agri", 1/I159*V159, C159="Biomass_Wood", 1/I159*U159, C159="Biomass_Herb", 1/I159*T159)</f>
        <v/>
      </c>
      <c r="AG159" s="1">
        <f>M159/I159/(0.9*8760)</f>
        <v/>
      </c>
      <c r="AH159" s="1">
        <f>N159/I159/(0.9*8760)</f>
        <v/>
      </c>
      <c r="AI159" s="1">
        <f>O159/I159</f>
        <v/>
      </c>
      <c r="AJ159" s="1">
        <f>(AY159+AZ159+BA159+BB159+BC159-AW159)/I159</f>
        <v/>
      </c>
      <c r="AK159" s="1">
        <f>(Q159+R159)*-1*K159/I159</f>
        <v/>
      </c>
      <c r="AL159">
        <f>AJ159*Q159</f>
        <v/>
      </c>
      <c r="AM159" s="1">
        <f>(SUM(AY159:BB159)-AW159)/I159</f>
        <v/>
      </c>
      <c r="AN159" s="1">
        <f>K159/I159*-1*R159</f>
        <v/>
      </c>
      <c r="AO159">
        <f>AM159*Q159</f>
        <v/>
      </c>
      <c r="AQ159" s="17">
        <f>J159</f>
        <v/>
      </c>
      <c r="AR159" s="8" t="n">
        <v>0.243968185</v>
      </c>
      <c r="AS159" s="8" t="n">
        <v>0.249427613</v>
      </c>
      <c r="AT159" s="9" t="n">
        <v>0.246356685</v>
      </c>
      <c r="AU159" s="17" t="n">
        <v>0.23037491</v>
      </c>
      <c r="AW159" s="9">
        <f>AQ159</f>
        <v/>
      </c>
      <c r="AY159" s="9">
        <f>AR159*F159</f>
        <v/>
      </c>
      <c r="AZ159" s="9">
        <f>AS159*H159</f>
        <v/>
      </c>
      <c r="BA159" s="9">
        <f>AT159*G159</f>
        <v/>
      </c>
      <c r="BB159" s="9">
        <f>L159</f>
        <v/>
      </c>
      <c r="BC159" s="9">
        <f>K159</f>
        <v/>
      </c>
      <c r="BE159" s="1">
        <f>AW159-SUM(AY159:BC159)</f>
        <v/>
      </c>
    </row>
    <row r="160">
      <c r="B160" s="12" t="inlineStr">
        <is>
          <t>TX_FT_High_Diesel_CCS_99_Agri</t>
        </is>
      </c>
      <c r="C160" s="20" t="inlineStr">
        <is>
          <t>Biomass_Agri</t>
        </is>
      </c>
      <c r="D160" s="20" t="n">
        <v>0</v>
      </c>
      <c r="E160" s="20" t="n">
        <v>3.5965</v>
      </c>
      <c r="F160" s="20" t="n">
        <v>0.6016</v>
      </c>
      <c r="G160" s="20" t="n">
        <v>0.6202</v>
      </c>
      <c r="H160" s="20" t="n">
        <v>1.2287</v>
      </c>
      <c r="I160" s="21">
        <f>F160+G160+H160</f>
        <v/>
      </c>
      <c r="J160" s="20" t="n">
        <v>1.633</v>
      </c>
      <c r="K160" s="20" t="n">
        <v>1.022146784843309</v>
      </c>
      <c r="L160" s="20" t="n">
        <v>0.0048267757347167</v>
      </c>
      <c r="M160" s="20" t="n">
        <v>644392</v>
      </c>
      <c r="N160" s="20" t="n">
        <v>646477.4399999999</v>
      </c>
      <c r="O160" s="20" t="n">
        <v>4.256</v>
      </c>
      <c r="Q160" s="19" t="n">
        <v>109.479795</v>
      </c>
      <c r="R160" s="19" t="n">
        <v>-7.354813</v>
      </c>
      <c r="S160" s="19" t="n">
        <v>170</v>
      </c>
      <c r="T160" s="19" t="n">
        <v>138.356765</v>
      </c>
      <c r="U160" s="19" t="n">
        <v>156.777934</v>
      </c>
      <c r="V160" s="19" t="n">
        <v>119.345797</v>
      </c>
      <c r="W160" s="19" t="n">
        <v>26.773822</v>
      </c>
      <c r="Y160">
        <f>B160</f>
        <v/>
      </c>
      <c r="Z160">
        <f>C160</f>
        <v/>
      </c>
      <c r="AA160" s="18">
        <f>SUM(AD160:AI160)+AK160+AL160</f>
        <v/>
      </c>
      <c r="AB160" s="18">
        <f>SUM(AD160:AI160)+AN160+AO160</f>
        <v/>
      </c>
      <c r="AC160" s="5">
        <f>AA160-AB160</f>
        <v/>
      </c>
      <c r="AD160" s="1">
        <f>D160/I160*W160*-1</f>
        <v/>
      </c>
      <c r="AE160" s="1">
        <f>E160/I160*W160</f>
        <v/>
      </c>
      <c r="AF160" s="1">
        <f t="array" ref="AF160">_xlfn.IFS(C160="Biomass_Corn", 1/I160*S160, C160="Biomass_Agri", 1/I160*V160, C160="Biomass_Wood", 1/I160*U160, C160="Biomass_Herb", 1/I160*T160)</f>
        <v/>
      </c>
      <c r="AG160" s="1">
        <f>M160/I160/(0.9*8760)</f>
        <v/>
      </c>
      <c r="AH160" s="1">
        <f>N160/I160/(0.9*8760)</f>
        <v/>
      </c>
      <c r="AI160" s="1">
        <f>O160/I160</f>
        <v/>
      </c>
      <c r="AJ160" s="1">
        <f>(AY160+AZ160+BA160+BB160+BC160-AW160)/I160</f>
        <v/>
      </c>
      <c r="AK160" s="1">
        <f>(Q160+R160)*-1*K160/I160</f>
        <v/>
      </c>
      <c r="AL160">
        <f>AJ160*Q160</f>
        <v/>
      </c>
      <c r="AM160" s="1">
        <f>(SUM(AY160:BB160)-AW160)/I160</f>
        <v/>
      </c>
      <c r="AN160" s="1">
        <f>K160/I160*-1*R160</f>
        <v/>
      </c>
      <c r="AO160">
        <f>AM160*Q160</f>
        <v/>
      </c>
      <c r="AQ160" s="17">
        <f>J160</f>
        <v/>
      </c>
      <c r="AR160" s="8" t="n">
        <v>0.243968185</v>
      </c>
      <c r="AS160" s="8" t="n">
        <v>0.249427613</v>
      </c>
      <c r="AT160" s="9" t="n">
        <v>0.246356685</v>
      </c>
      <c r="AU160" s="17" t="n">
        <v>0.23037491</v>
      </c>
      <c r="AW160" s="9">
        <f>AQ160</f>
        <v/>
      </c>
      <c r="AY160" s="9">
        <f>AR160*F160</f>
        <v/>
      </c>
      <c r="AZ160" s="9">
        <f>AS160*H160</f>
        <v/>
      </c>
      <c r="BA160" s="9">
        <f>AT160*G160</f>
        <v/>
      </c>
      <c r="BB160" s="9">
        <f>L160</f>
        <v/>
      </c>
      <c r="BC160" s="9">
        <f>K160</f>
        <v/>
      </c>
      <c r="BE160" s="1">
        <f>AW160-SUM(AY160:BC160)</f>
        <v/>
      </c>
    </row>
    <row r="161">
      <c r="B161" s="12" t="inlineStr">
        <is>
          <t>NCEN_FT_High_Diesel_CCS_99_Agri</t>
        </is>
      </c>
      <c r="C161" s="20" t="inlineStr">
        <is>
          <t>Biomass_Agri</t>
        </is>
      </c>
      <c r="D161" s="20" t="n">
        <v>0</v>
      </c>
      <c r="E161" s="20" t="n">
        <v>3.5965</v>
      </c>
      <c r="F161" s="20" t="n">
        <v>0.6273</v>
      </c>
      <c r="G161" s="20" t="n">
        <v>0.6468</v>
      </c>
      <c r="H161" s="20" t="n">
        <v>1.2812</v>
      </c>
      <c r="I161" s="21">
        <f>F161+G161+H161</f>
        <v/>
      </c>
      <c r="J161" s="20" t="n">
        <v>1.71</v>
      </c>
      <c r="K161" s="20" t="n">
        <v>1.072970752127139</v>
      </c>
      <c r="L161" s="20" t="n">
        <v>0.0050667763840024</v>
      </c>
      <c r="M161" s="20" t="n">
        <v>644392</v>
      </c>
      <c r="N161" s="20" t="n">
        <v>646477.4399999999</v>
      </c>
      <c r="O161" s="20" t="n">
        <v>4.256</v>
      </c>
      <c r="Q161" s="19" t="n">
        <v>109.479795</v>
      </c>
      <c r="R161" s="19" t="n">
        <v>-7.354813</v>
      </c>
      <c r="S161" s="19" t="n">
        <v>170</v>
      </c>
      <c r="T161" s="19" t="n">
        <v>138.356765</v>
      </c>
      <c r="U161" s="19" t="n">
        <v>156.777934</v>
      </c>
      <c r="V161" s="19" t="n">
        <v>119.345797</v>
      </c>
      <c r="W161" s="19" t="n">
        <v>26.773822</v>
      </c>
      <c r="Y161">
        <f>B161</f>
        <v/>
      </c>
      <c r="Z161">
        <f>C161</f>
        <v/>
      </c>
      <c r="AA161" s="18">
        <f>SUM(AD161:AI161)+AK161+AL161</f>
        <v/>
      </c>
      <c r="AB161" s="18">
        <f>SUM(AD161:AI161)+AN161+AO161</f>
        <v/>
      </c>
      <c r="AC161" s="5">
        <f>AA161-AB161</f>
        <v/>
      </c>
      <c r="AD161" s="1">
        <f>D161/I161*W161*-1</f>
        <v/>
      </c>
      <c r="AE161" s="1">
        <f>E161/I161*W161</f>
        <v/>
      </c>
      <c r="AF161" s="1">
        <f t="array" ref="AF161">_xlfn.IFS(C161="Biomass_Corn", 1/I161*S161, C161="Biomass_Agri", 1/I161*V161, C161="Biomass_Wood", 1/I161*U161, C161="Biomass_Herb", 1/I161*T161)</f>
        <v/>
      </c>
      <c r="AG161" s="1">
        <f>M161/I161/(0.9*8760)</f>
        <v/>
      </c>
      <c r="AH161" s="1">
        <f>N161/I161/(0.9*8760)</f>
        <v/>
      </c>
      <c r="AI161" s="1">
        <f>O161/I161</f>
        <v/>
      </c>
      <c r="AJ161" s="1">
        <f>(AY161+AZ161+BA161+BB161+BC161-AW161)/I161</f>
        <v/>
      </c>
      <c r="AK161" s="1">
        <f>(Q161+R161)*-1*K161/I161</f>
        <v/>
      </c>
      <c r="AL161">
        <f>AJ161*Q161</f>
        <v/>
      </c>
      <c r="AM161" s="1">
        <f>(SUM(AY161:BB161)-AW161)/I161</f>
        <v/>
      </c>
      <c r="AN161" s="1">
        <f>K161/I161*-1*R161</f>
        <v/>
      </c>
      <c r="AO161">
        <f>AM161*Q161</f>
        <v/>
      </c>
      <c r="AQ161" s="17">
        <f>J161</f>
        <v/>
      </c>
      <c r="AR161" s="8" t="n">
        <v>0.243968185</v>
      </c>
      <c r="AS161" s="8" t="n">
        <v>0.249427613</v>
      </c>
      <c r="AT161" s="9" t="n">
        <v>0.246356685</v>
      </c>
      <c r="AU161" s="17" t="n">
        <v>0.23037491</v>
      </c>
      <c r="AW161" s="9">
        <f>AQ161</f>
        <v/>
      </c>
      <c r="AY161" s="9">
        <f>AR161*F161</f>
        <v/>
      </c>
      <c r="AZ161" s="9">
        <f>AS161*H161</f>
        <v/>
      </c>
      <c r="BA161" s="9">
        <f>AT161*G161</f>
        <v/>
      </c>
      <c r="BB161" s="9">
        <f>L161</f>
        <v/>
      </c>
      <c r="BC161" s="9">
        <f>K161</f>
        <v/>
      </c>
      <c r="BE161" s="1">
        <f>AW161-SUM(AY161:BC161)</f>
        <v/>
      </c>
    </row>
    <row r="162">
      <c r="B162" s="12" t="inlineStr">
        <is>
          <t>CEN_FT_High_Diesel_CCS_99_Agri</t>
        </is>
      </c>
      <c r="C162" s="20" t="inlineStr">
        <is>
          <t>Biomass_Agri</t>
        </is>
      </c>
      <c r="D162" s="20" t="n">
        <v>0</v>
      </c>
      <c r="E162" s="20" t="n">
        <v>3.5965</v>
      </c>
      <c r="F162" s="20" t="n">
        <v>0.6226</v>
      </c>
      <c r="G162" s="20" t="n">
        <v>0.6419</v>
      </c>
      <c r="H162" s="20" t="n">
        <v>1.2716</v>
      </c>
      <c r="I162" s="21">
        <f>F162+G162+H162</f>
        <v/>
      </c>
      <c r="J162" s="20" t="n">
        <v>1.7</v>
      </c>
      <c r="K162" s="20" t="n">
        <v>1.067744283469536</v>
      </c>
      <c r="L162" s="20" t="n">
        <v>0.0050420959834289</v>
      </c>
      <c r="M162" s="20" t="n">
        <v>644392</v>
      </c>
      <c r="N162" s="20" t="n">
        <v>646477.4399999999</v>
      </c>
      <c r="O162" s="20" t="n">
        <v>4.256</v>
      </c>
      <c r="Q162" s="19" t="n">
        <v>109.479795</v>
      </c>
      <c r="R162" s="19" t="n">
        <v>-7.354813</v>
      </c>
      <c r="S162" s="19" t="n">
        <v>170</v>
      </c>
      <c r="T162" s="19" t="n">
        <v>138.356765</v>
      </c>
      <c r="U162" s="19" t="n">
        <v>156.777934</v>
      </c>
      <c r="V162" s="19" t="n">
        <v>119.345797</v>
      </c>
      <c r="W162" s="19" t="n">
        <v>26.773822</v>
      </c>
      <c r="Y162">
        <f>B162</f>
        <v/>
      </c>
      <c r="Z162">
        <f>C162</f>
        <v/>
      </c>
      <c r="AA162" s="18">
        <f>SUM(AD162:AI162)+AK162+AL162</f>
        <v/>
      </c>
      <c r="AB162" s="18">
        <f>SUM(AD162:AI162)+AN162+AO162</f>
        <v/>
      </c>
      <c r="AC162" s="5">
        <f>AA162-AB162</f>
        <v/>
      </c>
      <c r="AD162" s="1">
        <f>D162/I162*W162*-1</f>
        <v/>
      </c>
      <c r="AE162" s="1">
        <f>E162/I162*W162</f>
        <v/>
      </c>
      <c r="AF162" s="1">
        <f t="array" ref="AF162">_xlfn.IFS(C162="Biomass_Corn", 1/I162*S162, C162="Biomass_Agri", 1/I162*V162, C162="Biomass_Wood", 1/I162*U162, C162="Biomass_Herb", 1/I162*T162)</f>
        <v/>
      </c>
      <c r="AG162" s="1">
        <f>M162/I162/(0.9*8760)</f>
        <v/>
      </c>
      <c r="AH162" s="1">
        <f>N162/I162/(0.9*8760)</f>
        <v/>
      </c>
      <c r="AI162" s="1">
        <f>O162/I162</f>
        <v/>
      </c>
      <c r="AJ162" s="1">
        <f>(AY162+AZ162+BA162+BB162+BC162-AW162)/I162</f>
        <v/>
      </c>
      <c r="AK162" s="1">
        <f>(Q162+R162)*-1*K162/I162</f>
        <v/>
      </c>
      <c r="AL162">
        <f>AJ162*Q162</f>
        <v/>
      </c>
      <c r="AM162" s="1">
        <f>(SUM(AY162:BB162)-AW162)/I162</f>
        <v/>
      </c>
      <c r="AN162" s="1">
        <f>K162/I162*-1*R162</f>
        <v/>
      </c>
      <c r="AO162">
        <f>AM162*Q162</f>
        <v/>
      </c>
      <c r="AQ162" s="17">
        <f>J162</f>
        <v/>
      </c>
      <c r="AR162" s="8" t="n">
        <v>0.243968185</v>
      </c>
      <c r="AS162" s="8" t="n">
        <v>0.249427613</v>
      </c>
      <c r="AT162" s="9" t="n">
        <v>0.246356685</v>
      </c>
      <c r="AU162" s="17" t="n">
        <v>0.23037491</v>
      </c>
      <c r="AW162" s="9">
        <f>AQ162</f>
        <v/>
      </c>
      <c r="AY162" s="9">
        <f>AR162*F162</f>
        <v/>
      </c>
      <c r="AZ162" s="9">
        <f>AS162*H162</f>
        <v/>
      </c>
      <c r="BA162" s="9">
        <f>AT162*G162</f>
        <v/>
      </c>
      <c r="BB162" s="9">
        <f>L162</f>
        <v/>
      </c>
      <c r="BC162" s="9">
        <f>K162</f>
        <v/>
      </c>
      <c r="BE162" s="1">
        <f>AW162-SUM(AY162:BC162)</f>
        <v/>
      </c>
    </row>
    <row r="163">
      <c r="B163" s="12" t="inlineStr">
        <is>
          <t>SE_FT_High_Diesel_CCS_99_Agri</t>
        </is>
      </c>
      <c r="C163" s="20" t="inlineStr">
        <is>
          <t>Biomass_Agri</t>
        </is>
      </c>
      <c r="D163" s="20" t="n">
        <v>0</v>
      </c>
      <c r="E163" s="20" t="n">
        <v>3.5965</v>
      </c>
      <c r="F163" s="20" t="n">
        <v>0.6248</v>
      </c>
      <c r="G163" s="20" t="n">
        <v>0.6441</v>
      </c>
      <c r="H163" s="20" t="n">
        <v>1.2761</v>
      </c>
      <c r="I163" s="21">
        <f>F163+G163+H163</f>
        <v/>
      </c>
      <c r="J163" s="20" t="n">
        <v>1.689</v>
      </c>
      <c r="K163" s="20" t="n">
        <v>1.054614507465353</v>
      </c>
      <c r="L163" s="20" t="n">
        <v>0.0049800946298474</v>
      </c>
      <c r="M163" s="20" t="n">
        <v>644392</v>
      </c>
      <c r="N163" s="20" t="n">
        <v>646477.4399999999</v>
      </c>
      <c r="O163" s="20" t="n">
        <v>4.256</v>
      </c>
      <c r="Q163" s="19" t="n">
        <v>109.479795</v>
      </c>
      <c r="R163" s="19" t="n">
        <v>-7.354813</v>
      </c>
      <c r="S163" s="19" t="n">
        <v>170</v>
      </c>
      <c r="T163" s="19" t="n">
        <v>138.356765</v>
      </c>
      <c r="U163" s="19" t="n">
        <v>156.777934</v>
      </c>
      <c r="V163" s="19" t="n">
        <v>119.345797</v>
      </c>
      <c r="W163" s="19" t="n">
        <v>26.773822</v>
      </c>
      <c r="Y163">
        <f>B163</f>
        <v/>
      </c>
      <c r="Z163">
        <f>C163</f>
        <v/>
      </c>
      <c r="AA163" s="18">
        <f>SUM(AD163:AI163)+AK163+AL163</f>
        <v/>
      </c>
      <c r="AB163" s="18">
        <f>SUM(AD163:AI163)+AN163+AO163</f>
        <v/>
      </c>
      <c r="AC163" s="5">
        <f>AA163-AB163</f>
        <v/>
      </c>
      <c r="AD163" s="1">
        <f>D163/I163*W163*-1</f>
        <v/>
      </c>
      <c r="AE163" s="1">
        <f>E163/I163*W163</f>
        <v/>
      </c>
      <c r="AF163" s="1">
        <f t="array" ref="AF163">_xlfn.IFS(C163="Biomass_Corn", 1/I163*S163, C163="Biomass_Agri", 1/I163*V163, C163="Biomass_Wood", 1/I163*U163, C163="Biomass_Herb", 1/I163*T163)</f>
        <v/>
      </c>
      <c r="AG163" s="1">
        <f>M163/I163/(0.9*8760)</f>
        <v/>
      </c>
      <c r="AH163" s="1">
        <f>N163/I163/(0.9*8760)</f>
        <v/>
      </c>
      <c r="AI163" s="1">
        <f>O163/I163</f>
        <v/>
      </c>
      <c r="AJ163" s="1">
        <f>(AY163+AZ163+BA163+BB163+BC163-AW163)/I163</f>
        <v/>
      </c>
      <c r="AK163" s="1">
        <f>(Q163+R163)*-1*K163/I163</f>
        <v/>
      </c>
      <c r="AL163">
        <f>AJ163*Q163</f>
        <v/>
      </c>
      <c r="AM163" s="1">
        <f>(SUM(AY163:BB163)-AW163)/I163</f>
        <v/>
      </c>
      <c r="AN163" s="1">
        <f>K163/I163*-1*R163</f>
        <v/>
      </c>
      <c r="AO163">
        <f>AM163*Q163</f>
        <v/>
      </c>
      <c r="AQ163" s="17">
        <f>J163</f>
        <v/>
      </c>
      <c r="AR163" s="8" t="n">
        <v>0.243968185</v>
      </c>
      <c r="AS163" s="8" t="n">
        <v>0.249427613</v>
      </c>
      <c r="AT163" s="9" t="n">
        <v>0.246356685</v>
      </c>
      <c r="AU163" s="17" t="n">
        <v>0.23037491</v>
      </c>
      <c r="AW163" s="9">
        <f>AQ163</f>
        <v/>
      </c>
      <c r="AY163" s="9">
        <f>AR163*F163</f>
        <v/>
      </c>
      <c r="AZ163" s="9">
        <f>AS163*H163</f>
        <v/>
      </c>
      <c r="BA163" s="9">
        <f>AT163*G163</f>
        <v/>
      </c>
      <c r="BB163" s="9">
        <f>L163</f>
        <v/>
      </c>
      <c r="BC163" s="9">
        <f>K163</f>
        <v/>
      </c>
      <c r="BE163" s="1">
        <f>AW163-SUM(AY163:BC163)</f>
        <v/>
      </c>
    </row>
    <row r="164">
      <c r="B164" s="12" t="inlineStr">
        <is>
          <t>MIDAT_FT_High_Diesel_CCS_99_Agri</t>
        </is>
      </c>
      <c r="C164" s="20" t="inlineStr">
        <is>
          <t>Biomass_Agri</t>
        </is>
      </c>
      <c r="D164" s="20" t="n">
        <v>0</v>
      </c>
      <c r="E164" s="20" t="n">
        <v>3.5965</v>
      </c>
      <c r="F164" s="20" t="n">
        <v>0.6266</v>
      </c>
      <c r="G164" s="20" t="n">
        <v>0.646</v>
      </c>
      <c r="H164" s="20" t="n">
        <v>1.2798</v>
      </c>
      <c r="I164" s="21">
        <f>F164+G164+H164</f>
        <v/>
      </c>
      <c r="J164" s="20" t="n">
        <v>1.708</v>
      </c>
      <c r="K164" s="20" t="n">
        <v>1.0717073107952</v>
      </c>
      <c r="L164" s="20" t="n">
        <v>0.0050608101685295</v>
      </c>
      <c r="M164" s="20" t="n">
        <v>644392</v>
      </c>
      <c r="N164" s="20" t="n">
        <v>646477.4399999999</v>
      </c>
      <c r="O164" s="20" t="n">
        <v>4.256</v>
      </c>
      <c r="Q164" s="19" t="n">
        <v>109.479795</v>
      </c>
      <c r="R164" s="19" t="n">
        <v>-7.354813</v>
      </c>
      <c r="S164" s="19" t="n">
        <v>170</v>
      </c>
      <c r="T164" s="19" t="n">
        <v>138.356765</v>
      </c>
      <c r="U164" s="19" t="n">
        <v>156.777934</v>
      </c>
      <c r="V164" s="19" t="n">
        <v>119.345797</v>
      </c>
      <c r="W164" s="19" t="n">
        <v>26.773822</v>
      </c>
      <c r="Y164">
        <f>B164</f>
        <v/>
      </c>
      <c r="Z164">
        <f>C164</f>
        <v/>
      </c>
      <c r="AA164" s="18">
        <f>SUM(AD164:AI164)+AK164+AL164</f>
        <v/>
      </c>
      <c r="AB164" s="18">
        <f>SUM(AD164:AI164)+AN164+AO164</f>
        <v/>
      </c>
      <c r="AC164" s="5">
        <f>AA164-AB164</f>
        <v/>
      </c>
      <c r="AD164" s="1">
        <f>D164/I164*W164*-1</f>
        <v/>
      </c>
      <c r="AE164" s="1">
        <f>E164/I164*W164</f>
        <v/>
      </c>
      <c r="AF164" s="1">
        <f t="array" ref="AF164">_xlfn.IFS(C164="Biomass_Corn", 1/I164*S164, C164="Biomass_Agri", 1/I164*V164, C164="Biomass_Wood", 1/I164*U164, C164="Biomass_Herb", 1/I164*T164)</f>
        <v/>
      </c>
      <c r="AG164" s="1">
        <f>M164/I164/(0.9*8760)</f>
        <v/>
      </c>
      <c r="AH164" s="1">
        <f>N164/I164/(0.9*8760)</f>
        <v/>
      </c>
      <c r="AI164" s="1">
        <f>O164/I164</f>
        <v/>
      </c>
      <c r="AJ164" s="1">
        <f>(AY164+AZ164+BA164+BB164+BC164-AW164)/I164</f>
        <v/>
      </c>
      <c r="AK164" s="1">
        <f>(Q164+R164)*-1*K164/I164</f>
        <v/>
      </c>
      <c r="AL164">
        <f>AJ164*Q164</f>
        <v/>
      </c>
      <c r="AM164" s="1">
        <f>(SUM(AY164:BB164)-AW164)/I164</f>
        <v/>
      </c>
      <c r="AN164" s="1">
        <f>K164/I164*-1*R164</f>
        <v/>
      </c>
      <c r="AO164">
        <f>AM164*Q164</f>
        <v/>
      </c>
      <c r="AQ164" s="17">
        <f>J164</f>
        <v/>
      </c>
      <c r="AR164" s="8" t="n">
        <v>0.243968185</v>
      </c>
      <c r="AS164" s="8" t="n">
        <v>0.249427613</v>
      </c>
      <c r="AT164" s="9" t="n">
        <v>0.246356685</v>
      </c>
      <c r="AU164" s="17" t="n">
        <v>0.23037491</v>
      </c>
      <c r="AW164" s="9">
        <f>AQ164</f>
        <v/>
      </c>
      <c r="AY164" s="9">
        <f>AR164*F164</f>
        <v/>
      </c>
      <c r="AZ164" s="9">
        <f>AS164*H164</f>
        <v/>
      </c>
      <c r="BA164" s="9">
        <f>AT164*G164</f>
        <v/>
      </c>
      <c r="BB164" s="9">
        <f>L164</f>
        <v/>
      </c>
      <c r="BC164" s="9">
        <f>K164</f>
        <v/>
      </c>
      <c r="BE164" s="1">
        <f>AW164-SUM(AY164:BC164)</f>
        <v/>
      </c>
    </row>
    <row r="165">
      <c r="B165" s="12" t="inlineStr">
        <is>
          <t>NE_FT_High_Diesel_CCS_99_Agri</t>
        </is>
      </c>
      <c r="C165" s="20" t="inlineStr">
        <is>
          <t>Biomass_Agri</t>
        </is>
      </c>
      <c r="D165" s="20" t="n">
        <v>0</v>
      </c>
      <c r="E165" s="20" t="n">
        <v>3.5965</v>
      </c>
      <c r="F165" s="20" t="n">
        <v>0.6339</v>
      </c>
      <c r="G165" s="20" t="n">
        <v>0.6535</v>
      </c>
      <c r="H165" s="20" t="n">
        <v>1.2946</v>
      </c>
      <c r="I165" s="21">
        <f>F165+G165+H165</f>
        <v/>
      </c>
      <c r="J165" s="20" t="n">
        <v>1.715</v>
      </c>
      <c r="K165" s="20" t="n">
        <v>1.071402824114589</v>
      </c>
      <c r="L165" s="20" t="n">
        <v>0.0050593723232579</v>
      </c>
      <c r="M165" s="20" t="n">
        <v>644392</v>
      </c>
      <c r="N165" s="20" t="n">
        <v>646477.4399999999</v>
      </c>
      <c r="O165" s="20" t="n">
        <v>4.256</v>
      </c>
      <c r="Q165" s="19" t="n">
        <v>109.479795</v>
      </c>
      <c r="R165" s="19" t="n">
        <v>-7.354813</v>
      </c>
      <c r="S165" s="19" t="n">
        <v>170</v>
      </c>
      <c r="T165" s="19" t="n">
        <v>138.356765</v>
      </c>
      <c r="U165" s="19" t="n">
        <v>156.777934</v>
      </c>
      <c r="V165" s="19" t="n">
        <v>119.345797</v>
      </c>
      <c r="W165" s="19" t="n">
        <v>26.773822</v>
      </c>
      <c r="Y165">
        <f>B165</f>
        <v/>
      </c>
      <c r="Z165">
        <f>C165</f>
        <v/>
      </c>
      <c r="AA165" s="18">
        <f>SUM(AD165:AI165)+AK165+AL165</f>
        <v/>
      </c>
      <c r="AB165" s="18">
        <f>SUM(AD165:AI165)+AN165+AO165</f>
        <v/>
      </c>
      <c r="AC165" s="5">
        <f>AA165-AB165</f>
        <v/>
      </c>
      <c r="AD165" s="1">
        <f>D165/I165*W165*-1</f>
        <v/>
      </c>
      <c r="AE165" s="1">
        <f>E165/I165*W165</f>
        <v/>
      </c>
      <c r="AF165" s="1">
        <f t="array" ref="AF165">_xlfn.IFS(C165="Biomass_Corn", 1/I165*S165, C165="Biomass_Agri", 1/I165*V165, C165="Biomass_Wood", 1/I165*U165, C165="Biomass_Herb", 1/I165*T165)</f>
        <v/>
      </c>
      <c r="AG165" s="1">
        <f>M165/I165/(0.9*8760)</f>
        <v/>
      </c>
      <c r="AH165" s="1">
        <f>N165/I165/(0.9*8760)</f>
        <v/>
      </c>
      <c r="AI165" s="1">
        <f>O165/I165</f>
        <v/>
      </c>
      <c r="AJ165" s="1">
        <f>(AY165+AZ165+BA165+BB165+BC165-AW165)/I165</f>
        <v/>
      </c>
      <c r="AK165" s="1">
        <f>(Q165+R165)*-1*K165/I165</f>
        <v/>
      </c>
      <c r="AL165">
        <f>AJ165*Q165</f>
        <v/>
      </c>
      <c r="AM165" s="1">
        <f>(SUM(AY165:BB165)-AW165)/I165</f>
        <v/>
      </c>
      <c r="AN165" s="1">
        <f>K165/I165*-1*R165</f>
        <v/>
      </c>
      <c r="AO165">
        <f>AM165*Q165</f>
        <v/>
      </c>
      <c r="AQ165" s="17">
        <f>J165</f>
        <v/>
      </c>
      <c r="AR165" s="8" t="n">
        <v>0.243968185</v>
      </c>
      <c r="AS165" s="8" t="n">
        <v>0.249427613</v>
      </c>
      <c r="AT165" s="9" t="n">
        <v>0.246356685</v>
      </c>
      <c r="AU165" s="17" t="n">
        <v>0.23037491</v>
      </c>
      <c r="AW165" s="9">
        <f>AQ165</f>
        <v/>
      </c>
      <c r="AY165" s="9">
        <f>AR165*F165</f>
        <v/>
      </c>
      <c r="AZ165" s="9">
        <f>AS165*H165</f>
        <v/>
      </c>
      <c r="BA165" s="9">
        <f>AT165*G165</f>
        <v/>
      </c>
      <c r="BB165" s="9">
        <f>L165</f>
        <v/>
      </c>
      <c r="BC165" s="9">
        <f>K165</f>
        <v/>
      </c>
      <c r="BE165" s="1">
        <f>AW165-SUM(AY165:BC165)</f>
        <v/>
      </c>
    </row>
    <row r="166">
      <c r="B166" s="12" t="inlineStr">
        <is>
          <t>CA_FT_High_Jetfuel_CCS_75_Herb</t>
        </is>
      </c>
      <c r="C166" s="20" t="inlineStr">
        <is>
          <t>Biomass_Herb</t>
        </is>
      </c>
      <c r="D166" s="20" t="n">
        <v>0.7744</v>
      </c>
      <c r="E166" s="20" t="n">
        <v>0</v>
      </c>
      <c r="F166" s="20" t="n">
        <v>0.3154</v>
      </c>
      <c r="G166" s="20" t="n">
        <v>1.4051</v>
      </c>
      <c r="H166" s="20" t="n">
        <v>0</v>
      </c>
      <c r="I166" s="21">
        <f>F166+G166+H166</f>
        <v/>
      </c>
      <c r="J166" s="20" t="n">
        <v>1.721</v>
      </c>
      <c r="K166" s="20" t="n">
        <v>0.9701820646661896</v>
      </c>
      <c r="L166" s="20" t="n">
        <v>0.3277203629808867</v>
      </c>
      <c r="M166" s="20" t="n">
        <v>756402.08</v>
      </c>
      <c r="N166" s="20" t="n">
        <v>344508.64</v>
      </c>
      <c r="O166" s="20" t="n">
        <v>49.224</v>
      </c>
      <c r="Q166" s="19" t="n">
        <v>109.479795</v>
      </c>
      <c r="R166" s="19" t="n">
        <v>-7.354813</v>
      </c>
      <c r="S166" s="19" t="n">
        <v>170</v>
      </c>
      <c r="T166" s="19" t="n">
        <v>138.356765</v>
      </c>
      <c r="U166" s="19" t="n">
        <v>156.777934</v>
      </c>
      <c r="V166" s="19" t="n">
        <v>119.345797</v>
      </c>
      <c r="W166" s="19" t="n">
        <v>26.773822</v>
      </c>
      <c r="Y166">
        <f>B166</f>
        <v/>
      </c>
      <c r="Z166">
        <f>C166</f>
        <v/>
      </c>
      <c r="AA166" s="18">
        <f>SUM(AD166:AI166)+AK166+AL166</f>
        <v/>
      </c>
      <c r="AB166" s="18">
        <f>SUM(AD166:AI166)+AN166+AO166</f>
        <v/>
      </c>
      <c r="AC166" s="5">
        <f>AA166-AB166</f>
        <v/>
      </c>
      <c r="AD166" s="1">
        <f>D166/I166*W166*-1</f>
        <v/>
      </c>
      <c r="AE166" s="1">
        <f>E166/I166*W166</f>
        <v/>
      </c>
      <c r="AF166" s="1">
        <f t="array" ref="AF166">_xlfn.IFS(C166="Biomass_Corn", 1/I166*S166, C166="Biomass_Agri", 1/I166*V166, C166="Biomass_Wood", 1/I166*U166, C166="Biomass_Herb", 1/I166*T166)</f>
        <v/>
      </c>
      <c r="AG166" s="1">
        <f>M166/I166/(0.9*8760)</f>
        <v/>
      </c>
      <c r="AH166" s="1">
        <f>N166/I166/(0.9*8760)</f>
        <v/>
      </c>
      <c r="AI166" s="1">
        <f>O166/I166</f>
        <v/>
      </c>
      <c r="AJ166" s="1">
        <f>(AY166+AZ166+BA166+BB166+BC166-AW166)/I166</f>
        <v/>
      </c>
      <c r="AK166" s="1">
        <f>(Q166+R166)*-1*K166/I166</f>
        <v/>
      </c>
      <c r="AL166">
        <f>AJ166*Q166</f>
        <v/>
      </c>
      <c r="AM166" s="1">
        <f>(SUM(AY166:BB166)-AW166)/I166</f>
        <v/>
      </c>
      <c r="AN166" s="1">
        <f>K166/I166*-1*R166</f>
        <v/>
      </c>
      <c r="AO166">
        <f>AM166*Q166</f>
        <v/>
      </c>
      <c r="AQ166" s="17">
        <f>J166</f>
        <v/>
      </c>
      <c r="AR166" s="8" t="n">
        <v>0.243968185</v>
      </c>
      <c r="AS166" s="8" t="n">
        <v>0.249427613</v>
      </c>
      <c r="AT166" s="9" t="n">
        <v>0.246356685</v>
      </c>
      <c r="AU166" s="17" t="n">
        <v>0.23037491</v>
      </c>
      <c r="AW166" s="9">
        <f>AQ166</f>
        <v/>
      </c>
      <c r="AY166" s="9">
        <f>AR166*F166</f>
        <v/>
      </c>
      <c r="AZ166" s="9">
        <f>AS166*H166</f>
        <v/>
      </c>
      <c r="BA166" s="9">
        <f>AT166*G166</f>
        <v/>
      </c>
      <c r="BB166" s="9">
        <f>L166</f>
        <v/>
      </c>
      <c r="BC166" s="9">
        <f>K166</f>
        <v/>
      </c>
      <c r="BE166" s="1">
        <f>AW166-SUM(AY166:BC166)</f>
        <v/>
      </c>
    </row>
    <row r="167">
      <c r="B167" s="12" t="inlineStr">
        <is>
          <t>NW_FT_High_Jetfuel_CCS_75_Herb</t>
        </is>
      </c>
      <c r="C167" s="20" t="inlineStr">
        <is>
          <t>Biomass_Herb</t>
        </is>
      </c>
      <c r="D167" s="20" t="n">
        <v>0.7761</v>
      </c>
      <c r="E167" s="20" t="n">
        <v>0</v>
      </c>
      <c r="F167" s="20" t="n">
        <v>0.316</v>
      </c>
      <c r="G167" s="20" t="n">
        <v>1.4082</v>
      </c>
      <c r="H167" s="20" t="n">
        <v>0</v>
      </c>
      <c r="I167" s="21">
        <f>F167+G167+H167</f>
        <v/>
      </c>
      <c r="J167" s="20" t="n">
        <v>1.726</v>
      </c>
      <c r="K167" s="20" t="n">
        <v>0.9732240936704032</v>
      </c>
      <c r="L167" s="20" t="n">
        <v>0.3287479379956879</v>
      </c>
      <c r="M167" s="20" t="n">
        <v>756402.08</v>
      </c>
      <c r="N167" s="20" t="n">
        <v>344508.64</v>
      </c>
      <c r="O167" s="20" t="n">
        <v>49.224</v>
      </c>
      <c r="Q167" s="19" t="n">
        <v>109.479795</v>
      </c>
      <c r="R167" s="19" t="n">
        <v>-7.354813</v>
      </c>
      <c r="S167" s="19" t="n">
        <v>170</v>
      </c>
      <c r="T167" s="19" t="n">
        <v>138.356765</v>
      </c>
      <c r="U167" s="19" t="n">
        <v>156.777934</v>
      </c>
      <c r="V167" s="19" t="n">
        <v>119.345797</v>
      </c>
      <c r="W167" s="19" t="n">
        <v>26.773822</v>
      </c>
      <c r="Y167">
        <f>B167</f>
        <v/>
      </c>
      <c r="Z167">
        <f>C167</f>
        <v/>
      </c>
      <c r="AA167" s="18">
        <f>SUM(AD167:AI167)+AK167+AL167</f>
        <v/>
      </c>
      <c r="AB167" s="18">
        <f>SUM(AD167:AI167)+AN167+AO167</f>
        <v/>
      </c>
      <c r="AC167" s="5">
        <f>AA167-AB167</f>
        <v/>
      </c>
      <c r="AD167" s="1">
        <f>D167/I167*W167*-1</f>
        <v/>
      </c>
      <c r="AE167" s="1">
        <f>E167/I167*W167</f>
        <v/>
      </c>
      <c r="AF167" s="1">
        <f t="array" ref="AF167">_xlfn.IFS(C167="Biomass_Corn", 1/I167*S167, C167="Biomass_Agri", 1/I167*V167, C167="Biomass_Wood", 1/I167*U167, C167="Biomass_Herb", 1/I167*T167)</f>
        <v/>
      </c>
      <c r="AG167" s="1">
        <f>M167/I167/(0.9*8760)</f>
        <v/>
      </c>
      <c r="AH167" s="1">
        <f>N167/I167/(0.9*8760)</f>
        <v/>
      </c>
      <c r="AI167" s="1">
        <f>O167/I167</f>
        <v/>
      </c>
      <c r="AJ167" s="1">
        <f>(AY167+AZ167+BA167+BB167+BC167-AW167)/I167</f>
        <v/>
      </c>
      <c r="AK167" s="1">
        <f>(Q167+R167)*-1*K167/I167</f>
        <v/>
      </c>
      <c r="AL167">
        <f>AJ167*Q167</f>
        <v/>
      </c>
      <c r="AM167" s="1">
        <f>(SUM(AY167:BB167)-AW167)/I167</f>
        <v/>
      </c>
      <c r="AN167" s="1">
        <f>K167/I167*-1*R167</f>
        <v/>
      </c>
      <c r="AO167">
        <f>AM167*Q167</f>
        <v/>
      </c>
      <c r="AQ167" s="17">
        <f>J167</f>
        <v/>
      </c>
      <c r="AR167" s="8" t="n">
        <v>0.243968185</v>
      </c>
      <c r="AS167" s="8" t="n">
        <v>0.249427613</v>
      </c>
      <c r="AT167" s="9" t="n">
        <v>0.246356685</v>
      </c>
      <c r="AU167" s="17" t="n">
        <v>0.23037491</v>
      </c>
      <c r="AW167" s="9">
        <f>AQ167</f>
        <v/>
      </c>
      <c r="AY167" s="9">
        <f>AR167*F167</f>
        <v/>
      </c>
      <c r="AZ167" s="9">
        <f>AS167*H167</f>
        <v/>
      </c>
      <c r="BA167" s="9">
        <f>AT167*G167</f>
        <v/>
      </c>
      <c r="BB167" s="9">
        <f>L167</f>
        <v/>
      </c>
      <c r="BC167" s="9">
        <f>K167</f>
        <v/>
      </c>
      <c r="BE167" s="1">
        <f>AW167-SUM(AY167:BC167)</f>
        <v/>
      </c>
    </row>
    <row r="168">
      <c r="B168" s="12" t="inlineStr">
        <is>
          <t>SW_FT_High_Jetfuel_CCS_75_Herb</t>
        </is>
      </c>
      <c r="C168" s="20" t="inlineStr">
        <is>
          <t>Biomass_Herb</t>
        </is>
      </c>
      <c r="D168" s="20" t="n">
        <v>0.771</v>
      </c>
      <c r="E168" s="20" t="n">
        <v>0</v>
      </c>
      <c r="F168" s="20" t="n">
        <v>0.314</v>
      </c>
      <c r="G168" s="20" t="n">
        <v>1.3989</v>
      </c>
      <c r="H168" s="20" t="n">
        <v>0</v>
      </c>
      <c r="I168" s="21">
        <f>F168+G168+H168</f>
        <v/>
      </c>
      <c r="J168" s="20" t="n">
        <v>1.71</v>
      </c>
      <c r="K168" s="20" t="n">
        <v>0.963350506657762</v>
      </c>
      <c r="L168" s="20" t="n">
        <v>0.325412712951284</v>
      </c>
      <c r="M168" s="20" t="n">
        <v>756402.08</v>
      </c>
      <c r="N168" s="20" t="n">
        <v>344508.64</v>
      </c>
      <c r="O168" s="20" t="n">
        <v>49.224</v>
      </c>
      <c r="Q168" s="19" t="n">
        <v>109.479795</v>
      </c>
      <c r="R168" s="19" t="n">
        <v>-7.354813</v>
      </c>
      <c r="S168" s="19" t="n">
        <v>170</v>
      </c>
      <c r="T168" s="19" t="n">
        <v>138.356765</v>
      </c>
      <c r="U168" s="19" t="n">
        <v>156.777934</v>
      </c>
      <c r="V168" s="19" t="n">
        <v>119.345797</v>
      </c>
      <c r="W168" s="19" t="n">
        <v>26.773822</v>
      </c>
      <c r="Y168">
        <f>B168</f>
        <v/>
      </c>
      <c r="Z168">
        <f>C168</f>
        <v/>
      </c>
      <c r="AA168" s="18">
        <f>SUM(AD168:AI168)+AK168+AL168</f>
        <v/>
      </c>
      <c r="AB168" s="18">
        <f>SUM(AD168:AI168)+AN168+AO168</f>
        <v/>
      </c>
      <c r="AC168" s="5">
        <f>AA168-AB168</f>
        <v/>
      </c>
      <c r="AD168" s="1">
        <f>D168/I168*W168*-1</f>
        <v/>
      </c>
      <c r="AE168" s="1">
        <f>E168/I168*W168</f>
        <v/>
      </c>
      <c r="AF168" s="1">
        <f t="array" ref="AF168">_xlfn.IFS(C168="Biomass_Corn", 1/I168*S168, C168="Biomass_Agri", 1/I168*V168, C168="Biomass_Wood", 1/I168*U168, C168="Biomass_Herb", 1/I168*T168)</f>
        <v/>
      </c>
      <c r="AG168" s="1">
        <f>M168/I168/(0.9*8760)</f>
        <v/>
      </c>
      <c r="AH168" s="1">
        <f>N168/I168/(0.9*8760)</f>
        <v/>
      </c>
      <c r="AI168" s="1">
        <f>O168/I168</f>
        <v/>
      </c>
      <c r="AJ168" s="1">
        <f>(AY168+AZ168+BA168+BB168+BC168-AW168)/I168</f>
        <v/>
      </c>
      <c r="AK168" s="1">
        <f>(Q168+R168)*-1*K168/I168</f>
        <v/>
      </c>
      <c r="AL168">
        <f>AJ168*Q168</f>
        <v/>
      </c>
      <c r="AM168" s="1">
        <f>(SUM(AY168:BB168)-AW168)/I168</f>
        <v/>
      </c>
      <c r="AN168" s="1">
        <f>K168/I168*-1*R168</f>
        <v/>
      </c>
      <c r="AO168">
        <f>AM168*Q168</f>
        <v/>
      </c>
      <c r="AQ168" s="17">
        <f>J168</f>
        <v/>
      </c>
      <c r="AR168" s="8" t="n">
        <v>0.243968185</v>
      </c>
      <c r="AS168" s="8" t="n">
        <v>0.249427613</v>
      </c>
      <c r="AT168" s="9" t="n">
        <v>0.246356685</v>
      </c>
      <c r="AU168" s="17" t="n">
        <v>0.23037491</v>
      </c>
      <c r="AW168" s="9">
        <f>AQ168</f>
        <v/>
      </c>
      <c r="AY168" s="9">
        <f>AR168*F168</f>
        <v/>
      </c>
      <c r="AZ168" s="9">
        <f>AS168*H168</f>
        <v/>
      </c>
      <c r="BA168" s="9">
        <f>AT168*G168</f>
        <v/>
      </c>
      <c r="BB168" s="9">
        <f>L168</f>
        <v/>
      </c>
      <c r="BC168" s="9">
        <f>K168</f>
        <v/>
      </c>
      <c r="BE168" s="1">
        <f>AW168-SUM(AY168:BC168)</f>
        <v/>
      </c>
    </row>
    <row r="169">
      <c r="B169" s="12" t="inlineStr">
        <is>
          <t>TX_FT_High_Jetfuel_CCS_75_Herb</t>
        </is>
      </c>
      <c r="C169" s="20" t="inlineStr">
        <is>
          <t>Biomass_Herb</t>
        </is>
      </c>
      <c r="D169" s="20" t="n">
        <v>0.7727000000000001</v>
      </c>
      <c r="E169" s="20" t="n">
        <v>0</v>
      </c>
      <c r="F169" s="20" t="n">
        <v>0.3147</v>
      </c>
      <c r="G169" s="20" t="n">
        <v>1.402</v>
      </c>
      <c r="H169" s="20" t="n">
        <v>0</v>
      </c>
      <c r="I169" s="21">
        <f>F169+G169+H169</f>
        <v/>
      </c>
      <c r="J169" s="20" t="n">
        <v>1.714</v>
      </c>
      <c r="K169" s="20" t="n">
        <v>0.9656450356619758</v>
      </c>
      <c r="L169" s="20" t="n">
        <v>0.3261877879660854</v>
      </c>
      <c r="M169" s="20" t="n">
        <v>756402.08</v>
      </c>
      <c r="N169" s="20" t="n">
        <v>344508.64</v>
      </c>
      <c r="O169" s="20" t="n">
        <v>49.224</v>
      </c>
      <c r="Q169" s="19" t="n">
        <v>109.479795</v>
      </c>
      <c r="R169" s="19" t="n">
        <v>-7.354813</v>
      </c>
      <c r="S169" s="19" t="n">
        <v>170</v>
      </c>
      <c r="T169" s="19" t="n">
        <v>138.356765</v>
      </c>
      <c r="U169" s="19" t="n">
        <v>156.777934</v>
      </c>
      <c r="V169" s="19" t="n">
        <v>119.345797</v>
      </c>
      <c r="W169" s="19" t="n">
        <v>26.773822</v>
      </c>
      <c r="Y169">
        <f>B169</f>
        <v/>
      </c>
      <c r="Z169">
        <f>C169</f>
        <v/>
      </c>
      <c r="AA169" s="18">
        <f>SUM(AD169:AI169)+AK169+AL169</f>
        <v/>
      </c>
      <c r="AB169" s="18">
        <f>SUM(AD169:AI169)+AN169+AO169</f>
        <v/>
      </c>
      <c r="AC169" s="5">
        <f>AA169-AB169</f>
        <v/>
      </c>
      <c r="AD169" s="1">
        <f>D169/I169*W169*-1</f>
        <v/>
      </c>
      <c r="AE169" s="1">
        <f>E169/I169*W169</f>
        <v/>
      </c>
      <c r="AF169" s="1">
        <f t="array" ref="AF169">_xlfn.IFS(C169="Biomass_Corn", 1/I169*S169, C169="Biomass_Agri", 1/I169*V169, C169="Biomass_Wood", 1/I169*U169, C169="Biomass_Herb", 1/I169*T169)</f>
        <v/>
      </c>
      <c r="AG169" s="1">
        <f>M169/I169/(0.9*8760)</f>
        <v/>
      </c>
      <c r="AH169" s="1">
        <f>N169/I169/(0.9*8760)</f>
        <v/>
      </c>
      <c r="AI169" s="1">
        <f>O169/I169</f>
        <v/>
      </c>
      <c r="AJ169" s="1">
        <f>(AY169+AZ169+BA169+BB169+BC169-AW169)/I169</f>
        <v/>
      </c>
      <c r="AK169" s="1">
        <f>(Q169+R169)*-1*K169/I169</f>
        <v/>
      </c>
      <c r="AL169">
        <f>AJ169*Q169</f>
        <v/>
      </c>
      <c r="AM169" s="1">
        <f>(SUM(AY169:BB169)-AW169)/I169</f>
        <v/>
      </c>
      <c r="AN169" s="1">
        <f>K169/I169*-1*R169</f>
        <v/>
      </c>
      <c r="AO169">
        <f>AM169*Q169</f>
        <v/>
      </c>
      <c r="AQ169" s="17">
        <f>J169</f>
        <v/>
      </c>
      <c r="AR169" s="8" t="n">
        <v>0.243968185</v>
      </c>
      <c r="AS169" s="8" t="n">
        <v>0.249427613</v>
      </c>
      <c r="AT169" s="9" t="n">
        <v>0.246356685</v>
      </c>
      <c r="AU169" s="17" t="n">
        <v>0.23037491</v>
      </c>
      <c r="AW169" s="9">
        <f>AQ169</f>
        <v/>
      </c>
      <c r="AY169" s="9">
        <f>AR169*F169</f>
        <v/>
      </c>
      <c r="AZ169" s="9">
        <f>AS169*H169</f>
        <v/>
      </c>
      <c r="BA169" s="9">
        <f>AT169*G169</f>
        <v/>
      </c>
      <c r="BB169" s="9">
        <f>L169</f>
        <v/>
      </c>
      <c r="BC169" s="9">
        <f>K169</f>
        <v/>
      </c>
      <c r="BE169" s="1">
        <f>AW169-SUM(AY169:BC169)</f>
        <v/>
      </c>
    </row>
    <row r="170">
      <c r="B170" s="12" t="inlineStr">
        <is>
          <t>NCEN_FT_High_Jetfuel_CCS_75_Herb</t>
        </is>
      </c>
      <c r="C170" s="20" t="inlineStr">
        <is>
          <t>Biomass_Herb</t>
        </is>
      </c>
      <c r="D170" s="20" t="n">
        <v>0.7808</v>
      </c>
      <c r="E170" s="20" t="n">
        <v>0</v>
      </c>
      <c r="F170" s="20" t="n">
        <v>0.318</v>
      </c>
      <c r="G170" s="20" t="n">
        <v>1.4167</v>
      </c>
      <c r="H170" s="20" t="n">
        <v>0</v>
      </c>
      <c r="I170" s="21">
        <f>F170+G170+H170</f>
        <v/>
      </c>
      <c r="J170" s="20" t="n">
        <v>1.74</v>
      </c>
      <c r="K170" s="20" t="n">
        <v>0.981776548431991</v>
      </c>
      <c r="L170" s="20" t="n">
        <v>0.3316368942863915</v>
      </c>
      <c r="M170" s="20" t="n">
        <v>756402.08</v>
      </c>
      <c r="N170" s="20" t="n">
        <v>344508.64</v>
      </c>
      <c r="O170" s="20" t="n">
        <v>49.224</v>
      </c>
      <c r="Q170" s="19" t="n">
        <v>109.479795</v>
      </c>
      <c r="R170" s="19" t="n">
        <v>-7.354813</v>
      </c>
      <c r="S170" s="19" t="n">
        <v>170</v>
      </c>
      <c r="T170" s="19" t="n">
        <v>138.356765</v>
      </c>
      <c r="U170" s="19" t="n">
        <v>156.777934</v>
      </c>
      <c r="V170" s="19" t="n">
        <v>119.345797</v>
      </c>
      <c r="W170" s="19" t="n">
        <v>26.773822</v>
      </c>
      <c r="Y170">
        <f>B170</f>
        <v/>
      </c>
      <c r="Z170">
        <f>C170</f>
        <v/>
      </c>
      <c r="AA170" s="18">
        <f>SUM(AD170:AI170)+AK170+AL170</f>
        <v/>
      </c>
      <c r="AB170" s="18">
        <f>SUM(AD170:AI170)+AN170+AO170</f>
        <v/>
      </c>
      <c r="AC170" s="5">
        <f>AA170-AB170</f>
        <v/>
      </c>
      <c r="AD170" s="1">
        <f>D170/I170*W170*-1</f>
        <v/>
      </c>
      <c r="AE170" s="1">
        <f>E170/I170*W170</f>
        <v/>
      </c>
      <c r="AF170" s="1">
        <f t="array" ref="AF170">_xlfn.IFS(C170="Biomass_Corn", 1/I170*S170, C170="Biomass_Agri", 1/I170*V170, C170="Biomass_Wood", 1/I170*U170, C170="Biomass_Herb", 1/I170*T170)</f>
        <v/>
      </c>
      <c r="AG170" s="1">
        <f>M170/I170/(0.9*8760)</f>
        <v/>
      </c>
      <c r="AH170" s="1">
        <f>N170/I170/(0.9*8760)</f>
        <v/>
      </c>
      <c r="AI170" s="1">
        <f>O170/I170</f>
        <v/>
      </c>
      <c r="AJ170" s="1">
        <f>(AY170+AZ170+BA170+BB170+BC170-AW170)/I170</f>
        <v/>
      </c>
      <c r="AK170" s="1">
        <f>(Q170+R170)*-1*K170/I170</f>
        <v/>
      </c>
      <c r="AL170">
        <f>AJ170*Q170</f>
        <v/>
      </c>
      <c r="AM170" s="1">
        <f>(SUM(AY170:BB170)-AW170)/I170</f>
        <v/>
      </c>
      <c r="AN170" s="1">
        <f>K170/I170*-1*R170</f>
        <v/>
      </c>
      <c r="AO170">
        <f>AM170*Q170</f>
        <v/>
      </c>
      <c r="AQ170" s="17">
        <f>J170</f>
        <v/>
      </c>
      <c r="AR170" s="8" t="n">
        <v>0.243968185</v>
      </c>
      <c r="AS170" s="8" t="n">
        <v>0.249427613</v>
      </c>
      <c r="AT170" s="9" t="n">
        <v>0.246356685</v>
      </c>
      <c r="AU170" s="17" t="n">
        <v>0.23037491</v>
      </c>
      <c r="AW170" s="9">
        <f>AQ170</f>
        <v/>
      </c>
      <c r="AY170" s="9">
        <f>AR170*F170</f>
        <v/>
      </c>
      <c r="AZ170" s="9">
        <f>AS170*H170</f>
        <v/>
      </c>
      <c r="BA170" s="9">
        <f>AT170*G170</f>
        <v/>
      </c>
      <c r="BB170" s="9">
        <f>L170</f>
        <v/>
      </c>
      <c r="BC170" s="9">
        <f>K170</f>
        <v/>
      </c>
      <c r="BE170" s="1">
        <f>AW170-SUM(AY170:BC170)</f>
        <v/>
      </c>
    </row>
    <row r="171">
      <c r="B171" s="12" t="inlineStr">
        <is>
          <t>CEN_FT_High_Jetfuel_CCS_75_Herb</t>
        </is>
      </c>
      <c r="C171" s="20" t="inlineStr">
        <is>
          <t>Biomass_Herb</t>
        </is>
      </c>
      <c r="D171" s="20" t="n">
        <v>0.7761</v>
      </c>
      <c r="E171" s="20" t="n">
        <v>0</v>
      </c>
      <c r="F171" s="20" t="n">
        <v>0.316</v>
      </c>
      <c r="G171" s="20" t="n">
        <v>1.4082</v>
      </c>
      <c r="H171" s="20" t="n">
        <v>0</v>
      </c>
      <c r="I171" s="21">
        <f>F171+G171+H171</f>
        <v/>
      </c>
      <c r="J171" s="20" t="n">
        <v>1.723</v>
      </c>
      <c r="K171" s="20" t="n">
        <v>0.9709815936704032</v>
      </c>
      <c r="L171" s="20" t="n">
        <v>0.3279904379956879</v>
      </c>
      <c r="M171" s="20" t="n">
        <v>756402.08</v>
      </c>
      <c r="N171" s="20" t="n">
        <v>344508.64</v>
      </c>
      <c r="O171" s="20" t="n">
        <v>49.224</v>
      </c>
      <c r="Q171" s="19" t="n">
        <v>109.479795</v>
      </c>
      <c r="R171" s="19" t="n">
        <v>-7.354813</v>
      </c>
      <c r="S171" s="19" t="n">
        <v>170</v>
      </c>
      <c r="T171" s="19" t="n">
        <v>138.356765</v>
      </c>
      <c r="U171" s="19" t="n">
        <v>156.777934</v>
      </c>
      <c r="V171" s="19" t="n">
        <v>119.345797</v>
      </c>
      <c r="W171" s="19" t="n">
        <v>26.773822</v>
      </c>
      <c r="Y171">
        <f>B171</f>
        <v/>
      </c>
      <c r="Z171">
        <f>C171</f>
        <v/>
      </c>
      <c r="AA171" s="18">
        <f>SUM(AD171:AI171)+AK171+AL171</f>
        <v/>
      </c>
      <c r="AB171" s="18">
        <f>SUM(AD171:AI171)+AN171+AO171</f>
        <v/>
      </c>
      <c r="AC171" s="5">
        <f>AA171-AB171</f>
        <v/>
      </c>
      <c r="AD171" s="1">
        <f>D171/I171*W171*-1</f>
        <v/>
      </c>
      <c r="AE171" s="1">
        <f>E171/I171*W171</f>
        <v/>
      </c>
      <c r="AF171" s="1">
        <f t="array" ref="AF171">_xlfn.IFS(C171="Biomass_Corn", 1/I171*S171, C171="Biomass_Agri", 1/I171*V171, C171="Biomass_Wood", 1/I171*U171, C171="Biomass_Herb", 1/I171*T171)</f>
        <v/>
      </c>
      <c r="AG171" s="1">
        <f>M171/I171/(0.9*8760)</f>
        <v/>
      </c>
      <c r="AH171" s="1">
        <f>N171/I171/(0.9*8760)</f>
        <v/>
      </c>
      <c r="AI171" s="1">
        <f>O171/I171</f>
        <v/>
      </c>
      <c r="AJ171" s="1">
        <f>(AY171+AZ171+BA171+BB171+BC171-AW171)/I171</f>
        <v/>
      </c>
      <c r="AK171" s="1">
        <f>(Q171+R171)*-1*K171/I171</f>
        <v/>
      </c>
      <c r="AL171">
        <f>AJ171*Q171</f>
        <v/>
      </c>
      <c r="AM171" s="1">
        <f>(SUM(AY171:BB171)-AW171)/I171</f>
        <v/>
      </c>
      <c r="AN171" s="1">
        <f>K171/I171*-1*R171</f>
        <v/>
      </c>
      <c r="AO171">
        <f>AM171*Q171</f>
        <v/>
      </c>
      <c r="AQ171" s="17">
        <f>J171</f>
        <v/>
      </c>
      <c r="AR171" s="8" t="n">
        <v>0.243968185</v>
      </c>
      <c r="AS171" s="8" t="n">
        <v>0.249427613</v>
      </c>
      <c r="AT171" s="9" t="n">
        <v>0.246356685</v>
      </c>
      <c r="AU171" s="17" t="n">
        <v>0.23037491</v>
      </c>
      <c r="AW171" s="9">
        <f>AQ171</f>
        <v/>
      </c>
      <c r="AY171" s="9">
        <f>AR171*F171</f>
        <v/>
      </c>
      <c r="AZ171" s="9">
        <f>AS171*H171</f>
        <v/>
      </c>
      <c r="BA171" s="9">
        <f>AT171*G171</f>
        <v/>
      </c>
      <c r="BB171" s="9">
        <f>L171</f>
        <v/>
      </c>
      <c r="BC171" s="9">
        <f>K171</f>
        <v/>
      </c>
      <c r="BE171" s="1">
        <f>AW171-SUM(AY171:BC171)</f>
        <v/>
      </c>
    </row>
    <row r="172">
      <c r="B172" s="12" t="inlineStr">
        <is>
          <t>SE_FT_High_Jetfuel_CCS_75_Herb</t>
        </is>
      </c>
      <c r="C172" s="20" t="inlineStr">
        <is>
          <t>Biomass_Herb</t>
        </is>
      </c>
      <c r="D172" s="20" t="n">
        <v>0.7748</v>
      </c>
      <c r="E172" s="20" t="n">
        <v>0</v>
      </c>
      <c r="F172" s="20" t="n">
        <v>0.3155</v>
      </c>
      <c r="G172" s="20" t="n">
        <v>1.4059</v>
      </c>
      <c r="H172" s="20" t="n">
        <v>0</v>
      </c>
      <c r="I172" s="21">
        <f>F172+G172+H172</f>
        <v/>
      </c>
      <c r="J172" s="20" t="n">
        <v>1.717</v>
      </c>
      <c r="K172" s="20" t="n">
        <v>0.967018196917243</v>
      </c>
      <c r="L172" s="20" t="n">
        <v>0.326651631734587</v>
      </c>
      <c r="M172" s="20" t="n">
        <v>756402.08</v>
      </c>
      <c r="N172" s="20" t="n">
        <v>344508.64</v>
      </c>
      <c r="O172" s="20" t="n">
        <v>49.224</v>
      </c>
      <c r="Q172" s="19" t="n">
        <v>109.479795</v>
      </c>
      <c r="R172" s="19" t="n">
        <v>-7.354813</v>
      </c>
      <c r="S172" s="19" t="n">
        <v>170</v>
      </c>
      <c r="T172" s="19" t="n">
        <v>138.356765</v>
      </c>
      <c r="U172" s="19" t="n">
        <v>156.777934</v>
      </c>
      <c r="V172" s="19" t="n">
        <v>119.345797</v>
      </c>
      <c r="W172" s="19" t="n">
        <v>26.773822</v>
      </c>
      <c r="Y172">
        <f>B172</f>
        <v/>
      </c>
      <c r="Z172">
        <f>C172</f>
        <v/>
      </c>
      <c r="AA172" s="18">
        <f>SUM(AD172:AI172)+AK172+AL172</f>
        <v/>
      </c>
      <c r="AB172" s="18">
        <f>SUM(AD172:AI172)+AN172+AO172</f>
        <v/>
      </c>
      <c r="AC172" s="5">
        <f>AA172-AB172</f>
        <v/>
      </c>
      <c r="AD172" s="1">
        <f>D172/I172*W172*-1</f>
        <v/>
      </c>
      <c r="AE172" s="1">
        <f>E172/I172*W172</f>
        <v/>
      </c>
      <c r="AF172" s="1">
        <f t="array" ref="AF172">_xlfn.IFS(C172="Biomass_Corn", 1/I172*S172, C172="Biomass_Agri", 1/I172*V172, C172="Biomass_Wood", 1/I172*U172, C172="Biomass_Herb", 1/I172*T172)</f>
        <v/>
      </c>
      <c r="AG172" s="1">
        <f>M172/I172/(0.9*8760)</f>
        <v/>
      </c>
      <c r="AH172" s="1">
        <f>N172/I172/(0.9*8760)</f>
        <v/>
      </c>
      <c r="AI172" s="1">
        <f>O172/I172</f>
        <v/>
      </c>
      <c r="AJ172" s="1">
        <f>(AY172+AZ172+BA172+BB172+BC172-AW172)/I172</f>
        <v/>
      </c>
      <c r="AK172" s="1">
        <f>(Q172+R172)*-1*K172/I172</f>
        <v/>
      </c>
      <c r="AL172">
        <f>AJ172*Q172</f>
        <v/>
      </c>
      <c r="AM172" s="1">
        <f>(SUM(AY172:BB172)-AW172)/I172</f>
        <v/>
      </c>
      <c r="AN172" s="1">
        <f>K172/I172*-1*R172</f>
        <v/>
      </c>
      <c r="AO172">
        <f>AM172*Q172</f>
        <v/>
      </c>
      <c r="AQ172" s="17">
        <f>J172</f>
        <v/>
      </c>
      <c r="AR172" s="8" t="n">
        <v>0.243968185</v>
      </c>
      <c r="AS172" s="8" t="n">
        <v>0.249427613</v>
      </c>
      <c r="AT172" s="9" t="n">
        <v>0.246356685</v>
      </c>
      <c r="AU172" s="17" t="n">
        <v>0.23037491</v>
      </c>
      <c r="AW172" s="9">
        <f>AQ172</f>
        <v/>
      </c>
      <c r="AY172" s="9">
        <f>AR172*F172</f>
        <v/>
      </c>
      <c r="AZ172" s="9">
        <f>AS172*H172</f>
        <v/>
      </c>
      <c r="BA172" s="9">
        <f>AT172*G172</f>
        <v/>
      </c>
      <c r="BB172" s="9">
        <f>L172</f>
        <v/>
      </c>
      <c r="BC172" s="9">
        <f>K172</f>
        <v/>
      </c>
      <c r="BE172" s="1">
        <f>AW172-SUM(AY172:BC172)</f>
        <v/>
      </c>
    </row>
    <row r="173">
      <c r="B173" s="12" t="inlineStr">
        <is>
          <t>MIDAT_FT_High_Jetfuel_CCS_75_Herb</t>
        </is>
      </c>
      <c r="C173" s="20" t="inlineStr">
        <is>
          <t>Biomass_Herb</t>
        </is>
      </c>
      <c r="D173" s="20" t="n">
        <v>0.7791</v>
      </c>
      <c r="E173" s="20" t="n">
        <v>0</v>
      </c>
      <c r="F173" s="20" t="n">
        <v>0.3173</v>
      </c>
      <c r="G173" s="20" t="n">
        <v>1.4136</v>
      </c>
      <c r="H173" s="20" t="n">
        <v>0</v>
      </c>
      <c r="I173" s="21">
        <f>F173+G173+H173</f>
        <v/>
      </c>
      <c r="J173" s="20" t="n">
        <v>1.736</v>
      </c>
      <c r="K173" s="20" t="n">
        <v>0.9794820194277772</v>
      </c>
      <c r="L173" s="20" t="n">
        <v>0.3308618192715902</v>
      </c>
      <c r="M173" s="20" t="n">
        <v>756402.08</v>
      </c>
      <c r="N173" s="20" t="n">
        <v>344508.64</v>
      </c>
      <c r="O173" s="20" t="n">
        <v>49.224</v>
      </c>
      <c r="Q173" s="19" t="n">
        <v>109.479795</v>
      </c>
      <c r="R173" s="19" t="n">
        <v>-7.354813</v>
      </c>
      <c r="S173" s="19" t="n">
        <v>170</v>
      </c>
      <c r="T173" s="19" t="n">
        <v>138.356765</v>
      </c>
      <c r="U173" s="19" t="n">
        <v>156.777934</v>
      </c>
      <c r="V173" s="19" t="n">
        <v>119.345797</v>
      </c>
      <c r="W173" s="19" t="n">
        <v>26.773822</v>
      </c>
      <c r="Y173">
        <f>B173</f>
        <v/>
      </c>
      <c r="Z173">
        <f>C173</f>
        <v/>
      </c>
      <c r="AA173" s="18">
        <f>SUM(AD173:AI173)+AK173+AL173</f>
        <v/>
      </c>
      <c r="AB173" s="18">
        <f>SUM(AD173:AI173)+AN173+AO173</f>
        <v/>
      </c>
      <c r="AC173" s="5">
        <f>AA173-AB173</f>
        <v/>
      </c>
      <c r="AD173" s="1">
        <f>D173/I173*W173*-1</f>
        <v/>
      </c>
      <c r="AE173" s="1">
        <f>E173/I173*W173</f>
        <v/>
      </c>
      <c r="AF173" s="1">
        <f t="array" ref="AF173">_xlfn.IFS(C173="Biomass_Corn", 1/I173*S173, C173="Biomass_Agri", 1/I173*V173, C173="Biomass_Wood", 1/I173*U173, C173="Biomass_Herb", 1/I173*T173)</f>
        <v/>
      </c>
      <c r="AG173" s="1">
        <f>M173/I173/(0.9*8760)</f>
        <v/>
      </c>
      <c r="AH173" s="1">
        <f>N173/I173/(0.9*8760)</f>
        <v/>
      </c>
      <c r="AI173" s="1">
        <f>O173/I173</f>
        <v/>
      </c>
      <c r="AJ173" s="1">
        <f>(AY173+AZ173+BA173+BB173+BC173-AW173)/I173</f>
        <v/>
      </c>
      <c r="AK173" s="1">
        <f>(Q173+R173)*-1*K173/I173</f>
        <v/>
      </c>
      <c r="AL173">
        <f>AJ173*Q173</f>
        <v/>
      </c>
      <c r="AM173" s="1">
        <f>(SUM(AY173:BB173)-AW173)/I173</f>
        <v/>
      </c>
      <c r="AN173" s="1">
        <f>K173/I173*-1*R173</f>
        <v/>
      </c>
      <c r="AO173">
        <f>AM173*Q173</f>
        <v/>
      </c>
      <c r="AQ173" s="17">
        <f>J173</f>
        <v/>
      </c>
      <c r="AR173" s="8" t="n">
        <v>0.243968185</v>
      </c>
      <c r="AS173" s="8" t="n">
        <v>0.249427613</v>
      </c>
      <c r="AT173" s="9" t="n">
        <v>0.246356685</v>
      </c>
      <c r="AU173" s="17" t="n">
        <v>0.23037491</v>
      </c>
      <c r="AW173" s="9">
        <f>AQ173</f>
        <v/>
      </c>
      <c r="AY173" s="9">
        <f>AR173*F173</f>
        <v/>
      </c>
      <c r="AZ173" s="9">
        <f>AS173*H173</f>
        <v/>
      </c>
      <c r="BA173" s="9">
        <f>AT173*G173</f>
        <v/>
      </c>
      <c r="BB173" s="9">
        <f>L173</f>
        <v/>
      </c>
      <c r="BC173" s="9">
        <f>K173</f>
        <v/>
      </c>
      <c r="BE173" s="1">
        <f>AW173-SUM(AY173:BC173)</f>
        <v/>
      </c>
    </row>
    <row r="174">
      <c r="B174" s="12" t="inlineStr">
        <is>
          <t>NE_FT_High_Jetfuel_CCS_75_Herb</t>
        </is>
      </c>
      <c r="C174" s="20" t="inlineStr">
        <is>
          <t>Biomass_Herb</t>
        </is>
      </c>
      <c r="D174" s="20" t="n">
        <v>0.7821</v>
      </c>
      <c r="E174" s="20" t="n">
        <v>0</v>
      </c>
      <c r="F174" s="20" t="n">
        <v>0.3185</v>
      </c>
      <c r="G174" s="20" t="n">
        <v>1.419</v>
      </c>
      <c r="H174" s="20" t="n">
        <v>0</v>
      </c>
      <c r="I174" s="21">
        <f>F174+G174+H174</f>
        <v/>
      </c>
      <c r="J174" s="20" t="n">
        <v>1.745</v>
      </c>
      <c r="K174" s="20" t="n">
        <v>0.9849924451851512</v>
      </c>
      <c r="L174" s="20" t="n">
        <v>0.3327232005474925</v>
      </c>
      <c r="M174" s="20" t="n">
        <v>756402.08</v>
      </c>
      <c r="N174" s="20" t="n">
        <v>344508.64</v>
      </c>
      <c r="O174" s="20" t="n">
        <v>49.224</v>
      </c>
      <c r="Q174" s="19" t="n">
        <v>109.479795</v>
      </c>
      <c r="R174" s="19" t="n">
        <v>-7.354813</v>
      </c>
      <c r="S174" s="19" t="n">
        <v>170</v>
      </c>
      <c r="T174" s="19" t="n">
        <v>138.356765</v>
      </c>
      <c r="U174" s="19" t="n">
        <v>156.777934</v>
      </c>
      <c r="V174" s="19" t="n">
        <v>119.345797</v>
      </c>
      <c r="W174" s="19" t="n">
        <v>26.773822</v>
      </c>
      <c r="Y174">
        <f>B174</f>
        <v/>
      </c>
      <c r="Z174">
        <f>C174</f>
        <v/>
      </c>
      <c r="AA174" s="18">
        <f>SUM(AD174:AI174)+AK174+AL174</f>
        <v/>
      </c>
      <c r="AB174" s="18">
        <f>SUM(AD174:AI174)+AN174+AO174</f>
        <v/>
      </c>
      <c r="AC174" s="5">
        <f>AA174-AB174</f>
        <v/>
      </c>
      <c r="AD174" s="1">
        <f>D174/I174*W174*-1</f>
        <v/>
      </c>
      <c r="AE174" s="1">
        <f>E174/I174*W174</f>
        <v/>
      </c>
      <c r="AF174" s="1">
        <f t="array" ref="AF174">_xlfn.IFS(C174="Biomass_Corn", 1/I174*S174, C174="Biomass_Agri", 1/I174*V174, C174="Biomass_Wood", 1/I174*U174, C174="Biomass_Herb", 1/I174*T174)</f>
        <v/>
      </c>
      <c r="AG174" s="1">
        <f>M174/I174/(0.9*8760)</f>
        <v/>
      </c>
      <c r="AH174" s="1">
        <f>N174/I174/(0.9*8760)</f>
        <v/>
      </c>
      <c r="AI174" s="1">
        <f>O174/I174</f>
        <v/>
      </c>
      <c r="AJ174" s="1">
        <f>(AY174+AZ174+BA174+BB174+BC174-AW174)/I174</f>
        <v/>
      </c>
      <c r="AK174" s="1">
        <f>(Q174+R174)*-1*K174/I174</f>
        <v/>
      </c>
      <c r="AL174">
        <f>AJ174*Q174</f>
        <v/>
      </c>
      <c r="AM174" s="1">
        <f>(SUM(AY174:BB174)-AW174)/I174</f>
        <v/>
      </c>
      <c r="AN174" s="1">
        <f>K174/I174*-1*R174</f>
        <v/>
      </c>
      <c r="AO174">
        <f>AM174*Q174</f>
        <v/>
      </c>
      <c r="AQ174" s="17">
        <f>J174</f>
        <v/>
      </c>
      <c r="AR174" s="8" t="n">
        <v>0.243968185</v>
      </c>
      <c r="AS174" s="8" t="n">
        <v>0.249427613</v>
      </c>
      <c r="AT174" s="9" t="n">
        <v>0.246356685</v>
      </c>
      <c r="AU174" s="17" t="n">
        <v>0.23037491</v>
      </c>
      <c r="AW174" s="9">
        <f>AQ174</f>
        <v/>
      </c>
      <c r="AY174" s="9">
        <f>AR174*F174</f>
        <v/>
      </c>
      <c r="AZ174" s="9">
        <f>AS174*H174</f>
        <v/>
      </c>
      <c r="BA174" s="9">
        <f>AT174*G174</f>
        <v/>
      </c>
      <c r="BB174" s="9">
        <f>L174</f>
        <v/>
      </c>
      <c r="BC174" s="9">
        <f>K174</f>
        <v/>
      </c>
      <c r="BE174" s="1">
        <f>AW174-SUM(AY174:BC174)</f>
        <v/>
      </c>
    </row>
    <row r="175">
      <c r="B175" s="12" t="inlineStr">
        <is>
          <t>CA_FT_High_Jetfuel_CCS_75_Wood</t>
        </is>
      </c>
      <c r="C175" s="20" t="inlineStr">
        <is>
          <t>Biomass_Wood</t>
        </is>
      </c>
      <c r="D175" s="20" t="n">
        <v>0.8242</v>
      </c>
      <c r="E175" s="20" t="n">
        <v>0</v>
      </c>
      <c r="F175" s="20" t="n">
        <v>0.3356</v>
      </c>
      <c r="G175" s="20" t="n">
        <v>1.4955</v>
      </c>
      <c r="H175" s="20" t="n">
        <v>0</v>
      </c>
      <c r="I175" s="21">
        <f>F175+G175+H175</f>
        <v/>
      </c>
      <c r="J175" s="20" t="n">
        <v>1.843</v>
      </c>
      <c r="K175" s="20" t="n">
        <v>1.041034538039441</v>
      </c>
      <c r="L175" s="20" t="n">
        <v>0.3516538071638244</v>
      </c>
      <c r="M175" s="20" t="n">
        <v>756402.08</v>
      </c>
      <c r="N175" s="20" t="n">
        <v>344508.64</v>
      </c>
      <c r="O175" s="20" t="n">
        <v>49.224</v>
      </c>
      <c r="Q175" s="19" t="n">
        <v>109.479795</v>
      </c>
      <c r="R175" s="19" t="n">
        <v>-7.354813</v>
      </c>
      <c r="S175" s="19" t="n">
        <v>170</v>
      </c>
      <c r="T175" s="19" t="n">
        <v>138.356765</v>
      </c>
      <c r="U175" s="19" t="n">
        <v>156.777934</v>
      </c>
      <c r="V175" s="19" t="n">
        <v>119.345797</v>
      </c>
      <c r="W175" s="19" t="n">
        <v>26.773822</v>
      </c>
      <c r="Y175">
        <f>B175</f>
        <v/>
      </c>
      <c r="Z175">
        <f>C175</f>
        <v/>
      </c>
      <c r="AA175" s="18">
        <f>SUM(AD175:AI175)+AK175+AL175</f>
        <v/>
      </c>
      <c r="AB175" s="18">
        <f>SUM(AD175:AI175)+AN175+AO175</f>
        <v/>
      </c>
      <c r="AC175" s="5">
        <f>AA175-AB175</f>
        <v/>
      </c>
      <c r="AD175" s="1">
        <f>D175/I175*W175*-1</f>
        <v/>
      </c>
      <c r="AE175" s="1">
        <f>E175/I175*W175</f>
        <v/>
      </c>
      <c r="AF175" s="1">
        <f t="array" ref="AF175">_xlfn.IFS(C175="Biomass_Corn", 1/I175*S175, C175="Biomass_Agri", 1/I175*V175, C175="Biomass_Wood", 1/I175*U175, C175="Biomass_Herb", 1/I175*T175)</f>
        <v/>
      </c>
      <c r="AG175" s="1">
        <f>M175/I175/(0.9*8760)</f>
        <v/>
      </c>
      <c r="AH175" s="1">
        <f>N175/I175/(0.9*8760)</f>
        <v/>
      </c>
      <c r="AI175" s="1">
        <f>O175/I175</f>
        <v/>
      </c>
      <c r="AJ175" s="1">
        <f>(AY175+AZ175+BA175+BB175+BC175-AW175)/I175</f>
        <v/>
      </c>
      <c r="AK175" s="1">
        <f>(Q175+R175)*-1*K175/I175</f>
        <v/>
      </c>
      <c r="AL175">
        <f>AJ175*Q175</f>
        <v/>
      </c>
      <c r="AM175" s="1">
        <f>(SUM(AY175:BB175)-AW175)/I175</f>
        <v/>
      </c>
      <c r="AN175" s="1">
        <f>K175/I175*-1*R175</f>
        <v/>
      </c>
      <c r="AO175">
        <f>AM175*Q175</f>
        <v/>
      </c>
      <c r="AQ175" s="17">
        <f>J175</f>
        <v/>
      </c>
      <c r="AR175" s="8" t="n">
        <v>0.243968185</v>
      </c>
      <c r="AS175" s="8" t="n">
        <v>0.249427613</v>
      </c>
      <c r="AT175" s="9" t="n">
        <v>0.246356685</v>
      </c>
      <c r="AU175" s="17" t="n">
        <v>0.23037491</v>
      </c>
      <c r="AW175" s="9">
        <f>AQ175</f>
        <v/>
      </c>
      <c r="AY175" s="9">
        <f>AR175*F175</f>
        <v/>
      </c>
      <c r="AZ175" s="9">
        <f>AS175*H175</f>
        <v/>
      </c>
      <c r="BA175" s="9">
        <f>AT175*G175</f>
        <v/>
      </c>
      <c r="BB175" s="9">
        <f>L175</f>
        <v/>
      </c>
      <c r="BC175" s="9">
        <f>K175</f>
        <v/>
      </c>
      <c r="BE175" s="1">
        <f>AW175-SUM(AY175:BC175)</f>
        <v/>
      </c>
    </row>
    <row r="176">
      <c r="B176" s="12" t="inlineStr">
        <is>
          <t>NW_FT_High_Jetfuel_CCS_75_Wood</t>
        </is>
      </c>
      <c r="C176" s="20" t="inlineStr">
        <is>
          <t>Biomass_Wood</t>
        </is>
      </c>
      <c r="D176" s="20" t="n">
        <v>0.8225</v>
      </c>
      <c r="E176" s="20" t="n">
        <v>0</v>
      </c>
      <c r="F176" s="20" t="n">
        <v>0.3349</v>
      </c>
      <c r="G176" s="20" t="n">
        <v>1.4924</v>
      </c>
      <c r="H176" s="20" t="n">
        <v>0</v>
      </c>
      <c r="I176" s="21">
        <f>F176+G176+H176</f>
        <v/>
      </c>
      <c r="J176" s="20" t="n">
        <v>1.818</v>
      </c>
      <c r="K176" s="20" t="n">
        <v>1.023042509035227</v>
      </c>
      <c r="L176" s="20" t="n">
        <v>0.3455762321490231</v>
      </c>
      <c r="M176" s="20" t="n">
        <v>756402.08</v>
      </c>
      <c r="N176" s="20" t="n">
        <v>344508.64</v>
      </c>
      <c r="O176" s="20" t="n">
        <v>49.224</v>
      </c>
      <c r="Q176" s="19" t="n">
        <v>109.479795</v>
      </c>
      <c r="R176" s="19" t="n">
        <v>-7.354813</v>
      </c>
      <c r="S176" s="19" t="n">
        <v>170</v>
      </c>
      <c r="T176" s="19" t="n">
        <v>138.356765</v>
      </c>
      <c r="U176" s="19" t="n">
        <v>156.777934</v>
      </c>
      <c r="V176" s="19" t="n">
        <v>119.345797</v>
      </c>
      <c r="W176" s="19" t="n">
        <v>26.773822</v>
      </c>
      <c r="Y176">
        <f>B176</f>
        <v/>
      </c>
      <c r="Z176">
        <f>C176</f>
        <v/>
      </c>
      <c r="AA176" s="18">
        <f>SUM(AD176:AI176)+AK176+AL176</f>
        <v/>
      </c>
      <c r="AB176" s="18">
        <f>SUM(AD176:AI176)+AN176+AO176</f>
        <v/>
      </c>
      <c r="AC176" s="5">
        <f>AA176-AB176</f>
        <v/>
      </c>
      <c r="AD176" s="1">
        <f>D176/I176*W176*-1</f>
        <v/>
      </c>
      <c r="AE176" s="1">
        <f>E176/I176*W176</f>
        <v/>
      </c>
      <c r="AF176" s="1">
        <f t="array" ref="AF176">_xlfn.IFS(C176="Biomass_Corn", 1/I176*S176, C176="Biomass_Agri", 1/I176*V176, C176="Biomass_Wood", 1/I176*U176, C176="Biomass_Herb", 1/I176*T176)</f>
        <v/>
      </c>
      <c r="AG176" s="1">
        <f>M176/I176/(0.9*8760)</f>
        <v/>
      </c>
      <c r="AH176" s="1">
        <f>N176/I176/(0.9*8760)</f>
        <v/>
      </c>
      <c r="AI176" s="1">
        <f>O176/I176</f>
        <v/>
      </c>
      <c r="AJ176" s="1">
        <f>(AY176+AZ176+BA176+BB176+BC176-AW176)/I176</f>
        <v/>
      </c>
      <c r="AK176" s="1">
        <f>(Q176+R176)*-1*K176/I176</f>
        <v/>
      </c>
      <c r="AL176">
        <f>AJ176*Q176</f>
        <v/>
      </c>
      <c r="AM176" s="1">
        <f>(SUM(AY176:BB176)-AW176)/I176</f>
        <v/>
      </c>
      <c r="AN176" s="1">
        <f>K176/I176*-1*R176</f>
        <v/>
      </c>
      <c r="AO176">
        <f>AM176*Q176</f>
        <v/>
      </c>
      <c r="AQ176" s="17">
        <f>J176</f>
        <v/>
      </c>
      <c r="AR176" s="8" t="n">
        <v>0.243968185</v>
      </c>
      <c r="AS176" s="8" t="n">
        <v>0.249427613</v>
      </c>
      <c r="AT176" s="9" t="n">
        <v>0.246356685</v>
      </c>
      <c r="AU176" s="17" t="n">
        <v>0.23037491</v>
      </c>
      <c r="AW176" s="9">
        <f>AQ176</f>
        <v/>
      </c>
      <c r="AY176" s="9">
        <f>AR176*F176</f>
        <v/>
      </c>
      <c r="AZ176" s="9">
        <f>AS176*H176</f>
        <v/>
      </c>
      <c r="BA176" s="9">
        <f>AT176*G176</f>
        <v/>
      </c>
      <c r="BB176" s="9">
        <f>L176</f>
        <v/>
      </c>
      <c r="BC176" s="9">
        <f>K176</f>
        <v/>
      </c>
      <c r="BE176" s="1">
        <f>AW176-SUM(AY176:BC176)</f>
        <v/>
      </c>
    </row>
    <row r="177">
      <c r="B177" s="12" t="inlineStr">
        <is>
          <t>SW_FT_High_Jetfuel_CCS_75_Wood</t>
        </is>
      </c>
      <c r="C177" s="20" t="inlineStr">
        <is>
          <t>Biomass_Wood</t>
        </is>
      </c>
      <c r="D177" s="20" t="n">
        <v>0.8149</v>
      </c>
      <c r="E177" s="20" t="n">
        <v>0</v>
      </c>
      <c r="F177" s="20" t="n">
        <v>0.3318</v>
      </c>
      <c r="G177" s="20" t="n">
        <v>1.4785</v>
      </c>
      <c r="H177" s="20" t="n">
        <v>0</v>
      </c>
      <c r="I177" s="21">
        <f>F177+G177+H177</f>
        <v/>
      </c>
      <c r="J177" s="20" t="n">
        <v>1.798</v>
      </c>
      <c r="K177" s="20" t="n">
        <v>1.011222128516265</v>
      </c>
      <c r="L177" s="20" t="n">
        <v>0.3415833945824172</v>
      </c>
      <c r="M177" s="20" t="n">
        <v>756402.08</v>
      </c>
      <c r="N177" s="20" t="n">
        <v>344508.64</v>
      </c>
      <c r="O177" s="20" t="n">
        <v>49.224</v>
      </c>
      <c r="Q177" s="19" t="n">
        <v>109.479795</v>
      </c>
      <c r="R177" s="19" t="n">
        <v>-7.354813</v>
      </c>
      <c r="S177" s="19" t="n">
        <v>170</v>
      </c>
      <c r="T177" s="19" t="n">
        <v>138.356765</v>
      </c>
      <c r="U177" s="19" t="n">
        <v>156.777934</v>
      </c>
      <c r="V177" s="19" t="n">
        <v>119.345797</v>
      </c>
      <c r="W177" s="19" t="n">
        <v>26.773822</v>
      </c>
      <c r="Y177">
        <f>B177</f>
        <v/>
      </c>
      <c r="Z177">
        <f>C177</f>
        <v/>
      </c>
      <c r="AA177" s="18">
        <f>SUM(AD177:AI177)+AK177+AL177</f>
        <v/>
      </c>
      <c r="AB177" s="18">
        <f>SUM(AD177:AI177)+AN177+AO177</f>
        <v/>
      </c>
      <c r="AC177" s="5">
        <f>AA177-AB177</f>
        <v/>
      </c>
      <c r="AD177" s="1">
        <f>D177/I177*W177*-1</f>
        <v/>
      </c>
      <c r="AE177" s="1">
        <f>E177/I177*W177</f>
        <v/>
      </c>
      <c r="AF177" s="1">
        <f t="array" ref="AF177">_xlfn.IFS(C177="Biomass_Corn", 1/I177*S177, C177="Biomass_Agri", 1/I177*V177, C177="Biomass_Wood", 1/I177*U177, C177="Biomass_Herb", 1/I177*T177)</f>
        <v/>
      </c>
      <c r="AG177" s="1">
        <f>M177/I177/(0.9*8760)</f>
        <v/>
      </c>
      <c r="AH177" s="1">
        <f>N177/I177/(0.9*8760)</f>
        <v/>
      </c>
      <c r="AI177" s="1">
        <f>O177/I177</f>
        <v/>
      </c>
      <c r="AJ177" s="1">
        <f>(AY177+AZ177+BA177+BB177+BC177-AW177)/I177</f>
        <v/>
      </c>
      <c r="AK177" s="1">
        <f>(Q177+R177)*-1*K177/I177</f>
        <v/>
      </c>
      <c r="AL177">
        <f>AJ177*Q177</f>
        <v/>
      </c>
      <c r="AM177" s="1">
        <f>(SUM(AY177:BB177)-AW177)/I177</f>
        <v/>
      </c>
      <c r="AN177" s="1">
        <f>K177/I177*-1*R177</f>
        <v/>
      </c>
      <c r="AO177">
        <f>AM177*Q177</f>
        <v/>
      </c>
      <c r="AQ177" s="17">
        <f>J177</f>
        <v/>
      </c>
      <c r="AR177" s="8" t="n">
        <v>0.243968185</v>
      </c>
      <c r="AS177" s="8" t="n">
        <v>0.249427613</v>
      </c>
      <c r="AT177" s="9" t="n">
        <v>0.246356685</v>
      </c>
      <c r="AU177" s="17" t="n">
        <v>0.23037491</v>
      </c>
      <c r="AW177" s="9">
        <f>AQ177</f>
        <v/>
      </c>
      <c r="AY177" s="9">
        <f>AR177*F177</f>
        <v/>
      </c>
      <c r="AZ177" s="9">
        <f>AS177*H177</f>
        <v/>
      </c>
      <c r="BA177" s="9">
        <f>AT177*G177</f>
        <v/>
      </c>
      <c r="BB177" s="9">
        <f>L177</f>
        <v/>
      </c>
      <c r="BC177" s="9">
        <f>K177</f>
        <v/>
      </c>
      <c r="BE177" s="1">
        <f>AW177-SUM(AY177:BC177)</f>
        <v/>
      </c>
    </row>
    <row r="178">
      <c r="B178" s="12" t="inlineStr">
        <is>
          <t>TX_FT_High_Jetfuel_CCS_75_Wood</t>
        </is>
      </c>
      <c r="C178" s="20" t="inlineStr">
        <is>
          <t>Biomass_Wood</t>
        </is>
      </c>
      <c r="D178" s="20" t="n">
        <v>0.8085</v>
      </c>
      <c r="E178" s="20" t="n">
        <v>0</v>
      </c>
      <c r="F178" s="20" t="n">
        <v>0.3292</v>
      </c>
      <c r="G178" s="20" t="n">
        <v>1.4669</v>
      </c>
      <c r="H178" s="20" t="n">
        <v>0</v>
      </c>
      <c r="I178" s="21">
        <f>F178+G178+H178</f>
        <v/>
      </c>
      <c r="J178" s="20" t="n">
        <v>1.821</v>
      </c>
      <c r="K178" s="20" t="n">
        <v>1.031022644750464</v>
      </c>
      <c r="L178" s="20" t="n">
        <v>0.3482718632769124</v>
      </c>
      <c r="M178" s="20" t="n">
        <v>756402.08</v>
      </c>
      <c r="N178" s="20" t="n">
        <v>344508.64</v>
      </c>
      <c r="O178" s="20" t="n">
        <v>49.224</v>
      </c>
      <c r="Q178" s="19" t="n">
        <v>109.479795</v>
      </c>
      <c r="R178" s="19" t="n">
        <v>-7.354813</v>
      </c>
      <c r="S178" s="19" t="n">
        <v>170</v>
      </c>
      <c r="T178" s="19" t="n">
        <v>138.356765</v>
      </c>
      <c r="U178" s="19" t="n">
        <v>156.777934</v>
      </c>
      <c r="V178" s="19" t="n">
        <v>119.345797</v>
      </c>
      <c r="W178" s="19" t="n">
        <v>26.773822</v>
      </c>
      <c r="Y178">
        <f>B178</f>
        <v/>
      </c>
      <c r="Z178">
        <f>C178</f>
        <v/>
      </c>
      <c r="AA178" s="18">
        <f>SUM(AD178:AI178)+AK178+AL178</f>
        <v/>
      </c>
      <c r="AB178" s="18">
        <f>SUM(AD178:AI178)+AN178+AO178</f>
        <v/>
      </c>
      <c r="AC178" s="5">
        <f>AA178-AB178</f>
        <v/>
      </c>
      <c r="AD178" s="1">
        <f>D178/I178*W178*-1</f>
        <v/>
      </c>
      <c r="AE178" s="1">
        <f>E178/I178*W178</f>
        <v/>
      </c>
      <c r="AF178" s="1">
        <f t="array" ref="AF178">_xlfn.IFS(C178="Biomass_Corn", 1/I178*S178, C178="Biomass_Agri", 1/I178*V178, C178="Biomass_Wood", 1/I178*U178, C178="Biomass_Herb", 1/I178*T178)</f>
        <v/>
      </c>
      <c r="AG178" s="1">
        <f>M178/I178/(0.9*8760)</f>
        <v/>
      </c>
      <c r="AH178" s="1">
        <f>N178/I178/(0.9*8760)</f>
        <v/>
      </c>
      <c r="AI178" s="1">
        <f>O178/I178</f>
        <v/>
      </c>
      <c r="AJ178" s="1">
        <f>(AY178+AZ178+BA178+BB178+BC178-AW178)/I178</f>
        <v/>
      </c>
      <c r="AK178" s="1">
        <f>(Q178+R178)*-1*K178/I178</f>
        <v/>
      </c>
      <c r="AL178">
        <f>AJ178*Q178</f>
        <v/>
      </c>
      <c r="AM178" s="1">
        <f>(SUM(AY178:BB178)-AW178)/I178</f>
        <v/>
      </c>
      <c r="AN178" s="1">
        <f>K178/I178*-1*R178</f>
        <v/>
      </c>
      <c r="AO178">
        <f>AM178*Q178</f>
        <v/>
      </c>
      <c r="AQ178" s="17">
        <f>J178</f>
        <v/>
      </c>
      <c r="AR178" s="8" t="n">
        <v>0.243968185</v>
      </c>
      <c r="AS178" s="8" t="n">
        <v>0.249427613</v>
      </c>
      <c r="AT178" s="9" t="n">
        <v>0.246356685</v>
      </c>
      <c r="AU178" s="17" t="n">
        <v>0.23037491</v>
      </c>
      <c r="AW178" s="9">
        <f>AQ178</f>
        <v/>
      </c>
      <c r="AY178" s="9">
        <f>AR178*F178</f>
        <v/>
      </c>
      <c r="AZ178" s="9">
        <f>AS178*H178</f>
        <v/>
      </c>
      <c r="BA178" s="9">
        <f>AT178*G178</f>
        <v/>
      </c>
      <c r="BB178" s="9">
        <f>L178</f>
        <v/>
      </c>
      <c r="BC178" s="9">
        <f>K178</f>
        <v/>
      </c>
      <c r="BE178" s="1">
        <f>AW178-SUM(AY178:BC178)</f>
        <v/>
      </c>
    </row>
    <row r="179">
      <c r="B179" s="12" t="inlineStr">
        <is>
          <t>NCEN_FT_High_Jetfuel_CCS_75_Wood</t>
        </is>
      </c>
      <c r="C179" s="20" t="inlineStr">
        <is>
          <t>Biomass_Wood</t>
        </is>
      </c>
      <c r="D179" s="20" t="n">
        <v>0.8115</v>
      </c>
      <c r="E179" s="20" t="n">
        <v>0</v>
      </c>
      <c r="F179" s="20" t="n">
        <v>0.3304</v>
      </c>
      <c r="G179" s="20" t="n">
        <v>1.4723</v>
      </c>
      <c r="H179" s="20" t="n">
        <v>0</v>
      </c>
      <c r="I179" s="21">
        <f>F179+G179+H179</f>
        <v/>
      </c>
      <c r="J179" s="20" t="n">
        <v>1.802</v>
      </c>
      <c r="K179" s="20" t="n">
        <v>1.015603070507838</v>
      </c>
      <c r="L179" s="20" t="n">
        <v>0.3430632445528148</v>
      </c>
      <c r="M179" s="20" t="n">
        <v>756402.08</v>
      </c>
      <c r="N179" s="20" t="n">
        <v>344508.64</v>
      </c>
      <c r="O179" s="20" t="n">
        <v>49.224</v>
      </c>
      <c r="Q179" s="19" t="n">
        <v>109.479795</v>
      </c>
      <c r="R179" s="19" t="n">
        <v>-7.354813</v>
      </c>
      <c r="S179" s="19" t="n">
        <v>170</v>
      </c>
      <c r="T179" s="19" t="n">
        <v>138.356765</v>
      </c>
      <c r="U179" s="19" t="n">
        <v>156.777934</v>
      </c>
      <c r="V179" s="19" t="n">
        <v>119.345797</v>
      </c>
      <c r="W179" s="19" t="n">
        <v>26.773822</v>
      </c>
      <c r="Y179">
        <f>B179</f>
        <v/>
      </c>
      <c r="Z179">
        <f>C179</f>
        <v/>
      </c>
      <c r="AA179" s="18">
        <f>SUM(AD179:AI179)+AK179+AL179</f>
        <v/>
      </c>
      <c r="AB179" s="18">
        <f>SUM(AD179:AI179)+AN179+AO179</f>
        <v/>
      </c>
      <c r="AC179" s="5">
        <f>AA179-AB179</f>
        <v/>
      </c>
      <c r="AD179" s="1">
        <f>D179/I179*W179*-1</f>
        <v/>
      </c>
      <c r="AE179" s="1">
        <f>E179/I179*W179</f>
        <v/>
      </c>
      <c r="AF179" s="1">
        <f t="array" ref="AF179">_xlfn.IFS(C179="Biomass_Corn", 1/I179*S179, C179="Biomass_Agri", 1/I179*V179, C179="Biomass_Wood", 1/I179*U179, C179="Biomass_Herb", 1/I179*T179)</f>
        <v/>
      </c>
      <c r="AG179" s="1">
        <f>M179/I179/(0.9*8760)</f>
        <v/>
      </c>
      <c r="AH179" s="1">
        <f>N179/I179/(0.9*8760)</f>
        <v/>
      </c>
      <c r="AI179" s="1">
        <f>O179/I179</f>
        <v/>
      </c>
      <c r="AJ179" s="1">
        <f>(AY179+AZ179+BA179+BB179+BC179-AW179)/I179</f>
        <v/>
      </c>
      <c r="AK179" s="1">
        <f>(Q179+R179)*-1*K179/I179</f>
        <v/>
      </c>
      <c r="AL179">
        <f>AJ179*Q179</f>
        <v/>
      </c>
      <c r="AM179" s="1">
        <f>(SUM(AY179:BB179)-AW179)/I179</f>
        <v/>
      </c>
      <c r="AN179" s="1">
        <f>K179/I179*-1*R179</f>
        <v/>
      </c>
      <c r="AO179">
        <f>AM179*Q179</f>
        <v/>
      </c>
      <c r="AQ179" s="17">
        <f>J179</f>
        <v/>
      </c>
      <c r="AR179" s="8" t="n">
        <v>0.243968185</v>
      </c>
      <c r="AS179" s="8" t="n">
        <v>0.249427613</v>
      </c>
      <c r="AT179" s="9" t="n">
        <v>0.246356685</v>
      </c>
      <c r="AU179" s="17" t="n">
        <v>0.23037491</v>
      </c>
      <c r="AW179" s="9">
        <f>AQ179</f>
        <v/>
      </c>
      <c r="AY179" s="9">
        <f>AR179*F179</f>
        <v/>
      </c>
      <c r="AZ179" s="9">
        <f>AS179*H179</f>
        <v/>
      </c>
      <c r="BA179" s="9">
        <f>AT179*G179</f>
        <v/>
      </c>
      <c r="BB179" s="9">
        <f>L179</f>
        <v/>
      </c>
      <c r="BC179" s="9">
        <f>K179</f>
        <v/>
      </c>
      <c r="BE179" s="1">
        <f>AW179-SUM(AY179:BC179)</f>
        <v/>
      </c>
    </row>
    <row r="180">
      <c r="B180" s="12" t="inlineStr">
        <is>
          <t>CEN_FT_High_Jetfuel_CCS_75_Wood</t>
        </is>
      </c>
      <c r="C180" s="20" t="inlineStr">
        <is>
          <t>Biomass_Wood</t>
        </is>
      </c>
      <c r="D180" s="20" t="n">
        <v>0.8119</v>
      </c>
      <c r="E180" s="20" t="n">
        <v>0</v>
      </c>
      <c r="F180" s="20" t="n">
        <v>0.3306</v>
      </c>
      <c r="G180" s="20" t="n">
        <v>1.4731</v>
      </c>
      <c r="H180" s="20" t="n">
        <v>0</v>
      </c>
      <c r="I180" s="21">
        <f>F180+G180+H180</f>
        <v/>
      </c>
      <c r="J180" s="20" t="n">
        <v>1.802</v>
      </c>
      <c r="K180" s="20" t="n">
        <v>1.015429202758891</v>
      </c>
      <c r="L180" s="20" t="n">
        <v>0.343004513306515</v>
      </c>
      <c r="M180" s="20" t="n">
        <v>756402.08</v>
      </c>
      <c r="N180" s="20" t="n">
        <v>344508.64</v>
      </c>
      <c r="O180" s="20" t="n">
        <v>49.224</v>
      </c>
      <c r="Q180" s="19" t="n">
        <v>109.479795</v>
      </c>
      <c r="R180" s="19" t="n">
        <v>-7.354813</v>
      </c>
      <c r="S180" s="19" t="n">
        <v>170</v>
      </c>
      <c r="T180" s="19" t="n">
        <v>138.356765</v>
      </c>
      <c r="U180" s="19" t="n">
        <v>156.777934</v>
      </c>
      <c r="V180" s="19" t="n">
        <v>119.345797</v>
      </c>
      <c r="W180" s="19" t="n">
        <v>26.773822</v>
      </c>
      <c r="Y180">
        <f>B180</f>
        <v/>
      </c>
      <c r="Z180">
        <f>C180</f>
        <v/>
      </c>
      <c r="AA180" s="18">
        <f>SUM(AD180:AI180)+AK180+AL180</f>
        <v/>
      </c>
      <c r="AB180" s="18">
        <f>SUM(AD180:AI180)+AN180+AO180</f>
        <v/>
      </c>
      <c r="AC180" s="5">
        <f>AA180-AB180</f>
        <v/>
      </c>
      <c r="AD180" s="1">
        <f>D180/I180*W180*-1</f>
        <v/>
      </c>
      <c r="AE180" s="1">
        <f>E180/I180*W180</f>
        <v/>
      </c>
      <c r="AF180" s="1">
        <f t="array" ref="AF180">_xlfn.IFS(C180="Biomass_Corn", 1/I180*S180, C180="Biomass_Agri", 1/I180*V180, C180="Biomass_Wood", 1/I180*U180, C180="Biomass_Herb", 1/I180*T180)</f>
        <v/>
      </c>
      <c r="AG180" s="1">
        <f>M180/I180/(0.9*8760)</f>
        <v/>
      </c>
      <c r="AH180" s="1">
        <f>N180/I180/(0.9*8760)</f>
        <v/>
      </c>
      <c r="AI180" s="1">
        <f>O180/I180</f>
        <v/>
      </c>
      <c r="AJ180" s="1">
        <f>(AY180+AZ180+BA180+BB180+BC180-AW180)/I180</f>
        <v/>
      </c>
      <c r="AK180" s="1">
        <f>(Q180+R180)*-1*K180/I180</f>
        <v/>
      </c>
      <c r="AL180">
        <f>AJ180*Q180</f>
        <v/>
      </c>
      <c r="AM180" s="1">
        <f>(SUM(AY180:BB180)-AW180)/I180</f>
        <v/>
      </c>
      <c r="AN180" s="1">
        <f>K180/I180*-1*R180</f>
        <v/>
      </c>
      <c r="AO180">
        <f>AM180*Q180</f>
        <v/>
      </c>
      <c r="AQ180" s="17">
        <f>J180</f>
        <v/>
      </c>
      <c r="AR180" s="8" t="n">
        <v>0.243968185</v>
      </c>
      <c r="AS180" s="8" t="n">
        <v>0.249427613</v>
      </c>
      <c r="AT180" s="9" t="n">
        <v>0.246356685</v>
      </c>
      <c r="AU180" s="17" t="n">
        <v>0.23037491</v>
      </c>
      <c r="AW180" s="9">
        <f>AQ180</f>
        <v/>
      </c>
      <c r="AY180" s="9">
        <f>AR180*F180</f>
        <v/>
      </c>
      <c r="AZ180" s="9">
        <f>AS180*H180</f>
        <v/>
      </c>
      <c r="BA180" s="9">
        <f>AT180*G180</f>
        <v/>
      </c>
      <c r="BB180" s="9">
        <f>L180</f>
        <v/>
      </c>
      <c r="BC180" s="9">
        <f>K180</f>
        <v/>
      </c>
      <c r="BE180" s="1">
        <f>AW180-SUM(AY180:BC180)</f>
        <v/>
      </c>
    </row>
    <row r="181">
      <c r="B181" s="12" t="inlineStr">
        <is>
          <t>SE_FT_High_Jetfuel_CCS_75_Wood</t>
        </is>
      </c>
      <c r="C181" s="20" t="inlineStr">
        <is>
          <t>Biomass_Wood</t>
        </is>
      </c>
      <c r="D181" s="20" t="n">
        <v>0.8149</v>
      </c>
      <c r="E181" s="20" t="n">
        <v>0</v>
      </c>
      <c r="F181" s="20" t="n">
        <v>0.3318</v>
      </c>
      <c r="G181" s="20" t="n">
        <v>1.4785</v>
      </c>
      <c r="H181" s="20" t="n">
        <v>0</v>
      </c>
      <c r="I181" s="21">
        <f>F181+G181+H181</f>
        <v/>
      </c>
      <c r="J181" s="20" t="n">
        <v>1.821</v>
      </c>
      <c r="K181" s="20" t="n">
        <v>1.028414628516265</v>
      </c>
      <c r="L181" s="20" t="n">
        <v>0.3473908945824173</v>
      </c>
      <c r="M181" s="20" t="n">
        <v>756402.08</v>
      </c>
      <c r="N181" s="20" t="n">
        <v>344508.64</v>
      </c>
      <c r="O181" s="20" t="n">
        <v>49.224</v>
      </c>
      <c r="Q181" s="19" t="n">
        <v>109.479795</v>
      </c>
      <c r="R181" s="19" t="n">
        <v>-7.354813</v>
      </c>
      <c r="S181" s="19" t="n">
        <v>170</v>
      </c>
      <c r="T181" s="19" t="n">
        <v>138.356765</v>
      </c>
      <c r="U181" s="19" t="n">
        <v>156.777934</v>
      </c>
      <c r="V181" s="19" t="n">
        <v>119.345797</v>
      </c>
      <c r="W181" s="19" t="n">
        <v>26.773822</v>
      </c>
      <c r="Y181">
        <f>B181</f>
        <v/>
      </c>
      <c r="Z181">
        <f>C181</f>
        <v/>
      </c>
      <c r="AA181" s="18">
        <f>SUM(AD181:AI181)+AK181+AL181</f>
        <v/>
      </c>
      <c r="AB181" s="18">
        <f>SUM(AD181:AI181)+AN181+AO181</f>
        <v/>
      </c>
      <c r="AC181" s="5">
        <f>AA181-AB181</f>
        <v/>
      </c>
      <c r="AD181" s="1">
        <f>D181/I181*W181*-1</f>
        <v/>
      </c>
      <c r="AE181" s="1">
        <f>E181/I181*W181</f>
        <v/>
      </c>
      <c r="AF181" s="1">
        <f t="array" ref="AF181">_xlfn.IFS(C181="Biomass_Corn", 1/I181*S181, C181="Biomass_Agri", 1/I181*V181, C181="Biomass_Wood", 1/I181*U181, C181="Biomass_Herb", 1/I181*T181)</f>
        <v/>
      </c>
      <c r="AG181" s="1">
        <f>M181/I181/(0.9*8760)</f>
        <v/>
      </c>
      <c r="AH181" s="1">
        <f>N181/I181/(0.9*8760)</f>
        <v/>
      </c>
      <c r="AI181" s="1">
        <f>O181/I181</f>
        <v/>
      </c>
      <c r="AJ181" s="1">
        <f>(AY181+AZ181+BA181+BB181+BC181-AW181)/I181</f>
        <v/>
      </c>
      <c r="AK181" s="1">
        <f>(Q181+R181)*-1*K181/I181</f>
        <v/>
      </c>
      <c r="AL181">
        <f>AJ181*Q181</f>
        <v/>
      </c>
      <c r="AM181" s="1">
        <f>(SUM(AY181:BB181)-AW181)/I181</f>
        <v/>
      </c>
      <c r="AN181" s="1">
        <f>K181/I181*-1*R181</f>
        <v/>
      </c>
      <c r="AO181">
        <f>AM181*Q181</f>
        <v/>
      </c>
      <c r="AQ181" s="17">
        <f>J181</f>
        <v/>
      </c>
      <c r="AR181" s="8" t="n">
        <v>0.243968185</v>
      </c>
      <c r="AS181" s="8" t="n">
        <v>0.249427613</v>
      </c>
      <c r="AT181" s="9" t="n">
        <v>0.246356685</v>
      </c>
      <c r="AU181" s="17" t="n">
        <v>0.23037491</v>
      </c>
      <c r="AW181" s="9">
        <f>AQ181</f>
        <v/>
      </c>
      <c r="AY181" s="9">
        <f>AR181*F181</f>
        <v/>
      </c>
      <c r="AZ181" s="9">
        <f>AS181*H181</f>
        <v/>
      </c>
      <c r="BA181" s="9">
        <f>AT181*G181</f>
        <v/>
      </c>
      <c r="BB181" s="9">
        <f>L181</f>
        <v/>
      </c>
      <c r="BC181" s="9">
        <f>K181</f>
        <v/>
      </c>
      <c r="BE181" s="1">
        <f>AW181-SUM(AY181:BC181)</f>
        <v/>
      </c>
    </row>
    <row r="182">
      <c r="B182" s="12" t="inlineStr">
        <is>
          <t>MIDAT_FT_High_Jetfuel_CCS_75_Wood</t>
        </is>
      </c>
      <c r="C182" s="20" t="inlineStr">
        <is>
          <t>Biomass_Wood</t>
        </is>
      </c>
      <c r="D182" s="20" t="n">
        <v>0.8093</v>
      </c>
      <c r="E182" s="20" t="n">
        <v>0</v>
      </c>
      <c r="F182" s="20" t="n">
        <v>0.3296</v>
      </c>
      <c r="G182" s="20" t="n">
        <v>1.4685</v>
      </c>
      <c r="H182" s="20" t="n">
        <v>0</v>
      </c>
      <c r="I182" s="21">
        <f>F182+G182+H182</f>
        <v/>
      </c>
      <c r="J182" s="20" t="n">
        <v>1.806</v>
      </c>
      <c r="K182" s="20" t="n">
        <v>1.019462409252571</v>
      </c>
      <c r="L182" s="20" t="n">
        <v>0.3443669007843131</v>
      </c>
      <c r="M182" s="20" t="n">
        <v>756402.08</v>
      </c>
      <c r="N182" s="20" t="n">
        <v>344508.64</v>
      </c>
      <c r="O182" s="20" t="n">
        <v>49.224</v>
      </c>
      <c r="Q182" s="19" t="n">
        <v>109.479795</v>
      </c>
      <c r="R182" s="19" t="n">
        <v>-7.354813</v>
      </c>
      <c r="S182" s="19" t="n">
        <v>170</v>
      </c>
      <c r="T182" s="19" t="n">
        <v>138.356765</v>
      </c>
      <c r="U182" s="19" t="n">
        <v>156.777934</v>
      </c>
      <c r="V182" s="19" t="n">
        <v>119.345797</v>
      </c>
      <c r="W182" s="19" t="n">
        <v>26.773822</v>
      </c>
      <c r="Y182">
        <f>B182</f>
        <v/>
      </c>
      <c r="Z182">
        <f>C182</f>
        <v/>
      </c>
      <c r="AA182" s="18">
        <f>SUM(AD182:AI182)+AK182+AL182</f>
        <v/>
      </c>
      <c r="AB182" s="18">
        <f>SUM(AD182:AI182)+AN182+AO182</f>
        <v/>
      </c>
      <c r="AC182" s="5">
        <f>AA182-AB182</f>
        <v/>
      </c>
      <c r="AD182" s="1">
        <f>D182/I182*W182*-1</f>
        <v/>
      </c>
      <c r="AE182" s="1">
        <f>E182/I182*W182</f>
        <v/>
      </c>
      <c r="AF182" s="1">
        <f t="array" ref="AF182">_xlfn.IFS(C182="Biomass_Corn", 1/I182*S182, C182="Biomass_Agri", 1/I182*V182, C182="Biomass_Wood", 1/I182*U182, C182="Biomass_Herb", 1/I182*T182)</f>
        <v/>
      </c>
      <c r="AG182" s="1">
        <f>M182/I182/(0.9*8760)</f>
        <v/>
      </c>
      <c r="AH182" s="1">
        <f>N182/I182/(0.9*8760)</f>
        <v/>
      </c>
      <c r="AI182" s="1">
        <f>O182/I182</f>
        <v/>
      </c>
      <c r="AJ182" s="1">
        <f>(AY182+AZ182+BA182+BB182+BC182-AW182)/I182</f>
        <v/>
      </c>
      <c r="AK182" s="1">
        <f>(Q182+R182)*-1*K182/I182</f>
        <v/>
      </c>
      <c r="AL182">
        <f>AJ182*Q182</f>
        <v/>
      </c>
      <c r="AM182" s="1">
        <f>(SUM(AY182:BB182)-AW182)/I182</f>
        <v/>
      </c>
      <c r="AN182" s="1">
        <f>K182/I182*-1*R182</f>
        <v/>
      </c>
      <c r="AO182">
        <f>AM182*Q182</f>
        <v/>
      </c>
      <c r="AQ182" s="17">
        <f>J182</f>
        <v/>
      </c>
      <c r="AR182" s="8" t="n">
        <v>0.243968185</v>
      </c>
      <c r="AS182" s="8" t="n">
        <v>0.249427613</v>
      </c>
      <c r="AT182" s="9" t="n">
        <v>0.246356685</v>
      </c>
      <c r="AU182" s="17" t="n">
        <v>0.23037491</v>
      </c>
      <c r="AW182" s="9">
        <f>AQ182</f>
        <v/>
      </c>
      <c r="AY182" s="9">
        <f>AR182*F182</f>
        <v/>
      </c>
      <c r="AZ182" s="9">
        <f>AS182*H182</f>
        <v/>
      </c>
      <c r="BA182" s="9">
        <f>AT182*G182</f>
        <v/>
      </c>
      <c r="BB182" s="9">
        <f>L182</f>
        <v/>
      </c>
      <c r="BC182" s="9">
        <f>K182</f>
        <v/>
      </c>
      <c r="BE182" s="1">
        <f>AW182-SUM(AY182:BC182)</f>
        <v/>
      </c>
    </row>
    <row r="183">
      <c r="B183" s="12" t="inlineStr">
        <is>
          <t>NE_FT_High_Jetfuel_CCS_75_Wood</t>
        </is>
      </c>
      <c r="C183" s="20" t="inlineStr">
        <is>
          <t>Biomass_Wood</t>
        </is>
      </c>
      <c r="D183" s="20" t="n">
        <v>0.8042</v>
      </c>
      <c r="E183" s="20" t="n">
        <v>0</v>
      </c>
      <c r="F183" s="20" t="n">
        <v>0.3275</v>
      </c>
      <c r="G183" s="20" t="n">
        <v>1.4592</v>
      </c>
      <c r="H183" s="20" t="n">
        <v>0</v>
      </c>
      <c r="I183" s="21">
        <f>F183+G183+H183</f>
        <v/>
      </c>
      <c r="J183" s="20" t="n">
        <v>1.826</v>
      </c>
      <c r="K183" s="20" t="n">
        <v>1.03649882223993</v>
      </c>
      <c r="L183" s="20" t="n">
        <v>0.3501216757399092</v>
      </c>
      <c r="M183" s="20" t="n">
        <v>756402.08</v>
      </c>
      <c r="N183" s="20" t="n">
        <v>344508.64</v>
      </c>
      <c r="O183" s="20" t="n">
        <v>49.224</v>
      </c>
      <c r="Q183" s="19" t="n">
        <v>109.479795</v>
      </c>
      <c r="R183" s="19" t="n">
        <v>-7.354813</v>
      </c>
      <c r="S183" s="19" t="n">
        <v>170</v>
      </c>
      <c r="T183" s="19" t="n">
        <v>138.356765</v>
      </c>
      <c r="U183" s="19" t="n">
        <v>156.777934</v>
      </c>
      <c r="V183" s="19" t="n">
        <v>119.345797</v>
      </c>
      <c r="W183" s="19" t="n">
        <v>26.773822</v>
      </c>
      <c r="Y183">
        <f>B183</f>
        <v/>
      </c>
      <c r="Z183">
        <f>C183</f>
        <v/>
      </c>
      <c r="AA183" s="18">
        <f>SUM(AD183:AI183)+AK183+AL183</f>
        <v/>
      </c>
      <c r="AB183" s="18">
        <f>SUM(AD183:AI183)+AN183+AO183</f>
        <v/>
      </c>
      <c r="AC183" s="5">
        <f>AA183-AB183</f>
        <v/>
      </c>
      <c r="AD183" s="1">
        <f>D183/I183*W183*-1</f>
        <v/>
      </c>
      <c r="AE183" s="1">
        <f>E183/I183*W183</f>
        <v/>
      </c>
      <c r="AF183" s="1">
        <f t="array" ref="AF183">_xlfn.IFS(C183="Biomass_Corn", 1/I183*S183, C183="Biomass_Agri", 1/I183*V183, C183="Biomass_Wood", 1/I183*U183, C183="Biomass_Herb", 1/I183*T183)</f>
        <v/>
      </c>
      <c r="AG183" s="1">
        <f>M183/I183/(0.9*8760)</f>
        <v/>
      </c>
      <c r="AH183" s="1">
        <f>N183/I183/(0.9*8760)</f>
        <v/>
      </c>
      <c r="AI183" s="1">
        <f>O183/I183</f>
        <v/>
      </c>
      <c r="AJ183" s="1">
        <f>(AY183+AZ183+BA183+BB183+BC183-AW183)/I183</f>
        <v/>
      </c>
      <c r="AK183" s="1">
        <f>(Q183+R183)*-1*K183/I183</f>
        <v/>
      </c>
      <c r="AL183">
        <f>AJ183*Q183</f>
        <v/>
      </c>
      <c r="AM183" s="1">
        <f>(SUM(AY183:BB183)-AW183)/I183</f>
        <v/>
      </c>
      <c r="AN183" s="1">
        <f>K183/I183*-1*R183</f>
        <v/>
      </c>
      <c r="AO183">
        <f>AM183*Q183</f>
        <v/>
      </c>
      <c r="AQ183" s="17">
        <f>J183</f>
        <v/>
      </c>
      <c r="AR183" s="8" t="n">
        <v>0.243968185</v>
      </c>
      <c r="AS183" s="8" t="n">
        <v>0.249427613</v>
      </c>
      <c r="AT183" s="9" t="n">
        <v>0.246356685</v>
      </c>
      <c r="AU183" s="17" t="n">
        <v>0.23037491</v>
      </c>
      <c r="AW183" s="9">
        <f>AQ183</f>
        <v/>
      </c>
      <c r="AY183" s="9">
        <f>AR183*F183</f>
        <v/>
      </c>
      <c r="AZ183" s="9">
        <f>AS183*H183</f>
        <v/>
      </c>
      <c r="BA183" s="9">
        <f>AT183*G183</f>
        <v/>
      </c>
      <c r="BB183" s="9">
        <f>L183</f>
        <v/>
      </c>
      <c r="BC183" s="9">
        <f>K183</f>
        <v/>
      </c>
      <c r="BE183" s="1">
        <f>AW183-SUM(AY183:BC183)</f>
        <v/>
      </c>
    </row>
    <row r="184">
      <c r="B184" s="12" t="inlineStr">
        <is>
          <t>CA_FT_High_Jetfuel_CCS_75_Agri</t>
        </is>
      </c>
      <c r="C184" s="20" t="inlineStr">
        <is>
          <t>Biomass_Agri</t>
        </is>
      </c>
      <c r="D184" s="20" t="n">
        <v>0.7786999999999999</v>
      </c>
      <c r="E184" s="20" t="n">
        <v>0</v>
      </c>
      <c r="F184" s="20" t="n">
        <v>0.3171</v>
      </c>
      <c r="G184" s="20" t="n">
        <v>1.4128</v>
      </c>
      <c r="H184" s="20" t="n">
        <v>0</v>
      </c>
      <c r="I184" s="21">
        <f>F184+G184+H184</f>
        <v/>
      </c>
      <c r="J184" s="20" t="n">
        <v>1.719</v>
      </c>
      <c r="K184" s="20" t="n">
        <v>0.9669483871767238</v>
      </c>
      <c r="L184" s="20" t="n">
        <v>0.3266280505178899</v>
      </c>
      <c r="M184" s="20" t="n">
        <v>756402.08</v>
      </c>
      <c r="N184" s="20" t="n">
        <v>344508.64</v>
      </c>
      <c r="O184" s="20" t="n">
        <v>49.224</v>
      </c>
      <c r="Q184" s="19" t="n">
        <v>109.479795</v>
      </c>
      <c r="R184" s="19" t="n">
        <v>-7.354813</v>
      </c>
      <c r="S184" s="19" t="n">
        <v>170</v>
      </c>
      <c r="T184" s="19" t="n">
        <v>138.356765</v>
      </c>
      <c r="U184" s="19" t="n">
        <v>156.777934</v>
      </c>
      <c r="V184" s="19" t="n">
        <v>119.345797</v>
      </c>
      <c r="W184" s="19" t="n">
        <v>26.773822</v>
      </c>
      <c r="Y184">
        <f>B184</f>
        <v/>
      </c>
      <c r="Z184">
        <f>C184</f>
        <v/>
      </c>
      <c r="AA184" s="18">
        <f>SUM(AD184:AI184)+AK184+AL184</f>
        <v/>
      </c>
      <c r="AB184" s="18">
        <f>SUM(AD184:AI184)+AN184+AO184</f>
        <v/>
      </c>
      <c r="AC184" s="5">
        <f>AA184-AB184</f>
        <v/>
      </c>
      <c r="AD184" s="1">
        <f>D184/I184*W184*-1</f>
        <v/>
      </c>
      <c r="AE184" s="1">
        <f>E184/I184*W184</f>
        <v/>
      </c>
      <c r="AF184" s="1">
        <f t="array" ref="AF184">_xlfn.IFS(C184="Biomass_Corn", 1/I184*S184, C184="Biomass_Agri", 1/I184*V184, C184="Biomass_Wood", 1/I184*U184, C184="Biomass_Herb", 1/I184*T184)</f>
        <v/>
      </c>
      <c r="AG184" s="1">
        <f>M184/I184/(0.9*8760)</f>
        <v/>
      </c>
      <c r="AH184" s="1">
        <f>N184/I184/(0.9*8760)</f>
        <v/>
      </c>
      <c r="AI184" s="1">
        <f>O184/I184</f>
        <v/>
      </c>
      <c r="AJ184" s="1">
        <f>(AY184+AZ184+BA184+BB184+BC184-AW184)/I184</f>
        <v/>
      </c>
      <c r="AK184" s="1">
        <f>(Q184+R184)*-1*K184/I184</f>
        <v/>
      </c>
      <c r="AL184">
        <f>AJ184*Q184</f>
        <v/>
      </c>
      <c r="AM184" s="1">
        <f>(SUM(AY184:BB184)-AW184)/I184</f>
        <v/>
      </c>
      <c r="AN184" s="1">
        <f>K184/I184*-1*R184</f>
        <v/>
      </c>
      <c r="AO184">
        <f>AM184*Q184</f>
        <v/>
      </c>
      <c r="AQ184" s="17">
        <f>J184</f>
        <v/>
      </c>
      <c r="AR184" s="8" t="n">
        <v>0.243968185</v>
      </c>
      <c r="AS184" s="8" t="n">
        <v>0.249427613</v>
      </c>
      <c r="AT184" s="9" t="n">
        <v>0.246356685</v>
      </c>
      <c r="AU184" s="17" t="n">
        <v>0.23037491</v>
      </c>
      <c r="AW184" s="9">
        <f>AQ184</f>
        <v/>
      </c>
      <c r="AY184" s="9">
        <f>AR184*F184</f>
        <v/>
      </c>
      <c r="AZ184" s="9">
        <f>AS184*H184</f>
        <v/>
      </c>
      <c r="BA184" s="9">
        <f>AT184*G184</f>
        <v/>
      </c>
      <c r="BB184" s="9">
        <f>L184</f>
        <v/>
      </c>
      <c r="BC184" s="9">
        <f>K184</f>
        <v/>
      </c>
      <c r="BE184" s="1">
        <f>AW184-SUM(AY184:BC184)</f>
        <v/>
      </c>
    </row>
    <row r="185">
      <c r="B185" s="12" t="inlineStr">
        <is>
          <t>NW_FT_High_Jetfuel_CCS_75_Agri</t>
        </is>
      </c>
      <c r="C185" s="20" t="inlineStr">
        <is>
          <t>Biomass_Agri</t>
        </is>
      </c>
      <c r="D185" s="20" t="n">
        <v>0.7118</v>
      </c>
      <c r="E185" s="20" t="n">
        <v>0</v>
      </c>
      <c r="F185" s="20" t="n">
        <v>0.2899</v>
      </c>
      <c r="G185" s="20" t="n">
        <v>1.2916</v>
      </c>
      <c r="H185" s="20" t="n">
        <v>0</v>
      </c>
      <c r="I185" s="21">
        <f>F185+G185+H185</f>
        <v/>
      </c>
      <c r="J185" s="20" t="n">
        <v>1.664</v>
      </c>
      <c r="K185" s="20" t="n">
        <v>0.9531331237613352</v>
      </c>
      <c r="L185" s="20" t="n">
        <v>0.3219613561869393</v>
      </c>
      <c r="M185" s="20" t="n">
        <v>756402.08</v>
      </c>
      <c r="N185" s="20" t="n">
        <v>344508.64</v>
      </c>
      <c r="O185" s="20" t="n">
        <v>49.224</v>
      </c>
      <c r="Q185" s="19" t="n">
        <v>109.479795</v>
      </c>
      <c r="R185" s="19" t="n">
        <v>-7.354813</v>
      </c>
      <c r="S185" s="19" t="n">
        <v>170</v>
      </c>
      <c r="T185" s="19" t="n">
        <v>138.356765</v>
      </c>
      <c r="U185" s="19" t="n">
        <v>156.777934</v>
      </c>
      <c r="V185" s="19" t="n">
        <v>119.345797</v>
      </c>
      <c r="W185" s="19" t="n">
        <v>26.773822</v>
      </c>
      <c r="Y185">
        <f>B185</f>
        <v/>
      </c>
      <c r="Z185">
        <f>C185</f>
        <v/>
      </c>
      <c r="AA185" s="18">
        <f>SUM(AD185:AI185)+AK185+AL185</f>
        <v/>
      </c>
      <c r="AB185" s="18">
        <f>SUM(AD185:AI185)+AN185+AO185</f>
        <v/>
      </c>
      <c r="AC185" s="5">
        <f>AA185-AB185</f>
        <v/>
      </c>
      <c r="AD185" s="1">
        <f>D185/I185*W185*-1</f>
        <v/>
      </c>
      <c r="AE185" s="1">
        <f>E185/I185*W185</f>
        <v/>
      </c>
      <c r="AF185" s="1">
        <f t="array" ref="AF185">_xlfn.IFS(C185="Biomass_Corn", 1/I185*S185, C185="Biomass_Agri", 1/I185*V185, C185="Biomass_Wood", 1/I185*U185, C185="Biomass_Herb", 1/I185*T185)</f>
        <v/>
      </c>
      <c r="AG185" s="1">
        <f>M185/I185/(0.9*8760)</f>
        <v/>
      </c>
      <c r="AH185" s="1">
        <f>N185/I185/(0.9*8760)</f>
        <v/>
      </c>
      <c r="AI185" s="1">
        <f>O185/I185</f>
        <v/>
      </c>
      <c r="AJ185" s="1">
        <f>(AY185+AZ185+BA185+BB185+BC185-AW185)/I185</f>
        <v/>
      </c>
      <c r="AK185" s="1">
        <f>(Q185+R185)*-1*K185/I185</f>
        <v/>
      </c>
      <c r="AL185">
        <f>AJ185*Q185</f>
        <v/>
      </c>
      <c r="AM185" s="1">
        <f>(SUM(AY185:BB185)-AW185)/I185</f>
        <v/>
      </c>
      <c r="AN185" s="1">
        <f>K185/I185*-1*R185</f>
        <v/>
      </c>
      <c r="AO185">
        <f>AM185*Q185</f>
        <v/>
      </c>
      <c r="AQ185" s="17">
        <f>J185</f>
        <v/>
      </c>
      <c r="AR185" s="8" t="n">
        <v>0.243968185</v>
      </c>
      <c r="AS185" s="8" t="n">
        <v>0.249427613</v>
      </c>
      <c r="AT185" s="9" t="n">
        <v>0.246356685</v>
      </c>
      <c r="AU185" s="17" t="n">
        <v>0.23037491</v>
      </c>
      <c r="AW185" s="9">
        <f>AQ185</f>
        <v/>
      </c>
      <c r="AY185" s="9">
        <f>AR185*F185</f>
        <v/>
      </c>
      <c r="AZ185" s="9">
        <f>AS185*H185</f>
        <v/>
      </c>
      <c r="BA185" s="9">
        <f>AT185*G185</f>
        <v/>
      </c>
      <c r="BB185" s="9">
        <f>L185</f>
        <v/>
      </c>
      <c r="BC185" s="9">
        <f>K185</f>
        <v/>
      </c>
      <c r="BE185" s="1">
        <f>AW185-SUM(AY185:BC185)</f>
        <v/>
      </c>
    </row>
    <row r="186">
      <c r="B186" s="12" t="inlineStr">
        <is>
          <t>SW_FT_High_Jetfuel_CCS_75_Agri</t>
        </is>
      </c>
      <c r="C186" s="20" t="inlineStr">
        <is>
          <t>Biomass_Agri</t>
        </is>
      </c>
      <c r="D186" s="20" t="n">
        <v>0.725</v>
      </c>
      <c r="E186" s="20" t="n">
        <v>0</v>
      </c>
      <c r="F186" s="20" t="n">
        <v>0.2952</v>
      </c>
      <c r="G186" s="20" t="n">
        <v>1.3155</v>
      </c>
      <c r="H186" s="20" t="n">
        <v>0</v>
      </c>
      <c r="I186" s="21">
        <f>F186+G186+H186</f>
        <v/>
      </c>
      <c r="J186" s="20" t="n">
        <v>1.687</v>
      </c>
      <c r="K186" s="20" t="n">
        <v>0.9649357235439916</v>
      </c>
      <c r="L186" s="20" t="n">
        <v>0.3259481875516493</v>
      </c>
      <c r="M186" s="20" t="n">
        <v>756402.08</v>
      </c>
      <c r="N186" s="20" t="n">
        <v>344508.64</v>
      </c>
      <c r="O186" s="20" t="n">
        <v>49.224</v>
      </c>
      <c r="Q186" s="19" t="n">
        <v>109.479795</v>
      </c>
      <c r="R186" s="19" t="n">
        <v>-7.354813</v>
      </c>
      <c r="S186" s="19" t="n">
        <v>170</v>
      </c>
      <c r="T186" s="19" t="n">
        <v>138.356765</v>
      </c>
      <c r="U186" s="19" t="n">
        <v>156.777934</v>
      </c>
      <c r="V186" s="19" t="n">
        <v>119.345797</v>
      </c>
      <c r="W186" s="19" t="n">
        <v>26.773822</v>
      </c>
      <c r="Y186">
        <f>B186</f>
        <v/>
      </c>
      <c r="Z186">
        <f>C186</f>
        <v/>
      </c>
      <c r="AA186" s="18">
        <f>SUM(AD186:AI186)+AK186+AL186</f>
        <v/>
      </c>
      <c r="AB186" s="18">
        <f>SUM(AD186:AI186)+AN186+AO186</f>
        <v/>
      </c>
      <c r="AC186" s="5">
        <f>AA186-AB186</f>
        <v/>
      </c>
      <c r="AD186" s="1">
        <f>D186/I186*W186*-1</f>
        <v/>
      </c>
      <c r="AE186" s="1">
        <f>E186/I186*W186</f>
        <v/>
      </c>
      <c r="AF186" s="1">
        <f t="array" ref="AF186">_xlfn.IFS(C186="Biomass_Corn", 1/I186*S186, C186="Biomass_Agri", 1/I186*V186, C186="Biomass_Wood", 1/I186*U186, C186="Biomass_Herb", 1/I186*T186)</f>
        <v/>
      </c>
      <c r="AG186" s="1">
        <f>M186/I186/(0.9*8760)</f>
        <v/>
      </c>
      <c r="AH186" s="1">
        <f>N186/I186/(0.9*8760)</f>
        <v/>
      </c>
      <c r="AI186" s="1">
        <f>O186/I186</f>
        <v/>
      </c>
      <c r="AJ186" s="1">
        <f>(AY186+AZ186+BA186+BB186+BC186-AW186)/I186</f>
        <v/>
      </c>
      <c r="AK186" s="1">
        <f>(Q186+R186)*-1*K186/I186</f>
        <v/>
      </c>
      <c r="AL186">
        <f>AJ186*Q186</f>
        <v/>
      </c>
      <c r="AM186" s="1">
        <f>(SUM(AY186:BB186)-AW186)/I186</f>
        <v/>
      </c>
      <c r="AN186" s="1">
        <f>K186/I186*-1*R186</f>
        <v/>
      </c>
      <c r="AO186">
        <f>AM186*Q186</f>
        <v/>
      </c>
      <c r="AQ186" s="17">
        <f>J186</f>
        <v/>
      </c>
      <c r="AR186" s="8" t="n">
        <v>0.243968185</v>
      </c>
      <c r="AS186" s="8" t="n">
        <v>0.249427613</v>
      </c>
      <c r="AT186" s="9" t="n">
        <v>0.246356685</v>
      </c>
      <c r="AU186" s="17" t="n">
        <v>0.23037491</v>
      </c>
      <c r="AW186" s="9">
        <f>AQ186</f>
        <v/>
      </c>
      <c r="AY186" s="9">
        <f>AR186*F186</f>
        <v/>
      </c>
      <c r="AZ186" s="9">
        <f>AS186*H186</f>
        <v/>
      </c>
      <c r="BA186" s="9">
        <f>AT186*G186</f>
        <v/>
      </c>
      <c r="BB186" s="9">
        <f>L186</f>
        <v/>
      </c>
      <c r="BC186" s="9">
        <f>K186</f>
        <v/>
      </c>
      <c r="BE186" s="1">
        <f>AW186-SUM(AY186:BC186)</f>
        <v/>
      </c>
    </row>
    <row r="187">
      <c r="B187" s="12" t="inlineStr">
        <is>
          <t>TX_FT_High_Jetfuel_CCS_75_Agri</t>
        </is>
      </c>
      <c r="C187" s="20" t="inlineStr">
        <is>
          <t>Biomass_Agri</t>
        </is>
      </c>
      <c r="D187" s="20" t="n">
        <v>0.7063</v>
      </c>
      <c r="E187" s="20" t="n">
        <v>0</v>
      </c>
      <c r="F187" s="20" t="n">
        <v>0.2876</v>
      </c>
      <c r="G187" s="20" t="n">
        <v>1.2815</v>
      </c>
      <c r="H187" s="20" t="n">
        <v>0</v>
      </c>
      <c r="I187" s="21">
        <f>F187+G187+H187</f>
        <v/>
      </c>
      <c r="J187" s="20" t="n">
        <v>1.633</v>
      </c>
      <c r="K187" s="20" t="n">
        <v>0.9322209044976408</v>
      </c>
      <c r="L187" s="20" t="n">
        <v>0.3148973623888351</v>
      </c>
      <c r="M187" s="20" t="n">
        <v>756402.08</v>
      </c>
      <c r="N187" s="20" t="n">
        <v>344508.64</v>
      </c>
      <c r="O187" s="20" t="n">
        <v>49.224</v>
      </c>
      <c r="Q187" s="19" t="n">
        <v>109.479795</v>
      </c>
      <c r="R187" s="19" t="n">
        <v>-7.354813</v>
      </c>
      <c r="S187" s="19" t="n">
        <v>170</v>
      </c>
      <c r="T187" s="19" t="n">
        <v>138.356765</v>
      </c>
      <c r="U187" s="19" t="n">
        <v>156.777934</v>
      </c>
      <c r="V187" s="19" t="n">
        <v>119.345797</v>
      </c>
      <c r="W187" s="19" t="n">
        <v>26.773822</v>
      </c>
      <c r="Y187">
        <f>B187</f>
        <v/>
      </c>
      <c r="Z187">
        <f>C187</f>
        <v/>
      </c>
      <c r="AA187" s="18">
        <f>SUM(AD187:AI187)+AK187+AL187</f>
        <v/>
      </c>
      <c r="AB187" s="18">
        <f>SUM(AD187:AI187)+AN187+AO187</f>
        <v/>
      </c>
      <c r="AC187" s="5">
        <f>AA187-AB187</f>
        <v/>
      </c>
      <c r="AD187" s="1">
        <f>D187/I187*W187*-1</f>
        <v/>
      </c>
      <c r="AE187" s="1">
        <f>E187/I187*W187</f>
        <v/>
      </c>
      <c r="AF187" s="1">
        <f t="array" ref="AF187">_xlfn.IFS(C187="Biomass_Corn", 1/I187*S187, C187="Biomass_Agri", 1/I187*V187, C187="Biomass_Wood", 1/I187*U187, C187="Biomass_Herb", 1/I187*T187)</f>
        <v/>
      </c>
      <c r="AG187" s="1">
        <f>M187/I187/(0.9*8760)</f>
        <v/>
      </c>
      <c r="AH187" s="1">
        <f>N187/I187/(0.9*8760)</f>
        <v/>
      </c>
      <c r="AI187" s="1">
        <f>O187/I187</f>
        <v/>
      </c>
      <c r="AJ187" s="1">
        <f>(AY187+AZ187+BA187+BB187+BC187-AW187)/I187</f>
        <v/>
      </c>
      <c r="AK187" s="1">
        <f>(Q187+R187)*-1*K187/I187</f>
        <v/>
      </c>
      <c r="AL187">
        <f>AJ187*Q187</f>
        <v/>
      </c>
      <c r="AM187" s="1">
        <f>(SUM(AY187:BB187)-AW187)/I187</f>
        <v/>
      </c>
      <c r="AN187" s="1">
        <f>K187/I187*-1*R187</f>
        <v/>
      </c>
      <c r="AO187">
        <f>AM187*Q187</f>
        <v/>
      </c>
      <c r="AQ187" s="17">
        <f>J187</f>
        <v/>
      </c>
      <c r="AR187" s="8" t="n">
        <v>0.243968185</v>
      </c>
      <c r="AS187" s="8" t="n">
        <v>0.249427613</v>
      </c>
      <c r="AT187" s="9" t="n">
        <v>0.246356685</v>
      </c>
      <c r="AU187" s="17" t="n">
        <v>0.23037491</v>
      </c>
      <c r="AW187" s="9">
        <f>AQ187</f>
        <v/>
      </c>
      <c r="AY187" s="9">
        <f>AR187*F187</f>
        <v/>
      </c>
      <c r="AZ187" s="9">
        <f>AS187*H187</f>
        <v/>
      </c>
      <c r="BA187" s="9">
        <f>AT187*G187</f>
        <v/>
      </c>
      <c r="BB187" s="9">
        <f>L187</f>
        <v/>
      </c>
      <c r="BC187" s="9">
        <f>K187</f>
        <v/>
      </c>
      <c r="BE187" s="1">
        <f>AW187-SUM(AY187:BC187)</f>
        <v/>
      </c>
    </row>
    <row r="188">
      <c r="B188" s="12" t="inlineStr">
        <is>
          <t>NCEN_FT_High_Jetfuel_CCS_75_Agri</t>
        </is>
      </c>
      <c r="C188" s="20" t="inlineStr">
        <is>
          <t>Biomass_Agri</t>
        </is>
      </c>
      <c r="D188" s="20" t="n">
        <v>0.7365</v>
      </c>
      <c r="E188" s="20" t="n">
        <v>0</v>
      </c>
      <c r="F188" s="20" t="n">
        <v>0.2999</v>
      </c>
      <c r="G188" s="20" t="n">
        <v>1.3364</v>
      </c>
      <c r="H188" s="20" t="n">
        <v>0</v>
      </c>
      <c r="I188" s="21">
        <f>F188+G188+H188</f>
        <v/>
      </c>
      <c r="J188" s="20" t="n">
        <v>1.71</v>
      </c>
      <c r="K188" s="20" t="n">
        <v>0.977433794322434</v>
      </c>
      <c r="L188" s="20" t="n">
        <v>0.3301699439015579</v>
      </c>
      <c r="M188" s="20" t="n">
        <v>756402.08</v>
      </c>
      <c r="N188" s="20" t="n">
        <v>344508.64</v>
      </c>
      <c r="O188" s="20" t="n">
        <v>49.224</v>
      </c>
      <c r="Q188" s="19" t="n">
        <v>109.479795</v>
      </c>
      <c r="R188" s="19" t="n">
        <v>-7.354813</v>
      </c>
      <c r="S188" s="19" t="n">
        <v>170</v>
      </c>
      <c r="T188" s="19" t="n">
        <v>138.356765</v>
      </c>
      <c r="U188" s="19" t="n">
        <v>156.777934</v>
      </c>
      <c r="V188" s="19" t="n">
        <v>119.345797</v>
      </c>
      <c r="W188" s="19" t="n">
        <v>26.773822</v>
      </c>
      <c r="Y188">
        <f>B188</f>
        <v/>
      </c>
      <c r="Z188">
        <f>C188</f>
        <v/>
      </c>
      <c r="AA188" s="18">
        <f>SUM(AD188:AI188)+AK188+AL188</f>
        <v/>
      </c>
      <c r="AB188" s="18">
        <f>SUM(AD188:AI188)+AN188+AO188</f>
        <v/>
      </c>
      <c r="AC188" s="5">
        <f>AA188-AB188</f>
        <v/>
      </c>
      <c r="AD188" s="1">
        <f>D188/I188*W188*-1</f>
        <v/>
      </c>
      <c r="AE188" s="1">
        <f>E188/I188*W188</f>
        <v/>
      </c>
      <c r="AF188" s="1">
        <f t="array" ref="AF188">_xlfn.IFS(C188="Biomass_Corn", 1/I188*S188, C188="Biomass_Agri", 1/I188*V188, C188="Biomass_Wood", 1/I188*U188, C188="Biomass_Herb", 1/I188*T188)</f>
        <v/>
      </c>
      <c r="AG188" s="1">
        <f>M188/I188/(0.9*8760)</f>
        <v/>
      </c>
      <c r="AH188" s="1">
        <f>N188/I188/(0.9*8760)</f>
        <v/>
      </c>
      <c r="AI188" s="1">
        <f>O188/I188</f>
        <v/>
      </c>
      <c r="AJ188" s="1">
        <f>(AY188+AZ188+BA188+BB188+BC188-AW188)/I188</f>
        <v/>
      </c>
      <c r="AK188" s="1">
        <f>(Q188+R188)*-1*K188/I188</f>
        <v/>
      </c>
      <c r="AL188">
        <f>AJ188*Q188</f>
        <v/>
      </c>
      <c r="AM188" s="1">
        <f>(SUM(AY188:BB188)-AW188)/I188</f>
        <v/>
      </c>
      <c r="AN188" s="1">
        <f>K188/I188*-1*R188</f>
        <v/>
      </c>
      <c r="AO188">
        <f>AM188*Q188</f>
        <v/>
      </c>
      <c r="AQ188" s="17">
        <f>J188</f>
        <v/>
      </c>
      <c r="AR188" s="8" t="n">
        <v>0.243968185</v>
      </c>
      <c r="AS188" s="8" t="n">
        <v>0.249427613</v>
      </c>
      <c r="AT188" s="9" t="n">
        <v>0.246356685</v>
      </c>
      <c r="AU188" s="17" t="n">
        <v>0.23037491</v>
      </c>
      <c r="AW188" s="9">
        <f>AQ188</f>
        <v/>
      </c>
      <c r="AY188" s="9">
        <f>AR188*F188</f>
        <v/>
      </c>
      <c r="AZ188" s="9">
        <f>AS188*H188</f>
        <v/>
      </c>
      <c r="BA188" s="9">
        <f>AT188*G188</f>
        <v/>
      </c>
      <c r="BB188" s="9">
        <f>L188</f>
        <v/>
      </c>
      <c r="BC188" s="9">
        <f>K188</f>
        <v/>
      </c>
      <c r="BE188" s="1">
        <f>AW188-SUM(AY188:BC188)</f>
        <v/>
      </c>
    </row>
    <row r="189">
      <c r="B189" s="12" t="inlineStr">
        <is>
          <t>CEN_FT_High_Jetfuel_CCS_75_Agri</t>
        </is>
      </c>
      <c r="C189" s="20" t="inlineStr">
        <is>
          <t>Biomass_Agri</t>
        </is>
      </c>
      <c r="D189" s="20" t="n">
        <v>0.731</v>
      </c>
      <c r="E189" s="20" t="n">
        <v>0</v>
      </c>
      <c r="F189" s="20" t="n">
        <v>0.2977</v>
      </c>
      <c r="G189" s="20" t="n">
        <v>1.3263</v>
      </c>
      <c r="H189" s="20" t="n">
        <v>0</v>
      </c>
      <c r="I189" s="21">
        <f>F189+G189+H189</f>
        <v/>
      </c>
      <c r="J189" s="20" t="n">
        <v>1.7</v>
      </c>
      <c r="K189" s="20" t="n">
        <v>0.9722190750587396</v>
      </c>
      <c r="L189" s="20" t="n">
        <v>0.3284084501034537</v>
      </c>
      <c r="M189" s="20" t="n">
        <v>756402.08</v>
      </c>
      <c r="N189" s="20" t="n">
        <v>344508.64</v>
      </c>
      <c r="O189" s="20" t="n">
        <v>49.224</v>
      </c>
      <c r="Q189" s="19" t="n">
        <v>109.479795</v>
      </c>
      <c r="R189" s="19" t="n">
        <v>-7.354813</v>
      </c>
      <c r="S189" s="19" t="n">
        <v>170</v>
      </c>
      <c r="T189" s="19" t="n">
        <v>138.356765</v>
      </c>
      <c r="U189" s="19" t="n">
        <v>156.777934</v>
      </c>
      <c r="V189" s="19" t="n">
        <v>119.345797</v>
      </c>
      <c r="W189" s="19" t="n">
        <v>26.773822</v>
      </c>
      <c r="Y189">
        <f>B189</f>
        <v/>
      </c>
      <c r="Z189">
        <f>C189</f>
        <v/>
      </c>
      <c r="AA189" s="18">
        <f>SUM(AD189:AI189)+AK189+AL189</f>
        <v/>
      </c>
      <c r="AB189" s="18">
        <f>SUM(AD189:AI189)+AN189+AO189</f>
        <v/>
      </c>
      <c r="AC189" s="5">
        <f>AA189-AB189</f>
        <v/>
      </c>
      <c r="AD189" s="1">
        <f>D189/I189*W189*-1</f>
        <v/>
      </c>
      <c r="AE189" s="1">
        <f>E189/I189*W189</f>
        <v/>
      </c>
      <c r="AF189" s="1">
        <f t="array" ref="AF189">_xlfn.IFS(C189="Biomass_Corn", 1/I189*S189, C189="Biomass_Agri", 1/I189*V189, C189="Biomass_Wood", 1/I189*U189, C189="Biomass_Herb", 1/I189*T189)</f>
        <v/>
      </c>
      <c r="AG189" s="1">
        <f>M189/I189/(0.9*8760)</f>
        <v/>
      </c>
      <c r="AH189" s="1">
        <f>N189/I189/(0.9*8760)</f>
        <v/>
      </c>
      <c r="AI189" s="1">
        <f>O189/I189</f>
        <v/>
      </c>
      <c r="AJ189" s="1">
        <f>(AY189+AZ189+BA189+BB189+BC189-AW189)/I189</f>
        <v/>
      </c>
      <c r="AK189" s="1">
        <f>(Q189+R189)*-1*K189/I189</f>
        <v/>
      </c>
      <c r="AL189">
        <f>AJ189*Q189</f>
        <v/>
      </c>
      <c r="AM189" s="1">
        <f>(SUM(AY189:BB189)-AW189)/I189</f>
        <v/>
      </c>
      <c r="AN189" s="1">
        <f>K189/I189*-1*R189</f>
        <v/>
      </c>
      <c r="AO189">
        <f>AM189*Q189</f>
        <v/>
      </c>
      <c r="AQ189" s="17">
        <f>J189</f>
        <v/>
      </c>
      <c r="AR189" s="8" t="n">
        <v>0.243968185</v>
      </c>
      <c r="AS189" s="8" t="n">
        <v>0.249427613</v>
      </c>
      <c r="AT189" s="9" t="n">
        <v>0.246356685</v>
      </c>
      <c r="AU189" s="17" t="n">
        <v>0.23037491</v>
      </c>
      <c r="AW189" s="9">
        <f>AQ189</f>
        <v/>
      </c>
      <c r="AY189" s="9">
        <f>AR189*F189</f>
        <v/>
      </c>
      <c r="AZ189" s="9">
        <f>AS189*H189</f>
        <v/>
      </c>
      <c r="BA189" s="9">
        <f>AT189*G189</f>
        <v/>
      </c>
      <c r="BB189" s="9">
        <f>L189</f>
        <v/>
      </c>
      <c r="BC189" s="9">
        <f>K189</f>
        <v/>
      </c>
      <c r="BE189" s="1">
        <f>AW189-SUM(AY189:BC189)</f>
        <v/>
      </c>
    </row>
    <row r="190">
      <c r="B190" s="12" t="inlineStr">
        <is>
          <t>SE_FT_High_Jetfuel_CCS_75_Agri</t>
        </is>
      </c>
      <c r="C190" s="20" t="inlineStr">
        <is>
          <t>Biomass_Agri</t>
        </is>
      </c>
      <c r="D190" s="20" t="n">
        <v>0.7335</v>
      </c>
      <c r="E190" s="20" t="n">
        <v>0</v>
      </c>
      <c r="F190" s="20" t="n">
        <v>0.2987</v>
      </c>
      <c r="G190" s="20" t="n">
        <v>1.331</v>
      </c>
      <c r="H190" s="20" t="n">
        <v>0</v>
      </c>
      <c r="I190" s="21">
        <f>F190+G190+H190</f>
        <v/>
      </c>
      <c r="J190" s="20" t="n">
        <v>1.689</v>
      </c>
      <c r="K190" s="20" t="n">
        <v>0.96295336856506</v>
      </c>
      <c r="L190" s="20" t="n">
        <v>0.3252785626256557</v>
      </c>
      <c r="M190" s="20" t="n">
        <v>756402.08</v>
      </c>
      <c r="N190" s="20" t="n">
        <v>344508.64</v>
      </c>
      <c r="O190" s="20" t="n">
        <v>49.224</v>
      </c>
      <c r="Q190" s="19" t="n">
        <v>109.479795</v>
      </c>
      <c r="R190" s="19" t="n">
        <v>-7.354813</v>
      </c>
      <c r="S190" s="19" t="n">
        <v>170</v>
      </c>
      <c r="T190" s="19" t="n">
        <v>138.356765</v>
      </c>
      <c r="U190" s="19" t="n">
        <v>156.777934</v>
      </c>
      <c r="V190" s="19" t="n">
        <v>119.345797</v>
      </c>
      <c r="W190" s="19" t="n">
        <v>26.773822</v>
      </c>
      <c r="Y190">
        <f>B190</f>
        <v/>
      </c>
      <c r="Z190">
        <f>C190</f>
        <v/>
      </c>
      <c r="AA190" s="18">
        <f>SUM(AD190:AI190)+AK190+AL190</f>
        <v/>
      </c>
      <c r="AB190" s="18">
        <f>SUM(AD190:AI190)+AN190+AO190</f>
        <v/>
      </c>
      <c r="AC190" s="5">
        <f>AA190-AB190</f>
        <v/>
      </c>
      <c r="AD190" s="1">
        <f>D190/I190*W190*-1</f>
        <v/>
      </c>
      <c r="AE190" s="1">
        <f>E190/I190*W190</f>
        <v/>
      </c>
      <c r="AF190" s="1">
        <f t="array" ref="AF190">_xlfn.IFS(C190="Biomass_Corn", 1/I190*S190, C190="Biomass_Agri", 1/I190*V190, C190="Biomass_Wood", 1/I190*U190, C190="Biomass_Herb", 1/I190*T190)</f>
        <v/>
      </c>
      <c r="AG190" s="1">
        <f>M190/I190/(0.9*8760)</f>
        <v/>
      </c>
      <c r="AH190" s="1">
        <f>N190/I190/(0.9*8760)</f>
        <v/>
      </c>
      <c r="AI190" s="1">
        <f>O190/I190</f>
        <v/>
      </c>
      <c r="AJ190" s="1">
        <f>(AY190+AZ190+BA190+BB190+BC190-AW190)/I190</f>
        <v/>
      </c>
      <c r="AK190" s="1">
        <f>(Q190+R190)*-1*K190/I190</f>
        <v/>
      </c>
      <c r="AL190">
        <f>AJ190*Q190</f>
        <v/>
      </c>
      <c r="AM190" s="1">
        <f>(SUM(AY190:BB190)-AW190)/I190</f>
        <v/>
      </c>
      <c r="AN190" s="1">
        <f>K190/I190*-1*R190</f>
        <v/>
      </c>
      <c r="AO190">
        <f>AM190*Q190</f>
        <v/>
      </c>
      <c r="AQ190" s="17">
        <f>J190</f>
        <v/>
      </c>
      <c r="AR190" s="8" t="n">
        <v>0.243968185</v>
      </c>
      <c r="AS190" s="8" t="n">
        <v>0.249427613</v>
      </c>
      <c r="AT190" s="9" t="n">
        <v>0.246356685</v>
      </c>
      <c r="AU190" s="17" t="n">
        <v>0.23037491</v>
      </c>
      <c r="AW190" s="9">
        <f>AQ190</f>
        <v/>
      </c>
      <c r="AY190" s="9">
        <f>AR190*F190</f>
        <v/>
      </c>
      <c r="AZ190" s="9">
        <f>AS190*H190</f>
        <v/>
      </c>
      <c r="BA190" s="9">
        <f>AT190*G190</f>
        <v/>
      </c>
      <c r="BB190" s="9">
        <f>L190</f>
        <v/>
      </c>
      <c r="BC190" s="9">
        <f>K190</f>
        <v/>
      </c>
      <c r="BE190" s="1">
        <f>AW190-SUM(AY190:BC190)</f>
        <v/>
      </c>
    </row>
    <row r="191">
      <c r="B191" s="12" t="inlineStr">
        <is>
          <t>MIDAT_FT_High_Jetfuel_CCS_75_Agri</t>
        </is>
      </c>
      <c r="C191" s="20" t="inlineStr">
        <is>
          <t>Biomass_Agri</t>
        </is>
      </c>
      <c r="D191" s="20" t="n">
        <v>0.7357</v>
      </c>
      <c r="E191" s="20" t="n">
        <v>0</v>
      </c>
      <c r="F191" s="20" t="n">
        <v>0.2996</v>
      </c>
      <c r="G191" s="20" t="n">
        <v>1.3348</v>
      </c>
      <c r="H191" s="20" t="n">
        <v>0</v>
      </c>
      <c r="I191" s="21">
        <f>F191+G191+H191</f>
        <v/>
      </c>
      <c r="J191" s="20" t="n">
        <v>1.708</v>
      </c>
      <c r="K191" s="20" t="n">
        <v>0.9762865298203276</v>
      </c>
      <c r="L191" s="20" t="n">
        <v>0.3297824063941573</v>
      </c>
      <c r="M191" s="20" t="n">
        <v>756402.08</v>
      </c>
      <c r="N191" s="20" t="n">
        <v>344508.64</v>
      </c>
      <c r="O191" s="20" t="n">
        <v>49.224</v>
      </c>
      <c r="Q191" s="19" t="n">
        <v>109.479795</v>
      </c>
      <c r="R191" s="19" t="n">
        <v>-7.354813</v>
      </c>
      <c r="S191" s="19" t="n">
        <v>170</v>
      </c>
      <c r="T191" s="19" t="n">
        <v>138.356765</v>
      </c>
      <c r="U191" s="19" t="n">
        <v>156.777934</v>
      </c>
      <c r="V191" s="19" t="n">
        <v>119.345797</v>
      </c>
      <c r="W191" s="19" t="n">
        <v>26.773822</v>
      </c>
      <c r="Y191">
        <f>B191</f>
        <v/>
      </c>
      <c r="Z191">
        <f>C191</f>
        <v/>
      </c>
      <c r="AA191" s="18">
        <f>SUM(AD191:AI191)+AK191+AL191</f>
        <v/>
      </c>
      <c r="AB191" s="18">
        <f>SUM(AD191:AI191)+AN191+AO191</f>
        <v/>
      </c>
      <c r="AC191" s="5">
        <f>AA191-AB191</f>
        <v/>
      </c>
      <c r="AD191" s="1">
        <f>D191/I191*W191*-1</f>
        <v/>
      </c>
      <c r="AE191" s="1">
        <f>E191/I191*W191</f>
        <v/>
      </c>
      <c r="AF191" s="1">
        <f t="array" ref="AF191">_xlfn.IFS(C191="Biomass_Corn", 1/I191*S191, C191="Biomass_Agri", 1/I191*V191, C191="Biomass_Wood", 1/I191*U191, C191="Biomass_Herb", 1/I191*T191)</f>
        <v/>
      </c>
      <c r="AG191" s="1">
        <f>M191/I191/(0.9*8760)</f>
        <v/>
      </c>
      <c r="AH191" s="1">
        <f>N191/I191/(0.9*8760)</f>
        <v/>
      </c>
      <c r="AI191" s="1">
        <f>O191/I191</f>
        <v/>
      </c>
      <c r="AJ191" s="1">
        <f>(AY191+AZ191+BA191+BB191+BC191-AW191)/I191</f>
        <v/>
      </c>
      <c r="AK191" s="1">
        <f>(Q191+R191)*-1*K191/I191</f>
        <v/>
      </c>
      <c r="AL191">
        <f>AJ191*Q191</f>
        <v/>
      </c>
      <c r="AM191" s="1">
        <f>(SUM(AY191:BB191)-AW191)/I191</f>
        <v/>
      </c>
      <c r="AN191" s="1">
        <f>K191/I191*-1*R191</f>
        <v/>
      </c>
      <c r="AO191">
        <f>AM191*Q191</f>
        <v/>
      </c>
      <c r="AQ191" s="17">
        <f>J191</f>
        <v/>
      </c>
      <c r="AR191" s="8" t="n">
        <v>0.243968185</v>
      </c>
      <c r="AS191" s="8" t="n">
        <v>0.249427613</v>
      </c>
      <c r="AT191" s="9" t="n">
        <v>0.246356685</v>
      </c>
      <c r="AU191" s="17" t="n">
        <v>0.23037491</v>
      </c>
      <c r="AW191" s="9">
        <f>AQ191</f>
        <v/>
      </c>
      <c r="AY191" s="9">
        <f>AR191*F191</f>
        <v/>
      </c>
      <c r="AZ191" s="9">
        <f>AS191*H191</f>
        <v/>
      </c>
      <c r="BA191" s="9">
        <f>AT191*G191</f>
        <v/>
      </c>
      <c r="BB191" s="9">
        <f>L191</f>
        <v/>
      </c>
      <c r="BC191" s="9">
        <f>K191</f>
        <v/>
      </c>
      <c r="BE191" s="1">
        <f>AW191-SUM(AY191:BC191)</f>
        <v/>
      </c>
    </row>
    <row r="192">
      <c r="B192" s="12" t="inlineStr">
        <is>
          <t>NE_FT_High_Jetfuel_CCS_75_Agri</t>
        </is>
      </c>
      <c r="C192" s="20" t="inlineStr">
        <is>
          <t>Biomass_Agri</t>
        </is>
      </c>
      <c r="D192" s="20" t="n">
        <v>0.7442</v>
      </c>
      <c r="E192" s="20" t="n">
        <v>0</v>
      </c>
      <c r="F192" s="20" t="n">
        <v>0.303</v>
      </c>
      <c r="G192" s="20" t="n">
        <v>1.3503</v>
      </c>
      <c r="H192" s="20" t="n">
        <v>0</v>
      </c>
      <c r="I192" s="21">
        <f>F192+G192+H192</f>
        <v/>
      </c>
      <c r="J192" s="20" t="n">
        <v>1.715</v>
      </c>
      <c r="K192" s="20" t="n">
        <v>0.978041674841396</v>
      </c>
      <c r="L192" s="20" t="n">
        <v>0.3303752814681637</v>
      </c>
      <c r="M192" s="20" t="n">
        <v>756402.08</v>
      </c>
      <c r="N192" s="20" t="n">
        <v>344508.64</v>
      </c>
      <c r="O192" s="20" t="n">
        <v>49.224</v>
      </c>
      <c r="Q192" s="19" t="n">
        <v>109.479795</v>
      </c>
      <c r="R192" s="19" t="n">
        <v>-7.354813</v>
      </c>
      <c r="S192" s="19" t="n">
        <v>170</v>
      </c>
      <c r="T192" s="19" t="n">
        <v>138.356765</v>
      </c>
      <c r="U192" s="19" t="n">
        <v>156.777934</v>
      </c>
      <c r="V192" s="19" t="n">
        <v>119.345797</v>
      </c>
      <c r="W192" s="19" t="n">
        <v>26.773822</v>
      </c>
      <c r="Y192">
        <f>B192</f>
        <v/>
      </c>
      <c r="Z192">
        <f>C192</f>
        <v/>
      </c>
      <c r="AA192" s="18">
        <f>SUM(AD192:AI192)+AK192+AL192</f>
        <v/>
      </c>
      <c r="AB192" s="18">
        <f>SUM(AD192:AI192)+AN192+AO192</f>
        <v/>
      </c>
      <c r="AC192" s="5">
        <f>AA192-AB192</f>
        <v/>
      </c>
      <c r="AD192" s="1">
        <f>D192/I192*W192*-1</f>
        <v/>
      </c>
      <c r="AE192" s="1">
        <f>E192/I192*W192</f>
        <v/>
      </c>
      <c r="AF192" s="1">
        <f t="array" ref="AF192">_xlfn.IFS(C192="Biomass_Corn", 1/I192*S192, C192="Biomass_Agri", 1/I192*V192, C192="Biomass_Wood", 1/I192*U192, C192="Biomass_Herb", 1/I192*T192)</f>
        <v/>
      </c>
      <c r="AG192" s="1">
        <f>M192/I192/(0.9*8760)</f>
        <v/>
      </c>
      <c r="AH192" s="1">
        <f>N192/I192/(0.9*8760)</f>
        <v/>
      </c>
      <c r="AI192" s="1">
        <f>O192/I192</f>
        <v/>
      </c>
      <c r="AJ192" s="1">
        <f>(AY192+AZ192+BA192+BB192+BC192-AW192)/I192</f>
        <v/>
      </c>
      <c r="AK192" s="1">
        <f>(Q192+R192)*-1*K192/I192</f>
        <v/>
      </c>
      <c r="AL192">
        <f>AJ192*Q192</f>
        <v/>
      </c>
      <c r="AM192" s="1">
        <f>(SUM(AY192:BB192)-AW192)/I192</f>
        <v/>
      </c>
      <c r="AN192" s="1">
        <f>K192/I192*-1*R192</f>
        <v/>
      </c>
      <c r="AO192">
        <f>AM192*Q192</f>
        <v/>
      </c>
      <c r="AQ192" s="17">
        <f>J192</f>
        <v/>
      </c>
      <c r="AR192" s="8" t="n">
        <v>0.243968185</v>
      </c>
      <c r="AS192" s="8" t="n">
        <v>0.249427613</v>
      </c>
      <c r="AT192" s="9" t="n">
        <v>0.246356685</v>
      </c>
      <c r="AU192" s="17" t="n">
        <v>0.23037491</v>
      </c>
      <c r="AW192" s="9">
        <f>AQ192</f>
        <v/>
      </c>
      <c r="AY192" s="9">
        <f>AR192*F192</f>
        <v/>
      </c>
      <c r="AZ192" s="9">
        <f>AS192*H192</f>
        <v/>
      </c>
      <c r="BA192" s="9">
        <f>AT192*G192</f>
        <v/>
      </c>
      <c r="BB192" s="9">
        <f>L192</f>
        <v/>
      </c>
      <c r="BC192" s="9">
        <f>K192</f>
        <v/>
      </c>
      <c r="BE192" s="1">
        <f>AW192-SUM(AY192:BC192)</f>
        <v/>
      </c>
    </row>
    <row r="193">
      <c r="B193" s="12" t="inlineStr">
        <is>
          <t>CA_FT_High_Jetfuel_CCS_84_Herb</t>
        </is>
      </c>
      <c r="C193" s="20" t="inlineStr">
        <is>
          <t>Biomass_Herb</t>
        </is>
      </c>
      <c r="D193" s="20" t="n">
        <v>0.2468</v>
      </c>
      <c r="E193" s="20" t="n">
        <v>0</v>
      </c>
      <c r="F193" s="20" t="n">
        <v>0.4143</v>
      </c>
      <c r="G193" s="20" t="n">
        <v>1.8498</v>
      </c>
      <c r="H193" s="20" t="n">
        <v>0</v>
      </c>
      <c r="I193" s="21">
        <f>F193+G193+H193</f>
        <v/>
      </c>
      <c r="J193" s="20" t="n">
        <v>1.721</v>
      </c>
      <c r="K193" s="20" t="n">
        <v>0.9765498087263856</v>
      </c>
      <c r="L193" s="20" t="n">
        <v>0.1876726623351136</v>
      </c>
      <c r="M193" s="20" t="n">
        <v>784258.72</v>
      </c>
      <c r="N193" s="20" t="n">
        <v>351016.96</v>
      </c>
      <c r="O193" s="20" t="n">
        <v>50.288</v>
      </c>
      <c r="Q193" s="19" t="n">
        <v>109.479795</v>
      </c>
      <c r="R193" s="19" t="n">
        <v>-7.354813</v>
      </c>
      <c r="S193" s="19" t="n">
        <v>170</v>
      </c>
      <c r="T193" s="19" t="n">
        <v>138.356765</v>
      </c>
      <c r="U193" s="19" t="n">
        <v>156.777934</v>
      </c>
      <c r="V193" s="19" t="n">
        <v>119.345797</v>
      </c>
      <c r="W193" s="19" t="n">
        <v>26.773822</v>
      </c>
      <c r="Y193">
        <f>B193</f>
        <v/>
      </c>
      <c r="Z193">
        <f>C193</f>
        <v/>
      </c>
      <c r="AA193" s="18">
        <f>SUM(AD193:AI193)+AK193+AL193</f>
        <v/>
      </c>
      <c r="AB193" s="18">
        <f>SUM(AD193:AI193)+AN193+AO193</f>
        <v/>
      </c>
      <c r="AC193" s="5">
        <f>AA193-AB193</f>
        <v/>
      </c>
      <c r="AD193" s="1">
        <f>D193/I193*W193*-1</f>
        <v/>
      </c>
      <c r="AE193" s="1">
        <f>E193/I193*W193</f>
        <v/>
      </c>
      <c r="AF193" s="1">
        <f t="array" ref="AF193">_xlfn.IFS(C193="Biomass_Corn", 1/I193*S193, C193="Biomass_Agri", 1/I193*V193, C193="Biomass_Wood", 1/I193*U193, C193="Biomass_Herb", 1/I193*T193)</f>
        <v/>
      </c>
      <c r="AG193" s="1">
        <f>M193/I193/(0.9*8760)</f>
        <v/>
      </c>
      <c r="AH193" s="1">
        <f>N193/I193/(0.9*8760)</f>
        <v/>
      </c>
      <c r="AI193" s="1">
        <f>O193/I193</f>
        <v/>
      </c>
      <c r="AJ193" s="1">
        <f>(AY193+AZ193+BA193+BB193+BC193-AW193)/I193</f>
        <v/>
      </c>
      <c r="AK193" s="1">
        <f>(Q193+R193)*-1*K193/I193</f>
        <v/>
      </c>
      <c r="AL193">
        <f>AJ193*Q193</f>
        <v/>
      </c>
      <c r="AM193" s="1">
        <f>(SUM(AY193:BB193)-AW193)/I193</f>
        <v/>
      </c>
      <c r="AN193" s="1">
        <f>K193/I193*-1*R193</f>
        <v/>
      </c>
      <c r="AO193">
        <f>AM193*Q193</f>
        <v/>
      </c>
      <c r="AQ193" s="17">
        <f>J193</f>
        <v/>
      </c>
      <c r="AR193" s="8" t="n">
        <v>0.243968185</v>
      </c>
      <c r="AS193" s="8" t="n">
        <v>0.249427613</v>
      </c>
      <c r="AT193" s="9" t="n">
        <v>0.246356685</v>
      </c>
      <c r="AU193" s="17" t="n">
        <v>0.23037491</v>
      </c>
      <c r="AW193" s="9">
        <f>AQ193</f>
        <v/>
      </c>
      <c r="AY193" s="9">
        <f>AR193*F193</f>
        <v/>
      </c>
      <c r="AZ193" s="9">
        <f>AS193*H193</f>
        <v/>
      </c>
      <c r="BA193" s="9">
        <f>AT193*G193</f>
        <v/>
      </c>
      <c r="BB193" s="9">
        <f>L193</f>
        <v/>
      </c>
      <c r="BC193" s="9">
        <f>K193</f>
        <v/>
      </c>
      <c r="BE193" s="1">
        <f>AW193-SUM(AY193:BC193)</f>
        <v/>
      </c>
    </row>
    <row r="194">
      <c r="B194" s="12" t="inlineStr">
        <is>
          <t>NW_FT_High_Jetfuel_CCS_84_Herb</t>
        </is>
      </c>
      <c r="C194" s="20" t="inlineStr">
        <is>
          <t>Biomass_Herb</t>
        </is>
      </c>
      <c r="D194" s="20" t="n">
        <v>0.2474</v>
      </c>
      <c r="E194" s="20" t="n">
        <v>0</v>
      </c>
      <c r="F194" s="20" t="n">
        <v>0.4152</v>
      </c>
      <c r="G194" s="20" t="n">
        <v>1.8538</v>
      </c>
      <c r="H194" s="20" t="n">
        <v>0</v>
      </c>
      <c r="I194" s="21">
        <f>F194+G194+H194</f>
        <v/>
      </c>
      <c r="J194" s="20" t="n">
        <v>1.726</v>
      </c>
      <c r="K194" s="20" t="n">
        <v>0.9797168158923588</v>
      </c>
      <c r="L194" s="20" t="n">
        <v>0.1882812955672964</v>
      </c>
      <c r="M194" s="20" t="n">
        <v>784258.72</v>
      </c>
      <c r="N194" s="20" t="n">
        <v>351016.96</v>
      </c>
      <c r="O194" s="20" t="n">
        <v>50.288</v>
      </c>
      <c r="Q194" s="19" t="n">
        <v>109.479795</v>
      </c>
      <c r="R194" s="19" t="n">
        <v>-7.354813</v>
      </c>
      <c r="S194" s="19" t="n">
        <v>170</v>
      </c>
      <c r="T194" s="19" t="n">
        <v>138.356765</v>
      </c>
      <c r="U194" s="19" t="n">
        <v>156.777934</v>
      </c>
      <c r="V194" s="19" t="n">
        <v>119.345797</v>
      </c>
      <c r="W194" s="19" t="n">
        <v>26.773822</v>
      </c>
      <c r="Y194">
        <f>B194</f>
        <v/>
      </c>
      <c r="Z194">
        <f>C194</f>
        <v/>
      </c>
      <c r="AA194" s="18">
        <f>SUM(AD194:AI194)+AK194+AL194</f>
        <v/>
      </c>
      <c r="AB194" s="18">
        <f>SUM(AD194:AI194)+AN194+AO194</f>
        <v/>
      </c>
      <c r="AC194" s="5">
        <f>AA194-AB194</f>
        <v/>
      </c>
      <c r="AD194" s="1">
        <f>D194/I194*W194*-1</f>
        <v/>
      </c>
      <c r="AE194" s="1">
        <f>E194/I194*W194</f>
        <v/>
      </c>
      <c r="AF194" s="1">
        <f t="array" ref="AF194">_xlfn.IFS(C194="Biomass_Corn", 1/I194*S194, C194="Biomass_Agri", 1/I194*V194, C194="Biomass_Wood", 1/I194*U194, C194="Biomass_Herb", 1/I194*T194)</f>
        <v/>
      </c>
      <c r="AG194" s="1">
        <f>M194/I194/(0.9*8760)</f>
        <v/>
      </c>
      <c r="AH194" s="1">
        <f>N194/I194/(0.9*8760)</f>
        <v/>
      </c>
      <c r="AI194" s="1">
        <f>O194/I194</f>
        <v/>
      </c>
      <c r="AJ194" s="1">
        <f>(AY194+AZ194+BA194+BB194+BC194-AW194)/I194</f>
        <v/>
      </c>
      <c r="AK194" s="1">
        <f>(Q194+R194)*-1*K194/I194</f>
        <v/>
      </c>
      <c r="AL194">
        <f>AJ194*Q194</f>
        <v/>
      </c>
      <c r="AM194" s="1">
        <f>(SUM(AY194:BB194)-AW194)/I194</f>
        <v/>
      </c>
      <c r="AN194" s="1">
        <f>K194/I194*-1*R194</f>
        <v/>
      </c>
      <c r="AO194">
        <f>AM194*Q194</f>
        <v/>
      </c>
      <c r="AQ194" s="17">
        <f>J194</f>
        <v/>
      </c>
      <c r="AR194" s="8" t="n">
        <v>0.243968185</v>
      </c>
      <c r="AS194" s="8" t="n">
        <v>0.249427613</v>
      </c>
      <c r="AT194" s="9" t="n">
        <v>0.246356685</v>
      </c>
      <c r="AU194" s="17" t="n">
        <v>0.23037491</v>
      </c>
      <c r="AW194" s="9">
        <f>AQ194</f>
        <v/>
      </c>
      <c r="AY194" s="9">
        <f>AR194*F194</f>
        <v/>
      </c>
      <c r="AZ194" s="9">
        <f>AS194*H194</f>
        <v/>
      </c>
      <c r="BA194" s="9">
        <f>AT194*G194</f>
        <v/>
      </c>
      <c r="BB194" s="9">
        <f>L194</f>
        <v/>
      </c>
      <c r="BC194" s="9">
        <f>K194</f>
        <v/>
      </c>
      <c r="BE194" s="1">
        <f>AW194-SUM(AY194:BC194)</f>
        <v/>
      </c>
    </row>
    <row r="195">
      <c r="B195" s="12" t="inlineStr">
        <is>
          <t>SW_FT_High_Jetfuel_CCS_84_Herb</t>
        </is>
      </c>
      <c r="C195" s="20" t="inlineStr">
        <is>
          <t>Biomass_Herb</t>
        </is>
      </c>
      <c r="D195" s="20" t="n">
        <v>0.2457</v>
      </c>
      <c r="E195" s="20" t="n">
        <v>0</v>
      </c>
      <c r="F195" s="20" t="n">
        <v>0.4125</v>
      </c>
      <c r="G195" s="20" t="n">
        <v>1.8416</v>
      </c>
      <c r="H195" s="20" t="n">
        <v>0</v>
      </c>
      <c r="I195" s="21">
        <f>F195+G195+H195</f>
        <v/>
      </c>
      <c r="J195" s="20" t="n">
        <v>1.71</v>
      </c>
      <c r="K195" s="20" t="n">
        <v>0.9693769943944388</v>
      </c>
      <c r="L195" s="20" t="n">
        <v>0.1862941958707481</v>
      </c>
      <c r="M195" s="20" t="n">
        <v>784258.72</v>
      </c>
      <c r="N195" s="20" t="n">
        <v>351016.96</v>
      </c>
      <c r="O195" s="20" t="n">
        <v>50.288</v>
      </c>
      <c r="Q195" s="19" t="n">
        <v>109.479795</v>
      </c>
      <c r="R195" s="19" t="n">
        <v>-7.354813</v>
      </c>
      <c r="S195" s="19" t="n">
        <v>170</v>
      </c>
      <c r="T195" s="19" t="n">
        <v>138.356765</v>
      </c>
      <c r="U195" s="19" t="n">
        <v>156.777934</v>
      </c>
      <c r="V195" s="19" t="n">
        <v>119.345797</v>
      </c>
      <c r="W195" s="19" t="n">
        <v>26.773822</v>
      </c>
      <c r="Y195">
        <f>B195</f>
        <v/>
      </c>
      <c r="Z195">
        <f>C195</f>
        <v/>
      </c>
      <c r="AA195" s="18">
        <f>SUM(AD195:AI195)+AK195+AL195</f>
        <v/>
      </c>
      <c r="AB195" s="18">
        <f>SUM(AD195:AI195)+AN195+AO195</f>
        <v/>
      </c>
      <c r="AC195" s="5">
        <f>AA195-AB195</f>
        <v/>
      </c>
      <c r="AD195" s="1">
        <f>D195/I195*W195*-1</f>
        <v/>
      </c>
      <c r="AE195" s="1">
        <f>E195/I195*W195</f>
        <v/>
      </c>
      <c r="AF195" s="1">
        <f t="array" ref="AF195">_xlfn.IFS(C195="Biomass_Corn", 1/I195*S195, C195="Biomass_Agri", 1/I195*V195, C195="Biomass_Wood", 1/I195*U195, C195="Biomass_Herb", 1/I195*T195)</f>
        <v/>
      </c>
      <c r="AG195" s="1">
        <f>M195/I195/(0.9*8760)</f>
        <v/>
      </c>
      <c r="AH195" s="1">
        <f>N195/I195/(0.9*8760)</f>
        <v/>
      </c>
      <c r="AI195" s="1">
        <f>O195/I195</f>
        <v/>
      </c>
      <c r="AJ195" s="1">
        <f>(AY195+AZ195+BA195+BB195+BC195-AW195)/I195</f>
        <v/>
      </c>
      <c r="AK195" s="1">
        <f>(Q195+R195)*-1*K195/I195</f>
        <v/>
      </c>
      <c r="AL195">
        <f>AJ195*Q195</f>
        <v/>
      </c>
      <c r="AM195" s="1">
        <f>(SUM(AY195:BB195)-AW195)/I195</f>
        <v/>
      </c>
      <c r="AN195" s="1">
        <f>K195/I195*-1*R195</f>
        <v/>
      </c>
      <c r="AO195">
        <f>AM195*Q195</f>
        <v/>
      </c>
      <c r="AQ195" s="17">
        <f>J195</f>
        <v/>
      </c>
      <c r="AR195" s="8" t="n">
        <v>0.243968185</v>
      </c>
      <c r="AS195" s="8" t="n">
        <v>0.249427613</v>
      </c>
      <c r="AT195" s="9" t="n">
        <v>0.246356685</v>
      </c>
      <c r="AU195" s="17" t="n">
        <v>0.23037491</v>
      </c>
      <c r="AW195" s="9">
        <f>AQ195</f>
        <v/>
      </c>
      <c r="AY195" s="9">
        <f>AR195*F195</f>
        <v/>
      </c>
      <c r="AZ195" s="9">
        <f>AS195*H195</f>
        <v/>
      </c>
      <c r="BA195" s="9">
        <f>AT195*G195</f>
        <v/>
      </c>
      <c r="BB195" s="9">
        <f>L195</f>
        <v/>
      </c>
      <c r="BC195" s="9">
        <f>K195</f>
        <v/>
      </c>
      <c r="BE195" s="1">
        <f>AW195-SUM(AY195:BC195)</f>
        <v/>
      </c>
    </row>
    <row r="196">
      <c r="B196" s="12" t="inlineStr">
        <is>
          <t>TX_FT_High_Jetfuel_CCS_84_Herb</t>
        </is>
      </c>
      <c r="C196" s="20" t="inlineStr">
        <is>
          <t>Biomass_Herb</t>
        </is>
      </c>
      <c r="D196" s="20" t="n">
        <v>0.2463</v>
      </c>
      <c r="E196" s="20" t="n">
        <v>0</v>
      </c>
      <c r="F196" s="20" t="n">
        <v>0.4134</v>
      </c>
      <c r="G196" s="20" t="n">
        <v>1.8457</v>
      </c>
      <c r="H196" s="20" t="n">
        <v>0</v>
      </c>
      <c r="I196" s="21">
        <f>F196+G196+H196</f>
        <v/>
      </c>
      <c r="J196" s="20" t="n">
        <v>1.714</v>
      </c>
      <c r="K196" s="20" t="n">
        <v>0.9717052015604122</v>
      </c>
      <c r="L196" s="20" t="n">
        <v>0.1867416291029309</v>
      </c>
      <c r="M196" s="20" t="n">
        <v>784258.72</v>
      </c>
      <c r="N196" s="20" t="n">
        <v>351016.96</v>
      </c>
      <c r="O196" s="20" t="n">
        <v>50.288</v>
      </c>
      <c r="Q196" s="19" t="n">
        <v>109.479795</v>
      </c>
      <c r="R196" s="19" t="n">
        <v>-7.354813</v>
      </c>
      <c r="S196" s="19" t="n">
        <v>170</v>
      </c>
      <c r="T196" s="19" t="n">
        <v>138.356765</v>
      </c>
      <c r="U196" s="19" t="n">
        <v>156.777934</v>
      </c>
      <c r="V196" s="19" t="n">
        <v>119.345797</v>
      </c>
      <c r="W196" s="19" t="n">
        <v>26.773822</v>
      </c>
      <c r="Y196">
        <f>B196</f>
        <v/>
      </c>
      <c r="Z196">
        <f>C196</f>
        <v/>
      </c>
      <c r="AA196" s="18">
        <f>SUM(AD196:AI196)+AK196+AL196</f>
        <v/>
      </c>
      <c r="AB196" s="18">
        <f>SUM(AD196:AI196)+AN196+AO196</f>
        <v/>
      </c>
      <c r="AC196" s="5">
        <f>AA196-AB196</f>
        <v/>
      </c>
      <c r="AD196" s="1">
        <f>D196/I196*W196*-1</f>
        <v/>
      </c>
      <c r="AE196" s="1">
        <f>E196/I196*W196</f>
        <v/>
      </c>
      <c r="AF196" s="1">
        <f t="array" ref="AF196">_xlfn.IFS(C196="Biomass_Corn", 1/I196*S196, C196="Biomass_Agri", 1/I196*V196, C196="Biomass_Wood", 1/I196*U196, C196="Biomass_Herb", 1/I196*T196)</f>
        <v/>
      </c>
      <c r="AG196" s="1">
        <f>M196/I196/(0.9*8760)</f>
        <v/>
      </c>
      <c r="AH196" s="1">
        <f>N196/I196/(0.9*8760)</f>
        <v/>
      </c>
      <c r="AI196" s="1">
        <f>O196/I196</f>
        <v/>
      </c>
      <c r="AJ196" s="1">
        <f>(AY196+AZ196+BA196+BB196+BC196-AW196)/I196</f>
        <v/>
      </c>
      <c r="AK196" s="1">
        <f>(Q196+R196)*-1*K196/I196</f>
        <v/>
      </c>
      <c r="AL196">
        <f>AJ196*Q196</f>
        <v/>
      </c>
      <c r="AM196" s="1">
        <f>(SUM(AY196:BB196)-AW196)/I196</f>
        <v/>
      </c>
      <c r="AN196" s="1">
        <f>K196/I196*-1*R196</f>
        <v/>
      </c>
      <c r="AO196">
        <f>AM196*Q196</f>
        <v/>
      </c>
      <c r="AQ196" s="17">
        <f>J196</f>
        <v/>
      </c>
      <c r="AR196" s="8" t="n">
        <v>0.243968185</v>
      </c>
      <c r="AS196" s="8" t="n">
        <v>0.249427613</v>
      </c>
      <c r="AT196" s="9" t="n">
        <v>0.246356685</v>
      </c>
      <c r="AU196" s="17" t="n">
        <v>0.23037491</v>
      </c>
      <c r="AW196" s="9">
        <f>AQ196</f>
        <v/>
      </c>
      <c r="AY196" s="9">
        <f>AR196*F196</f>
        <v/>
      </c>
      <c r="AZ196" s="9">
        <f>AS196*H196</f>
        <v/>
      </c>
      <c r="BA196" s="9">
        <f>AT196*G196</f>
        <v/>
      </c>
      <c r="BB196" s="9">
        <f>L196</f>
        <v/>
      </c>
      <c r="BC196" s="9">
        <f>K196</f>
        <v/>
      </c>
      <c r="BE196" s="1">
        <f>AW196-SUM(AY196:BC196)</f>
        <v/>
      </c>
    </row>
    <row r="197">
      <c r="B197" s="12" t="inlineStr">
        <is>
          <t>NCEN_FT_High_Jetfuel_CCS_84_Herb</t>
        </is>
      </c>
      <c r="C197" s="20" t="inlineStr">
        <is>
          <t>Biomass_Herb</t>
        </is>
      </c>
      <c r="D197" s="20" t="n">
        <v>0.2489</v>
      </c>
      <c r="E197" s="20" t="n">
        <v>0</v>
      </c>
      <c r="F197" s="20" t="n">
        <v>0.4177</v>
      </c>
      <c r="G197" s="20" t="n">
        <v>1.865</v>
      </c>
      <c r="H197" s="20" t="n">
        <v>0</v>
      </c>
      <c r="I197" s="21">
        <f>F197+G197+H197</f>
        <v/>
      </c>
      <c r="J197" s="20" t="n">
        <v>1.74</v>
      </c>
      <c r="K197" s="20" t="n">
        <v>0.9886357855987854</v>
      </c>
      <c r="L197" s="20" t="n">
        <v>0.189995336955799</v>
      </c>
      <c r="M197" s="20" t="n">
        <v>784258.72</v>
      </c>
      <c r="N197" s="20" t="n">
        <v>351016.96</v>
      </c>
      <c r="O197" s="20" t="n">
        <v>50.288</v>
      </c>
      <c r="Q197" s="19" t="n">
        <v>109.479795</v>
      </c>
      <c r="R197" s="19" t="n">
        <v>-7.354813</v>
      </c>
      <c r="S197" s="19" t="n">
        <v>170</v>
      </c>
      <c r="T197" s="19" t="n">
        <v>138.356765</v>
      </c>
      <c r="U197" s="19" t="n">
        <v>156.777934</v>
      </c>
      <c r="V197" s="19" t="n">
        <v>119.345797</v>
      </c>
      <c r="W197" s="19" t="n">
        <v>26.773822</v>
      </c>
      <c r="Y197">
        <f>B197</f>
        <v/>
      </c>
      <c r="Z197">
        <f>C197</f>
        <v/>
      </c>
      <c r="AA197" s="18">
        <f>SUM(AD197:AI197)+AK197+AL197</f>
        <v/>
      </c>
      <c r="AB197" s="18">
        <f>SUM(AD197:AI197)+AN197+AO197</f>
        <v/>
      </c>
      <c r="AC197" s="5">
        <f>AA197-AB197</f>
        <v/>
      </c>
      <c r="AD197" s="1">
        <f>D197/I197*W197*-1</f>
        <v/>
      </c>
      <c r="AE197" s="1">
        <f>E197/I197*W197</f>
        <v/>
      </c>
      <c r="AF197" s="1">
        <f t="array" ref="AF197">_xlfn.IFS(C197="Biomass_Corn", 1/I197*S197, C197="Biomass_Agri", 1/I197*V197, C197="Biomass_Wood", 1/I197*U197, C197="Biomass_Herb", 1/I197*T197)</f>
        <v/>
      </c>
      <c r="AG197" s="1">
        <f>M197/I197/(0.9*8760)</f>
        <v/>
      </c>
      <c r="AH197" s="1">
        <f>N197/I197/(0.9*8760)</f>
        <v/>
      </c>
      <c r="AI197" s="1">
        <f>O197/I197</f>
        <v/>
      </c>
      <c r="AJ197" s="1">
        <f>(AY197+AZ197+BA197+BB197+BC197-AW197)/I197</f>
        <v/>
      </c>
      <c r="AK197" s="1">
        <f>(Q197+R197)*-1*K197/I197</f>
        <v/>
      </c>
      <c r="AL197">
        <f>AJ197*Q197</f>
        <v/>
      </c>
      <c r="AM197" s="1">
        <f>(SUM(AY197:BB197)-AW197)/I197</f>
        <v/>
      </c>
      <c r="AN197" s="1">
        <f>K197/I197*-1*R197</f>
        <v/>
      </c>
      <c r="AO197">
        <f>AM197*Q197</f>
        <v/>
      </c>
      <c r="AQ197" s="17">
        <f>J197</f>
        <v/>
      </c>
      <c r="AR197" s="8" t="n">
        <v>0.243968185</v>
      </c>
      <c r="AS197" s="8" t="n">
        <v>0.249427613</v>
      </c>
      <c r="AT197" s="9" t="n">
        <v>0.246356685</v>
      </c>
      <c r="AU197" s="17" t="n">
        <v>0.23037491</v>
      </c>
      <c r="AW197" s="9">
        <f>AQ197</f>
        <v/>
      </c>
      <c r="AY197" s="9">
        <f>AR197*F197</f>
        <v/>
      </c>
      <c r="AZ197" s="9">
        <f>AS197*H197</f>
        <v/>
      </c>
      <c r="BA197" s="9">
        <f>AT197*G197</f>
        <v/>
      </c>
      <c r="BB197" s="9">
        <f>L197</f>
        <v/>
      </c>
      <c r="BC197" s="9">
        <f>K197</f>
        <v/>
      </c>
      <c r="BE197" s="1">
        <f>AW197-SUM(AY197:BC197)</f>
        <v/>
      </c>
    </row>
    <row r="198">
      <c r="B198" s="12" t="inlineStr">
        <is>
          <t>CEN_FT_High_Jetfuel_CCS_84_Herb</t>
        </is>
      </c>
      <c r="C198" s="20" t="inlineStr">
        <is>
          <t>Biomass_Herb</t>
        </is>
      </c>
      <c r="D198" s="20" t="n">
        <v>0.2474</v>
      </c>
      <c r="E198" s="20" t="n">
        <v>0</v>
      </c>
      <c r="F198" s="20" t="n">
        <v>0.4152</v>
      </c>
      <c r="G198" s="20" t="n">
        <v>1.8538</v>
      </c>
      <c r="H198" s="20" t="n">
        <v>0</v>
      </c>
      <c r="I198" s="21">
        <f>F198+G198+H198</f>
        <v/>
      </c>
      <c r="J198" s="20" t="n">
        <v>1.723</v>
      </c>
      <c r="K198" s="20" t="n">
        <v>0.977200415892359</v>
      </c>
      <c r="L198" s="20" t="n">
        <v>0.1877976955672964</v>
      </c>
      <c r="M198" s="20" t="n">
        <v>784258.72</v>
      </c>
      <c r="N198" s="20" t="n">
        <v>351016.96</v>
      </c>
      <c r="O198" s="20" t="n">
        <v>50.288</v>
      </c>
      <c r="Q198" s="19" t="n">
        <v>109.479795</v>
      </c>
      <c r="R198" s="19" t="n">
        <v>-7.354813</v>
      </c>
      <c r="S198" s="19" t="n">
        <v>170</v>
      </c>
      <c r="T198" s="19" t="n">
        <v>138.356765</v>
      </c>
      <c r="U198" s="19" t="n">
        <v>156.777934</v>
      </c>
      <c r="V198" s="19" t="n">
        <v>119.345797</v>
      </c>
      <c r="W198" s="19" t="n">
        <v>26.773822</v>
      </c>
      <c r="Y198">
        <f>B198</f>
        <v/>
      </c>
      <c r="Z198">
        <f>C198</f>
        <v/>
      </c>
      <c r="AA198" s="18">
        <f>SUM(AD198:AI198)+AK198+AL198</f>
        <v/>
      </c>
      <c r="AB198" s="18">
        <f>SUM(AD198:AI198)+AN198+AO198</f>
        <v/>
      </c>
      <c r="AC198" s="5">
        <f>AA198-AB198</f>
        <v/>
      </c>
      <c r="AD198" s="1">
        <f>D198/I198*W198*-1</f>
        <v/>
      </c>
      <c r="AE198" s="1">
        <f>E198/I198*W198</f>
        <v/>
      </c>
      <c r="AF198" s="1">
        <f t="array" ref="AF198">_xlfn.IFS(C198="Biomass_Corn", 1/I198*S198, C198="Biomass_Agri", 1/I198*V198, C198="Biomass_Wood", 1/I198*U198, C198="Biomass_Herb", 1/I198*T198)</f>
        <v/>
      </c>
      <c r="AG198" s="1">
        <f>M198/I198/(0.9*8760)</f>
        <v/>
      </c>
      <c r="AH198" s="1">
        <f>N198/I198/(0.9*8760)</f>
        <v/>
      </c>
      <c r="AI198" s="1">
        <f>O198/I198</f>
        <v/>
      </c>
      <c r="AJ198" s="1">
        <f>(AY198+AZ198+BA198+BB198+BC198-AW198)/I198</f>
        <v/>
      </c>
      <c r="AK198" s="1">
        <f>(Q198+R198)*-1*K198/I198</f>
        <v/>
      </c>
      <c r="AL198">
        <f>AJ198*Q198</f>
        <v/>
      </c>
      <c r="AM198" s="1">
        <f>(SUM(AY198:BB198)-AW198)/I198</f>
        <v/>
      </c>
      <c r="AN198" s="1">
        <f>K198/I198*-1*R198</f>
        <v/>
      </c>
      <c r="AO198">
        <f>AM198*Q198</f>
        <v/>
      </c>
      <c r="AQ198" s="17">
        <f>J198</f>
        <v/>
      </c>
      <c r="AR198" s="8" t="n">
        <v>0.243968185</v>
      </c>
      <c r="AS198" s="8" t="n">
        <v>0.249427613</v>
      </c>
      <c r="AT198" s="9" t="n">
        <v>0.246356685</v>
      </c>
      <c r="AU198" s="17" t="n">
        <v>0.23037491</v>
      </c>
      <c r="AW198" s="9">
        <f>AQ198</f>
        <v/>
      </c>
      <c r="AY198" s="9">
        <f>AR198*F198</f>
        <v/>
      </c>
      <c r="AZ198" s="9">
        <f>AS198*H198</f>
        <v/>
      </c>
      <c r="BA198" s="9">
        <f>AT198*G198</f>
        <v/>
      </c>
      <c r="BB198" s="9">
        <f>L198</f>
        <v/>
      </c>
      <c r="BC198" s="9">
        <f>K198</f>
        <v/>
      </c>
      <c r="BE198" s="1">
        <f>AW198-SUM(AY198:BC198)</f>
        <v/>
      </c>
    </row>
    <row r="199">
      <c r="B199" s="12" t="inlineStr">
        <is>
          <t>SE_FT_High_Jetfuel_CCS_84_Herb</t>
        </is>
      </c>
      <c r="C199" s="20" t="inlineStr">
        <is>
          <t>Biomass_Herb</t>
        </is>
      </c>
      <c r="D199" s="20" t="n">
        <v>0.247</v>
      </c>
      <c r="E199" s="20" t="n">
        <v>0</v>
      </c>
      <c r="F199" s="20" t="n">
        <v>0.4145</v>
      </c>
      <c r="G199" s="20" t="n">
        <v>1.8508</v>
      </c>
      <c r="H199" s="20" t="n">
        <v>0</v>
      </c>
      <c r="I199" s="21">
        <f>F199+G199+H199</f>
        <v/>
      </c>
      <c r="J199" s="20" t="n">
        <v>1.717</v>
      </c>
      <c r="K199" s="20" t="n">
        <v>0.9729378605178788</v>
      </c>
      <c r="L199" s="20" t="n">
        <v>0.1869785206431593</v>
      </c>
      <c r="M199" s="20" t="n">
        <v>784258.72</v>
      </c>
      <c r="N199" s="20" t="n">
        <v>351016.96</v>
      </c>
      <c r="O199" s="20" t="n">
        <v>50.288</v>
      </c>
      <c r="Q199" s="19" t="n">
        <v>109.479795</v>
      </c>
      <c r="R199" s="19" t="n">
        <v>-7.354813</v>
      </c>
      <c r="S199" s="19" t="n">
        <v>170</v>
      </c>
      <c r="T199" s="19" t="n">
        <v>138.356765</v>
      </c>
      <c r="U199" s="19" t="n">
        <v>156.777934</v>
      </c>
      <c r="V199" s="19" t="n">
        <v>119.345797</v>
      </c>
      <c r="W199" s="19" t="n">
        <v>26.773822</v>
      </c>
      <c r="Y199">
        <f>B199</f>
        <v/>
      </c>
      <c r="Z199">
        <f>C199</f>
        <v/>
      </c>
      <c r="AA199" s="18">
        <f>SUM(AD199:AI199)+AK199+AL199</f>
        <v/>
      </c>
      <c r="AB199" s="18">
        <f>SUM(AD199:AI199)+AN199+AO199</f>
        <v/>
      </c>
      <c r="AC199" s="5">
        <f>AA199-AB199</f>
        <v/>
      </c>
      <c r="AD199" s="1">
        <f>D199/I199*W199*-1</f>
        <v/>
      </c>
      <c r="AE199" s="1">
        <f>E199/I199*W199</f>
        <v/>
      </c>
      <c r="AF199" s="1">
        <f t="array" ref="AF199">_xlfn.IFS(C199="Biomass_Corn", 1/I199*S199, C199="Biomass_Agri", 1/I199*V199, C199="Biomass_Wood", 1/I199*U199, C199="Biomass_Herb", 1/I199*T199)</f>
        <v/>
      </c>
      <c r="AG199" s="1">
        <f>M199/I199/(0.9*8760)</f>
        <v/>
      </c>
      <c r="AH199" s="1">
        <f>N199/I199/(0.9*8760)</f>
        <v/>
      </c>
      <c r="AI199" s="1">
        <f>O199/I199</f>
        <v/>
      </c>
      <c r="AJ199" s="1">
        <f>(AY199+AZ199+BA199+BB199+BC199-AW199)/I199</f>
        <v/>
      </c>
      <c r="AK199" s="1">
        <f>(Q199+R199)*-1*K199/I199</f>
        <v/>
      </c>
      <c r="AL199">
        <f>AJ199*Q199</f>
        <v/>
      </c>
      <c r="AM199" s="1">
        <f>(SUM(AY199:BB199)-AW199)/I199</f>
        <v/>
      </c>
      <c r="AN199" s="1">
        <f>K199/I199*-1*R199</f>
        <v/>
      </c>
      <c r="AO199">
        <f>AM199*Q199</f>
        <v/>
      </c>
      <c r="AQ199" s="17">
        <f>J199</f>
        <v/>
      </c>
      <c r="AR199" s="8" t="n">
        <v>0.243968185</v>
      </c>
      <c r="AS199" s="8" t="n">
        <v>0.249427613</v>
      </c>
      <c r="AT199" s="9" t="n">
        <v>0.246356685</v>
      </c>
      <c r="AU199" s="17" t="n">
        <v>0.23037491</v>
      </c>
      <c r="AW199" s="9">
        <f>AQ199</f>
        <v/>
      </c>
      <c r="AY199" s="9">
        <f>AR199*F199</f>
        <v/>
      </c>
      <c r="AZ199" s="9">
        <f>AS199*H199</f>
        <v/>
      </c>
      <c r="BA199" s="9">
        <f>AT199*G199</f>
        <v/>
      </c>
      <c r="BB199" s="9">
        <f>L199</f>
        <v/>
      </c>
      <c r="BC199" s="9">
        <f>K199</f>
        <v/>
      </c>
      <c r="BE199" s="1">
        <f>AW199-SUM(AY199:BC199)</f>
        <v/>
      </c>
    </row>
    <row r="200">
      <c r="B200" s="12" t="inlineStr">
        <is>
          <t>MIDAT_FT_High_Jetfuel_CCS_84_Herb</t>
        </is>
      </c>
      <c r="C200" s="20" t="inlineStr">
        <is>
          <t>Biomass_Herb</t>
        </is>
      </c>
      <c r="D200" s="20" t="n">
        <v>0.2483</v>
      </c>
      <c r="E200" s="20" t="n">
        <v>0</v>
      </c>
      <c r="F200" s="20" t="n">
        <v>0.4168</v>
      </c>
      <c r="G200" s="20" t="n">
        <v>1.861</v>
      </c>
      <c r="H200" s="20" t="n">
        <v>0</v>
      </c>
      <c r="I200" s="21">
        <f>F200+G200+H200</f>
        <v/>
      </c>
      <c r="J200" s="20" t="n">
        <v>1.736</v>
      </c>
      <c r="K200" s="20" t="n">
        <v>0.986307578432812</v>
      </c>
      <c r="L200" s="20" t="n">
        <v>0.1895479037236162</v>
      </c>
      <c r="M200" s="20" t="n">
        <v>784258.72</v>
      </c>
      <c r="N200" s="20" t="n">
        <v>351016.96</v>
      </c>
      <c r="O200" s="20" t="n">
        <v>50.288</v>
      </c>
      <c r="Q200" s="19" t="n">
        <v>109.479795</v>
      </c>
      <c r="R200" s="19" t="n">
        <v>-7.354813</v>
      </c>
      <c r="S200" s="19" t="n">
        <v>170</v>
      </c>
      <c r="T200" s="19" t="n">
        <v>138.356765</v>
      </c>
      <c r="U200" s="19" t="n">
        <v>156.777934</v>
      </c>
      <c r="V200" s="19" t="n">
        <v>119.345797</v>
      </c>
      <c r="W200" s="19" t="n">
        <v>26.773822</v>
      </c>
      <c r="Y200">
        <f>B200</f>
        <v/>
      </c>
      <c r="Z200">
        <f>C200</f>
        <v/>
      </c>
      <c r="AA200" s="18">
        <f>SUM(AD200:AI200)+AK200+AL200</f>
        <v/>
      </c>
      <c r="AB200" s="18">
        <f>SUM(AD200:AI200)+AN200+AO200</f>
        <v/>
      </c>
      <c r="AC200" s="5">
        <f>AA200-AB200</f>
        <v/>
      </c>
      <c r="AD200" s="1">
        <f>D200/I200*W200*-1</f>
        <v/>
      </c>
      <c r="AE200" s="1">
        <f>E200/I200*W200</f>
        <v/>
      </c>
      <c r="AF200" s="1">
        <f t="array" ref="AF200">_xlfn.IFS(C200="Biomass_Corn", 1/I200*S200, C200="Biomass_Agri", 1/I200*V200, C200="Biomass_Wood", 1/I200*U200, C200="Biomass_Herb", 1/I200*T200)</f>
        <v/>
      </c>
      <c r="AG200" s="1">
        <f>M200/I200/(0.9*8760)</f>
        <v/>
      </c>
      <c r="AH200" s="1">
        <f>N200/I200/(0.9*8760)</f>
        <v/>
      </c>
      <c r="AI200" s="1">
        <f>O200/I200</f>
        <v/>
      </c>
      <c r="AJ200" s="1">
        <f>(AY200+AZ200+BA200+BB200+BC200-AW200)/I200</f>
        <v/>
      </c>
      <c r="AK200" s="1">
        <f>(Q200+R200)*-1*K200/I200</f>
        <v/>
      </c>
      <c r="AL200">
        <f>AJ200*Q200</f>
        <v/>
      </c>
      <c r="AM200" s="1">
        <f>(SUM(AY200:BB200)-AW200)/I200</f>
        <v/>
      </c>
      <c r="AN200" s="1">
        <f>K200/I200*-1*R200</f>
        <v/>
      </c>
      <c r="AO200">
        <f>AM200*Q200</f>
        <v/>
      </c>
      <c r="AQ200" s="17">
        <f>J200</f>
        <v/>
      </c>
      <c r="AR200" s="8" t="n">
        <v>0.243968185</v>
      </c>
      <c r="AS200" s="8" t="n">
        <v>0.249427613</v>
      </c>
      <c r="AT200" s="9" t="n">
        <v>0.246356685</v>
      </c>
      <c r="AU200" s="17" t="n">
        <v>0.23037491</v>
      </c>
      <c r="AW200" s="9">
        <f>AQ200</f>
        <v/>
      </c>
      <c r="AY200" s="9">
        <f>AR200*F200</f>
        <v/>
      </c>
      <c r="AZ200" s="9">
        <f>AS200*H200</f>
        <v/>
      </c>
      <c r="BA200" s="9">
        <f>AT200*G200</f>
        <v/>
      </c>
      <c r="BB200" s="9">
        <f>L200</f>
        <v/>
      </c>
      <c r="BC200" s="9">
        <f>K200</f>
        <v/>
      </c>
      <c r="BE200" s="1">
        <f>AW200-SUM(AY200:BC200)</f>
        <v/>
      </c>
    </row>
    <row r="201">
      <c r="B201" s="12" t="inlineStr">
        <is>
          <t>NE_FT_High_Jetfuel_CCS_84_Herb</t>
        </is>
      </c>
      <c r="C201" s="20" t="inlineStr">
        <is>
          <t>Biomass_Herb</t>
        </is>
      </c>
      <c r="D201" s="20" t="n">
        <v>0.2493</v>
      </c>
      <c r="E201" s="20" t="n">
        <v>0</v>
      </c>
      <c r="F201" s="20" t="n">
        <v>0.4184</v>
      </c>
      <c r="G201" s="20" t="n">
        <v>1.8681</v>
      </c>
      <c r="H201" s="20" t="n">
        <v>0</v>
      </c>
      <c r="I201" s="21">
        <f>F201+G201+H201</f>
        <v/>
      </c>
      <c r="J201" s="20" t="n">
        <v>1.745</v>
      </c>
      <c r="K201" s="20" t="n">
        <v>0.9920595409732657</v>
      </c>
      <c r="L201" s="20" t="n">
        <v>0.1906533118799361</v>
      </c>
      <c r="M201" s="20" t="n">
        <v>784258.72</v>
      </c>
      <c r="N201" s="20" t="n">
        <v>351016.96</v>
      </c>
      <c r="O201" s="20" t="n">
        <v>50.288</v>
      </c>
      <c r="Q201" s="19" t="n">
        <v>109.479795</v>
      </c>
      <c r="R201" s="19" t="n">
        <v>-7.354813</v>
      </c>
      <c r="S201" s="19" t="n">
        <v>170</v>
      </c>
      <c r="T201" s="19" t="n">
        <v>138.356765</v>
      </c>
      <c r="U201" s="19" t="n">
        <v>156.777934</v>
      </c>
      <c r="V201" s="19" t="n">
        <v>119.345797</v>
      </c>
      <c r="W201" s="19" t="n">
        <v>26.773822</v>
      </c>
      <c r="Y201">
        <f>B201</f>
        <v/>
      </c>
      <c r="Z201">
        <f>C201</f>
        <v/>
      </c>
      <c r="AA201" s="18">
        <f>SUM(AD201:AI201)+AK201+AL201</f>
        <v/>
      </c>
      <c r="AB201" s="18">
        <f>SUM(AD201:AI201)+AN201+AO201</f>
        <v/>
      </c>
      <c r="AC201" s="5">
        <f>AA201-AB201</f>
        <v/>
      </c>
      <c r="AD201" s="1">
        <f>D201/I201*W201*-1</f>
        <v/>
      </c>
      <c r="AE201" s="1">
        <f>E201/I201*W201</f>
        <v/>
      </c>
      <c r="AF201" s="1">
        <f t="array" ref="AF201">_xlfn.IFS(C201="Biomass_Corn", 1/I201*S201, C201="Biomass_Agri", 1/I201*V201, C201="Biomass_Wood", 1/I201*U201, C201="Biomass_Herb", 1/I201*T201)</f>
        <v/>
      </c>
      <c r="AG201" s="1">
        <f>M201/I201/(0.9*8760)</f>
        <v/>
      </c>
      <c r="AH201" s="1">
        <f>N201/I201/(0.9*8760)</f>
        <v/>
      </c>
      <c r="AI201" s="1">
        <f>O201/I201</f>
        <v/>
      </c>
      <c r="AJ201" s="1">
        <f>(AY201+AZ201+BA201+BB201+BC201-AW201)/I201</f>
        <v/>
      </c>
      <c r="AK201" s="1">
        <f>(Q201+R201)*-1*K201/I201</f>
        <v/>
      </c>
      <c r="AL201">
        <f>AJ201*Q201</f>
        <v/>
      </c>
      <c r="AM201" s="1">
        <f>(SUM(AY201:BB201)-AW201)/I201</f>
        <v/>
      </c>
      <c r="AN201" s="1">
        <f>K201/I201*-1*R201</f>
        <v/>
      </c>
      <c r="AO201">
        <f>AM201*Q201</f>
        <v/>
      </c>
      <c r="AQ201" s="17">
        <f>J201</f>
        <v/>
      </c>
      <c r="AR201" s="8" t="n">
        <v>0.243968185</v>
      </c>
      <c r="AS201" s="8" t="n">
        <v>0.249427613</v>
      </c>
      <c r="AT201" s="9" t="n">
        <v>0.246356685</v>
      </c>
      <c r="AU201" s="17" t="n">
        <v>0.23037491</v>
      </c>
      <c r="AW201" s="9">
        <f>AQ201</f>
        <v/>
      </c>
      <c r="AY201" s="9">
        <f>AR201*F201</f>
        <v/>
      </c>
      <c r="AZ201" s="9">
        <f>AS201*H201</f>
        <v/>
      </c>
      <c r="BA201" s="9">
        <f>AT201*G201</f>
        <v/>
      </c>
      <c r="BB201" s="9">
        <f>L201</f>
        <v/>
      </c>
      <c r="BC201" s="9">
        <f>K201</f>
        <v/>
      </c>
      <c r="BE201" s="1">
        <f>AW201-SUM(AY201:BC201)</f>
        <v/>
      </c>
    </row>
    <row r="202">
      <c r="B202" s="12" t="inlineStr">
        <is>
          <t>CA_FT_High_Jetfuel_CCS_84_Wood</t>
        </is>
      </c>
      <c r="C202" s="20" t="inlineStr">
        <is>
          <t>Biomass_Wood</t>
        </is>
      </c>
      <c r="D202" s="20" t="n">
        <v>0.2627</v>
      </c>
      <c r="E202" s="20" t="n">
        <v>0</v>
      </c>
      <c r="F202" s="20" t="n">
        <v>0.4409</v>
      </c>
      <c r="G202" s="20" t="n">
        <v>1.9687</v>
      </c>
      <c r="H202" s="20" t="n">
        <v>0</v>
      </c>
      <c r="I202" s="21">
        <f>F202+G202+H202</f>
        <v/>
      </c>
      <c r="J202" s="20" t="n">
        <v>1.843</v>
      </c>
      <c r="K202" s="20" t="n">
        <v>1.048843868331106</v>
      </c>
      <c r="L202" s="20" t="n">
        <v>0.2015660843764596</v>
      </c>
      <c r="M202" s="20" t="n">
        <v>784258.72</v>
      </c>
      <c r="N202" s="20" t="n">
        <v>351016.96</v>
      </c>
      <c r="O202" s="20" t="n">
        <v>50.288</v>
      </c>
      <c r="Q202" s="19" t="n">
        <v>109.479795</v>
      </c>
      <c r="R202" s="19" t="n">
        <v>-7.354813</v>
      </c>
      <c r="S202" s="19" t="n">
        <v>170</v>
      </c>
      <c r="T202" s="19" t="n">
        <v>138.356765</v>
      </c>
      <c r="U202" s="19" t="n">
        <v>156.777934</v>
      </c>
      <c r="V202" s="19" t="n">
        <v>119.345797</v>
      </c>
      <c r="W202" s="19" t="n">
        <v>26.773822</v>
      </c>
      <c r="Y202">
        <f>B202</f>
        <v/>
      </c>
      <c r="Z202">
        <f>C202</f>
        <v/>
      </c>
      <c r="AA202" s="18">
        <f>SUM(AD202:AI202)+AK202+AL202</f>
        <v/>
      </c>
      <c r="AB202" s="18">
        <f>SUM(AD202:AI202)+AN202+AO202</f>
        <v/>
      </c>
      <c r="AC202" s="5">
        <f>AA202-AB202</f>
        <v/>
      </c>
      <c r="AD202" s="1">
        <f>D202/I202*W202*-1</f>
        <v/>
      </c>
      <c r="AE202" s="1">
        <f>E202/I202*W202</f>
        <v/>
      </c>
      <c r="AF202" s="1">
        <f t="array" ref="AF202">_xlfn.IFS(C202="Biomass_Corn", 1/I202*S202, C202="Biomass_Agri", 1/I202*V202, C202="Biomass_Wood", 1/I202*U202, C202="Biomass_Herb", 1/I202*T202)</f>
        <v/>
      </c>
      <c r="AG202" s="1">
        <f>M202/I202/(0.9*8760)</f>
        <v/>
      </c>
      <c r="AH202" s="1">
        <f>N202/I202/(0.9*8760)</f>
        <v/>
      </c>
      <c r="AI202" s="1">
        <f>O202/I202</f>
        <v/>
      </c>
      <c r="AJ202" s="1">
        <f>(AY202+AZ202+BA202+BB202+BC202-AW202)/I202</f>
        <v/>
      </c>
      <c r="AK202" s="1">
        <f>(Q202+R202)*-1*K202/I202</f>
        <v/>
      </c>
      <c r="AL202">
        <f>AJ202*Q202</f>
        <v/>
      </c>
      <c r="AM202" s="1">
        <f>(SUM(AY202:BB202)-AW202)/I202</f>
        <v/>
      </c>
      <c r="AN202" s="1">
        <f>K202/I202*-1*R202</f>
        <v/>
      </c>
      <c r="AO202">
        <f>AM202*Q202</f>
        <v/>
      </c>
      <c r="AQ202" s="17">
        <f>J202</f>
        <v/>
      </c>
      <c r="AR202" s="8" t="n">
        <v>0.243968185</v>
      </c>
      <c r="AS202" s="8" t="n">
        <v>0.249427613</v>
      </c>
      <c r="AT202" s="9" t="n">
        <v>0.246356685</v>
      </c>
      <c r="AU202" s="17" t="n">
        <v>0.23037491</v>
      </c>
      <c r="AW202" s="9">
        <f>AQ202</f>
        <v/>
      </c>
      <c r="AY202" s="9">
        <f>AR202*F202</f>
        <v/>
      </c>
      <c r="AZ202" s="9">
        <f>AS202*H202</f>
        <v/>
      </c>
      <c r="BA202" s="9">
        <f>AT202*G202</f>
        <v/>
      </c>
      <c r="BB202" s="9">
        <f>L202</f>
        <v/>
      </c>
      <c r="BC202" s="9">
        <f>K202</f>
        <v/>
      </c>
      <c r="BE202" s="1">
        <f>AW202-SUM(AY202:BC202)</f>
        <v/>
      </c>
    </row>
    <row r="203">
      <c r="B203" s="12" t="inlineStr">
        <is>
          <t>NW_FT_High_Jetfuel_CCS_84_Wood</t>
        </is>
      </c>
      <c r="C203" s="20" t="inlineStr">
        <is>
          <t>Biomass_Wood</t>
        </is>
      </c>
      <c r="D203" s="20" t="n">
        <v>0.2622</v>
      </c>
      <c r="E203" s="20" t="n">
        <v>0</v>
      </c>
      <c r="F203" s="20" t="n">
        <v>0.44</v>
      </c>
      <c r="G203" s="20" t="n">
        <v>1.9647</v>
      </c>
      <c r="H203" s="20" t="n">
        <v>0</v>
      </c>
      <c r="I203" s="21">
        <f>F203+G203+H203</f>
        <v/>
      </c>
      <c r="J203" s="20" t="n">
        <v>1.818</v>
      </c>
      <c r="K203" s="20" t="n">
        <v>1.028900861165133</v>
      </c>
      <c r="L203" s="20" t="n">
        <v>0.1977334511442768</v>
      </c>
      <c r="M203" s="20" t="n">
        <v>784258.72</v>
      </c>
      <c r="N203" s="20" t="n">
        <v>351016.96</v>
      </c>
      <c r="O203" s="20" t="n">
        <v>50.288</v>
      </c>
      <c r="Q203" s="19" t="n">
        <v>109.479795</v>
      </c>
      <c r="R203" s="19" t="n">
        <v>-7.354813</v>
      </c>
      <c r="S203" s="19" t="n">
        <v>170</v>
      </c>
      <c r="T203" s="19" t="n">
        <v>138.356765</v>
      </c>
      <c r="U203" s="19" t="n">
        <v>156.777934</v>
      </c>
      <c r="V203" s="19" t="n">
        <v>119.345797</v>
      </c>
      <c r="W203" s="19" t="n">
        <v>26.773822</v>
      </c>
      <c r="Y203">
        <f>B203</f>
        <v/>
      </c>
      <c r="Z203">
        <f>C203</f>
        <v/>
      </c>
      <c r="AA203" s="18">
        <f>SUM(AD203:AI203)+AK203+AL203</f>
        <v/>
      </c>
      <c r="AB203" s="18">
        <f>SUM(AD203:AI203)+AN203+AO203</f>
        <v/>
      </c>
      <c r="AC203" s="5">
        <f>AA203-AB203</f>
        <v/>
      </c>
      <c r="AD203" s="1">
        <f>D203/I203*W203*-1</f>
        <v/>
      </c>
      <c r="AE203" s="1">
        <f>E203/I203*W203</f>
        <v/>
      </c>
      <c r="AF203" s="1">
        <f t="array" ref="AF203">_xlfn.IFS(C203="Biomass_Corn", 1/I203*S203, C203="Biomass_Agri", 1/I203*V203, C203="Biomass_Wood", 1/I203*U203, C203="Biomass_Herb", 1/I203*T203)</f>
        <v/>
      </c>
      <c r="AG203" s="1">
        <f>M203/I203/(0.9*8760)</f>
        <v/>
      </c>
      <c r="AH203" s="1">
        <f>N203/I203/(0.9*8760)</f>
        <v/>
      </c>
      <c r="AI203" s="1">
        <f>O203/I203</f>
        <v/>
      </c>
      <c r="AJ203" s="1">
        <f>(AY203+AZ203+BA203+BB203+BC203-AW203)/I203</f>
        <v/>
      </c>
      <c r="AK203" s="1">
        <f>(Q203+R203)*-1*K203/I203</f>
        <v/>
      </c>
      <c r="AL203">
        <f>AJ203*Q203</f>
        <v/>
      </c>
      <c r="AM203" s="1">
        <f>(SUM(AY203:BB203)-AW203)/I203</f>
        <v/>
      </c>
      <c r="AN203" s="1">
        <f>K203/I203*-1*R203</f>
        <v/>
      </c>
      <c r="AO203">
        <f>AM203*Q203</f>
        <v/>
      </c>
      <c r="AQ203" s="17">
        <f>J203</f>
        <v/>
      </c>
      <c r="AR203" s="8" t="n">
        <v>0.243968185</v>
      </c>
      <c r="AS203" s="8" t="n">
        <v>0.249427613</v>
      </c>
      <c r="AT203" s="9" t="n">
        <v>0.246356685</v>
      </c>
      <c r="AU203" s="17" t="n">
        <v>0.23037491</v>
      </c>
      <c r="AW203" s="9">
        <f>AQ203</f>
        <v/>
      </c>
      <c r="AY203" s="9">
        <f>AR203*F203</f>
        <v/>
      </c>
      <c r="AZ203" s="9">
        <f>AS203*H203</f>
        <v/>
      </c>
      <c r="BA203" s="9">
        <f>AT203*G203</f>
        <v/>
      </c>
      <c r="BB203" s="9">
        <f>L203</f>
        <v/>
      </c>
      <c r="BC203" s="9">
        <f>K203</f>
        <v/>
      </c>
      <c r="BE203" s="1">
        <f>AW203-SUM(AY203:BC203)</f>
        <v/>
      </c>
    </row>
    <row r="204">
      <c r="B204" s="12" t="inlineStr">
        <is>
          <t>SW_FT_High_Jetfuel_CCS_84_Wood</t>
        </is>
      </c>
      <c r="C204" s="20" t="inlineStr">
        <is>
          <t>Biomass_Wood</t>
        </is>
      </c>
      <c r="D204" s="20" t="n">
        <v>0.2597</v>
      </c>
      <c r="E204" s="20" t="n">
        <v>0</v>
      </c>
      <c r="F204" s="20" t="n">
        <v>0.4359</v>
      </c>
      <c r="G204" s="20" t="n">
        <v>1.9464</v>
      </c>
      <c r="H204" s="20" t="n">
        <v>0</v>
      </c>
      <c r="I204" s="21">
        <f>F204+G204+H204</f>
        <v/>
      </c>
      <c r="J204" s="20" t="n">
        <v>1.798</v>
      </c>
      <c r="K204" s="20" t="n">
        <v>1.016746328918253</v>
      </c>
      <c r="L204" s="20" t="n">
        <v>0.1953976015994544</v>
      </c>
      <c r="M204" s="20" t="n">
        <v>784258.72</v>
      </c>
      <c r="N204" s="20" t="n">
        <v>351016.96</v>
      </c>
      <c r="O204" s="20" t="n">
        <v>50.288</v>
      </c>
      <c r="Q204" s="19" t="n">
        <v>109.479795</v>
      </c>
      <c r="R204" s="19" t="n">
        <v>-7.354813</v>
      </c>
      <c r="S204" s="19" t="n">
        <v>170</v>
      </c>
      <c r="T204" s="19" t="n">
        <v>138.356765</v>
      </c>
      <c r="U204" s="19" t="n">
        <v>156.777934</v>
      </c>
      <c r="V204" s="19" t="n">
        <v>119.345797</v>
      </c>
      <c r="W204" s="19" t="n">
        <v>26.773822</v>
      </c>
      <c r="Y204">
        <f>B204</f>
        <v/>
      </c>
      <c r="Z204">
        <f>C204</f>
        <v/>
      </c>
      <c r="AA204" s="18">
        <f>SUM(AD204:AI204)+AK204+AL204</f>
        <v/>
      </c>
      <c r="AB204" s="18">
        <f>SUM(AD204:AI204)+AN204+AO204</f>
        <v/>
      </c>
      <c r="AC204" s="5">
        <f>AA204-AB204</f>
        <v/>
      </c>
      <c r="AD204" s="1">
        <f>D204/I204*W204*-1</f>
        <v/>
      </c>
      <c r="AE204" s="1">
        <f>E204/I204*W204</f>
        <v/>
      </c>
      <c r="AF204" s="1">
        <f t="array" ref="AF204">_xlfn.IFS(C204="Biomass_Corn", 1/I204*S204, C204="Biomass_Agri", 1/I204*V204, C204="Biomass_Wood", 1/I204*U204, C204="Biomass_Herb", 1/I204*T204)</f>
        <v/>
      </c>
      <c r="AG204" s="1">
        <f>M204/I204/(0.9*8760)</f>
        <v/>
      </c>
      <c r="AH204" s="1">
        <f>N204/I204/(0.9*8760)</f>
        <v/>
      </c>
      <c r="AI204" s="1">
        <f>O204/I204</f>
        <v/>
      </c>
      <c r="AJ204" s="1">
        <f>(AY204+AZ204+BA204+BB204+BC204-AW204)/I204</f>
        <v/>
      </c>
      <c r="AK204" s="1">
        <f>(Q204+R204)*-1*K204/I204</f>
        <v/>
      </c>
      <c r="AL204">
        <f>AJ204*Q204</f>
        <v/>
      </c>
      <c r="AM204" s="1">
        <f>(SUM(AY204:BB204)-AW204)/I204</f>
        <v/>
      </c>
      <c r="AN204" s="1">
        <f>K204/I204*-1*R204</f>
        <v/>
      </c>
      <c r="AO204">
        <f>AM204*Q204</f>
        <v/>
      </c>
      <c r="AQ204" s="17">
        <f>J204</f>
        <v/>
      </c>
      <c r="AR204" s="8" t="n">
        <v>0.243968185</v>
      </c>
      <c r="AS204" s="8" t="n">
        <v>0.249427613</v>
      </c>
      <c r="AT204" s="9" t="n">
        <v>0.246356685</v>
      </c>
      <c r="AU204" s="17" t="n">
        <v>0.23037491</v>
      </c>
      <c r="AW204" s="9">
        <f>AQ204</f>
        <v/>
      </c>
      <c r="AY204" s="9">
        <f>AR204*F204</f>
        <v/>
      </c>
      <c r="AZ204" s="9">
        <f>AS204*H204</f>
        <v/>
      </c>
      <c r="BA204" s="9">
        <f>AT204*G204</f>
        <v/>
      </c>
      <c r="BB204" s="9">
        <f>L204</f>
        <v/>
      </c>
      <c r="BC204" s="9">
        <f>K204</f>
        <v/>
      </c>
      <c r="BE204" s="1">
        <f>AW204-SUM(AY204:BC204)</f>
        <v/>
      </c>
    </row>
    <row r="205">
      <c r="B205" s="12" t="inlineStr">
        <is>
          <t>TX_FT_High_Jetfuel_CCS_84_Wood</t>
        </is>
      </c>
      <c r="C205" s="20" t="inlineStr">
        <is>
          <t>Biomass_Wood</t>
        </is>
      </c>
      <c r="D205" s="20" t="n">
        <v>0.2577</v>
      </c>
      <c r="E205" s="20" t="n">
        <v>0</v>
      </c>
      <c r="F205" s="20" t="n">
        <v>0.4325</v>
      </c>
      <c r="G205" s="20" t="n">
        <v>1.9311</v>
      </c>
      <c r="H205" s="20" t="n">
        <v>0</v>
      </c>
      <c r="I205" s="21">
        <f>F205+G205+H205</f>
        <v/>
      </c>
      <c r="J205" s="20" t="n">
        <v>1.821</v>
      </c>
      <c r="K205" s="20" t="n">
        <v>1.039889952045853</v>
      </c>
      <c r="L205" s="20" t="n">
        <v>0.199845326978769</v>
      </c>
      <c r="M205" s="20" t="n">
        <v>784258.72</v>
      </c>
      <c r="N205" s="20" t="n">
        <v>351016.96</v>
      </c>
      <c r="O205" s="20" t="n">
        <v>50.288</v>
      </c>
      <c r="Q205" s="19" t="n">
        <v>109.479795</v>
      </c>
      <c r="R205" s="19" t="n">
        <v>-7.354813</v>
      </c>
      <c r="S205" s="19" t="n">
        <v>170</v>
      </c>
      <c r="T205" s="19" t="n">
        <v>138.356765</v>
      </c>
      <c r="U205" s="19" t="n">
        <v>156.777934</v>
      </c>
      <c r="V205" s="19" t="n">
        <v>119.345797</v>
      </c>
      <c r="W205" s="19" t="n">
        <v>26.773822</v>
      </c>
      <c r="Y205">
        <f>B205</f>
        <v/>
      </c>
      <c r="Z205">
        <f>C205</f>
        <v/>
      </c>
      <c r="AA205" s="18">
        <f>SUM(AD205:AI205)+AK205+AL205</f>
        <v/>
      </c>
      <c r="AB205" s="18">
        <f>SUM(AD205:AI205)+AN205+AO205</f>
        <v/>
      </c>
      <c r="AC205" s="5">
        <f>AA205-AB205</f>
        <v/>
      </c>
      <c r="AD205" s="1">
        <f>D205/I205*W205*-1</f>
        <v/>
      </c>
      <c r="AE205" s="1">
        <f>E205/I205*W205</f>
        <v/>
      </c>
      <c r="AF205" s="1">
        <f t="array" ref="AF205">_xlfn.IFS(C205="Biomass_Corn", 1/I205*S205, C205="Biomass_Agri", 1/I205*V205, C205="Biomass_Wood", 1/I205*U205, C205="Biomass_Herb", 1/I205*T205)</f>
        <v/>
      </c>
      <c r="AG205" s="1">
        <f>M205/I205/(0.9*8760)</f>
        <v/>
      </c>
      <c r="AH205" s="1">
        <f>N205/I205/(0.9*8760)</f>
        <v/>
      </c>
      <c r="AI205" s="1">
        <f>O205/I205</f>
        <v/>
      </c>
      <c r="AJ205" s="1">
        <f>(AY205+AZ205+BA205+BB205+BC205-AW205)/I205</f>
        <v/>
      </c>
      <c r="AK205" s="1">
        <f>(Q205+R205)*-1*K205/I205</f>
        <v/>
      </c>
      <c r="AL205">
        <f>AJ205*Q205</f>
        <v/>
      </c>
      <c r="AM205" s="1">
        <f>(SUM(AY205:BB205)-AW205)/I205</f>
        <v/>
      </c>
      <c r="AN205" s="1">
        <f>K205/I205*-1*R205</f>
        <v/>
      </c>
      <c r="AO205">
        <f>AM205*Q205</f>
        <v/>
      </c>
      <c r="AQ205" s="17">
        <f>J205</f>
        <v/>
      </c>
      <c r="AR205" s="8" t="n">
        <v>0.243968185</v>
      </c>
      <c r="AS205" s="8" t="n">
        <v>0.249427613</v>
      </c>
      <c r="AT205" s="9" t="n">
        <v>0.246356685</v>
      </c>
      <c r="AU205" s="17" t="n">
        <v>0.23037491</v>
      </c>
      <c r="AW205" s="9">
        <f>AQ205</f>
        <v/>
      </c>
      <c r="AY205" s="9">
        <f>AR205*F205</f>
        <v/>
      </c>
      <c r="AZ205" s="9">
        <f>AS205*H205</f>
        <v/>
      </c>
      <c r="BA205" s="9">
        <f>AT205*G205</f>
        <v/>
      </c>
      <c r="BB205" s="9">
        <f>L205</f>
        <v/>
      </c>
      <c r="BC205" s="9">
        <f>K205</f>
        <v/>
      </c>
      <c r="BE205" s="1">
        <f>AW205-SUM(AY205:BC205)</f>
        <v/>
      </c>
    </row>
    <row r="206">
      <c r="B206" s="12" t="inlineStr">
        <is>
          <t>NCEN_FT_High_Jetfuel_CCS_84_Wood</t>
        </is>
      </c>
      <c r="C206" s="20" t="inlineStr">
        <is>
          <t>Biomass_Wood</t>
        </is>
      </c>
      <c r="D206" s="20" t="n">
        <v>0.2586</v>
      </c>
      <c r="E206" s="20" t="n">
        <v>0</v>
      </c>
      <c r="F206" s="20" t="n">
        <v>0.4341</v>
      </c>
      <c r="G206" s="20" t="n">
        <v>1.9382</v>
      </c>
      <c r="H206" s="20" t="n">
        <v>0</v>
      </c>
      <c r="I206" s="21">
        <f>F206+G206+H206</f>
        <v/>
      </c>
      <c r="J206" s="20" t="n">
        <v>1.802</v>
      </c>
      <c r="K206" s="20" t="n">
        <v>1.022155514586306</v>
      </c>
      <c r="L206" s="20" t="n">
        <v>0.1964371351350889</v>
      </c>
      <c r="M206" s="20" t="n">
        <v>784258.72</v>
      </c>
      <c r="N206" s="20" t="n">
        <v>351016.96</v>
      </c>
      <c r="O206" s="20" t="n">
        <v>50.288</v>
      </c>
      <c r="Q206" s="19" t="n">
        <v>109.479795</v>
      </c>
      <c r="R206" s="19" t="n">
        <v>-7.354813</v>
      </c>
      <c r="S206" s="19" t="n">
        <v>170</v>
      </c>
      <c r="T206" s="19" t="n">
        <v>138.356765</v>
      </c>
      <c r="U206" s="19" t="n">
        <v>156.777934</v>
      </c>
      <c r="V206" s="19" t="n">
        <v>119.345797</v>
      </c>
      <c r="W206" s="19" t="n">
        <v>26.773822</v>
      </c>
      <c r="Y206">
        <f>B206</f>
        <v/>
      </c>
      <c r="Z206">
        <f>C206</f>
        <v/>
      </c>
      <c r="AA206" s="18">
        <f>SUM(AD206:AI206)+AK206+AL206</f>
        <v/>
      </c>
      <c r="AB206" s="18">
        <f>SUM(AD206:AI206)+AN206+AO206</f>
        <v/>
      </c>
      <c r="AC206" s="5">
        <f>AA206-AB206</f>
        <v/>
      </c>
      <c r="AD206" s="1">
        <f>D206/I206*W206*-1</f>
        <v/>
      </c>
      <c r="AE206" s="1">
        <f>E206/I206*W206</f>
        <v/>
      </c>
      <c r="AF206" s="1">
        <f t="array" ref="AF206">_xlfn.IFS(C206="Biomass_Corn", 1/I206*S206, C206="Biomass_Agri", 1/I206*V206, C206="Biomass_Wood", 1/I206*U206, C206="Biomass_Herb", 1/I206*T206)</f>
        <v/>
      </c>
      <c r="AG206" s="1">
        <f>M206/I206/(0.9*8760)</f>
        <v/>
      </c>
      <c r="AH206" s="1">
        <f>N206/I206/(0.9*8760)</f>
        <v/>
      </c>
      <c r="AI206" s="1">
        <f>O206/I206</f>
        <v/>
      </c>
      <c r="AJ206" s="1">
        <f>(AY206+AZ206+BA206+BB206+BC206-AW206)/I206</f>
        <v/>
      </c>
      <c r="AK206" s="1">
        <f>(Q206+R206)*-1*K206/I206</f>
        <v/>
      </c>
      <c r="AL206">
        <f>AJ206*Q206</f>
        <v/>
      </c>
      <c r="AM206" s="1">
        <f>(SUM(AY206:BB206)-AW206)/I206</f>
        <v/>
      </c>
      <c r="AN206" s="1">
        <f>K206/I206*-1*R206</f>
        <v/>
      </c>
      <c r="AO206">
        <f>AM206*Q206</f>
        <v/>
      </c>
      <c r="AQ206" s="17">
        <f>J206</f>
        <v/>
      </c>
      <c r="AR206" s="8" t="n">
        <v>0.243968185</v>
      </c>
      <c r="AS206" s="8" t="n">
        <v>0.249427613</v>
      </c>
      <c r="AT206" s="9" t="n">
        <v>0.246356685</v>
      </c>
      <c r="AU206" s="17" t="n">
        <v>0.23037491</v>
      </c>
      <c r="AW206" s="9">
        <f>AQ206</f>
        <v/>
      </c>
      <c r="AY206" s="9">
        <f>AR206*F206</f>
        <v/>
      </c>
      <c r="AZ206" s="9">
        <f>AS206*H206</f>
        <v/>
      </c>
      <c r="BA206" s="9">
        <f>AT206*G206</f>
        <v/>
      </c>
      <c r="BB206" s="9">
        <f>L206</f>
        <v/>
      </c>
      <c r="BC206" s="9">
        <f>K206</f>
        <v/>
      </c>
      <c r="BE206" s="1">
        <f>AW206-SUM(AY206:BC206)</f>
        <v/>
      </c>
    </row>
    <row r="207">
      <c r="B207" s="12" t="inlineStr">
        <is>
          <t>CEN_FT_High_Jetfuel_CCS_84_Wood</t>
        </is>
      </c>
      <c r="C207" s="20" t="inlineStr">
        <is>
          <t>Biomass_Wood</t>
        </is>
      </c>
      <c r="D207" s="20" t="n">
        <v>0.2588</v>
      </c>
      <c r="E207" s="20" t="n">
        <v>0</v>
      </c>
      <c r="F207" s="20" t="n">
        <v>0.4343</v>
      </c>
      <c r="G207" s="20" t="n">
        <v>1.9393</v>
      </c>
      <c r="H207" s="20" t="n">
        <v>0</v>
      </c>
      <c r="I207" s="21">
        <f>F207+G207+H207</f>
        <v/>
      </c>
      <c r="J207" s="20" t="n">
        <v>1.802</v>
      </c>
      <c r="K207" s="20" t="n">
        <v>1.021898766377799</v>
      </c>
      <c r="L207" s="20" t="n">
        <v>0.1963877934431346</v>
      </c>
      <c r="M207" s="20" t="n">
        <v>784258.72</v>
      </c>
      <c r="N207" s="20" t="n">
        <v>351016.96</v>
      </c>
      <c r="O207" s="20" t="n">
        <v>50.288</v>
      </c>
      <c r="Q207" s="19" t="n">
        <v>109.479795</v>
      </c>
      <c r="R207" s="19" t="n">
        <v>-7.354813</v>
      </c>
      <c r="S207" s="19" t="n">
        <v>170</v>
      </c>
      <c r="T207" s="19" t="n">
        <v>138.356765</v>
      </c>
      <c r="U207" s="19" t="n">
        <v>156.777934</v>
      </c>
      <c r="V207" s="19" t="n">
        <v>119.345797</v>
      </c>
      <c r="W207" s="19" t="n">
        <v>26.773822</v>
      </c>
      <c r="Y207">
        <f>B207</f>
        <v/>
      </c>
      <c r="Z207">
        <f>C207</f>
        <v/>
      </c>
      <c r="AA207" s="18">
        <f>SUM(AD207:AI207)+AK207+AL207</f>
        <v/>
      </c>
      <c r="AB207" s="18">
        <f>SUM(AD207:AI207)+AN207+AO207</f>
        <v/>
      </c>
      <c r="AC207" s="5">
        <f>AA207-AB207</f>
        <v/>
      </c>
      <c r="AD207" s="1">
        <f>D207/I207*W207*-1</f>
        <v/>
      </c>
      <c r="AE207" s="1">
        <f>E207/I207*W207</f>
        <v/>
      </c>
      <c r="AF207" s="1">
        <f t="array" ref="AF207">_xlfn.IFS(C207="Biomass_Corn", 1/I207*S207, C207="Biomass_Agri", 1/I207*V207, C207="Biomass_Wood", 1/I207*U207, C207="Biomass_Herb", 1/I207*T207)</f>
        <v/>
      </c>
      <c r="AG207" s="1">
        <f>M207/I207/(0.9*8760)</f>
        <v/>
      </c>
      <c r="AH207" s="1">
        <f>N207/I207/(0.9*8760)</f>
        <v/>
      </c>
      <c r="AI207" s="1">
        <f>O207/I207</f>
        <v/>
      </c>
      <c r="AJ207" s="1">
        <f>(AY207+AZ207+BA207+BB207+BC207-AW207)/I207</f>
        <v/>
      </c>
      <c r="AK207" s="1">
        <f>(Q207+R207)*-1*K207/I207</f>
        <v/>
      </c>
      <c r="AL207">
        <f>AJ207*Q207</f>
        <v/>
      </c>
      <c r="AM207" s="1">
        <f>(SUM(AY207:BB207)-AW207)/I207</f>
        <v/>
      </c>
      <c r="AN207" s="1">
        <f>K207/I207*-1*R207</f>
        <v/>
      </c>
      <c r="AO207">
        <f>AM207*Q207</f>
        <v/>
      </c>
      <c r="AQ207" s="17">
        <f>J207</f>
        <v/>
      </c>
      <c r="AR207" s="8" t="n">
        <v>0.243968185</v>
      </c>
      <c r="AS207" s="8" t="n">
        <v>0.249427613</v>
      </c>
      <c r="AT207" s="9" t="n">
        <v>0.246356685</v>
      </c>
      <c r="AU207" s="17" t="n">
        <v>0.23037491</v>
      </c>
      <c r="AW207" s="9">
        <f>AQ207</f>
        <v/>
      </c>
      <c r="AY207" s="9">
        <f>AR207*F207</f>
        <v/>
      </c>
      <c r="AZ207" s="9">
        <f>AS207*H207</f>
        <v/>
      </c>
      <c r="BA207" s="9">
        <f>AT207*G207</f>
        <v/>
      </c>
      <c r="BB207" s="9">
        <f>L207</f>
        <v/>
      </c>
      <c r="BC207" s="9">
        <f>K207</f>
        <v/>
      </c>
      <c r="BE207" s="1">
        <f>AW207-SUM(AY207:BC207)</f>
        <v/>
      </c>
    </row>
    <row r="208">
      <c r="B208" s="12" t="inlineStr">
        <is>
          <t>SE_FT_High_Jetfuel_CCS_84_Wood</t>
        </is>
      </c>
      <c r="C208" s="20" t="inlineStr">
        <is>
          <t>Biomass_Wood</t>
        </is>
      </c>
      <c r="D208" s="20" t="n">
        <v>0.2597</v>
      </c>
      <c r="E208" s="20" t="n">
        <v>0</v>
      </c>
      <c r="F208" s="20" t="n">
        <v>0.4359</v>
      </c>
      <c r="G208" s="20" t="n">
        <v>1.9464</v>
      </c>
      <c r="H208" s="20" t="n">
        <v>0</v>
      </c>
      <c r="I208" s="21">
        <f>F208+G208+H208</f>
        <v/>
      </c>
      <c r="J208" s="20" t="n">
        <v>1.821</v>
      </c>
      <c r="K208" s="20" t="n">
        <v>1.036038728918253</v>
      </c>
      <c r="L208" s="20" t="n">
        <v>0.1991052015994544</v>
      </c>
      <c r="M208" s="20" t="n">
        <v>784258.72</v>
      </c>
      <c r="N208" s="20" t="n">
        <v>351016.96</v>
      </c>
      <c r="O208" s="20" t="n">
        <v>50.288</v>
      </c>
      <c r="Q208" s="19" t="n">
        <v>109.479795</v>
      </c>
      <c r="R208" s="19" t="n">
        <v>-7.354813</v>
      </c>
      <c r="S208" s="19" t="n">
        <v>170</v>
      </c>
      <c r="T208" s="19" t="n">
        <v>138.356765</v>
      </c>
      <c r="U208" s="19" t="n">
        <v>156.777934</v>
      </c>
      <c r="V208" s="19" t="n">
        <v>119.345797</v>
      </c>
      <c r="W208" s="19" t="n">
        <v>26.773822</v>
      </c>
      <c r="Y208">
        <f>B208</f>
        <v/>
      </c>
      <c r="Z208">
        <f>C208</f>
        <v/>
      </c>
      <c r="AA208" s="18">
        <f>SUM(AD208:AI208)+AK208+AL208</f>
        <v/>
      </c>
      <c r="AB208" s="18">
        <f>SUM(AD208:AI208)+AN208+AO208</f>
        <v/>
      </c>
      <c r="AC208" s="5">
        <f>AA208-AB208</f>
        <v/>
      </c>
      <c r="AD208" s="1">
        <f>D208/I208*W208*-1</f>
        <v/>
      </c>
      <c r="AE208" s="1">
        <f>E208/I208*W208</f>
        <v/>
      </c>
      <c r="AF208" s="1">
        <f t="array" ref="AF208">_xlfn.IFS(C208="Biomass_Corn", 1/I208*S208, C208="Biomass_Agri", 1/I208*V208, C208="Biomass_Wood", 1/I208*U208, C208="Biomass_Herb", 1/I208*T208)</f>
        <v/>
      </c>
      <c r="AG208" s="1">
        <f>M208/I208/(0.9*8760)</f>
        <v/>
      </c>
      <c r="AH208" s="1">
        <f>N208/I208/(0.9*8760)</f>
        <v/>
      </c>
      <c r="AI208" s="1">
        <f>O208/I208</f>
        <v/>
      </c>
      <c r="AJ208" s="1">
        <f>(AY208+AZ208+BA208+BB208+BC208-AW208)/I208</f>
        <v/>
      </c>
      <c r="AK208" s="1">
        <f>(Q208+R208)*-1*K208/I208</f>
        <v/>
      </c>
      <c r="AL208">
        <f>AJ208*Q208</f>
        <v/>
      </c>
      <c r="AM208" s="1">
        <f>(SUM(AY208:BB208)-AW208)/I208</f>
        <v/>
      </c>
      <c r="AN208" s="1">
        <f>K208/I208*-1*R208</f>
        <v/>
      </c>
      <c r="AO208">
        <f>AM208*Q208</f>
        <v/>
      </c>
      <c r="AQ208" s="17">
        <f>J208</f>
        <v/>
      </c>
      <c r="AR208" s="8" t="n">
        <v>0.243968185</v>
      </c>
      <c r="AS208" s="8" t="n">
        <v>0.249427613</v>
      </c>
      <c r="AT208" s="9" t="n">
        <v>0.246356685</v>
      </c>
      <c r="AU208" s="17" t="n">
        <v>0.23037491</v>
      </c>
      <c r="AW208" s="9">
        <f>AQ208</f>
        <v/>
      </c>
      <c r="AY208" s="9">
        <f>AR208*F208</f>
        <v/>
      </c>
      <c r="AZ208" s="9">
        <f>AS208*H208</f>
        <v/>
      </c>
      <c r="BA208" s="9">
        <f>AT208*G208</f>
        <v/>
      </c>
      <c r="BB208" s="9">
        <f>L208</f>
        <v/>
      </c>
      <c r="BC208" s="9">
        <f>K208</f>
        <v/>
      </c>
      <c r="BE208" s="1">
        <f>AW208-SUM(AY208:BC208)</f>
        <v/>
      </c>
    </row>
    <row r="209">
      <c r="B209" s="12" t="inlineStr">
        <is>
          <t>MIDAT_FT_High_Jetfuel_CCS_84_Wood</t>
        </is>
      </c>
      <c r="C209" s="20" t="inlineStr">
        <is>
          <t>Biomass_Wood</t>
        </is>
      </c>
      <c r="D209" s="20" t="n">
        <v>0.2579</v>
      </c>
      <c r="E209" s="20" t="n">
        <v>0</v>
      </c>
      <c r="F209" s="20" t="n">
        <v>0.433</v>
      </c>
      <c r="G209" s="20" t="n">
        <v>1.9332</v>
      </c>
      <c r="H209" s="20" t="n">
        <v>0</v>
      </c>
      <c r="I209" s="21">
        <f>F209+G209+H209</f>
        <v/>
      </c>
      <c r="J209" s="20" t="n">
        <v>1.806</v>
      </c>
      <c r="K209" s="20" t="n">
        <v>1.02679445562884</v>
      </c>
      <c r="L209" s="20" t="n">
        <v>0.1973286435948604</v>
      </c>
      <c r="M209" s="20" t="n">
        <v>784258.72</v>
      </c>
      <c r="N209" s="20" t="n">
        <v>351016.96</v>
      </c>
      <c r="O209" s="20" t="n">
        <v>50.288</v>
      </c>
      <c r="Q209" s="19" t="n">
        <v>109.479795</v>
      </c>
      <c r="R209" s="19" t="n">
        <v>-7.354813</v>
      </c>
      <c r="S209" s="19" t="n">
        <v>170</v>
      </c>
      <c r="T209" s="19" t="n">
        <v>138.356765</v>
      </c>
      <c r="U209" s="19" t="n">
        <v>156.777934</v>
      </c>
      <c r="V209" s="19" t="n">
        <v>119.345797</v>
      </c>
      <c r="W209" s="19" t="n">
        <v>26.773822</v>
      </c>
      <c r="Y209">
        <f>B209</f>
        <v/>
      </c>
      <c r="Z209">
        <f>C209</f>
        <v/>
      </c>
      <c r="AA209" s="18">
        <f>SUM(AD209:AI209)+AK209+AL209</f>
        <v/>
      </c>
      <c r="AB209" s="18">
        <f>SUM(AD209:AI209)+AN209+AO209</f>
        <v/>
      </c>
      <c r="AC209" s="5">
        <f>AA209-AB209</f>
        <v/>
      </c>
      <c r="AD209" s="1">
        <f>D209/I209*W209*-1</f>
        <v/>
      </c>
      <c r="AE209" s="1">
        <f>E209/I209*W209</f>
        <v/>
      </c>
      <c r="AF209" s="1">
        <f t="array" ref="AF209">_xlfn.IFS(C209="Biomass_Corn", 1/I209*S209, C209="Biomass_Agri", 1/I209*V209, C209="Biomass_Wood", 1/I209*U209, C209="Biomass_Herb", 1/I209*T209)</f>
        <v/>
      </c>
      <c r="AG209" s="1">
        <f>M209/I209/(0.9*8760)</f>
        <v/>
      </c>
      <c r="AH209" s="1">
        <f>N209/I209/(0.9*8760)</f>
        <v/>
      </c>
      <c r="AI209" s="1">
        <f>O209/I209</f>
        <v/>
      </c>
      <c r="AJ209" s="1">
        <f>(AY209+AZ209+BA209+BB209+BC209-AW209)/I209</f>
        <v/>
      </c>
      <c r="AK209" s="1">
        <f>(Q209+R209)*-1*K209/I209</f>
        <v/>
      </c>
      <c r="AL209">
        <f>AJ209*Q209</f>
        <v/>
      </c>
      <c r="AM209" s="1">
        <f>(SUM(AY209:BB209)-AW209)/I209</f>
        <v/>
      </c>
      <c r="AN209" s="1">
        <f>K209/I209*-1*R209</f>
        <v/>
      </c>
      <c r="AO209">
        <f>AM209*Q209</f>
        <v/>
      </c>
      <c r="AQ209" s="17">
        <f>J209</f>
        <v/>
      </c>
      <c r="AR209" s="8" t="n">
        <v>0.243968185</v>
      </c>
      <c r="AS209" s="8" t="n">
        <v>0.249427613</v>
      </c>
      <c r="AT209" s="9" t="n">
        <v>0.246356685</v>
      </c>
      <c r="AU209" s="17" t="n">
        <v>0.23037491</v>
      </c>
      <c r="AW209" s="9">
        <f>AQ209</f>
        <v/>
      </c>
      <c r="AY209" s="9">
        <f>AR209*F209</f>
        <v/>
      </c>
      <c r="AZ209" s="9">
        <f>AS209*H209</f>
        <v/>
      </c>
      <c r="BA209" s="9">
        <f>AT209*G209</f>
        <v/>
      </c>
      <c r="BB209" s="9">
        <f>L209</f>
        <v/>
      </c>
      <c r="BC209" s="9">
        <f>K209</f>
        <v/>
      </c>
      <c r="BE209" s="1">
        <f>AW209-SUM(AY209:BC209)</f>
        <v/>
      </c>
    </row>
    <row r="210">
      <c r="B210" s="12" t="inlineStr">
        <is>
          <t>NE_FT_High_Jetfuel_CCS_84_Wood</t>
        </is>
      </c>
      <c r="C210" s="20" t="inlineStr">
        <is>
          <t>Biomass_Wood</t>
        </is>
      </c>
      <c r="D210" s="20" t="n">
        <v>0.2563</v>
      </c>
      <c r="E210" s="20" t="n">
        <v>0</v>
      </c>
      <c r="F210" s="20" t="n">
        <v>0.4302</v>
      </c>
      <c r="G210" s="20" t="n">
        <v>1.921</v>
      </c>
      <c r="H210" s="20" t="n">
        <v>0</v>
      </c>
      <c r="I210" s="21">
        <f>F210+G210+H210</f>
        <v/>
      </c>
      <c r="J210" s="20" t="n">
        <v>1.826</v>
      </c>
      <c r="K210" s="20" t="n">
        <v>1.046651434130919</v>
      </c>
      <c r="L210" s="20" t="n">
        <v>0.2011447438983121</v>
      </c>
      <c r="M210" s="20" t="n">
        <v>784258.72</v>
      </c>
      <c r="N210" s="20" t="n">
        <v>351016.96</v>
      </c>
      <c r="O210" s="20" t="n">
        <v>50.288</v>
      </c>
      <c r="Q210" s="19" t="n">
        <v>109.479795</v>
      </c>
      <c r="R210" s="19" t="n">
        <v>-7.354813</v>
      </c>
      <c r="S210" s="19" t="n">
        <v>170</v>
      </c>
      <c r="T210" s="19" t="n">
        <v>138.356765</v>
      </c>
      <c r="U210" s="19" t="n">
        <v>156.777934</v>
      </c>
      <c r="V210" s="19" t="n">
        <v>119.345797</v>
      </c>
      <c r="W210" s="19" t="n">
        <v>26.773822</v>
      </c>
      <c r="Y210">
        <f>B210</f>
        <v/>
      </c>
      <c r="Z210">
        <f>C210</f>
        <v/>
      </c>
      <c r="AA210" s="18">
        <f>SUM(AD210:AI210)+AK210+AL210</f>
        <v/>
      </c>
      <c r="AB210" s="18">
        <f>SUM(AD210:AI210)+AN210+AO210</f>
        <v/>
      </c>
      <c r="AC210" s="5">
        <f>AA210-AB210</f>
        <v/>
      </c>
      <c r="AD210" s="1">
        <f>D210/I210*W210*-1</f>
        <v/>
      </c>
      <c r="AE210" s="1">
        <f>E210/I210*W210</f>
        <v/>
      </c>
      <c r="AF210" s="1">
        <f t="array" ref="AF210">_xlfn.IFS(C210="Biomass_Corn", 1/I210*S210, C210="Biomass_Agri", 1/I210*V210, C210="Biomass_Wood", 1/I210*U210, C210="Biomass_Herb", 1/I210*T210)</f>
        <v/>
      </c>
      <c r="AG210" s="1">
        <f>M210/I210/(0.9*8760)</f>
        <v/>
      </c>
      <c r="AH210" s="1">
        <f>N210/I210/(0.9*8760)</f>
        <v/>
      </c>
      <c r="AI210" s="1">
        <f>O210/I210</f>
        <v/>
      </c>
      <c r="AJ210" s="1">
        <f>(AY210+AZ210+BA210+BB210+BC210-AW210)/I210</f>
        <v/>
      </c>
      <c r="AK210" s="1">
        <f>(Q210+R210)*-1*K210/I210</f>
        <v/>
      </c>
      <c r="AL210">
        <f>AJ210*Q210</f>
        <v/>
      </c>
      <c r="AM210" s="1">
        <f>(SUM(AY210:BB210)-AW210)/I210</f>
        <v/>
      </c>
      <c r="AN210" s="1">
        <f>K210/I210*-1*R210</f>
        <v/>
      </c>
      <c r="AO210">
        <f>AM210*Q210</f>
        <v/>
      </c>
      <c r="AQ210" s="17">
        <f>J210</f>
        <v/>
      </c>
      <c r="AR210" s="8" t="n">
        <v>0.243968185</v>
      </c>
      <c r="AS210" s="8" t="n">
        <v>0.249427613</v>
      </c>
      <c r="AT210" s="9" t="n">
        <v>0.246356685</v>
      </c>
      <c r="AU210" s="17" t="n">
        <v>0.23037491</v>
      </c>
      <c r="AW210" s="9">
        <f>AQ210</f>
        <v/>
      </c>
      <c r="AY210" s="9">
        <f>AR210*F210</f>
        <v/>
      </c>
      <c r="AZ210" s="9">
        <f>AS210*H210</f>
        <v/>
      </c>
      <c r="BA210" s="9">
        <f>AT210*G210</f>
        <v/>
      </c>
      <c r="BB210" s="9">
        <f>L210</f>
        <v/>
      </c>
      <c r="BC210" s="9">
        <f>K210</f>
        <v/>
      </c>
      <c r="BE210" s="1">
        <f>AW210-SUM(AY210:BC210)</f>
        <v/>
      </c>
    </row>
    <row r="211">
      <c r="B211" s="12" t="inlineStr">
        <is>
          <t>CA_FT_High_Jetfuel_CCS_84_Agri</t>
        </is>
      </c>
      <c r="C211" s="20" t="inlineStr">
        <is>
          <t>Biomass_Agri</t>
        </is>
      </c>
      <c r="D211" s="20" t="n">
        <v>0.2482</v>
      </c>
      <c r="E211" s="20" t="n">
        <v>0</v>
      </c>
      <c r="F211" s="20" t="n">
        <v>0.4166</v>
      </c>
      <c r="G211" s="20" t="n">
        <v>1.8599</v>
      </c>
      <c r="H211" s="20" t="n">
        <v>0</v>
      </c>
      <c r="I211" s="21">
        <f>F211+G211+H211</f>
        <v/>
      </c>
      <c r="J211" s="20" t="n">
        <v>1.719</v>
      </c>
      <c r="K211" s="20" t="n">
        <v>0.972304726641319</v>
      </c>
      <c r="L211" s="20" t="n">
        <v>0.1868568454155706</v>
      </c>
      <c r="M211" s="20" t="n">
        <v>784258.72</v>
      </c>
      <c r="N211" s="20" t="n">
        <v>351016.96</v>
      </c>
      <c r="O211" s="20" t="n">
        <v>50.288</v>
      </c>
      <c r="Q211" s="19" t="n">
        <v>109.479795</v>
      </c>
      <c r="R211" s="19" t="n">
        <v>-7.354813</v>
      </c>
      <c r="S211" s="19" t="n">
        <v>170</v>
      </c>
      <c r="T211" s="19" t="n">
        <v>138.356765</v>
      </c>
      <c r="U211" s="19" t="n">
        <v>156.777934</v>
      </c>
      <c r="V211" s="19" t="n">
        <v>119.345797</v>
      </c>
      <c r="W211" s="19" t="n">
        <v>26.773822</v>
      </c>
      <c r="Y211">
        <f>B211</f>
        <v/>
      </c>
      <c r="Z211">
        <f>C211</f>
        <v/>
      </c>
      <c r="AA211" s="18">
        <f>SUM(AD211:AI211)+AK211+AL211</f>
        <v/>
      </c>
      <c r="AB211" s="18">
        <f>SUM(AD211:AI211)+AN211+AO211</f>
        <v/>
      </c>
      <c r="AC211" s="5">
        <f>AA211-AB211</f>
        <v/>
      </c>
      <c r="AD211" s="1">
        <f>D211/I211*W211*-1</f>
        <v/>
      </c>
      <c r="AE211" s="1">
        <f>E211/I211*W211</f>
        <v/>
      </c>
      <c r="AF211" s="1">
        <f t="array" ref="AF211">_xlfn.IFS(C211="Biomass_Corn", 1/I211*S211, C211="Biomass_Agri", 1/I211*V211, C211="Biomass_Wood", 1/I211*U211, C211="Biomass_Herb", 1/I211*T211)</f>
        <v/>
      </c>
      <c r="AG211" s="1">
        <f>M211/I211/(0.9*8760)</f>
        <v/>
      </c>
      <c r="AH211" s="1">
        <f>N211/I211/(0.9*8760)</f>
        <v/>
      </c>
      <c r="AI211" s="1">
        <f>O211/I211</f>
        <v/>
      </c>
      <c r="AJ211" s="1">
        <f>(AY211+AZ211+BA211+BB211+BC211-AW211)/I211</f>
        <v/>
      </c>
      <c r="AK211" s="1">
        <f>(Q211+R211)*-1*K211/I211</f>
        <v/>
      </c>
      <c r="AL211">
        <f>AJ211*Q211</f>
        <v/>
      </c>
      <c r="AM211" s="1">
        <f>(SUM(AY211:BB211)-AW211)/I211</f>
        <v/>
      </c>
      <c r="AN211" s="1">
        <f>K211/I211*-1*R211</f>
        <v/>
      </c>
      <c r="AO211">
        <f>AM211*Q211</f>
        <v/>
      </c>
      <c r="AQ211" s="17">
        <f>J211</f>
        <v/>
      </c>
      <c r="AR211" s="8" t="n">
        <v>0.243968185</v>
      </c>
      <c r="AS211" s="8" t="n">
        <v>0.249427613</v>
      </c>
      <c r="AT211" s="9" t="n">
        <v>0.246356685</v>
      </c>
      <c r="AU211" s="17" t="n">
        <v>0.23037491</v>
      </c>
      <c r="AW211" s="9">
        <f>AQ211</f>
        <v/>
      </c>
      <c r="AY211" s="9">
        <f>AR211*F211</f>
        <v/>
      </c>
      <c r="AZ211" s="9">
        <f>AS211*H211</f>
        <v/>
      </c>
      <c r="BA211" s="9">
        <f>AT211*G211</f>
        <v/>
      </c>
      <c r="BB211" s="9">
        <f>L211</f>
        <v/>
      </c>
      <c r="BC211" s="9">
        <f>K211</f>
        <v/>
      </c>
      <c r="BE211" s="1">
        <f>AW211-SUM(AY211:BC211)</f>
        <v/>
      </c>
    </row>
    <row r="212">
      <c r="B212" s="12" t="inlineStr">
        <is>
          <t>NW_FT_High_Jetfuel_CCS_84_Agri</t>
        </is>
      </c>
      <c r="C212" s="20" t="inlineStr">
        <is>
          <t>Biomass_Agri</t>
        </is>
      </c>
      <c r="D212" s="20" t="n">
        <v>0.2269</v>
      </c>
      <c r="E212" s="20" t="n">
        <v>0</v>
      </c>
      <c r="F212" s="20" t="n">
        <v>0.3808</v>
      </c>
      <c r="G212" s="20" t="n">
        <v>1.7003</v>
      </c>
      <c r="H212" s="20" t="n">
        <v>0</v>
      </c>
      <c r="I212" s="21">
        <f>F212+G212+H212</f>
        <v/>
      </c>
      <c r="J212" s="20" t="n">
        <v>1.664</v>
      </c>
      <c r="K212" s="20" t="n">
        <v>0.9664801953768644</v>
      </c>
      <c r="L212" s="20" t="n">
        <v>0.1857374910523969</v>
      </c>
      <c r="M212" s="20" t="n">
        <v>784258.72</v>
      </c>
      <c r="N212" s="20" t="n">
        <v>351016.96</v>
      </c>
      <c r="O212" s="20" t="n">
        <v>50.288</v>
      </c>
      <c r="Q212" s="19" t="n">
        <v>109.479795</v>
      </c>
      <c r="R212" s="19" t="n">
        <v>-7.354813</v>
      </c>
      <c r="S212" s="19" t="n">
        <v>170</v>
      </c>
      <c r="T212" s="19" t="n">
        <v>138.356765</v>
      </c>
      <c r="U212" s="19" t="n">
        <v>156.777934</v>
      </c>
      <c r="V212" s="19" t="n">
        <v>119.345797</v>
      </c>
      <c r="W212" s="19" t="n">
        <v>26.773822</v>
      </c>
      <c r="Y212">
        <f>B212</f>
        <v/>
      </c>
      <c r="Z212">
        <f>C212</f>
        <v/>
      </c>
      <c r="AA212" s="18">
        <f>SUM(AD212:AI212)+AK212+AL212</f>
        <v/>
      </c>
      <c r="AB212" s="18">
        <f>SUM(AD212:AI212)+AN212+AO212</f>
        <v/>
      </c>
      <c r="AC212" s="5">
        <f>AA212-AB212</f>
        <v/>
      </c>
      <c r="AD212" s="1">
        <f>D212/I212*W212*-1</f>
        <v/>
      </c>
      <c r="AE212" s="1">
        <f>E212/I212*W212</f>
        <v/>
      </c>
      <c r="AF212" s="1">
        <f t="array" ref="AF212">_xlfn.IFS(C212="Biomass_Corn", 1/I212*S212, C212="Biomass_Agri", 1/I212*V212, C212="Biomass_Wood", 1/I212*U212, C212="Biomass_Herb", 1/I212*T212)</f>
        <v/>
      </c>
      <c r="AG212" s="1">
        <f>M212/I212/(0.9*8760)</f>
        <v/>
      </c>
      <c r="AH212" s="1">
        <f>N212/I212/(0.9*8760)</f>
        <v/>
      </c>
      <c r="AI212" s="1">
        <f>O212/I212</f>
        <v/>
      </c>
      <c r="AJ212" s="1">
        <f>(AY212+AZ212+BA212+BB212+BC212-AW212)/I212</f>
        <v/>
      </c>
      <c r="AK212" s="1">
        <f>(Q212+R212)*-1*K212/I212</f>
        <v/>
      </c>
      <c r="AL212">
        <f>AJ212*Q212</f>
        <v/>
      </c>
      <c r="AM212" s="1">
        <f>(SUM(AY212:BB212)-AW212)/I212</f>
        <v/>
      </c>
      <c r="AN212" s="1">
        <f>K212/I212*-1*R212</f>
        <v/>
      </c>
      <c r="AO212">
        <f>AM212*Q212</f>
        <v/>
      </c>
      <c r="AQ212" s="17">
        <f>J212</f>
        <v/>
      </c>
      <c r="AR212" s="8" t="n">
        <v>0.243968185</v>
      </c>
      <c r="AS212" s="8" t="n">
        <v>0.249427613</v>
      </c>
      <c r="AT212" s="9" t="n">
        <v>0.246356685</v>
      </c>
      <c r="AU212" s="17" t="n">
        <v>0.23037491</v>
      </c>
      <c r="AW212" s="9">
        <f>AQ212</f>
        <v/>
      </c>
      <c r="AY212" s="9">
        <f>AR212*F212</f>
        <v/>
      </c>
      <c r="AZ212" s="9">
        <f>AS212*H212</f>
        <v/>
      </c>
      <c r="BA212" s="9">
        <f>AT212*G212</f>
        <v/>
      </c>
      <c r="BB212" s="9">
        <f>L212</f>
        <v/>
      </c>
      <c r="BC212" s="9">
        <f>K212</f>
        <v/>
      </c>
      <c r="BE212" s="1">
        <f>AW212-SUM(AY212:BC212)</f>
        <v/>
      </c>
    </row>
    <row r="213">
      <c r="B213" s="12" t="inlineStr">
        <is>
          <t>SW_FT_High_Jetfuel_CCS_84_Agri</t>
        </is>
      </c>
      <c r="C213" s="20" t="inlineStr">
        <is>
          <t>Biomass_Agri</t>
        </is>
      </c>
      <c r="D213" s="20" t="n">
        <v>0.2311</v>
      </c>
      <c r="E213" s="20" t="n">
        <v>0</v>
      </c>
      <c r="F213" s="20" t="n">
        <v>0.3879</v>
      </c>
      <c r="G213" s="20" t="n">
        <v>1.7318</v>
      </c>
      <c r="H213" s="20" t="n">
        <v>0</v>
      </c>
      <c r="I213" s="21">
        <f>F213+G213+H213</f>
        <v/>
      </c>
      <c r="J213" s="20" t="n">
        <v>1.687</v>
      </c>
      <c r="K213" s="20" t="n">
        <v>0.977813400913158</v>
      </c>
      <c r="L213" s="20" t="n">
        <v>0.1879154986018134</v>
      </c>
      <c r="M213" s="20" t="n">
        <v>784258.72</v>
      </c>
      <c r="N213" s="20" t="n">
        <v>351016.96</v>
      </c>
      <c r="O213" s="20" t="n">
        <v>50.288</v>
      </c>
      <c r="Q213" s="19" t="n">
        <v>109.479795</v>
      </c>
      <c r="R213" s="19" t="n">
        <v>-7.354813</v>
      </c>
      <c r="S213" s="19" t="n">
        <v>170</v>
      </c>
      <c r="T213" s="19" t="n">
        <v>138.356765</v>
      </c>
      <c r="U213" s="19" t="n">
        <v>156.777934</v>
      </c>
      <c r="V213" s="19" t="n">
        <v>119.345797</v>
      </c>
      <c r="W213" s="19" t="n">
        <v>26.773822</v>
      </c>
      <c r="Y213">
        <f>B213</f>
        <v/>
      </c>
      <c r="Z213">
        <f>C213</f>
        <v/>
      </c>
      <c r="AA213" s="18">
        <f>SUM(AD213:AI213)+AK213+AL213</f>
        <v/>
      </c>
      <c r="AB213" s="18">
        <f>SUM(AD213:AI213)+AN213+AO213</f>
        <v/>
      </c>
      <c r="AC213" s="5">
        <f>AA213-AB213</f>
        <v/>
      </c>
      <c r="AD213" s="1">
        <f>D213/I213*W213*-1</f>
        <v/>
      </c>
      <c r="AE213" s="1">
        <f>E213/I213*W213</f>
        <v/>
      </c>
      <c r="AF213" s="1">
        <f t="array" ref="AF213">_xlfn.IFS(C213="Biomass_Corn", 1/I213*S213, C213="Biomass_Agri", 1/I213*V213, C213="Biomass_Wood", 1/I213*U213, C213="Biomass_Herb", 1/I213*T213)</f>
        <v/>
      </c>
      <c r="AG213" s="1">
        <f>M213/I213/(0.9*8760)</f>
        <v/>
      </c>
      <c r="AH213" s="1">
        <f>N213/I213/(0.9*8760)</f>
        <v/>
      </c>
      <c r="AI213" s="1">
        <f>O213/I213</f>
        <v/>
      </c>
      <c r="AJ213" s="1">
        <f>(AY213+AZ213+BA213+BB213+BC213-AW213)/I213</f>
        <v/>
      </c>
      <c r="AK213" s="1">
        <f>(Q213+R213)*-1*K213/I213</f>
        <v/>
      </c>
      <c r="AL213">
        <f>AJ213*Q213</f>
        <v/>
      </c>
      <c r="AM213" s="1">
        <f>(SUM(AY213:BB213)-AW213)/I213</f>
        <v/>
      </c>
      <c r="AN213" s="1">
        <f>K213/I213*-1*R213</f>
        <v/>
      </c>
      <c r="AO213">
        <f>AM213*Q213</f>
        <v/>
      </c>
      <c r="AQ213" s="17">
        <f>J213</f>
        <v/>
      </c>
      <c r="AR213" s="8" t="n">
        <v>0.243968185</v>
      </c>
      <c r="AS213" s="8" t="n">
        <v>0.249427613</v>
      </c>
      <c r="AT213" s="9" t="n">
        <v>0.246356685</v>
      </c>
      <c r="AU213" s="17" t="n">
        <v>0.23037491</v>
      </c>
      <c r="AW213" s="9">
        <f>AQ213</f>
        <v/>
      </c>
      <c r="AY213" s="9">
        <f>AR213*F213</f>
        <v/>
      </c>
      <c r="AZ213" s="9">
        <f>AS213*H213</f>
        <v/>
      </c>
      <c r="BA213" s="9">
        <f>AT213*G213</f>
        <v/>
      </c>
      <c r="BB213" s="9">
        <f>L213</f>
        <v/>
      </c>
      <c r="BC213" s="9">
        <f>K213</f>
        <v/>
      </c>
      <c r="BE213" s="1">
        <f>AW213-SUM(AY213:BC213)</f>
        <v/>
      </c>
    </row>
    <row r="214">
      <c r="B214" s="12" t="inlineStr">
        <is>
          <t>TX_FT_High_Jetfuel_CCS_84_Agri</t>
        </is>
      </c>
      <c r="C214" s="20" t="inlineStr">
        <is>
          <t>Biomass_Agri</t>
        </is>
      </c>
      <c r="D214" s="20" t="n">
        <v>0.2251</v>
      </c>
      <c r="E214" s="20" t="n">
        <v>0</v>
      </c>
      <c r="F214" s="20" t="n">
        <v>0.3779</v>
      </c>
      <c r="G214" s="20" t="n">
        <v>1.6871</v>
      </c>
      <c r="H214" s="20" t="n">
        <v>0</v>
      </c>
      <c r="I214" s="21">
        <f>F214+G214+H214</f>
        <v/>
      </c>
      <c r="J214" s="20" t="n">
        <v>1.633</v>
      </c>
      <c r="K214" s="20" t="n">
        <v>0.9438151220874512</v>
      </c>
      <c r="L214" s="20" t="n">
        <v>0.1813817330478029</v>
      </c>
      <c r="M214" s="20" t="n">
        <v>784258.72</v>
      </c>
      <c r="N214" s="20" t="n">
        <v>351016.96</v>
      </c>
      <c r="O214" s="20" t="n">
        <v>50.288</v>
      </c>
      <c r="Q214" s="19" t="n">
        <v>109.479795</v>
      </c>
      <c r="R214" s="19" t="n">
        <v>-7.354813</v>
      </c>
      <c r="S214" s="19" t="n">
        <v>170</v>
      </c>
      <c r="T214" s="19" t="n">
        <v>138.356765</v>
      </c>
      <c r="U214" s="19" t="n">
        <v>156.777934</v>
      </c>
      <c r="V214" s="19" t="n">
        <v>119.345797</v>
      </c>
      <c r="W214" s="19" t="n">
        <v>26.773822</v>
      </c>
      <c r="Y214">
        <f>B214</f>
        <v/>
      </c>
      <c r="Z214">
        <f>C214</f>
        <v/>
      </c>
      <c r="AA214" s="18">
        <f>SUM(AD214:AI214)+AK214+AL214</f>
        <v/>
      </c>
      <c r="AB214" s="18">
        <f>SUM(AD214:AI214)+AN214+AO214</f>
        <v/>
      </c>
      <c r="AC214" s="5">
        <f>AA214-AB214</f>
        <v/>
      </c>
      <c r="AD214" s="1">
        <f>D214/I214*W214*-1</f>
        <v/>
      </c>
      <c r="AE214" s="1">
        <f>E214/I214*W214</f>
        <v/>
      </c>
      <c r="AF214" s="1">
        <f t="array" ref="AF214">_xlfn.IFS(C214="Biomass_Corn", 1/I214*S214, C214="Biomass_Agri", 1/I214*V214, C214="Biomass_Wood", 1/I214*U214, C214="Biomass_Herb", 1/I214*T214)</f>
        <v/>
      </c>
      <c r="AG214" s="1">
        <f>M214/I214/(0.9*8760)</f>
        <v/>
      </c>
      <c r="AH214" s="1">
        <f>N214/I214/(0.9*8760)</f>
        <v/>
      </c>
      <c r="AI214" s="1">
        <f>O214/I214</f>
        <v/>
      </c>
      <c r="AJ214" s="1">
        <f>(AY214+AZ214+BA214+BB214+BC214-AW214)/I214</f>
        <v/>
      </c>
      <c r="AK214" s="1">
        <f>(Q214+R214)*-1*K214/I214</f>
        <v/>
      </c>
      <c r="AL214">
        <f>AJ214*Q214</f>
        <v/>
      </c>
      <c r="AM214" s="1">
        <f>(SUM(AY214:BB214)-AW214)/I214</f>
        <v/>
      </c>
      <c r="AN214" s="1">
        <f>K214/I214*-1*R214</f>
        <v/>
      </c>
      <c r="AO214">
        <f>AM214*Q214</f>
        <v/>
      </c>
      <c r="AQ214" s="17">
        <f>J214</f>
        <v/>
      </c>
      <c r="AR214" s="8" t="n">
        <v>0.243968185</v>
      </c>
      <c r="AS214" s="8" t="n">
        <v>0.249427613</v>
      </c>
      <c r="AT214" s="9" t="n">
        <v>0.246356685</v>
      </c>
      <c r="AU214" s="17" t="n">
        <v>0.23037491</v>
      </c>
      <c r="AW214" s="9">
        <f>AQ214</f>
        <v/>
      </c>
      <c r="AY214" s="9">
        <f>AR214*F214</f>
        <v/>
      </c>
      <c r="AZ214" s="9">
        <f>AS214*H214</f>
        <v/>
      </c>
      <c r="BA214" s="9">
        <f>AT214*G214</f>
        <v/>
      </c>
      <c r="BB214" s="9">
        <f>L214</f>
        <v/>
      </c>
      <c r="BC214" s="9">
        <f>K214</f>
        <v/>
      </c>
      <c r="BE214" s="1">
        <f>AW214-SUM(AY214:BC214)</f>
        <v/>
      </c>
    </row>
    <row r="215">
      <c r="B215" s="12" t="inlineStr">
        <is>
          <t>NCEN_FT_High_Jetfuel_CCS_84_Agri</t>
        </is>
      </c>
      <c r="C215" s="20" t="inlineStr">
        <is>
          <t>Biomass_Agri</t>
        </is>
      </c>
      <c r="D215" s="20" t="n">
        <v>0.2347</v>
      </c>
      <c r="E215" s="20" t="n">
        <v>0</v>
      </c>
      <c r="F215" s="20" t="n">
        <v>0.394</v>
      </c>
      <c r="G215" s="20" t="n">
        <v>1.7593</v>
      </c>
      <c r="H215" s="20" t="n">
        <v>0</v>
      </c>
      <c r="I215" s="21">
        <f>F215+G215+H215</f>
        <v/>
      </c>
      <c r="J215" s="20" t="n">
        <v>1.71</v>
      </c>
      <c r="K215" s="20" t="n">
        <v>0.990173599283478</v>
      </c>
      <c r="L215" s="20" t="n">
        <v>0.1902908729190471</v>
      </c>
      <c r="M215" s="20" t="n">
        <v>784258.72</v>
      </c>
      <c r="N215" s="20" t="n">
        <v>351016.96</v>
      </c>
      <c r="O215" s="20" t="n">
        <v>50.288</v>
      </c>
      <c r="Q215" s="19" t="n">
        <v>109.479795</v>
      </c>
      <c r="R215" s="19" t="n">
        <v>-7.354813</v>
      </c>
      <c r="S215" s="19" t="n">
        <v>170</v>
      </c>
      <c r="T215" s="19" t="n">
        <v>138.356765</v>
      </c>
      <c r="U215" s="19" t="n">
        <v>156.777934</v>
      </c>
      <c r="V215" s="19" t="n">
        <v>119.345797</v>
      </c>
      <c r="W215" s="19" t="n">
        <v>26.773822</v>
      </c>
      <c r="Y215">
        <f>B215</f>
        <v/>
      </c>
      <c r="Z215">
        <f>C215</f>
        <v/>
      </c>
      <c r="AA215" s="18">
        <f>SUM(AD215:AI215)+AK215+AL215</f>
        <v/>
      </c>
      <c r="AB215" s="18">
        <f>SUM(AD215:AI215)+AN215+AO215</f>
        <v/>
      </c>
      <c r="AC215" s="5">
        <f>AA215-AB215</f>
        <v/>
      </c>
      <c r="AD215" s="1">
        <f>D215/I215*W215*-1</f>
        <v/>
      </c>
      <c r="AE215" s="1">
        <f>E215/I215*W215</f>
        <v/>
      </c>
      <c r="AF215" s="1">
        <f t="array" ref="AF215">_xlfn.IFS(C215="Biomass_Corn", 1/I215*S215, C215="Biomass_Agri", 1/I215*V215, C215="Biomass_Wood", 1/I215*U215, C215="Biomass_Herb", 1/I215*T215)</f>
        <v/>
      </c>
      <c r="AG215" s="1">
        <f>M215/I215/(0.9*8760)</f>
        <v/>
      </c>
      <c r="AH215" s="1">
        <f>N215/I215/(0.9*8760)</f>
        <v/>
      </c>
      <c r="AI215" s="1">
        <f>O215/I215</f>
        <v/>
      </c>
      <c r="AJ215" s="1">
        <f>(AY215+AZ215+BA215+BB215+BC215-AW215)/I215</f>
        <v/>
      </c>
      <c r="AK215" s="1">
        <f>(Q215+R215)*-1*K215/I215</f>
        <v/>
      </c>
      <c r="AL215">
        <f>AJ215*Q215</f>
        <v/>
      </c>
      <c r="AM215" s="1">
        <f>(SUM(AY215:BB215)-AW215)/I215</f>
        <v/>
      </c>
      <c r="AN215" s="1">
        <f>K215/I215*-1*R215</f>
        <v/>
      </c>
      <c r="AO215">
        <f>AM215*Q215</f>
        <v/>
      </c>
      <c r="AQ215" s="17">
        <f>J215</f>
        <v/>
      </c>
      <c r="AR215" s="8" t="n">
        <v>0.243968185</v>
      </c>
      <c r="AS215" s="8" t="n">
        <v>0.249427613</v>
      </c>
      <c r="AT215" s="9" t="n">
        <v>0.246356685</v>
      </c>
      <c r="AU215" s="17" t="n">
        <v>0.23037491</v>
      </c>
      <c r="AW215" s="9">
        <f>AQ215</f>
        <v/>
      </c>
      <c r="AY215" s="9">
        <f>AR215*F215</f>
        <v/>
      </c>
      <c r="AZ215" s="9">
        <f>AS215*H215</f>
        <v/>
      </c>
      <c r="BA215" s="9">
        <f>AT215*G215</f>
        <v/>
      </c>
      <c r="BB215" s="9">
        <f>L215</f>
        <v/>
      </c>
      <c r="BC215" s="9">
        <f>K215</f>
        <v/>
      </c>
      <c r="BE215" s="1">
        <f>AW215-SUM(AY215:BC215)</f>
        <v/>
      </c>
    </row>
    <row r="216">
      <c r="B216" s="12" t="inlineStr">
        <is>
          <t>CEN_FT_High_Jetfuel_CCS_84_Agri</t>
        </is>
      </c>
      <c r="C216" s="20" t="inlineStr">
        <is>
          <t>Biomass_Agri</t>
        </is>
      </c>
      <c r="D216" s="20" t="n">
        <v>0.233</v>
      </c>
      <c r="E216" s="20" t="n">
        <v>0</v>
      </c>
      <c r="F216" s="20" t="n">
        <v>0.3911</v>
      </c>
      <c r="G216" s="20" t="n">
        <v>1.746</v>
      </c>
      <c r="H216" s="20" t="n">
        <v>0</v>
      </c>
      <c r="I216" s="21">
        <f>F216+G216+H216</f>
        <v/>
      </c>
      <c r="J216" s="20" t="n">
        <v>1.7</v>
      </c>
      <c r="K216" s="20" t="n">
        <v>0.9851233259940648</v>
      </c>
      <c r="L216" s="20" t="n">
        <v>0.1893203149144531</v>
      </c>
      <c r="M216" s="20" t="n">
        <v>784258.72</v>
      </c>
      <c r="N216" s="20" t="n">
        <v>351016.96</v>
      </c>
      <c r="O216" s="20" t="n">
        <v>50.288</v>
      </c>
      <c r="Q216" s="19" t="n">
        <v>109.479795</v>
      </c>
      <c r="R216" s="19" t="n">
        <v>-7.354813</v>
      </c>
      <c r="S216" s="19" t="n">
        <v>170</v>
      </c>
      <c r="T216" s="19" t="n">
        <v>138.356765</v>
      </c>
      <c r="U216" s="19" t="n">
        <v>156.777934</v>
      </c>
      <c r="V216" s="19" t="n">
        <v>119.345797</v>
      </c>
      <c r="W216" s="19" t="n">
        <v>26.773822</v>
      </c>
      <c r="Y216">
        <f>B216</f>
        <v/>
      </c>
      <c r="Z216">
        <f>C216</f>
        <v/>
      </c>
      <c r="AA216" s="18">
        <f>SUM(AD216:AI216)+AK216+AL216</f>
        <v/>
      </c>
      <c r="AB216" s="18">
        <f>SUM(AD216:AI216)+AN216+AO216</f>
        <v/>
      </c>
      <c r="AC216" s="5">
        <f>AA216-AB216</f>
        <v/>
      </c>
      <c r="AD216" s="1">
        <f>D216/I216*W216*-1</f>
        <v/>
      </c>
      <c r="AE216" s="1">
        <f>E216/I216*W216</f>
        <v/>
      </c>
      <c r="AF216" s="1">
        <f t="array" ref="AF216">_xlfn.IFS(C216="Biomass_Corn", 1/I216*S216, C216="Biomass_Agri", 1/I216*V216, C216="Biomass_Wood", 1/I216*U216, C216="Biomass_Herb", 1/I216*T216)</f>
        <v/>
      </c>
      <c r="AG216" s="1">
        <f>M216/I216/(0.9*8760)</f>
        <v/>
      </c>
      <c r="AH216" s="1">
        <f>N216/I216/(0.9*8760)</f>
        <v/>
      </c>
      <c r="AI216" s="1">
        <f>O216/I216</f>
        <v/>
      </c>
      <c r="AJ216" s="1">
        <f>(AY216+AZ216+BA216+BB216+BC216-AW216)/I216</f>
        <v/>
      </c>
      <c r="AK216" s="1">
        <f>(Q216+R216)*-1*K216/I216</f>
        <v/>
      </c>
      <c r="AL216">
        <f>AJ216*Q216</f>
        <v/>
      </c>
      <c r="AM216" s="1">
        <f>(SUM(AY216:BB216)-AW216)/I216</f>
        <v/>
      </c>
      <c r="AN216" s="1">
        <f>K216/I216*-1*R216</f>
        <v/>
      </c>
      <c r="AO216">
        <f>AM216*Q216</f>
        <v/>
      </c>
      <c r="AQ216" s="17">
        <f>J216</f>
        <v/>
      </c>
      <c r="AR216" s="8" t="n">
        <v>0.243968185</v>
      </c>
      <c r="AS216" s="8" t="n">
        <v>0.249427613</v>
      </c>
      <c r="AT216" s="9" t="n">
        <v>0.246356685</v>
      </c>
      <c r="AU216" s="17" t="n">
        <v>0.23037491</v>
      </c>
      <c r="AW216" s="9">
        <f>AQ216</f>
        <v/>
      </c>
      <c r="AY216" s="9">
        <f>AR216*F216</f>
        <v/>
      </c>
      <c r="AZ216" s="9">
        <f>AS216*H216</f>
        <v/>
      </c>
      <c r="BA216" s="9">
        <f>AT216*G216</f>
        <v/>
      </c>
      <c r="BB216" s="9">
        <f>L216</f>
        <v/>
      </c>
      <c r="BC216" s="9">
        <f>K216</f>
        <v/>
      </c>
      <c r="BE216" s="1">
        <f>AW216-SUM(AY216:BC216)</f>
        <v/>
      </c>
    </row>
    <row r="217">
      <c r="B217" s="12" t="inlineStr">
        <is>
          <t>SE_FT_High_Jetfuel_CCS_84_Agri</t>
        </is>
      </c>
      <c r="C217" s="20" t="inlineStr">
        <is>
          <t>Biomass_Agri</t>
        </is>
      </c>
      <c r="D217" s="20" t="n">
        <v>0.2338</v>
      </c>
      <c r="E217" s="20" t="n">
        <v>0</v>
      </c>
      <c r="F217" s="20" t="n">
        <v>0.3924</v>
      </c>
      <c r="G217" s="20" t="n">
        <v>1.7521</v>
      </c>
      <c r="H217" s="20" t="n">
        <v>0</v>
      </c>
      <c r="I217" s="21">
        <f>F217+G217+H217</f>
        <v/>
      </c>
      <c r="J217" s="20" t="n">
        <v>1.689</v>
      </c>
      <c r="K217" s="20" t="n">
        <v>0.9743560367430248</v>
      </c>
      <c r="L217" s="20" t="n">
        <v>0.1872510647627272</v>
      </c>
      <c r="M217" s="20" t="n">
        <v>784258.72</v>
      </c>
      <c r="N217" s="20" t="n">
        <v>351016.96</v>
      </c>
      <c r="O217" s="20" t="n">
        <v>50.288</v>
      </c>
      <c r="Q217" s="19" t="n">
        <v>109.479795</v>
      </c>
      <c r="R217" s="19" t="n">
        <v>-7.354813</v>
      </c>
      <c r="S217" s="19" t="n">
        <v>170</v>
      </c>
      <c r="T217" s="19" t="n">
        <v>138.356765</v>
      </c>
      <c r="U217" s="19" t="n">
        <v>156.777934</v>
      </c>
      <c r="V217" s="19" t="n">
        <v>119.345797</v>
      </c>
      <c r="W217" s="19" t="n">
        <v>26.773822</v>
      </c>
      <c r="Y217">
        <f>B217</f>
        <v/>
      </c>
      <c r="Z217">
        <f>C217</f>
        <v/>
      </c>
      <c r="AA217" s="18">
        <f>SUM(AD217:AI217)+AK217+AL217</f>
        <v/>
      </c>
      <c r="AB217" s="18">
        <f>SUM(AD217:AI217)+AN217+AO217</f>
        <v/>
      </c>
      <c r="AC217" s="5">
        <f>AA217-AB217</f>
        <v/>
      </c>
      <c r="AD217" s="1">
        <f>D217/I217*W217*-1</f>
        <v/>
      </c>
      <c r="AE217" s="1">
        <f>E217/I217*W217</f>
        <v/>
      </c>
      <c r="AF217" s="1">
        <f t="array" ref="AF217">_xlfn.IFS(C217="Biomass_Corn", 1/I217*S217, C217="Biomass_Agri", 1/I217*V217, C217="Biomass_Wood", 1/I217*U217, C217="Biomass_Herb", 1/I217*T217)</f>
        <v/>
      </c>
      <c r="AG217" s="1">
        <f>M217/I217/(0.9*8760)</f>
        <v/>
      </c>
      <c r="AH217" s="1">
        <f>N217/I217/(0.9*8760)</f>
        <v/>
      </c>
      <c r="AI217" s="1">
        <f>O217/I217</f>
        <v/>
      </c>
      <c r="AJ217" s="1">
        <f>(AY217+AZ217+BA217+BB217+BC217-AW217)/I217</f>
        <v/>
      </c>
      <c r="AK217" s="1">
        <f>(Q217+R217)*-1*K217/I217</f>
        <v/>
      </c>
      <c r="AL217">
        <f>AJ217*Q217</f>
        <v/>
      </c>
      <c r="AM217" s="1">
        <f>(SUM(AY217:BB217)-AW217)/I217</f>
        <v/>
      </c>
      <c r="AN217" s="1">
        <f>K217/I217*-1*R217</f>
        <v/>
      </c>
      <c r="AO217">
        <f>AM217*Q217</f>
        <v/>
      </c>
      <c r="AQ217" s="17">
        <f>J217</f>
        <v/>
      </c>
      <c r="AR217" s="8" t="n">
        <v>0.243968185</v>
      </c>
      <c r="AS217" s="8" t="n">
        <v>0.249427613</v>
      </c>
      <c r="AT217" s="9" t="n">
        <v>0.246356685</v>
      </c>
      <c r="AU217" s="17" t="n">
        <v>0.23037491</v>
      </c>
      <c r="AW217" s="9">
        <f>AQ217</f>
        <v/>
      </c>
      <c r="AY217" s="9">
        <f>AR217*F217</f>
        <v/>
      </c>
      <c r="AZ217" s="9">
        <f>AS217*H217</f>
        <v/>
      </c>
      <c r="BA217" s="9">
        <f>AT217*G217</f>
        <v/>
      </c>
      <c r="BB217" s="9">
        <f>L217</f>
        <v/>
      </c>
      <c r="BC217" s="9">
        <f>K217</f>
        <v/>
      </c>
      <c r="BE217" s="1">
        <f>AW217-SUM(AY217:BC217)</f>
        <v/>
      </c>
    </row>
    <row r="218">
      <c r="B218" s="12" t="inlineStr">
        <is>
          <t>MIDAT_FT_High_Jetfuel_CCS_84_Agri</t>
        </is>
      </c>
      <c r="C218" s="20" t="inlineStr">
        <is>
          <t>Biomass_Agri</t>
        </is>
      </c>
      <c r="D218" s="20" t="n">
        <v>0.2345</v>
      </c>
      <c r="E218" s="20" t="n">
        <v>0</v>
      </c>
      <c r="F218" s="20" t="n">
        <v>0.3936</v>
      </c>
      <c r="G218" s="20" t="n">
        <v>1.7572</v>
      </c>
      <c r="H218" s="20" t="n">
        <v>0</v>
      </c>
      <c r="I218" s="21">
        <f>F218+G218+H218</f>
        <v/>
      </c>
      <c r="J218" s="20" t="n">
        <v>1.708</v>
      </c>
      <c r="K218" s="20" t="n">
        <v>0.9890094957004912</v>
      </c>
      <c r="L218" s="20" t="n">
        <v>0.1900671563029556</v>
      </c>
      <c r="M218" s="20" t="n">
        <v>784258.72</v>
      </c>
      <c r="N218" s="20" t="n">
        <v>351016.96</v>
      </c>
      <c r="O218" s="20" t="n">
        <v>50.288</v>
      </c>
      <c r="Q218" s="19" t="n">
        <v>109.479795</v>
      </c>
      <c r="R218" s="19" t="n">
        <v>-7.354813</v>
      </c>
      <c r="S218" s="19" t="n">
        <v>170</v>
      </c>
      <c r="T218" s="19" t="n">
        <v>138.356765</v>
      </c>
      <c r="U218" s="19" t="n">
        <v>156.777934</v>
      </c>
      <c r="V218" s="19" t="n">
        <v>119.345797</v>
      </c>
      <c r="W218" s="19" t="n">
        <v>26.773822</v>
      </c>
      <c r="Y218">
        <f>B218</f>
        <v/>
      </c>
      <c r="Z218">
        <f>C218</f>
        <v/>
      </c>
      <c r="AA218" s="18">
        <f>SUM(AD218:AI218)+AK218+AL218</f>
        <v/>
      </c>
      <c r="AB218" s="18">
        <f>SUM(AD218:AI218)+AN218+AO218</f>
        <v/>
      </c>
      <c r="AC218" s="5">
        <f>AA218-AB218</f>
        <v/>
      </c>
      <c r="AD218" s="1">
        <f>D218/I218*W218*-1</f>
        <v/>
      </c>
      <c r="AE218" s="1">
        <f>E218/I218*W218</f>
        <v/>
      </c>
      <c r="AF218" s="1">
        <f t="array" ref="AF218">_xlfn.IFS(C218="Biomass_Corn", 1/I218*S218, C218="Biomass_Agri", 1/I218*V218, C218="Biomass_Wood", 1/I218*U218, C218="Biomass_Herb", 1/I218*T218)</f>
        <v/>
      </c>
      <c r="AG218" s="1">
        <f>M218/I218/(0.9*8760)</f>
        <v/>
      </c>
      <c r="AH218" s="1">
        <f>N218/I218/(0.9*8760)</f>
        <v/>
      </c>
      <c r="AI218" s="1">
        <f>O218/I218</f>
        <v/>
      </c>
      <c r="AJ218" s="1">
        <f>(AY218+AZ218+BA218+BB218+BC218-AW218)/I218</f>
        <v/>
      </c>
      <c r="AK218" s="1">
        <f>(Q218+R218)*-1*K218/I218</f>
        <v/>
      </c>
      <c r="AL218">
        <f>AJ218*Q218</f>
        <v/>
      </c>
      <c r="AM218" s="1">
        <f>(SUM(AY218:BB218)-AW218)/I218</f>
        <v/>
      </c>
      <c r="AN218" s="1">
        <f>K218/I218*-1*R218</f>
        <v/>
      </c>
      <c r="AO218">
        <f>AM218*Q218</f>
        <v/>
      </c>
      <c r="AQ218" s="17">
        <f>J218</f>
        <v/>
      </c>
      <c r="AR218" s="8" t="n">
        <v>0.243968185</v>
      </c>
      <c r="AS218" s="8" t="n">
        <v>0.249427613</v>
      </c>
      <c r="AT218" s="9" t="n">
        <v>0.246356685</v>
      </c>
      <c r="AU218" s="17" t="n">
        <v>0.23037491</v>
      </c>
      <c r="AW218" s="9">
        <f>AQ218</f>
        <v/>
      </c>
      <c r="AY218" s="9">
        <f>AR218*F218</f>
        <v/>
      </c>
      <c r="AZ218" s="9">
        <f>AS218*H218</f>
        <v/>
      </c>
      <c r="BA218" s="9">
        <f>AT218*G218</f>
        <v/>
      </c>
      <c r="BB218" s="9">
        <f>L218</f>
        <v/>
      </c>
      <c r="BC218" s="9">
        <f>K218</f>
        <v/>
      </c>
      <c r="BE218" s="1">
        <f>AW218-SUM(AY218:BC218)</f>
        <v/>
      </c>
    </row>
    <row r="219">
      <c r="B219" s="12" t="inlineStr">
        <is>
          <t>NE_FT_High_Jetfuel_CCS_84_Agri</t>
        </is>
      </c>
      <c r="C219" s="20" t="inlineStr">
        <is>
          <t>Biomass_Agri</t>
        </is>
      </c>
      <c r="D219" s="20" t="n">
        <v>0.2372</v>
      </c>
      <c r="E219" s="20" t="n">
        <v>0</v>
      </c>
      <c r="F219" s="20" t="n">
        <v>0.3981</v>
      </c>
      <c r="G219" s="20" t="n">
        <v>1.7776</v>
      </c>
      <c r="H219" s="20" t="n">
        <v>0</v>
      </c>
      <c r="I219" s="21">
        <f>F219+G219+H219</f>
        <v/>
      </c>
      <c r="J219" s="20" t="n">
        <v>1.715</v>
      </c>
      <c r="K219" s="20" t="n">
        <v>0.9897461315303584</v>
      </c>
      <c r="L219" s="20" t="n">
        <v>0.1902087224638695</v>
      </c>
      <c r="M219" s="20" t="n">
        <v>784258.72</v>
      </c>
      <c r="N219" s="20" t="n">
        <v>351016.96</v>
      </c>
      <c r="O219" s="20" t="n">
        <v>50.288</v>
      </c>
      <c r="Q219" s="19" t="n">
        <v>109.479795</v>
      </c>
      <c r="R219" s="19" t="n">
        <v>-7.354813</v>
      </c>
      <c r="S219" s="19" t="n">
        <v>170</v>
      </c>
      <c r="T219" s="19" t="n">
        <v>138.356765</v>
      </c>
      <c r="U219" s="19" t="n">
        <v>156.777934</v>
      </c>
      <c r="V219" s="19" t="n">
        <v>119.345797</v>
      </c>
      <c r="W219" s="19" t="n">
        <v>26.773822</v>
      </c>
      <c r="Y219">
        <f>B219</f>
        <v/>
      </c>
      <c r="Z219">
        <f>C219</f>
        <v/>
      </c>
      <c r="AA219" s="18">
        <f>SUM(AD219:AI219)+AK219+AL219</f>
        <v/>
      </c>
      <c r="AB219" s="18">
        <f>SUM(AD219:AI219)+AN219+AO219</f>
        <v/>
      </c>
      <c r="AC219" s="5">
        <f>AA219-AB219</f>
        <v/>
      </c>
      <c r="AD219" s="1">
        <f>D219/I219*W219*-1</f>
        <v/>
      </c>
      <c r="AE219" s="1">
        <f>E219/I219*W219</f>
        <v/>
      </c>
      <c r="AF219" s="1">
        <f t="array" ref="AF219">_xlfn.IFS(C219="Biomass_Corn", 1/I219*S219, C219="Biomass_Agri", 1/I219*V219, C219="Biomass_Wood", 1/I219*U219, C219="Biomass_Herb", 1/I219*T219)</f>
        <v/>
      </c>
      <c r="AG219" s="1">
        <f>M219/I219/(0.9*8760)</f>
        <v/>
      </c>
      <c r="AH219" s="1">
        <f>N219/I219/(0.9*8760)</f>
        <v/>
      </c>
      <c r="AI219" s="1">
        <f>O219/I219</f>
        <v/>
      </c>
      <c r="AJ219" s="1">
        <f>(AY219+AZ219+BA219+BB219+BC219-AW219)/I219</f>
        <v/>
      </c>
      <c r="AK219" s="1">
        <f>(Q219+R219)*-1*K219/I219</f>
        <v/>
      </c>
      <c r="AL219">
        <f>AJ219*Q219</f>
        <v/>
      </c>
      <c r="AM219" s="1">
        <f>(SUM(AY219:BB219)-AW219)/I219</f>
        <v/>
      </c>
      <c r="AN219" s="1">
        <f>K219/I219*-1*R219</f>
        <v/>
      </c>
      <c r="AO219">
        <f>AM219*Q219</f>
        <v/>
      </c>
      <c r="AQ219" s="17">
        <f>J219</f>
        <v/>
      </c>
      <c r="AR219" s="8" t="n">
        <v>0.243968185</v>
      </c>
      <c r="AS219" s="8" t="n">
        <v>0.249427613</v>
      </c>
      <c r="AT219" s="9" t="n">
        <v>0.246356685</v>
      </c>
      <c r="AU219" s="17" t="n">
        <v>0.23037491</v>
      </c>
      <c r="AW219" s="9">
        <f>AQ219</f>
        <v/>
      </c>
      <c r="AY219" s="9">
        <f>AR219*F219</f>
        <v/>
      </c>
      <c r="AZ219" s="9">
        <f>AS219*H219</f>
        <v/>
      </c>
      <c r="BA219" s="9">
        <f>AT219*G219</f>
        <v/>
      </c>
      <c r="BB219" s="9">
        <f>L219</f>
        <v/>
      </c>
      <c r="BC219" s="9">
        <f>K219</f>
        <v/>
      </c>
      <c r="BE219" s="1">
        <f>AW219-SUM(AY219:BC219)</f>
        <v/>
      </c>
    </row>
    <row r="220">
      <c r="B220" s="12" t="inlineStr">
        <is>
          <t>CA_FT_High_Jetfuel_CCS_99_Herb</t>
        </is>
      </c>
      <c r="C220" s="20" t="inlineStr">
        <is>
          <t>Biomass_Herb</t>
        </is>
      </c>
      <c r="D220" s="20" t="n">
        <v>0.5085</v>
      </c>
      <c r="E220" s="20" t="n">
        <v>0</v>
      </c>
      <c r="F220" s="20" t="n">
        <v>0.3151</v>
      </c>
      <c r="G220" s="20" t="n">
        <v>1.4047</v>
      </c>
      <c r="H220" s="20" t="n">
        <v>0</v>
      </c>
      <c r="I220" s="21">
        <f>F220+G220+H220</f>
        <v/>
      </c>
      <c r="J220" s="20" t="n">
        <v>1.721</v>
      </c>
      <c r="K220" s="20" t="n">
        <v>1.285468733313768</v>
      </c>
      <c r="L220" s="20" t="n">
        <v>0.0125911811704974</v>
      </c>
      <c r="M220" s="20" t="n">
        <v>818543.04</v>
      </c>
      <c r="N220" s="20" t="n">
        <v>359028.32</v>
      </c>
      <c r="O220" s="20" t="n">
        <v>52.08</v>
      </c>
      <c r="Q220" s="19" t="n">
        <v>109.479795</v>
      </c>
      <c r="R220" s="19" t="n">
        <v>-7.354813</v>
      </c>
      <c r="S220" s="19" t="n">
        <v>170</v>
      </c>
      <c r="T220" s="19" t="n">
        <v>138.356765</v>
      </c>
      <c r="U220" s="19" t="n">
        <v>156.777934</v>
      </c>
      <c r="V220" s="19" t="n">
        <v>119.345797</v>
      </c>
      <c r="W220" s="19" t="n">
        <v>26.773822</v>
      </c>
      <c r="Y220">
        <f>B220</f>
        <v/>
      </c>
      <c r="Z220">
        <f>C220</f>
        <v/>
      </c>
      <c r="AA220" s="18">
        <f>SUM(AD220:AI220)+AK220+AL220</f>
        <v/>
      </c>
      <c r="AB220" s="18">
        <f>SUM(AD220:AI220)+AN220+AO220</f>
        <v/>
      </c>
      <c r="AC220" s="5">
        <f>AA220-AB220</f>
        <v/>
      </c>
      <c r="AD220" s="1">
        <f>D220/I220*W220*-1</f>
        <v/>
      </c>
      <c r="AE220" s="1">
        <f>E220/I220*W220</f>
        <v/>
      </c>
      <c r="AF220" s="1">
        <f t="array" ref="AF220">_xlfn.IFS(C220="Biomass_Corn", 1/I220*S220, C220="Biomass_Agri", 1/I220*V220, C220="Biomass_Wood", 1/I220*U220, C220="Biomass_Herb", 1/I220*T220)</f>
        <v/>
      </c>
      <c r="AG220" s="1">
        <f>M220/I220/(0.9*8760)</f>
        <v/>
      </c>
      <c r="AH220" s="1">
        <f>N220/I220/(0.9*8760)</f>
        <v/>
      </c>
      <c r="AI220" s="1">
        <f>O220/I220</f>
        <v/>
      </c>
      <c r="AJ220" s="1">
        <f>(AY220+AZ220+BA220+BB220+BC220-AW220)/I220</f>
        <v/>
      </c>
      <c r="AK220" s="1">
        <f>(Q220+R220)*-1*K220/I220</f>
        <v/>
      </c>
      <c r="AL220">
        <f>AJ220*Q220</f>
        <v/>
      </c>
      <c r="AM220" s="1">
        <f>(SUM(AY220:BB220)-AW220)/I220</f>
        <v/>
      </c>
      <c r="AN220" s="1">
        <f>K220/I220*-1*R220</f>
        <v/>
      </c>
      <c r="AO220">
        <f>AM220*Q220</f>
        <v/>
      </c>
      <c r="AQ220" s="17">
        <f>J220</f>
        <v/>
      </c>
      <c r="AR220" s="8" t="n">
        <v>0.243968185</v>
      </c>
      <c r="AS220" s="8" t="n">
        <v>0.249427613</v>
      </c>
      <c r="AT220" s="9" t="n">
        <v>0.246356685</v>
      </c>
      <c r="AU220" s="17" t="n">
        <v>0.23037491</v>
      </c>
      <c r="AW220" s="9">
        <f>AQ220</f>
        <v/>
      </c>
      <c r="AY220" s="9">
        <f>AR220*F220</f>
        <v/>
      </c>
      <c r="AZ220" s="9">
        <f>AS220*H220</f>
        <v/>
      </c>
      <c r="BA220" s="9">
        <f>AT220*G220</f>
        <v/>
      </c>
      <c r="BB220" s="9">
        <f>L220</f>
        <v/>
      </c>
      <c r="BC220" s="9">
        <f>K220</f>
        <v/>
      </c>
      <c r="BE220" s="1">
        <f>AW220-SUM(AY220:BC220)</f>
        <v/>
      </c>
    </row>
    <row r="221">
      <c r="B221" s="12" t="inlineStr">
        <is>
          <t>NW_FT_High_Jetfuel_CCS_99_Herb</t>
        </is>
      </c>
      <c r="C221" s="20" t="inlineStr">
        <is>
          <t>Biomass_Herb</t>
        </is>
      </c>
      <c r="D221" s="20" t="n">
        <v>0.5096000000000001</v>
      </c>
      <c r="E221" s="20" t="n">
        <v>0</v>
      </c>
      <c r="F221" s="20" t="n">
        <v>0.3158</v>
      </c>
      <c r="G221" s="20" t="n">
        <v>1.4078</v>
      </c>
      <c r="H221" s="20" t="n">
        <v>0</v>
      </c>
      <c r="I221" s="21">
        <f>F221+G221+H221</f>
        <v/>
      </c>
      <c r="J221" s="20" t="n">
        <v>1.726</v>
      </c>
      <c r="K221" s="20" t="n">
        <v>1.289499205129741</v>
      </c>
      <c r="L221" s="20" t="n">
        <v>0.0126306596887393</v>
      </c>
      <c r="M221" s="20" t="n">
        <v>818543.04</v>
      </c>
      <c r="N221" s="20" t="n">
        <v>359028.32</v>
      </c>
      <c r="O221" s="20" t="n">
        <v>52.08</v>
      </c>
      <c r="Q221" s="19" t="n">
        <v>109.479795</v>
      </c>
      <c r="R221" s="19" t="n">
        <v>-7.354813</v>
      </c>
      <c r="S221" s="19" t="n">
        <v>170</v>
      </c>
      <c r="T221" s="19" t="n">
        <v>138.356765</v>
      </c>
      <c r="U221" s="19" t="n">
        <v>156.777934</v>
      </c>
      <c r="V221" s="19" t="n">
        <v>119.345797</v>
      </c>
      <c r="W221" s="19" t="n">
        <v>26.773822</v>
      </c>
      <c r="Y221">
        <f>B221</f>
        <v/>
      </c>
      <c r="Z221">
        <f>C221</f>
        <v/>
      </c>
      <c r="AA221" s="18">
        <f>SUM(AD221:AI221)+AK221+AL221</f>
        <v/>
      </c>
      <c r="AB221" s="18">
        <f>SUM(AD221:AI221)+AN221+AO221</f>
        <v/>
      </c>
      <c r="AC221" s="5">
        <f>AA221-AB221</f>
        <v/>
      </c>
      <c r="AD221" s="1">
        <f>D221/I221*W221*-1</f>
        <v/>
      </c>
      <c r="AE221" s="1">
        <f>E221/I221*W221</f>
        <v/>
      </c>
      <c r="AF221" s="1">
        <f t="array" ref="AF221">_xlfn.IFS(C221="Biomass_Corn", 1/I221*S221, C221="Biomass_Agri", 1/I221*V221, C221="Biomass_Wood", 1/I221*U221, C221="Biomass_Herb", 1/I221*T221)</f>
        <v/>
      </c>
      <c r="AG221" s="1">
        <f>M221/I221/(0.9*8760)</f>
        <v/>
      </c>
      <c r="AH221" s="1">
        <f>N221/I221/(0.9*8760)</f>
        <v/>
      </c>
      <c r="AI221" s="1">
        <f>O221/I221</f>
        <v/>
      </c>
      <c r="AJ221" s="1">
        <f>(AY221+AZ221+BA221+BB221+BC221-AW221)/I221</f>
        <v/>
      </c>
      <c r="AK221" s="1">
        <f>(Q221+R221)*-1*K221/I221</f>
        <v/>
      </c>
      <c r="AL221">
        <f>AJ221*Q221</f>
        <v/>
      </c>
      <c r="AM221" s="1">
        <f>(SUM(AY221:BB221)-AW221)/I221</f>
        <v/>
      </c>
      <c r="AN221" s="1">
        <f>K221/I221*-1*R221</f>
        <v/>
      </c>
      <c r="AO221">
        <f>AM221*Q221</f>
        <v/>
      </c>
      <c r="AQ221" s="17">
        <f>J221</f>
        <v/>
      </c>
      <c r="AR221" s="8" t="n">
        <v>0.243968185</v>
      </c>
      <c r="AS221" s="8" t="n">
        <v>0.249427613</v>
      </c>
      <c r="AT221" s="9" t="n">
        <v>0.246356685</v>
      </c>
      <c r="AU221" s="17" t="n">
        <v>0.23037491</v>
      </c>
      <c r="AW221" s="9">
        <f>AQ221</f>
        <v/>
      </c>
      <c r="AY221" s="9">
        <f>AR221*F221</f>
        <v/>
      </c>
      <c r="AZ221" s="9">
        <f>AS221*H221</f>
        <v/>
      </c>
      <c r="BA221" s="9">
        <f>AT221*G221</f>
        <v/>
      </c>
      <c r="BB221" s="9">
        <f>L221</f>
        <v/>
      </c>
      <c r="BC221" s="9">
        <f>K221</f>
        <v/>
      </c>
      <c r="BE221" s="1">
        <f>AW221-SUM(AY221:BC221)</f>
        <v/>
      </c>
    </row>
    <row r="222">
      <c r="B222" s="12" t="inlineStr">
        <is>
          <t>SW_FT_High_Jetfuel_CCS_99_Herb</t>
        </is>
      </c>
      <c r="C222" s="20" t="inlineStr">
        <is>
          <t>Biomass_Herb</t>
        </is>
      </c>
      <c r="D222" s="20" t="n">
        <v>0.5063</v>
      </c>
      <c r="E222" s="20" t="n">
        <v>0</v>
      </c>
      <c r="F222" s="20" t="n">
        <v>0.3137</v>
      </c>
      <c r="G222" s="20" t="n">
        <v>1.3986</v>
      </c>
      <c r="H222" s="20" t="n">
        <v>0</v>
      </c>
      <c r="I222" s="21">
        <f>F222+G222+H222</f>
        <v/>
      </c>
      <c r="J222" s="20" t="n">
        <v>1.71</v>
      </c>
      <c r="K222" s="20" t="n">
        <v>1.276417489681821</v>
      </c>
      <c r="L222" s="20" t="n">
        <v>0.0125025241340136</v>
      </c>
      <c r="M222" s="20" t="n">
        <v>818543.04</v>
      </c>
      <c r="N222" s="20" t="n">
        <v>359028.32</v>
      </c>
      <c r="O222" s="20" t="n">
        <v>52.08</v>
      </c>
      <c r="Q222" s="19" t="n">
        <v>109.479795</v>
      </c>
      <c r="R222" s="19" t="n">
        <v>-7.354813</v>
      </c>
      <c r="S222" s="19" t="n">
        <v>170</v>
      </c>
      <c r="T222" s="19" t="n">
        <v>138.356765</v>
      </c>
      <c r="U222" s="19" t="n">
        <v>156.777934</v>
      </c>
      <c r="V222" s="19" t="n">
        <v>119.345797</v>
      </c>
      <c r="W222" s="19" t="n">
        <v>26.773822</v>
      </c>
      <c r="Y222">
        <f>B222</f>
        <v/>
      </c>
      <c r="Z222">
        <f>C222</f>
        <v/>
      </c>
      <c r="AA222" s="18">
        <f>SUM(AD222:AI222)+AK222+AL222</f>
        <v/>
      </c>
      <c r="AB222" s="18">
        <f>SUM(AD222:AI222)+AN222+AO222</f>
        <v/>
      </c>
      <c r="AC222" s="5">
        <f>AA222-AB222</f>
        <v/>
      </c>
      <c r="AD222" s="1">
        <f>D222/I222*W222*-1</f>
        <v/>
      </c>
      <c r="AE222" s="1">
        <f>E222/I222*W222</f>
        <v/>
      </c>
      <c r="AF222" s="1">
        <f t="array" ref="AF222">_xlfn.IFS(C222="Biomass_Corn", 1/I222*S222, C222="Biomass_Agri", 1/I222*V222, C222="Biomass_Wood", 1/I222*U222, C222="Biomass_Herb", 1/I222*T222)</f>
        <v/>
      </c>
      <c r="AG222" s="1">
        <f>M222/I222/(0.9*8760)</f>
        <v/>
      </c>
      <c r="AH222" s="1">
        <f>N222/I222/(0.9*8760)</f>
        <v/>
      </c>
      <c r="AI222" s="1">
        <f>O222/I222</f>
        <v/>
      </c>
      <c r="AJ222" s="1">
        <f>(AY222+AZ222+BA222+BB222+BC222-AW222)/I222</f>
        <v/>
      </c>
      <c r="AK222" s="1">
        <f>(Q222+R222)*-1*K222/I222</f>
        <v/>
      </c>
      <c r="AL222">
        <f>AJ222*Q222</f>
        <v/>
      </c>
      <c r="AM222" s="1">
        <f>(SUM(AY222:BB222)-AW222)/I222</f>
        <v/>
      </c>
      <c r="AN222" s="1">
        <f>K222/I222*-1*R222</f>
        <v/>
      </c>
      <c r="AO222">
        <f>AM222*Q222</f>
        <v/>
      </c>
      <c r="AQ222" s="17">
        <f>J222</f>
        <v/>
      </c>
      <c r="AR222" s="8" t="n">
        <v>0.243968185</v>
      </c>
      <c r="AS222" s="8" t="n">
        <v>0.249427613</v>
      </c>
      <c r="AT222" s="9" t="n">
        <v>0.246356685</v>
      </c>
      <c r="AU222" s="17" t="n">
        <v>0.23037491</v>
      </c>
      <c r="AW222" s="9">
        <f>AQ222</f>
        <v/>
      </c>
      <c r="AY222" s="9">
        <f>AR222*F222</f>
        <v/>
      </c>
      <c r="AZ222" s="9">
        <f>AS222*H222</f>
        <v/>
      </c>
      <c r="BA222" s="9">
        <f>AT222*G222</f>
        <v/>
      </c>
      <c r="BB222" s="9">
        <f>L222</f>
        <v/>
      </c>
      <c r="BC222" s="9">
        <f>K222</f>
        <v/>
      </c>
      <c r="BE222" s="1">
        <f>AW222-SUM(AY222:BC222)</f>
        <v/>
      </c>
    </row>
    <row r="223">
      <c r="B223" s="12" t="inlineStr">
        <is>
          <t>TX_FT_High_Jetfuel_CCS_99_Herb</t>
        </is>
      </c>
      <c r="C223" s="20" t="inlineStr">
        <is>
          <t>Biomass_Herb</t>
        </is>
      </c>
      <c r="D223" s="20" t="n">
        <v>0.5074</v>
      </c>
      <c r="E223" s="20" t="n">
        <v>0</v>
      </c>
      <c r="F223" s="20" t="n">
        <v>0.3144</v>
      </c>
      <c r="G223" s="20" t="n">
        <v>1.4017</v>
      </c>
      <c r="H223" s="20" t="n">
        <v>0</v>
      </c>
      <c r="I223" s="21">
        <f>F223+G223+H223</f>
        <v/>
      </c>
      <c r="J223" s="20" t="n">
        <v>1.714</v>
      </c>
      <c r="K223" s="20" t="n">
        <v>1.279457661497795</v>
      </c>
      <c r="L223" s="20" t="n">
        <v>0.0125323026522555</v>
      </c>
      <c r="M223" s="20" t="n">
        <v>818543.04</v>
      </c>
      <c r="N223" s="20" t="n">
        <v>359028.32</v>
      </c>
      <c r="O223" s="20" t="n">
        <v>52.08</v>
      </c>
      <c r="Q223" s="19" t="n">
        <v>109.479795</v>
      </c>
      <c r="R223" s="19" t="n">
        <v>-7.354813</v>
      </c>
      <c r="S223" s="19" t="n">
        <v>170</v>
      </c>
      <c r="T223" s="19" t="n">
        <v>138.356765</v>
      </c>
      <c r="U223" s="19" t="n">
        <v>156.777934</v>
      </c>
      <c r="V223" s="19" t="n">
        <v>119.345797</v>
      </c>
      <c r="W223" s="19" t="n">
        <v>26.773822</v>
      </c>
      <c r="Y223">
        <f>B223</f>
        <v/>
      </c>
      <c r="Z223">
        <f>C223</f>
        <v/>
      </c>
      <c r="AA223" s="18">
        <f>SUM(AD223:AI223)+AK223+AL223</f>
        <v/>
      </c>
      <c r="AB223" s="18">
        <f>SUM(AD223:AI223)+AN223+AO223</f>
        <v/>
      </c>
      <c r="AC223" s="5">
        <f>AA223-AB223</f>
        <v/>
      </c>
      <c r="AD223" s="1">
        <f>D223/I223*W223*-1</f>
        <v/>
      </c>
      <c r="AE223" s="1">
        <f>E223/I223*W223</f>
        <v/>
      </c>
      <c r="AF223" s="1">
        <f t="array" ref="AF223">_xlfn.IFS(C223="Biomass_Corn", 1/I223*S223, C223="Biomass_Agri", 1/I223*V223, C223="Biomass_Wood", 1/I223*U223, C223="Biomass_Herb", 1/I223*T223)</f>
        <v/>
      </c>
      <c r="AG223" s="1">
        <f>M223/I223/(0.9*8760)</f>
        <v/>
      </c>
      <c r="AH223" s="1">
        <f>N223/I223/(0.9*8760)</f>
        <v/>
      </c>
      <c r="AI223" s="1">
        <f>O223/I223</f>
        <v/>
      </c>
      <c r="AJ223" s="1">
        <f>(AY223+AZ223+BA223+BB223+BC223-AW223)/I223</f>
        <v/>
      </c>
      <c r="AK223" s="1">
        <f>(Q223+R223)*-1*K223/I223</f>
        <v/>
      </c>
      <c r="AL223">
        <f>AJ223*Q223</f>
        <v/>
      </c>
      <c r="AM223" s="1">
        <f>(SUM(AY223:BB223)-AW223)/I223</f>
        <v/>
      </c>
      <c r="AN223" s="1">
        <f>K223/I223*-1*R223</f>
        <v/>
      </c>
      <c r="AO223">
        <f>AM223*Q223</f>
        <v/>
      </c>
      <c r="AQ223" s="17">
        <f>J223</f>
        <v/>
      </c>
      <c r="AR223" s="8" t="n">
        <v>0.243968185</v>
      </c>
      <c r="AS223" s="8" t="n">
        <v>0.249427613</v>
      </c>
      <c r="AT223" s="9" t="n">
        <v>0.246356685</v>
      </c>
      <c r="AU223" s="17" t="n">
        <v>0.23037491</v>
      </c>
      <c r="AW223" s="9">
        <f>AQ223</f>
        <v/>
      </c>
      <c r="AY223" s="9">
        <f>AR223*F223</f>
        <v/>
      </c>
      <c r="AZ223" s="9">
        <f>AS223*H223</f>
        <v/>
      </c>
      <c r="BA223" s="9">
        <f>AT223*G223</f>
        <v/>
      </c>
      <c r="BB223" s="9">
        <f>L223</f>
        <v/>
      </c>
      <c r="BC223" s="9">
        <f>K223</f>
        <v/>
      </c>
      <c r="BE223" s="1">
        <f>AW223-SUM(AY223:BC223)</f>
        <v/>
      </c>
    </row>
    <row r="224">
      <c r="B224" s="12" t="inlineStr">
        <is>
          <t>NCEN_FT_High_Jetfuel_CCS_99_Herb</t>
        </is>
      </c>
      <c r="C224" s="20" t="inlineStr">
        <is>
          <t>Biomass_Herb</t>
        </is>
      </c>
      <c r="D224" s="20" t="n">
        <v>0.5127</v>
      </c>
      <c r="E224" s="20" t="n">
        <v>0</v>
      </c>
      <c r="F224" s="20" t="n">
        <v>0.3177</v>
      </c>
      <c r="G224" s="20" t="n">
        <v>1.4163</v>
      </c>
      <c r="H224" s="20" t="n">
        <v>0</v>
      </c>
      <c r="I224" s="21">
        <f>F224+G224+H224</f>
        <v/>
      </c>
      <c r="J224" s="20" t="n">
        <v>1.74</v>
      </c>
      <c r="K224" s="20" t="n">
        <v>1.300830577623667</v>
      </c>
      <c r="L224" s="20" t="n">
        <v>0.0127416506139044</v>
      </c>
      <c r="M224" s="20" t="n">
        <v>818543.04</v>
      </c>
      <c r="N224" s="20" t="n">
        <v>359028.32</v>
      </c>
      <c r="O224" s="20" t="n">
        <v>52.08</v>
      </c>
      <c r="Q224" s="19" t="n">
        <v>109.479795</v>
      </c>
      <c r="R224" s="19" t="n">
        <v>-7.354813</v>
      </c>
      <c r="S224" s="19" t="n">
        <v>170</v>
      </c>
      <c r="T224" s="19" t="n">
        <v>138.356765</v>
      </c>
      <c r="U224" s="19" t="n">
        <v>156.777934</v>
      </c>
      <c r="V224" s="19" t="n">
        <v>119.345797</v>
      </c>
      <c r="W224" s="19" t="n">
        <v>26.773822</v>
      </c>
      <c r="Y224">
        <f>B224</f>
        <v/>
      </c>
      <c r="Z224">
        <f>C224</f>
        <v/>
      </c>
      <c r="AA224" s="18">
        <f>SUM(AD224:AI224)+AK224+AL224</f>
        <v/>
      </c>
      <c r="AB224" s="18">
        <f>SUM(AD224:AI224)+AN224+AO224</f>
        <v/>
      </c>
      <c r="AC224" s="5">
        <f>AA224-AB224</f>
        <v/>
      </c>
      <c r="AD224" s="1">
        <f>D224/I224*W224*-1</f>
        <v/>
      </c>
      <c r="AE224" s="1">
        <f>E224/I224*W224</f>
        <v/>
      </c>
      <c r="AF224" s="1">
        <f t="array" ref="AF224">_xlfn.IFS(C224="Biomass_Corn", 1/I224*S224, C224="Biomass_Agri", 1/I224*V224, C224="Biomass_Wood", 1/I224*U224, C224="Biomass_Herb", 1/I224*T224)</f>
        <v/>
      </c>
      <c r="AG224" s="1">
        <f>M224/I224/(0.9*8760)</f>
        <v/>
      </c>
      <c r="AH224" s="1">
        <f>N224/I224/(0.9*8760)</f>
        <v/>
      </c>
      <c r="AI224" s="1">
        <f>O224/I224</f>
        <v/>
      </c>
      <c r="AJ224" s="1">
        <f>(AY224+AZ224+BA224+BB224+BC224-AW224)/I224</f>
        <v/>
      </c>
      <c r="AK224" s="1">
        <f>(Q224+R224)*-1*K224/I224</f>
        <v/>
      </c>
      <c r="AL224">
        <f>AJ224*Q224</f>
        <v/>
      </c>
      <c r="AM224" s="1">
        <f>(SUM(AY224:BB224)-AW224)/I224</f>
        <v/>
      </c>
      <c r="AN224" s="1">
        <f>K224/I224*-1*R224</f>
        <v/>
      </c>
      <c r="AO224">
        <f>AM224*Q224</f>
        <v/>
      </c>
      <c r="AQ224" s="17">
        <f>J224</f>
        <v/>
      </c>
      <c r="AR224" s="8" t="n">
        <v>0.243968185</v>
      </c>
      <c r="AS224" s="8" t="n">
        <v>0.249427613</v>
      </c>
      <c r="AT224" s="9" t="n">
        <v>0.246356685</v>
      </c>
      <c r="AU224" s="17" t="n">
        <v>0.23037491</v>
      </c>
      <c r="AW224" s="9">
        <f>AQ224</f>
        <v/>
      </c>
      <c r="AY224" s="9">
        <f>AR224*F224</f>
        <v/>
      </c>
      <c r="AZ224" s="9">
        <f>AS224*H224</f>
        <v/>
      </c>
      <c r="BA224" s="9">
        <f>AT224*G224</f>
        <v/>
      </c>
      <c r="BB224" s="9">
        <f>L224</f>
        <v/>
      </c>
      <c r="BC224" s="9">
        <f>K224</f>
        <v/>
      </c>
      <c r="BE224" s="1">
        <f>AW224-SUM(AY224:BC224)</f>
        <v/>
      </c>
    </row>
    <row r="225">
      <c r="B225" s="12" t="inlineStr">
        <is>
          <t>CEN_FT_High_Jetfuel_CCS_99_Herb</t>
        </is>
      </c>
      <c r="C225" s="20" t="inlineStr">
        <is>
          <t>Biomass_Herb</t>
        </is>
      </c>
      <c r="D225" s="20" t="n">
        <v>0.5096000000000001</v>
      </c>
      <c r="E225" s="20" t="n">
        <v>0</v>
      </c>
      <c r="F225" s="20" t="n">
        <v>0.3158</v>
      </c>
      <c r="G225" s="20" t="n">
        <v>1.4078</v>
      </c>
      <c r="H225" s="20" t="n">
        <v>0</v>
      </c>
      <c r="I225" s="21">
        <f>F225+G225+H225</f>
        <v/>
      </c>
      <c r="J225" s="20" t="n">
        <v>1.723</v>
      </c>
      <c r="K225" s="20" t="n">
        <v>1.286528305129741</v>
      </c>
      <c r="L225" s="20" t="n">
        <v>0.0126015596887393</v>
      </c>
      <c r="M225" s="20" t="n">
        <v>818543.04</v>
      </c>
      <c r="N225" s="20" t="n">
        <v>359028.32</v>
      </c>
      <c r="O225" s="20" t="n">
        <v>52.08</v>
      </c>
      <c r="Q225" s="19" t="n">
        <v>109.479795</v>
      </c>
      <c r="R225" s="19" t="n">
        <v>-7.354813</v>
      </c>
      <c r="S225" s="19" t="n">
        <v>170</v>
      </c>
      <c r="T225" s="19" t="n">
        <v>138.356765</v>
      </c>
      <c r="U225" s="19" t="n">
        <v>156.777934</v>
      </c>
      <c r="V225" s="19" t="n">
        <v>119.345797</v>
      </c>
      <c r="W225" s="19" t="n">
        <v>26.773822</v>
      </c>
      <c r="Y225">
        <f>B225</f>
        <v/>
      </c>
      <c r="Z225">
        <f>C225</f>
        <v/>
      </c>
      <c r="AA225" s="18">
        <f>SUM(AD225:AI225)+AK225+AL225</f>
        <v/>
      </c>
      <c r="AB225" s="18">
        <f>SUM(AD225:AI225)+AN225+AO225</f>
        <v/>
      </c>
      <c r="AC225" s="5">
        <f>AA225-AB225</f>
        <v/>
      </c>
      <c r="AD225" s="1">
        <f>D225/I225*W225*-1</f>
        <v/>
      </c>
      <c r="AE225" s="1">
        <f>E225/I225*W225</f>
        <v/>
      </c>
      <c r="AF225" s="1">
        <f t="array" ref="AF225">_xlfn.IFS(C225="Biomass_Corn", 1/I225*S225, C225="Biomass_Agri", 1/I225*V225, C225="Biomass_Wood", 1/I225*U225, C225="Biomass_Herb", 1/I225*T225)</f>
        <v/>
      </c>
      <c r="AG225" s="1">
        <f>M225/I225/(0.9*8760)</f>
        <v/>
      </c>
      <c r="AH225" s="1">
        <f>N225/I225/(0.9*8760)</f>
        <v/>
      </c>
      <c r="AI225" s="1">
        <f>O225/I225</f>
        <v/>
      </c>
      <c r="AJ225" s="1">
        <f>(AY225+AZ225+BA225+BB225+BC225-AW225)/I225</f>
        <v/>
      </c>
      <c r="AK225" s="1">
        <f>(Q225+R225)*-1*K225/I225</f>
        <v/>
      </c>
      <c r="AL225">
        <f>AJ225*Q225</f>
        <v/>
      </c>
      <c r="AM225" s="1">
        <f>(SUM(AY225:BB225)-AW225)/I225</f>
        <v/>
      </c>
      <c r="AN225" s="1">
        <f>K225/I225*-1*R225</f>
        <v/>
      </c>
      <c r="AO225">
        <f>AM225*Q225</f>
        <v/>
      </c>
      <c r="AQ225" s="17">
        <f>J225</f>
        <v/>
      </c>
      <c r="AR225" s="8" t="n">
        <v>0.243968185</v>
      </c>
      <c r="AS225" s="8" t="n">
        <v>0.249427613</v>
      </c>
      <c r="AT225" s="9" t="n">
        <v>0.246356685</v>
      </c>
      <c r="AU225" s="17" t="n">
        <v>0.23037491</v>
      </c>
      <c r="AW225" s="9">
        <f>AQ225</f>
        <v/>
      </c>
      <c r="AY225" s="9">
        <f>AR225*F225</f>
        <v/>
      </c>
      <c r="AZ225" s="9">
        <f>AS225*H225</f>
        <v/>
      </c>
      <c r="BA225" s="9">
        <f>AT225*G225</f>
        <v/>
      </c>
      <c r="BB225" s="9">
        <f>L225</f>
        <v/>
      </c>
      <c r="BC225" s="9">
        <f>K225</f>
        <v/>
      </c>
      <c r="BE225" s="1">
        <f>AW225-SUM(AY225:BC225)</f>
        <v/>
      </c>
    </row>
    <row r="226">
      <c r="B226" s="12" t="inlineStr">
        <is>
          <t>SE_FT_High_Jetfuel_CCS_99_Herb</t>
        </is>
      </c>
      <c r="C226" s="20" t="inlineStr">
        <is>
          <t>Biomass_Herb</t>
        </is>
      </c>
      <c r="D226" s="20" t="n">
        <v>0.5088</v>
      </c>
      <c r="E226" s="20" t="n">
        <v>0</v>
      </c>
      <c r="F226" s="20" t="n">
        <v>0.3153</v>
      </c>
      <c r="G226" s="20" t="n">
        <v>1.4055</v>
      </c>
      <c r="H226" s="20" t="n">
        <v>0</v>
      </c>
      <c r="I226" s="21">
        <f>F226+G226+H226</f>
        <v/>
      </c>
      <c r="J226" s="20" t="n">
        <v>1.717</v>
      </c>
      <c r="K226" s="20" t="n">
        <v>1.281277276267761</v>
      </c>
      <c r="L226" s="20" t="n">
        <v>0.0125501258000578</v>
      </c>
      <c r="M226" s="20" t="n">
        <v>818543.04</v>
      </c>
      <c r="N226" s="20" t="n">
        <v>359028.32</v>
      </c>
      <c r="O226" s="20" t="n">
        <v>52.08</v>
      </c>
      <c r="Q226" s="19" t="n">
        <v>109.479795</v>
      </c>
      <c r="R226" s="19" t="n">
        <v>-7.354813</v>
      </c>
      <c r="S226" s="19" t="n">
        <v>170</v>
      </c>
      <c r="T226" s="19" t="n">
        <v>138.356765</v>
      </c>
      <c r="U226" s="19" t="n">
        <v>156.777934</v>
      </c>
      <c r="V226" s="19" t="n">
        <v>119.345797</v>
      </c>
      <c r="W226" s="19" t="n">
        <v>26.773822</v>
      </c>
      <c r="Y226">
        <f>B226</f>
        <v/>
      </c>
      <c r="Z226">
        <f>C226</f>
        <v/>
      </c>
      <c r="AA226" s="18">
        <f>SUM(AD226:AI226)+AK226+AL226</f>
        <v/>
      </c>
      <c r="AB226" s="18">
        <f>SUM(AD226:AI226)+AN226+AO226</f>
        <v/>
      </c>
      <c r="AC226" s="5">
        <f>AA226-AB226</f>
        <v/>
      </c>
      <c r="AD226" s="1">
        <f>D226/I226*W226*-1</f>
        <v/>
      </c>
      <c r="AE226" s="1">
        <f>E226/I226*W226</f>
        <v/>
      </c>
      <c r="AF226" s="1">
        <f t="array" ref="AF226">_xlfn.IFS(C226="Biomass_Corn", 1/I226*S226, C226="Biomass_Agri", 1/I226*V226, C226="Biomass_Wood", 1/I226*U226, C226="Biomass_Herb", 1/I226*T226)</f>
        <v/>
      </c>
      <c r="AG226" s="1">
        <f>M226/I226/(0.9*8760)</f>
        <v/>
      </c>
      <c r="AH226" s="1">
        <f>N226/I226/(0.9*8760)</f>
        <v/>
      </c>
      <c r="AI226" s="1">
        <f>O226/I226</f>
        <v/>
      </c>
      <c r="AJ226" s="1">
        <f>(AY226+AZ226+BA226+BB226+BC226-AW226)/I226</f>
        <v/>
      </c>
      <c r="AK226" s="1">
        <f>(Q226+R226)*-1*K226/I226</f>
        <v/>
      </c>
      <c r="AL226">
        <f>AJ226*Q226</f>
        <v/>
      </c>
      <c r="AM226" s="1">
        <f>(SUM(AY226:BB226)-AW226)/I226</f>
        <v/>
      </c>
      <c r="AN226" s="1">
        <f>K226/I226*-1*R226</f>
        <v/>
      </c>
      <c r="AO226">
        <f>AM226*Q226</f>
        <v/>
      </c>
      <c r="AQ226" s="17">
        <f>J226</f>
        <v/>
      </c>
      <c r="AR226" s="8" t="n">
        <v>0.243968185</v>
      </c>
      <c r="AS226" s="8" t="n">
        <v>0.249427613</v>
      </c>
      <c r="AT226" s="9" t="n">
        <v>0.246356685</v>
      </c>
      <c r="AU226" s="17" t="n">
        <v>0.23037491</v>
      </c>
      <c r="AW226" s="9">
        <f>AQ226</f>
        <v/>
      </c>
      <c r="AY226" s="9">
        <f>AR226*F226</f>
        <v/>
      </c>
      <c r="AZ226" s="9">
        <f>AS226*H226</f>
        <v/>
      </c>
      <c r="BA226" s="9">
        <f>AT226*G226</f>
        <v/>
      </c>
      <c r="BB226" s="9">
        <f>L226</f>
        <v/>
      </c>
      <c r="BC226" s="9">
        <f>K226</f>
        <v/>
      </c>
      <c r="BE226" s="1">
        <f>AW226-SUM(AY226:BC226)</f>
        <v/>
      </c>
    </row>
    <row r="227">
      <c r="B227" s="12" t="inlineStr">
        <is>
          <t>MIDAT_FT_High_Jetfuel_CCS_99_Herb</t>
        </is>
      </c>
      <c r="C227" s="20" t="inlineStr">
        <is>
          <t>Biomass_Herb</t>
        </is>
      </c>
      <c r="D227" s="20" t="n">
        <v>0.5116000000000001</v>
      </c>
      <c r="E227" s="20" t="n">
        <v>0</v>
      </c>
      <c r="F227" s="20" t="n">
        <v>0.317</v>
      </c>
      <c r="G227" s="20" t="n">
        <v>1.4132</v>
      </c>
      <c r="H227" s="20" t="n">
        <v>0</v>
      </c>
      <c r="I227" s="21">
        <f>F227+G227+H227</f>
        <v/>
      </c>
      <c r="J227" s="20" t="n">
        <v>1.736</v>
      </c>
      <c r="K227" s="20" t="n">
        <v>1.297790405807694</v>
      </c>
      <c r="L227" s="20" t="n">
        <v>0.0127118720956626</v>
      </c>
      <c r="M227" s="20" t="n">
        <v>818543.04</v>
      </c>
      <c r="N227" s="20" t="n">
        <v>359028.32</v>
      </c>
      <c r="O227" s="20" t="n">
        <v>52.08</v>
      </c>
      <c r="Q227" s="19" t="n">
        <v>109.479795</v>
      </c>
      <c r="R227" s="19" t="n">
        <v>-7.354813</v>
      </c>
      <c r="S227" s="19" t="n">
        <v>170</v>
      </c>
      <c r="T227" s="19" t="n">
        <v>138.356765</v>
      </c>
      <c r="U227" s="19" t="n">
        <v>156.777934</v>
      </c>
      <c r="V227" s="19" t="n">
        <v>119.345797</v>
      </c>
      <c r="W227" s="19" t="n">
        <v>26.773822</v>
      </c>
      <c r="Y227">
        <f>B227</f>
        <v/>
      </c>
      <c r="Z227">
        <f>C227</f>
        <v/>
      </c>
      <c r="AA227" s="18">
        <f>SUM(AD227:AI227)+AK227+AL227</f>
        <v/>
      </c>
      <c r="AB227" s="18">
        <f>SUM(AD227:AI227)+AN227+AO227</f>
        <v/>
      </c>
      <c r="AC227" s="5">
        <f>AA227-AB227</f>
        <v/>
      </c>
      <c r="AD227" s="1">
        <f>D227/I227*W227*-1</f>
        <v/>
      </c>
      <c r="AE227" s="1">
        <f>E227/I227*W227</f>
        <v/>
      </c>
      <c r="AF227" s="1">
        <f t="array" ref="AF227">_xlfn.IFS(C227="Biomass_Corn", 1/I227*S227, C227="Biomass_Agri", 1/I227*V227, C227="Biomass_Wood", 1/I227*U227, C227="Biomass_Herb", 1/I227*T227)</f>
        <v/>
      </c>
      <c r="AG227" s="1">
        <f>M227/I227/(0.9*8760)</f>
        <v/>
      </c>
      <c r="AH227" s="1">
        <f>N227/I227/(0.9*8760)</f>
        <v/>
      </c>
      <c r="AI227" s="1">
        <f>O227/I227</f>
        <v/>
      </c>
      <c r="AJ227" s="1">
        <f>(AY227+AZ227+BA227+BB227+BC227-AW227)/I227</f>
        <v/>
      </c>
      <c r="AK227" s="1">
        <f>(Q227+R227)*-1*K227/I227</f>
        <v/>
      </c>
      <c r="AL227">
        <f>AJ227*Q227</f>
        <v/>
      </c>
      <c r="AM227" s="1">
        <f>(SUM(AY227:BB227)-AW227)/I227</f>
        <v/>
      </c>
      <c r="AN227" s="1">
        <f>K227/I227*-1*R227</f>
        <v/>
      </c>
      <c r="AO227">
        <f>AM227*Q227</f>
        <v/>
      </c>
      <c r="AQ227" s="17">
        <f>J227</f>
        <v/>
      </c>
      <c r="AR227" s="8" t="n">
        <v>0.243968185</v>
      </c>
      <c r="AS227" s="8" t="n">
        <v>0.249427613</v>
      </c>
      <c r="AT227" s="9" t="n">
        <v>0.246356685</v>
      </c>
      <c r="AU227" s="17" t="n">
        <v>0.23037491</v>
      </c>
      <c r="AW227" s="9">
        <f>AQ227</f>
        <v/>
      </c>
      <c r="AY227" s="9">
        <f>AR227*F227</f>
        <v/>
      </c>
      <c r="AZ227" s="9">
        <f>AS227*H227</f>
        <v/>
      </c>
      <c r="BA227" s="9">
        <f>AT227*G227</f>
        <v/>
      </c>
      <c r="BB227" s="9">
        <f>L227</f>
        <v/>
      </c>
      <c r="BC227" s="9">
        <f>K227</f>
        <v/>
      </c>
      <c r="BE227" s="1">
        <f>AW227-SUM(AY227:BC227)</f>
        <v/>
      </c>
    </row>
    <row r="228">
      <c r="B228" s="12" t="inlineStr">
        <is>
          <t>NE_FT_High_Jetfuel_CCS_99_Herb</t>
        </is>
      </c>
      <c r="C228" s="20" t="inlineStr">
        <is>
          <t>Biomass_Herb</t>
        </is>
      </c>
      <c r="D228" s="20" t="n">
        <v>0.5135</v>
      </c>
      <c r="E228" s="20" t="n">
        <v>0</v>
      </c>
      <c r="F228" s="20" t="n">
        <v>0.3182</v>
      </c>
      <c r="G228" s="20" t="n">
        <v>1.4186</v>
      </c>
      <c r="H228" s="20" t="n">
        <v>0</v>
      </c>
      <c r="I228" s="21">
        <f>F228+G228+H228</f>
        <v/>
      </c>
      <c r="J228" s="20" t="n">
        <v>1.745</v>
      </c>
      <c r="K228" s="20" t="n">
        <v>1.305091306485647</v>
      </c>
      <c r="L228" s="20" t="n">
        <v>0.0127833845025859</v>
      </c>
      <c r="M228" s="20" t="n">
        <v>818543.04</v>
      </c>
      <c r="N228" s="20" t="n">
        <v>359028.32</v>
      </c>
      <c r="O228" s="20" t="n">
        <v>52.08</v>
      </c>
      <c r="Q228" s="19" t="n">
        <v>109.479795</v>
      </c>
      <c r="R228" s="19" t="n">
        <v>-7.354813</v>
      </c>
      <c r="S228" s="19" t="n">
        <v>170</v>
      </c>
      <c r="T228" s="19" t="n">
        <v>138.356765</v>
      </c>
      <c r="U228" s="19" t="n">
        <v>156.777934</v>
      </c>
      <c r="V228" s="19" t="n">
        <v>119.345797</v>
      </c>
      <c r="W228" s="19" t="n">
        <v>26.773822</v>
      </c>
      <c r="Y228">
        <f>B228</f>
        <v/>
      </c>
      <c r="Z228">
        <f>C228</f>
        <v/>
      </c>
      <c r="AA228" s="18">
        <f>SUM(AD228:AI228)+AK228+AL228</f>
        <v/>
      </c>
      <c r="AB228" s="18">
        <f>SUM(AD228:AI228)+AN228+AO228</f>
        <v/>
      </c>
      <c r="AC228" s="5">
        <f>AA228-AB228</f>
        <v/>
      </c>
      <c r="AD228" s="1">
        <f>D228/I228*W228*-1</f>
        <v/>
      </c>
      <c r="AE228" s="1">
        <f>E228/I228*W228</f>
        <v/>
      </c>
      <c r="AF228" s="1">
        <f t="array" ref="AF228">_xlfn.IFS(C228="Biomass_Corn", 1/I228*S228, C228="Biomass_Agri", 1/I228*V228, C228="Biomass_Wood", 1/I228*U228, C228="Biomass_Herb", 1/I228*T228)</f>
        <v/>
      </c>
      <c r="AG228" s="1">
        <f>M228/I228/(0.9*8760)</f>
        <v/>
      </c>
      <c r="AH228" s="1">
        <f>N228/I228/(0.9*8760)</f>
        <v/>
      </c>
      <c r="AI228" s="1">
        <f>O228/I228</f>
        <v/>
      </c>
      <c r="AJ228" s="1">
        <f>(AY228+AZ228+BA228+BB228+BC228-AW228)/I228</f>
        <v/>
      </c>
      <c r="AK228" s="1">
        <f>(Q228+R228)*-1*K228/I228</f>
        <v/>
      </c>
      <c r="AL228">
        <f>AJ228*Q228</f>
        <v/>
      </c>
      <c r="AM228" s="1">
        <f>(SUM(AY228:BB228)-AW228)/I228</f>
        <v/>
      </c>
      <c r="AN228" s="1">
        <f>K228/I228*-1*R228</f>
        <v/>
      </c>
      <c r="AO228">
        <f>AM228*Q228</f>
        <v/>
      </c>
      <c r="AQ228" s="17">
        <f>J228</f>
        <v/>
      </c>
      <c r="AR228" s="8" t="n">
        <v>0.243968185</v>
      </c>
      <c r="AS228" s="8" t="n">
        <v>0.249427613</v>
      </c>
      <c r="AT228" s="9" t="n">
        <v>0.246356685</v>
      </c>
      <c r="AU228" s="17" t="n">
        <v>0.23037491</v>
      </c>
      <c r="AW228" s="9">
        <f>AQ228</f>
        <v/>
      </c>
      <c r="AY228" s="9">
        <f>AR228*F228</f>
        <v/>
      </c>
      <c r="AZ228" s="9">
        <f>AS228*H228</f>
        <v/>
      </c>
      <c r="BA228" s="9">
        <f>AT228*G228</f>
        <v/>
      </c>
      <c r="BB228" s="9">
        <f>L228</f>
        <v/>
      </c>
      <c r="BC228" s="9">
        <f>K228</f>
        <v/>
      </c>
      <c r="BE228" s="1">
        <f>AW228-SUM(AY228:BC228)</f>
        <v/>
      </c>
    </row>
    <row r="229">
      <c r="B229" s="12" t="inlineStr">
        <is>
          <t>CA_FT_High_Jetfuel_CCS_99_Wood</t>
        </is>
      </c>
      <c r="C229" s="20" t="inlineStr">
        <is>
          <t>Biomass_Wood</t>
        </is>
      </c>
      <c r="D229" s="20" t="n">
        <v>0.5412</v>
      </c>
      <c r="E229" s="20" t="n">
        <v>0</v>
      </c>
      <c r="F229" s="20" t="n">
        <v>0.3354</v>
      </c>
      <c r="G229" s="20" t="n">
        <v>1.4951</v>
      </c>
      <c r="H229" s="20" t="n">
        <v>0</v>
      </c>
      <c r="I229" s="21">
        <f>F229+G229+H229</f>
        <v/>
      </c>
      <c r="J229" s="20" t="n">
        <v>1.843</v>
      </c>
      <c r="K229" s="20" t="n">
        <v>1.379345258930981</v>
      </c>
      <c r="L229" s="20" t="n">
        <v>0.0135107028290725</v>
      </c>
      <c r="M229" s="20" t="n">
        <v>818543.04</v>
      </c>
      <c r="N229" s="20" t="n">
        <v>359028.32</v>
      </c>
      <c r="O229" s="20" t="n">
        <v>52.08</v>
      </c>
      <c r="Q229" s="19" t="n">
        <v>109.479795</v>
      </c>
      <c r="R229" s="19" t="n">
        <v>-7.354813</v>
      </c>
      <c r="S229" s="19" t="n">
        <v>170</v>
      </c>
      <c r="T229" s="19" t="n">
        <v>138.356765</v>
      </c>
      <c r="U229" s="19" t="n">
        <v>156.777934</v>
      </c>
      <c r="V229" s="19" t="n">
        <v>119.345797</v>
      </c>
      <c r="W229" s="19" t="n">
        <v>26.773822</v>
      </c>
      <c r="Y229">
        <f>B229</f>
        <v/>
      </c>
      <c r="Z229">
        <f>C229</f>
        <v/>
      </c>
      <c r="AA229" s="18">
        <f>SUM(AD229:AI229)+AK229+AL229</f>
        <v/>
      </c>
      <c r="AB229" s="18">
        <f>SUM(AD229:AI229)+AN229+AO229</f>
        <v/>
      </c>
      <c r="AC229" s="5">
        <f>AA229-AB229</f>
        <v/>
      </c>
      <c r="AD229" s="1">
        <f>D229/I229*W229*-1</f>
        <v/>
      </c>
      <c r="AE229" s="1">
        <f>E229/I229*W229</f>
        <v/>
      </c>
      <c r="AF229" s="1">
        <f t="array" ref="AF229">_xlfn.IFS(C229="Biomass_Corn", 1/I229*S229, C229="Biomass_Agri", 1/I229*V229, C229="Biomass_Wood", 1/I229*U229, C229="Biomass_Herb", 1/I229*T229)</f>
        <v/>
      </c>
      <c r="AG229" s="1">
        <f>M229/I229/(0.9*8760)</f>
        <v/>
      </c>
      <c r="AH229" s="1">
        <f>N229/I229/(0.9*8760)</f>
        <v/>
      </c>
      <c r="AI229" s="1">
        <f>O229/I229</f>
        <v/>
      </c>
      <c r="AJ229" s="1">
        <f>(AY229+AZ229+BA229+BB229+BC229-AW229)/I229</f>
        <v/>
      </c>
      <c r="AK229" s="1">
        <f>(Q229+R229)*-1*K229/I229</f>
        <v/>
      </c>
      <c r="AL229">
        <f>AJ229*Q229</f>
        <v/>
      </c>
      <c r="AM229" s="1">
        <f>(SUM(AY229:BB229)-AW229)/I229</f>
        <v/>
      </c>
      <c r="AN229" s="1">
        <f>K229/I229*-1*R229</f>
        <v/>
      </c>
      <c r="AO229">
        <f>AM229*Q229</f>
        <v/>
      </c>
      <c r="AQ229" s="17">
        <f>J229</f>
        <v/>
      </c>
      <c r="AR229" s="8" t="n">
        <v>0.243968185</v>
      </c>
      <c r="AS229" s="8" t="n">
        <v>0.249427613</v>
      </c>
      <c r="AT229" s="9" t="n">
        <v>0.246356685</v>
      </c>
      <c r="AU229" s="17" t="n">
        <v>0.23037491</v>
      </c>
      <c r="AW229" s="9">
        <f>AQ229</f>
        <v/>
      </c>
      <c r="AY229" s="9">
        <f>AR229*F229</f>
        <v/>
      </c>
      <c r="AZ229" s="9">
        <f>AS229*H229</f>
        <v/>
      </c>
      <c r="BA229" s="9">
        <f>AT229*G229</f>
        <v/>
      </c>
      <c r="BB229" s="9">
        <f>L229</f>
        <v/>
      </c>
      <c r="BC229" s="9">
        <f>K229</f>
        <v/>
      </c>
      <c r="BE229" s="1">
        <f>AW229-SUM(AY229:BC229)</f>
        <v/>
      </c>
    </row>
    <row r="230">
      <c r="B230" s="12" t="inlineStr">
        <is>
          <t>NW_FT_High_Jetfuel_CCS_99_Wood</t>
        </is>
      </c>
      <c r="C230" s="20" t="inlineStr">
        <is>
          <t>Biomass_Wood</t>
        </is>
      </c>
      <c r="D230" s="20" t="n">
        <v>0.5401</v>
      </c>
      <c r="E230" s="20" t="n">
        <v>0</v>
      </c>
      <c r="F230" s="20" t="n">
        <v>0.3347</v>
      </c>
      <c r="G230" s="20" t="n">
        <v>1.492</v>
      </c>
      <c r="H230" s="20" t="n">
        <v>0</v>
      </c>
      <c r="I230" s="21">
        <f>F230+G230+H230</f>
        <v/>
      </c>
      <c r="J230" s="20" t="n">
        <v>1.818</v>
      </c>
      <c r="K230" s="20" t="n">
        <v>1.355508787115008</v>
      </c>
      <c r="L230" s="20" t="n">
        <v>0.0132772243108306</v>
      </c>
      <c r="M230" s="20" t="n">
        <v>818543.04</v>
      </c>
      <c r="N230" s="20" t="n">
        <v>359028.32</v>
      </c>
      <c r="O230" s="20" t="n">
        <v>52.08</v>
      </c>
      <c r="Q230" s="19" t="n">
        <v>109.479795</v>
      </c>
      <c r="R230" s="19" t="n">
        <v>-7.354813</v>
      </c>
      <c r="S230" s="19" t="n">
        <v>170</v>
      </c>
      <c r="T230" s="19" t="n">
        <v>138.356765</v>
      </c>
      <c r="U230" s="19" t="n">
        <v>156.777934</v>
      </c>
      <c r="V230" s="19" t="n">
        <v>119.345797</v>
      </c>
      <c r="W230" s="19" t="n">
        <v>26.773822</v>
      </c>
      <c r="Y230">
        <f>B230</f>
        <v/>
      </c>
      <c r="Z230">
        <f>C230</f>
        <v/>
      </c>
      <c r="AA230" s="18">
        <f>SUM(AD230:AI230)+AK230+AL230</f>
        <v/>
      </c>
      <c r="AB230" s="18">
        <f>SUM(AD230:AI230)+AN230+AO230</f>
        <v/>
      </c>
      <c r="AC230" s="5">
        <f>AA230-AB230</f>
        <v/>
      </c>
      <c r="AD230" s="1">
        <f>D230/I230*W230*-1</f>
        <v/>
      </c>
      <c r="AE230" s="1">
        <f>E230/I230*W230</f>
        <v/>
      </c>
      <c r="AF230" s="1">
        <f t="array" ref="AF230">_xlfn.IFS(C230="Biomass_Corn", 1/I230*S230, C230="Biomass_Agri", 1/I230*V230, C230="Biomass_Wood", 1/I230*U230, C230="Biomass_Herb", 1/I230*T230)</f>
        <v/>
      </c>
      <c r="AG230" s="1">
        <f>M230/I230/(0.9*8760)</f>
        <v/>
      </c>
      <c r="AH230" s="1">
        <f>N230/I230/(0.9*8760)</f>
        <v/>
      </c>
      <c r="AI230" s="1">
        <f>O230/I230</f>
        <v/>
      </c>
      <c r="AJ230" s="1">
        <f>(AY230+AZ230+BA230+BB230+BC230-AW230)/I230</f>
        <v/>
      </c>
      <c r="AK230" s="1">
        <f>(Q230+R230)*-1*K230/I230</f>
        <v/>
      </c>
      <c r="AL230">
        <f>AJ230*Q230</f>
        <v/>
      </c>
      <c r="AM230" s="1">
        <f>(SUM(AY230:BB230)-AW230)/I230</f>
        <v/>
      </c>
      <c r="AN230" s="1">
        <f>K230/I230*-1*R230</f>
        <v/>
      </c>
      <c r="AO230">
        <f>AM230*Q230</f>
        <v/>
      </c>
      <c r="AQ230" s="17">
        <f>J230</f>
        <v/>
      </c>
      <c r="AR230" s="8" t="n">
        <v>0.243968185</v>
      </c>
      <c r="AS230" s="8" t="n">
        <v>0.249427613</v>
      </c>
      <c r="AT230" s="9" t="n">
        <v>0.246356685</v>
      </c>
      <c r="AU230" s="17" t="n">
        <v>0.23037491</v>
      </c>
      <c r="AW230" s="9">
        <f>AQ230</f>
        <v/>
      </c>
      <c r="AY230" s="9">
        <f>AR230*F230</f>
        <v/>
      </c>
      <c r="AZ230" s="9">
        <f>AS230*H230</f>
        <v/>
      </c>
      <c r="BA230" s="9">
        <f>AT230*G230</f>
        <v/>
      </c>
      <c r="BB230" s="9">
        <f>L230</f>
        <v/>
      </c>
      <c r="BC230" s="9">
        <f>K230</f>
        <v/>
      </c>
      <c r="BE230" s="1">
        <f>AW230-SUM(AY230:BC230)</f>
        <v/>
      </c>
    </row>
    <row r="231">
      <c r="B231" s="12" t="inlineStr">
        <is>
          <t>SW_FT_High_Jetfuel_CCS_99_Wood</t>
        </is>
      </c>
      <c r="C231" s="20" t="inlineStr">
        <is>
          <t>Biomass_Wood</t>
        </is>
      </c>
      <c r="D231" s="20" t="n">
        <v>0.5351</v>
      </c>
      <c r="E231" s="20" t="n">
        <v>0</v>
      </c>
      <c r="F231" s="20" t="n">
        <v>0.3315</v>
      </c>
      <c r="G231" s="20" t="n">
        <v>1.4781</v>
      </c>
      <c r="H231" s="20" t="n">
        <v>0</v>
      </c>
      <c r="I231" s="21">
        <f>F231+G231+H231</f>
        <v/>
      </c>
      <c r="J231" s="20" t="n">
        <v>1.798</v>
      </c>
      <c r="K231" s="20" t="n">
        <v>1.339847413943129</v>
      </c>
      <c r="L231" s="20" t="n">
        <v>0.0131238209787422</v>
      </c>
      <c r="M231" s="20" t="n">
        <v>818543.04</v>
      </c>
      <c r="N231" s="20" t="n">
        <v>359028.32</v>
      </c>
      <c r="O231" s="20" t="n">
        <v>52.08</v>
      </c>
      <c r="Q231" s="19" t="n">
        <v>109.479795</v>
      </c>
      <c r="R231" s="19" t="n">
        <v>-7.354813</v>
      </c>
      <c r="S231" s="19" t="n">
        <v>170</v>
      </c>
      <c r="T231" s="19" t="n">
        <v>138.356765</v>
      </c>
      <c r="U231" s="19" t="n">
        <v>156.777934</v>
      </c>
      <c r="V231" s="19" t="n">
        <v>119.345797</v>
      </c>
      <c r="W231" s="19" t="n">
        <v>26.773822</v>
      </c>
      <c r="Y231">
        <f>B231</f>
        <v/>
      </c>
      <c r="Z231">
        <f>C231</f>
        <v/>
      </c>
      <c r="AA231" s="18">
        <f>SUM(AD231:AI231)+AK231+AL231</f>
        <v/>
      </c>
      <c r="AB231" s="18">
        <f>SUM(AD231:AI231)+AN231+AO231</f>
        <v/>
      </c>
      <c r="AC231" s="5">
        <f>AA231-AB231</f>
        <v/>
      </c>
      <c r="AD231" s="1">
        <f>D231/I231*W231*-1</f>
        <v/>
      </c>
      <c r="AE231" s="1">
        <f>E231/I231*W231</f>
        <v/>
      </c>
      <c r="AF231" s="1">
        <f t="array" ref="AF231">_xlfn.IFS(C231="Biomass_Corn", 1/I231*S231, C231="Biomass_Agri", 1/I231*V231, C231="Biomass_Wood", 1/I231*U231, C231="Biomass_Herb", 1/I231*T231)</f>
        <v/>
      </c>
      <c r="AG231" s="1">
        <f>M231/I231/(0.9*8760)</f>
        <v/>
      </c>
      <c r="AH231" s="1">
        <f>N231/I231/(0.9*8760)</f>
        <v/>
      </c>
      <c r="AI231" s="1">
        <f>O231/I231</f>
        <v/>
      </c>
      <c r="AJ231" s="1">
        <f>(AY231+AZ231+BA231+BB231+BC231-AW231)/I231</f>
        <v/>
      </c>
      <c r="AK231" s="1">
        <f>(Q231+R231)*-1*K231/I231</f>
        <v/>
      </c>
      <c r="AL231">
        <f>AJ231*Q231</f>
        <v/>
      </c>
      <c r="AM231" s="1">
        <f>(SUM(AY231:BB231)-AW231)/I231</f>
        <v/>
      </c>
      <c r="AN231" s="1">
        <f>K231/I231*-1*R231</f>
        <v/>
      </c>
      <c r="AO231">
        <f>AM231*Q231</f>
        <v/>
      </c>
      <c r="AQ231" s="17">
        <f>J231</f>
        <v/>
      </c>
      <c r="AR231" s="8" t="n">
        <v>0.243968185</v>
      </c>
      <c r="AS231" s="8" t="n">
        <v>0.249427613</v>
      </c>
      <c r="AT231" s="9" t="n">
        <v>0.246356685</v>
      </c>
      <c r="AU231" s="17" t="n">
        <v>0.23037491</v>
      </c>
      <c r="AW231" s="9">
        <f>AQ231</f>
        <v/>
      </c>
      <c r="AY231" s="9">
        <f>AR231*F231</f>
        <v/>
      </c>
      <c r="AZ231" s="9">
        <f>AS231*H231</f>
        <v/>
      </c>
      <c r="BA231" s="9">
        <f>AT231*G231</f>
        <v/>
      </c>
      <c r="BB231" s="9">
        <f>L231</f>
        <v/>
      </c>
      <c r="BC231" s="9">
        <f>K231</f>
        <v/>
      </c>
      <c r="BE231" s="1">
        <f>AW231-SUM(AY231:BC231)</f>
        <v/>
      </c>
    </row>
    <row r="232">
      <c r="B232" s="12" t="inlineStr">
        <is>
          <t>TX_FT_High_Jetfuel_CCS_99_Wood</t>
        </is>
      </c>
      <c r="C232" s="20" t="inlineStr">
        <is>
          <t>Biomass_Wood</t>
        </is>
      </c>
      <c r="D232" s="20" t="n">
        <v>0.5309</v>
      </c>
      <c r="E232" s="20" t="n">
        <v>0</v>
      </c>
      <c r="F232" s="20" t="n">
        <v>0.3289</v>
      </c>
      <c r="G232" s="20" t="n">
        <v>1.4665</v>
      </c>
      <c r="H232" s="20" t="n">
        <v>0</v>
      </c>
      <c r="I232" s="21">
        <f>F232+G232+H232</f>
        <v/>
      </c>
      <c r="J232" s="20" t="n">
        <v>1.821</v>
      </c>
      <c r="K232" s="20" t="n">
        <v>1.36607816963323</v>
      </c>
      <c r="L232" s="20" t="n">
        <v>0.0133807515353351</v>
      </c>
      <c r="M232" s="20" t="n">
        <v>818543.04</v>
      </c>
      <c r="N232" s="20" t="n">
        <v>359028.32</v>
      </c>
      <c r="O232" s="20" t="n">
        <v>52.08</v>
      </c>
      <c r="Q232" s="19" t="n">
        <v>109.479795</v>
      </c>
      <c r="R232" s="19" t="n">
        <v>-7.354813</v>
      </c>
      <c r="S232" s="19" t="n">
        <v>170</v>
      </c>
      <c r="T232" s="19" t="n">
        <v>138.356765</v>
      </c>
      <c r="U232" s="19" t="n">
        <v>156.777934</v>
      </c>
      <c r="V232" s="19" t="n">
        <v>119.345797</v>
      </c>
      <c r="W232" s="19" t="n">
        <v>26.773822</v>
      </c>
      <c r="Y232">
        <f>B232</f>
        <v/>
      </c>
      <c r="Z232">
        <f>C232</f>
        <v/>
      </c>
      <c r="AA232" s="18">
        <f>SUM(AD232:AI232)+AK232+AL232</f>
        <v/>
      </c>
      <c r="AB232" s="18">
        <f>SUM(AD232:AI232)+AN232+AO232</f>
        <v/>
      </c>
      <c r="AC232" s="5">
        <f>AA232-AB232</f>
        <v/>
      </c>
      <c r="AD232" s="1">
        <f>D232/I232*W232*-1</f>
        <v/>
      </c>
      <c r="AE232" s="1">
        <f>E232/I232*W232</f>
        <v/>
      </c>
      <c r="AF232" s="1">
        <f t="array" ref="AF232">_xlfn.IFS(C232="Biomass_Corn", 1/I232*S232, C232="Biomass_Agri", 1/I232*V232, C232="Biomass_Wood", 1/I232*U232, C232="Biomass_Herb", 1/I232*T232)</f>
        <v/>
      </c>
      <c r="AG232" s="1">
        <f>M232/I232/(0.9*8760)</f>
        <v/>
      </c>
      <c r="AH232" s="1">
        <f>N232/I232/(0.9*8760)</f>
        <v/>
      </c>
      <c r="AI232" s="1">
        <f>O232/I232</f>
        <v/>
      </c>
      <c r="AJ232" s="1">
        <f>(AY232+AZ232+BA232+BB232+BC232-AW232)/I232</f>
        <v/>
      </c>
      <c r="AK232" s="1">
        <f>(Q232+R232)*-1*K232/I232</f>
        <v/>
      </c>
      <c r="AL232">
        <f>AJ232*Q232</f>
        <v/>
      </c>
      <c r="AM232" s="1">
        <f>(SUM(AY232:BB232)-AW232)/I232</f>
        <v/>
      </c>
      <c r="AN232" s="1">
        <f>K232/I232*-1*R232</f>
        <v/>
      </c>
      <c r="AO232">
        <f>AM232*Q232</f>
        <v/>
      </c>
      <c r="AQ232" s="17">
        <f>J232</f>
        <v/>
      </c>
      <c r="AR232" s="8" t="n">
        <v>0.243968185</v>
      </c>
      <c r="AS232" s="8" t="n">
        <v>0.249427613</v>
      </c>
      <c r="AT232" s="9" t="n">
        <v>0.246356685</v>
      </c>
      <c r="AU232" s="17" t="n">
        <v>0.23037491</v>
      </c>
      <c r="AW232" s="9">
        <f>AQ232</f>
        <v/>
      </c>
      <c r="AY232" s="9">
        <f>AR232*F232</f>
        <v/>
      </c>
      <c r="AZ232" s="9">
        <f>AS232*H232</f>
        <v/>
      </c>
      <c r="BA232" s="9">
        <f>AT232*G232</f>
        <v/>
      </c>
      <c r="BB232" s="9">
        <f>L232</f>
        <v/>
      </c>
      <c r="BC232" s="9">
        <f>K232</f>
        <v/>
      </c>
      <c r="BE232" s="1">
        <f>AW232-SUM(AY232:BC232)</f>
        <v/>
      </c>
    </row>
    <row r="233">
      <c r="B233" s="12" t="inlineStr">
        <is>
          <t>NCEN_FT_High_Jetfuel_CCS_99_Wood</t>
        </is>
      </c>
      <c r="C233" s="20" t="inlineStr">
        <is>
          <t>Biomass_Wood</t>
        </is>
      </c>
      <c r="D233" s="20" t="n">
        <v>0.5328000000000001</v>
      </c>
      <c r="E233" s="20" t="n">
        <v>0</v>
      </c>
      <c r="F233" s="20" t="n">
        <v>0.3302</v>
      </c>
      <c r="G233" s="20" t="n">
        <v>1.4719</v>
      </c>
      <c r="H233" s="20" t="n">
        <v>0</v>
      </c>
      <c r="I233" s="21">
        <f>F233+G233+H233</f>
        <v/>
      </c>
      <c r="J233" s="20" t="n">
        <v>1.802</v>
      </c>
      <c r="K233" s="20" t="n">
        <v>1.345650670311183</v>
      </c>
      <c r="L233" s="20" t="n">
        <v>0.0131806639422584</v>
      </c>
      <c r="M233" s="20" t="n">
        <v>818543.04</v>
      </c>
      <c r="N233" s="20" t="n">
        <v>359028.32</v>
      </c>
      <c r="O233" s="20" t="n">
        <v>52.08</v>
      </c>
      <c r="Q233" s="19" t="n">
        <v>109.479795</v>
      </c>
      <c r="R233" s="19" t="n">
        <v>-7.354813</v>
      </c>
      <c r="S233" s="19" t="n">
        <v>170</v>
      </c>
      <c r="T233" s="19" t="n">
        <v>138.356765</v>
      </c>
      <c r="U233" s="19" t="n">
        <v>156.777934</v>
      </c>
      <c r="V233" s="19" t="n">
        <v>119.345797</v>
      </c>
      <c r="W233" s="19" t="n">
        <v>26.773822</v>
      </c>
      <c r="Y233">
        <f>B233</f>
        <v/>
      </c>
      <c r="Z233">
        <f>C233</f>
        <v/>
      </c>
      <c r="AA233" s="18">
        <f>SUM(AD233:AI233)+AK233+AL233</f>
        <v/>
      </c>
      <c r="AB233" s="18">
        <f>SUM(AD233:AI233)+AN233+AO233</f>
        <v/>
      </c>
      <c r="AC233" s="5">
        <f>AA233-AB233</f>
        <v/>
      </c>
      <c r="AD233" s="1">
        <f>D233/I233*W233*-1</f>
        <v/>
      </c>
      <c r="AE233" s="1">
        <f>E233/I233*W233</f>
        <v/>
      </c>
      <c r="AF233" s="1">
        <f t="array" ref="AF233">_xlfn.IFS(C233="Biomass_Corn", 1/I233*S233, C233="Biomass_Agri", 1/I233*V233, C233="Biomass_Wood", 1/I233*U233, C233="Biomass_Herb", 1/I233*T233)</f>
        <v/>
      </c>
      <c r="AG233" s="1">
        <f>M233/I233/(0.9*8760)</f>
        <v/>
      </c>
      <c r="AH233" s="1">
        <f>N233/I233/(0.9*8760)</f>
        <v/>
      </c>
      <c r="AI233" s="1">
        <f>O233/I233</f>
        <v/>
      </c>
      <c r="AJ233" s="1">
        <f>(AY233+AZ233+BA233+BB233+BC233-AW233)/I233</f>
        <v/>
      </c>
      <c r="AK233" s="1">
        <f>(Q233+R233)*-1*K233/I233</f>
        <v/>
      </c>
      <c r="AL233">
        <f>AJ233*Q233</f>
        <v/>
      </c>
      <c r="AM233" s="1">
        <f>(SUM(AY233:BB233)-AW233)/I233</f>
        <v/>
      </c>
      <c r="AN233" s="1">
        <f>K233/I233*-1*R233</f>
        <v/>
      </c>
      <c r="AO233">
        <f>AM233*Q233</f>
        <v/>
      </c>
      <c r="AQ233" s="17">
        <f>J233</f>
        <v/>
      </c>
      <c r="AR233" s="8" t="n">
        <v>0.243968185</v>
      </c>
      <c r="AS233" s="8" t="n">
        <v>0.249427613</v>
      </c>
      <c r="AT233" s="9" t="n">
        <v>0.246356685</v>
      </c>
      <c r="AU233" s="17" t="n">
        <v>0.23037491</v>
      </c>
      <c r="AW233" s="9">
        <f>AQ233</f>
        <v/>
      </c>
      <c r="AY233" s="9">
        <f>AR233*F233</f>
        <v/>
      </c>
      <c r="AZ233" s="9">
        <f>AS233*H233</f>
        <v/>
      </c>
      <c r="BA233" s="9">
        <f>AT233*G233</f>
        <v/>
      </c>
      <c r="BB233" s="9">
        <f>L233</f>
        <v/>
      </c>
      <c r="BC233" s="9">
        <f>K233</f>
        <v/>
      </c>
      <c r="BE233" s="1">
        <f>AW233-SUM(AY233:BC233)</f>
        <v/>
      </c>
    </row>
    <row r="234">
      <c r="B234" s="12" t="inlineStr">
        <is>
          <t>CEN_FT_High_Jetfuel_CCS_99_Wood</t>
        </is>
      </c>
      <c r="C234" s="20" t="inlineStr">
        <is>
          <t>Biomass_Wood</t>
        </is>
      </c>
      <c r="D234" s="20" t="n">
        <v>0.5331</v>
      </c>
      <c r="E234" s="20" t="n">
        <v>0</v>
      </c>
      <c r="F234" s="20" t="n">
        <v>0.3303</v>
      </c>
      <c r="G234" s="20" t="n">
        <v>1.4727</v>
      </c>
      <c r="H234" s="20" t="n">
        <v>0</v>
      </c>
      <c r="I234" s="21">
        <f>F234+G234+H234</f>
        <v/>
      </c>
      <c r="J234" s="20" t="n">
        <v>1.802</v>
      </c>
      <c r="K234" s="20" t="n">
        <v>1.345420413265176</v>
      </c>
      <c r="L234" s="20" t="n">
        <v>0.0131784085718189</v>
      </c>
      <c r="M234" s="20" t="n">
        <v>818543.04</v>
      </c>
      <c r="N234" s="20" t="n">
        <v>359028.32</v>
      </c>
      <c r="O234" s="20" t="n">
        <v>52.08</v>
      </c>
      <c r="Q234" s="19" t="n">
        <v>109.479795</v>
      </c>
      <c r="R234" s="19" t="n">
        <v>-7.354813</v>
      </c>
      <c r="S234" s="19" t="n">
        <v>170</v>
      </c>
      <c r="T234" s="19" t="n">
        <v>138.356765</v>
      </c>
      <c r="U234" s="19" t="n">
        <v>156.777934</v>
      </c>
      <c r="V234" s="19" t="n">
        <v>119.345797</v>
      </c>
      <c r="W234" s="19" t="n">
        <v>26.773822</v>
      </c>
      <c r="Y234">
        <f>B234</f>
        <v/>
      </c>
      <c r="Z234">
        <f>C234</f>
        <v/>
      </c>
      <c r="AA234" s="18">
        <f>SUM(AD234:AI234)+AK234+AL234</f>
        <v/>
      </c>
      <c r="AB234" s="18">
        <f>SUM(AD234:AI234)+AN234+AO234</f>
        <v/>
      </c>
      <c r="AC234" s="5">
        <f>AA234-AB234</f>
        <v/>
      </c>
      <c r="AD234" s="1">
        <f>D234/I234*W234*-1</f>
        <v/>
      </c>
      <c r="AE234" s="1">
        <f>E234/I234*W234</f>
        <v/>
      </c>
      <c r="AF234" s="1">
        <f t="array" ref="AF234">_xlfn.IFS(C234="Biomass_Corn", 1/I234*S234, C234="Biomass_Agri", 1/I234*V234, C234="Biomass_Wood", 1/I234*U234, C234="Biomass_Herb", 1/I234*T234)</f>
        <v/>
      </c>
      <c r="AG234" s="1">
        <f>M234/I234/(0.9*8760)</f>
        <v/>
      </c>
      <c r="AH234" s="1">
        <f>N234/I234/(0.9*8760)</f>
        <v/>
      </c>
      <c r="AI234" s="1">
        <f>O234/I234</f>
        <v/>
      </c>
      <c r="AJ234" s="1">
        <f>(AY234+AZ234+BA234+BB234+BC234-AW234)/I234</f>
        <v/>
      </c>
      <c r="AK234" s="1">
        <f>(Q234+R234)*-1*K234/I234</f>
        <v/>
      </c>
      <c r="AL234">
        <f>AJ234*Q234</f>
        <v/>
      </c>
      <c r="AM234" s="1">
        <f>(SUM(AY234:BB234)-AW234)/I234</f>
        <v/>
      </c>
      <c r="AN234" s="1">
        <f>K234/I234*-1*R234</f>
        <v/>
      </c>
      <c r="AO234">
        <f>AM234*Q234</f>
        <v/>
      </c>
      <c r="AQ234" s="17">
        <f>J234</f>
        <v/>
      </c>
      <c r="AR234" s="8" t="n">
        <v>0.243968185</v>
      </c>
      <c r="AS234" s="8" t="n">
        <v>0.249427613</v>
      </c>
      <c r="AT234" s="9" t="n">
        <v>0.246356685</v>
      </c>
      <c r="AU234" s="17" t="n">
        <v>0.23037491</v>
      </c>
      <c r="AW234" s="9">
        <f>AQ234</f>
        <v/>
      </c>
      <c r="AY234" s="9">
        <f>AR234*F234</f>
        <v/>
      </c>
      <c r="AZ234" s="9">
        <f>AS234*H234</f>
        <v/>
      </c>
      <c r="BA234" s="9">
        <f>AT234*G234</f>
        <v/>
      </c>
      <c r="BB234" s="9">
        <f>L234</f>
        <v/>
      </c>
      <c r="BC234" s="9">
        <f>K234</f>
        <v/>
      </c>
      <c r="BE234" s="1">
        <f>AW234-SUM(AY234:BC234)</f>
        <v/>
      </c>
    </row>
    <row r="235">
      <c r="B235" s="12" t="inlineStr">
        <is>
          <t>SE_FT_High_Jetfuel_CCS_99_Wood</t>
        </is>
      </c>
      <c r="C235" s="20" t="inlineStr">
        <is>
          <t>Biomass_Wood</t>
        </is>
      </c>
      <c r="D235" s="20" t="n">
        <v>0.5351</v>
      </c>
      <c r="E235" s="20" t="n">
        <v>0</v>
      </c>
      <c r="F235" s="20" t="n">
        <v>0.3315</v>
      </c>
      <c r="G235" s="20" t="n">
        <v>1.4781</v>
      </c>
      <c r="H235" s="20" t="n">
        <v>0</v>
      </c>
      <c r="I235" s="21">
        <f>F235+G235+H235</f>
        <v/>
      </c>
      <c r="J235" s="20" t="n">
        <v>1.821</v>
      </c>
      <c r="K235" s="20" t="n">
        <v>1.362624313943129</v>
      </c>
      <c r="L235" s="20" t="n">
        <v>0.0133469209787422</v>
      </c>
      <c r="M235" s="20" t="n">
        <v>818543.04</v>
      </c>
      <c r="N235" s="20" t="n">
        <v>359028.32</v>
      </c>
      <c r="O235" s="20" t="n">
        <v>52.08</v>
      </c>
      <c r="Q235" s="19" t="n">
        <v>109.479795</v>
      </c>
      <c r="R235" s="19" t="n">
        <v>-7.354813</v>
      </c>
      <c r="S235" s="19" t="n">
        <v>170</v>
      </c>
      <c r="T235" s="19" t="n">
        <v>138.356765</v>
      </c>
      <c r="U235" s="19" t="n">
        <v>156.777934</v>
      </c>
      <c r="V235" s="19" t="n">
        <v>119.345797</v>
      </c>
      <c r="W235" s="19" t="n">
        <v>26.773822</v>
      </c>
      <c r="Y235">
        <f>B235</f>
        <v/>
      </c>
      <c r="Z235">
        <f>C235</f>
        <v/>
      </c>
      <c r="AA235" s="18">
        <f>SUM(AD235:AI235)+AK235+AL235</f>
        <v/>
      </c>
      <c r="AB235" s="18">
        <f>SUM(AD235:AI235)+AN235+AO235</f>
        <v/>
      </c>
      <c r="AC235" s="5">
        <f>AA235-AB235</f>
        <v/>
      </c>
      <c r="AD235" s="1">
        <f>D235/I235*W235*-1</f>
        <v/>
      </c>
      <c r="AE235" s="1">
        <f>E235/I235*W235</f>
        <v/>
      </c>
      <c r="AF235" s="1">
        <f t="array" ref="AF235">_xlfn.IFS(C235="Biomass_Corn", 1/I235*S235, C235="Biomass_Agri", 1/I235*V235, C235="Biomass_Wood", 1/I235*U235, C235="Biomass_Herb", 1/I235*T235)</f>
        <v/>
      </c>
      <c r="AG235" s="1">
        <f>M235/I235/(0.9*8760)</f>
        <v/>
      </c>
      <c r="AH235" s="1">
        <f>N235/I235/(0.9*8760)</f>
        <v/>
      </c>
      <c r="AI235" s="1">
        <f>O235/I235</f>
        <v/>
      </c>
      <c r="AJ235" s="1">
        <f>(AY235+AZ235+BA235+BB235+BC235-AW235)/I235</f>
        <v/>
      </c>
      <c r="AK235" s="1">
        <f>(Q235+R235)*-1*K235/I235</f>
        <v/>
      </c>
      <c r="AL235">
        <f>AJ235*Q235</f>
        <v/>
      </c>
      <c r="AM235" s="1">
        <f>(SUM(AY235:BB235)-AW235)/I235</f>
        <v/>
      </c>
      <c r="AN235" s="1">
        <f>K235/I235*-1*R235</f>
        <v/>
      </c>
      <c r="AO235">
        <f>AM235*Q235</f>
        <v/>
      </c>
      <c r="AQ235" s="17">
        <f>J235</f>
        <v/>
      </c>
      <c r="AR235" s="8" t="n">
        <v>0.243968185</v>
      </c>
      <c r="AS235" s="8" t="n">
        <v>0.249427613</v>
      </c>
      <c r="AT235" s="9" t="n">
        <v>0.246356685</v>
      </c>
      <c r="AU235" s="17" t="n">
        <v>0.23037491</v>
      </c>
      <c r="AW235" s="9">
        <f>AQ235</f>
        <v/>
      </c>
      <c r="AY235" s="9">
        <f>AR235*F235</f>
        <v/>
      </c>
      <c r="AZ235" s="9">
        <f>AS235*H235</f>
        <v/>
      </c>
      <c r="BA235" s="9">
        <f>AT235*G235</f>
        <v/>
      </c>
      <c r="BB235" s="9">
        <f>L235</f>
        <v/>
      </c>
      <c r="BC235" s="9">
        <f>K235</f>
        <v/>
      </c>
      <c r="BE235" s="1">
        <f>AW235-SUM(AY235:BC235)</f>
        <v/>
      </c>
    </row>
    <row r="236">
      <c r="B236" s="12" t="inlineStr">
        <is>
          <t>MIDAT_FT_High_Jetfuel_CCS_99_Wood</t>
        </is>
      </c>
      <c r="C236" s="20" t="inlineStr">
        <is>
          <t>Biomass_Wood</t>
        </is>
      </c>
      <c r="D236" s="20" t="n">
        <v>0.5314</v>
      </c>
      <c r="E236" s="20" t="n">
        <v>0</v>
      </c>
      <c r="F236" s="20" t="n">
        <v>0.3293</v>
      </c>
      <c r="G236" s="20" t="n">
        <v>1.4681</v>
      </c>
      <c r="H236" s="20" t="n">
        <v>0</v>
      </c>
      <c r="I236" s="21">
        <f>F236+G236+H236</f>
        <v/>
      </c>
      <c r="J236" s="20" t="n">
        <v>1.806</v>
      </c>
      <c r="K236" s="20" t="n">
        <v>1.350763155541217</v>
      </c>
      <c r="L236" s="20" t="n">
        <v>0.013230740794456</v>
      </c>
      <c r="M236" s="20" t="n">
        <v>818543.04</v>
      </c>
      <c r="N236" s="20" t="n">
        <v>359028.32</v>
      </c>
      <c r="O236" s="20" t="n">
        <v>52.08</v>
      </c>
      <c r="Q236" s="19" t="n">
        <v>109.479795</v>
      </c>
      <c r="R236" s="19" t="n">
        <v>-7.354813</v>
      </c>
      <c r="S236" s="19" t="n">
        <v>170</v>
      </c>
      <c r="T236" s="19" t="n">
        <v>138.356765</v>
      </c>
      <c r="U236" s="19" t="n">
        <v>156.777934</v>
      </c>
      <c r="V236" s="19" t="n">
        <v>119.345797</v>
      </c>
      <c r="W236" s="19" t="n">
        <v>26.773822</v>
      </c>
      <c r="Y236">
        <f>B236</f>
        <v/>
      </c>
      <c r="Z236">
        <f>C236</f>
        <v/>
      </c>
      <c r="AA236" s="18">
        <f>SUM(AD236:AI236)+AK236+AL236</f>
        <v/>
      </c>
      <c r="AB236" s="18">
        <f>SUM(AD236:AI236)+AN236+AO236</f>
        <v/>
      </c>
      <c r="AC236" s="5">
        <f>AA236-AB236</f>
        <v/>
      </c>
      <c r="AD236" s="1">
        <f>D236/I236*W236*-1</f>
        <v/>
      </c>
      <c r="AE236" s="1">
        <f>E236/I236*W236</f>
        <v/>
      </c>
      <c r="AF236" s="1">
        <f t="array" ref="AF236">_xlfn.IFS(C236="Biomass_Corn", 1/I236*S236, C236="Biomass_Agri", 1/I236*V236, C236="Biomass_Wood", 1/I236*U236, C236="Biomass_Herb", 1/I236*T236)</f>
        <v/>
      </c>
      <c r="AG236" s="1">
        <f>M236/I236/(0.9*8760)</f>
        <v/>
      </c>
      <c r="AH236" s="1">
        <f>N236/I236/(0.9*8760)</f>
        <v/>
      </c>
      <c r="AI236" s="1">
        <f>O236/I236</f>
        <v/>
      </c>
      <c r="AJ236" s="1">
        <f>(AY236+AZ236+BA236+BB236+BC236-AW236)/I236</f>
        <v/>
      </c>
      <c r="AK236" s="1">
        <f>(Q236+R236)*-1*K236/I236</f>
        <v/>
      </c>
      <c r="AL236">
        <f>AJ236*Q236</f>
        <v/>
      </c>
      <c r="AM236" s="1">
        <f>(SUM(AY236:BB236)-AW236)/I236</f>
        <v/>
      </c>
      <c r="AN236" s="1">
        <f>K236/I236*-1*R236</f>
        <v/>
      </c>
      <c r="AO236">
        <f>AM236*Q236</f>
        <v/>
      </c>
      <c r="AQ236" s="17">
        <f>J236</f>
        <v/>
      </c>
      <c r="AR236" s="8" t="n">
        <v>0.243968185</v>
      </c>
      <c r="AS236" s="8" t="n">
        <v>0.249427613</v>
      </c>
      <c r="AT236" s="9" t="n">
        <v>0.246356685</v>
      </c>
      <c r="AU236" s="17" t="n">
        <v>0.23037491</v>
      </c>
      <c r="AW236" s="9">
        <f>AQ236</f>
        <v/>
      </c>
      <c r="AY236" s="9">
        <f>AR236*F236</f>
        <v/>
      </c>
      <c r="AZ236" s="9">
        <f>AS236*H236</f>
        <v/>
      </c>
      <c r="BA236" s="9">
        <f>AT236*G236</f>
        <v/>
      </c>
      <c r="BB236" s="9">
        <f>L236</f>
        <v/>
      </c>
      <c r="BC236" s="9">
        <f>K236</f>
        <v/>
      </c>
      <c r="BE236" s="1">
        <f>AW236-SUM(AY236:BC236)</f>
        <v/>
      </c>
    </row>
    <row r="237">
      <c r="B237" s="12" t="inlineStr">
        <is>
          <t>NE_FT_High_Jetfuel_CCS_99_Wood</t>
        </is>
      </c>
      <c r="C237" s="20" t="inlineStr">
        <is>
          <t>Biomass_Wood</t>
        </is>
      </c>
      <c r="D237" s="20" t="n">
        <v>0.5281</v>
      </c>
      <c r="E237" s="20" t="n">
        <v>0</v>
      </c>
      <c r="F237" s="20" t="n">
        <v>0.3272</v>
      </c>
      <c r="G237" s="20" t="n">
        <v>1.4588</v>
      </c>
      <c r="H237" s="20" t="n">
        <v>0</v>
      </c>
      <c r="I237" s="21">
        <f>F237+G237+H237</f>
        <v/>
      </c>
      <c r="J237" s="20" t="n">
        <v>1.826</v>
      </c>
      <c r="K237" s="20" t="n">
        <v>1.373332240093297</v>
      </c>
      <c r="L237" s="20" t="n">
        <v>0.0134518052397304</v>
      </c>
      <c r="M237" s="20" t="n">
        <v>818543.04</v>
      </c>
      <c r="N237" s="20" t="n">
        <v>359028.32</v>
      </c>
      <c r="O237" s="20" t="n">
        <v>52.08</v>
      </c>
      <c r="Q237" s="19" t="n">
        <v>109.479795</v>
      </c>
      <c r="R237" s="19" t="n">
        <v>-7.354813</v>
      </c>
      <c r="S237" s="19" t="n">
        <v>170</v>
      </c>
      <c r="T237" s="19" t="n">
        <v>138.356765</v>
      </c>
      <c r="U237" s="19" t="n">
        <v>156.777934</v>
      </c>
      <c r="V237" s="19" t="n">
        <v>119.345797</v>
      </c>
      <c r="W237" s="19" t="n">
        <v>26.773822</v>
      </c>
      <c r="Y237">
        <f>B237</f>
        <v/>
      </c>
      <c r="Z237">
        <f>C237</f>
        <v/>
      </c>
      <c r="AA237" s="18">
        <f>SUM(AD237:AI237)+AK237+AL237</f>
        <v/>
      </c>
      <c r="AB237" s="18">
        <f>SUM(AD237:AI237)+AN237+AO237</f>
        <v/>
      </c>
      <c r="AC237" s="5">
        <f>AA237-AB237</f>
        <v/>
      </c>
      <c r="AD237" s="1">
        <f>D237/I237*W237*-1</f>
        <v/>
      </c>
      <c r="AE237" s="1">
        <f>E237/I237*W237</f>
        <v/>
      </c>
      <c r="AF237" s="1">
        <f t="array" ref="AF237">_xlfn.IFS(C237="Biomass_Corn", 1/I237*S237, C237="Biomass_Agri", 1/I237*V237, C237="Biomass_Wood", 1/I237*U237, C237="Biomass_Herb", 1/I237*T237)</f>
        <v/>
      </c>
      <c r="AG237" s="1">
        <f>M237/I237/(0.9*8760)</f>
        <v/>
      </c>
      <c r="AH237" s="1">
        <f>N237/I237/(0.9*8760)</f>
        <v/>
      </c>
      <c r="AI237" s="1">
        <f>O237/I237</f>
        <v/>
      </c>
      <c r="AJ237" s="1">
        <f>(AY237+AZ237+BA237+BB237+BC237-AW237)/I237</f>
        <v/>
      </c>
      <c r="AK237" s="1">
        <f>(Q237+R237)*-1*K237/I237</f>
        <v/>
      </c>
      <c r="AL237">
        <f>AJ237*Q237</f>
        <v/>
      </c>
      <c r="AM237" s="1">
        <f>(SUM(AY237:BB237)-AW237)/I237</f>
        <v/>
      </c>
      <c r="AN237" s="1">
        <f>K237/I237*-1*R237</f>
        <v/>
      </c>
      <c r="AO237">
        <f>AM237*Q237</f>
        <v/>
      </c>
      <c r="AQ237" s="17">
        <f>J237</f>
        <v/>
      </c>
      <c r="AR237" s="8" t="n">
        <v>0.243968185</v>
      </c>
      <c r="AS237" s="8" t="n">
        <v>0.249427613</v>
      </c>
      <c r="AT237" s="9" t="n">
        <v>0.246356685</v>
      </c>
      <c r="AU237" s="17" t="n">
        <v>0.23037491</v>
      </c>
      <c r="AW237" s="9">
        <f>AQ237</f>
        <v/>
      </c>
      <c r="AY237" s="9">
        <f>AR237*F237</f>
        <v/>
      </c>
      <c r="AZ237" s="9">
        <f>AS237*H237</f>
        <v/>
      </c>
      <c r="BA237" s="9">
        <f>AT237*G237</f>
        <v/>
      </c>
      <c r="BB237" s="9">
        <f>L237</f>
        <v/>
      </c>
      <c r="BC237" s="9">
        <f>K237</f>
        <v/>
      </c>
      <c r="BE237" s="1">
        <f>AW237-SUM(AY237:BC237)</f>
        <v/>
      </c>
    </row>
    <row r="238">
      <c r="B238" s="12" t="inlineStr">
        <is>
          <t>CA_FT_High_Jetfuel_CCS_99_Agri</t>
        </is>
      </c>
      <c r="C238" s="20" t="inlineStr">
        <is>
          <t>Biomass_Agri</t>
        </is>
      </c>
      <c r="D238" s="20" t="n">
        <v>0.5113</v>
      </c>
      <c r="E238" s="20" t="n">
        <v>0</v>
      </c>
      <c r="F238" s="20" t="n">
        <v>0.3168</v>
      </c>
      <c r="G238" s="20" t="n">
        <v>1.4125</v>
      </c>
      <c r="H238" s="20" t="n">
        <v>0</v>
      </c>
      <c r="I238" s="21">
        <f>F238+G238+H238</f>
        <v/>
      </c>
      <c r="J238" s="20" t="n">
        <v>1.719</v>
      </c>
      <c r="K238" s="20" t="n">
        <v>1.281185562853701</v>
      </c>
      <c r="L238" s="20" t="n">
        <v>0.0125492274661021</v>
      </c>
      <c r="M238" s="20" t="n">
        <v>818543.04</v>
      </c>
      <c r="N238" s="20" t="n">
        <v>359028.32</v>
      </c>
      <c r="O238" s="20" t="n">
        <v>52.08</v>
      </c>
      <c r="Q238" s="19" t="n">
        <v>109.479795</v>
      </c>
      <c r="R238" s="19" t="n">
        <v>-7.354813</v>
      </c>
      <c r="S238" s="19" t="n">
        <v>170</v>
      </c>
      <c r="T238" s="19" t="n">
        <v>138.356765</v>
      </c>
      <c r="U238" s="19" t="n">
        <v>156.777934</v>
      </c>
      <c r="V238" s="19" t="n">
        <v>119.345797</v>
      </c>
      <c r="W238" s="19" t="n">
        <v>26.773822</v>
      </c>
      <c r="Y238">
        <f>B238</f>
        <v/>
      </c>
      <c r="Z238">
        <f>C238</f>
        <v/>
      </c>
      <c r="AA238" s="18">
        <f>SUM(AD238:AI238)+AK238+AL238</f>
        <v/>
      </c>
      <c r="AB238" s="18">
        <f>SUM(AD238:AI238)+AN238+AO238</f>
        <v/>
      </c>
      <c r="AC238" s="5">
        <f>AA238-AB238</f>
        <v/>
      </c>
      <c r="AD238" s="1">
        <f>D238/I238*W238*-1</f>
        <v/>
      </c>
      <c r="AE238" s="1">
        <f>E238/I238*W238</f>
        <v/>
      </c>
      <c r="AF238" s="1">
        <f t="array" ref="AF238">_xlfn.IFS(C238="Biomass_Corn", 1/I238*S238, C238="Biomass_Agri", 1/I238*V238, C238="Biomass_Wood", 1/I238*U238, C238="Biomass_Herb", 1/I238*T238)</f>
        <v/>
      </c>
      <c r="AG238" s="1">
        <f>M238/I238/(0.9*8760)</f>
        <v/>
      </c>
      <c r="AH238" s="1">
        <f>N238/I238/(0.9*8760)</f>
        <v/>
      </c>
      <c r="AI238" s="1">
        <f>O238/I238</f>
        <v/>
      </c>
      <c r="AJ238" s="1">
        <f>(AY238+AZ238+BA238+BB238+BC238-AW238)/I238</f>
        <v/>
      </c>
      <c r="AK238" s="1">
        <f>(Q238+R238)*-1*K238/I238</f>
        <v/>
      </c>
      <c r="AL238">
        <f>AJ238*Q238</f>
        <v/>
      </c>
      <c r="AM238" s="1">
        <f>(SUM(AY238:BB238)-AW238)/I238</f>
        <v/>
      </c>
      <c r="AN238" s="1">
        <f>K238/I238*-1*R238</f>
        <v/>
      </c>
      <c r="AO238">
        <f>AM238*Q238</f>
        <v/>
      </c>
      <c r="AQ238" s="17">
        <f>J238</f>
        <v/>
      </c>
      <c r="AR238" s="8" t="n">
        <v>0.243968185</v>
      </c>
      <c r="AS238" s="8" t="n">
        <v>0.249427613</v>
      </c>
      <c r="AT238" s="9" t="n">
        <v>0.246356685</v>
      </c>
      <c r="AU238" s="17" t="n">
        <v>0.23037491</v>
      </c>
      <c r="AW238" s="9">
        <f>AQ238</f>
        <v/>
      </c>
      <c r="AY238" s="9">
        <f>AR238*F238</f>
        <v/>
      </c>
      <c r="AZ238" s="9">
        <f>AS238*H238</f>
        <v/>
      </c>
      <c r="BA238" s="9">
        <f>AT238*G238</f>
        <v/>
      </c>
      <c r="BB238" s="9">
        <f>L238</f>
        <v/>
      </c>
      <c r="BC238" s="9">
        <f>K238</f>
        <v/>
      </c>
      <c r="BE238" s="1">
        <f>AW238-SUM(AY238:BC238)</f>
        <v/>
      </c>
    </row>
    <row r="239">
      <c r="B239" s="12" t="inlineStr">
        <is>
          <t>NW_FT_High_Jetfuel_CCS_99_Agri</t>
        </is>
      </c>
      <c r="C239" s="20" t="inlineStr">
        <is>
          <t>Biomass_Agri</t>
        </is>
      </c>
      <c r="D239" s="20" t="n">
        <v>0.4674</v>
      </c>
      <c r="E239" s="20" t="n">
        <v>0</v>
      </c>
      <c r="F239" s="20" t="n">
        <v>0.2896</v>
      </c>
      <c r="G239" s="20" t="n">
        <v>1.2912</v>
      </c>
      <c r="H239" s="20" t="n">
        <v>0</v>
      </c>
      <c r="I239" s="21">
        <f>F239+G239+H239</f>
        <v/>
      </c>
      <c r="J239" s="20" t="n">
        <v>1.664</v>
      </c>
      <c r="K239" s="20" t="n">
        <v>1.262869419076756</v>
      </c>
      <c r="L239" s="20" t="n">
        <v>0.0123698206251081</v>
      </c>
      <c r="M239" s="20" t="n">
        <v>818543.04</v>
      </c>
      <c r="N239" s="20" t="n">
        <v>359028.32</v>
      </c>
      <c r="O239" s="20" t="n">
        <v>52.08</v>
      </c>
      <c r="Q239" s="19" t="n">
        <v>109.479795</v>
      </c>
      <c r="R239" s="19" t="n">
        <v>-7.354813</v>
      </c>
      <c r="S239" s="19" t="n">
        <v>170</v>
      </c>
      <c r="T239" s="19" t="n">
        <v>138.356765</v>
      </c>
      <c r="U239" s="19" t="n">
        <v>156.777934</v>
      </c>
      <c r="V239" s="19" t="n">
        <v>119.345797</v>
      </c>
      <c r="W239" s="19" t="n">
        <v>26.773822</v>
      </c>
      <c r="Y239">
        <f>B239</f>
        <v/>
      </c>
      <c r="Z239">
        <f>C239</f>
        <v/>
      </c>
      <c r="AA239" s="18">
        <f>SUM(AD239:AI239)+AK239+AL239</f>
        <v/>
      </c>
      <c r="AB239" s="18">
        <f>SUM(AD239:AI239)+AN239+AO239</f>
        <v/>
      </c>
      <c r="AC239" s="5">
        <f>AA239-AB239</f>
        <v/>
      </c>
      <c r="AD239" s="1">
        <f>D239/I239*W239*-1</f>
        <v/>
      </c>
      <c r="AE239" s="1">
        <f>E239/I239*W239</f>
        <v/>
      </c>
      <c r="AF239" s="1">
        <f t="array" ref="AF239">_xlfn.IFS(C239="Biomass_Corn", 1/I239*S239, C239="Biomass_Agri", 1/I239*V239, C239="Biomass_Wood", 1/I239*U239, C239="Biomass_Herb", 1/I239*T239)</f>
        <v/>
      </c>
      <c r="AG239" s="1">
        <f>M239/I239/(0.9*8760)</f>
        <v/>
      </c>
      <c r="AH239" s="1">
        <f>N239/I239/(0.9*8760)</f>
        <v/>
      </c>
      <c r="AI239" s="1">
        <f>O239/I239</f>
        <v/>
      </c>
      <c r="AJ239" s="1">
        <f>(AY239+AZ239+BA239+BB239+BC239-AW239)/I239</f>
        <v/>
      </c>
      <c r="AK239" s="1">
        <f>(Q239+R239)*-1*K239/I239</f>
        <v/>
      </c>
      <c r="AL239">
        <f>AJ239*Q239</f>
        <v/>
      </c>
      <c r="AM239" s="1">
        <f>(SUM(AY239:BB239)-AW239)/I239</f>
        <v/>
      </c>
      <c r="AN239" s="1">
        <f>K239/I239*-1*R239</f>
        <v/>
      </c>
      <c r="AO239">
        <f>AM239*Q239</f>
        <v/>
      </c>
      <c r="AQ239" s="17">
        <f>J239</f>
        <v/>
      </c>
      <c r="AR239" s="8" t="n">
        <v>0.243968185</v>
      </c>
      <c r="AS239" s="8" t="n">
        <v>0.249427613</v>
      </c>
      <c r="AT239" s="9" t="n">
        <v>0.246356685</v>
      </c>
      <c r="AU239" s="17" t="n">
        <v>0.23037491</v>
      </c>
      <c r="AW239" s="9">
        <f>AQ239</f>
        <v/>
      </c>
      <c r="AY239" s="9">
        <f>AR239*F239</f>
        <v/>
      </c>
      <c r="AZ239" s="9">
        <f>AS239*H239</f>
        <v/>
      </c>
      <c r="BA239" s="9">
        <f>AT239*G239</f>
        <v/>
      </c>
      <c r="BB239" s="9">
        <f>L239</f>
        <v/>
      </c>
      <c r="BC239" s="9">
        <f>K239</f>
        <v/>
      </c>
      <c r="BE239" s="1">
        <f>AW239-SUM(AY239:BC239)</f>
        <v/>
      </c>
    </row>
    <row r="240">
      <c r="B240" s="12" t="inlineStr">
        <is>
          <t>SW_FT_High_Jetfuel_CCS_99_Agri</t>
        </is>
      </c>
      <c r="C240" s="20" t="inlineStr">
        <is>
          <t>Biomass_Agri</t>
        </is>
      </c>
      <c r="D240" s="20" t="n">
        <v>0.4761</v>
      </c>
      <c r="E240" s="20" t="n">
        <v>0</v>
      </c>
      <c r="F240" s="20" t="n">
        <v>0.295</v>
      </c>
      <c r="G240" s="20" t="n">
        <v>1.3152</v>
      </c>
      <c r="H240" s="20" t="n">
        <v>0</v>
      </c>
      <c r="I240" s="21">
        <f>F240+G240+H240</f>
        <v/>
      </c>
      <c r="J240" s="20" t="n">
        <v>1.687</v>
      </c>
      <c r="K240" s="20" t="n">
        <v>1.278508350650548</v>
      </c>
      <c r="L240" s="20" t="n">
        <v>0.0125230041414827</v>
      </c>
      <c r="M240" s="20" t="n">
        <v>818543.04</v>
      </c>
      <c r="N240" s="20" t="n">
        <v>359028.32</v>
      </c>
      <c r="O240" s="20" t="n">
        <v>52.08</v>
      </c>
      <c r="Q240" s="19" t="n">
        <v>109.479795</v>
      </c>
      <c r="R240" s="19" t="n">
        <v>-7.354813</v>
      </c>
      <c r="S240" s="19" t="n">
        <v>170</v>
      </c>
      <c r="T240" s="19" t="n">
        <v>138.356765</v>
      </c>
      <c r="U240" s="19" t="n">
        <v>156.777934</v>
      </c>
      <c r="V240" s="19" t="n">
        <v>119.345797</v>
      </c>
      <c r="W240" s="19" t="n">
        <v>26.773822</v>
      </c>
      <c r="Y240">
        <f>B240</f>
        <v/>
      </c>
      <c r="Z240">
        <f>C240</f>
        <v/>
      </c>
      <c r="AA240" s="18">
        <f>SUM(AD240:AI240)+AK240+AL240</f>
        <v/>
      </c>
      <c r="AB240" s="18">
        <f>SUM(AD240:AI240)+AN240+AO240</f>
        <v/>
      </c>
      <c r="AC240" s="5">
        <f>AA240-AB240</f>
        <v/>
      </c>
      <c r="AD240" s="1">
        <f>D240/I240*W240*-1</f>
        <v/>
      </c>
      <c r="AE240" s="1">
        <f>E240/I240*W240</f>
        <v/>
      </c>
      <c r="AF240" s="1">
        <f t="array" ref="AF240">_xlfn.IFS(C240="Biomass_Corn", 1/I240*S240, C240="Biomass_Agri", 1/I240*V240, C240="Biomass_Wood", 1/I240*U240, C240="Biomass_Herb", 1/I240*T240)</f>
        <v/>
      </c>
      <c r="AG240" s="1">
        <f>M240/I240/(0.9*8760)</f>
        <v/>
      </c>
      <c r="AH240" s="1">
        <f>N240/I240/(0.9*8760)</f>
        <v/>
      </c>
      <c r="AI240" s="1">
        <f>O240/I240</f>
        <v/>
      </c>
      <c r="AJ240" s="1">
        <f>(AY240+AZ240+BA240+BB240+BC240-AW240)/I240</f>
        <v/>
      </c>
      <c r="AK240" s="1">
        <f>(Q240+R240)*-1*K240/I240</f>
        <v/>
      </c>
      <c r="AL240">
        <f>AJ240*Q240</f>
        <v/>
      </c>
      <c r="AM240" s="1">
        <f>(SUM(AY240:BB240)-AW240)/I240</f>
        <v/>
      </c>
      <c r="AN240" s="1">
        <f>K240/I240*-1*R240</f>
        <v/>
      </c>
      <c r="AO240">
        <f>AM240*Q240</f>
        <v/>
      </c>
      <c r="AQ240" s="17">
        <f>J240</f>
        <v/>
      </c>
      <c r="AR240" s="8" t="n">
        <v>0.243968185</v>
      </c>
      <c r="AS240" s="8" t="n">
        <v>0.249427613</v>
      </c>
      <c r="AT240" s="9" t="n">
        <v>0.246356685</v>
      </c>
      <c r="AU240" s="17" t="n">
        <v>0.23037491</v>
      </c>
      <c r="AW240" s="9">
        <f>AQ240</f>
        <v/>
      </c>
      <c r="AY240" s="9">
        <f>AR240*F240</f>
        <v/>
      </c>
      <c r="AZ240" s="9">
        <f>AS240*H240</f>
        <v/>
      </c>
      <c r="BA240" s="9">
        <f>AT240*G240</f>
        <v/>
      </c>
      <c r="BB240" s="9">
        <f>L240</f>
        <v/>
      </c>
      <c r="BC240" s="9">
        <f>K240</f>
        <v/>
      </c>
      <c r="BE240" s="1">
        <f>AW240-SUM(AY240:BC240)</f>
        <v/>
      </c>
    </row>
    <row r="241">
      <c r="B241" s="12" t="inlineStr">
        <is>
          <t>TX_FT_High_Jetfuel_CCS_99_Agri</t>
        </is>
      </c>
      <c r="C241" s="20" t="inlineStr">
        <is>
          <t>Biomass_Agri</t>
        </is>
      </c>
      <c r="D241" s="20" t="n">
        <v>0.4638</v>
      </c>
      <c r="E241" s="20" t="n">
        <v>0</v>
      </c>
      <c r="F241" s="20" t="n">
        <v>0.2874</v>
      </c>
      <c r="G241" s="20" t="n">
        <v>1.2812</v>
      </c>
      <c r="H241" s="20" t="n">
        <v>0</v>
      </c>
      <c r="I241" s="21">
        <f>F241+G241+H241</f>
        <v/>
      </c>
      <c r="J241" s="20" t="n">
        <v>1.633</v>
      </c>
      <c r="K241" s="20" t="n">
        <v>1.235163460674844</v>
      </c>
      <c r="L241" s="20" t="n">
        <v>0.012098440440822</v>
      </c>
      <c r="M241" s="20" t="n">
        <v>818543.04</v>
      </c>
      <c r="N241" s="20" t="n">
        <v>359028.32</v>
      </c>
      <c r="O241" s="20" t="n">
        <v>52.08</v>
      </c>
      <c r="Q241" s="19" t="n">
        <v>109.479795</v>
      </c>
      <c r="R241" s="19" t="n">
        <v>-7.354813</v>
      </c>
      <c r="S241" s="19" t="n">
        <v>170</v>
      </c>
      <c r="T241" s="19" t="n">
        <v>138.356765</v>
      </c>
      <c r="U241" s="19" t="n">
        <v>156.777934</v>
      </c>
      <c r="V241" s="19" t="n">
        <v>119.345797</v>
      </c>
      <c r="W241" s="19" t="n">
        <v>26.773822</v>
      </c>
      <c r="Y241">
        <f>B241</f>
        <v/>
      </c>
      <c r="Z241">
        <f>C241</f>
        <v/>
      </c>
      <c r="AA241" s="18">
        <f>SUM(AD241:AI241)+AK241+AL241</f>
        <v/>
      </c>
      <c r="AB241" s="18">
        <f>SUM(AD241:AI241)+AN241+AO241</f>
        <v/>
      </c>
      <c r="AC241" s="5">
        <f>AA241-AB241</f>
        <v/>
      </c>
      <c r="AD241" s="1">
        <f>D241/I241*W241*-1</f>
        <v/>
      </c>
      <c r="AE241" s="1">
        <f>E241/I241*W241</f>
        <v/>
      </c>
      <c r="AF241" s="1">
        <f t="array" ref="AF241">_xlfn.IFS(C241="Biomass_Corn", 1/I241*S241, C241="Biomass_Agri", 1/I241*V241, C241="Biomass_Wood", 1/I241*U241, C241="Biomass_Herb", 1/I241*T241)</f>
        <v/>
      </c>
      <c r="AG241" s="1">
        <f>M241/I241/(0.9*8760)</f>
        <v/>
      </c>
      <c r="AH241" s="1">
        <f>N241/I241/(0.9*8760)</f>
        <v/>
      </c>
      <c r="AI241" s="1">
        <f>O241/I241</f>
        <v/>
      </c>
      <c r="AJ241" s="1">
        <f>(AY241+AZ241+BA241+BB241+BC241-AW241)/I241</f>
        <v/>
      </c>
      <c r="AK241" s="1">
        <f>(Q241+R241)*-1*K241/I241</f>
        <v/>
      </c>
      <c r="AL241">
        <f>AJ241*Q241</f>
        <v/>
      </c>
      <c r="AM241" s="1">
        <f>(SUM(AY241:BB241)-AW241)/I241</f>
        <v/>
      </c>
      <c r="AN241" s="1">
        <f>K241/I241*-1*R241</f>
        <v/>
      </c>
      <c r="AO241">
        <f>AM241*Q241</f>
        <v/>
      </c>
      <c r="AQ241" s="17">
        <f>J241</f>
        <v/>
      </c>
      <c r="AR241" s="8" t="n">
        <v>0.243968185</v>
      </c>
      <c r="AS241" s="8" t="n">
        <v>0.249427613</v>
      </c>
      <c r="AT241" s="9" t="n">
        <v>0.246356685</v>
      </c>
      <c r="AU241" s="17" t="n">
        <v>0.23037491</v>
      </c>
      <c r="AW241" s="9">
        <f>AQ241</f>
        <v/>
      </c>
      <c r="AY241" s="9">
        <f>AR241*F241</f>
        <v/>
      </c>
      <c r="AZ241" s="9">
        <f>AS241*H241</f>
        <v/>
      </c>
      <c r="BA241" s="9">
        <f>AT241*G241</f>
        <v/>
      </c>
      <c r="BB241" s="9">
        <f>L241</f>
        <v/>
      </c>
      <c r="BC241" s="9">
        <f>K241</f>
        <v/>
      </c>
      <c r="BE241" s="1">
        <f>AW241-SUM(AY241:BC241)</f>
        <v/>
      </c>
    </row>
    <row r="242">
      <c r="B242" s="12" t="inlineStr">
        <is>
          <t>NCEN_FT_High_Jetfuel_CCS_99_Agri</t>
        </is>
      </c>
      <c r="C242" s="20" t="inlineStr">
        <is>
          <t>Biomass_Agri</t>
        </is>
      </c>
      <c r="D242" s="20" t="n">
        <v>0.4836</v>
      </c>
      <c r="E242" s="20" t="n">
        <v>0</v>
      </c>
      <c r="F242" s="20" t="n">
        <v>0.2997</v>
      </c>
      <c r="G242" s="20" t="n">
        <v>1.336</v>
      </c>
      <c r="H242" s="20" t="n">
        <v>0</v>
      </c>
      <c r="I242" s="21">
        <f>F242+G242+H242</f>
        <v/>
      </c>
      <c r="J242" s="20" t="n">
        <v>1.71</v>
      </c>
      <c r="K242" s="20" t="n">
        <v>1.295068310408366</v>
      </c>
      <c r="L242" s="20" t="n">
        <v>0.0126852091396154</v>
      </c>
      <c r="M242" s="20" t="n">
        <v>818543.04</v>
      </c>
      <c r="N242" s="20" t="n">
        <v>359028.32</v>
      </c>
      <c r="O242" s="20" t="n">
        <v>52.08</v>
      </c>
      <c r="Q242" s="19" t="n">
        <v>109.479795</v>
      </c>
      <c r="R242" s="19" t="n">
        <v>-7.354813</v>
      </c>
      <c r="S242" s="19" t="n">
        <v>170</v>
      </c>
      <c r="T242" s="19" t="n">
        <v>138.356765</v>
      </c>
      <c r="U242" s="19" t="n">
        <v>156.777934</v>
      </c>
      <c r="V242" s="19" t="n">
        <v>119.345797</v>
      </c>
      <c r="W242" s="19" t="n">
        <v>26.773822</v>
      </c>
      <c r="Y242">
        <f>B242</f>
        <v/>
      </c>
      <c r="Z242">
        <f>C242</f>
        <v/>
      </c>
      <c r="AA242" s="18">
        <f>SUM(AD242:AI242)+AK242+AL242</f>
        <v/>
      </c>
      <c r="AB242" s="18">
        <f>SUM(AD242:AI242)+AN242+AO242</f>
        <v/>
      </c>
      <c r="AC242" s="5">
        <f>AA242-AB242</f>
        <v/>
      </c>
      <c r="AD242" s="1">
        <f>D242/I242*W242*-1</f>
        <v/>
      </c>
      <c r="AE242" s="1">
        <f>E242/I242*W242</f>
        <v/>
      </c>
      <c r="AF242" s="1">
        <f t="array" ref="AF242">_xlfn.IFS(C242="Biomass_Corn", 1/I242*S242, C242="Biomass_Agri", 1/I242*V242, C242="Biomass_Wood", 1/I242*U242, C242="Biomass_Herb", 1/I242*T242)</f>
        <v/>
      </c>
      <c r="AG242" s="1">
        <f>M242/I242/(0.9*8760)</f>
        <v/>
      </c>
      <c r="AH242" s="1">
        <f>N242/I242/(0.9*8760)</f>
        <v/>
      </c>
      <c r="AI242" s="1">
        <f>O242/I242</f>
        <v/>
      </c>
      <c r="AJ242" s="1">
        <f>(AY242+AZ242+BA242+BB242+BC242-AW242)/I242</f>
        <v/>
      </c>
      <c r="AK242" s="1">
        <f>(Q242+R242)*-1*K242/I242</f>
        <v/>
      </c>
      <c r="AL242">
        <f>AJ242*Q242</f>
        <v/>
      </c>
      <c r="AM242" s="1">
        <f>(SUM(AY242:BB242)-AW242)/I242</f>
        <v/>
      </c>
      <c r="AN242" s="1">
        <f>K242/I242*-1*R242</f>
        <v/>
      </c>
      <c r="AO242">
        <f>AM242*Q242</f>
        <v/>
      </c>
      <c r="AQ242" s="17">
        <f>J242</f>
        <v/>
      </c>
      <c r="AR242" s="8" t="n">
        <v>0.243968185</v>
      </c>
      <c r="AS242" s="8" t="n">
        <v>0.249427613</v>
      </c>
      <c r="AT242" s="9" t="n">
        <v>0.246356685</v>
      </c>
      <c r="AU242" s="17" t="n">
        <v>0.23037491</v>
      </c>
      <c r="AW242" s="9">
        <f>AQ242</f>
        <v/>
      </c>
      <c r="AY242" s="9">
        <f>AR242*F242</f>
        <v/>
      </c>
      <c r="AZ242" s="9">
        <f>AS242*H242</f>
        <v/>
      </c>
      <c r="BA242" s="9">
        <f>AT242*G242</f>
        <v/>
      </c>
      <c r="BB242" s="9">
        <f>L242</f>
        <v/>
      </c>
      <c r="BC242" s="9">
        <f>K242</f>
        <v/>
      </c>
      <c r="BE242" s="1">
        <f>AW242-SUM(AY242:BC242)</f>
        <v/>
      </c>
    </row>
    <row r="243">
      <c r="B243" s="12" t="inlineStr">
        <is>
          <t>CEN_FT_High_Jetfuel_CCS_99_Agri</t>
        </is>
      </c>
      <c r="C243" s="20" t="inlineStr">
        <is>
          <t>Biomass_Agri</t>
        </is>
      </c>
      <c r="D243" s="20" t="n">
        <v>0.48</v>
      </c>
      <c r="E243" s="20" t="n">
        <v>0</v>
      </c>
      <c r="F243" s="20" t="n">
        <v>0.2974</v>
      </c>
      <c r="G243" s="20" t="n">
        <v>1.326</v>
      </c>
      <c r="H243" s="20" t="n">
        <v>0</v>
      </c>
      <c r="I243" s="21">
        <f>F243+G243+H243</f>
        <v/>
      </c>
      <c r="J243" s="20" t="n">
        <v>1.7</v>
      </c>
      <c r="K243" s="20" t="n">
        <v>1.288158652006454</v>
      </c>
      <c r="L243" s="20" t="n">
        <v>0.0126175289553293</v>
      </c>
      <c r="M243" s="20" t="n">
        <v>818543.04</v>
      </c>
      <c r="N243" s="20" t="n">
        <v>359028.32</v>
      </c>
      <c r="O243" s="20" t="n">
        <v>52.08</v>
      </c>
      <c r="Q243" s="19" t="n">
        <v>109.479795</v>
      </c>
      <c r="R243" s="19" t="n">
        <v>-7.354813</v>
      </c>
      <c r="S243" s="19" t="n">
        <v>170</v>
      </c>
      <c r="T243" s="19" t="n">
        <v>138.356765</v>
      </c>
      <c r="U243" s="19" t="n">
        <v>156.777934</v>
      </c>
      <c r="V243" s="19" t="n">
        <v>119.345797</v>
      </c>
      <c r="W243" s="19" t="n">
        <v>26.773822</v>
      </c>
      <c r="Y243">
        <f>B243</f>
        <v/>
      </c>
      <c r="Z243">
        <f>C243</f>
        <v/>
      </c>
      <c r="AA243" s="18">
        <f>SUM(AD243:AI243)+AK243+AL243</f>
        <v/>
      </c>
      <c r="AB243" s="18">
        <f>SUM(AD243:AI243)+AN243+AO243</f>
        <v/>
      </c>
      <c r="AC243" s="5">
        <f>AA243-AB243</f>
        <v/>
      </c>
      <c r="AD243" s="1">
        <f>D243/I243*W243*-1</f>
        <v/>
      </c>
      <c r="AE243" s="1">
        <f>E243/I243*W243</f>
        <v/>
      </c>
      <c r="AF243" s="1">
        <f t="array" ref="AF243">_xlfn.IFS(C243="Biomass_Corn", 1/I243*S243, C243="Biomass_Agri", 1/I243*V243, C243="Biomass_Wood", 1/I243*U243, C243="Biomass_Herb", 1/I243*T243)</f>
        <v/>
      </c>
      <c r="AG243" s="1">
        <f>M243/I243/(0.9*8760)</f>
        <v/>
      </c>
      <c r="AH243" s="1">
        <f>N243/I243/(0.9*8760)</f>
        <v/>
      </c>
      <c r="AI243" s="1">
        <f>O243/I243</f>
        <v/>
      </c>
      <c r="AJ243" s="1">
        <f>(AY243+AZ243+BA243+BB243+BC243-AW243)/I243</f>
        <v/>
      </c>
      <c r="AK243" s="1">
        <f>(Q243+R243)*-1*K243/I243</f>
        <v/>
      </c>
      <c r="AL243">
        <f>AJ243*Q243</f>
        <v/>
      </c>
      <c r="AM243" s="1">
        <f>(SUM(AY243:BB243)-AW243)/I243</f>
        <v/>
      </c>
      <c r="AN243" s="1">
        <f>K243/I243*-1*R243</f>
        <v/>
      </c>
      <c r="AO243">
        <f>AM243*Q243</f>
        <v/>
      </c>
      <c r="AQ243" s="17">
        <f>J243</f>
        <v/>
      </c>
      <c r="AR243" s="8" t="n">
        <v>0.243968185</v>
      </c>
      <c r="AS243" s="8" t="n">
        <v>0.249427613</v>
      </c>
      <c r="AT243" s="9" t="n">
        <v>0.246356685</v>
      </c>
      <c r="AU243" s="17" t="n">
        <v>0.23037491</v>
      </c>
      <c r="AW243" s="9">
        <f>AQ243</f>
        <v/>
      </c>
      <c r="AY243" s="9">
        <f>AR243*F243</f>
        <v/>
      </c>
      <c r="AZ243" s="9">
        <f>AS243*H243</f>
        <v/>
      </c>
      <c r="BA243" s="9">
        <f>AT243*G243</f>
        <v/>
      </c>
      <c r="BB243" s="9">
        <f>L243</f>
        <v/>
      </c>
      <c r="BC243" s="9">
        <f>K243</f>
        <v/>
      </c>
      <c r="BE243" s="1">
        <f>AW243-SUM(AY243:BC243)</f>
        <v/>
      </c>
    </row>
    <row r="244">
      <c r="B244" s="12" t="inlineStr">
        <is>
          <t>SE_FT_High_Jetfuel_CCS_99_Agri</t>
        </is>
      </c>
      <c r="C244" s="20" t="inlineStr">
        <is>
          <t>Biomass_Agri</t>
        </is>
      </c>
      <c r="D244" s="20" t="n">
        <v>0.4817</v>
      </c>
      <c r="E244" s="20" t="n">
        <v>0</v>
      </c>
      <c r="F244" s="20" t="n">
        <v>0.2985</v>
      </c>
      <c r="G244" s="20" t="n">
        <v>1.3306</v>
      </c>
      <c r="H244" s="20" t="n">
        <v>0</v>
      </c>
      <c r="I244" s="21">
        <f>F244+G244+H244</f>
        <v/>
      </c>
      <c r="J244" s="20" t="n">
        <v>1.689</v>
      </c>
      <c r="K244" s="20" t="n">
        <v>1.275883809730414</v>
      </c>
      <c r="L244" s="20" t="n">
        <v>0.0124972967326921</v>
      </c>
      <c r="M244" s="20" t="n">
        <v>818543.04</v>
      </c>
      <c r="N244" s="20" t="n">
        <v>359028.32</v>
      </c>
      <c r="O244" s="20" t="n">
        <v>52.08</v>
      </c>
      <c r="Q244" s="19" t="n">
        <v>109.479795</v>
      </c>
      <c r="R244" s="19" t="n">
        <v>-7.354813</v>
      </c>
      <c r="S244" s="19" t="n">
        <v>170</v>
      </c>
      <c r="T244" s="19" t="n">
        <v>138.356765</v>
      </c>
      <c r="U244" s="19" t="n">
        <v>156.777934</v>
      </c>
      <c r="V244" s="19" t="n">
        <v>119.345797</v>
      </c>
      <c r="W244" s="19" t="n">
        <v>26.773822</v>
      </c>
      <c r="Y244">
        <f>B244</f>
        <v/>
      </c>
      <c r="Z244">
        <f>C244</f>
        <v/>
      </c>
      <c r="AA244" s="18">
        <f>SUM(AD244:AI244)+AK244+AL244</f>
        <v/>
      </c>
      <c r="AB244" s="18">
        <f>SUM(AD244:AI244)+AN244+AO244</f>
        <v/>
      </c>
      <c r="AC244" s="5">
        <f>AA244-AB244</f>
        <v/>
      </c>
      <c r="AD244" s="1">
        <f>D244/I244*W244*-1</f>
        <v/>
      </c>
      <c r="AE244" s="1">
        <f>E244/I244*W244</f>
        <v/>
      </c>
      <c r="AF244" s="1">
        <f t="array" ref="AF244">_xlfn.IFS(C244="Biomass_Corn", 1/I244*S244, C244="Biomass_Agri", 1/I244*V244, C244="Biomass_Wood", 1/I244*U244, C244="Biomass_Herb", 1/I244*T244)</f>
        <v/>
      </c>
      <c r="AG244" s="1">
        <f>M244/I244/(0.9*8760)</f>
        <v/>
      </c>
      <c r="AH244" s="1">
        <f>N244/I244/(0.9*8760)</f>
        <v/>
      </c>
      <c r="AI244" s="1">
        <f>O244/I244</f>
        <v/>
      </c>
      <c r="AJ244" s="1">
        <f>(AY244+AZ244+BA244+BB244+BC244-AW244)/I244</f>
        <v/>
      </c>
      <c r="AK244" s="1">
        <f>(Q244+R244)*-1*K244/I244</f>
        <v/>
      </c>
      <c r="AL244">
        <f>AJ244*Q244</f>
        <v/>
      </c>
      <c r="AM244" s="1">
        <f>(SUM(AY244:BB244)-AW244)/I244</f>
        <v/>
      </c>
      <c r="AN244" s="1">
        <f>K244/I244*-1*R244</f>
        <v/>
      </c>
      <c r="AO244">
        <f>AM244*Q244</f>
        <v/>
      </c>
      <c r="AQ244" s="17">
        <f>J244</f>
        <v/>
      </c>
      <c r="AR244" s="8" t="n">
        <v>0.243968185</v>
      </c>
      <c r="AS244" s="8" t="n">
        <v>0.249427613</v>
      </c>
      <c r="AT244" s="9" t="n">
        <v>0.246356685</v>
      </c>
      <c r="AU244" s="17" t="n">
        <v>0.23037491</v>
      </c>
      <c r="AW244" s="9">
        <f>AQ244</f>
        <v/>
      </c>
      <c r="AY244" s="9">
        <f>AR244*F244</f>
        <v/>
      </c>
      <c r="AZ244" s="9">
        <f>AS244*H244</f>
        <v/>
      </c>
      <c r="BA244" s="9">
        <f>AT244*G244</f>
        <v/>
      </c>
      <c r="BB244" s="9">
        <f>L244</f>
        <v/>
      </c>
      <c r="BC244" s="9">
        <f>K244</f>
        <v/>
      </c>
      <c r="BE244" s="1">
        <f>AW244-SUM(AY244:BC244)</f>
        <v/>
      </c>
    </row>
    <row r="245">
      <c r="B245" s="12" t="inlineStr">
        <is>
          <t>MIDAT_FT_High_Jetfuel_CCS_99_Agri</t>
        </is>
      </c>
      <c r="C245" s="20" t="inlineStr">
        <is>
          <t>Biomass_Agri</t>
        </is>
      </c>
      <c r="D245" s="20" t="n">
        <v>0.4831</v>
      </c>
      <c r="E245" s="20" t="n">
        <v>0</v>
      </c>
      <c r="F245" s="20" t="n">
        <v>0.2993</v>
      </c>
      <c r="G245" s="20" t="n">
        <v>1.3345</v>
      </c>
      <c r="H245" s="20" t="n">
        <v>0</v>
      </c>
      <c r="I245" s="21">
        <f>F245+G245+H245</f>
        <v/>
      </c>
      <c r="J245" s="20" t="n">
        <v>1.708</v>
      </c>
      <c r="K245" s="20" t="n">
        <v>1.29354822450038</v>
      </c>
      <c r="L245" s="20" t="n">
        <v>0.0126703198804945</v>
      </c>
      <c r="M245" s="20" t="n">
        <v>818543.04</v>
      </c>
      <c r="N245" s="20" t="n">
        <v>359028.32</v>
      </c>
      <c r="O245" s="20" t="n">
        <v>52.08</v>
      </c>
      <c r="Q245" s="19" t="n">
        <v>109.479795</v>
      </c>
      <c r="R245" s="19" t="n">
        <v>-7.354813</v>
      </c>
      <c r="S245" s="19" t="n">
        <v>170</v>
      </c>
      <c r="T245" s="19" t="n">
        <v>138.356765</v>
      </c>
      <c r="U245" s="19" t="n">
        <v>156.777934</v>
      </c>
      <c r="V245" s="19" t="n">
        <v>119.345797</v>
      </c>
      <c r="W245" s="19" t="n">
        <v>26.773822</v>
      </c>
      <c r="Y245">
        <f>B245</f>
        <v/>
      </c>
      <c r="Z245">
        <f>C245</f>
        <v/>
      </c>
      <c r="AA245" s="18">
        <f>SUM(AD245:AI245)+AK245+AL245</f>
        <v/>
      </c>
      <c r="AB245" s="18">
        <f>SUM(AD245:AI245)+AN245+AO245</f>
        <v/>
      </c>
      <c r="AC245" s="5">
        <f>AA245-AB245</f>
        <v/>
      </c>
      <c r="AD245" s="1">
        <f>D245/I245*W245*-1</f>
        <v/>
      </c>
      <c r="AE245" s="1">
        <f>E245/I245*W245</f>
        <v/>
      </c>
      <c r="AF245" s="1">
        <f t="array" ref="AF245">_xlfn.IFS(C245="Biomass_Corn", 1/I245*S245, C245="Biomass_Agri", 1/I245*V245, C245="Biomass_Wood", 1/I245*U245, C245="Biomass_Herb", 1/I245*T245)</f>
        <v/>
      </c>
      <c r="AG245" s="1">
        <f>M245/I245/(0.9*8760)</f>
        <v/>
      </c>
      <c r="AH245" s="1">
        <f>N245/I245/(0.9*8760)</f>
        <v/>
      </c>
      <c r="AI245" s="1">
        <f>O245/I245</f>
        <v/>
      </c>
      <c r="AJ245" s="1">
        <f>(AY245+AZ245+BA245+BB245+BC245-AW245)/I245</f>
        <v/>
      </c>
      <c r="AK245" s="1">
        <f>(Q245+R245)*-1*K245/I245</f>
        <v/>
      </c>
      <c r="AL245">
        <f>AJ245*Q245</f>
        <v/>
      </c>
      <c r="AM245" s="1">
        <f>(SUM(AY245:BB245)-AW245)/I245</f>
        <v/>
      </c>
      <c r="AN245" s="1">
        <f>K245/I245*-1*R245</f>
        <v/>
      </c>
      <c r="AO245">
        <f>AM245*Q245</f>
        <v/>
      </c>
      <c r="AQ245" s="17">
        <f>J245</f>
        <v/>
      </c>
      <c r="AR245" s="8" t="n">
        <v>0.243968185</v>
      </c>
      <c r="AS245" s="8" t="n">
        <v>0.249427613</v>
      </c>
      <c r="AT245" s="9" t="n">
        <v>0.246356685</v>
      </c>
      <c r="AU245" s="17" t="n">
        <v>0.23037491</v>
      </c>
      <c r="AW245" s="9">
        <f>AQ245</f>
        <v/>
      </c>
      <c r="AY245" s="9">
        <f>AR245*F245</f>
        <v/>
      </c>
      <c r="AZ245" s="9">
        <f>AS245*H245</f>
        <v/>
      </c>
      <c r="BA245" s="9">
        <f>AT245*G245</f>
        <v/>
      </c>
      <c r="BB245" s="9">
        <f>L245</f>
        <v/>
      </c>
      <c r="BC245" s="9">
        <f>K245</f>
        <v/>
      </c>
      <c r="BE245" s="1">
        <f>AW245-SUM(AY245:BC245)</f>
        <v/>
      </c>
    </row>
    <row r="246">
      <c r="B246" s="12" t="inlineStr">
        <is>
          <t>NE_FT_High_Jetfuel_CCS_99_Agri</t>
        </is>
      </c>
      <c r="C246" s="20" t="inlineStr">
        <is>
          <t>Biomass_Agri</t>
        </is>
      </c>
      <c r="D246" s="20" t="n">
        <v>0.4887</v>
      </c>
      <c r="E246" s="20" t="n">
        <v>0</v>
      </c>
      <c r="F246" s="20" t="n">
        <v>0.3028</v>
      </c>
      <c r="G246" s="20" t="n">
        <v>1.3499</v>
      </c>
      <c r="H246" s="20" t="n">
        <v>0</v>
      </c>
      <c r="I246" s="21">
        <f>F246+G246+H246</f>
        <v/>
      </c>
      <c r="J246" s="20" t="n">
        <v>1.715</v>
      </c>
      <c r="K246" s="20" t="n">
        <v>1.295875183580245</v>
      </c>
      <c r="L246" s="20" t="n">
        <v>0.0126931124717039</v>
      </c>
      <c r="M246" s="20" t="n">
        <v>818543.04</v>
      </c>
      <c r="N246" s="20" t="n">
        <v>359028.32</v>
      </c>
      <c r="O246" s="20" t="n">
        <v>52.08</v>
      </c>
      <c r="Q246" s="19" t="n">
        <v>109.479795</v>
      </c>
      <c r="R246" s="19" t="n">
        <v>-7.354813</v>
      </c>
      <c r="S246" s="19" t="n">
        <v>170</v>
      </c>
      <c r="T246" s="19" t="n">
        <v>138.356765</v>
      </c>
      <c r="U246" s="19" t="n">
        <v>156.777934</v>
      </c>
      <c r="V246" s="19" t="n">
        <v>119.345797</v>
      </c>
      <c r="W246" s="19" t="n">
        <v>26.773822</v>
      </c>
      <c r="Y246">
        <f>B246</f>
        <v/>
      </c>
      <c r="Z246">
        <f>C246</f>
        <v/>
      </c>
      <c r="AA246" s="18">
        <f>SUM(AD246:AI246)+AK246+AL246</f>
        <v/>
      </c>
      <c r="AB246" s="18">
        <f>SUM(AD246:AI246)+AN246+AO246</f>
        <v/>
      </c>
      <c r="AC246" s="5">
        <f>AA246-AB246</f>
        <v/>
      </c>
      <c r="AD246" s="1">
        <f>D246/I246*W246*-1</f>
        <v/>
      </c>
      <c r="AE246" s="1">
        <f>E246/I246*W246</f>
        <v/>
      </c>
      <c r="AF246" s="1">
        <f t="array" ref="AF246">_xlfn.IFS(C246="Biomass_Corn", 1/I246*S246, C246="Biomass_Agri", 1/I246*V246, C246="Biomass_Wood", 1/I246*U246, C246="Biomass_Herb", 1/I246*T246)</f>
        <v/>
      </c>
      <c r="AG246" s="1">
        <f>M246/I246/(0.9*8760)</f>
        <v/>
      </c>
      <c r="AH246" s="1">
        <f>N246/I246/(0.9*8760)</f>
        <v/>
      </c>
      <c r="AI246" s="1">
        <f>O246/I246</f>
        <v/>
      </c>
      <c r="AJ246" s="1">
        <f>(AY246+AZ246+BA246+BB246+BC246-AW246)/I246</f>
        <v/>
      </c>
      <c r="AK246" s="1">
        <f>(Q246+R246)*-1*K246/I246</f>
        <v/>
      </c>
      <c r="AL246">
        <f>AJ246*Q246</f>
        <v/>
      </c>
      <c r="AM246" s="1">
        <f>(SUM(AY246:BB246)-AW246)/I246</f>
        <v/>
      </c>
      <c r="AN246" s="1">
        <f>K246/I246*-1*R246</f>
        <v/>
      </c>
      <c r="AO246">
        <f>AM246*Q246</f>
        <v/>
      </c>
      <c r="AQ246" s="17">
        <f>J246</f>
        <v/>
      </c>
      <c r="AR246" s="8" t="n">
        <v>0.243968185</v>
      </c>
      <c r="AS246" s="8" t="n">
        <v>0.249427613</v>
      </c>
      <c r="AT246" s="9" t="n">
        <v>0.246356685</v>
      </c>
      <c r="AU246" s="17" t="n">
        <v>0.23037491</v>
      </c>
      <c r="AW246" s="9">
        <f>AQ246</f>
        <v/>
      </c>
      <c r="AY246" s="9">
        <f>AR246*F246</f>
        <v/>
      </c>
      <c r="AZ246" s="9">
        <f>AS246*H246</f>
        <v/>
      </c>
      <c r="BA246" s="9">
        <f>AT246*G246</f>
        <v/>
      </c>
      <c r="BB246" s="9">
        <f>L246</f>
        <v/>
      </c>
      <c r="BC246" s="9">
        <f>K246</f>
        <v/>
      </c>
      <c r="BE246" s="1">
        <f>AW246-SUM(AY246:BC246)</f>
        <v/>
      </c>
    </row>
    <row r="247">
      <c r="B247" s="12" t="n"/>
      <c r="C247" s="20" t="n"/>
      <c r="D247" s="20" t="n"/>
      <c r="E247" s="20" t="n"/>
      <c r="F247" s="20" t="n"/>
      <c r="G247" s="20" t="n"/>
      <c r="H247" s="20" t="n"/>
      <c r="I247" s="21">
        <f>F247+G247+H247</f>
        <v/>
      </c>
      <c r="J247" s="20" t="n"/>
      <c r="K247" s="20" t="n"/>
      <c r="L247" s="20" t="n"/>
      <c r="M247" s="20" t="n"/>
      <c r="N247" s="20" t="n"/>
      <c r="O247" s="20" t="n"/>
      <c r="Q247" s="19" t="n">
        <v>109.479795</v>
      </c>
      <c r="R247" s="19" t="n">
        <v>-7.354813</v>
      </c>
      <c r="S247" s="19" t="n">
        <v>170</v>
      </c>
      <c r="T247" s="19" t="n">
        <v>138.356765</v>
      </c>
      <c r="U247" s="19" t="n">
        <v>156.777934</v>
      </c>
      <c r="V247" s="19" t="n">
        <v>119.345797</v>
      </c>
      <c r="W247" s="19" t="n">
        <v>26.773822</v>
      </c>
      <c r="Y247">
        <f>B247</f>
        <v/>
      </c>
      <c r="Z247">
        <f>C247</f>
        <v/>
      </c>
      <c r="AA247" s="18">
        <f>SUM(AD247:AI247)+AK247+AL247</f>
        <v/>
      </c>
      <c r="AB247" s="18">
        <f>SUM(AD247:AI247)+AN247+AO247</f>
        <v/>
      </c>
      <c r="AC247" s="5">
        <f>AA247-AB247</f>
        <v/>
      </c>
      <c r="AD247" s="1">
        <f>D247/I247*W247*-1</f>
        <v/>
      </c>
      <c r="AE247" s="1">
        <f>E247/I247*W247</f>
        <v/>
      </c>
      <c r="AF247" s="1">
        <f t="array" ref="AF247">_xlfn.IFS(C247="Biomass_Corn", 1/I247*S247, C247="Biomass_Agri", 1/I247*V247, C247="Biomass_Wood", 1/I247*U247, C247="Biomass_Herb", 1/I247*T247)</f>
        <v/>
      </c>
      <c r="AG247" s="1">
        <f>M247/I247/(0.9*8760)</f>
        <v/>
      </c>
      <c r="AH247" s="1">
        <f>N247/I247/(0.9*8760)</f>
        <v/>
      </c>
      <c r="AI247" s="1">
        <f>O247/I247</f>
        <v/>
      </c>
      <c r="AJ247" s="1">
        <f>(AY247+AZ247+BA247+BB247+BC247-AW247)/I247</f>
        <v/>
      </c>
      <c r="AK247" s="1">
        <f>(Q247+R247)*-1*K247/I247</f>
        <v/>
      </c>
      <c r="AL247">
        <f>AJ247*Q247</f>
        <v/>
      </c>
      <c r="AM247" s="1">
        <f>(SUM(AY247:BB247)-AW247)/I247</f>
        <v/>
      </c>
      <c r="AN247" s="1">
        <f>K247/I247*-1*R247</f>
        <v/>
      </c>
      <c r="AO247">
        <f>AM247*Q247</f>
        <v/>
      </c>
      <c r="AQ247" s="17">
        <f>J247</f>
        <v/>
      </c>
      <c r="AR247" s="8" t="n">
        <v>0.243968185</v>
      </c>
      <c r="AS247" s="8" t="n">
        <v>0.249427613</v>
      </c>
      <c r="AT247" s="9" t="n">
        <v>0.246356685</v>
      </c>
      <c r="AU247" s="17" t="n">
        <v>0.23037491</v>
      </c>
      <c r="AW247" s="9">
        <f>AQ247</f>
        <v/>
      </c>
      <c r="AY247" s="9">
        <f>AR247*F247</f>
        <v/>
      </c>
      <c r="AZ247" s="9">
        <f>AS247*H247</f>
        <v/>
      </c>
      <c r="BA247" s="9">
        <f>AT247*G247</f>
        <v/>
      </c>
      <c r="BB247" s="9">
        <f>L247</f>
        <v/>
      </c>
      <c r="BC247" s="9">
        <f>K247</f>
        <v/>
      </c>
      <c r="BE247" s="1">
        <f>AW247-SUM(AY247:BC247)</f>
        <v/>
      </c>
    </row>
    <row r="248">
      <c r="B248" s="12" t="n"/>
      <c r="C248" s="20" t="n"/>
      <c r="D248" s="20" t="n"/>
      <c r="E248" s="20" t="n"/>
      <c r="F248" s="20" t="n"/>
      <c r="G248" s="20" t="n"/>
      <c r="H248" s="20" t="n"/>
      <c r="I248" s="21">
        <f>F248+G248+H248</f>
        <v/>
      </c>
      <c r="J248" s="20" t="n"/>
      <c r="K248" s="20" t="n"/>
      <c r="L248" s="20" t="n"/>
      <c r="M248" s="20" t="n"/>
      <c r="N248" s="20" t="n"/>
      <c r="O248" s="20" t="n"/>
      <c r="Q248" s="19" t="n">
        <v>109.479795</v>
      </c>
      <c r="R248" s="19" t="n">
        <v>-7.354813</v>
      </c>
      <c r="S248" s="19" t="n">
        <v>170</v>
      </c>
      <c r="T248" s="19" t="n">
        <v>138.356765</v>
      </c>
      <c r="U248" s="19" t="n">
        <v>156.777934</v>
      </c>
      <c r="V248" s="19" t="n">
        <v>119.345797</v>
      </c>
      <c r="W248" s="19" t="n">
        <v>26.773822</v>
      </c>
      <c r="Y248">
        <f>B248</f>
        <v/>
      </c>
      <c r="Z248">
        <f>C248</f>
        <v/>
      </c>
      <c r="AA248" s="18">
        <f>SUM(AD248:AI248)+AK248+AL248</f>
        <v/>
      </c>
      <c r="AB248" s="18">
        <f>SUM(AD248:AI248)+AN248+AO248</f>
        <v/>
      </c>
      <c r="AC248" s="5">
        <f>AA248-AB248</f>
        <v/>
      </c>
      <c r="AD248" s="1">
        <f>D248/I248*W248*-1</f>
        <v/>
      </c>
      <c r="AE248" s="1">
        <f>E248/I248*W248</f>
        <v/>
      </c>
      <c r="AF248" s="1">
        <f t="array" ref="AF248">_xlfn.IFS(C248="Biomass_Corn", 1/I248*S248, C248="Biomass_Agri", 1/I248*V248, C248="Biomass_Wood", 1/I248*U248, C248="Biomass_Herb", 1/I248*T248)</f>
        <v/>
      </c>
      <c r="AG248" s="1">
        <f>M248/I248/(0.9*8760)</f>
        <v/>
      </c>
      <c r="AH248" s="1">
        <f>N248/I248/(0.9*8760)</f>
        <v/>
      </c>
      <c r="AI248" s="1">
        <f>O248/I248</f>
        <v/>
      </c>
      <c r="AJ248" s="1">
        <f>(AY248+AZ248+BA248+BB248+BC248-AW248)/I248</f>
        <v/>
      </c>
      <c r="AK248" s="1">
        <f>(Q248+R248)*-1*K248/I248</f>
        <v/>
      </c>
      <c r="AL248">
        <f>AJ248*Q248</f>
        <v/>
      </c>
      <c r="AM248" s="1">
        <f>(SUM(AY248:BB248)-AW248)/I248</f>
        <v/>
      </c>
      <c r="AN248" s="1">
        <f>K248/I248*-1*R248</f>
        <v/>
      </c>
      <c r="AO248">
        <f>AM248*Q248</f>
        <v/>
      </c>
      <c r="AQ248" s="17">
        <f>J248</f>
        <v/>
      </c>
      <c r="AR248" s="8" t="n">
        <v>0.243968185</v>
      </c>
      <c r="AS248" s="8" t="n">
        <v>0.249427613</v>
      </c>
      <c r="AT248" s="9" t="n">
        <v>0.246356685</v>
      </c>
      <c r="AU248" s="17" t="n">
        <v>0.23037491</v>
      </c>
      <c r="AW248" s="9">
        <f>AQ248</f>
        <v/>
      </c>
      <c r="AY248" s="9">
        <f>AR248*F248</f>
        <v/>
      </c>
      <c r="AZ248" s="9">
        <f>AS248*H248</f>
        <v/>
      </c>
      <c r="BA248" s="9">
        <f>AT248*G248</f>
        <v/>
      </c>
      <c r="BB248" s="9">
        <f>L248</f>
        <v/>
      </c>
      <c r="BC248" s="9">
        <f>K248</f>
        <v/>
      </c>
      <c r="BE248" s="1">
        <f>AW248-SUM(AY248:BC248)</f>
        <v/>
      </c>
    </row>
    <row r="249">
      <c r="B249" s="12" t="n"/>
      <c r="C249" s="20" t="n"/>
      <c r="D249" s="20" t="n"/>
      <c r="E249" s="20" t="n"/>
      <c r="F249" s="20" t="n"/>
      <c r="G249" s="20" t="n"/>
      <c r="H249" s="20" t="n"/>
      <c r="I249" s="21">
        <f>F249+G249+H249</f>
        <v/>
      </c>
      <c r="J249" s="20" t="n"/>
      <c r="K249" s="20" t="n"/>
      <c r="L249" s="20" t="n"/>
      <c r="M249" s="20" t="n"/>
      <c r="N249" s="20" t="n"/>
      <c r="O249" s="20" t="n"/>
      <c r="Q249" s="19" t="n">
        <v>109.479795</v>
      </c>
      <c r="R249" s="19" t="n">
        <v>-7.354813</v>
      </c>
      <c r="S249" s="19" t="n">
        <v>170</v>
      </c>
      <c r="T249" s="19" t="n">
        <v>138.356765</v>
      </c>
      <c r="U249" s="19" t="n">
        <v>156.777934</v>
      </c>
      <c r="V249" s="19" t="n">
        <v>119.345797</v>
      </c>
      <c r="W249" s="19" t="n">
        <v>26.773822</v>
      </c>
      <c r="Y249">
        <f>B249</f>
        <v/>
      </c>
      <c r="Z249">
        <f>C249</f>
        <v/>
      </c>
      <c r="AA249" s="18">
        <f>SUM(AD249:AI249)+AK249+AL249</f>
        <v/>
      </c>
      <c r="AB249" s="18">
        <f>SUM(AD249:AI249)+AN249+AO249</f>
        <v/>
      </c>
      <c r="AC249" s="5">
        <f>AA249-AB249</f>
        <v/>
      </c>
      <c r="AD249" s="1">
        <f>D249/I249*W249*-1</f>
        <v/>
      </c>
      <c r="AE249" s="1">
        <f>E249/I249*W249</f>
        <v/>
      </c>
      <c r="AF249" s="1">
        <f t="array" ref="AF249">_xlfn.IFS(C249="Biomass_Corn", 1/I249*S249, C249="Biomass_Agri", 1/I249*V249, C249="Biomass_Wood", 1/I249*U249, C249="Biomass_Herb", 1/I249*T249)</f>
        <v/>
      </c>
      <c r="AG249" s="1">
        <f>M249/I249/(0.9*8760)</f>
        <v/>
      </c>
      <c r="AH249" s="1">
        <f>N249/I249/(0.9*8760)</f>
        <v/>
      </c>
      <c r="AI249" s="1">
        <f>O249/I249</f>
        <v/>
      </c>
      <c r="AJ249" s="1">
        <f>(AY249+AZ249+BA249+BB249+BC249-AW249)/I249</f>
        <v/>
      </c>
      <c r="AK249" s="1">
        <f>(Q249+R249)*-1*K249/I249</f>
        <v/>
      </c>
      <c r="AL249">
        <f>AJ249*Q249</f>
        <v/>
      </c>
      <c r="AM249" s="1">
        <f>(SUM(AY249:BB249)-AW249)/I249</f>
        <v/>
      </c>
      <c r="AN249" s="1">
        <f>K249/I249*-1*R249</f>
        <v/>
      </c>
      <c r="AO249">
        <f>AM249*Q249</f>
        <v/>
      </c>
      <c r="AQ249" s="17">
        <f>J249</f>
        <v/>
      </c>
      <c r="AR249" s="8" t="n">
        <v>0.243968185</v>
      </c>
      <c r="AS249" s="8" t="n">
        <v>0.249427613</v>
      </c>
      <c r="AT249" s="9" t="n">
        <v>0.246356685</v>
      </c>
      <c r="AU249" s="17" t="n">
        <v>0.23037491</v>
      </c>
      <c r="AW249" s="9">
        <f>AQ249</f>
        <v/>
      </c>
      <c r="AY249" s="9">
        <f>AR249*F249</f>
        <v/>
      </c>
      <c r="AZ249" s="9">
        <f>AS249*H249</f>
        <v/>
      </c>
      <c r="BA249" s="9">
        <f>AT249*G249</f>
        <v/>
      </c>
      <c r="BB249" s="9">
        <f>L249</f>
        <v/>
      </c>
      <c r="BC249" s="9">
        <f>K249</f>
        <v/>
      </c>
      <c r="BE249" s="1">
        <f>AW249-SUM(AY249:BC249)</f>
        <v/>
      </c>
    </row>
    <row r="250">
      <c r="B250" s="12" t="n"/>
      <c r="C250" s="20" t="n"/>
      <c r="D250" s="20" t="n"/>
      <c r="E250" s="20" t="n"/>
      <c r="F250" s="20" t="n"/>
      <c r="G250" s="20" t="n"/>
      <c r="H250" s="20" t="n"/>
      <c r="I250" s="21">
        <f>F250+G250+H250</f>
        <v/>
      </c>
      <c r="J250" s="20" t="n"/>
      <c r="K250" s="20" t="n"/>
      <c r="L250" s="20" t="n"/>
      <c r="M250" s="20" t="n"/>
      <c r="N250" s="20" t="n"/>
      <c r="O250" s="20" t="n"/>
      <c r="Q250" s="19" t="n">
        <v>109.479795</v>
      </c>
      <c r="R250" s="19" t="n">
        <v>-7.354813</v>
      </c>
      <c r="S250" s="19" t="n">
        <v>170</v>
      </c>
      <c r="T250" s="19" t="n">
        <v>138.356765</v>
      </c>
      <c r="U250" s="19" t="n">
        <v>156.777934</v>
      </c>
      <c r="V250" s="19" t="n">
        <v>119.345797</v>
      </c>
      <c r="W250" s="19" t="n">
        <v>26.773822</v>
      </c>
      <c r="Y250">
        <f>B250</f>
        <v/>
      </c>
      <c r="Z250">
        <f>C250</f>
        <v/>
      </c>
      <c r="AA250" s="18">
        <f>SUM(AD250:AI250)+AK250+AL250</f>
        <v/>
      </c>
      <c r="AB250" s="18">
        <f>SUM(AD250:AI250)+AN250+AO250</f>
        <v/>
      </c>
      <c r="AC250" s="5">
        <f>AA250-AB250</f>
        <v/>
      </c>
      <c r="AD250" s="1">
        <f>D250/I250*W250*-1</f>
        <v/>
      </c>
      <c r="AE250" s="1">
        <f>E250/I250*W250</f>
        <v/>
      </c>
      <c r="AF250" s="1">
        <f t="array" ref="AF250">_xlfn.IFS(C250="Biomass_Corn", 1/I250*S250, C250="Biomass_Agri", 1/I250*V250, C250="Biomass_Wood", 1/I250*U250, C250="Biomass_Herb", 1/I250*T250)</f>
        <v/>
      </c>
      <c r="AG250" s="1">
        <f>M250/I250/(0.9*8760)</f>
        <v/>
      </c>
      <c r="AH250" s="1">
        <f>N250/I250/(0.9*8760)</f>
        <v/>
      </c>
      <c r="AI250" s="1">
        <f>O250/I250</f>
        <v/>
      </c>
      <c r="AJ250" s="1">
        <f>(AY250+AZ250+BA250+BB250+BC250-AW250)/I250</f>
        <v/>
      </c>
      <c r="AK250" s="1">
        <f>(Q250+R250)*-1*K250/I250</f>
        <v/>
      </c>
      <c r="AL250">
        <f>AJ250*Q250</f>
        <v/>
      </c>
      <c r="AM250" s="1">
        <f>(SUM(AY250:BB250)-AW250)/I250</f>
        <v/>
      </c>
      <c r="AN250" s="1">
        <f>K250/I250*-1*R250</f>
        <v/>
      </c>
      <c r="AO250">
        <f>AM250*Q250</f>
        <v/>
      </c>
      <c r="AQ250" s="17">
        <f>J250</f>
        <v/>
      </c>
      <c r="AR250" s="8" t="n">
        <v>0.243968185</v>
      </c>
      <c r="AS250" s="8" t="n">
        <v>0.249427613</v>
      </c>
      <c r="AT250" s="9" t="n">
        <v>0.246356685</v>
      </c>
      <c r="AU250" s="17" t="n">
        <v>0.23037491</v>
      </c>
      <c r="AW250" s="9">
        <f>AQ250</f>
        <v/>
      </c>
      <c r="AY250" s="9">
        <f>AR250*F250</f>
        <v/>
      </c>
      <c r="AZ250" s="9">
        <f>AS250*H250</f>
        <v/>
      </c>
      <c r="BA250" s="9">
        <f>AT250*G250</f>
        <v/>
      </c>
      <c r="BB250" s="9">
        <f>L250</f>
        <v/>
      </c>
      <c r="BC250" s="9">
        <f>K250</f>
        <v/>
      </c>
      <c r="BE250" s="1">
        <f>AW250-SUM(AY250:BC250)</f>
        <v/>
      </c>
    </row>
    <row r="251">
      <c r="B251" s="12" t="n"/>
      <c r="C251" s="20" t="n"/>
      <c r="D251" s="20" t="n"/>
      <c r="E251" s="20" t="n"/>
      <c r="F251" s="20" t="n"/>
      <c r="G251" s="20" t="n"/>
      <c r="H251" s="20" t="n"/>
      <c r="I251" s="21">
        <f>F251+G251+H251</f>
        <v/>
      </c>
      <c r="J251" s="20" t="n"/>
      <c r="K251" s="20" t="n"/>
      <c r="L251" s="20" t="n"/>
      <c r="M251" s="20" t="n"/>
      <c r="N251" s="20" t="n"/>
      <c r="O251" s="20" t="n"/>
      <c r="Q251" s="19" t="n">
        <v>109.479795</v>
      </c>
      <c r="R251" s="19" t="n">
        <v>-7.354813</v>
      </c>
      <c r="S251" s="19" t="n">
        <v>170</v>
      </c>
      <c r="T251" s="19" t="n">
        <v>138.356765</v>
      </c>
      <c r="U251" s="19" t="n">
        <v>156.777934</v>
      </c>
      <c r="V251" s="19" t="n">
        <v>119.345797</v>
      </c>
      <c r="W251" s="19" t="n">
        <v>26.773822</v>
      </c>
      <c r="Y251">
        <f>B251</f>
        <v/>
      </c>
      <c r="Z251">
        <f>C251</f>
        <v/>
      </c>
      <c r="AA251" s="18">
        <f>SUM(AD251:AI251)+AK251+AL251</f>
        <v/>
      </c>
      <c r="AB251" s="18">
        <f>SUM(AD251:AI251)+AN251+AO251</f>
        <v/>
      </c>
      <c r="AC251" s="5">
        <f>AA251-AB251</f>
        <v/>
      </c>
      <c r="AD251" s="1">
        <f>D251/I251*W251*-1</f>
        <v/>
      </c>
      <c r="AE251" s="1">
        <f>E251/I251*W251</f>
        <v/>
      </c>
      <c r="AF251" s="1">
        <f t="array" ref="AF251">_xlfn.IFS(C251="Biomass_Corn", 1/I251*S251, C251="Biomass_Agri", 1/I251*V251, C251="Biomass_Wood", 1/I251*U251, C251="Biomass_Herb", 1/I251*T251)</f>
        <v/>
      </c>
      <c r="AG251" s="1">
        <f>M251/I251/(0.9*8760)</f>
        <v/>
      </c>
      <c r="AH251" s="1">
        <f>N251/I251/(0.9*8760)</f>
        <v/>
      </c>
      <c r="AI251" s="1">
        <f>O251/I251</f>
        <v/>
      </c>
      <c r="AJ251" s="1">
        <f>(AY251+AZ251+BA251+BB251+BC251-AW251)/I251</f>
        <v/>
      </c>
      <c r="AK251" s="1">
        <f>(Q251+R251)*-1*K251/I251</f>
        <v/>
      </c>
      <c r="AL251">
        <f>AJ251*Q251</f>
        <v/>
      </c>
      <c r="AM251" s="1">
        <f>(SUM(AY251:BB251)-AW251)/I251</f>
        <v/>
      </c>
      <c r="AN251" s="1">
        <f>K251/I251*-1*R251</f>
        <v/>
      </c>
      <c r="AO251">
        <f>AM251*Q251</f>
        <v/>
      </c>
      <c r="AQ251" s="17">
        <f>J251</f>
        <v/>
      </c>
      <c r="AR251" s="8" t="n">
        <v>0.243968185</v>
      </c>
      <c r="AS251" s="8" t="n">
        <v>0.249427613</v>
      </c>
      <c r="AT251" s="9" t="n">
        <v>0.246356685</v>
      </c>
      <c r="AU251" s="17" t="n">
        <v>0.23037491</v>
      </c>
      <c r="AW251" s="9">
        <f>AQ251</f>
        <v/>
      </c>
      <c r="AY251" s="9">
        <f>AR251*F251</f>
        <v/>
      </c>
      <c r="AZ251" s="9">
        <f>AS251*H251</f>
        <v/>
      </c>
      <c r="BA251" s="9">
        <f>AT251*G251</f>
        <v/>
      </c>
      <c r="BB251" s="9">
        <f>L251</f>
        <v/>
      </c>
      <c r="BC251" s="9">
        <f>K251</f>
        <v/>
      </c>
      <c r="BE251" s="1">
        <f>AW251-SUM(AY251:BC251)</f>
        <v/>
      </c>
    </row>
    <row r="252">
      <c r="B252" s="12" t="n"/>
      <c r="C252" s="20" t="n"/>
      <c r="D252" s="20" t="n"/>
      <c r="E252" s="20" t="n"/>
      <c r="F252" s="20" t="n"/>
      <c r="G252" s="20" t="n"/>
      <c r="H252" s="20" t="n"/>
      <c r="I252" s="21">
        <f>F252+G252+H252</f>
        <v/>
      </c>
      <c r="J252" s="20" t="n"/>
      <c r="K252" s="20" t="n"/>
      <c r="L252" s="20" t="n"/>
      <c r="M252" s="20" t="n"/>
      <c r="N252" s="20" t="n"/>
      <c r="O252" s="20" t="n"/>
      <c r="Q252" s="19" t="n">
        <v>109.479795</v>
      </c>
      <c r="R252" s="19" t="n">
        <v>-7.354813</v>
      </c>
      <c r="S252" s="19" t="n">
        <v>170</v>
      </c>
      <c r="T252" s="19" t="n">
        <v>138.356765</v>
      </c>
      <c r="U252" s="19" t="n">
        <v>156.777934</v>
      </c>
      <c r="V252" s="19" t="n">
        <v>119.345797</v>
      </c>
      <c r="W252" s="19" t="n">
        <v>26.773822</v>
      </c>
      <c r="Y252">
        <f>B252</f>
        <v/>
      </c>
      <c r="Z252">
        <f>C252</f>
        <v/>
      </c>
      <c r="AA252" s="18">
        <f>SUM(AD252:AI252)+AK252+AL252</f>
        <v/>
      </c>
      <c r="AB252" s="18">
        <f>SUM(AD252:AI252)+AN252+AO252</f>
        <v/>
      </c>
      <c r="AC252" s="5">
        <f>AA252-AB252</f>
        <v/>
      </c>
      <c r="AD252" s="1">
        <f>D252/I252*W252*-1</f>
        <v/>
      </c>
      <c r="AE252" s="1">
        <f>E252/I252*W252</f>
        <v/>
      </c>
      <c r="AF252" s="1">
        <f t="array" ref="AF252">_xlfn.IFS(C252="Biomass_Corn", 1/I252*S252, C252="Biomass_Agri", 1/I252*V252, C252="Biomass_Wood", 1/I252*U252, C252="Biomass_Herb", 1/I252*T252)</f>
        <v/>
      </c>
      <c r="AG252" s="1">
        <f>M252/I252/(0.9*8760)</f>
        <v/>
      </c>
      <c r="AH252" s="1">
        <f>N252/I252/(0.9*8760)</f>
        <v/>
      </c>
      <c r="AI252" s="1">
        <f>O252/I252</f>
        <v/>
      </c>
      <c r="AJ252" s="1">
        <f>(AY252+AZ252+BA252+BB252+BC252-AW252)/I252</f>
        <v/>
      </c>
      <c r="AK252" s="1">
        <f>(Q252+R252)*-1*K252/I252</f>
        <v/>
      </c>
      <c r="AL252">
        <f>AJ252*Q252</f>
        <v/>
      </c>
      <c r="AM252" s="1">
        <f>(SUM(AY252:BB252)-AW252)/I252</f>
        <v/>
      </c>
      <c r="AN252" s="1">
        <f>K252/I252*-1*R252</f>
        <v/>
      </c>
      <c r="AO252">
        <f>AM252*Q252</f>
        <v/>
      </c>
      <c r="AQ252" s="17">
        <f>J252</f>
        <v/>
      </c>
      <c r="AR252" s="8" t="n">
        <v>0.243968185</v>
      </c>
      <c r="AS252" s="8" t="n">
        <v>0.249427613</v>
      </c>
      <c r="AT252" s="9" t="n">
        <v>0.246356685</v>
      </c>
      <c r="AU252" s="17" t="n">
        <v>0.23037491</v>
      </c>
      <c r="AW252" s="9">
        <f>AQ252</f>
        <v/>
      </c>
      <c r="AY252" s="9">
        <f>AR252*F252</f>
        <v/>
      </c>
      <c r="AZ252" s="9">
        <f>AS252*H252</f>
        <v/>
      </c>
      <c r="BA252" s="9">
        <f>AT252*G252</f>
        <v/>
      </c>
      <c r="BB252" s="9">
        <f>L252</f>
        <v/>
      </c>
      <c r="BC252" s="9">
        <f>K252</f>
        <v/>
      </c>
      <c r="BE252" s="1">
        <f>AW252-SUM(AY252:BC252)</f>
        <v/>
      </c>
    </row>
    <row r="253">
      <c r="B253" s="12" t="n"/>
      <c r="C253" s="20" t="n"/>
      <c r="D253" s="20" t="n"/>
      <c r="E253" s="20" t="n"/>
      <c r="F253" s="20" t="n"/>
      <c r="G253" s="20" t="n"/>
      <c r="H253" s="20" t="n"/>
      <c r="I253" s="21">
        <f>F253+G253+H253</f>
        <v/>
      </c>
      <c r="J253" s="20" t="n"/>
      <c r="K253" s="20" t="n"/>
      <c r="L253" s="20" t="n"/>
      <c r="M253" s="20" t="n"/>
      <c r="N253" s="20" t="n"/>
      <c r="O253" s="20" t="n"/>
      <c r="Q253" s="19" t="n">
        <v>109.479795</v>
      </c>
      <c r="R253" s="19" t="n">
        <v>-7.354813</v>
      </c>
      <c r="S253" s="19" t="n">
        <v>170</v>
      </c>
      <c r="T253" s="19" t="n">
        <v>138.356765</v>
      </c>
      <c r="U253" s="19" t="n">
        <v>156.777934</v>
      </c>
      <c r="V253" s="19" t="n">
        <v>119.345797</v>
      </c>
      <c r="W253" s="19" t="n">
        <v>26.773822</v>
      </c>
      <c r="Y253">
        <f>B253</f>
        <v/>
      </c>
      <c r="Z253">
        <f>C253</f>
        <v/>
      </c>
      <c r="AA253" s="18">
        <f>SUM(AD253:AI253)+AK253+AL253</f>
        <v/>
      </c>
      <c r="AB253" s="18">
        <f>SUM(AD253:AI253)+AN253+AO253</f>
        <v/>
      </c>
      <c r="AC253" s="5">
        <f>AA253-AB253</f>
        <v/>
      </c>
      <c r="AD253" s="1">
        <f>D253/I253*W253*-1</f>
        <v/>
      </c>
      <c r="AE253" s="1">
        <f>E253/I253*W253</f>
        <v/>
      </c>
      <c r="AF253" s="1">
        <f t="array" ref="AF253">_xlfn.IFS(C253="Biomass_Corn", 1/I253*S253, C253="Biomass_Agri", 1/I253*V253, C253="Biomass_Wood", 1/I253*U253, C253="Biomass_Herb", 1/I253*T253)</f>
        <v/>
      </c>
      <c r="AG253" s="1">
        <f>M253/I253/(0.9*8760)</f>
        <v/>
      </c>
      <c r="AH253" s="1">
        <f>N253/I253/(0.9*8760)</f>
        <v/>
      </c>
      <c r="AI253" s="1">
        <f>O253/I253</f>
        <v/>
      </c>
      <c r="AJ253" s="1">
        <f>(AY253+AZ253+BA253+BB253+BC253-AW253)/I253</f>
        <v/>
      </c>
      <c r="AK253" s="1">
        <f>(Q253+R253)*-1*K253/I253</f>
        <v/>
      </c>
      <c r="AL253">
        <f>AJ253*Q253</f>
        <v/>
      </c>
      <c r="AM253" s="1">
        <f>(SUM(AY253:BB253)-AW253)/I253</f>
        <v/>
      </c>
      <c r="AN253" s="1">
        <f>K253/I253*-1*R253</f>
        <v/>
      </c>
      <c r="AO253">
        <f>AM253*Q253</f>
        <v/>
      </c>
      <c r="AQ253" s="17">
        <f>J253</f>
        <v/>
      </c>
      <c r="AR253" s="8" t="n">
        <v>0.243968185</v>
      </c>
      <c r="AS253" s="8" t="n">
        <v>0.249427613</v>
      </c>
      <c r="AT253" s="9" t="n">
        <v>0.246356685</v>
      </c>
      <c r="AU253" s="17" t="n">
        <v>0.23037491</v>
      </c>
      <c r="AW253" s="9">
        <f>AQ253</f>
        <v/>
      </c>
      <c r="AY253" s="9">
        <f>AR253*F253</f>
        <v/>
      </c>
      <c r="AZ253" s="9">
        <f>AS253*H253</f>
        <v/>
      </c>
      <c r="BA253" s="9">
        <f>AT253*G253</f>
        <v/>
      </c>
      <c r="BB253" s="9">
        <f>L253</f>
        <v/>
      </c>
      <c r="BC253" s="9">
        <f>K253</f>
        <v/>
      </c>
      <c r="BE253" s="1">
        <f>AW253-SUM(AY253:BC253)</f>
        <v/>
      </c>
    </row>
    <row r="254">
      <c r="B254" s="12" t="n"/>
      <c r="C254" s="20" t="n"/>
      <c r="D254" s="20" t="n"/>
      <c r="E254" s="20" t="n"/>
      <c r="F254" s="20" t="n"/>
      <c r="G254" s="20" t="n"/>
      <c r="H254" s="20" t="n"/>
      <c r="I254" s="21">
        <f>F254+G254+H254</f>
        <v/>
      </c>
      <c r="J254" s="20" t="n"/>
      <c r="K254" s="20" t="n"/>
      <c r="L254" s="20" t="n"/>
      <c r="M254" s="20" t="n"/>
      <c r="N254" s="20" t="n"/>
      <c r="O254" s="20" t="n"/>
      <c r="Q254" s="19" t="n">
        <v>109.479795</v>
      </c>
      <c r="R254" s="19" t="n">
        <v>-7.354813</v>
      </c>
      <c r="S254" s="19" t="n">
        <v>170</v>
      </c>
      <c r="T254" s="19" t="n">
        <v>138.356765</v>
      </c>
      <c r="U254" s="19" t="n">
        <v>156.777934</v>
      </c>
      <c r="V254" s="19" t="n">
        <v>119.345797</v>
      </c>
      <c r="W254" s="19" t="n">
        <v>26.773822</v>
      </c>
      <c r="Y254">
        <f>B254</f>
        <v/>
      </c>
      <c r="Z254">
        <f>C254</f>
        <v/>
      </c>
      <c r="AA254" s="18">
        <f>SUM(AD254:AI254)+AK254+AL254</f>
        <v/>
      </c>
      <c r="AB254" s="18">
        <f>SUM(AD254:AI254)+AN254+AO254</f>
        <v/>
      </c>
      <c r="AC254" s="5">
        <f>AA254-AB254</f>
        <v/>
      </c>
      <c r="AD254" s="1">
        <f>D254/I254*W254*-1</f>
        <v/>
      </c>
      <c r="AE254" s="1">
        <f>E254/I254*W254</f>
        <v/>
      </c>
      <c r="AF254" s="1">
        <f t="array" ref="AF254">_xlfn.IFS(C254="Biomass_Corn", 1/I254*S254, C254="Biomass_Agri", 1/I254*V254, C254="Biomass_Wood", 1/I254*U254, C254="Biomass_Herb", 1/I254*T254)</f>
        <v/>
      </c>
      <c r="AG254" s="1">
        <f>M254/I254/(0.9*8760)</f>
        <v/>
      </c>
      <c r="AH254" s="1">
        <f>N254/I254/(0.9*8760)</f>
        <v/>
      </c>
      <c r="AI254" s="1">
        <f>O254/I254</f>
        <v/>
      </c>
      <c r="AJ254" s="1">
        <f>(AY254+AZ254+BA254+BB254+BC254-AW254)/I254</f>
        <v/>
      </c>
      <c r="AK254" s="1">
        <f>(Q254+R254)*-1*K254/I254</f>
        <v/>
      </c>
      <c r="AL254">
        <f>AJ254*Q254</f>
        <v/>
      </c>
      <c r="AM254" s="1">
        <f>(SUM(AY254:BB254)-AW254)/I254</f>
        <v/>
      </c>
      <c r="AN254" s="1">
        <f>K254/I254*-1*R254</f>
        <v/>
      </c>
      <c r="AO254">
        <f>AM254*Q254</f>
        <v/>
      </c>
      <c r="AQ254" s="17">
        <f>J254</f>
        <v/>
      </c>
      <c r="AR254" s="8" t="n">
        <v>0.243968185</v>
      </c>
      <c r="AS254" s="8" t="n">
        <v>0.249427613</v>
      </c>
      <c r="AT254" s="9" t="n">
        <v>0.246356685</v>
      </c>
      <c r="AU254" s="17" t="n">
        <v>0.23037491</v>
      </c>
      <c r="AW254" s="9">
        <f>AQ254</f>
        <v/>
      </c>
      <c r="AY254" s="9">
        <f>AR254*F254</f>
        <v/>
      </c>
      <c r="AZ254" s="9">
        <f>AS254*H254</f>
        <v/>
      </c>
      <c r="BA254" s="9">
        <f>AT254*G254</f>
        <v/>
      </c>
      <c r="BB254" s="9">
        <f>L254</f>
        <v/>
      </c>
      <c r="BC254" s="9">
        <f>K254</f>
        <v/>
      </c>
      <c r="BE254" s="1">
        <f>AW254-SUM(AY254:BC254)</f>
        <v/>
      </c>
    </row>
    <row r="255">
      <c r="B255" s="12" t="n"/>
      <c r="C255" s="20" t="n"/>
      <c r="D255" s="20" t="n"/>
      <c r="E255" s="20" t="n"/>
      <c r="F255" s="20" t="n"/>
      <c r="G255" s="20" t="n"/>
      <c r="H255" s="20" t="n"/>
      <c r="I255" s="21">
        <f>F255+G255+H255</f>
        <v/>
      </c>
      <c r="J255" s="20" t="n"/>
      <c r="K255" s="20" t="n"/>
      <c r="L255" s="20" t="n"/>
      <c r="M255" s="20" t="n"/>
      <c r="N255" s="20" t="n"/>
      <c r="O255" s="20" t="n"/>
      <c r="Q255" s="19" t="n">
        <v>109.479795</v>
      </c>
      <c r="R255" s="19" t="n">
        <v>-7.354813</v>
      </c>
      <c r="S255" s="19" t="n">
        <v>170</v>
      </c>
      <c r="T255" s="19" t="n">
        <v>138.356765</v>
      </c>
      <c r="U255" s="19" t="n">
        <v>156.777934</v>
      </c>
      <c r="V255" s="19" t="n">
        <v>119.345797</v>
      </c>
      <c r="W255" s="19" t="n">
        <v>26.773822</v>
      </c>
      <c r="Y255">
        <f>B255</f>
        <v/>
      </c>
      <c r="Z255">
        <f>C255</f>
        <v/>
      </c>
      <c r="AA255" s="18">
        <f>SUM(AD255:AI255)+AK255+AL255</f>
        <v/>
      </c>
      <c r="AB255" s="18">
        <f>SUM(AD255:AI255)+AN255+AO255</f>
        <v/>
      </c>
      <c r="AC255" s="5">
        <f>AA255-AB255</f>
        <v/>
      </c>
      <c r="AD255" s="1">
        <f>D255/I255*W255*-1</f>
        <v/>
      </c>
      <c r="AE255" s="1">
        <f>E255/I255*W255</f>
        <v/>
      </c>
      <c r="AF255" s="1">
        <f t="array" ref="AF255">_xlfn.IFS(C255="Biomass_Corn", 1/I255*S255, C255="Biomass_Agri", 1/I255*V255, C255="Biomass_Wood", 1/I255*U255, C255="Biomass_Herb", 1/I255*T255)</f>
        <v/>
      </c>
      <c r="AG255" s="1">
        <f>M255/I255/(0.9*8760)</f>
        <v/>
      </c>
      <c r="AH255" s="1">
        <f>N255/I255/(0.9*8760)</f>
        <v/>
      </c>
      <c r="AI255" s="1">
        <f>O255/I255</f>
        <v/>
      </c>
      <c r="AJ255" s="1">
        <f>(AY255+AZ255+BA255+BB255+BC255-AW255)/I255</f>
        <v/>
      </c>
      <c r="AK255" s="1">
        <f>(Q255+R255)*-1*K255/I255</f>
        <v/>
      </c>
      <c r="AL255">
        <f>AJ255*Q255</f>
        <v/>
      </c>
      <c r="AM255" s="1">
        <f>(SUM(AY255:BB255)-AW255)/I255</f>
        <v/>
      </c>
      <c r="AN255" s="1">
        <f>K255/I255*-1*R255</f>
        <v/>
      </c>
      <c r="AO255">
        <f>AM255*Q255</f>
        <v/>
      </c>
      <c r="AQ255" s="17">
        <f>J255</f>
        <v/>
      </c>
      <c r="AR255" s="8" t="n">
        <v>0.243968185</v>
      </c>
      <c r="AS255" s="8" t="n">
        <v>0.249427613</v>
      </c>
      <c r="AT255" s="9" t="n">
        <v>0.246356685</v>
      </c>
      <c r="AU255" s="17" t="n">
        <v>0.23037491</v>
      </c>
      <c r="AW255" s="9">
        <f>AQ255</f>
        <v/>
      </c>
      <c r="AY255" s="9">
        <f>AR255*F255</f>
        <v/>
      </c>
      <c r="AZ255" s="9">
        <f>AS255*H255</f>
        <v/>
      </c>
      <c r="BA255" s="9">
        <f>AT255*G255</f>
        <v/>
      </c>
      <c r="BB255" s="9">
        <f>L255</f>
        <v/>
      </c>
      <c r="BC255" s="9">
        <f>K255</f>
        <v/>
      </c>
      <c r="BE255" s="1">
        <f>AW255-SUM(AY255:BC255)</f>
        <v/>
      </c>
    </row>
    <row r="256">
      <c r="B256" s="12" t="n"/>
      <c r="C256" s="20" t="n"/>
      <c r="D256" s="20" t="n"/>
      <c r="E256" s="20" t="n"/>
      <c r="F256" s="20" t="n"/>
      <c r="G256" s="20" t="n"/>
      <c r="H256" s="20" t="n"/>
      <c r="I256" s="21">
        <f>F256+G256+H256</f>
        <v/>
      </c>
      <c r="J256" s="20" t="n"/>
      <c r="K256" s="20" t="n"/>
      <c r="L256" s="20" t="n"/>
      <c r="M256" s="20" t="n"/>
      <c r="N256" s="20" t="n"/>
      <c r="O256" s="20" t="n"/>
      <c r="Q256" s="19" t="n">
        <v>109.479795</v>
      </c>
      <c r="R256" s="19" t="n">
        <v>-7.354813</v>
      </c>
      <c r="S256" s="19" t="n">
        <v>170</v>
      </c>
      <c r="T256" s="19" t="n">
        <v>138.356765</v>
      </c>
      <c r="U256" s="19" t="n">
        <v>156.777934</v>
      </c>
      <c r="V256" s="19" t="n">
        <v>119.345797</v>
      </c>
      <c r="W256" s="19" t="n">
        <v>26.773822</v>
      </c>
      <c r="Y256">
        <f>B256</f>
        <v/>
      </c>
      <c r="Z256">
        <f>C256</f>
        <v/>
      </c>
      <c r="AA256" s="18">
        <f>SUM(AD256:AI256)+AK256+AL256</f>
        <v/>
      </c>
      <c r="AB256" s="18">
        <f>SUM(AD256:AI256)+AN256+AO256</f>
        <v/>
      </c>
      <c r="AC256" s="5">
        <f>AA256-AB256</f>
        <v/>
      </c>
      <c r="AD256" s="1">
        <f>D256/I256*W256*-1</f>
        <v/>
      </c>
      <c r="AE256" s="1">
        <f>E256/I256*W256</f>
        <v/>
      </c>
      <c r="AF256" s="1">
        <f t="array" ref="AF256">_xlfn.IFS(C256="Biomass_Corn", 1/I256*S256, C256="Biomass_Agri", 1/I256*V256, C256="Biomass_Wood", 1/I256*U256, C256="Biomass_Herb", 1/I256*T256)</f>
        <v/>
      </c>
      <c r="AG256" s="1">
        <f>M256/I256/(0.9*8760)</f>
        <v/>
      </c>
      <c r="AH256" s="1">
        <f>N256/I256/(0.9*8760)</f>
        <v/>
      </c>
      <c r="AI256" s="1">
        <f>O256/I256</f>
        <v/>
      </c>
      <c r="AJ256" s="1">
        <f>(AY256+AZ256+BA256+BB256+BC256-AW256)/I256</f>
        <v/>
      </c>
      <c r="AK256" s="1">
        <f>(Q256+R256)*-1*K256/I256</f>
        <v/>
      </c>
      <c r="AL256">
        <f>AJ256*Q256</f>
        <v/>
      </c>
      <c r="AM256" s="1">
        <f>(SUM(AY256:BB256)-AW256)/I256</f>
        <v/>
      </c>
      <c r="AN256" s="1">
        <f>K256/I256*-1*R256</f>
        <v/>
      </c>
      <c r="AO256">
        <f>AM256*Q256</f>
        <v/>
      </c>
      <c r="AQ256" s="17">
        <f>J256</f>
        <v/>
      </c>
      <c r="AR256" s="8" t="n">
        <v>0.243968185</v>
      </c>
      <c r="AS256" s="8" t="n">
        <v>0.249427613</v>
      </c>
      <c r="AT256" s="9" t="n">
        <v>0.246356685</v>
      </c>
      <c r="AU256" s="17" t="n">
        <v>0.23037491</v>
      </c>
      <c r="AW256" s="9">
        <f>AQ256</f>
        <v/>
      </c>
      <c r="AY256" s="9">
        <f>AR256*F256</f>
        <v/>
      </c>
      <c r="AZ256" s="9">
        <f>AS256*H256</f>
        <v/>
      </c>
      <c r="BA256" s="9">
        <f>AT256*G256</f>
        <v/>
      </c>
      <c r="BB256" s="9">
        <f>L256</f>
        <v/>
      </c>
      <c r="BC256" s="9">
        <f>K256</f>
        <v/>
      </c>
      <c r="BE256" s="1">
        <f>AW256-SUM(AY256:BC256)</f>
        <v/>
      </c>
    </row>
    <row r="257">
      <c r="B257" s="12" t="n"/>
      <c r="C257" s="20" t="n"/>
      <c r="D257" s="20" t="n"/>
      <c r="E257" s="20" t="n"/>
      <c r="F257" s="20" t="n"/>
      <c r="G257" s="20" t="n"/>
      <c r="H257" s="20" t="n"/>
      <c r="I257" s="21">
        <f>F257+G257+H257</f>
        <v/>
      </c>
      <c r="J257" s="20" t="n"/>
      <c r="K257" s="20" t="n"/>
      <c r="L257" s="20" t="n"/>
      <c r="M257" s="20" t="n"/>
      <c r="N257" s="20" t="n"/>
      <c r="O257" s="20" t="n"/>
      <c r="Q257" s="19" t="n">
        <v>109.479795</v>
      </c>
      <c r="R257" s="19" t="n">
        <v>-7.354813</v>
      </c>
      <c r="S257" s="19" t="n">
        <v>170</v>
      </c>
      <c r="T257" s="19" t="n">
        <v>138.356765</v>
      </c>
      <c r="U257" s="19" t="n">
        <v>156.777934</v>
      </c>
      <c r="V257" s="19" t="n">
        <v>119.345797</v>
      </c>
      <c r="W257" s="19" t="n">
        <v>26.773822</v>
      </c>
      <c r="Y257">
        <f>B257</f>
        <v/>
      </c>
      <c r="Z257">
        <f>C257</f>
        <v/>
      </c>
      <c r="AA257" s="18">
        <f>SUM(AD257:AI257)+AK257+AL257</f>
        <v/>
      </c>
      <c r="AB257" s="18">
        <f>SUM(AD257:AI257)+AN257+AO257</f>
        <v/>
      </c>
      <c r="AC257" s="5">
        <f>AA257-AB257</f>
        <v/>
      </c>
      <c r="AD257" s="1">
        <f>D257/I257*W257*-1</f>
        <v/>
      </c>
      <c r="AE257" s="1">
        <f>E257/I257*W257</f>
        <v/>
      </c>
      <c r="AF257" s="1">
        <f t="array" ref="AF257">_xlfn.IFS(C257="Biomass_Corn", 1/I257*S257, C257="Biomass_Agri", 1/I257*V257, C257="Biomass_Wood", 1/I257*U257, C257="Biomass_Herb", 1/I257*T257)</f>
        <v/>
      </c>
      <c r="AG257" s="1">
        <f>M257/I257/(0.9*8760)</f>
        <v/>
      </c>
      <c r="AH257" s="1">
        <f>N257/I257/(0.9*8760)</f>
        <v/>
      </c>
      <c r="AI257" s="1">
        <f>O257/I257</f>
        <v/>
      </c>
      <c r="AJ257" s="1">
        <f>(AY257+AZ257+BA257+BB257+BC257-AW257)/I257</f>
        <v/>
      </c>
      <c r="AK257" s="1">
        <f>(Q257+R257)*-1*K257/I257</f>
        <v/>
      </c>
      <c r="AL257">
        <f>AJ257*Q257</f>
        <v/>
      </c>
      <c r="AM257" s="1">
        <f>(SUM(AY257:BB257)-AW257)/I257</f>
        <v/>
      </c>
      <c r="AN257" s="1">
        <f>K257/I257*-1*R257</f>
        <v/>
      </c>
      <c r="AO257">
        <f>AM257*Q257</f>
        <v/>
      </c>
      <c r="AQ257" s="17">
        <f>J257</f>
        <v/>
      </c>
      <c r="AR257" s="8" t="n">
        <v>0.243968185</v>
      </c>
      <c r="AS257" s="8" t="n">
        <v>0.249427613</v>
      </c>
      <c r="AT257" s="9" t="n">
        <v>0.246356685</v>
      </c>
      <c r="AU257" s="17" t="n">
        <v>0.23037491</v>
      </c>
      <c r="AW257" s="9">
        <f>AQ257</f>
        <v/>
      </c>
      <c r="AY257" s="9">
        <f>AR257*F257</f>
        <v/>
      </c>
      <c r="AZ257" s="9">
        <f>AS257*H257</f>
        <v/>
      </c>
      <c r="BA257" s="9">
        <f>AT257*G257</f>
        <v/>
      </c>
      <c r="BB257" s="9">
        <f>L257</f>
        <v/>
      </c>
      <c r="BC257" s="9">
        <f>K257</f>
        <v/>
      </c>
      <c r="BE257" s="1">
        <f>AW257-SUM(AY257:BC257)</f>
        <v/>
      </c>
    </row>
    <row r="258">
      <c r="B258" s="12" t="n"/>
      <c r="C258" s="20" t="n"/>
      <c r="D258" s="20" t="n"/>
      <c r="E258" s="20" t="n"/>
      <c r="F258" s="20" t="n"/>
      <c r="G258" s="20" t="n"/>
      <c r="H258" s="20" t="n"/>
      <c r="I258" s="21">
        <f>F258+G258+H258</f>
        <v/>
      </c>
      <c r="J258" s="20" t="n"/>
      <c r="K258" s="20" t="n"/>
      <c r="L258" s="20" t="n"/>
      <c r="M258" s="20" t="n"/>
      <c r="N258" s="20" t="n"/>
      <c r="O258" s="20" t="n"/>
      <c r="Q258" s="19" t="n">
        <v>109.479795</v>
      </c>
      <c r="R258" s="19" t="n">
        <v>-7.354813</v>
      </c>
      <c r="S258" s="19" t="n">
        <v>170</v>
      </c>
      <c r="T258" s="19" t="n">
        <v>138.356765</v>
      </c>
      <c r="U258" s="19" t="n">
        <v>156.777934</v>
      </c>
      <c r="V258" s="19" t="n">
        <v>119.345797</v>
      </c>
      <c r="W258" s="19" t="n">
        <v>26.773822</v>
      </c>
      <c r="Y258">
        <f>B258</f>
        <v/>
      </c>
      <c r="Z258">
        <f>C258</f>
        <v/>
      </c>
      <c r="AA258" s="18">
        <f>SUM(AD258:AI258)+AK258+AL258</f>
        <v/>
      </c>
      <c r="AB258" s="18">
        <f>SUM(AD258:AI258)+AN258+AO258</f>
        <v/>
      </c>
      <c r="AC258" s="5">
        <f>AA258-AB258</f>
        <v/>
      </c>
      <c r="AD258" s="1">
        <f>D258/I258*W258*-1</f>
        <v/>
      </c>
      <c r="AE258" s="1">
        <f>E258/I258*W258</f>
        <v/>
      </c>
      <c r="AF258" s="1">
        <f t="array" ref="AF258">_xlfn.IFS(C258="Biomass_Corn", 1/I258*S258, C258="Biomass_Agri", 1/I258*V258, C258="Biomass_Wood", 1/I258*U258, C258="Biomass_Herb", 1/I258*T258)</f>
        <v/>
      </c>
      <c r="AG258" s="1">
        <f>M258/I258/(0.9*8760)</f>
        <v/>
      </c>
      <c r="AH258" s="1">
        <f>N258/I258/(0.9*8760)</f>
        <v/>
      </c>
      <c r="AI258" s="1">
        <f>O258/I258</f>
        <v/>
      </c>
      <c r="AJ258" s="1">
        <f>(AY258+AZ258+BA258+BB258+BC258-AW258)/I258</f>
        <v/>
      </c>
      <c r="AK258" s="1">
        <f>(Q258+R258)*-1*K258/I258</f>
        <v/>
      </c>
      <c r="AL258">
        <f>AJ258*Q258</f>
        <v/>
      </c>
      <c r="AM258" s="1">
        <f>(SUM(AY258:BB258)-AW258)/I258</f>
        <v/>
      </c>
      <c r="AN258" s="1">
        <f>K258/I258*-1*R258</f>
        <v/>
      </c>
      <c r="AO258">
        <f>AM258*Q258</f>
        <v/>
      </c>
      <c r="AQ258" s="17">
        <f>J258</f>
        <v/>
      </c>
      <c r="AR258" s="8" t="n">
        <v>0.243968185</v>
      </c>
      <c r="AS258" s="8" t="n">
        <v>0.249427613</v>
      </c>
      <c r="AT258" s="9" t="n">
        <v>0.246356685</v>
      </c>
      <c r="AU258" s="17" t="n">
        <v>0.23037491</v>
      </c>
      <c r="AW258" s="9">
        <f>AQ258</f>
        <v/>
      </c>
      <c r="AY258" s="9">
        <f>AR258*F258</f>
        <v/>
      </c>
      <c r="AZ258" s="9">
        <f>AS258*H258</f>
        <v/>
      </c>
      <c r="BA258" s="9">
        <f>AT258*G258</f>
        <v/>
      </c>
      <c r="BB258" s="9">
        <f>L258</f>
        <v/>
      </c>
      <c r="BC258" s="9">
        <f>K258</f>
        <v/>
      </c>
      <c r="BE258" s="1">
        <f>AW258-SUM(AY258:BC258)</f>
        <v/>
      </c>
    </row>
    <row r="259">
      <c r="B259" s="12" t="n"/>
      <c r="C259" s="20" t="n"/>
      <c r="D259" s="20" t="n"/>
      <c r="E259" s="20" t="n"/>
      <c r="F259" s="20" t="n"/>
      <c r="G259" s="20" t="n"/>
      <c r="H259" s="20" t="n"/>
      <c r="I259" s="21">
        <f>F259+G259+H259</f>
        <v/>
      </c>
      <c r="J259" s="20" t="n"/>
      <c r="K259" s="20" t="n"/>
      <c r="L259" s="20" t="n"/>
      <c r="M259" s="20" t="n"/>
      <c r="N259" s="20" t="n"/>
      <c r="O259" s="20" t="n"/>
      <c r="Q259" s="19" t="n">
        <v>109.479795</v>
      </c>
      <c r="R259" s="19" t="n">
        <v>-7.354813</v>
      </c>
      <c r="S259" s="19" t="n">
        <v>170</v>
      </c>
      <c r="T259" s="19" t="n">
        <v>138.356765</v>
      </c>
      <c r="U259" s="19" t="n">
        <v>156.777934</v>
      </c>
      <c r="V259" s="19" t="n">
        <v>119.345797</v>
      </c>
      <c r="W259" s="19" t="n">
        <v>26.773822</v>
      </c>
      <c r="Y259">
        <f>B259</f>
        <v/>
      </c>
      <c r="Z259">
        <f>C259</f>
        <v/>
      </c>
      <c r="AA259" s="18">
        <f>SUM(AD259:AI259)+AK259+AL259</f>
        <v/>
      </c>
      <c r="AB259" s="18">
        <f>SUM(AD259:AI259)+AN259+AO259</f>
        <v/>
      </c>
      <c r="AC259" s="5">
        <f>AA259-AB259</f>
        <v/>
      </c>
      <c r="AD259" s="1">
        <f>D259/I259*W259*-1</f>
        <v/>
      </c>
      <c r="AE259" s="1">
        <f>E259/I259*W259</f>
        <v/>
      </c>
      <c r="AF259" s="1">
        <f t="array" ref="AF259">_xlfn.IFS(C259="Biomass_Corn", 1/I259*S259, C259="Biomass_Agri", 1/I259*V259, C259="Biomass_Wood", 1/I259*U259, C259="Biomass_Herb", 1/I259*T259)</f>
        <v/>
      </c>
      <c r="AG259" s="1">
        <f>M259/I259/(0.9*8760)</f>
        <v/>
      </c>
      <c r="AH259" s="1">
        <f>N259/I259/(0.9*8760)</f>
        <v/>
      </c>
      <c r="AI259" s="1">
        <f>O259/I259</f>
        <v/>
      </c>
      <c r="AJ259" s="1">
        <f>(AY259+AZ259+BA259+BB259+BC259-AW259)/I259</f>
        <v/>
      </c>
      <c r="AK259" s="1">
        <f>(Q259+R259)*-1*K259/I259</f>
        <v/>
      </c>
      <c r="AL259">
        <f>AJ259*Q259</f>
        <v/>
      </c>
      <c r="AM259" s="1">
        <f>(SUM(AY259:BB259)-AW259)/I259</f>
        <v/>
      </c>
      <c r="AN259" s="1">
        <f>K259/I259*-1*R259</f>
        <v/>
      </c>
      <c r="AO259">
        <f>AM259*Q259</f>
        <v/>
      </c>
      <c r="AQ259" s="17">
        <f>J259</f>
        <v/>
      </c>
      <c r="AR259" s="8" t="n">
        <v>0.243968185</v>
      </c>
      <c r="AS259" s="8" t="n">
        <v>0.249427613</v>
      </c>
      <c r="AT259" s="9" t="n">
        <v>0.246356685</v>
      </c>
      <c r="AU259" s="17" t="n">
        <v>0.23037491</v>
      </c>
      <c r="AW259" s="9">
        <f>AQ259</f>
        <v/>
      </c>
      <c r="AY259" s="9">
        <f>AR259*F259</f>
        <v/>
      </c>
      <c r="AZ259" s="9">
        <f>AS259*H259</f>
        <v/>
      </c>
      <c r="BA259" s="9">
        <f>AT259*G259</f>
        <v/>
      </c>
      <c r="BB259" s="9">
        <f>L259</f>
        <v/>
      </c>
      <c r="BC259" s="9">
        <f>K259</f>
        <v/>
      </c>
      <c r="BE259" s="1">
        <f>AW259-SUM(AY259:BC259)</f>
        <v/>
      </c>
    </row>
    <row r="260">
      <c r="B260" s="12" t="n"/>
      <c r="C260" s="20" t="n"/>
      <c r="D260" s="20" t="n"/>
      <c r="E260" s="20" t="n"/>
      <c r="F260" s="20" t="n"/>
      <c r="G260" s="20" t="n"/>
      <c r="H260" s="20" t="n"/>
      <c r="I260" s="21">
        <f>F260+G260+H260</f>
        <v/>
      </c>
      <c r="J260" s="20" t="n"/>
      <c r="K260" s="20" t="n"/>
      <c r="L260" s="20" t="n"/>
      <c r="M260" s="20" t="n"/>
      <c r="N260" s="20" t="n"/>
      <c r="O260" s="20" t="n"/>
      <c r="Q260" s="19" t="n">
        <v>109.479795</v>
      </c>
      <c r="R260" s="19" t="n">
        <v>-7.354813</v>
      </c>
      <c r="S260" s="19" t="n">
        <v>170</v>
      </c>
      <c r="T260" s="19" t="n">
        <v>138.356765</v>
      </c>
      <c r="U260" s="19" t="n">
        <v>156.777934</v>
      </c>
      <c r="V260" s="19" t="n">
        <v>119.345797</v>
      </c>
      <c r="W260" s="19" t="n">
        <v>26.773822</v>
      </c>
      <c r="Y260">
        <f>B260</f>
        <v/>
      </c>
      <c r="Z260">
        <f>C260</f>
        <v/>
      </c>
      <c r="AA260" s="18">
        <f>SUM(AD260:AI260)+AK260+AL260</f>
        <v/>
      </c>
      <c r="AB260" s="18">
        <f>SUM(AD260:AI260)+AN260+AO260</f>
        <v/>
      </c>
      <c r="AC260" s="5">
        <f>AA260-AB260</f>
        <v/>
      </c>
      <c r="AD260" s="1">
        <f>D260/I260*W260*-1</f>
        <v/>
      </c>
      <c r="AE260" s="1">
        <f>E260/I260*W260</f>
        <v/>
      </c>
      <c r="AF260" s="1">
        <f t="array" ref="AF260">_xlfn.IFS(C260="Biomass_Corn", 1/I260*S260, C260="Biomass_Agri", 1/I260*V260, C260="Biomass_Wood", 1/I260*U260, C260="Biomass_Herb", 1/I260*T260)</f>
        <v/>
      </c>
      <c r="AG260" s="1">
        <f>M260/I260/(0.9*8760)</f>
        <v/>
      </c>
      <c r="AH260" s="1">
        <f>N260/I260/(0.9*8760)</f>
        <v/>
      </c>
      <c r="AI260" s="1">
        <f>O260/I260</f>
        <v/>
      </c>
      <c r="AJ260" s="1">
        <f>(AY260+AZ260+BA260+BB260+BC260-AW260)/I260</f>
        <v/>
      </c>
      <c r="AK260" s="1">
        <f>(Q260+R260)*-1*K260/I260</f>
        <v/>
      </c>
      <c r="AL260">
        <f>AJ260*Q260</f>
        <v/>
      </c>
      <c r="AM260" s="1">
        <f>(SUM(AY260:BB260)-AW260)/I260</f>
        <v/>
      </c>
      <c r="AN260" s="1">
        <f>K260/I260*-1*R260</f>
        <v/>
      </c>
      <c r="AO260">
        <f>AM260*Q260</f>
        <v/>
      </c>
      <c r="AQ260" s="17">
        <f>J260</f>
        <v/>
      </c>
      <c r="AR260" s="8" t="n">
        <v>0.243968185</v>
      </c>
      <c r="AS260" s="8" t="n">
        <v>0.249427613</v>
      </c>
      <c r="AT260" s="9" t="n">
        <v>0.246356685</v>
      </c>
      <c r="AU260" s="17" t="n">
        <v>0.23037491</v>
      </c>
      <c r="AW260" s="9">
        <f>AQ260</f>
        <v/>
      </c>
      <c r="AY260" s="9">
        <f>AR260*F260</f>
        <v/>
      </c>
      <c r="AZ260" s="9">
        <f>AS260*H260</f>
        <v/>
      </c>
      <c r="BA260" s="9">
        <f>AT260*G260</f>
        <v/>
      </c>
      <c r="BB260" s="9">
        <f>L260</f>
        <v/>
      </c>
      <c r="BC260" s="9">
        <f>K260</f>
        <v/>
      </c>
      <c r="BE260" s="1">
        <f>AW260-SUM(AY260:BC260)</f>
        <v/>
      </c>
    </row>
    <row r="261">
      <c r="B261" s="12" t="n"/>
      <c r="C261" s="20" t="n"/>
      <c r="D261" s="20" t="n"/>
      <c r="E261" s="20" t="n"/>
      <c r="F261" s="20" t="n"/>
      <c r="G261" s="20" t="n"/>
      <c r="H261" s="20" t="n"/>
      <c r="I261" s="21">
        <f>F261+G261+H261</f>
        <v/>
      </c>
      <c r="J261" s="20" t="n"/>
      <c r="K261" s="20" t="n"/>
      <c r="L261" s="20" t="n"/>
      <c r="M261" s="20" t="n"/>
      <c r="N261" s="20" t="n"/>
      <c r="O261" s="20" t="n"/>
      <c r="Q261" s="19" t="n">
        <v>109.479795</v>
      </c>
      <c r="R261" s="19" t="n">
        <v>-7.354813</v>
      </c>
      <c r="S261" s="19" t="n">
        <v>170</v>
      </c>
      <c r="T261" s="19" t="n">
        <v>138.356765</v>
      </c>
      <c r="U261" s="19" t="n">
        <v>156.777934</v>
      </c>
      <c r="V261" s="19" t="n">
        <v>119.345797</v>
      </c>
      <c r="W261" s="19" t="n">
        <v>26.773822</v>
      </c>
      <c r="Y261">
        <f>B261</f>
        <v/>
      </c>
      <c r="Z261">
        <f>C261</f>
        <v/>
      </c>
      <c r="AA261" s="18">
        <f>SUM(AD261:AI261)+AK261+AL261</f>
        <v/>
      </c>
      <c r="AB261" s="18">
        <f>SUM(AD261:AI261)+AN261+AO261</f>
        <v/>
      </c>
      <c r="AC261" s="5">
        <f>AA261-AB261</f>
        <v/>
      </c>
      <c r="AD261" s="1">
        <f>D261/I261*W261*-1</f>
        <v/>
      </c>
      <c r="AE261" s="1">
        <f>E261/I261*W261</f>
        <v/>
      </c>
      <c r="AF261" s="1">
        <f t="array" ref="AF261">_xlfn.IFS(C261="Biomass_Corn", 1/I261*S261, C261="Biomass_Agri", 1/I261*V261, C261="Biomass_Wood", 1/I261*U261, C261="Biomass_Herb", 1/I261*T261)</f>
        <v/>
      </c>
      <c r="AG261" s="1">
        <f>M261/I261/(0.9*8760)</f>
        <v/>
      </c>
      <c r="AH261" s="1">
        <f>N261/I261/(0.9*8760)</f>
        <v/>
      </c>
      <c r="AI261" s="1">
        <f>O261/I261</f>
        <v/>
      </c>
      <c r="AJ261" s="1">
        <f>(AY261+AZ261+BA261+BB261+BC261-AW261)/I261</f>
        <v/>
      </c>
      <c r="AK261" s="1">
        <f>(Q261+R261)*-1*K261/I261</f>
        <v/>
      </c>
      <c r="AL261">
        <f>AJ261*Q261</f>
        <v/>
      </c>
      <c r="AM261" s="1">
        <f>(SUM(AY261:BB261)-AW261)/I261</f>
        <v/>
      </c>
      <c r="AN261" s="1">
        <f>K261/I261*-1*R261</f>
        <v/>
      </c>
      <c r="AO261">
        <f>AM261*Q261</f>
        <v/>
      </c>
      <c r="AQ261" s="17">
        <f>J261</f>
        <v/>
      </c>
      <c r="AR261" s="8" t="n">
        <v>0.243968185</v>
      </c>
      <c r="AS261" s="8" t="n">
        <v>0.249427613</v>
      </c>
      <c r="AT261" s="9" t="n">
        <v>0.246356685</v>
      </c>
      <c r="AU261" s="17" t="n">
        <v>0.23037491</v>
      </c>
      <c r="AW261" s="9">
        <f>AQ261</f>
        <v/>
      </c>
      <c r="AY261" s="9">
        <f>AR261*F261</f>
        <v/>
      </c>
      <c r="AZ261" s="9">
        <f>AS261*H261</f>
        <v/>
      </c>
      <c r="BA261" s="9">
        <f>AT261*G261</f>
        <v/>
      </c>
      <c r="BB261" s="9">
        <f>L261</f>
        <v/>
      </c>
      <c r="BC261" s="9">
        <f>K261</f>
        <v/>
      </c>
      <c r="BE261" s="1">
        <f>AW261-SUM(AY261:BC261)</f>
        <v/>
      </c>
    </row>
    <row r="262">
      <c r="B262" s="12" t="n"/>
      <c r="C262" s="20" t="n"/>
      <c r="D262" s="20" t="n"/>
      <c r="E262" s="20" t="n"/>
      <c r="F262" s="20" t="n"/>
      <c r="G262" s="20" t="n"/>
      <c r="H262" s="20" t="n"/>
      <c r="I262" s="21">
        <f>F262+G262+H262</f>
        <v/>
      </c>
      <c r="J262" s="20" t="n"/>
      <c r="K262" s="20" t="n"/>
      <c r="L262" s="20" t="n"/>
      <c r="M262" s="20" t="n"/>
      <c r="N262" s="20" t="n"/>
      <c r="O262" s="20" t="n"/>
      <c r="Q262" s="19" t="n">
        <v>109.479795</v>
      </c>
      <c r="R262" s="19" t="n">
        <v>-7.354813</v>
      </c>
      <c r="S262" s="19" t="n">
        <v>170</v>
      </c>
      <c r="T262" s="19" t="n">
        <v>138.356765</v>
      </c>
      <c r="U262" s="19" t="n">
        <v>156.777934</v>
      </c>
      <c r="V262" s="19" t="n">
        <v>119.345797</v>
      </c>
      <c r="W262" s="19" t="n">
        <v>26.773822</v>
      </c>
      <c r="Y262">
        <f>B262</f>
        <v/>
      </c>
      <c r="Z262">
        <f>C262</f>
        <v/>
      </c>
      <c r="AA262" s="18">
        <f>SUM(AD262:AI262)+AK262+AL262</f>
        <v/>
      </c>
      <c r="AB262" s="18">
        <f>SUM(AD262:AI262)+AN262+AO262</f>
        <v/>
      </c>
      <c r="AC262" s="5">
        <f>AA262-AB262</f>
        <v/>
      </c>
      <c r="AD262" s="1">
        <f>D262/I262*W262*-1</f>
        <v/>
      </c>
      <c r="AE262" s="1">
        <f>E262/I262*W262</f>
        <v/>
      </c>
      <c r="AF262" s="1">
        <f t="array" ref="AF262">_xlfn.IFS(C262="Biomass_Corn", 1/I262*S262, C262="Biomass_Agri", 1/I262*V262, C262="Biomass_Wood", 1/I262*U262, C262="Biomass_Herb", 1/I262*T262)</f>
        <v/>
      </c>
      <c r="AG262" s="1">
        <f>M262/I262/(0.9*8760)</f>
        <v/>
      </c>
      <c r="AH262" s="1">
        <f>N262/I262/(0.9*8760)</f>
        <v/>
      </c>
      <c r="AI262" s="1">
        <f>O262/I262</f>
        <v/>
      </c>
      <c r="AJ262" s="1">
        <f>(AY262+AZ262+BA262+BB262+BC262-AW262)/I262</f>
        <v/>
      </c>
      <c r="AK262" s="1">
        <f>(Q262+R262)*-1*K262/I262</f>
        <v/>
      </c>
      <c r="AL262">
        <f>AJ262*Q262</f>
        <v/>
      </c>
      <c r="AM262" s="1">
        <f>(SUM(AY262:BB262)-AW262)/I262</f>
        <v/>
      </c>
      <c r="AN262" s="1">
        <f>K262/I262*-1*R262</f>
        <v/>
      </c>
      <c r="AO262">
        <f>AM262*Q262</f>
        <v/>
      </c>
      <c r="AQ262" s="17">
        <f>J262</f>
        <v/>
      </c>
      <c r="AR262" s="8" t="n">
        <v>0.243968185</v>
      </c>
      <c r="AS262" s="8" t="n">
        <v>0.249427613</v>
      </c>
      <c r="AT262" s="9" t="n">
        <v>0.246356685</v>
      </c>
      <c r="AU262" s="17" t="n">
        <v>0.23037491</v>
      </c>
      <c r="AW262" s="9">
        <f>AQ262</f>
        <v/>
      </c>
      <c r="AY262" s="9">
        <f>AR262*F262</f>
        <v/>
      </c>
      <c r="AZ262" s="9">
        <f>AS262*H262</f>
        <v/>
      </c>
      <c r="BA262" s="9">
        <f>AT262*G262</f>
        <v/>
      </c>
      <c r="BB262" s="9">
        <f>L262</f>
        <v/>
      </c>
      <c r="BC262" s="9">
        <f>K262</f>
        <v/>
      </c>
      <c r="BE262" s="1">
        <f>AW262-SUM(AY262:BC262)</f>
        <v/>
      </c>
    </row>
    <row r="263">
      <c r="B263" s="12" t="n"/>
      <c r="C263" s="20" t="n"/>
      <c r="D263" s="20" t="n"/>
      <c r="E263" s="20" t="n"/>
      <c r="F263" s="20" t="n"/>
      <c r="G263" s="20" t="n"/>
      <c r="H263" s="20" t="n"/>
      <c r="I263" s="21">
        <f>F263+G263+H263</f>
        <v/>
      </c>
      <c r="J263" s="20" t="n"/>
      <c r="K263" s="20" t="n"/>
      <c r="L263" s="20" t="n"/>
      <c r="M263" s="20" t="n"/>
      <c r="N263" s="20" t="n"/>
      <c r="O263" s="20" t="n"/>
      <c r="Q263" s="19" t="n">
        <v>109.479795</v>
      </c>
      <c r="R263" s="19" t="n">
        <v>-7.354813</v>
      </c>
      <c r="S263" s="19" t="n">
        <v>170</v>
      </c>
      <c r="T263" s="19" t="n">
        <v>138.356765</v>
      </c>
      <c r="U263" s="19" t="n">
        <v>156.777934</v>
      </c>
      <c r="V263" s="19" t="n">
        <v>119.345797</v>
      </c>
      <c r="W263" s="19" t="n">
        <v>26.773822</v>
      </c>
      <c r="Y263">
        <f>B263</f>
        <v/>
      </c>
      <c r="Z263">
        <f>C263</f>
        <v/>
      </c>
      <c r="AA263" s="18">
        <f>SUM(AD263:AI263)+AK263+AL263</f>
        <v/>
      </c>
      <c r="AB263" s="18">
        <f>SUM(AD263:AI263)+AN263+AO263</f>
        <v/>
      </c>
      <c r="AC263" s="5">
        <f>AA263-AB263</f>
        <v/>
      </c>
      <c r="AD263" s="1">
        <f>D263/I263*W263*-1</f>
        <v/>
      </c>
      <c r="AE263" s="1">
        <f>E263/I263*W263</f>
        <v/>
      </c>
      <c r="AF263" s="1">
        <f t="array" ref="AF263">_xlfn.IFS(C263="Biomass_Corn", 1/I263*S263, C263="Biomass_Agri", 1/I263*V263, C263="Biomass_Wood", 1/I263*U263, C263="Biomass_Herb", 1/I263*T263)</f>
        <v/>
      </c>
      <c r="AG263" s="1">
        <f>M263/I263/(0.9*8760)</f>
        <v/>
      </c>
      <c r="AH263" s="1">
        <f>N263/I263/(0.9*8760)</f>
        <v/>
      </c>
      <c r="AI263" s="1">
        <f>O263/I263</f>
        <v/>
      </c>
      <c r="AJ263" s="1">
        <f>(AY263+AZ263+BA263+BB263+BC263-AW263)/I263</f>
        <v/>
      </c>
      <c r="AK263" s="1">
        <f>(Q263+R263)*-1*K263/I263</f>
        <v/>
      </c>
      <c r="AL263">
        <f>AJ263*Q263</f>
        <v/>
      </c>
      <c r="AM263" s="1">
        <f>(SUM(AY263:BB263)-AW263)/I263</f>
        <v/>
      </c>
      <c r="AN263" s="1">
        <f>K263/I263*-1*R263</f>
        <v/>
      </c>
      <c r="AO263">
        <f>AM263*Q263</f>
        <v/>
      </c>
      <c r="AQ263" s="17">
        <f>J263</f>
        <v/>
      </c>
      <c r="AR263" s="8" t="n">
        <v>0.243968185</v>
      </c>
      <c r="AS263" s="8" t="n">
        <v>0.249427613</v>
      </c>
      <c r="AT263" s="9" t="n">
        <v>0.246356685</v>
      </c>
      <c r="AU263" s="17" t="n">
        <v>0.23037491</v>
      </c>
      <c r="AW263" s="9">
        <f>AQ263</f>
        <v/>
      </c>
      <c r="AY263" s="9">
        <f>AR263*F263</f>
        <v/>
      </c>
      <c r="AZ263" s="9">
        <f>AS263*H263</f>
        <v/>
      </c>
      <c r="BA263" s="9">
        <f>AT263*G263</f>
        <v/>
      </c>
      <c r="BB263" s="9">
        <f>L263</f>
        <v/>
      </c>
      <c r="BC263" s="9">
        <f>K263</f>
        <v/>
      </c>
      <c r="BE263" s="1">
        <f>AW263-SUM(AY263:BC263)</f>
        <v/>
      </c>
    </row>
    <row r="264">
      <c r="B264" s="12" t="n"/>
      <c r="C264" s="20" t="n"/>
      <c r="D264" s="20" t="n"/>
      <c r="E264" s="20" t="n"/>
      <c r="F264" s="20" t="n"/>
      <c r="G264" s="20" t="n"/>
      <c r="H264" s="20" t="n"/>
      <c r="I264" s="21">
        <f>F264+G264+H264</f>
        <v/>
      </c>
      <c r="J264" s="20" t="n"/>
      <c r="K264" s="20" t="n"/>
      <c r="L264" s="20" t="n"/>
      <c r="M264" s="20" t="n"/>
      <c r="N264" s="20" t="n"/>
      <c r="O264" s="20" t="n"/>
      <c r="Q264" s="19" t="n">
        <v>109.479795</v>
      </c>
      <c r="R264" s="19" t="n">
        <v>-7.354813</v>
      </c>
      <c r="S264" s="19" t="n">
        <v>170</v>
      </c>
      <c r="T264" s="19" t="n">
        <v>138.356765</v>
      </c>
      <c r="U264" s="19" t="n">
        <v>156.777934</v>
      </c>
      <c r="V264" s="19" t="n">
        <v>119.345797</v>
      </c>
      <c r="W264" s="19" t="n">
        <v>26.773822</v>
      </c>
      <c r="Y264">
        <f>B264</f>
        <v/>
      </c>
      <c r="Z264">
        <f>C264</f>
        <v/>
      </c>
      <c r="AA264" s="18">
        <f>SUM(AD264:AI264)+AK264+AL264</f>
        <v/>
      </c>
      <c r="AB264" s="18">
        <f>SUM(AD264:AI264)+AN264+AO264</f>
        <v/>
      </c>
      <c r="AC264" s="5">
        <f>AA264-AB264</f>
        <v/>
      </c>
      <c r="AD264" s="1">
        <f>D264/I264*W264*-1</f>
        <v/>
      </c>
      <c r="AE264" s="1">
        <f>E264/I264*W264</f>
        <v/>
      </c>
      <c r="AF264" s="1">
        <f t="array" ref="AF264">_xlfn.IFS(C264="Biomass_Corn", 1/I264*S264, C264="Biomass_Agri", 1/I264*V264, C264="Biomass_Wood", 1/I264*U264, C264="Biomass_Herb", 1/I264*T264)</f>
        <v/>
      </c>
      <c r="AG264" s="1">
        <f>M264/I264/(0.9*8760)</f>
        <v/>
      </c>
      <c r="AH264" s="1">
        <f>N264/I264/(0.9*8760)</f>
        <v/>
      </c>
      <c r="AI264" s="1">
        <f>O264/I264</f>
        <v/>
      </c>
      <c r="AJ264" s="1">
        <f>(AY264+AZ264+BA264+BB264+BC264-AW264)/I264</f>
        <v/>
      </c>
      <c r="AK264" s="1">
        <f>(Q264+R264)*-1*K264/I264</f>
        <v/>
      </c>
      <c r="AL264">
        <f>AJ264*Q264</f>
        <v/>
      </c>
      <c r="AM264" s="1">
        <f>(SUM(AY264:BB264)-AW264)/I264</f>
        <v/>
      </c>
      <c r="AN264" s="1">
        <f>K264/I264*-1*R264</f>
        <v/>
      </c>
      <c r="AO264">
        <f>AM264*Q264</f>
        <v/>
      </c>
      <c r="AQ264" s="17">
        <f>J264</f>
        <v/>
      </c>
      <c r="AR264" s="8" t="n">
        <v>0.243968185</v>
      </c>
      <c r="AS264" s="8" t="n">
        <v>0.249427613</v>
      </c>
      <c r="AT264" s="9" t="n">
        <v>0.246356685</v>
      </c>
      <c r="AU264" s="17" t="n">
        <v>0.23037491</v>
      </c>
      <c r="AW264" s="9">
        <f>AQ264</f>
        <v/>
      </c>
      <c r="AY264" s="9">
        <f>AR264*F264</f>
        <v/>
      </c>
      <c r="AZ264" s="9">
        <f>AS264*H264</f>
        <v/>
      </c>
      <c r="BA264" s="9">
        <f>AT264*G264</f>
        <v/>
      </c>
      <c r="BB264" s="9">
        <f>L264</f>
        <v/>
      </c>
      <c r="BC264" s="9">
        <f>K264</f>
        <v/>
      </c>
      <c r="BE264" s="1">
        <f>AW264-SUM(AY264:BC264)</f>
        <v/>
      </c>
    </row>
    <row r="265">
      <c r="B265" s="12" t="n"/>
      <c r="C265" s="20" t="n"/>
      <c r="D265" s="20" t="n"/>
      <c r="E265" s="20" t="n"/>
      <c r="F265" s="20" t="n"/>
      <c r="G265" s="20" t="n"/>
      <c r="H265" s="20" t="n"/>
      <c r="I265" s="21">
        <f>F265+G265+H265</f>
        <v/>
      </c>
      <c r="J265" s="20" t="n"/>
      <c r="K265" s="20" t="n"/>
      <c r="L265" s="20" t="n"/>
      <c r="M265" s="20" t="n"/>
      <c r="N265" s="20" t="n"/>
      <c r="O265" s="20" t="n"/>
      <c r="Q265" s="19" t="n">
        <v>109.479795</v>
      </c>
      <c r="R265" s="19" t="n">
        <v>-7.354813</v>
      </c>
      <c r="S265" s="19" t="n">
        <v>170</v>
      </c>
      <c r="T265" s="19" t="n">
        <v>138.356765</v>
      </c>
      <c r="U265" s="19" t="n">
        <v>156.777934</v>
      </c>
      <c r="V265" s="19" t="n">
        <v>119.345797</v>
      </c>
      <c r="W265" s="19" t="n">
        <v>26.773822</v>
      </c>
      <c r="Y265">
        <f>B265</f>
        <v/>
      </c>
      <c r="Z265">
        <f>C265</f>
        <v/>
      </c>
      <c r="AA265" s="18">
        <f>SUM(AD265:AI265)+AK265+AL265</f>
        <v/>
      </c>
      <c r="AB265" s="18">
        <f>SUM(AD265:AI265)+AN265+AO265</f>
        <v/>
      </c>
      <c r="AC265" s="5">
        <f>AA265-AB265</f>
        <v/>
      </c>
      <c r="AD265" s="1">
        <f>D265/I265*W265*-1</f>
        <v/>
      </c>
      <c r="AE265" s="1">
        <f>E265/I265*W265</f>
        <v/>
      </c>
      <c r="AF265" s="1">
        <f t="array" ref="AF265">_xlfn.IFS(C265="Biomass_Corn", 1/I265*S265, C265="Biomass_Agri", 1/I265*V265, C265="Biomass_Wood", 1/I265*U265, C265="Biomass_Herb", 1/I265*T265)</f>
        <v/>
      </c>
      <c r="AG265" s="1">
        <f>M265/I265/(0.9*8760)</f>
        <v/>
      </c>
      <c r="AH265" s="1">
        <f>N265/I265/(0.9*8760)</f>
        <v/>
      </c>
      <c r="AI265" s="1">
        <f>O265/I265</f>
        <v/>
      </c>
      <c r="AJ265" s="1">
        <f>(AY265+AZ265+BA265+BB265+BC265-AW265)/I265</f>
        <v/>
      </c>
      <c r="AK265" s="1">
        <f>(Q265+R265)*-1*K265/I265</f>
        <v/>
      </c>
      <c r="AL265">
        <f>AJ265*Q265</f>
        <v/>
      </c>
      <c r="AM265" s="1">
        <f>(SUM(AY265:BB265)-AW265)/I265</f>
        <v/>
      </c>
      <c r="AN265" s="1">
        <f>K265/I265*-1*R265</f>
        <v/>
      </c>
      <c r="AO265">
        <f>AM265*Q265</f>
        <v/>
      </c>
      <c r="AQ265" s="17">
        <f>J265</f>
        <v/>
      </c>
      <c r="AR265" s="8" t="n">
        <v>0.243968185</v>
      </c>
      <c r="AS265" s="8" t="n">
        <v>0.249427613</v>
      </c>
      <c r="AT265" s="9" t="n">
        <v>0.246356685</v>
      </c>
      <c r="AU265" s="17" t="n">
        <v>0.23037491</v>
      </c>
      <c r="AW265" s="9">
        <f>AQ265</f>
        <v/>
      </c>
      <c r="AY265" s="9">
        <f>AR265*F265</f>
        <v/>
      </c>
      <c r="AZ265" s="9">
        <f>AS265*H265</f>
        <v/>
      </c>
      <c r="BA265" s="9">
        <f>AT265*G265</f>
        <v/>
      </c>
      <c r="BB265" s="9">
        <f>L265</f>
        <v/>
      </c>
      <c r="BC265" s="9">
        <f>K265</f>
        <v/>
      </c>
      <c r="BE265" s="1">
        <f>AW265-SUM(AY265:BC265)</f>
        <v/>
      </c>
    </row>
    <row r="266">
      <c r="B266" s="12" t="n"/>
      <c r="C266" s="20" t="n"/>
      <c r="D266" s="20" t="n"/>
      <c r="E266" s="20" t="n"/>
      <c r="F266" s="20" t="n"/>
      <c r="G266" s="20" t="n"/>
      <c r="H266" s="20" t="n"/>
      <c r="I266" s="21">
        <f>F266+G266+H266</f>
        <v/>
      </c>
      <c r="J266" s="20" t="n"/>
      <c r="K266" s="20" t="n"/>
      <c r="L266" s="20" t="n"/>
      <c r="M266" s="20" t="n"/>
      <c r="N266" s="20" t="n"/>
      <c r="O266" s="20" t="n"/>
      <c r="Q266" s="19" t="n">
        <v>109.479795</v>
      </c>
      <c r="R266" s="19" t="n">
        <v>-7.354813</v>
      </c>
      <c r="S266" s="19" t="n">
        <v>170</v>
      </c>
      <c r="T266" s="19" t="n">
        <v>138.356765</v>
      </c>
      <c r="U266" s="19" t="n">
        <v>156.777934</v>
      </c>
      <c r="V266" s="19" t="n">
        <v>119.345797</v>
      </c>
      <c r="W266" s="19" t="n">
        <v>26.773822</v>
      </c>
      <c r="Y266">
        <f>B266</f>
        <v/>
      </c>
      <c r="Z266">
        <f>C266</f>
        <v/>
      </c>
      <c r="AA266" s="18">
        <f>SUM(AD266:AI266)+AK266+AL266</f>
        <v/>
      </c>
      <c r="AB266" s="18">
        <f>SUM(AD266:AI266)+AN266+AO266</f>
        <v/>
      </c>
      <c r="AC266" s="5">
        <f>AA266-AB266</f>
        <v/>
      </c>
      <c r="AD266" s="1">
        <f>D266/I266*W266*-1</f>
        <v/>
      </c>
      <c r="AE266" s="1">
        <f>E266/I266*W266</f>
        <v/>
      </c>
      <c r="AF266" s="1">
        <f t="array" ref="AF266">_xlfn.IFS(C266="Biomass_Corn", 1/I266*S266, C266="Biomass_Agri", 1/I266*V266, C266="Biomass_Wood", 1/I266*U266, C266="Biomass_Herb", 1/I266*T266)</f>
        <v/>
      </c>
      <c r="AG266" s="1">
        <f>M266/I266/(0.9*8760)</f>
        <v/>
      </c>
      <c r="AH266" s="1">
        <f>N266/I266/(0.9*8760)</f>
        <v/>
      </c>
      <c r="AI266" s="1">
        <f>O266/I266</f>
        <v/>
      </c>
      <c r="AJ266" s="1">
        <f>(AY266+AZ266+BA266+BB266+BC266-AW266)/I266</f>
        <v/>
      </c>
      <c r="AK266" s="1">
        <f>(Q266+R266)*-1*K266/I266</f>
        <v/>
      </c>
      <c r="AL266">
        <f>AJ266*Q266</f>
        <v/>
      </c>
      <c r="AM266" s="1">
        <f>(SUM(AY266:BB266)-AW266)/I266</f>
        <v/>
      </c>
      <c r="AN266" s="1">
        <f>K266/I266*-1*R266</f>
        <v/>
      </c>
      <c r="AO266">
        <f>AM266*Q266</f>
        <v/>
      </c>
      <c r="AQ266" s="17">
        <f>J266</f>
        <v/>
      </c>
      <c r="AR266" s="8" t="n">
        <v>0.243968185</v>
      </c>
      <c r="AS266" s="8" t="n">
        <v>0.249427613</v>
      </c>
      <c r="AT266" s="9" t="n">
        <v>0.246356685</v>
      </c>
      <c r="AU266" s="17" t="n">
        <v>0.23037491</v>
      </c>
      <c r="AW266" s="9">
        <f>AQ266</f>
        <v/>
      </c>
      <c r="AY266" s="9">
        <f>AR266*F266</f>
        <v/>
      </c>
      <c r="AZ266" s="9">
        <f>AS266*H266</f>
        <v/>
      </c>
      <c r="BA266" s="9">
        <f>AT266*G266</f>
        <v/>
      </c>
      <c r="BB266" s="9">
        <f>L266</f>
        <v/>
      </c>
      <c r="BC266" s="9">
        <f>K266</f>
        <v/>
      </c>
      <c r="BE266" s="1">
        <f>AW266-SUM(AY266:BC266)</f>
        <v/>
      </c>
    </row>
    <row r="267">
      <c r="B267" s="12" t="n"/>
      <c r="C267" s="20" t="n"/>
      <c r="D267" s="20" t="n"/>
      <c r="E267" s="20" t="n"/>
      <c r="F267" s="20" t="n"/>
      <c r="G267" s="20" t="n"/>
      <c r="H267" s="20" t="n"/>
      <c r="I267" s="21">
        <f>F267+G267+H267</f>
        <v/>
      </c>
      <c r="J267" s="20" t="n"/>
      <c r="K267" s="20" t="n"/>
      <c r="L267" s="20" t="n"/>
      <c r="M267" s="20" t="n"/>
      <c r="N267" s="20" t="n"/>
      <c r="O267" s="20" t="n"/>
      <c r="Q267" s="19" t="n">
        <v>109.479795</v>
      </c>
      <c r="R267" s="19" t="n">
        <v>-7.354813</v>
      </c>
      <c r="S267" s="19" t="n">
        <v>170</v>
      </c>
      <c r="T267" s="19" t="n">
        <v>138.356765</v>
      </c>
      <c r="U267" s="19" t="n">
        <v>156.777934</v>
      </c>
      <c r="V267" s="19" t="n">
        <v>119.345797</v>
      </c>
      <c r="W267" s="19" t="n">
        <v>26.773822</v>
      </c>
      <c r="Y267">
        <f>B267</f>
        <v/>
      </c>
      <c r="Z267">
        <f>C267</f>
        <v/>
      </c>
      <c r="AA267" s="18">
        <f>SUM(AD267:AI267)+AK267+AL267</f>
        <v/>
      </c>
      <c r="AB267" s="18">
        <f>SUM(AD267:AI267)+AN267+AO267</f>
        <v/>
      </c>
      <c r="AC267" s="5">
        <f>AA267-AB267</f>
        <v/>
      </c>
      <c r="AD267" s="1">
        <f>D267/I267*W267*-1</f>
        <v/>
      </c>
      <c r="AE267" s="1">
        <f>E267/I267*W267</f>
        <v/>
      </c>
      <c r="AF267" s="1">
        <f t="array" ref="AF267">_xlfn.IFS(C267="Biomass_Corn", 1/I267*S267, C267="Biomass_Agri", 1/I267*V267, C267="Biomass_Wood", 1/I267*U267, C267="Biomass_Herb", 1/I267*T267)</f>
        <v/>
      </c>
      <c r="AG267" s="1">
        <f>M267/I267/(0.9*8760)</f>
        <v/>
      </c>
      <c r="AH267" s="1">
        <f>N267/I267/(0.9*8760)</f>
        <v/>
      </c>
      <c r="AI267" s="1">
        <f>O267/I267</f>
        <v/>
      </c>
      <c r="AJ267" s="1">
        <f>(AY267+AZ267+BA267+BB267+BC267-AW267)/I267</f>
        <v/>
      </c>
      <c r="AK267" s="1">
        <f>(Q267+R267)*-1*K267/I267</f>
        <v/>
      </c>
      <c r="AL267">
        <f>AJ267*Q267</f>
        <v/>
      </c>
      <c r="AM267" s="1">
        <f>(SUM(AY267:BB267)-AW267)/I267</f>
        <v/>
      </c>
      <c r="AN267" s="1">
        <f>K267/I267*-1*R267</f>
        <v/>
      </c>
      <c r="AO267">
        <f>AM267*Q267</f>
        <v/>
      </c>
      <c r="AQ267" s="17">
        <f>J267</f>
        <v/>
      </c>
      <c r="AR267" s="8" t="n">
        <v>0.243968185</v>
      </c>
      <c r="AS267" s="8" t="n">
        <v>0.249427613</v>
      </c>
      <c r="AT267" s="9" t="n">
        <v>0.246356685</v>
      </c>
      <c r="AU267" s="17" t="n">
        <v>0.23037491</v>
      </c>
      <c r="AW267" s="9">
        <f>AQ267</f>
        <v/>
      </c>
      <c r="AY267" s="9">
        <f>AR267*F267</f>
        <v/>
      </c>
      <c r="AZ267" s="9">
        <f>AS267*H267</f>
        <v/>
      </c>
      <c r="BA267" s="9">
        <f>AT267*G267</f>
        <v/>
      </c>
      <c r="BB267" s="9">
        <f>L267</f>
        <v/>
      </c>
      <c r="BC267" s="9">
        <f>K267</f>
        <v/>
      </c>
      <c r="BE267" s="1">
        <f>AW267-SUM(AY267:BC267)</f>
        <v/>
      </c>
    </row>
    <row r="268">
      <c r="B268" s="12" t="n"/>
      <c r="C268" s="20" t="n"/>
      <c r="D268" s="20" t="n"/>
      <c r="E268" s="20" t="n"/>
      <c r="F268" s="20" t="n"/>
      <c r="G268" s="20" t="n"/>
      <c r="H268" s="20" t="n"/>
      <c r="I268" s="21">
        <f>F268+G268+H268</f>
        <v/>
      </c>
      <c r="J268" s="20" t="n"/>
      <c r="K268" s="20" t="n"/>
      <c r="L268" s="20" t="n"/>
      <c r="M268" s="20" t="n"/>
      <c r="N268" s="20" t="n"/>
      <c r="O268" s="20" t="n"/>
      <c r="Q268" s="19" t="n">
        <v>109.479795</v>
      </c>
      <c r="R268" s="19" t="n">
        <v>-7.354813</v>
      </c>
      <c r="S268" s="19" t="n">
        <v>170</v>
      </c>
      <c r="T268" s="19" t="n">
        <v>138.356765</v>
      </c>
      <c r="U268" s="19" t="n">
        <v>156.777934</v>
      </c>
      <c r="V268" s="19" t="n">
        <v>119.345797</v>
      </c>
      <c r="W268" s="19" t="n">
        <v>26.773822</v>
      </c>
      <c r="Y268">
        <f>B268</f>
        <v/>
      </c>
      <c r="Z268">
        <f>C268</f>
        <v/>
      </c>
      <c r="AA268" s="18">
        <f>SUM(AD268:AI268)+AK268+AL268</f>
        <v/>
      </c>
      <c r="AB268" s="18">
        <f>SUM(AD268:AI268)+AN268+AO268</f>
        <v/>
      </c>
      <c r="AC268" s="5">
        <f>AA268-AB268</f>
        <v/>
      </c>
      <c r="AD268" s="1">
        <f>D268/I268*W268*-1</f>
        <v/>
      </c>
      <c r="AE268" s="1">
        <f>E268/I268*W268</f>
        <v/>
      </c>
      <c r="AF268" s="1">
        <f t="array" ref="AF268">_xlfn.IFS(C268="Biomass_Corn", 1/I268*S268, C268="Biomass_Agri", 1/I268*V268, C268="Biomass_Wood", 1/I268*U268, C268="Biomass_Herb", 1/I268*T268)</f>
        <v/>
      </c>
      <c r="AG268" s="1">
        <f>M268/I268/(0.9*8760)</f>
        <v/>
      </c>
      <c r="AH268" s="1">
        <f>N268/I268/(0.9*8760)</f>
        <v/>
      </c>
      <c r="AI268" s="1">
        <f>O268/I268</f>
        <v/>
      </c>
      <c r="AJ268" s="1">
        <f>(AY268+AZ268+BA268+BB268+BC268-AW268)/I268</f>
        <v/>
      </c>
      <c r="AK268" s="1">
        <f>(Q268+R268)*-1*K268/I268</f>
        <v/>
      </c>
      <c r="AL268">
        <f>AJ268*Q268</f>
        <v/>
      </c>
      <c r="AM268" s="1">
        <f>(SUM(AY268:BB268)-AW268)/I268</f>
        <v/>
      </c>
      <c r="AN268" s="1">
        <f>K268/I268*-1*R268</f>
        <v/>
      </c>
      <c r="AO268">
        <f>AM268*Q268</f>
        <v/>
      </c>
      <c r="AQ268" s="17">
        <f>J268</f>
        <v/>
      </c>
      <c r="AR268" s="8" t="n">
        <v>0.243968185</v>
      </c>
      <c r="AS268" s="8" t="n">
        <v>0.249427613</v>
      </c>
      <c r="AT268" s="9" t="n">
        <v>0.246356685</v>
      </c>
      <c r="AU268" s="17" t="n">
        <v>0.23037491</v>
      </c>
      <c r="AW268" s="9">
        <f>AQ268</f>
        <v/>
      </c>
      <c r="AY268" s="9">
        <f>AR268*F268</f>
        <v/>
      </c>
      <c r="AZ268" s="9">
        <f>AS268*H268</f>
        <v/>
      </c>
      <c r="BA268" s="9">
        <f>AT268*G268</f>
        <v/>
      </c>
      <c r="BB268" s="9">
        <f>L268</f>
        <v/>
      </c>
      <c r="BC268" s="9">
        <f>K268</f>
        <v/>
      </c>
      <c r="BE268" s="1">
        <f>AW268-SUM(AY268:BC268)</f>
        <v/>
      </c>
    </row>
    <row r="269">
      <c r="B269" s="12" t="n"/>
      <c r="C269" s="20" t="n"/>
      <c r="D269" s="20" t="n"/>
      <c r="E269" s="20" t="n"/>
      <c r="F269" s="20" t="n"/>
      <c r="G269" s="20" t="n"/>
      <c r="H269" s="20" t="n"/>
      <c r="I269" s="21">
        <f>F269+G269+H269</f>
        <v/>
      </c>
      <c r="J269" s="20" t="n"/>
      <c r="K269" s="20" t="n"/>
      <c r="L269" s="20" t="n"/>
      <c r="M269" s="20" t="n"/>
      <c r="N269" s="20" t="n"/>
      <c r="O269" s="20" t="n"/>
      <c r="Q269" s="19" t="n">
        <v>109.479795</v>
      </c>
      <c r="R269" s="19" t="n">
        <v>-7.354813</v>
      </c>
      <c r="S269" s="19" t="n">
        <v>170</v>
      </c>
      <c r="T269" s="19" t="n">
        <v>138.356765</v>
      </c>
      <c r="U269" s="19" t="n">
        <v>156.777934</v>
      </c>
      <c r="V269" s="19" t="n">
        <v>119.345797</v>
      </c>
      <c r="W269" s="19" t="n">
        <v>26.773822</v>
      </c>
      <c r="Y269">
        <f>B269</f>
        <v/>
      </c>
      <c r="Z269">
        <f>C269</f>
        <v/>
      </c>
      <c r="AA269" s="18">
        <f>SUM(AD269:AI269)+AK269+AL269</f>
        <v/>
      </c>
      <c r="AB269" s="18">
        <f>SUM(AD269:AI269)+AN269+AO269</f>
        <v/>
      </c>
      <c r="AC269" s="5">
        <f>AA269-AB269</f>
        <v/>
      </c>
      <c r="AD269" s="1">
        <f>D269/I269*W269*-1</f>
        <v/>
      </c>
      <c r="AE269" s="1">
        <f>E269/I269*W269</f>
        <v/>
      </c>
      <c r="AF269" s="1">
        <f t="array" ref="AF269">_xlfn.IFS(C269="Biomass_Corn", 1/I269*S269, C269="Biomass_Agri", 1/I269*V269, C269="Biomass_Wood", 1/I269*U269, C269="Biomass_Herb", 1/I269*T269)</f>
        <v/>
      </c>
      <c r="AG269" s="1">
        <f>M269/I269/(0.9*8760)</f>
        <v/>
      </c>
      <c r="AH269" s="1">
        <f>N269/I269/(0.9*8760)</f>
        <v/>
      </c>
      <c r="AI269" s="1">
        <f>O269/I269</f>
        <v/>
      </c>
      <c r="AJ269" s="1">
        <f>(AY269+AZ269+BA269+BB269+BC269-AW269)/I269</f>
        <v/>
      </c>
      <c r="AK269" s="1">
        <f>(Q269+R269)*-1*K269/I269</f>
        <v/>
      </c>
      <c r="AL269">
        <f>AJ269*Q269</f>
        <v/>
      </c>
      <c r="AM269" s="1">
        <f>(SUM(AY269:BB269)-AW269)/I269</f>
        <v/>
      </c>
      <c r="AN269" s="1">
        <f>K269/I269*-1*R269</f>
        <v/>
      </c>
      <c r="AO269">
        <f>AM269*Q269</f>
        <v/>
      </c>
      <c r="AQ269" s="17">
        <f>J269</f>
        <v/>
      </c>
      <c r="AR269" s="8" t="n">
        <v>0.243968185</v>
      </c>
      <c r="AS269" s="8" t="n">
        <v>0.249427613</v>
      </c>
      <c r="AT269" s="9" t="n">
        <v>0.246356685</v>
      </c>
      <c r="AU269" s="17" t="n">
        <v>0.23037491</v>
      </c>
      <c r="AW269" s="9">
        <f>AQ269</f>
        <v/>
      </c>
      <c r="AY269" s="9">
        <f>AR269*F269</f>
        <v/>
      </c>
      <c r="AZ269" s="9">
        <f>AS269*H269</f>
        <v/>
      </c>
      <c r="BA269" s="9">
        <f>AT269*G269</f>
        <v/>
      </c>
      <c r="BB269" s="9">
        <f>L269</f>
        <v/>
      </c>
      <c r="BC269" s="9">
        <f>K269</f>
        <v/>
      </c>
      <c r="BE269" s="1">
        <f>AW269-SUM(AY269:BC269)</f>
        <v/>
      </c>
    </row>
    <row r="270">
      <c r="B270" s="12" t="n"/>
      <c r="C270" s="20" t="n"/>
      <c r="D270" s="20" t="n"/>
      <c r="E270" s="20" t="n"/>
      <c r="F270" s="20" t="n"/>
      <c r="G270" s="20" t="n"/>
      <c r="H270" s="20" t="n"/>
      <c r="I270" s="21">
        <f>F270+G270+H270</f>
        <v/>
      </c>
      <c r="J270" s="20" t="n"/>
      <c r="K270" s="20" t="n"/>
      <c r="L270" s="20" t="n"/>
      <c r="M270" s="20" t="n"/>
      <c r="N270" s="20" t="n"/>
      <c r="O270" s="20" t="n"/>
      <c r="Q270" s="19" t="n">
        <v>109.479795</v>
      </c>
      <c r="R270" s="19" t="n">
        <v>-7.354813</v>
      </c>
      <c r="S270" s="19" t="n">
        <v>170</v>
      </c>
      <c r="T270" s="19" t="n">
        <v>138.356765</v>
      </c>
      <c r="U270" s="19" t="n">
        <v>156.777934</v>
      </c>
      <c r="V270" s="19" t="n">
        <v>119.345797</v>
      </c>
      <c r="W270" s="19" t="n">
        <v>26.773822</v>
      </c>
      <c r="Y270">
        <f>B270</f>
        <v/>
      </c>
      <c r="Z270">
        <f>C270</f>
        <v/>
      </c>
      <c r="AA270" s="18">
        <f>SUM(AD270:AI270)+AK270+AL270</f>
        <v/>
      </c>
      <c r="AB270" s="18">
        <f>SUM(AD270:AI270)+AN270+AO270</f>
        <v/>
      </c>
      <c r="AC270" s="5">
        <f>AA270-AB270</f>
        <v/>
      </c>
      <c r="AD270" s="1">
        <f>D270/I270*W270*-1</f>
        <v/>
      </c>
      <c r="AE270" s="1">
        <f>E270/I270*W270</f>
        <v/>
      </c>
      <c r="AF270" s="1">
        <f t="array" ref="AF270">_xlfn.IFS(C270="Biomass_Corn", 1/I270*S270, C270="Biomass_Agri", 1/I270*V270, C270="Biomass_Wood", 1/I270*U270, C270="Biomass_Herb", 1/I270*T270)</f>
        <v/>
      </c>
      <c r="AG270" s="1">
        <f>M270/I270/(0.9*8760)</f>
        <v/>
      </c>
      <c r="AH270" s="1">
        <f>N270/I270/(0.9*8760)</f>
        <v/>
      </c>
      <c r="AI270" s="1">
        <f>O270/I270</f>
        <v/>
      </c>
      <c r="AJ270" s="1">
        <f>(AY270+AZ270+BA270+BB270+BC270-AW270)/I270</f>
        <v/>
      </c>
      <c r="AK270" s="1">
        <f>(Q270+R270)*-1*K270/I270</f>
        <v/>
      </c>
      <c r="AL270">
        <f>AJ270*Q270</f>
        <v/>
      </c>
      <c r="AM270" s="1">
        <f>(SUM(AY270:BB270)-AW270)/I270</f>
        <v/>
      </c>
      <c r="AN270" s="1">
        <f>K270/I270*-1*R270</f>
        <v/>
      </c>
      <c r="AO270">
        <f>AM270*Q270</f>
        <v/>
      </c>
      <c r="AQ270" s="17">
        <f>J270</f>
        <v/>
      </c>
      <c r="AR270" s="8" t="n">
        <v>0.243968185</v>
      </c>
      <c r="AS270" s="8" t="n">
        <v>0.249427613</v>
      </c>
      <c r="AT270" s="9" t="n">
        <v>0.246356685</v>
      </c>
      <c r="AU270" s="17" t="n">
        <v>0.23037491</v>
      </c>
      <c r="AW270" s="9">
        <f>AQ270</f>
        <v/>
      </c>
      <c r="AY270" s="9">
        <f>AR270*F270</f>
        <v/>
      </c>
      <c r="AZ270" s="9">
        <f>AS270*H270</f>
        <v/>
      </c>
      <c r="BA270" s="9">
        <f>AT270*G270</f>
        <v/>
      </c>
      <c r="BB270" s="9">
        <f>L270</f>
        <v/>
      </c>
      <c r="BC270" s="9">
        <f>K270</f>
        <v/>
      </c>
      <c r="BE270" s="1">
        <f>AW270-SUM(AY270:BC270)</f>
        <v/>
      </c>
    </row>
    <row r="271">
      <c r="B271" s="12" t="n"/>
      <c r="C271" s="20" t="n"/>
      <c r="D271" s="20" t="n"/>
      <c r="E271" s="20" t="n"/>
      <c r="F271" s="20" t="n"/>
      <c r="G271" s="20" t="n"/>
      <c r="H271" s="20" t="n"/>
      <c r="I271" s="21">
        <f>F271+G271+H271</f>
        <v/>
      </c>
      <c r="J271" s="20" t="n"/>
      <c r="K271" s="20" t="n"/>
      <c r="L271" s="20" t="n"/>
      <c r="M271" s="20" t="n"/>
      <c r="N271" s="20" t="n"/>
      <c r="O271" s="20" t="n"/>
      <c r="Q271" s="19" t="n">
        <v>109.479795</v>
      </c>
      <c r="R271" s="19" t="n">
        <v>-7.354813</v>
      </c>
      <c r="S271" s="19" t="n">
        <v>170</v>
      </c>
      <c r="T271" s="19" t="n">
        <v>138.356765</v>
      </c>
      <c r="U271" s="19" t="n">
        <v>156.777934</v>
      </c>
      <c r="V271" s="19" t="n">
        <v>119.345797</v>
      </c>
      <c r="W271" s="19" t="n">
        <v>26.773822</v>
      </c>
      <c r="Y271">
        <f>B271</f>
        <v/>
      </c>
      <c r="Z271">
        <f>C271</f>
        <v/>
      </c>
      <c r="AA271" s="18">
        <f>SUM(AD271:AI271)+AK271+AL271</f>
        <v/>
      </c>
      <c r="AB271" s="18">
        <f>SUM(AD271:AI271)+AN271+AO271</f>
        <v/>
      </c>
      <c r="AC271" s="5">
        <f>AA271-AB271</f>
        <v/>
      </c>
      <c r="AD271" s="1">
        <f>D271/I271*W271*-1</f>
        <v/>
      </c>
      <c r="AE271" s="1">
        <f>E271/I271*W271</f>
        <v/>
      </c>
      <c r="AF271" s="1">
        <f t="array" ref="AF271">_xlfn.IFS(C271="Biomass_Corn", 1/I271*S271, C271="Biomass_Agri", 1/I271*V271, C271="Biomass_Wood", 1/I271*U271, C271="Biomass_Herb", 1/I271*T271)</f>
        <v/>
      </c>
      <c r="AG271" s="1">
        <f>M271/I271/(0.9*8760)</f>
        <v/>
      </c>
      <c r="AH271" s="1">
        <f>N271/I271/(0.9*8760)</f>
        <v/>
      </c>
      <c r="AI271" s="1">
        <f>O271/I271</f>
        <v/>
      </c>
      <c r="AJ271" s="1">
        <f>(AY271+AZ271+BA271+BB271+BC271-AW271)/I271</f>
        <v/>
      </c>
      <c r="AK271" s="1">
        <f>(Q271+R271)*-1*K271/I271</f>
        <v/>
      </c>
      <c r="AL271">
        <f>AJ271*Q271</f>
        <v/>
      </c>
      <c r="AM271" s="1">
        <f>(SUM(AY271:BB271)-AW271)/I271</f>
        <v/>
      </c>
      <c r="AN271" s="1">
        <f>K271/I271*-1*R271</f>
        <v/>
      </c>
      <c r="AO271">
        <f>AM271*Q271</f>
        <v/>
      </c>
      <c r="AQ271" s="17">
        <f>J271</f>
        <v/>
      </c>
      <c r="AR271" s="8" t="n">
        <v>0.243968185</v>
      </c>
      <c r="AS271" s="8" t="n">
        <v>0.249427613</v>
      </c>
      <c r="AT271" s="9" t="n">
        <v>0.246356685</v>
      </c>
      <c r="AU271" s="17" t="n">
        <v>0.23037491</v>
      </c>
      <c r="AW271" s="9">
        <f>AQ271</f>
        <v/>
      </c>
      <c r="AY271" s="9">
        <f>AR271*F271</f>
        <v/>
      </c>
      <c r="AZ271" s="9">
        <f>AS271*H271</f>
        <v/>
      </c>
      <c r="BA271" s="9">
        <f>AT271*G271</f>
        <v/>
      </c>
      <c r="BB271" s="9">
        <f>L271</f>
        <v/>
      </c>
      <c r="BC271" s="9">
        <f>K271</f>
        <v/>
      </c>
      <c r="BE271" s="1">
        <f>AW271-SUM(AY271:BC271)</f>
        <v/>
      </c>
    </row>
    <row r="272">
      <c r="B272" s="12" t="n"/>
      <c r="C272" s="20" t="n"/>
      <c r="D272" s="20" t="n"/>
      <c r="E272" s="20" t="n"/>
      <c r="F272" s="20" t="n"/>
      <c r="G272" s="20" t="n"/>
      <c r="H272" s="20" t="n"/>
      <c r="I272" s="21">
        <f>F272+G272+H272</f>
        <v/>
      </c>
      <c r="J272" s="20" t="n"/>
      <c r="K272" s="20" t="n"/>
      <c r="L272" s="20" t="n"/>
      <c r="M272" s="20" t="n"/>
      <c r="N272" s="20" t="n"/>
      <c r="O272" s="20" t="n"/>
      <c r="Q272" s="19" t="n">
        <v>109.479795</v>
      </c>
      <c r="R272" s="19" t="n">
        <v>-7.354813</v>
      </c>
      <c r="S272" s="19" t="n">
        <v>170</v>
      </c>
      <c r="T272" s="19" t="n">
        <v>138.356765</v>
      </c>
      <c r="U272" s="19" t="n">
        <v>156.777934</v>
      </c>
      <c r="V272" s="19" t="n">
        <v>119.345797</v>
      </c>
      <c r="W272" s="19" t="n">
        <v>26.773822</v>
      </c>
      <c r="Y272">
        <f>B272</f>
        <v/>
      </c>
      <c r="Z272">
        <f>C272</f>
        <v/>
      </c>
      <c r="AA272" s="18">
        <f>SUM(AD272:AI272)+AK272+AL272</f>
        <v/>
      </c>
      <c r="AB272" s="18">
        <f>SUM(AD272:AI272)+AN272+AO272</f>
        <v/>
      </c>
      <c r="AC272" s="5">
        <f>AA272-AB272</f>
        <v/>
      </c>
      <c r="AD272" s="1">
        <f>D272/I272*W272*-1</f>
        <v/>
      </c>
      <c r="AE272" s="1">
        <f>E272/I272*W272</f>
        <v/>
      </c>
      <c r="AF272" s="1">
        <f t="array" ref="AF272">_xlfn.IFS(C272="Biomass_Corn", 1/I272*S272, C272="Biomass_Agri", 1/I272*V272, C272="Biomass_Wood", 1/I272*U272, C272="Biomass_Herb", 1/I272*T272)</f>
        <v/>
      </c>
      <c r="AG272" s="1">
        <f>M272/I272/(0.9*8760)</f>
        <v/>
      </c>
      <c r="AH272" s="1">
        <f>N272/I272/(0.9*8760)</f>
        <v/>
      </c>
      <c r="AI272" s="1">
        <f>O272/I272</f>
        <v/>
      </c>
      <c r="AJ272" s="1">
        <f>(AY272+AZ272+BA272+BB272+BC272-AW272)/I272</f>
        <v/>
      </c>
      <c r="AK272" s="1">
        <f>(Q272+R272)*-1*K272/I272</f>
        <v/>
      </c>
      <c r="AL272">
        <f>AJ272*Q272</f>
        <v/>
      </c>
      <c r="AM272" s="1">
        <f>(SUM(AY272:BB272)-AW272)/I272</f>
        <v/>
      </c>
      <c r="AN272" s="1">
        <f>K272/I272*-1*R272</f>
        <v/>
      </c>
      <c r="AO272">
        <f>AM272*Q272</f>
        <v/>
      </c>
      <c r="AQ272" s="17">
        <f>J272</f>
        <v/>
      </c>
      <c r="AR272" s="8" t="n">
        <v>0.243968185</v>
      </c>
      <c r="AS272" s="8" t="n">
        <v>0.249427613</v>
      </c>
      <c r="AT272" s="9" t="n">
        <v>0.246356685</v>
      </c>
      <c r="AU272" s="17" t="n">
        <v>0.23037491</v>
      </c>
      <c r="AW272" s="9">
        <f>AQ272</f>
        <v/>
      </c>
      <c r="AY272" s="9">
        <f>AR272*F272</f>
        <v/>
      </c>
      <c r="AZ272" s="9">
        <f>AS272*H272</f>
        <v/>
      </c>
      <c r="BA272" s="9">
        <f>AT272*G272</f>
        <v/>
      </c>
      <c r="BB272" s="9">
        <f>L272</f>
        <v/>
      </c>
      <c r="BC272" s="9">
        <f>K272</f>
        <v/>
      </c>
      <c r="BE272" s="1">
        <f>AW272-SUM(AY272:BC272)</f>
        <v/>
      </c>
    </row>
    <row r="273">
      <c r="B273" s="12" t="n"/>
      <c r="C273" s="20" t="n"/>
      <c r="D273" s="20" t="n"/>
      <c r="E273" s="20" t="n"/>
      <c r="F273" s="20" t="n"/>
      <c r="G273" s="20" t="n"/>
      <c r="H273" s="20" t="n"/>
      <c r="I273" s="21">
        <f>F273+G273+H273</f>
        <v/>
      </c>
      <c r="J273" s="20" t="n"/>
      <c r="K273" s="20" t="n"/>
      <c r="L273" s="20" t="n"/>
      <c r="M273" s="20" t="n"/>
      <c r="N273" s="20" t="n"/>
      <c r="O273" s="20" t="n"/>
      <c r="Q273" s="19" t="n">
        <v>109.479795</v>
      </c>
      <c r="R273" s="19" t="n">
        <v>-7.354813</v>
      </c>
      <c r="S273" s="19" t="n">
        <v>170</v>
      </c>
      <c r="T273" s="19" t="n">
        <v>138.356765</v>
      </c>
      <c r="U273" s="19" t="n">
        <v>156.777934</v>
      </c>
      <c r="V273" s="19" t="n">
        <v>119.345797</v>
      </c>
      <c r="W273" s="19" t="n">
        <v>26.773822</v>
      </c>
      <c r="Y273">
        <f>B273</f>
        <v/>
      </c>
      <c r="Z273">
        <f>C273</f>
        <v/>
      </c>
      <c r="AA273" s="18">
        <f>SUM(AD273:AI273)+AK273+AL273</f>
        <v/>
      </c>
      <c r="AB273" s="18">
        <f>SUM(AD273:AI273)+AN273+AO273</f>
        <v/>
      </c>
      <c r="AC273" s="5">
        <f>AA273-AB273</f>
        <v/>
      </c>
      <c r="AD273" s="1">
        <f>D273/I273*W273*-1</f>
        <v/>
      </c>
      <c r="AE273" s="1">
        <f>E273/I273*W273</f>
        <v/>
      </c>
      <c r="AF273" s="1">
        <f t="array" ref="AF273">_xlfn.IFS(C273="Biomass_Corn", 1/I273*S273, C273="Biomass_Agri", 1/I273*V273, C273="Biomass_Wood", 1/I273*U273, C273="Biomass_Herb", 1/I273*T273)</f>
        <v/>
      </c>
      <c r="AG273" s="1">
        <f>M273/I273/(0.9*8760)</f>
        <v/>
      </c>
      <c r="AH273" s="1">
        <f>N273/I273/(0.9*8760)</f>
        <v/>
      </c>
      <c r="AI273" s="1">
        <f>O273/I273</f>
        <v/>
      </c>
      <c r="AJ273" s="1">
        <f>(AY273+AZ273+BA273+BB273+BC273-AW273)/I273</f>
        <v/>
      </c>
      <c r="AK273" s="1">
        <f>(Q273+R273)*-1*K273/I273</f>
        <v/>
      </c>
      <c r="AL273">
        <f>AJ273*Q273</f>
        <v/>
      </c>
      <c r="AM273" s="1">
        <f>(SUM(AY273:BB273)-AW273)/I273</f>
        <v/>
      </c>
      <c r="AN273" s="1">
        <f>K273/I273*-1*R273</f>
        <v/>
      </c>
      <c r="AO273">
        <f>AM273*Q273</f>
        <v/>
      </c>
      <c r="AQ273" s="17">
        <f>J273</f>
        <v/>
      </c>
      <c r="AR273" s="8" t="n">
        <v>0.243968185</v>
      </c>
      <c r="AS273" s="8" t="n">
        <v>0.249427613</v>
      </c>
      <c r="AT273" s="9" t="n">
        <v>0.246356685</v>
      </c>
      <c r="AU273" s="17" t="n">
        <v>0.23037491</v>
      </c>
      <c r="AW273" s="9">
        <f>AQ273</f>
        <v/>
      </c>
      <c r="AY273" s="9">
        <f>AR273*F273</f>
        <v/>
      </c>
      <c r="AZ273" s="9">
        <f>AS273*H273</f>
        <v/>
      </c>
      <c r="BA273" s="9">
        <f>AT273*G273</f>
        <v/>
      </c>
      <c r="BB273" s="9">
        <f>L273</f>
        <v/>
      </c>
      <c r="BC273" s="9">
        <f>K273</f>
        <v/>
      </c>
      <c r="BE273" s="1">
        <f>AW273-SUM(AY273:BC273)</f>
        <v/>
      </c>
    </row>
    <row r="274">
      <c r="B274" s="12" t="n"/>
      <c r="C274" s="20" t="n"/>
      <c r="D274" s="20" t="n"/>
      <c r="E274" s="20" t="n"/>
      <c r="F274" s="20" t="n"/>
      <c r="G274" s="20" t="n"/>
      <c r="H274" s="20" t="n"/>
      <c r="I274" s="21">
        <f>F274+G274+H274</f>
        <v/>
      </c>
      <c r="J274" s="20" t="n"/>
      <c r="K274" s="20" t="n"/>
      <c r="L274" s="20" t="n"/>
      <c r="M274" s="20" t="n"/>
      <c r="N274" s="20" t="n"/>
      <c r="O274" s="20" t="n"/>
      <c r="Q274" s="19" t="n">
        <v>109.479795</v>
      </c>
      <c r="R274" s="19" t="n">
        <v>-7.354813</v>
      </c>
      <c r="S274" s="19" t="n">
        <v>170</v>
      </c>
      <c r="T274" s="19" t="n">
        <v>138.356765</v>
      </c>
      <c r="U274" s="19" t="n">
        <v>156.777934</v>
      </c>
      <c r="V274" s="19" t="n">
        <v>119.345797</v>
      </c>
      <c r="W274" s="19" t="n">
        <v>26.773822</v>
      </c>
      <c r="Y274">
        <f>B274</f>
        <v/>
      </c>
      <c r="Z274">
        <f>C274</f>
        <v/>
      </c>
      <c r="AA274" s="18">
        <f>SUM(AD274:AI274)+AK274+AL274</f>
        <v/>
      </c>
      <c r="AB274" s="18">
        <f>SUM(AD274:AI274)+AN274+AO274</f>
        <v/>
      </c>
      <c r="AC274" s="5">
        <f>AA274-AB274</f>
        <v/>
      </c>
      <c r="AD274" s="1">
        <f>D274/I274*W274*-1</f>
        <v/>
      </c>
      <c r="AE274" s="1">
        <f>E274/I274*W274</f>
        <v/>
      </c>
      <c r="AF274" s="1">
        <f t="array" ref="AF274">_xlfn.IFS(C274="Biomass_Corn", 1/I274*S274, C274="Biomass_Agri", 1/I274*V274, C274="Biomass_Wood", 1/I274*U274, C274="Biomass_Herb", 1/I274*T274)</f>
        <v/>
      </c>
      <c r="AG274" s="1">
        <f>M274/I274/(0.9*8760)</f>
        <v/>
      </c>
      <c r="AH274" s="1">
        <f>N274/I274/(0.9*8760)</f>
        <v/>
      </c>
      <c r="AI274" s="1">
        <f>O274/I274</f>
        <v/>
      </c>
      <c r="AJ274" s="1">
        <f>(AY274+AZ274+BA274+BB274+BC274-AW274)/I274</f>
        <v/>
      </c>
      <c r="AK274" s="1">
        <f>(Q274+R274)*-1*K274/I274</f>
        <v/>
      </c>
      <c r="AL274">
        <f>AJ274*Q274</f>
        <v/>
      </c>
      <c r="AM274" s="1">
        <f>(SUM(AY274:BB274)-AW274)/I274</f>
        <v/>
      </c>
      <c r="AN274" s="1">
        <f>K274/I274*-1*R274</f>
        <v/>
      </c>
      <c r="AO274">
        <f>AM274*Q274</f>
        <v/>
      </c>
      <c r="AQ274" s="17">
        <f>J274</f>
        <v/>
      </c>
      <c r="AR274" s="8" t="n">
        <v>0.243968185</v>
      </c>
      <c r="AS274" s="8" t="n">
        <v>0.249427613</v>
      </c>
      <c r="AT274" s="9" t="n">
        <v>0.246356685</v>
      </c>
      <c r="AU274" s="17" t="n">
        <v>0.23037491</v>
      </c>
      <c r="AW274" s="9">
        <f>AQ274</f>
        <v/>
      </c>
      <c r="AY274" s="9">
        <f>AR274*F274</f>
        <v/>
      </c>
      <c r="AZ274" s="9">
        <f>AS274*H274</f>
        <v/>
      </c>
      <c r="BA274" s="9">
        <f>AT274*G274</f>
        <v/>
      </c>
      <c r="BB274" s="9">
        <f>L274</f>
        <v/>
      </c>
      <c r="BC274" s="9">
        <f>K274</f>
        <v/>
      </c>
      <c r="BE274" s="1">
        <f>AW274-SUM(AY274:BC274)</f>
        <v/>
      </c>
    </row>
    <row r="275">
      <c r="B275" s="12" t="n"/>
      <c r="C275" s="20" t="n"/>
      <c r="D275" s="20" t="n"/>
      <c r="E275" s="20" t="n"/>
      <c r="F275" s="20" t="n"/>
      <c r="G275" s="20" t="n"/>
      <c r="H275" s="20" t="n"/>
      <c r="I275" s="21">
        <f>F275+G275+H275</f>
        <v/>
      </c>
      <c r="J275" s="20" t="n"/>
      <c r="K275" s="20" t="n"/>
      <c r="L275" s="20" t="n"/>
      <c r="M275" s="20" t="n"/>
      <c r="N275" s="20" t="n"/>
      <c r="O275" s="20" t="n"/>
      <c r="Q275" s="19" t="n">
        <v>109.479795</v>
      </c>
      <c r="R275" s="19" t="n">
        <v>-7.354813</v>
      </c>
      <c r="S275" s="19" t="n">
        <v>170</v>
      </c>
      <c r="T275" s="19" t="n">
        <v>138.356765</v>
      </c>
      <c r="U275" s="19" t="n">
        <v>156.777934</v>
      </c>
      <c r="V275" s="19" t="n">
        <v>119.345797</v>
      </c>
      <c r="W275" s="19" t="n">
        <v>26.773822</v>
      </c>
      <c r="Y275">
        <f>B275</f>
        <v/>
      </c>
      <c r="Z275">
        <f>C275</f>
        <v/>
      </c>
      <c r="AA275" s="18">
        <f>SUM(AD275:AI275)+AK275+AL275</f>
        <v/>
      </c>
      <c r="AB275" s="18">
        <f>SUM(AD275:AI275)+AN275+AO275</f>
        <v/>
      </c>
      <c r="AC275" s="5">
        <f>AA275-AB275</f>
        <v/>
      </c>
      <c r="AD275" s="1">
        <f>D275/I275*W275*-1</f>
        <v/>
      </c>
      <c r="AE275" s="1">
        <f>E275/I275*W275</f>
        <v/>
      </c>
      <c r="AF275" s="1">
        <f t="array" ref="AF275">_xlfn.IFS(C275="Biomass_Corn", 1/I275*S275, C275="Biomass_Agri", 1/I275*V275, C275="Biomass_Wood", 1/I275*U275, C275="Biomass_Herb", 1/I275*T275)</f>
        <v/>
      </c>
      <c r="AG275" s="1">
        <f>M275/I275/(0.9*8760)</f>
        <v/>
      </c>
      <c r="AH275" s="1">
        <f>N275/I275/(0.9*8760)</f>
        <v/>
      </c>
      <c r="AI275" s="1">
        <f>O275/I275</f>
        <v/>
      </c>
      <c r="AJ275" s="1">
        <f>(AY275+AZ275+BA275+BB275+BC275-AW275)/I275</f>
        <v/>
      </c>
      <c r="AK275" s="1">
        <f>(Q275+R275)*-1*K275/I275</f>
        <v/>
      </c>
      <c r="AL275">
        <f>AJ275*Q275</f>
        <v/>
      </c>
      <c r="AM275" s="1">
        <f>(SUM(AY275:BB275)-AW275)/I275</f>
        <v/>
      </c>
      <c r="AN275" s="1">
        <f>K275/I275*-1*R275</f>
        <v/>
      </c>
      <c r="AO275">
        <f>AM275*Q275</f>
        <v/>
      </c>
      <c r="AQ275" s="17">
        <f>J275</f>
        <v/>
      </c>
      <c r="AR275" s="8" t="n">
        <v>0.243968185</v>
      </c>
      <c r="AS275" s="8" t="n">
        <v>0.249427613</v>
      </c>
      <c r="AT275" s="9" t="n">
        <v>0.246356685</v>
      </c>
      <c r="AU275" s="17" t="n">
        <v>0.23037491</v>
      </c>
      <c r="AW275" s="9">
        <f>AQ275</f>
        <v/>
      </c>
      <c r="AY275" s="9">
        <f>AR275*F275</f>
        <v/>
      </c>
      <c r="AZ275" s="9">
        <f>AS275*H275</f>
        <v/>
      </c>
      <c r="BA275" s="9">
        <f>AT275*G275</f>
        <v/>
      </c>
      <c r="BB275" s="9">
        <f>L275</f>
        <v/>
      </c>
      <c r="BC275" s="9">
        <f>K275</f>
        <v/>
      </c>
      <c r="BE275" s="1">
        <f>AW275-SUM(AY275:BC275)</f>
        <v/>
      </c>
    </row>
    <row r="276">
      <c r="B276" s="12" t="n"/>
      <c r="C276" s="20" t="n"/>
      <c r="D276" s="20" t="n"/>
      <c r="E276" s="20" t="n"/>
      <c r="F276" s="20" t="n"/>
      <c r="G276" s="20" t="n"/>
      <c r="H276" s="20" t="n"/>
      <c r="I276" s="21">
        <f>F276+G276+H276</f>
        <v/>
      </c>
      <c r="J276" s="20" t="n"/>
      <c r="K276" s="20" t="n"/>
      <c r="L276" s="20" t="n"/>
      <c r="M276" s="20" t="n"/>
      <c r="N276" s="20" t="n"/>
      <c r="O276" s="20" t="n"/>
      <c r="Q276" s="19" t="n">
        <v>109.479795</v>
      </c>
      <c r="R276" s="19" t="n">
        <v>-7.354813</v>
      </c>
      <c r="S276" s="19" t="n">
        <v>170</v>
      </c>
      <c r="T276" s="19" t="n">
        <v>138.356765</v>
      </c>
      <c r="U276" s="19" t="n">
        <v>156.777934</v>
      </c>
      <c r="V276" s="19" t="n">
        <v>119.345797</v>
      </c>
      <c r="W276" s="19" t="n">
        <v>26.773822</v>
      </c>
      <c r="Y276">
        <f>B276</f>
        <v/>
      </c>
      <c r="Z276">
        <f>C276</f>
        <v/>
      </c>
      <c r="AA276" s="18">
        <f>SUM(AD276:AI276)+AK276+AL276</f>
        <v/>
      </c>
      <c r="AB276" s="18">
        <f>SUM(AD276:AI276)+AN276+AO276</f>
        <v/>
      </c>
      <c r="AC276" s="5">
        <f>AA276-AB276</f>
        <v/>
      </c>
      <c r="AD276" s="1">
        <f>D276/I276*W276*-1</f>
        <v/>
      </c>
      <c r="AE276" s="1">
        <f>E276/I276*W276</f>
        <v/>
      </c>
      <c r="AF276" s="1">
        <f t="array" ref="AF276">_xlfn.IFS(C276="Biomass_Corn", 1/I276*S276, C276="Biomass_Agri", 1/I276*V276, C276="Biomass_Wood", 1/I276*U276, C276="Biomass_Herb", 1/I276*T276)</f>
        <v/>
      </c>
      <c r="AG276" s="1">
        <f>M276/I276/(0.9*8760)</f>
        <v/>
      </c>
      <c r="AH276" s="1">
        <f>N276/I276/(0.9*8760)</f>
        <v/>
      </c>
      <c r="AI276" s="1">
        <f>O276/I276</f>
        <v/>
      </c>
      <c r="AJ276" s="1">
        <f>(AY276+AZ276+BA276+BB276+BC276-AW276)/I276</f>
        <v/>
      </c>
      <c r="AK276" s="1">
        <f>(Q276+R276)*-1*K276/I276</f>
        <v/>
      </c>
      <c r="AL276">
        <f>AJ276*Q276</f>
        <v/>
      </c>
      <c r="AM276" s="1">
        <f>(SUM(AY276:BB276)-AW276)/I276</f>
        <v/>
      </c>
      <c r="AN276" s="1">
        <f>K276/I276*-1*R276</f>
        <v/>
      </c>
      <c r="AO276">
        <f>AM276*Q276</f>
        <v/>
      </c>
      <c r="AQ276" s="17">
        <f>J276</f>
        <v/>
      </c>
      <c r="AR276" s="8" t="n">
        <v>0.243968185</v>
      </c>
      <c r="AS276" s="8" t="n">
        <v>0.249427613</v>
      </c>
      <c r="AT276" s="9" t="n">
        <v>0.246356685</v>
      </c>
      <c r="AU276" s="17" t="n">
        <v>0.23037491</v>
      </c>
      <c r="AW276" s="9">
        <f>AQ276</f>
        <v/>
      </c>
      <c r="AY276" s="9">
        <f>AR276*F276</f>
        <v/>
      </c>
      <c r="AZ276" s="9">
        <f>AS276*H276</f>
        <v/>
      </c>
      <c r="BA276" s="9">
        <f>AT276*G276</f>
        <v/>
      </c>
      <c r="BB276" s="9">
        <f>L276</f>
        <v/>
      </c>
      <c r="BC276" s="9">
        <f>K276</f>
        <v/>
      </c>
      <c r="BE276" s="1">
        <f>AW276-SUM(AY276:BC276)</f>
        <v/>
      </c>
    </row>
    <row r="277">
      <c r="B277" s="12" t="n"/>
      <c r="C277" s="20" t="n"/>
      <c r="D277" s="20" t="n"/>
      <c r="E277" s="20" t="n"/>
      <c r="F277" s="20" t="n"/>
      <c r="G277" s="20" t="n"/>
      <c r="H277" s="20" t="n"/>
      <c r="I277" s="21">
        <f>F277+G277+H277</f>
        <v/>
      </c>
      <c r="J277" s="20" t="n"/>
      <c r="K277" s="20" t="n"/>
      <c r="L277" s="20" t="n"/>
      <c r="M277" s="20" t="n"/>
      <c r="N277" s="20" t="n"/>
      <c r="O277" s="20" t="n"/>
      <c r="Q277" s="19" t="n">
        <v>109.479795</v>
      </c>
      <c r="R277" s="19" t="n">
        <v>-7.354813</v>
      </c>
      <c r="S277" s="19" t="n">
        <v>170</v>
      </c>
      <c r="T277" s="19" t="n">
        <v>138.356765</v>
      </c>
      <c r="U277" s="19" t="n">
        <v>156.777934</v>
      </c>
      <c r="V277" s="19" t="n">
        <v>119.345797</v>
      </c>
      <c r="W277" s="19" t="n">
        <v>26.773822</v>
      </c>
      <c r="Y277">
        <f>B277</f>
        <v/>
      </c>
      <c r="Z277">
        <f>C277</f>
        <v/>
      </c>
      <c r="AA277" s="18">
        <f>SUM(AD277:AI277)+AK277+AL277</f>
        <v/>
      </c>
      <c r="AB277" s="18">
        <f>SUM(AD277:AI277)+AN277+AO277</f>
        <v/>
      </c>
      <c r="AC277" s="5">
        <f>AA277-AB277</f>
        <v/>
      </c>
      <c r="AD277" s="1">
        <f>D277/I277*W277*-1</f>
        <v/>
      </c>
      <c r="AE277" s="1">
        <f>E277/I277*W277</f>
        <v/>
      </c>
      <c r="AF277" s="1">
        <f t="array" ref="AF277">_xlfn.IFS(C277="Biomass_Corn", 1/I277*S277, C277="Biomass_Agri", 1/I277*V277, C277="Biomass_Wood", 1/I277*U277, C277="Biomass_Herb", 1/I277*T277)</f>
        <v/>
      </c>
      <c r="AG277" s="1">
        <f>M277/I277/(0.9*8760)</f>
        <v/>
      </c>
      <c r="AH277" s="1">
        <f>N277/I277/(0.9*8760)</f>
        <v/>
      </c>
      <c r="AI277" s="1">
        <f>O277/I277</f>
        <v/>
      </c>
      <c r="AJ277" s="1">
        <f>(AY277+AZ277+BA277+BB277+BC277-AW277)/I277</f>
        <v/>
      </c>
      <c r="AK277" s="1">
        <f>(Q277+R277)*-1*K277/I277</f>
        <v/>
      </c>
      <c r="AL277">
        <f>AJ277*Q277</f>
        <v/>
      </c>
      <c r="AM277" s="1">
        <f>(SUM(AY277:BB277)-AW277)/I277</f>
        <v/>
      </c>
      <c r="AN277" s="1">
        <f>K277/I277*-1*R277</f>
        <v/>
      </c>
      <c r="AO277">
        <f>AM277*Q277</f>
        <v/>
      </c>
      <c r="AQ277" s="17">
        <f>J277</f>
        <v/>
      </c>
      <c r="AR277" s="8" t="n">
        <v>0.243968185</v>
      </c>
      <c r="AS277" s="8" t="n">
        <v>0.249427613</v>
      </c>
      <c r="AT277" s="9" t="n">
        <v>0.246356685</v>
      </c>
      <c r="AU277" s="17" t="n">
        <v>0.23037491</v>
      </c>
      <c r="AW277" s="9">
        <f>AQ277</f>
        <v/>
      </c>
      <c r="AY277" s="9">
        <f>AR277*F277</f>
        <v/>
      </c>
      <c r="AZ277" s="9">
        <f>AS277*H277</f>
        <v/>
      </c>
      <c r="BA277" s="9">
        <f>AT277*G277</f>
        <v/>
      </c>
      <c r="BB277" s="9">
        <f>L277</f>
        <v/>
      </c>
      <c r="BC277" s="9">
        <f>K277</f>
        <v/>
      </c>
      <c r="BE277" s="1">
        <f>AW277-SUM(AY277:BC277)</f>
        <v/>
      </c>
    </row>
    <row r="278">
      <c r="B278" s="12" t="n"/>
      <c r="C278" s="20" t="n"/>
      <c r="D278" s="20" t="n"/>
      <c r="E278" s="20" t="n"/>
      <c r="F278" s="20" t="n"/>
      <c r="G278" s="20" t="n"/>
      <c r="H278" s="20" t="n"/>
      <c r="I278" s="21">
        <f>F278+G278+H278</f>
        <v/>
      </c>
      <c r="J278" s="20" t="n"/>
      <c r="K278" s="20" t="n"/>
      <c r="L278" s="20" t="n"/>
      <c r="M278" s="20" t="n"/>
      <c r="N278" s="20" t="n"/>
      <c r="O278" s="20" t="n"/>
      <c r="Q278" s="19" t="n">
        <v>109.479795</v>
      </c>
      <c r="R278" s="19" t="n">
        <v>-7.354813</v>
      </c>
      <c r="S278" s="19" t="n">
        <v>170</v>
      </c>
      <c r="T278" s="19" t="n">
        <v>138.356765</v>
      </c>
      <c r="U278" s="19" t="n">
        <v>156.777934</v>
      </c>
      <c r="V278" s="19" t="n">
        <v>119.345797</v>
      </c>
      <c r="W278" s="19" t="n">
        <v>26.773822</v>
      </c>
      <c r="Y278">
        <f>B278</f>
        <v/>
      </c>
      <c r="Z278">
        <f>C278</f>
        <v/>
      </c>
      <c r="AA278" s="18">
        <f>SUM(AD278:AI278)+AK278+AL278</f>
        <v/>
      </c>
      <c r="AB278" s="18">
        <f>SUM(AD278:AI278)+AN278+AO278</f>
        <v/>
      </c>
      <c r="AC278" s="5">
        <f>AA278-AB278</f>
        <v/>
      </c>
      <c r="AD278" s="1">
        <f>D278/I278*W278*-1</f>
        <v/>
      </c>
      <c r="AE278" s="1">
        <f>E278/I278*W278</f>
        <v/>
      </c>
      <c r="AF278" s="1">
        <f t="array" ref="AF278">_xlfn.IFS(C278="Biomass_Corn", 1/I278*S278, C278="Biomass_Agri", 1/I278*V278, C278="Biomass_Wood", 1/I278*U278, C278="Biomass_Herb", 1/I278*T278)</f>
        <v/>
      </c>
      <c r="AG278" s="1">
        <f>M278/I278/(0.9*8760)</f>
        <v/>
      </c>
      <c r="AH278" s="1">
        <f>N278/I278/(0.9*8760)</f>
        <v/>
      </c>
      <c r="AI278" s="1">
        <f>O278/I278</f>
        <v/>
      </c>
      <c r="AJ278" s="1">
        <f>(AY278+AZ278+BA278+BB278+BC278-AW278)/I278</f>
        <v/>
      </c>
      <c r="AK278" s="1">
        <f>(Q278+R278)*-1*K278/I278</f>
        <v/>
      </c>
      <c r="AL278">
        <f>AJ278*Q278</f>
        <v/>
      </c>
      <c r="AM278" s="1">
        <f>(SUM(AY278:BB278)-AW278)/I278</f>
        <v/>
      </c>
      <c r="AN278" s="1">
        <f>K278/I278*-1*R278</f>
        <v/>
      </c>
      <c r="AO278">
        <f>AM278*Q278</f>
        <v/>
      </c>
      <c r="AQ278" s="17">
        <f>J278</f>
        <v/>
      </c>
      <c r="AR278" s="8" t="n">
        <v>0.243968185</v>
      </c>
      <c r="AS278" s="8" t="n">
        <v>0.249427613</v>
      </c>
      <c r="AT278" s="9" t="n">
        <v>0.246356685</v>
      </c>
      <c r="AU278" s="17" t="n">
        <v>0.23037491</v>
      </c>
      <c r="AW278" s="9">
        <f>AQ278</f>
        <v/>
      </c>
      <c r="AY278" s="9">
        <f>AR278*F278</f>
        <v/>
      </c>
      <c r="AZ278" s="9">
        <f>AS278*H278</f>
        <v/>
      </c>
      <c r="BA278" s="9">
        <f>AT278*G278</f>
        <v/>
      </c>
      <c r="BB278" s="9">
        <f>L278</f>
        <v/>
      </c>
      <c r="BC278" s="9">
        <f>K278</f>
        <v/>
      </c>
      <c r="BE278" s="1">
        <f>AW278-SUM(AY278:BC278)</f>
        <v/>
      </c>
    </row>
    <row r="279">
      <c r="B279" s="12" t="n"/>
      <c r="C279" s="20" t="n"/>
      <c r="D279" s="20" t="n"/>
      <c r="E279" s="20" t="n"/>
      <c r="F279" s="20" t="n"/>
      <c r="G279" s="20" t="n"/>
      <c r="H279" s="20" t="n"/>
      <c r="I279" s="21">
        <f>F279+G279+H279</f>
        <v/>
      </c>
      <c r="J279" s="20" t="n"/>
      <c r="K279" s="20" t="n"/>
      <c r="L279" s="20" t="n"/>
      <c r="M279" s="20" t="n"/>
      <c r="N279" s="20" t="n"/>
      <c r="O279" s="20" t="n"/>
      <c r="Q279" s="19" t="n">
        <v>109.479795</v>
      </c>
      <c r="R279" s="19" t="n">
        <v>-7.354813</v>
      </c>
      <c r="S279" s="19" t="n">
        <v>170</v>
      </c>
      <c r="T279" s="19" t="n">
        <v>138.356765</v>
      </c>
      <c r="U279" s="19" t="n">
        <v>156.777934</v>
      </c>
      <c r="V279" s="19" t="n">
        <v>119.345797</v>
      </c>
      <c r="W279" s="19" t="n">
        <v>26.773822</v>
      </c>
      <c r="Y279">
        <f>B279</f>
        <v/>
      </c>
      <c r="Z279">
        <f>C279</f>
        <v/>
      </c>
      <c r="AA279" s="18">
        <f>SUM(AD279:AI279)+AK279+AL279</f>
        <v/>
      </c>
      <c r="AB279" s="18">
        <f>SUM(AD279:AI279)+AN279+AO279</f>
        <v/>
      </c>
      <c r="AC279" s="5">
        <f>AA279-AB279</f>
        <v/>
      </c>
      <c r="AD279" s="1">
        <f>D279/I279*W279*-1</f>
        <v/>
      </c>
      <c r="AE279" s="1">
        <f>E279/I279*W279</f>
        <v/>
      </c>
      <c r="AF279" s="1">
        <f t="array" ref="AF279">_xlfn.IFS(C279="Biomass_Corn", 1/I279*S279, C279="Biomass_Agri", 1/I279*V279, C279="Biomass_Wood", 1/I279*U279, C279="Biomass_Herb", 1/I279*T279)</f>
        <v/>
      </c>
      <c r="AG279" s="1">
        <f>M279/I279/(0.9*8760)</f>
        <v/>
      </c>
      <c r="AH279" s="1">
        <f>N279/I279/(0.9*8760)</f>
        <v/>
      </c>
      <c r="AI279" s="1">
        <f>O279/I279</f>
        <v/>
      </c>
      <c r="AJ279" s="1">
        <f>(AY279+AZ279+BA279+BB279+BC279-AW279)/I279</f>
        <v/>
      </c>
      <c r="AK279" s="1">
        <f>(Q279+R279)*-1*K279/I279</f>
        <v/>
      </c>
      <c r="AL279">
        <f>AJ279*Q279</f>
        <v/>
      </c>
      <c r="AM279" s="1">
        <f>(SUM(AY279:BB279)-AW279)/I279</f>
        <v/>
      </c>
      <c r="AN279" s="1">
        <f>K279/I279*-1*R279</f>
        <v/>
      </c>
      <c r="AO279">
        <f>AM279*Q279</f>
        <v/>
      </c>
      <c r="AQ279" s="17">
        <f>J279</f>
        <v/>
      </c>
      <c r="AR279" s="8" t="n">
        <v>0.243968185</v>
      </c>
      <c r="AS279" s="8" t="n">
        <v>0.249427613</v>
      </c>
      <c r="AT279" s="9" t="n">
        <v>0.246356685</v>
      </c>
      <c r="AU279" s="17" t="n">
        <v>0.23037491</v>
      </c>
      <c r="AW279" s="9">
        <f>AQ279</f>
        <v/>
      </c>
      <c r="AY279" s="9">
        <f>AR279*F279</f>
        <v/>
      </c>
      <c r="AZ279" s="9">
        <f>AS279*H279</f>
        <v/>
      </c>
      <c r="BA279" s="9">
        <f>AT279*G279</f>
        <v/>
      </c>
      <c r="BB279" s="9">
        <f>L279</f>
        <v/>
      </c>
      <c r="BC279" s="9">
        <f>K279</f>
        <v/>
      </c>
      <c r="BE279" s="1">
        <f>AW279-SUM(AY279:BC279)</f>
        <v/>
      </c>
    </row>
    <row r="280">
      <c r="B280" s="12" t="n"/>
      <c r="C280" s="20" t="n"/>
      <c r="D280" s="20" t="n"/>
      <c r="E280" s="20" t="n"/>
      <c r="F280" s="20" t="n"/>
      <c r="G280" s="20" t="n"/>
      <c r="H280" s="20" t="n"/>
      <c r="I280" s="21">
        <f>F280+G280+H280</f>
        <v/>
      </c>
      <c r="J280" s="20" t="n"/>
      <c r="K280" s="20" t="n"/>
      <c r="L280" s="20" t="n"/>
      <c r="M280" s="20" t="n"/>
      <c r="N280" s="20" t="n"/>
      <c r="O280" s="20" t="n"/>
      <c r="Q280" s="19" t="n">
        <v>109.479795</v>
      </c>
      <c r="R280" s="19" t="n">
        <v>-7.354813</v>
      </c>
      <c r="S280" s="19" t="n">
        <v>170</v>
      </c>
      <c r="T280" s="19" t="n">
        <v>138.356765</v>
      </c>
      <c r="U280" s="19" t="n">
        <v>156.777934</v>
      </c>
      <c r="V280" s="19" t="n">
        <v>119.345797</v>
      </c>
      <c r="W280" s="19" t="n">
        <v>26.773822</v>
      </c>
      <c r="Y280">
        <f>B280</f>
        <v/>
      </c>
      <c r="Z280">
        <f>C280</f>
        <v/>
      </c>
      <c r="AA280" s="18">
        <f>SUM(AD280:AI280)+AK280+AL280</f>
        <v/>
      </c>
      <c r="AB280" s="18">
        <f>SUM(AD280:AI280)+AN280+AO280</f>
        <v/>
      </c>
      <c r="AC280" s="5">
        <f>AA280-AB280</f>
        <v/>
      </c>
      <c r="AD280" s="1">
        <f>D280/I280*W280*-1</f>
        <v/>
      </c>
      <c r="AE280" s="1">
        <f>E280/I280*W280</f>
        <v/>
      </c>
      <c r="AF280" s="1">
        <f t="array" ref="AF280">_xlfn.IFS(C280="Biomass_Corn", 1/I280*S280, C280="Biomass_Agri", 1/I280*V280, C280="Biomass_Wood", 1/I280*U280, C280="Biomass_Herb", 1/I280*T280)</f>
        <v/>
      </c>
      <c r="AG280" s="1">
        <f>M280/I280/(0.9*8760)</f>
        <v/>
      </c>
      <c r="AH280" s="1">
        <f>N280/I280/(0.9*8760)</f>
        <v/>
      </c>
      <c r="AI280" s="1">
        <f>O280/I280</f>
        <v/>
      </c>
      <c r="AJ280" s="1">
        <f>(AY280+AZ280+BA280+BB280+BC280-AW280)/I280</f>
        <v/>
      </c>
      <c r="AK280" s="1">
        <f>(Q280+R280)*-1*K280/I280</f>
        <v/>
      </c>
      <c r="AL280">
        <f>AJ280*Q280</f>
        <v/>
      </c>
      <c r="AM280" s="1">
        <f>(SUM(AY280:BB280)-AW280)/I280</f>
        <v/>
      </c>
      <c r="AN280" s="1">
        <f>K280/I280*-1*R280</f>
        <v/>
      </c>
      <c r="AO280">
        <f>AM280*Q280</f>
        <v/>
      </c>
      <c r="AQ280" s="17">
        <f>J280</f>
        <v/>
      </c>
      <c r="AR280" s="8" t="n">
        <v>0.243968185</v>
      </c>
      <c r="AS280" s="8" t="n">
        <v>0.249427613</v>
      </c>
      <c r="AT280" s="9" t="n">
        <v>0.246356685</v>
      </c>
      <c r="AU280" s="17" t="n">
        <v>0.23037491</v>
      </c>
      <c r="AW280" s="9">
        <f>AQ280</f>
        <v/>
      </c>
      <c r="AY280" s="9">
        <f>AR280*F280</f>
        <v/>
      </c>
      <c r="AZ280" s="9">
        <f>AS280*H280</f>
        <v/>
      </c>
      <c r="BA280" s="9">
        <f>AT280*G280</f>
        <v/>
      </c>
      <c r="BB280" s="9">
        <f>L280</f>
        <v/>
      </c>
      <c r="BC280" s="9">
        <f>K280</f>
        <v/>
      </c>
      <c r="BE280" s="1">
        <f>AW280-SUM(AY280:BC280)</f>
        <v/>
      </c>
    </row>
    <row r="281">
      <c r="B281" s="12" t="n"/>
      <c r="C281" s="20" t="n"/>
      <c r="D281" s="20" t="n"/>
      <c r="E281" s="20" t="n"/>
      <c r="F281" s="20" t="n"/>
      <c r="G281" s="20" t="n"/>
      <c r="H281" s="20" t="n"/>
      <c r="I281" s="21">
        <f>F281+G281+H281</f>
        <v/>
      </c>
      <c r="J281" s="20" t="n"/>
      <c r="K281" s="20" t="n"/>
      <c r="L281" s="20" t="n"/>
      <c r="M281" s="20" t="n"/>
      <c r="N281" s="20" t="n"/>
      <c r="O281" s="20" t="n"/>
      <c r="Q281" s="19" t="n">
        <v>109.479795</v>
      </c>
      <c r="R281" s="19" t="n">
        <v>-7.354813</v>
      </c>
      <c r="S281" s="19" t="n">
        <v>170</v>
      </c>
      <c r="T281" s="19" t="n">
        <v>138.356765</v>
      </c>
      <c r="U281" s="19" t="n">
        <v>156.777934</v>
      </c>
      <c r="V281" s="19" t="n">
        <v>119.345797</v>
      </c>
      <c r="W281" s="19" t="n">
        <v>26.773822</v>
      </c>
      <c r="Y281">
        <f>B281</f>
        <v/>
      </c>
      <c r="Z281">
        <f>C281</f>
        <v/>
      </c>
      <c r="AA281" s="18">
        <f>SUM(AD281:AI281)+AK281+AL281</f>
        <v/>
      </c>
      <c r="AB281" s="18">
        <f>SUM(AD281:AI281)+AN281+AO281</f>
        <v/>
      </c>
      <c r="AC281" s="5">
        <f>AA281-AB281</f>
        <v/>
      </c>
      <c r="AD281" s="1">
        <f>D281/I281*W281*-1</f>
        <v/>
      </c>
      <c r="AE281" s="1">
        <f>E281/I281*W281</f>
        <v/>
      </c>
      <c r="AF281" s="1">
        <f t="array" ref="AF281">_xlfn.IFS(C281="Biomass_Corn", 1/I281*S281, C281="Biomass_Agri", 1/I281*V281, C281="Biomass_Wood", 1/I281*U281, C281="Biomass_Herb", 1/I281*T281)</f>
        <v/>
      </c>
      <c r="AG281" s="1">
        <f>M281/I281/(0.9*8760)</f>
        <v/>
      </c>
      <c r="AH281" s="1">
        <f>N281/I281/(0.9*8760)</f>
        <v/>
      </c>
      <c r="AI281" s="1">
        <f>O281/I281</f>
        <v/>
      </c>
      <c r="AJ281" s="1">
        <f>(AY281+AZ281+BA281+BB281+BC281-AW281)/I281</f>
        <v/>
      </c>
      <c r="AK281" s="1">
        <f>(Q281+R281)*-1*K281/I281</f>
        <v/>
      </c>
      <c r="AL281">
        <f>AJ281*Q281</f>
        <v/>
      </c>
      <c r="AM281" s="1">
        <f>(SUM(AY281:BB281)-AW281)/I281</f>
        <v/>
      </c>
      <c r="AN281" s="1">
        <f>K281/I281*-1*R281</f>
        <v/>
      </c>
      <c r="AO281">
        <f>AM281*Q281</f>
        <v/>
      </c>
      <c r="AQ281" s="17">
        <f>J281</f>
        <v/>
      </c>
      <c r="AR281" s="8" t="n">
        <v>0.243968185</v>
      </c>
      <c r="AS281" s="8" t="n">
        <v>0.249427613</v>
      </c>
      <c r="AT281" s="9" t="n">
        <v>0.246356685</v>
      </c>
      <c r="AU281" s="17" t="n">
        <v>0.23037491</v>
      </c>
      <c r="AW281" s="9">
        <f>AQ281</f>
        <v/>
      </c>
      <c r="AY281" s="9">
        <f>AR281*F281</f>
        <v/>
      </c>
      <c r="AZ281" s="9">
        <f>AS281*H281</f>
        <v/>
      </c>
      <c r="BA281" s="9">
        <f>AT281*G281</f>
        <v/>
      </c>
      <c r="BB281" s="9">
        <f>L281</f>
        <v/>
      </c>
      <c r="BC281" s="9">
        <f>K281</f>
        <v/>
      </c>
      <c r="BE281" s="1">
        <f>AW281-SUM(AY281:BC281)</f>
        <v/>
      </c>
    </row>
    <row r="282">
      <c r="B282" s="12" t="n"/>
      <c r="C282" s="20" t="n"/>
      <c r="D282" s="20" t="n"/>
      <c r="E282" s="20" t="n"/>
      <c r="F282" s="20" t="n"/>
      <c r="G282" s="20" t="n"/>
      <c r="H282" s="20" t="n"/>
      <c r="I282" s="21">
        <f>F282+G282+H282</f>
        <v/>
      </c>
      <c r="J282" s="20" t="n"/>
      <c r="K282" s="20" t="n"/>
      <c r="L282" s="20" t="n"/>
      <c r="M282" s="20" t="n"/>
      <c r="N282" s="20" t="n"/>
      <c r="O282" s="20" t="n"/>
      <c r="Q282" s="19" t="n">
        <v>109.479795</v>
      </c>
      <c r="R282" s="19" t="n">
        <v>-7.354813</v>
      </c>
      <c r="S282" s="19" t="n">
        <v>170</v>
      </c>
      <c r="T282" s="19" t="n">
        <v>138.356765</v>
      </c>
      <c r="U282" s="19" t="n">
        <v>156.777934</v>
      </c>
      <c r="V282" s="19" t="n">
        <v>119.345797</v>
      </c>
      <c r="W282" s="19" t="n">
        <v>26.773822</v>
      </c>
      <c r="Y282">
        <f>B282</f>
        <v/>
      </c>
      <c r="Z282">
        <f>C282</f>
        <v/>
      </c>
      <c r="AA282" s="18">
        <f>SUM(AD282:AI282)+AK282+AL282</f>
        <v/>
      </c>
      <c r="AB282" s="18">
        <f>SUM(AD282:AI282)+AN282+AO282</f>
        <v/>
      </c>
      <c r="AC282" s="5">
        <f>AA282-AB282</f>
        <v/>
      </c>
      <c r="AD282" s="1">
        <f>D282/I282*W282*-1</f>
        <v/>
      </c>
      <c r="AE282" s="1">
        <f>E282/I282*W282</f>
        <v/>
      </c>
      <c r="AF282" s="1">
        <f t="array" ref="AF282">_xlfn.IFS(C282="Biomass_Corn", 1/I282*S282, C282="Biomass_Agri", 1/I282*V282, C282="Biomass_Wood", 1/I282*U282, C282="Biomass_Herb", 1/I282*T282)</f>
        <v/>
      </c>
      <c r="AG282" s="1">
        <f>M282/I282/(0.9*8760)</f>
        <v/>
      </c>
      <c r="AH282" s="1">
        <f>N282/I282/(0.9*8760)</f>
        <v/>
      </c>
      <c r="AI282" s="1">
        <f>O282/I282</f>
        <v/>
      </c>
      <c r="AJ282" s="1">
        <f>(AY282+AZ282+BA282+BB282+BC282-AW282)/I282</f>
        <v/>
      </c>
      <c r="AK282" s="1">
        <f>(Q282+R282)*-1*K282/I282</f>
        <v/>
      </c>
      <c r="AL282">
        <f>AJ282*Q282</f>
        <v/>
      </c>
      <c r="AM282" s="1">
        <f>(SUM(AY282:BB282)-AW282)/I282</f>
        <v/>
      </c>
      <c r="AN282" s="1">
        <f>K282/I282*-1*R282</f>
        <v/>
      </c>
      <c r="AO282">
        <f>AM282*Q282</f>
        <v/>
      </c>
      <c r="AQ282" s="17">
        <f>J282</f>
        <v/>
      </c>
      <c r="AR282" s="8" t="n">
        <v>0.243968185</v>
      </c>
      <c r="AS282" s="8" t="n">
        <v>0.249427613</v>
      </c>
      <c r="AT282" s="9" t="n">
        <v>0.246356685</v>
      </c>
      <c r="AU282" s="17" t="n">
        <v>0.23037491</v>
      </c>
      <c r="AW282" s="9">
        <f>AQ282</f>
        <v/>
      </c>
      <c r="AY282" s="9">
        <f>AR282*F282</f>
        <v/>
      </c>
      <c r="AZ282" s="9">
        <f>AS282*H282</f>
        <v/>
      </c>
      <c r="BA282" s="9">
        <f>AT282*G282</f>
        <v/>
      </c>
      <c r="BB282" s="9">
        <f>L282</f>
        <v/>
      </c>
      <c r="BC282" s="9">
        <f>K282</f>
        <v/>
      </c>
      <c r="BE282" s="1">
        <f>AW282-SUM(AY282:BC282)</f>
        <v/>
      </c>
    </row>
    <row r="283">
      <c r="B283" s="12" t="n"/>
      <c r="C283" s="20" t="n"/>
      <c r="D283" s="20" t="n"/>
      <c r="E283" s="20" t="n"/>
      <c r="F283" s="20" t="n"/>
      <c r="G283" s="20" t="n"/>
      <c r="H283" s="20" t="n"/>
      <c r="I283" s="21">
        <f>F283+G283+H283</f>
        <v/>
      </c>
      <c r="J283" s="20" t="n"/>
      <c r="K283" s="20" t="n"/>
      <c r="L283" s="20" t="n"/>
      <c r="M283" s="20" t="n"/>
      <c r="N283" s="20" t="n"/>
      <c r="O283" s="20" t="n"/>
      <c r="Q283" s="19" t="n">
        <v>109.479795</v>
      </c>
      <c r="R283" s="19" t="n">
        <v>-7.354813</v>
      </c>
      <c r="S283" s="19" t="n">
        <v>170</v>
      </c>
      <c r="T283" s="19" t="n">
        <v>138.356765</v>
      </c>
      <c r="U283" s="19" t="n">
        <v>156.777934</v>
      </c>
      <c r="V283" s="19" t="n">
        <v>119.345797</v>
      </c>
      <c r="W283" s="19" t="n">
        <v>26.773822</v>
      </c>
      <c r="Y283">
        <f>B283</f>
        <v/>
      </c>
      <c r="Z283">
        <f>C283</f>
        <v/>
      </c>
      <c r="AA283" s="18">
        <f>SUM(AD283:AI283)+AK283+AL283</f>
        <v/>
      </c>
      <c r="AB283" s="18">
        <f>SUM(AD283:AI283)+AN283+AO283</f>
        <v/>
      </c>
      <c r="AC283" s="5">
        <f>AA283-AB283</f>
        <v/>
      </c>
      <c r="AD283" s="1">
        <f>D283/I283*W283*-1</f>
        <v/>
      </c>
      <c r="AE283" s="1">
        <f>E283/I283*W283</f>
        <v/>
      </c>
      <c r="AF283" s="1">
        <f t="array" ref="AF283">_xlfn.IFS(C283="Biomass_Corn", 1/I283*S283, C283="Biomass_Agri", 1/I283*V283, C283="Biomass_Wood", 1/I283*U283, C283="Biomass_Herb", 1/I283*T283)</f>
        <v/>
      </c>
      <c r="AG283" s="1">
        <f>M283/I283/(0.9*8760)</f>
        <v/>
      </c>
      <c r="AH283" s="1">
        <f>N283/I283/(0.9*8760)</f>
        <v/>
      </c>
      <c r="AI283" s="1">
        <f>O283/I283</f>
        <v/>
      </c>
      <c r="AJ283" s="1">
        <f>(AY283+AZ283+BA283+BB283+BC283-AW283)/I283</f>
        <v/>
      </c>
      <c r="AK283" s="1">
        <f>(Q283+R283)*-1*K283/I283</f>
        <v/>
      </c>
      <c r="AL283">
        <f>AJ283*Q283</f>
        <v/>
      </c>
      <c r="AM283" s="1">
        <f>(SUM(AY283:BB283)-AW283)/I283</f>
        <v/>
      </c>
      <c r="AN283" s="1">
        <f>K283/I283*-1*R283</f>
        <v/>
      </c>
      <c r="AO283">
        <f>AM283*Q283</f>
        <v/>
      </c>
      <c r="AQ283" s="17">
        <f>J283</f>
        <v/>
      </c>
      <c r="AR283" s="8" t="n">
        <v>0.243968185</v>
      </c>
      <c r="AS283" s="8" t="n">
        <v>0.249427613</v>
      </c>
      <c r="AT283" s="9" t="n">
        <v>0.246356685</v>
      </c>
      <c r="AU283" s="17" t="n">
        <v>0.23037491</v>
      </c>
      <c r="AW283" s="9">
        <f>AQ283</f>
        <v/>
      </c>
      <c r="AY283" s="9">
        <f>AR283*F283</f>
        <v/>
      </c>
      <c r="AZ283" s="9">
        <f>AS283*H283</f>
        <v/>
      </c>
      <c r="BA283" s="9">
        <f>AT283*G283</f>
        <v/>
      </c>
      <c r="BB283" s="9">
        <f>L283</f>
        <v/>
      </c>
      <c r="BC283" s="9">
        <f>K283</f>
        <v/>
      </c>
      <c r="BE283" s="1">
        <f>AW283-SUM(AY283:BC283)</f>
        <v/>
      </c>
    </row>
    <row r="284">
      <c r="B284" s="12" t="n"/>
      <c r="C284" s="20" t="n"/>
      <c r="D284" s="20" t="n"/>
      <c r="E284" s="20" t="n"/>
      <c r="F284" s="20" t="n"/>
      <c r="G284" s="20" t="n"/>
      <c r="H284" s="20" t="n"/>
      <c r="I284" s="21">
        <f>F284+G284+H284</f>
        <v/>
      </c>
      <c r="J284" s="20" t="n"/>
      <c r="K284" s="20" t="n"/>
      <c r="L284" s="20" t="n"/>
      <c r="M284" s="20" t="n"/>
      <c r="N284" s="20" t="n"/>
      <c r="O284" s="20" t="n"/>
      <c r="Q284" s="19" t="n">
        <v>109.479795</v>
      </c>
      <c r="R284" s="19" t="n">
        <v>-7.354813</v>
      </c>
      <c r="S284" s="19" t="n">
        <v>170</v>
      </c>
      <c r="T284" s="19" t="n">
        <v>138.356765</v>
      </c>
      <c r="U284" s="19" t="n">
        <v>156.777934</v>
      </c>
      <c r="V284" s="19" t="n">
        <v>119.345797</v>
      </c>
      <c r="W284" s="19" t="n">
        <v>26.773822</v>
      </c>
      <c r="Y284">
        <f>B284</f>
        <v/>
      </c>
      <c r="Z284">
        <f>C284</f>
        <v/>
      </c>
      <c r="AA284" s="18">
        <f>SUM(AD284:AI284)+AK284+AL284</f>
        <v/>
      </c>
      <c r="AB284" s="18">
        <f>SUM(AD284:AI284)+AN284+AO284</f>
        <v/>
      </c>
      <c r="AC284" s="5">
        <f>AA284-AB284</f>
        <v/>
      </c>
      <c r="AD284" s="1">
        <f>D284/I284*W284*-1</f>
        <v/>
      </c>
      <c r="AE284" s="1">
        <f>E284/I284*W284</f>
        <v/>
      </c>
      <c r="AF284" s="1">
        <f t="array" ref="AF284">_xlfn.IFS(C284="Biomass_Corn", 1/I284*S284, C284="Biomass_Agri", 1/I284*V284, C284="Biomass_Wood", 1/I284*U284, C284="Biomass_Herb", 1/I284*T284)</f>
        <v/>
      </c>
      <c r="AG284" s="1">
        <f>M284/I284/(0.9*8760)</f>
        <v/>
      </c>
      <c r="AH284" s="1">
        <f>N284/I284/(0.9*8760)</f>
        <v/>
      </c>
      <c r="AI284" s="1">
        <f>O284/I284</f>
        <v/>
      </c>
      <c r="AJ284" s="1">
        <f>(AY284+AZ284+BA284+BB284+BC284-AW284)/I284</f>
        <v/>
      </c>
      <c r="AK284" s="1">
        <f>(Q284+R284)*-1*K284/I284</f>
        <v/>
      </c>
      <c r="AL284">
        <f>AJ284*Q284</f>
        <v/>
      </c>
      <c r="AM284" s="1">
        <f>(SUM(AY284:BB284)-AW284)/I284</f>
        <v/>
      </c>
      <c r="AN284" s="1">
        <f>K284/I284*-1*R284</f>
        <v/>
      </c>
      <c r="AO284">
        <f>AM284*Q284</f>
        <v/>
      </c>
      <c r="AQ284" s="17">
        <f>J284</f>
        <v/>
      </c>
      <c r="AR284" s="8" t="n">
        <v>0.243968185</v>
      </c>
      <c r="AS284" s="8" t="n">
        <v>0.249427613</v>
      </c>
      <c r="AT284" s="9" t="n">
        <v>0.246356685</v>
      </c>
      <c r="AU284" s="17" t="n">
        <v>0.23037491</v>
      </c>
      <c r="AW284" s="9">
        <f>AQ284</f>
        <v/>
      </c>
      <c r="AY284" s="9">
        <f>AR284*F284</f>
        <v/>
      </c>
      <c r="AZ284" s="9">
        <f>AS284*H284</f>
        <v/>
      </c>
      <c r="BA284" s="9">
        <f>AT284*G284</f>
        <v/>
      </c>
      <c r="BB284" s="9">
        <f>L284</f>
        <v/>
      </c>
      <c r="BC284" s="9">
        <f>K284</f>
        <v/>
      </c>
      <c r="BE284" s="1">
        <f>AW284-SUM(AY284:BC284)</f>
        <v/>
      </c>
    </row>
    <row r="285">
      <c r="B285" s="12" t="n"/>
      <c r="C285" s="20" t="n"/>
      <c r="D285" s="20" t="n"/>
      <c r="E285" s="20" t="n"/>
      <c r="F285" s="20" t="n"/>
      <c r="G285" s="20" t="n"/>
      <c r="H285" s="20" t="n"/>
      <c r="I285" s="21">
        <f>F285+G285+H285</f>
        <v/>
      </c>
      <c r="J285" s="20" t="n"/>
      <c r="K285" s="20" t="n"/>
      <c r="L285" s="20" t="n"/>
      <c r="M285" s="20" t="n"/>
      <c r="N285" s="20" t="n"/>
      <c r="O285" s="20" t="n"/>
      <c r="Q285" s="19" t="n">
        <v>109.479795</v>
      </c>
      <c r="R285" s="19" t="n">
        <v>-7.354813</v>
      </c>
      <c r="S285" s="19" t="n">
        <v>170</v>
      </c>
      <c r="T285" s="19" t="n">
        <v>138.356765</v>
      </c>
      <c r="U285" s="19" t="n">
        <v>156.777934</v>
      </c>
      <c r="V285" s="19" t="n">
        <v>119.345797</v>
      </c>
      <c r="W285" s="19" t="n">
        <v>26.773822</v>
      </c>
      <c r="Y285">
        <f>B285</f>
        <v/>
      </c>
      <c r="Z285">
        <f>C285</f>
        <v/>
      </c>
      <c r="AA285" s="18">
        <f>SUM(AD285:AI285)+AK285+AL285</f>
        <v/>
      </c>
      <c r="AB285" s="18">
        <f>SUM(AD285:AI285)+AN285+AO285</f>
        <v/>
      </c>
      <c r="AC285" s="5">
        <f>AA285-AB285</f>
        <v/>
      </c>
      <c r="AD285" s="1">
        <f>D285/I285*W285*-1</f>
        <v/>
      </c>
      <c r="AE285" s="1">
        <f>E285/I285*W285</f>
        <v/>
      </c>
      <c r="AF285" s="1">
        <f t="array" ref="AF285">_xlfn.IFS(C285="Biomass_Corn", 1/I285*S285, C285="Biomass_Agri", 1/I285*V285, C285="Biomass_Wood", 1/I285*U285, C285="Biomass_Herb", 1/I285*T285)</f>
        <v/>
      </c>
      <c r="AG285" s="1">
        <f>M285/I285/(0.9*8760)</f>
        <v/>
      </c>
      <c r="AH285" s="1">
        <f>N285/I285/(0.9*8760)</f>
        <v/>
      </c>
      <c r="AI285" s="1">
        <f>O285/I285</f>
        <v/>
      </c>
      <c r="AJ285" s="1">
        <f>(AY285+AZ285+BA285+BB285+BC285-AW285)/I285</f>
        <v/>
      </c>
      <c r="AK285" s="1">
        <f>(Q285+R285)*-1*K285/I285</f>
        <v/>
      </c>
      <c r="AL285">
        <f>AJ285*Q285</f>
        <v/>
      </c>
      <c r="AM285" s="1">
        <f>(SUM(AY285:BB285)-AW285)/I285</f>
        <v/>
      </c>
      <c r="AN285" s="1">
        <f>K285/I285*-1*R285</f>
        <v/>
      </c>
      <c r="AO285">
        <f>AM285*Q285</f>
        <v/>
      </c>
      <c r="AQ285" s="17">
        <f>J285</f>
        <v/>
      </c>
      <c r="AR285" s="8" t="n">
        <v>0.243968185</v>
      </c>
      <c r="AS285" s="8" t="n">
        <v>0.249427613</v>
      </c>
      <c r="AT285" s="9" t="n">
        <v>0.246356685</v>
      </c>
      <c r="AU285" s="17" t="n">
        <v>0.23037491</v>
      </c>
      <c r="AW285" s="9">
        <f>AQ285</f>
        <v/>
      </c>
      <c r="AY285" s="9">
        <f>AR285*F285</f>
        <v/>
      </c>
      <c r="AZ285" s="9">
        <f>AS285*H285</f>
        <v/>
      </c>
      <c r="BA285" s="9">
        <f>AT285*G285</f>
        <v/>
      </c>
      <c r="BB285" s="9">
        <f>L285</f>
        <v/>
      </c>
      <c r="BC285" s="9">
        <f>K285</f>
        <v/>
      </c>
      <c r="BE285" s="1">
        <f>AW285-SUM(AY285:BC285)</f>
        <v/>
      </c>
    </row>
    <row r="286">
      <c r="B286" s="12" t="n"/>
      <c r="C286" s="20" t="n"/>
      <c r="D286" s="20" t="n"/>
      <c r="E286" s="20" t="n"/>
      <c r="F286" s="20" t="n"/>
      <c r="G286" s="20" t="n"/>
      <c r="H286" s="20" t="n"/>
      <c r="I286" s="21">
        <f>F286+G286+H286</f>
        <v/>
      </c>
      <c r="J286" s="20" t="n"/>
      <c r="K286" s="20" t="n"/>
      <c r="L286" s="20" t="n"/>
      <c r="M286" s="20" t="n"/>
      <c r="N286" s="20" t="n"/>
      <c r="O286" s="20" t="n"/>
      <c r="Q286" s="19" t="n">
        <v>109.479795</v>
      </c>
      <c r="R286" s="19" t="n">
        <v>-7.354813</v>
      </c>
      <c r="S286" s="19" t="n">
        <v>170</v>
      </c>
      <c r="T286" s="19" t="n">
        <v>138.356765</v>
      </c>
      <c r="U286" s="19" t="n">
        <v>156.777934</v>
      </c>
      <c r="V286" s="19" t="n">
        <v>119.345797</v>
      </c>
      <c r="W286" s="19" t="n">
        <v>26.773822</v>
      </c>
      <c r="Y286">
        <f>B286</f>
        <v/>
      </c>
      <c r="Z286">
        <f>C286</f>
        <v/>
      </c>
      <c r="AA286" s="18">
        <f>SUM(AD286:AI286)+AK286+AL286</f>
        <v/>
      </c>
      <c r="AB286" s="18">
        <f>SUM(AD286:AI286)+AN286+AO286</f>
        <v/>
      </c>
      <c r="AC286" s="5">
        <f>AA286-AB286</f>
        <v/>
      </c>
      <c r="AD286" s="1">
        <f>D286/I286*W286*-1</f>
        <v/>
      </c>
      <c r="AE286" s="1">
        <f>E286/I286*W286</f>
        <v/>
      </c>
      <c r="AF286" s="1">
        <f t="array" ref="AF286">_xlfn.IFS(C286="Biomass_Corn", 1/I286*S286, C286="Biomass_Agri", 1/I286*V286, C286="Biomass_Wood", 1/I286*U286, C286="Biomass_Herb", 1/I286*T286)</f>
        <v/>
      </c>
      <c r="AG286" s="1">
        <f>M286/I286/(0.9*8760)</f>
        <v/>
      </c>
      <c r="AH286" s="1">
        <f>N286/I286/(0.9*8760)</f>
        <v/>
      </c>
      <c r="AI286" s="1">
        <f>O286/I286</f>
        <v/>
      </c>
      <c r="AJ286" s="1">
        <f>(AY286+AZ286+BA286+BB286+BC286-AW286)/I286</f>
        <v/>
      </c>
      <c r="AK286" s="1">
        <f>(Q286+R286)*-1*K286/I286</f>
        <v/>
      </c>
      <c r="AL286">
        <f>AJ286*Q286</f>
        <v/>
      </c>
      <c r="AM286" s="1">
        <f>(SUM(AY286:BB286)-AW286)/I286</f>
        <v/>
      </c>
      <c r="AN286" s="1">
        <f>K286/I286*-1*R286</f>
        <v/>
      </c>
      <c r="AO286">
        <f>AM286*Q286</f>
        <v/>
      </c>
      <c r="AQ286" s="17">
        <f>J286</f>
        <v/>
      </c>
      <c r="AR286" s="8" t="n">
        <v>0.243968185</v>
      </c>
      <c r="AS286" s="8" t="n">
        <v>0.249427613</v>
      </c>
      <c r="AT286" s="9" t="n">
        <v>0.246356685</v>
      </c>
      <c r="AU286" s="17" t="n">
        <v>0.23037491</v>
      </c>
      <c r="AW286" s="9">
        <f>AQ286</f>
        <v/>
      </c>
      <c r="AY286" s="9">
        <f>AR286*F286</f>
        <v/>
      </c>
      <c r="AZ286" s="9">
        <f>AS286*H286</f>
        <v/>
      </c>
      <c r="BA286" s="9">
        <f>AT286*G286</f>
        <v/>
      </c>
      <c r="BB286" s="9">
        <f>L286</f>
        <v/>
      </c>
      <c r="BC286" s="9">
        <f>K286</f>
        <v/>
      </c>
      <c r="BE286" s="1">
        <f>AW286-SUM(AY286:BC286)</f>
        <v/>
      </c>
    </row>
    <row r="287">
      <c r="B287" s="12" t="n"/>
      <c r="C287" s="20" t="n"/>
      <c r="D287" s="20" t="n"/>
      <c r="E287" s="20" t="n"/>
      <c r="F287" s="20" t="n"/>
      <c r="G287" s="20" t="n"/>
      <c r="H287" s="20" t="n"/>
      <c r="I287" s="21">
        <f>F287+G287+H287</f>
        <v/>
      </c>
      <c r="J287" s="20" t="n"/>
      <c r="K287" s="20" t="n"/>
      <c r="L287" s="20" t="n"/>
      <c r="M287" s="20" t="n"/>
      <c r="N287" s="20" t="n"/>
      <c r="O287" s="20" t="n"/>
      <c r="Q287" s="19" t="n">
        <v>109.479795</v>
      </c>
      <c r="R287" s="19" t="n">
        <v>-7.354813</v>
      </c>
      <c r="S287" s="19" t="n">
        <v>170</v>
      </c>
      <c r="T287" s="19" t="n">
        <v>138.356765</v>
      </c>
      <c r="U287" s="19" t="n">
        <v>156.777934</v>
      </c>
      <c r="V287" s="19" t="n">
        <v>119.345797</v>
      </c>
      <c r="W287" s="19" t="n">
        <v>26.773822</v>
      </c>
      <c r="Y287">
        <f>B287</f>
        <v/>
      </c>
      <c r="Z287">
        <f>C287</f>
        <v/>
      </c>
      <c r="AA287" s="18">
        <f>SUM(AD287:AI287)+AK287+AL287</f>
        <v/>
      </c>
      <c r="AB287" s="18">
        <f>SUM(AD287:AI287)+AN287+AO287</f>
        <v/>
      </c>
      <c r="AC287" s="5">
        <f>AA287-AB287</f>
        <v/>
      </c>
      <c r="AD287" s="1">
        <f>D287/I287*W287*-1</f>
        <v/>
      </c>
      <c r="AE287" s="1">
        <f>E287/I287*W287</f>
        <v/>
      </c>
      <c r="AF287" s="1">
        <f t="array" ref="AF287">_xlfn.IFS(C287="Biomass_Corn", 1/I287*S287, C287="Biomass_Agri", 1/I287*V287, C287="Biomass_Wood", 1/I287*U287, C287="Biomass_Herb", 1/I287*T287)</f>
        <v/>
      </c>
      <c r="AG287" s="1">
        <f>M287/I287/(0.9*8760)</f>
        <v/>
      </c>
      <c r="AH287" s="1">
        <f>N287/I287/(0.9*8760)</f>
        <v/>
      </c>
      <c r="AI287" s="1">
        <f>O287/I287</f>
        <v/>
      </c>
      <c r="AJ287" s="1">
        <f>(AY287+AZ287+BA287+BB287+BC287-AW287)/I287</f>
        <v/>
      </c>
      <c r="AK287" s="1">
        <f>(Q287+R287)*-1*K287/I287</f>
        <v/>
      </c>
      <c r="AL287">
        <f>AJ287*Q287</f>
        <v/>
      </c>
      <c r="AM287" s="1">
        <f>(SUM(AY287:BB287)-AW287)/I287</f>
        <v/>
      </c>
      <c r="AN287" s="1">
        <f>K287/I287*-1*R287</f>
        <v/>
      </c>
      <c r="AO287">
        <f>AM287*Q287</f>
        <v/>
      </c>
      <c r="AQ287" s="17">
        <f>J287</f>
        <v/>
      </c>
      <c r="AR287" s="8" t="n">
        <v>0.243968185</v>
      </c>
      <c r="AS287" s="8" t="n">
        <v>0.249427613</v>
      </c>
      <c r="AT287" s="9" t="n">
        <v>0.246356685</v>
      </c>
      <c r="AU287" s="17" t="n">
        <v>0.23037491</v>
      </c>
      <c r="AW287" s="9">
        <f>AQ287</f>
        <v/>
      </c>
      <c r="AY287" s="9">
        <f>AR287*F287</f>
        <v/>
      </c>
      <c r="AZ287" s="9">
        <f>AS287*H287</f>
        <v/>
      </c>
      <c r="BA287" s="9">
        <f>AT287*G287</f>
        <v/>
      </c>
      <c r="BB287" s="9">
        <f>L287</f>
        <v/>
      </c>
      <c r="BC287" s="9">
        <f>K287</f>
        <v/>
      </c>
      <c r="BE287" s="1">
        <f>AW287-SUM(AY287:BC287)</f>
        <v/>
      </c>
    </row>
    <row r="288">
      <c r="B288" s="12" t="n"/>
      <c r="C288" s="20" t="n"/>
      <c r="D288" s="20" t="n"/>
      <c r="E288" s="20" t="n"/>
      <c r="F288" s="20" t="n"/>
      <c r="G288" s="20" t="n"/>
      <c r="H288" s="20" t="n"/>
      <c r="I288" s="21">
        <f>F288+G288+H288</f>
        <v/>
      </c>
      <c r="J288" s="20" t="n"/>
      <c r="K288" s="20" t="n"/>
      <c r="L288" s="20" t="n"/>
      <c r="M288" s="20" t="n"/>
      <c r="N288" s="20" t="n"/>
      <c r="O288" s="20" t="n"/>
      <c r="Q288" s="19" t="n">
        <v>109.479795</v>
      </c>
      <c r="R288" s="19" t="n">
        <v>-7.354813</v>
      </c>
      <c r="S288" s="19" t="n">
        <v>170</v>
      </c>
      <c r="T288" s="19" t="n">
        <v>138.356765</v>
      </c>
      <c r="U288" s="19" t="n">
        <v>156.777934</v>
      </c>
      <c r="V288" s="19" t="n">
        <v>119.345797</v>
      </c>
      <c r="W288" s="19" t="n">
        <v>26.773822</v>
      </c>
      <c r="Y288">
        <f>B288</f>
        <v/>
      </c>
      <c r="Z288">
        <f>C288</f>
        <v/>
      </c>
      <c r="AA288" s="18">
        <f>SUM(AD288:AI288)+AK288+AL288</f>
        <v/>
      </c>
      <c r="AB288" s="18">
        <f>SUM(AD288:AI288)+AN288+AO288</f>
        <v/>
      </c>
      <c r="AC288" s="5">
        <f>AA288-AB288</f>
        <v/>
      </c>
      <c r="AD288" s="1">
        <f>D288/I288*W288*-1</f>
        <v/>
      </c>
      <c r="AE288" s="1">
        <f>E288/I288*W288</f>
        <v/>
      </c>
      <c r="AF288" s="1">
        <f t="array" ref="AF288">_xlfn.IFS(C288="Biomass_Corn", 1/I288*S288, C288="Biomass_Agri", 1/I288*V288, C288="Biomass_Wood", 1/I288*U288, C288="Biomass_Herb", 1/I288*T288)</f>
        <v/>
      </c>
      <c r="AG288" s="1">
        <f>M288/I288/(0.9*8760)</f>
        <v/>
      </c>
      <c r="AH288" s="1">
        <f>N288/I288/(0.9*8760)</f>
        <v/>
      </c>
      <c r="AI288" s="1">
        <f>O288/I288</f>
        <v/>
      </c>
      <c r="AJ288" s="1">
        <f>(AY288+AZ288+BA288+BB288+BC288-AW288)/I288</f>
        <v/>
      </c>
      <c r="AK288" s="1">
        <f>(Q288+R288)*-1*K288/I288</f>
        <v/>
      </c>
      <c r="AL288">
        <f>AJ288*Q288</f>
        <v/>
      </c>
      <c r="AM288" s="1">
        <f>(SUM(AY288:BB288)-AW288)/I288</f>
        <v/>
      </c>
      <c r="AN288" s="1">
        <f>K288/I288*-1*R288</f>
        <v/>
      </c>
      <c r="AO288">
        <f>AM288*Q288</f>
        <v/>
      </c>
      <c r="AQ288" s="17">
        <f>J288</f>
        <v/>
      </c>
      <c r="AR288" s="8" t="n">
        <v>0.243968185</v>
      </c>
      <c r="AS288" s="8" t="n">
        <v>0.249427613</v>
      </c>
      <c r="AT288" s="9" t="n">
        <v>0.246356685</v>
      </c>
      <c r="AU288" s="17" t="n">
        <v>0.23037491</v>
      </c>
      <c r="AW288" s="9">
        <f>AQ288</f>
        <v/>
      </c>
      <c r="AY288" s="9">
        <f>AR288*F288</f>
        <v/>
      </c>
      <c r="AZ288" s="9">
        <f>AS288*H288</f>
        <v/>
      </c>
      <c r="BA288" s="9">
        <f>AT288*G288</f>
        <v/>
      </c>
      <c r="BB288" s="9">
        <f>L288</f>
        <v/>
      </c>
      <c r="BC288" s="9">
        <f>K288</f>
        <v/>
      </c>
      <c r="BE288" s="1">
        <f>AW288-SUM(AY288:BC288)</f>
        <v/>
      </c>
    </row>
    <row r="289">
      <c r="B289" s="12" t="n"/>
      <c r="C289" s="20" t="n"/>
      <c r="D289" s="20" t="n"/>
      <c r="E289" s="20" t="n"/>
      <c r="F289" s="20" t="n"/>
      <c r="G289" s="20" t="n"/>
      <c r="H289" s="20" t="n"/>
      <c r="I289" s="21">
        <f>F289+G289+H289</f>
        <v/>
      </c>
      <c r="J289" s="20" t="n"/>
      <c r="K289" s="20" t="n"/>
      <c r="L289" s="20" t="n"/>
      <c r="M289" s="20" t="n"/>
      <c r="N289" s="20" t="n"/>
      <c r="O289" s="20" t="n"/>
      <c r="Q289" s="19" t="n">
        <v>109.479795</v>
      </c>
      <c r="R289" s="19" t="n">
        <v>-7.354813</v>
      </c>
      <c r="S289" s="19" t="n">
        <v>170</v>
      </c>
      <c r="T289" s="19" t="n">
        <v>138.356765</v>
      </c>
      <c r="U289" s="19" t="n">
        <v>156.777934</v>
      </c>
      <c r="V289" s="19" t="n">
        <v>119.345797</v>
      </c>
      <c r="W289" s="19" t="n">
        <v>26.773822</v>
      </c>
      <c r="Y289">
        <f>B289</f>
        <v/>
      </c>
      <c r="Z289">
        <f>C289</f>
        <v/>
      </c>
      <c r="AA289" s="18">
        <f>SUM(AD289:AI289)+AK289+AL289</f>
        <v/>
      </c>
      <c r="AB289" s="18">
        <f>SUM(AD289:AI289)+AN289+AO289</f>
        <v/>
      </c>
      <c r="AC289" s="5">
        <f>AA289-AB289</f>
        <v/>
      </c>
      <c r="AD289" s="1">
        <f>D289/I289*W289*-1</f>
        <v/>
      </c>
      <c r="AE289" s="1">
        <f>E289/I289*W289</f>
        <v/>
      </c>
      <c r="AF289" s="1">
        <f t="array" ref="AF289">_xlfn.IFS(C289="Biomass_Corn", 1/I289*S289, C289="Biomass_Agri", 1/I289*V289, C289="Biomass_Wood", 1/I289*U289, C289="Biomass_Herb", 1/I289*T289)</f>
        <v/>
      </c>
      <c r="AG289" s="1">
        <f>M289/I289/(0.9*8760)</f>
        <v/>
      </c>
      <c r="AH289" s="1">
        <f>N289/I289/(0.9*8760)</f>
        <v/>
      </c>
      <c r="AI289" s="1">
        <f>O289/I289</f>
        <v/>
      </c>
      <c r="AJ289" s="1">
        <f>(AY289+AZ289+BA289+BB289+BC289-AW289)/I289</f>
        <v/>
      </c>
      <c r="AK289" s="1">
        <f>(Q289+R289)*-1*K289/I289</f>
        <v/>
      </c>
      <c r="AL289">
        <f>AJ289*Q289</f>
        <v/>
      </c>
      <c r="AM289" s="1">
        <f>(SUM(AY289:BB289)-AW289)/I289</f>
        <v/>
      </c>
      <c r="AN289" s="1">
        <f>K289/I289*-1*R289</f>
        <v/>
      </c>
      <c r="AO289">
        <f>AM289*Q289</f>
        <v/>
      </c>
      <c r="AQ289" s="17">
        <f>J289</f>
        <v/>
      </c>
      <c r="AR289" s="8" t="n">
        <v>0.243968185</v>
      </c>
      <c r="AS289" s="8" t="n">
        <v>0.249427613</v>
      </c>
      <c r="AT289" s="9" t="n">
        <v>0.246356685</v>
      </c>
      <c r="AU289" s="17" t="n">
        <v>0.23037491</v>
      </c>
      <c r="AW289" s="9">
        <f>AQ289</f>
        <v/>
      </c>
      <c r="AY289" s="9">
        <f>AR289*F289</f>
        <v/>
      </c>
      <c r="AZ289" s="9">
        <f>AS289*H289</f>
        <v/>
      </c>
      <c r="BA289" s="9">
        <f>AT289*G289</f>
        <v/>
      </c>
      <c r="BB289" s="9">
        <f>L289</f>
        <v/>
      </c>
      <c r="BC289" s="9">
        <f>K289</f>
        <v/>
      </c>
      <c r="BE289" s="1">
        <f>AW289-SUM(AY289:BC289)</f>
        <v/>
      </c>
    </row>
    <row r="290">
      <c r="B290" s="12" t="n"/>
      <c r="C290" s="20" t="n"/>
      <c r="D290" s="20" t="n"/>
      <c r="E290" s="20" t="n"/>
      <c r="F290" s="20" t="n"/>
      <c r="G290" s="20" t="n"/>
      <c r="H290" s="20" t="n"/>
      <c r="I290" s="21">
        <f>F290+G290+H290</f>
        <v/>
      </c>
      <c r="J290" s="20" t="n"/>
      <c r="K290" s="20" t="n"/>
      <c r="L290" s="20" t="n"/>
      <c r="M290" s="20" t="n"/>
      <c r="N290" s="20" t="n"/>
      <c r="O290" s="20" t="n"/>
      <c r="Q290" s="19" t="n">
        <v>109.479795</v>
      </c>
      <c r="R290" s="19" t="n">
        <v>-7.354813</v>
      </c>
      <c r="S290" s="19" t="n">
        <v>170</v>
      </c>
      <c r="T290" s="19" t="n">
        <v>138.356765</v>
      </c>
      <c r="U290" s="19" t="n">
        <v>156.777934</v>
      </c>
      <c r="V290" s="19" t="n">
        <v>119.345797</v>
      </c>
      <c r="W290" s="19" t="n">
        <v>26.773822</v>
      </c>
      <c r="Y290">
        <f>B290</f>
        <v/>
      </c>
      <c r="Z290">
        <f>C290</f>
        <v/>
      </c>
      <c r="AA290" s="18">
        <f>SUM(AD290:AI290)+AK290+AL290</f>
        <v/>
      </c>
      <c r="AB290" s="18">
        <f>SUM(AD290:AI290)+AN290+AO290</f>
        <v/>
      </c>
      <c r="AC290" s="5">
        <f>AA290-AB290</f>
        <v/>
      </c>
      <c r="AD290" s="1">
        <f>D290/I290*W290*-1</f>
        <v/>
      </c>
      <c r="AE290" s="1">
        <f>E290/I290*W290</f>
        <v/>
      </c>
      <c r="AF290" s="1">
        <f t="array" ref="AF290">_xlfn.IFS(C290="Biomass_Corn", 1/I290*S290, C290="Biomass_Agri", 1/I290*V290, C290="Biomass_Wood", 1/I290*U290, C290="Biomass_Herb", 1/I290*T290)</f>
        <v/>
      </c>
      <c r="AG290" s="1">
        <f>M290/I290/(0.9*8760)</f>
        <v/>
      </c>
      <c r="AH290" s="1">
        <f>N290/I290/(0.9*8760)</f>
        <v/>
      </c>
      <c r="AI290" s="1">
        <f>O290/I290</f>
        <v/>
      </c>
      <c r="AJ290" s="1">
        <f>(AY290+AZ290+BA290+BB290+BC290-AW290)/I290</f>
        <v/>
      </c>
      <c r="AK290" s="1">
        <f>(Q290+R290)*-1*K290/I290</f>
        <v/>
      </c>
      <c r="AL290">
        <f>AJ290*Q290</f>
        <v/>
      </c>
      <c r="AM290" s="1">
        <f>(SUM(AY290:BB290)-AW290)/I290</f>
        <v/>
      </c>
      <c r="AN290" s="1">
        <f>K290/I290*-1*R290</f>
        <v/>
      </c>
      <c r="AO290">
        <f>AM290*Q290</f>
        <v/>
      </c>
      <c r="AQ290" s="17">
        <f>J290</f>
        <v/>
      </c>
      <c r="AR290" s="8" t="n">
        <v>0.243968185</v>
      </c>
      <c r="AS290" s="8" t="n">
        <v>0.249427613</v>
      </c>
      <c r="AT290" s="9" t="n">
        <v>0.246356685</v>
      </c>
      <c r="AU290" s="17" t="n">
        <v>0.23037491</v>
      </c>
      <c r="AW290" s="9">
        <f>AQ290</f>
        <v/>
      </c>
      <c r="AY290" s="9">
        <f>AR290*F290</f>
        <v/>
      </c>
      <c r="AZ290" s="9">
        <f>AS290*H290</f>
        <v/>
      </c>
      <c r="BA290" s="9">
        <f>AT290*G290</f>
        <v/>
      </c>
      <c r="BB290" s="9">
        <f>L290</f>
        <v/>
      </c>
      <c r="BC290" s="9">
        <f>K290</f>
        <v/>
      </c>
      <c r="BE290" s="1">
        <f>AW290-SUM(AY290:BC290)</f>
        <v/>
      </c>
    </row>
    <row r="291">
      <c r="B291" s="12" t="n"/>
      <c r="C291" s="20" t="n"/>
      <c r="D291" s="20" t="n"/>
      <c r="E291" s="20" t="n"/>
      <c r="F291" s="20" t="n"/>
      <c r="G291" s="20" t="n"/>
      <c r="H291" s="20" t="n"/>
      <c r="I291" s="21">
        <f>F291+G291+H291</f>
        <v/>
      </c>
      <c r="J291" s="20" t="n"/>
      <c r="K291" s="20" t="n"/>
      <c r="L291" s="20" t="n"/>
      <c r="M291" s="20" t="n"/>
      <c r="N291" s="20" t="n"/>
      <c r="O291" s="20" t="n"/>
      <c r="Q291" s="19" t="n">
        <v>109.479795</v>
      </c>
      <c r="R291" s="19" t="n">
        <v>-7.354813</v>
      </c>
      <c r="S291" s="19" t="n">
        <v>170</v>
      </c>
      <c r="T291" s="19" t="n">
        <v>138.356765</v>
      </c>
      <c r="U291" s="19" t="n">
        <v>156.777934</v>
      </c>
      <c r="V291" s="19" t="n">
        <v>119.345797</v>
      </c>
      <c r="W291" s="19" t="n">
        <v>26.773822</v>
      </c>
      <c r="Y291">
        <f>B291</f>
        <v/>
      </c>
      <c r="Z291">
        <f>C291</f>
        <v/>
      </c>
      <c r="AA291" s="18">
        <f>SUM(AD291:AI291)+AK291+AL291</f>
        <v/>
      </c>
      <c r="AB291" s="18">
        <f>SUM(AD291:AI291)+AN291+AO291</f>
        <v/>
      </c>
      <c r="AC291" s="5">
        <f>AA291-AB291</f>
        <v/>
      </c>
      <c r="AD291" s="1">
        <f>D291/I291*W291*-1</f>
        <v/>
      </c>
      <c r="AE291" s="1">
        <f>E291/I291*W291</f>
        <v/>
      </c>
      <c r="AF291" s="1">
        <f t="array" ref="AF291">_xlfn.IFS(C291="Biomass_Corn", 1/I291*S291, C291="Biomass_Agri", 1/I291*V291, C291="Biomass_Wood", 1/I291*U291, C291="Biomass_Herb", 1/I291*T291)</f>
        <v/>
      </c>
      <c r="AG291" s="1">
        <f>M291/I291/(0.9*8760)</f>
        <v/>
      </c>
      <c r="AH291" s="1">
        <f>N291/I291/(0.9*8760)</f>
        <v/>
      </c>
      <c r="AI291" s="1">
        <f>O291/I291</f>
        <v/>
      </c>
      <c r="AJ291" s="1">
        <f>(AY291+AZ291+BA291+BB291+BC291-AW291)/I291</f>
        <v/>
      </c>
      <c r="AK291" s="1">
        <f>(Q291+R291)*-1*K291/I291</f>
        <v/>
      </c>
      <c r="AL291">
        <f>AJ291*Q291</f>
        <v/>
      </c>
      <c r="AM291" s="1">
        <f>(SUM(AY291:BB291)-AW291)/I291</f>
        <v/>
      </c>
      <c r="AN291" s="1">
        <f>K291/I291*-1*R291</f>
        <v/>
      </c>
      <c r="AO291">
        <f>AM291*Q291</f>
        <v/>
      </c>
      <c r="AQ291" s="17">
        <f>J291</f>
        <v/>
      </c>
      <c r="AR291" s="8" t="n">
        <v>0.243968185</v>
      </c>
      <c r="AS291" s="8" t="n">
        <v>0.249427613</v>
      </c>
      <c r="AT291" s="9" t="n">
        <v>0.246356685</v>
      </c>
      <c r="AU291" s="17" t="n">
        <v>0.23037491</v>
      </c>
      <c r="AW291" s="9">
        <f>AQ291</f>
        <v/>
      </c>
      <c r="AY291" s="9">
        <f>AR291*F291</f>
        <v/>
      </c>
      <c r="AZ291" s="9">
        <f>AS291*H291</f>
        <v/>
      </c>
      <c r="BA291" s="9">
        <f>AT291*G291</f>
        <v/>
      </c>
      <c r="BB291" s="9">
        <f>L291</f>
        <v/>
      </c>
      <c r="BC291" s="9">
        <f>K291</f>
        <v/>
      </c>
      <c r="BE291" s="1">
        <f>AW291-SUM(AY291:BC291)</f>
        <v/>
      </c>
    </row>
    <row r="292">
      <c r="B292" s="12" t="n"/>
      <c r="C292" s="20" t="n"/>
      <c r="D292" s="20" t="n"/>
      <c r="E292" s="20" t="n"/>
      <c r="F292" s="20" t="n"/>
      <c r="G292" s="20" t="n"/>
      <c r="H292" s="20" t="n"/>
      <c r="I292" s="21">
        <f>F292+G292+H292</f>
        <v/>
      </c>
      <c r="J292" s="20" t="n"/>
      <c r="K292" s="20" t="n"/>
      <c r="L292" s="20" t="n"/>
      <c r="M292" s="20" t="n"/>
      <c r="N292" s="20" t="n"/>
      <c r="O292" s="20" t="n"/>
      <c r="Q292" s="19" t="n">
        <v>109.479795</v>
      </c>
      <c r="R292" s="19" t="n">
        <v>-7.354813</v>
      </c>
      <c r="S292" s="19" t="n">
        <v>170</v>
      </c>
      <c r="T292" s="19" t="n">
        <v>138.356765</v>
      </c>
      <c r="U292" s="19" t="n">
        <v>156.777934</v>
      </c>
      <c r="V292" s="19" t="n">
        <v>119.345797</v>
      </c>
      <c r="W292" s="19" t="n">
        <v>26.773822</v>
      </c>
      <c r="Y292">
        <f>B292</f>
        <v/>
      </c>
      <c r="Z292">
        <f>C292</f>
        <v/>
      </c>
      <c r="AA292" s="18">
        <f>SUM(AD292:AI292)+AK292+AL292</f>
        <v/>
      </c>
      <c r="AB292" s="18">
        <f>SUM(AD292:AI292)+AN292+AO292</f>
        <v/>
      </c>
      <c r="AC292" s="5">
        <f>AA292-AB292</f>
        <v/>
      </c>
      <c r="AD292" s="1">
        <f>D292/I292*W292*-1</f>
        <v/>
      </c>
      <c r="AE292" s="1">
        <f>E292/I292*W292</f>
        <v/>
      </c>
      <c r="AF292" s="1">
        <f t="array" ref="AF292">_xlfn.IFS(C292="Biomass_Corn", 1/I292*S292, C292="Biomass_Agri", 1/I292*V292, C292="Biomass_Wood", 1/I292*U292, C292="Biomass_Herb", 1/I292*T292)</f>
        <v/>
      </c>
      <c r="AG292" s="1">
        <f>M292/I292/(0.9*8760)</f>
        <v/>
      </c>
      <c r="AH292" s="1">
        <f>N292/I292/(0.9*8760)</f>
        <v/>
      </c>
      <c r="AI292" s="1">
        <f>O292/I292</f>
        <v/>
      </c>
      <c r="AJ292" s="1">
        <f>(AY292+AZ292+BA292+BB292+BC292-AW292)/I292</f>
        <v/>
      </c>
      <c r="AK292" s="1">
        <f>(Q292+R292)*-1*K292/I292</f>
        <v/>
      </c>
      <c r="AL292">
        <f>AJ292*Q292</f>
        <v/>
      </c>
      <c r="AM292" s="1">
        <f>(SUM(AY292:BB292)-AW292)/I292</f>
        <v/>
      </c>
      <c r="AN292" s="1">
        <f>K292/I292*-1*R292</f>
        <v/>
      </c>
      <c r="AO292">
        <f>AM292*Q292</f>
        <v/>
      </c>
      <c r="AQ292" s="17">
        <f>J292</f>
        <v/>
      </c>
      <c r="AR292" s="8" t="n">
        <v>0.243968185</v>
      </c>
      <c r="AS292" s="8" t="n">
        <v>0.249427613</v>
      </c>
      <c r="AT292" s="9" t="n">
        <v>0.246356685</v>
      </c>
      <c r="AU292" s="17" t="n">
        <v>0.23037491</v>
      </c>
      <c r="AW292" s="9">
        <f>AQ292</f>
        <v/>
      </c>
      <c r="AY292" s="9">
        <f>AR292*F292</f>
        <v/>
      </c>
      <c r="AZ292" s="9">
        <f>AS292*H292</f>
        <v/>
      </c>
      <c r="BA292" s="9">
        <f>AT292*G292</f>
        <v/>
      </c>
      <c r="BB292" s="9">
        <f>L292</f>
        <v/>
      </c>
      <c r="BC292" s="9">
        <f>K292</f>
        <v/>
      </c>
      <c r="BE292" s="1">
        <f>AW292-SUM(AY292:BC292)</f>
        <v/>
      </c>
    </row>
    <row r="293">
      <c r="B293" s="12" t="n"/>
      <c r="C293" s="20" t="n"/>
      <c r="D293" s="20" t="n"/>
      <c r="E293" s="20" t="n"/>
      <c r="F293" s="20" t="n"/>
      <c r="G293" s="20" t="n"/>
      <c r="H293" s="20" t="n"/>
      <c r="I293" s="21">
        <f>F293+G293+H293</f>
        <v/>
      </c>
      <c r="J293" s="20" t="n"/>
      <c r="K293" s="20" t="n"/>
      <c r="L293" s="20" t="n"/>
      <c r="M293" s="20" t="n"/>
      <c r="N293" s="20" t="n"/>
      <c r="O293" s="20" t="n"/>
      <c r="Q293" s="19" t="n">
        <v>109.479795</v>
      </c>
      <c r="R293" s="19" t="n">
        <v>-7.354813</v>
      </c>
      <c r="S293" s="19" t="n">
        <v>170</v>
      </c>
      <c r="T293" s="19" t="n">
        <v>138.356765</v>
      </c>
      <c r="U293" s="19" t="n">
        <v>156.777934</v>
      </c>
      <c r="V293" s="19" t="n">
        <v>119.345797</v>
      </c>
      <c r="W293" s="19" t="n">
        <v>26.773822</v>
      </c>
      <c r="Y293">
        <f>B293</f>
        <v/>
      </c>
      <c r="Z293">
        <f>C293</f>
        <v/>
      </c>
      <c r="AA293" s="18">
        <f>SUM(AD293:AI293)+AK293+AL293</f>
        <v/>
      </c>
      <c r="AB293" s="18">
        <f>SUM(AD293:AI293)+AN293+AO293</f>
        <v/>
      </c>
      <c r="AC293" s="5">
        <f>AA293-AB293</f>
        <v/>
      </c>
      <c r="AD293" s="1">
        <f>D293/I293*W293*-1</f>
        <v/>
      </c>
      <c r="AE293" s="1">
        <f>E293/I293*W293</f>
        <v/>
      </c>
      <c r="AF293" s="1">
        <f t="array" ref="AF293">_xlfn.IFS(C293="Biomass_Corn", 1/I293*S293, C293="Biomass_Agri", 1/I293*V293, C293="Biomass_Wood", 1/I293*U293, C293="Biomass_Herb", 1/I293*T293)</f>
        <v/>
      </c>
      <c r="AG293" s="1">
        <f>M293/I293/(0.9*8760)</f>
        <v/>
      </c>
      <c r="AH293" s="1">
        <f>N293/I293/(0.9*8760)</f>
        <v/>
      </c>
      <c r="AI293" s="1">
        <f>O293/I293</f>
        <v/>
      </c>
      <c r="AJ293" s="1">
        <f>(AY293+AZ293+BA293+BB293+BC293-AW293)/I293</f>
        <v/>
      </c>
      <c r="AK293" s="1">
        <f>(Q293+R293)*-1*K293/I293</f>
        <v/>
      </c>
      <c r="AL293">
        <f>AJ293*Q293</f>
        <v/>
      </c>
      <c r="AM293" s="1">
        <f>(SUM(AY293:BB293)-AW293)/I293</f>
        <v/>
      </c>
      <c r="AN293" s="1">
        <f>K293/I293*-1*R293</f>
        <v/>
      </c>
      <c r="AO293">
        <f>AM293*Q293</f>
        <v/>
      </c>
      <c r="AQ293" s="17">
        <f>J293</f>
        <v/>
      </c>
      <c r="AR293" s="8" t="n">
        <v>0.243968185</v>
      </c>
      <c r="AS293" s="8" t="n">
        <v>0.249427613</v>
      </c>
      <c r="AT293" s="9" t="n">
        <v>0.246356685</v>
      </c>
      <c r="AU293" s="17" t="n">
        <v>0.23037491</v>
      </c>
      <c r="AW293" s="9">
        <f>AQ293</f>
        <v/>
      </c>
      <c r="AY293" s="9">
        <f>AR293*F293</f>
        <v/>
      </c>
      <c r="AZ293" s="9">
        <f>AS293*H293</f>
        <v/>
      </c>
      <c r="BA293" s="9">
        <f>AT293*G293</f>
        <v/>
      </c>
      <c r="BB293" s="9">
        <f>L293</f>
        <v/>
      </c>
      <c r="BC293" s="9">
        <f>K293</f>
        <v/>
      </c>
      <c r="BE293" s="1">
        <f>AW293-SUM(AY293:BC293)</f>
        <v/>
      </c>
    </row>
    <row r="294">
      <c r="B294" s="12" t="n"/>
      <c r="C294" s="20" t="n"/>
      <c r="D294" s="20" t="n"/>
      <c r="E294" s="20" t="n"/>
      <c r="F294" s="20" t="n"/>
      <c r="G294" s="20" t="n"/>
      <c r="H294" s="20" t="n"/>
      <c r="I294" s="21">
        <f>F294+G294+H294</f>
        <v/>
      </c>
      <c r="J294" s="20" t="n"/>
      <c r="K294" s="20" t="n"/>
      <c r="L294" s="20" t="n"/>
      <c r="M294" s="20" t="n"/>
      <c r="N294" s="20" t="n"/>
      <c r="O294" s="20" t="n"/>
      <c r="Q294" s="19" t="n">
        <v>109.479795</v>
      </c>
      <c r="R294" s="19" t="n">
        <v>-7.354813</v>
      </c>
      <c r="S294" s="19" t="n">
        <v>170</v>
      </c>
      <c r="T294" s="19" t="n">
        <v>138.356765</v>
      </c>
      <c r="U294" s="19" t="n">
        <v>156.777934</v>
      </c>
      <c r="V294" s="19" t="n">
        <v>119.345797</v>
      </c>
      <c r="W294" s="19" t="n">
        <v>26.773822</v>
      </c>
      <c r="Y294">
        <f>B294</f>
        <v/>
      </c>
      <c r="Z294">
        <f>C294</f>
        <v/>
      </c>
      <c r="AA294" s="18">
        <f>SUM(AD294:AI294)+AK294+AL294</f>
        <v/>
      </c>
      <c r="AB294" s="18">
        <f>SUM(AD294:AI294)+AN294+AO294</f>
        <v/>
      </c>
      <c r="AC294" s="5">
        <f>AA294-AB294</f>
        <v/>
      </c>
      <c r="AD294" s="1">
        <f>D294/I294*W294*-1</f>
        <v/>
      </c>
      <c r="AE294" s="1">
        <f>E294/I294*W294</f>
        <v/>
      </c>
      <c r="AF294" s="1">
        <f t="array" ref="AF294">_xlfn.IFS(C294="Biomass_Corn", 1/I294*S294, C294="Biomass_Agri", 1/I294*V294, C294="Biomass_Wood", 1/I294*U294, C294="Biomass_Herb", 1/I294*T294)</f>
        <v/>
      </c>
      <c r="AG294" s="1">
        <f>M294/I294/(0.9*8760)</f>
        <v/>
      </c>
      <c r="AH294" s="1">
        <f>N294/I294/(0.9*8760)</f>
        <v/>
      </c>
      <c r="AI294" s="1">
        <f>O294/I294</f>
        <v/>
      </c>
      <c r="AJ294" s="1">
        <f>(AY294+AZ294+BA294+BB294+BC294-AW294)/I294</f>
        <v/>
      </c>
      <c r="AK294" s="1">
        <f>(Q294+R294)*-1*K294/I294</f>
        <v/>
      </c>
      <c r="AL294">
        <f>AJ294*Q294</f>
        <v/>
      </c>
      <c r="AM294" s="1">
        <f>(SUM(AY294:BB294)-AW294)/I294</f>
        <v/>
      </c>
      <c r="AN294" s="1">
        <f>K294/I294*-1*R294</f>
        <v/>
      </c>
      <c r="AO294">
        <f>AM294*Q294</f>
        <v/>
      </c>
      <c r="AQ294" s="17">
        <f>J294</f>
        <v/>
      </c>
      <c r="AR294" s="8" t="n">
        <v>0.243968185</v>
      </c>
      <c r="AS294" s="8" t="n">
        <v>0.249427613</v>
      </c>
      <c r="AT294" s="9" t="n">
        <v>0.246356685</v>
      </c>
      <c r="AU294" s="17" t="n">
        <v>0.23037491</v>
      </c>
      <c r="AW294" s="9">
        <f>AQ294</f>
        <v/>
      </c>
      <c r="AY294" s="9">
        <f>AR294*F294</f>
        <v/>
      </c>
      <c r="AZ294" s="9">
        <f>AS294*H294</f>
        <v/>
      </c>
      <c r="BA294" s="9">
        <f>AT294*G294</f>
        <v/>
      </c>
      <c r="BB294" s="9">
        <f>L294</f>
        <v/>
      </c>
      <c r="BC294" s="9">
        <f>K294</f>
        <v/>
      </c>
      <c r="BE294" s="1">
        <f>AW294-SUM(AY294:BC294)</f>
        <v/>
      </c>
    </row>
    <row r="295">
      <c r="B295" s="12" t="n"/>
      <c r="C295" s="20" t="n"/>
      <c r="D295" s="20" t="n"/>
      <c r="E295" s="20" t="n"/>
      <c r="F295" s="20" t="n"/>
      <c r="G295" s="20" t="n"/>
      <c r="H295" s="20" t="n"/>
      <c r="I295" s="21">
        <f>F295+G295+H295</f>
        <v/>
      </c>
      <c r="J295" s="20" t="n"/>
      <c r="K295" s="20" t="n"/>
      <c r="L295" s="20" t="n"/>
      <c r="M295" s="20" t="n"/>
      <c r="N295" s="20" t="n"/>
      <c r="O295" s="20" t="n"/>
      <c r="Q295" s="19" t="n">
        <v>109.479795</v>
      </c>
      <c r="R295" s="19" t="n">
        <v>-7.354813</v>
      </c>
      <c r="S295" s="19" t="n">
        <v>170</v>
      </c>
      <c r="T295" s="19" t="n">
        <v>138.356765</v>
      </c>
      <c r="U295" s="19" t="n">
        <v>156.777934</v>
      </c>
      <c r="V295" s="19" t="n">
        <v>119.345797</v>
      </c>
      <c r="W295" s="19" t="n">
        <v>26.773822</v>
      </c>
      <c r="Y295">
        <f>B295</f>
        <v/>
      </c>
      <c r="Z295">
        <f>C295</f>
        <v/>
      </c>
      <c r="AA295" s="18">
        <f>SUM(AD295:AI295)+AK295+AL295</f>
        <v/>
      </c>
      <c r="AB295" s="18">
        <f>SUM(AD295:AI295)+AN295+AO295</f>
        <v/>
      </c>
      <c r="AC295" s="5">
        <f>AA295-AB295</f>
        <v/>
      </c>
      <c r="AD295" s="1">
        <f>D295/I295*W295*-1</f>
        <v/>
      </c>
      <c r="AE295" s="1">
        <f>E295/I295*W295</f>
        <v/>
      </c>
      <c r="AF295" s="1">
        <f t="array" ref="AF295">_xlfn.IFS(C295="Biomass_Corn", 1/I295*S295, C295="Biomass_Agri", 1/I295*V295, C295="Biomass_Wood", 1/I295*U295, C295="Biomass_Herb", 1/I295*T295)</f>
        <v/>
      </c>
      <c r="AG295" s="1">
        <f>M295/I295/(0.9*8760)</f>
        <v/>
      </c>
      <c r="AH295" s="1">
        <f>N295/I295/(0.9*8760)</f>
        <v/>
      </c>
      <c r="AI295" s="1">
        <f>O295/I295</f>
        <v/>
      </c>
      <c r="AJ295" s="1">
        <f>(AY295+AZ295+BA295+BB295+BC295-AW295)/I295</f>
        <v/>
      </c>
      <c r="AK295" s="1">
        <f>(Q295+R295)*-1*K295/I295</f>
        <v/>
      </c>
      <c r="AL295">
        <f>AJ295*Q295</f>
        <v/>
      </c>
      <c r="AM295" s="1">
        <f>(SUM(AY295:BB295)-AW295)/I295</f>
        <v/>
      </c>
      <c r="AN295" s="1">
        <f>K295/I295*-1*R295</f>
        <v/>
      </c>
      <c r="AO295">
        <f>AM295*Q295</f>
        <v/>
      </c>
      <c r="AQ295" s="17">
        <f>J295</f>
        <v/>
      </c>
      <c r="AR295" s="8" t="n">
        <v>0.243968185</v>
      </c>
      <c r="AS295" s="8" t="n">
        <v>0.249427613</v>
      </c>
      <c r="AT295" s="9" t="n">
        <v>0.246356685</v>
      </c>
      <c r="AU295" s="17" t="n">
        <v>0.23037491</v>
      </c>
      <c r="AW295" s="9">
        <f>AQ295</f>
        <v/>
      </c>
      <c r="AY295" s="9">
        <f>AR295*F295</f>
        <v/>
      </c>
      <c r="AZ295" s="9">
        <f>AS295*H295</f>
        <v/>
      </c>
      <c r="BA295" s="9">
        <f>AT295*G295</f>
        <v/>
      </c>
      <c r="BB295" s="9">
        <f>L295</f>
        <v/>
      </c>
      <c r="BC295" s="9">
        <f>K295</f>
        <v/>
      </c>
      <c r="BE295" s="1">
        <f>AW295-SUM(AY295:BC295)</f>
        <v/>
      </c>
    </row>
    <row r="296">
      <c r="B296" s="12" t="n"/>
      <c r="C296" s="20" t="n"/>
      <c r="D296" s="20" t="n"/>
      <c r="E296" s="20" t="n"/>
      <c r="F296" s="20" t="n"/>
      <c r="G296" s="20" t="n"/>
      <c r="H296" s="20" t="n"/>
      <c r="I296" s="21">
        <f>F296+G296+H296</f>
        <v/>
      </c>
      <c r="J296" s="20" t="n"/>
      <c r="K296" s="20" t="n"/>
      <c r="L296" s="20" t="n"/>
      <c r="M296" s="20" t="n"/>
      <c r="N296" s="20" t="n"/>
      <c r="O296" s="20" t="n"/>
      <c r="Q296" s="19" t="n">
        <v>109.479795</v>
      </c>
      <c r="R296" s="19" t="n">
        <v>-7.354813</v>
      </c>
      <c r="S296" s="19" t="n">
        <v>170</v>
      </c>
      <c r="T296" s="19" t="n">
        <v>138.356765</v>
      </c>
      <c r="U296" s="19" t="n">
        <v>156.777934</v>
      </c>
      <c r="V296" s="19" t="n">
        <v>119.345797</v>
      </c>
      <c r="W296" s="19" t="n">
        <v>26.773822</v>
      </c>
      <c r="Y296">
        <f>B296</f>
        <v/>
      </c>
      <c r="Z296">
        <f>C296</f>
        <v/>
      </c>
      <c r="AA296" s="18">
        <f>SUM(AD296:AI296)+AK296+AL296</f>
        <v/>
      </c>
      <c r="AB296" s="18">
        <f>SUM(AD296:AI296)+AN296+AO296</f>
        <v/>
      </c>
      <c r="AC296" s="5">
        <f>AA296-AB296</f>
        <v/>
      </c>
      <c r="AD296" s="1">
        <f>D296/I296*W296*-1</f>
        <v/>
      </c>
      <c r="AE296" s="1">
        <f>E296/I296*W296</f>
        <v/>
      </c>
      <c r="AF296" s="1">
        <f t="array" ref="AF296">_xlfn.IFS(C296="Biomass_Corn", 1/I296*S296, C296="Biomass_Agri", 1/I296*V296, C296="Biomass_Wood", 1/I296*U296, C296="Biomass_Herb", 1/I296*T296)</f>
        <v/>
      </c>
      <c r="AG296" s="1">
        <f>M296/I296/(0.9*8760)</f>
        <v/>
      </c>
      <c r="AH296" s="1">
        <f>N296/I296/(0.9*8760)</f>
        <v/>
      </c>
      <c r="AI296" s="1">
        <f>O296/I296</f>
        <v/>
      </c>
      <c r="AJ296" s="1">
        <f>(AY296+AZ296+BA296+BB296+BC296-AW296)/I296</f>
        <v/>
      </c>
      <c r="AK296" s="1">
        <f>(Q296+R296)*-1*K296/I296</f>
        <v/>
      </c>
      <c r="AL296">
        <f>AJ296*Q296</f>
        <v/>
      </c>
      <c r="AM296" s="1">
        <f>(SUM(AY296:BB296)-AW296)/I296</f>
        <v/>
      </c>
      <c r="AN296" s="1">
        <f>K296/I296*-1*R296</f>
        <v/>
      </c>
      <c r="AO296">
        <f>AM296*Q296</f>
        <v/>
      </c>
      <c r="AQ296" s="17">
        <f>J296</f>
        <v/>
      </c>
      <c r="AR296" s="8" t="n">
        <v>0.243968185</v>
      </c>
      <c r="AS296" s="8" t="n">
        <v>0.249427613</v>
      </c>
      <c r="AT296" s="9" t="n">
        <v>0.246356685</v>
      </c>
      <c r="AU296" s="17" t="n">
        <v>0.23037491</v>
      </c>
      <c r="AW296" s="9">
        <f>AQ296</f>
        <v/>
      </c>
      <c r="AY296" s="9">
        <f>AR296*F296</f>
        <v/>
      </c>
      <c r="AZ296" s="9">
        <f>AS296*H296</f>
        <v/>
      </c>
      <c r="BA296" s="9">
        <f>AT296*G296</f>
        <v/>
      </c>
      <c r="BB296" s="9">
        <f>L296</f>
        <v/>
      </c>
      <c r="BC296" s="9">
        <f>K296</f>
        <v/>
      </c>
      <c r="BE296" s="1">
        <f>AW296-SUM(AY296:BC296)</f>
        <v/>
      </c>
    </row>
    <row r="297">
      <c r="B297" s="12" t="n"/>
      <c r="C297" s="20" t="n"/>
      <c r="D297" s="20" t="n"/>
      <c r="E297" s="20" t="n"/>
      <c r="F297" s="20" t="n"/>
      <c r="G297" s="20" t="n"/>
      <c r="H297" s="20" t="n"/>
      <c r="I297" s="21">
        <f>F297+G297+H297</f>
        <v/>
      </c>
      <c r="J297" s="20" t="n"/>
      <c r="K297" s="20" t="n"/>
      <c r="L297" s="20" t="n"/>
      <c r="M297" s="20" t="n"/>
      <c r="N297" s="20" t="n"/>
      <c r="O297" s="20" t="n"/>
      <c r="Q297" s="19" t="n">
        <v>109.479795</v>
      </c>
      <c r="R297" s="19" t="n">
        <v>-7.354813</v>
      </c>
      <c r="S297" s="19" t="n">
        <v>170</v>
      </c>
      <c r="T297" s="19" t="n">
        <v>138.356765</v>
      </c>
      <c r="U297" s="19" t="n">
        <v>156.777934</v>
      </c>
      <c r="V297" s="19" t="n">
        <v>119.345797</v>
      </c>
      <c r="W297" s="19" t="n">
        <v>26.773822</v>
      </c>
      <c r="Y297">
        <f>B297</f>
        <v/>
      </c>
      <c r="Z297">
        <f>C297</f>
        <v/>
      </c>
      <c r="AA297" s="18">
        <f>SUM(AD297:AI297)+AK297+AL297</f>
        <v/>
      </c>
      <c r="AB297" s="18">
        <f>SUM(AD297:AI297)+AN297+AO297</f>
        <v/>
      </c>
      <c r="AC297" s="5">
        <f>AA297-AB297</f>
        <v/>
      </c>
      <c r="AD297" s="1">
        <f>D297/I297*W297*-1</f>
        <v/>
      </c>
      <c r="AE297" s="1">
        <f>E297/I297*W297</f>
        <v/>
      </c>
      <c r="AF297" s="1">
        <f t="array" ref="AF297">_xlfn.IFS(C297="Biomass_Corn", 1/I297*S297, C297="Biomass_Agri", 1/I297*V297, C297="Biomass_Wood", 1/I297*U297, C297="Biomass_Herb", 1/I297*T297)</f>
        <v/>
      </c>
      <c r="AG297" s="1">
        <f>M297/I297/(0.9*8760)</f>
        <v/>
      </c>
      <c r="AH297" s="1">
        <f>N297/I297/(0.9*8760)</f>
        <v/>
      </c>
      <c r="AI297" s="1">
        <f>O297/I297</f>
        <v/>
      </c>
      <c r="AJ297" s="1">
        <f>(AY297+AZ297+BA297+BB297+BC297-AW297)/I297</f>
        <v/>
      </c>
      <c r="AK297" s="1">
        <f>(Q297+R297)*-1*K297/I297</f>
        <v/>
      </c>
      <c r="AL297">
        <f>AJ297*Q297</f>
        <v/>
      </c>
      <c r="AM297" s="1">
        <f>(SUM(AY297:BB297)-AW297)/I297</f>
        <v/>
      </c>
      <c r="AN297" s="1">
        <f>K297/I297*-1*R297</f>
        <v/>
      </c>
      <c r="AO297">
        <f>AM297*Q297</f>
        <v/>
      </c>
      <c r="AQ297" s="17">
        <f>J297</f>
        <v/>
      </c>
      <c r="AR297" s="8" t="n">
        <v>0.243968185</v>
      </c>
      <c r="AS297" s="8" t="n">
        <v>0.249427613</v>
      </c>
      <c r="AT297" s="9" t="n">
        <v>0.246356685</v>
      </c>
      <c r="AU297" s="17" t="n">
        <v>0.23037491</v>
      </c>
      <c r="AW297" s="9">
        <f>AQ297</f>
        <v/>
      </c>
      <c r="AY297" s="9">
        <f>AR297*F297</f>
        <v/>
      </c>
      <c r="AZ297" s="9">
        <f>AS297*H297</f>
        <v/>
      </c>
      <c r="BA297" s="9">
        <f>AT297*G297</f>
        <v/>
      </c>
      <c r="BB297" s="9">
        <f>L297</f>
        <v/>
      </c>
      <c r="BC297" s="9">
        <f>K297</f>
        <v/>
      </c>
      <c r="BE297" s="1">
        <f>AW297-SUM(AY297:BC297)</f>
        <v/>
      </c>
    </row>
    <row r="298">
      <c r="B298" s="12" t="n"/>
      <c r="C298" s="20" t="n"/>
      <c r="D298" s="20" t="n"/>
      <c r="E298" s="20" t="n"/>
      <c r="F298" s="20" t="n"/>
      <c r="G298" s="20" t="n"/>
      <c r="H298" s="20" t="n"/>
      <c r="I298" s="21">
        <f>F298+G298+H298</f>
        <v/>
      </c>
      <c r="J298" s="20" t="n"/>
      <c r="K298" s="20" t="n"/>
      <c r="L298" s="20" t="n"/>
      <c r="M298" s="20" t="n"/>
      <c r="N298" s="20" t="n"/>
      <c r="O298" s="20" t="n"/>
      <c r="Q298" s="19" t="n">
        <v>109.479795</v>
      </c>
      <c r="R298" s="19" t="n">
        <v>-7.354813</v>
      </c>
      <c r="S298" s="19" t="n">
        <v>170</v>
      </c>
      <c r="T298" s="19" t="n">
        <v>138.356765</v>
      </c>
      <c r="U298" s="19" t="n">
        <v>156.777934</v>
      </c>
      <c r="V298" s="19" t="n">
        <v>119.345797</v>
      </c>
      <c r="W298" s="19" t="n">
        <v>26.773822</v>
      </c>
      <c r="Y298">
        <f>B298</f>
        <v/>
      </c>
      <c r="Z298">
        <f>C298</f>
        <v/>
      </c>
      <c r="AA298" s="18">
        <f>SUM(AD298:AI298)+AK298+AL298</f>
        <v/>
      </c>
      <c r="AB298" s="18">
        <f>SUM(AD298:AI298)+AN298+AO298</f>
        <v/>
      </c>
      <c r="AC298" s="5">
        <f>AA298-AB298</f>
        <v/>
      </c>
      <c r="AD298" s="1">
        <f>D298/I298*W298*-1</f>
        <v/>
      </c>
      <c r="AE298" s="1">
        <f>E298/I298*W298</f>
        <v/>
      </c>
      <c r="AF298" s="1">
        <f t="array" ref="AF298">_xlfn.IFS(C298="Biomass_Corn", 1/I298*S298, C298="Biomass_Agri", 1/I298*V298, C298="Biomass_Wood", 1/I298*U298, C298="Biomass_Herb", 1/I298*T298)</f>
        <v/>
      </c>
      <c r="AG298" s="1">
        <f>M298/I298/(0.9*8760)</f>
        <v/>
      </c>
      <c r="AH298" s="1">
        <f>N298/I298/(0.9*8760)</f>
        <v/>
      </c>
      <c r="AI298" s="1">
        <f>O298/I298</f>
        <v/>
      </c>
      <c r="AJ298" s="1">
        <f>(AY298+AZ298+BA298+BB298+BC298-AW298)/I298</f>
        <v/>
      </c>
      <c r="AK298" s="1">
        <f>(Q298+R298)*-1*K298/I298</f>
        <v/>
      </c>
      <c r="AL298">
        <f>AJ298*Q298</f>
        <v/>
      </c>
      <c r="AM298" s="1">
        <f>(SUM(AY298:BB298)-AW298)/I298</f>
        <v/>
      </c>
      <c r="AN298" s="1">
        <f>K298/I298*-1*R298</f>
        <v/>
      </c>
      <c r="AO298">
        <f>AM298*Q298</f>
        <v/>
      </c>
      <c r="AQ298" s="17">
        <f>J298</f>
        <v/>
      </c>
      <c r="AR298" s="8" t="n">
        <v>0.243968185</v>
      </c>
      <c r="AS298" s="8" t="n">
        <v>0.249427613</v>
      </c>
      <c r="AT298" s="9" t="n">
        <v>0.246356685</v>
      </c>
      <c r="AU298" s="17" t="n">
        <v>0.23037491</v>
      </c>
      <c r="AW298" s="9">
        <f>AQ298</f>
        <v/>
      </c>
      <c r="AY298" s="9">
        <f>AR298*F298</f>
        <v/>
      </c>
      <c r="AZ298" s="9">
        <f>AS298*H298</f>
        <v/>
      </c>
      <c r="BA298" s="9">
        <f>AT298*G298</f>
        <v/>
      </c>
      <c r="BB298" s="9">
        <f>L298</f>
        <v/>
      </c>
      <c r="BC298" s="9">
        <f>K298</f>
        <v/>
      </c>
      <c r="BE298" s="1">
        <f>AW298-SUM(AY298:BC298)</f>
        <v/>
      </c>
    </row>
    <row r="299">
      <c r="B299" s="12" t="n"/>
      <c r="C299" s="20" t="n"/>
      <c r="D299" s="20" t="n"/>
      <c r="E299" s="20" t="n"/>
      <c r="F299" s="20" t="n"/>
      <c r="G299" s="20" t="n"/>
      <c r="H299" s="20" t="n"/>
      <c r="I299" s="21">
        <f>F299+G299+H299</f>
        <v/>
      </c>
      <c r="J299" s="20" t="n"/>
      <c r="K299" s="20" t="n"/>
      <c r="L299" s="20" t="n"/>
      <c r="M299" s="20" t="n"/>
      <c r="N299" s="20" t="n"/>
      <c r="O299" s="20" t="n"/>
      <c r="Q299" s="19" t="n">
        <v>109.479795</v>
      </c>
      <c r="R299" s="19" t="n">
        <v>-7.354813</v>
      </c>
      <c r="S299" s="19" t="n">
        <v>170</v>
      </c>
      <c r="T299" s="19" t="n">
        <v>138.356765</v>
      </c>
      <c r="U299" s="19" t="n">
        <v>156.777934</v>
      </c>
      <c r="V299" s="19" t="n">
        <v>119.345797</v>
      </c>
      <c r="W299" s="19" t="n">
        <v>26.773822</v>
      </c>
      <c r="Y299">
        <f>B299</f>
        <v/>
      </c>
      <c r="Z299">
        <f>C299</f>
        <v/>
      </c>
      <c r="AA299" s="18">
        <f>SUM(AD299:AI299)+AK299+AL299</f>
        <v/>
      </c>
      <c r="AB299" s="18">
        <f>SUM(AD299:AI299)+AN299+AO299</f>
        <v/>
      </c>
      <c r="AC299" s="5">
        <f>AA299-AB299</f>
        <v/>
      </c>
      <c r="AD299" s="1">
        <f>D299/I299*W299*-1</f>
        <v/>
      </c>
      <c r="AE299" s="1">
        <f>E299/I299*W299</f>
        <v/>
      </c>
      <c r="AF299" s="1">
        <f t="array" ref="AF299">_xlfn.IFS(C299="Biomass_Corn", 1/I299*S299, C299="Biomass_Agri", 1/I299*V299, C299="Biomass_Wood", 1/I299*U299, C299="Biomass_Herb", 1/I299*T299)</f>
        <v/>
      </c>
      <c r="AG299" s="1">
        <f>M299/I299/(0.9*8760)</f>
        <v/>
      </c>
      <c r="AH299" s="1">
        <f>N299/I299/(0.9*8760)</f>
        <v/>
      </c>
      <c r="AI299" s="1">
        <f>O299/I299</f>
        <v/>
      </c>
      <c r="AJ299" s="1">
        <f>(AY299+AZ299+BA299+BB299+BC299-AW299)/I299</f>
        <v/>
      </c>
      <c r="AK299" s="1">
        <f>(Q299+R299)*-1*K299/I299</f>
        <v/>
      </c>
      <c r="AL299">
        <f>AJ299*Q299</f>
        <v/>
      </c>
      <c r="AM299" s="1">
        <f>(SUM(AY299:BB299)-AW299)/I299</f>
        <v/>
      </c>
      <c r="AN299" s="1">
        <f>K299/I299*-1*R299</f>
        <v/>
      </c>
      <c r="AO299">
        <f>AM299*Q299</f>
        <v/>
      </c>
      <c r="AQ299" s="17">
        <f>J299</f>
        <v/>
      </c>
      <c r="AR299" s="8" t="n">
        <v>0.243968185</v>
      </c>
      <c r="AS299" s="8" t="n">
        <v>0.249427613</v>
      </c>
      <c r="AT299" s="9" t="n">
        <v>0.246356685</v>
      </c>
      <c r="AU299" s="17" t="n">
        <v>0.23037491</v>
      </c>
      <c r="AW299" s="9">
        <f>AQ299</f>
        <v/>
      </c>
      <c r="AY299" s="9">
        <f>AR299*F299</f>
        <v/>
      </c>
      <c r="AZ299" s="9">
        <f>AS299*H299</f>
        <v/>
      </c>
      <c r="BA299" s="9">
        <f>AT299*G299</f>
        <v/>
      </c>
      <c r="BB299" s="9">
        <f>L299</f>
        <v/>
      </c>
      <c r="BC299" s="9">
        <f>K299</f>
        <v/>
      </c>
      <c r="BE299" s="1">
        <f>AW299-SUM(AY299:BC299)</f>
        <v/>
      </c>
    </row>
    <row r="300">
      <c r="B300" s="12" t="n"/>
      <c r="C300" s="20" t="n"/>
      <c r="D300" s="20" t="n"/>
      <c r="E300" s="20" t="n"/>
      <c r="F300" s="20" t="n"/>
      <c r="G300" s="20" t="n"/>
      <c r="H300" s="20" t="n"/>
      <c r="I300" s="21">
        <f>F300+G300+H300</f>
        <v/>
      </c>
      <c r="J300" s="20" t="n"/>
      <c r="K300" s="20" t="n"/>
      <c r="L300" s="20" t="n"/>
      <c r="M300" s="20" t="n"/>
      <c r="N300" s="20" t="n"/>
      <c r="O300" s="20" t="n"/>
      <c r="Q300" s="19" t="n">
        <v>109.479795</v>
      </c>
      <c r="R300" s="19" t="n">
        <v>-7.354813</v>
      </c>
      <c r="S300" s="19" t="n">
        <v>170</v>
      </c>
      <c r="T300" s="19" t="n">
        <v>138.356765</v>
      </c>
      <c r="U300" s="19" t="n">
        <v>156.777934</v>
      </c>
      <c r="V300" s="19" t="n">
        <v>119.345797</v>
      </c>
      <c r="W300" s="19" t="n">
        <v>26.773822</v>
      </c>
      <c r="Y300">
        <f>B300</f>
        <v/>
      </c>
      <c r="Z300">
        <f>C300</f>
        <v/>
      </c>
      <c r="AA300" s="18">
        <f>SUM(AD300:AI300)+AK300+AL300</f>
        <v/>
      </c>
      <c r="AB300" s="18">
        <f>SUM(AD300:AI300)+AN300+AO300</f>
        <v/>
      </c>
      <c r="AC300" s="5">
        <f>AA300-AB300</f>
        <v/>
      </c>
      <c r="AD300" s="1">
        <f>D300/I300*W300*-1</f>
        <v/>
      </c>
      <c r="AE300" s="1">
        <f>E300/I300*W300</f>
        <v/>
      </c>
      <c r="AF300" s="1">
        <f t="array" ref="AF300">_xlfn.IFS(C300="Biomass_Corn", 1/I300*S300, C300="Biomass_Agri", 1/I300*V300, C300="Biomass_Wood", 1/I300*U300, C300="Biomass_Herb", 1/I300*T300)</f>
        <v/>
      </c>
      <c r="AG300" s="1">
        <f>M300/I300/(0.9*8760)</f>
        <v/>
      </c>
      <c r="AH300" s="1">
        <f>N300/I300/(0.9*8760)</f>
        <v/>
      </c>
      <c r="AI300" s="1">
        <f>O300/I300</f>
        <v/>
      </c>
      <c r="AJ300" s="1">
        <f>(AY300+AZ300+BA300+BB300+BC300-AW300)/I300</f>
        <v/>
      </c>
      <c r="AK300" s="1">
        <f>(Q300+R300)*-1*K300/I300</f>
        <v/>
      </c>
      <c r="AL300">
        <f>AJ300*Q300</f>
        <v/>
      </c>
      <c r="AM300" s="1">
        <f>(SUM(AY300:BB300)-AW300)/I300</f>
        <v/>
      </c>
      <c r="AN300" s="1">
        <f>K300/I300*-1*R300</f>
        <v/>
      </c>
      <c r="AO300">
        <f>AM300*Q300</f>
        <v/>
      </c>
      <c r="AQ300" s="17">
        <f>J300</f>
        <v/>
      </c>
      <c r="AR300" s="8" t="n">
        <v>0.243968185</v>
      </c>
      <c r="AS300" s="8" t="n">
        <v>0.249427613</v>
      </c>
      <c r="AT300" s="9" t="n">
        <v>0.246356685</v>
      </c>
      <c r="AU300" s="17" t="n">
        <v>0.23037491</v>
      </c>
      <c r="AW300" s="9">
        <f>AQ300</f>
        <v/>
      </c>
      <c r="AY300" s="9">
        <f>AR300*F300</f>
        <v/>
      </c>
      <c r="AZ300" s="9">
        <f>AS300*H300</f>
        <v/>
      </c>
      <c r="BA300" s="9">
        <f>AT300*G300</f>
        <v/>
      </c>
      <c r="BB300" s="9">
        <f>L300</f>
        <v/>
      </c>
      <c r="BC300" s="9">
        <f>K300</f>
        <v/>
      </c>
      <c r="BE300" s="1">
        <f>AW300-SUM(AY300:BC300)</f>
        <v/>
      </c>
    </row>
    <row r="301">
      <c r="B301" s="12" t="n"/>
      <c r="C301" s="20" t="n"/>
      <c r="D301" s="20" t="n"/>
      <c r="E301" s="20" t="n"/>
      <c r="F301" s="20" t="n"/>
      <c r="G301" s="20" t="n"/>
      <c r="H301" s="20" t="n"/>
      <c r="I301" s="21">
        <f>F301+G301+H301</f>
        <v/>
      </c>
      <c r="J301" s="20" t="n"/>
      <c r="K301" s="20" t="n"/>
      <c r="L301" s="20" t="n"/>
      <c r="M301" s="20" t="n"/>
      <c r="N301" s="20" t="n"/>
      <c r="O301" s="20" t="n"/>
      <c r="Q301" s="19" t="n">
        <v>109.479795</v>
      </c>
      <c r="R301" s="19" t="n">
        <v>-7.354813</v>
      </c>
      <c r="S301" s="19" t="n">
        <v>170</v>
      </c>
      <c r="T301" s="19" t="n">
        <v>138.356765</v>
      </c>
      <c r="U301" s="19" t="n">
        <v>156.777934</v>
      </c>
      <c r="V301" s="19" t="n">
        <v>119.345797</v>
      </c>
      <c r="W301" s="19" t="n">
        <v>26.773822</v>
      </c>
      <c r="Y301">
        <f>B301</f>
        <v/>
      </c>
      <c r="Z301">
        <f>C301</f>
        <v/>
      </c>
      <c r="AA301" s="18">
        <f>SUM(AD301:AI301)+AK301+AL301</f>
        <v/>
      </c>
      <c r="AB301" s="18">
        <f>SUM(AD301:AI301)+AN301+AO301</f>
        <v/>
      </c>
      <c r="AC301" s="5">
        <f>AA301-AB301</f>
        <v/>
      </c>
      <c r="AD301" s="1">
        <f>D301/I301*W301*-1</f>
        <v/>
      </c>
      <c r="AE301" s="1">
        <f>E301/I301*W301</f>
        <v/>
      </c>
      <c r="AF301" s="1">
        <f t="array" ref="AF301">_xlfn.IFS(C301="Biomass_Corn", 1/I301*S301, C301="Biomass_Agri", 1/I301*V301, C301="Biomass_Wood", 1/I301*U301, C301="Biomass_Herb", 1/I301*T301)</f>
        <v/>
      </c>
      <c r="AG301" s="1">
        <f>M301/I301/(0.9*8760)</f>
        <v/>
      </c>
      <c r="AH301" s="1">
        <f>N301/I301/(0.9*8760)</f>
        <v/>
      </c>
      <c r="AI301" s="1">
        <f>O301/I301</f>
        <v/>
      </c>
      <c r="AJ301" s="1">
        <f>(AY301+AZ301+BA301+BB301+BC301-AW301)/I301</f>
        <v/>
      </c>
      <c r="AK301" s="1">
        <f>(Q301+R301)*-1*K301/I301</f>
        <v/>
      </c>
      <c r="AL301">
        <f>AJ301*Q301</f>
        <v/>
      </c>
      <c r="AM301" s="1">
        <f>(SUM(AY301:BB301)-AW301)/I301</f>
        <v/>
      </c>
      <c r="AN301" s="1">
        <f>K301/I301*-1*R301</f>
        <v/>
      </c>
      <c r="AO301">
        <f>AM301*Q301</f>
        <v/>
      </c>
      <c r="AQ301" s="17">
        <f>J301</f>
        <v/>
      </c>
      <c r="AR301" s="8" t="n">
        <v>0.243968185</v>
      </c>
      <c r="AS301" s="8" t="n">
        <v>0.249427613</v>
      </c>
      <c r="AT301" s="9" t="n">
        <v>0.246356685</v>
      </c>
      <c r="AU301" s="17" t="n">
        <v>0.23037491</v>
      </c>
      <c r="AW301" s="9">
        <f>AQ301</f>
        <v/>
      </c>
      <c r="AY301" s="9">
        <f>AR301*F301</f>
        <v/>
      </c>
      <c r="AZ301" s="9">
        <f>AS301*H301</f>
        <v/>
      </c>
      <c r="BA301" s="9">
        <f>AT301*G301</f>
        <v/>
      </c>
      <c r="BB301" s="9">
        <f>L301</f>
        <v/>
      </c>
      <c r="BC301" s="9">
        <f>K301</f>
        <v/>
      </c>
      <c r="BE301" s="1">
        <f>AW301-SUM(AY301:BC301)</f>
        <v/>
      </c>
    </row>
    <row r="302">
      <c r="B302" s="12" t="n"/>
      <c r="C302" s="20" t="n"/>
      <c r="D302" s="20" t="n"/>
      <c r="E302" s="20" t="n"/>
      <c r="F302" s="20" t="n"/>
      <c r="G302" s="20" t="n"/>
      <c r="H302" s="20" t="n"/>
      <c r="I302" s="21">
        <f>F302+G302+H302</f>
        <v/>
      </c>
      <c r="J302" s="20" t="n"/>
      <c r="K302" s="20" t="n"/>
      <c r="L302" s="20" t="n"/>
      <c r="M302" s="20" t="n"/>
      <c r="N302" s="20" t="n"/>
      <c r="O302" s="20" t="n"/>
      <c r="Q302" s="19" t="n">
        <v>109.479795</v>
      </c>
      <c r="R302" s="19" t="n">
        <v>-7.354813</v>
      </c>
      <c r="S302" s="19" t="n">
        <v>170</v>
      </c>
      <c r="T302" s="19" t="n">
        <v>138.356765</v>
      </c>
      <c r="U302" s="19" t="n">
        <v>156.777934</v>
      </c>
      <c r="V302" s="19" t="n">
        <v>119.345797</v>
      </c>
      <c r="W302" s="19" t="n">
        <v>26.773822</v>
      </c>
      <c r="Y302">
        <f>B302</f>
        <v/>
      </c>
      <c r="Z302">
        <f>C302</f>
        <v/>
      </c>
      <c r="AA302" s="18">
        <f>SUM(AD302:AI302)+AK302+AL302</f>
        <v/>
      </c>
      <c r="AB302" s="18">
        <f>SUM(AD302:AI302)+AN302+AO302</f>
        <v/>
      </c>
      <c r="AC302" s="5">
        <f>AA302-AB302</f>
        <v/>
      </c>
      <c r="AD302" s="1">
        <f>D302/I302*W302*-1</f>
        <v/>
      </c>
      <c r="AE302" s="1">
        <f>E302/I302*W302</f>
        <v/>
      </c>
      <c r="AF302" s="1">
        <f t="array" ref="AF302">_xlfn.IFS(C302="Biomass_Corn", 1/I302*S302, C302="Biomass_Agri", 1/I302*V302, C302="Biomass_Wood", 1/I302*U302, C302="Biomass_Herb", 1/I302*T302)</f>
        <v/>
      </c>
      <c r="AG302" s="1">
        <f>M302/I302/(0.9*8760)</f>
        <v/>
      </c>
      <c r="AH302" s="1">
        <f>N302/I302/(0.9*8760)</f>
        <v/>
      </c>
      <c r="AI302" s="1">
        <f>O302/I302</f>
        <v/>
      </c>
      <c r="AJ302" s="1">
        <f>(AY302+AZ302+BA302+BB302+BC302-AW302)/I302</f>
        <v/>
      </c>
      <c r="AK302" s="1">
        <f>(Q302+R302)*-1*K302/I302</f>
        <v/>
      </c>
      <c r="AL302">
        <f>AJ302*Q302</f>
        <v/>
      </c>
      <c r="AM302" s="1">
        <f>(SUM(AY302:BB302)-AW302)/I302</f>
        <v/>
      </c>
      <c r="AN302" s="1">
        <f>K302/I302*-1*R302</f>
        <v/>
      </c>
      <c r="AO302">
        <f>AM302*Q302</f>
        <v/>
      </c>
      <c r="AQ302" s="17">
        <f>J302</f>
        <v/>
      </c>
      <c r="AR302" s="8" t="n">
        <v>0.243968185</v>
      </c>
      <c r="AS302" s="8" t="n">
        <v>0.249427613</v>
      </c>
      <c r="AT302" s="9" t="n">
        <v>0.246356685</v>
      </c>
      <c r="AU302" s="17" t="n">
        <v>0.23037491</v>
      </c>
      <c r="AW302" s="9">
        <f>AQ302</f>
        <v/>
      </c>
      <c r="AY302" s="9">
        <f>AR302*F302</f>
        <v/>
      </c>
      <c r="AZ302" s="9">
        <f>AS302*H302</f>
        <v/>
      </c>
      <c r="BA302" s="9">
        <f>AT302*G302</f>
        <v/>
      </c>
      <c r="BB302" s="9">
        <f>L302</f>
        <v/>
      </c>
      <c r="BC302" s="9">
        <f>K302</f>
        <v/>
      </c>
      <c r="BE302" s="1">
        <f>AW302-SUM(AY302:BC302)</f>
        <v/>
      </c>
    </row>
    <row r="303">
      <c r="B303" s="12" t="n"/>
      <c r="C303" s="20" t="n"/>
      <c r="D303" s="20" t="n"/>
      <c r="E303" s="20" t="n"/>
      <c r="F303" s="20" t="n"/>
      <c r="G303" s="20" t="n"/>
      <c r="H303" s="20" t="n"/>
      <c r="I303" s="21">
        <f>F303+G303+H303</f>
        <v/>
      </c>
      <c r="J303" s="20" t="n"/>
      <c r="K303" s="20" t="n"/>
      <c r="L303" s="20" t="n"/>
      <c r="M303" s="20" t="n"/>
      <c r="N303" s="20" t="n"/>
      <c r="O303" s="20" t="n"/>
      <c r="Q303" s="19" t="n">
        <v>109.479795</v>
      </c>
      <c r="R303" s="19" t="n">
        <v>-7.354813</v>
      </c>
      <c r="S303" s="19" t="n">
        <v>170</v>
      </c>
      <c r="T303" s="19" t="n">
        <v>138.356765</v>
      </c>
      <c r="U303" s="19" t="n">
        <v>156.777934</v>
      </c>
      <c r="V303" s="19" t="n">
        <v>119.345797</v>
      </c>
      <c r="W303" s="19" t="n">
        <v>26.773822</v>
      </c>
      <c r="Y303">
        <f>B303</f>
        <v/>
      </c>
      <c r="Z303">
        <f>C303</f>
        <v/>
      </c>
      <c r="AA303" s="18">
        <f>SUM(AD303:AI303)+AK303+AL303</f>
        <v/>
      </c>
      <c r="AB303" s="18">
        <f>SUM(AD303:AI303)+AN303+AO303</f>
        <v/>
      </c>
      <c r="AC303" s="5">
        <f>AA303-AB303</f>
        <v/>
      </c>
      <c r="AD303" s="1">
        <f>D303/I303*W303*-1</f>
        <v/>
      </c>
      <c r="AE303" s="1">
        <f>E303/I303*W303</f>
        <v/>
      </c>
      <c r="AF303" s="1">
        <f t="array" ref="AF303">_xlfn.IFS(C303="Biomass_Corn", 1/I303*S303, C303="Biomass_Agri", 1/I303*V303, C303="Biomass_Wood", 1/I303*U303, C303="Biomass_Herb", 1/I303*T303)</f>
        <v/>
      </c>
      <c r="AG303" s="1">
        <f>M303/I303/(0.9*8760)</f>
        <v/>
      </c>
      <c r="AH303" s="1">
        <f>N303/I303/(0.9*8760)</f>
        <v/>
      </c>
      <c r="AI303" s="1">
        <f>O303/I303</f>
        <v/>
      </c>
      <c r="AJ303" s="1">
        <f>(AY303+AZ303+BA303+BB303+BC303-AW303)/I303</f>
        <v/>
      </c>
      <c r="AK303" s="1">
        <f>(Q303+R303)*-1*K303/I303</f>
        <v/>
      </c>
      <c r="AL303">
        <f>AJ303*Q303</f>
        <v/>
      </c>
      <c r="AM303" s="1">
        <f>(SUM(AY303:BB303)-AW303)/I303</f>
        <v/>
      </c>
      <c r="AN303" s="1">
        <f>K303/I303*-1*R303</f>
        <v/>
      </c>
      <c r="AO303">
        <f>AM303*Q303</f>
        <v/>
      </c>
      <c r="AQ303" s="17">
        <f>J303</f>
        <v/>
      </c>
      <c r="AR303" s="8" t="n">
        <v>0.243968185</v>
      </c>
      <c r="AS303" s="8" t="n">
        <v>0.249427613</v>
      </c>
      <c r="AT303" s="9" t="n">
        <v>0.246356685</v>
      </c>
      <c r="AU303" s="17" t="n">
        <v>0.23037491</v>
      </c>
      <c r="AW303" s="9">
        <f>AQ303</f>
        <v/>
      </c>
      <c r="AY303" s="9">
        <f>AR303*F303</f>
        <v/>
      </c>
      <c r="AZ303" s="9">
        <f>AS303*H303</f>
        <v/>
      </c>
      <c r="BA303" s="9">
        <f>AT303*G303</f>
        <v/>
      </c>
      <c r="BB303" s="9">
        <f>L303</f>
        <v/>
      </c>
      <c r="BC303" s="9">
        <f>K303</f>
        <v/>
      </c>
      <c r="BE303" s="1">
        <f>AW303-SUM(AY303:BC303)</f>
        <v/>
      </c>
    </row>
    <row r="304">
      <c r="B304" s="12" t="n"/>
      <c r="C304" s="20" t="n"/>
      <c r="D304" s="20" t="n"/>
      <c r="E304" s="20" t="n"/>
      <c r="F304" s="20" t="n"/>
      <c r="G304" s="20" t="n"/>
      <c r="H304" s="20" t="n"/>
      <c r="I304" s="21">
        <f>F304+G304+H304</f>
        <v/>
      </c>
      <c r="J304" s="20" t="n"/>
      <c r="K304" s="20" t="n"/>
      <c r="L304" s="20" t="n"/>
      <c r="M304" s="20" t="n"/>
      <c r="N304" s="20" t="n"/>
      <c r="O304" s="20" t="n"/>
      <c r="Q304" s="19" t="n">
        <v>109.479795</v>
      </c>
      <c r="R304" s="19" t="n">
        <v>-7.354813</v>
      </c>
      <c r="S304" s="19" t="n">
        <v>170</v>
      </c>
      <c r="T304" s="19" t="n">
        <v>138.356765</v>
      </c>
      <c r="U304" s="19" t="n">
        <v>156.777934</v>
      </c>
      <c r="V304" s="19" t="n">
        <v>119.345797</v>
      </c>
      <c r="W304" s="19" t="n">
        <v>26.773822</v>
      </c>
      <c r="Y304">
        <f>B304</f>
        <v/>
      </c>
      <c r="Z304">
        <f>C304</f>
        <v/>
      </c>
      <c r="AA304" s="18">
        <f>SUM(AD304:AI304)+AK304+AL304</f>
        <v/>
      </c>
      <c r="AB304" s="18">
        <f>SUM(AD304:AI304)+AN304+AO304</f>
        <v/>
      </c>
      <c r="AC304" s="5">
        <f>AA304-AB304</f>
        <v/>
      </c>
      <c r="AD304" s="1">
        <f>D304/I304*W304*-1</f>
        <v/>
      </c>
      <c r="AE304" s="1">
        <f>E304/I304*W304</f>
        <v/>
      </c>
      <c r="AF304" s="1">
        <f t="array" ref="AF304">_xlfn.IFS(C304="Biomass_Corn", 1/I304*S304, C304="Biomass_Agri", 1/I304*V304, C304="Biomass_Wood", 1/I304*U304, C304="Biomass_Herb", 1/I304*T304)</f>
        <v/>
      </c>
      <c r="AG304" s="1">
        <f>M304/I304/(0.9*8760)</f>
        <v/>
      </c>
      <c r="AH304" s="1">
        <f>N304/I304/(0.9*8760)</f>
        <v/>
      </c>
      <c r="AI304" s="1">
        <f>O304/I304</f>
        <v/>
      </c>
      <c r="AJ304" s="1">
        <f>(AY304+AZ304+BA304+BB304+BC304-AW304)/I304</f>
        <v/>
      </c>
      <c r="AK304" s="1">
        <f>(Q304+R304)*-1*K304/I304</f>
        <v/>
      </c>
      <c r="AL304">
        <f>AJ304*Q304</f>
        <v/>
      </c>
      <c r="AM304" s="1">
        <f>(SUM(AY304:BB304)-AW304)/I304</f>
        <v/>
      </c>
      <c r="AN304" s="1">
        <f>K304/I304*-1*R304</f>
        <v/>
      </c>
      <c r="AO304">
        <f>AM304*Q304</f>
        <v/>
      </c>
      <c r="AQ304" s="17">
        <f>J304</f>
        <v/>
      </c>
      <c r="AR304" s="8" t="n">
        <v>0.243968185</v>
      </c>
      <c r="AS304" s="8" t="n">
        <v>0.249427613</v>
      </c>
      <c r="AT304" s="9" t="n">
        <v>0.246356685</v>
      </c>
      <c r="AU304" s="17" t="n">
        <v>0.23037491</v>
      </c>
      <c r="AW304" s="9">
        <f>AQ304</f>
        <v/>
      </c>
      <c r="AY304" s="9">
        <f>AR304*F304</f>
        <v/>
      </c>
      <c r="AZ304" s="9">
        <f>AS304*H304</f>
        <v/>
      </c>
      <c r="BA304" s="9">
        <f>AT304*G304</f>
        <v/>
      </c>
      <c r="BB304" s="9">
        <f>L304</f>
        <v/>
      </c>
      <c r="BC304" s="9">
        <f>K304</f>
        <v/>
      </c>
      <c r="BE304" s="1">
        <f>AW304-SUM(AY304:BC304)</f>
        <v/>
      </c>
    </row>
    <row r="305">
      <c r="B305" s="12" t="n"/>
      <c r="C305" s="20" t="n"/>
      <c r="D305" s="20" t="n"/>
      <c r="E305" s="20" t="n"/>
      <c r="F305" s="20" t="n"/>
      <c r="G305" s="20" t="n"/>
      <c r="H305" s="20" t="n"/>
      <c r="I305" s="21">
        <f>F305+G305+H305</f>
        <v/>
      </c>
      <c r="J305" s="20" t="n"/>
      <c r="K305" s="20" t="n"/>
      <c r="L305" s="20" t="n"/>
      <c r="M305" s="20" t="n"/>
      <c r="N305" s="20" t="n"/>
      <c r="O305" s="20" t="n"/>
      <c r="Q305" s="19" t="n">
        <v>109.479795</v>
      </c>
      <c r="R305" s="19" t="n">
        <v>-7.354813</v>
      </c>
      <c r="S305" s="19" t="n">
        <v>170</v>
      </c>
      <c r="T305" s="19" t="n">
        <v>138.356765</v>
      </c>
      <c r="U305" s="19" t="n">
        <v>156.777934</v>
      </c>
      <c r="V305" s="19" t="n">
        <v>119.345797</v>
      </c>
      <c r="W305" s="19" t="n">
        <v>26.773822</v>
      </c>
      <c r="Y305">
        <f>B305</f>
        <v/>
      </c>
      <c r="Z305">
        <f>C305</f>
        <v/>
      </c>
      <c r="AA305" s="18">
        <f>SUM(AD305:AI305)+AK305+AL305</f>
        <v/>
      </c>
      <c r="AB305" s="18">
        <f>SUM(AD305:AI305)+AN305+AO305</f>
        <v/>
      </c>
      <c r="AC305" s="5">
        <f>AA305-AB305</f>
        <v/>
      </c>
      <c r="AD305" s="1">
        <f>D305/I305*W305*-1</f>
        <v/>
      </c>
      <c r="AE305" s="1">
        <f>E305/I305*W305</f>
        <v/>
      </c>
      <c r="AF305" s="1">
        <f t="array" ref="AF305">_xlfn.IFS(C305="Biomass_Corn", 1/I305*S305, C305="Biomass_Agri", 1/I305*V305, C305="Biomass_Wood", 1/I305*U305, C305="Biomass_Herb", 1/I305*T305)</f>
        <v/>
      </c>
      <c r="AG305" s="1">
        <f>M305/I305/(0.9*8760)</f>
        <v/>
      </c>
      <c r="AH305" s="1">
        <f>N305/I305/(0.9*8760)</f>
        <v/>
      </c>
      <c r="AI305" s="1">
        <f>O305/I305</f>
        <v/>
      </c>
      <c r="AJ305" s="1">
        <f>(AY305+AZ305+BA305+BB305+BC305-AW305)/I305</f>
        <v/>
      </c>
      <c r="AK305" s="1">
        <f>(Q305+R305)*-1*K305/I305</f>
        <v/>
      </c>
      <c r="AL305">
        <f>AJ305*Q305</f>
        <v/>
      </c>
      <c r="AM305" s="1">
        <f>(SUM(AY305:BB305)-AW305)/I305</f>
        <v/>
      </c>
      <c r="AN305" s="1">
        <f>K305/I305*-1*R305</f>
        <v/>
      </c>
      <c r="AO305">
        <f>AM305*Q305</f>
        <v/>
      </c>
      <c r="AQ305" s="17">
        <f>J305</f>
        <v/>
      </c>
      <c r="AR305" s="8" t="n">
        <v>0.243968185</v>
      </c>
      <c r="AS305" s="8" t="n">
        <v>0.249427613</v>
      </c>
      <c r="AT305" s="9" t="n">
        <v>0.246356685</v>
      </c>
      <c r="AU305" s="17" t="n">
        <v>0.23037491</v>
      </c>
      <c r="AW305" s="9">
        <f>AQ305</f>
        <v/>
      </c>
      <c r="AY305" s="9">
        <f>AR305*F305</f>
        <v/>
      </c>
      <c r="AZ305" s="9">
        <f>AS305*H305</f>
        <v/>
      </c>
      <c r="BA305" s="9">
        <f>AT305*G305</f>
        <v/>
      </c>
      <c r="BB305" s="9">
        <f>L305</f>
        <v/>
      </c>
      <c r="BC305" s="9">
        <f>K305</f>
        <v/>
      </c>
      <c r="BE305" s="1">
        <f>AW305-SUM(AY305:BC305)</f>
        <v/>
      </c>
    </row>
    <row r="306">
      <c r="B306" s="12" t="n"/>
      <c r="C306" s="20" t="n"/>
      <c r="D306" s="20" t="n"/>
      <c r="E306" s="20" t="n"/>
      <c r="F306" s="20" t="n"/>
      <c r="G306" s="20" t="n"/>
      <c r="H306" s="20" t="n"/>
      <c r="I306" s="21">
        <f>F306+G306+H306</f>
        <v/>
      </c>
      <c r="J306" s="20" t="n"/>
      <c r="K306" s="20" t="n"/>
      <c r="L306" s="20" t="n"/>
      <c r="M306" s="20" t="n"/>
      <c r="N306" s="20" t="n"/>
      <c r="O306" s="20" t="n"/>
      <c r="Q306" s="19" t="n">
        <v>109.479795</v>
      </c>
      <c r="R306" s="19" t="n">
        <v>-7.354813</v>
      </c>
      <c r="S306" s="19" t="n">
        <v>170</v>
      </c>
      <c r="T306" s="19" t="n">
        <v>138.356765</v>
      </c>
      <c r="U306" s="19" t="n">
        <v>156.777934</v>
      </c>
      <c r="V306" s="19" t="n">
        <v>119.345797</v>
      </c>
      <c r="W306" s="19" t="n">
        <v>26.773822</v>
      </c>
      <c r="Y306">
        <f>B306</f>
        <v/>
      </c>
      <c r="Z306">
        <f>C306</f>
        <v/>
      </c>
      <c r="AA306" s="18">
        <f>SUM(AD306:AI306)+AK306+AL306</f>
        <v/>
      </c>
      <c r="AB306" s="18">
        <f>SUM(AD306:AI306)+AN306+AO306</f>
        <v/>
      </c>
      <c r="AC306" s="5">
        <f>AA306-AB306</f>
        <v/>
      </c>
      <c r="AD306" s="1">
        <f>D306/I306*W306*-1</f>
        <v/>
      </c>
      <c r="AE306" s="1">
        <f>E306/I306*W306</f>
        <v/>
      </c>
      <c r="AF306" s="1">
        <f t="array" ref="AF306">_xlfn.IFS(C306="Biomass_Corn", 1/I306*S306, C306="Biomass_Agri", 1/I306*V306, C306="Biomass_Wood", 1/I306*U306, C306="Biomass_Herb", 1/I306*T306)</f>
        <v/>
      </c>
      <c r="AG306" s="1">
        <f>M306/I306/(0.9*8760)</f>
        <v/>
      </c>
      <c r="AH306" s="1">
        <f>N306/I306/(0.9*8760)</f>
        <v/>
      </c>
      <c r="AI306" s="1">
        <f>O306/I306</f>
        <v/>
      </c>
      <c r="AJ306" s="1">
        <f>(AY306+AZ306+BA306+BB306+BC306-AW306)/I306</f>
        <v/>
      </c>
      <c r="AK306" s="1">
        <f>(Q306+R306)*-1*K306/I306</f>
        <v/>
      </c>
      <c r="AL306">
        <f>AJ306*Q306</f>
        <v/>
      </c>
      <c r="AM306" s="1">
        <f>(SUM(AY306:BB306)-AW306)/I306</f>
        <v/>
      </c>
      <c r="AN306" s="1">
        <f>K306/I306*-1*R306</f>
        <v/>
      </c>
      <c r="AO306">
        <f>AM306*Q306</f>
        <v/>
      </c>
      <c r="AQ306" s="17">
        <f>J306</f>
        <v/>
      </c>
      <c r="AR306" s="8" t="n">
        <v>0.243968185</v>
      </c>
      <c r="AS306" s="8" t="n">
        <v>0.249427613</v>
      </c>
      <c r="AT306" s="9" t="n">
        <v>0.246356685</v>
      </c>
      <c r="AU306" s="17" t="n">
        <v>0.23037491</v>
      </c>
      <c r="AW306" s="9">
        <f>AQ306</f>
        <v/>
      </c>
      <c r="AY306" s="9">
        <f>AR306*F306</f>
        <v/>
      </c>
      <c r="AZ306" s="9">
        <f>AS306*H306</f>
        <v/>
      </c>
      <c r="BA306" s="9">
        <f>AT306*G306</f>
        <v/>
      </c>
      <c r="BB306" s="9">
        <f>L306</f>
        <v/>
      </c>
      <c r="BC306" s="9">
        <f>K306</f>
        <v/>
      </c>
      <c r="BE306" s="1">
        <f>AW306-SUM(AY306:BC306)</f>
        <v/>
      </c>
    </row>
    <row r="307">
      <c r="B307" s="12" t="n"/>
      <c r="C307" s="20" t="n"/>
      <c r="D307" s="20" t="n"/>
      <c r="E307" s="20" t="n"/>
      <c r="F307" s="20" t="n"/>
      <c r="G307" s="20" t="n"/>
      <c r="H307" s="20" t="n"/>
      <c r="I307" s="21">
        <f>F307+G307+H307</f>
        <v/>
      </c>
      <c r="J307" s="20" t="n"/>
      <c r="K307" s="20" t="n"/>
      <c r="L307" s="20" t="n"/>
      <c r="M307" s="20" t="n"/>
      <c r="N307" s="20" t="n"/>
      <c r="O307" s="20" t="n"/>
      <c r="Q307" s="19" t="n">
        <v>109.479795</v>
      </c>
      <c r="R307" s="19" t="n">
        <v>-7.354813</v>
      </c>
      <c r="S307" s="19" t="n">
        <v>170</v>
      </c>
      <c r="T307" s="19" t="n">
        <v>138.356765</v>
      </c>
      <c r="U307" s="19" t="n">
        <v>156.777934</v>
      </c>
      <c r="V307" s="19" t="n">
        <v>119.345797</v>
      </c>
      <c r="W307" s="19" t="n">
        <v>26.773822</v>
      </c>
      <c r="Y307">
        <f>B307</f>
        <v/>
      </c>
      <c r="Z307">
        <f>C307</f>
        <v/>
      </c>
      <c r="AA307" s="18">
        <f>SUM(AD307:AI307)+AK307+AL307</f>
        <v/>
      </c>
      <c r="AB307" s="18">
        <f>SUM(AD307:AI307)+AN307+AO307</f>
        <v/>
      </c>
      <c r="AC307" s="5">
        <f>AA307-AB307</f>
        <v/>
      </c>
      <c r="AD307" s="1">
        <f>D307/I307*W307*-1</f>
        <v/>
      </c>
      <c r="AE307" s="1">
        <f>E307/I307*W307</f>
        <v/>
      </c>
      <c r="AF307" s="1">
        <f t="array" ref="AF307">_xlfn.IFS(C307="Biomass_Corn", 1/I307*S307, C307="Biomass_Agri", 1/I307*V307, C307="Biomass_Wood", 1/I307*U307, C307="Biomass_Herb", 1/I307*T307)</f>
        <v/>
      </c>
      <c r="AG307" s="1">
        <f>M307/I307/(0.9*8760)</f>
        <v/>
      </c>
      <c r="AH307" s="1">
        <f>N307/I307/(0.9*8760)</f>
        <v/>
      </c>
      <c r="AI307" s="1">
        <f>O307/I307</f>
        <v/>
      </c>
      <c r="AJ307" s="1">
        <f>(AY307+AZ307+BA307+BB307+BC307-AW307)/I307</f>
        <v/>
      </c>
      <c r="AK307" s="1">
        <f>(Q307+R307)*-1*K307/I307</f>
        <v/>
      </c>
      <c r="AL307">
        <f>AJ307*Q307</f>
        <v/>
      </c>
      <c r="AM307" s="1">
        <f>(SUM(AY307:BB307)-AW307)/I307</f>
        <v/>
      </c>
      <c r="AN307" s="1">
        <f>K307/I307*-1*R307</f>
        <v/>
      </c>
      <c r="AO307">
        <f>AM307*Q307</f>
        <v/>
      </c>
      <c r="AQ307" s="17">
        <f>J307</f>
        <v/>
      </c>
      <c r="AR307" s="8" t="n">
        <v>0.243968185</v>
      </c>
      <c r="AS307" s="8" t="n">
        <v>0.249427613</v>
      </c>
      <c r="AT307" s="9" t="n">
        <v>0.246356685</v>
      </c>
      <c r="AU307" s="17" t="n">
        <v>0.23037491</v>
      </c>
      <c r="AW307" s="9">
        <f>AQ307</f>
        <v/>
      </c>
      <c r="AY307" s="9">
        <f>AR307*F307</f>
        <v/>
      </c>
      <c r="AZ307" s="9">
        <f>AS307*H307</f>
        <v/>
      </c>
      <c r="BA307" s="9">
        <f>AT307*G307</f>
        <v/>
      </c>
      <c r="BB307" s="9">
        <f>L307</f>
        <v/>
      </c>
      <c r="BC307" s="9">
        <f>K307</f>
        <v/>
      </c>
      <c r="BE307" s="1">
        <f>AW307-SUM(AY307:BC307)</f>
        <v/>
      </c>
    </row>
    <row r="308">
      <c r="B308" s="12" t="n"/>
      <c r="C308" s="20" t="n"/>
      <c r="D308" s="20" t="n"/>
      <c r="E308" s="20" t="n"/>
      <c r="F308" s="20" t="n"/>
      <c r="G308" s="20" t="n"/>
      <c r="H308" s="20" t="n"/>
      <c r="I308" s="21">
        <f>F308+G308+H308</f>
        <v/>
      </c>
      <c r="J308" s="20" t="n"/>
      <c r="K308" s="20" t="n"/>
      <c r="L308" s="20" t="n"/>
      <c r="M308" s="20" t="n"/>
      <c r="N308" s="20" t="n"/>
      <c r="O308" s="20" t="n"/>
      <c r="Q308" s="19" t="n">
        <v>109.479795</v>
      </c>
      <c r="R308" s="19" t="n">
        <v>-7.354813</v>
      </c>
      <c r="S308" s="19" t="n">
        <v>170</v>
      </c>
      <c r="T308" s="19" t="n">
        <v>138.356765</v>
      </c>
      <c r="U308" s="19" t="n">
        <v>156.777934</v>
      </c>
      <c r="V308" s="19" t="n">
        <v>119.345797</v>
      </c>
      <c r="W308" s="19" t="n">
        <v>26.773822</v>
      </c>
      <c r="Y308">
        <f>B308</f>
        <v/>
      </c>
      <c r="Z308">
        <f>C308</f>
        <v/>
      </c>
      <c r="AA308" s="18">
        <f>SUM(AD308:AI308)+AK308+AL308</f>
        <v/>
      </c>
      <c r="AB308" s="18">
        <f>SUM(AD308:AI308)+AN308+AO308</f>
        <v/>
      </c>
      <c r="AC308" s="5">
        <f>AA308-AB308</f>
        <v/>
      </c>
      <c r="AD308" s="1">
        <f>D308/I308*W308*-1</f>
        <v/>
      </c>
      <c r="AE308" s="1">
        <f>E308/I308*W308</f>
        <v/>
      </c>
      <c r="AF308" s="1">
        <f t="array" ref="AF308">_xlfn.IFS(C308="Biomass_Corn", 1/I308*S308, C308="Biomass_Agri", 1/I308*V308, C308="Biomass_Wood", 1/I308*U308, C308="Biomass_Herb", 1/I308*T308)</f>
        <v/>
      </c>
      <c r="AG308" s="1">
        <f>M308/I308/(0.9*8760)</f>
        <v/>
      </c>
      <c r="AH308" s="1">
        <f>N308/I308/(0.9*8760)</f>
        <v/>
      </c>
      <c r="AI308" s="1">
        <f>O308/I308</f>
        <v/>
      </c>
      <c r="AJ308" s="1">
        <f>(AY308+AZ308+BA308+BB308+BC308-AW308)/I308</f>
        <v/>
      </c>
      <c r="AK308" s="1">
        <f>(Q308+R308)*-1*K308/I308</f>
        <v/>
      </c>
      <c r="AL308">
        <f>AJ308*Q308</f>
        <v/>
      </c>
      <c r="AM308" s="1">
        <f>(SUM(AY308:BB308)-AW308)/I308</f>
        <v/>
      </c>
      <c r="AN308" s="1">
        <f>K308/I308*-1*R308</f>
        <v/>
      </c>
      <c r="AO308">
        <f>AM308*Q308</f>
        <v/>
      </c>
      <c r="AQ308" s="17">
        <f>J308</f>
        <v/>
      </c>
      <c r="AR308" s="8" t="n">
        <v>0.243968185</v>
      </c>
      <c r="AS308" s="8" t="n">
        <v>0.249427613</v>
      </c>
      <c r="AT308" s="9" t="n">
        <v>0.246356685</v>
      </c>
      <c r="AU308" s="17" t="n">
        <v>0.23037491</v>
      </c>
      <c r="AW308" s="9">
        <f>AQ308</f>
        <v/>
      </c>
      <c r="AY308" s="9">
        <f>AR308*F308</f>
        <v/>
      </c>
      <c r="AZ308" s="9">
        <f>AS308*H308</f>
        <v/>
      </c>
      <c r="BA308" s="9">
        <f>AT308*G308</f>
        <v/>
      </c>
      <c r="BB308" s="9">
        <f>L308</f>
        <v/>
      </c>
      <c r="BC308" s="9">
        <f>K308</f>
        <v/>
      </c>
      <c r="BE308" s="1">
        <f>AW308-SUM(AY308:BC308)</f>
        <v/>
      </c>
    </row>
    <row r="309">
      <c r="B309" s="12" t="n"/>
      <c r="C309" s="20" t="n"/>
      <c r="D309" s="20" t="n"/>
      <c r="E309" s="20" t="n"/>
      <c r="F309" s="20" t="n"/>
      <c r="G309" s="20" t="n"/>
      <c r="H309" s="20" t="n"/>
      <c r="I309" s="21">
        <f>F309+G309+H309</f>
        <v/>
      </c>
      <c r="J309" s="20" t="n"/>
      <c r="K309" s="20" t="n"/>
      <c r="L309" s="20" t="n"/>
      <c r="M309" s="20" t="n"/>
      <c r="N309" s="20" t="n"/>
      <c r="O309" s="20" t="n"/>
      <c r="Q309" s="19" t="n">
        <v>109.479795</v>
      </c>
      <c r="R309" s="19" t="n">
        <v>-7.354813</v>
      </c>
      <c r="S309" s="19" t="n">
        <v>170</v>
      </c>
      <c r="T309" s="19" t="n">
        <v>138.356765</v>
      </c>
      <c r="U309" s="19" t="n">
        <v>156.777934</v>
      </c>
      <c r="V309" s="19" t="n">
        <v>119.345797</v>
      </c>
      <c r="W309" s="19" t="n">
        <v>26.773822</v>
      </c>
      <c r="Y309">
        <f>B309</f>
        <v/>
      </c>
      <c r="Z309">
        <f>C309</f>
        <v/>
      </c>
      <c r="AA309" s="18">
        <f>SUM(AD309:AI309)+AK309+AL309</f>
        <v/>
      </c>
      <c r="AB309" s="18">
        <f>SUM(AD309:AI309)+AN309+AO309</f>
        <v/>
      </c>
      <c r="AC309" s="5">
        <f>AA309-AB309</f>
        <v/>
      </c>
      <c r="AD309" s="1">
        <f>D309/I309*W309*-1</f>
        <v/>
      </c>
      <c r="AE309" s="1">
        <f>E309/I309*W309</f>
        <v/>
      </c>
      <c r="AF309" s="1">
        <f t="array" ref="AF309">_xlfn.IFS(C309="Biomass_Corn", 1/I309*S309, C309="Biomass_Agri", 1/I309*V309, C309="Biomass_Wood", 1/I309*U309, C309="Biomass_Herb", 1/I309*T309)</f>
        <v/>
      </c>
      <c r="AG309" s="1">
        <f>M309/I309/(0.9*8760)</f>
        <v/>
      </c>
      <c r="AH309" s="1">
        <f>N309/I309/(0.9*8760)</f>
        <v/>
      </c>
      <c r="AI309" s="1">
        <f>O309/I309</f>
        <v/>
      </c>
      <c r="AJ309" s="1">
        <f>(AY309+AZ309+BA309+BB309+BC309-AW309)/I309</f>
        <v/>
      </c>
      <c r="AK309" s="1">
        <f>(Q309+R309)*-1*K309/I309</f>
        <v/>
      </c>
      <c r="AL309">
        <f>AJ309*Q309</f>
        <v/>
      </c>
      <c r="AM309" s="1">
        <f>(SUM(AY309:BB309)-AW309)/I309</f>
        <v/>
      </c>
      <c r="AN309" s="1">
        <f>K309/I309*-1*R309</f>
        <v/>
      </c>
      <c r="AO309">
        <f>AM309*Q309</f>
        <v/>
      </c>
      <c r="AQ309" s="17">
        <f>J309</f>
        <v/>
      </c>
      <c r="AR309" s="8" t="n">
        <v>0.243968185</v>
      </c>
      <c r="AS309" s="8" t="n">
        <v>0.249427613</v>
      </c>
      <c r="AT309" s="9" t="n">
        <v>0.246356685</v>
      </c>
      <c r="AU309" s="17" t="n">
        <v>0.23037491</v>
      </c>
      <c r="AW309" s="9">
        <f>AQ309</f>
        <v/>
      </c>
      <c r="AY309" s="9">
        <f>AR309*F309</f>
        <v/>
      </c>
      <c r="AZ309" s="9">
        <f>AS309*H309</f>
        <v/>
      </c>
      <c r="BA309" s="9">
        <f>AT309*G309</f>
        <v/>
      </c>
      <c r="BB309" s="9">
        <f>L309</f>
        <v/>
      </c>
      <c r="BC309" s="9">
        <f>K309</f>
        <v/>
      </c>
      <c r="BE309" s="1">
        <f>AW309-SUM(AY309:BC309)</f>
        <v/>
      </c>
    </row>
    <row r="310">
      <c r="B310" s="12" t="n"/>
      <c r="C310" s="20" t="n"/>
      <c r="D310" s="20" t="n"/>
      <c r="E310" s="20" t="n"/>
      <c r="F310" s="20" t="n"/>
      <c r="G310" s="20" t="n"/>
      <c r="H310" s="20" t="n"/>
      <c r="I310" s="21">
        <f>F310+G310+H310</f>
        <v/>
      </c>
      <c r="J310" s="20" t="n"/>
      <c r="K310" s="20" t="n"/>
      <c r="L310" s="20" t="n"/>
      <c r="M310" s="20" t="n"/>
      <c r="N310" s="20" t="n"/>
      <c r="O310" s="20" t="n"/>
      <c r="Q310" s="19" t="n">
        <v>109.479795</v>
      </c>
      <c r="R310" s="19" t="n">
        <v>-7.354813</v>
      </c>
      <c r="S310" s="19" t="n">
        <v>170</v>
      </c>
      <c r="T310" s="19" t="n">
        <v>138.356765</v>
      </c>
      <c r="U310" s="19" t="n">
        <v>156.777934</v>
      </c>
      <c r="V310" s="19" t="n">
        <v>119.345797</v>
      </c>
      <c r="W310" s="19" t="n">
        <v>26.773822</v>
      </c>
      <c r="Y310">
        <f>B310</f>
        <v/>
      </c>
      <c r="Z310">
        <f>C310</f>
        <v/>
      </c>
      <c r="AA310" s="18">
        <f>SUM(AD310:AI310)+AK310+AL310</f>
        <v/>
      </c>
      <c r="AB310" s="18">
        <f>SUM(AD310:AI310)+AN310+AO310</f>
        <v/>
      </c>
      <c r="AC310" s="5">
        <f>AA310-AB310</f>
        <v/>
      </c>
      <c r="AD310" s="1">
        <f>D310/I310*W310*-1</f>
        <v/>
      </c>
      <c r="AE310" s="1">
        <f>E310/I310*W310</f>
        <v/>
      </c>
      <c r="AF310" s="1">
        <f t="array" ref="AF310">_xlfn.IFS(C310="Biomass_Corn", 1/I310*S310, C310="Biomass_Agri", 1/I310*V310, C310="Biomass_Wood", 1/I310*U310, C310="Biomass_Herb", 1/I310*T310)</f>
        <v/>
      </c>
      <c r="AG310" s="1">
        <f>M310/I310/(0.9*8760)</f>
        <v/>
      </c>
      <c r="AH310" s="1">
        <f>N310/I310/(0.9*8760)</f>
        <v/>
      </c>
      <c r="AI310" s="1">
        <f>O310/I310</f>
        <v/>
      </c>
      <c r="AJ310" s="1">
        <f>(AY310+AZ310+BA310+BB310+BC310-AW310)/I310</f>
        <v/>
      </c>
      <c r="AK310" s="1">
        <f>(Q310+R310)*-1*K310/I310</f>
        <v/>
      </c>
      <c r="AL310">
        <f>AJ310*Q310</f>
        <v/>
      </c>
      <c r="AM310" s="1">
        <f>(SUM(AY310:BB310)-AW310)/I310</f>
        <v/>
      </c>
      <c r="AN310" s="1">
        <f>K310/I310*-1*R310</f>
        <v/>
      </c>
      <c r="AO310">
        <f>AM310*Q310</f>
        <v/>
      </c>
      <c r="AQ310" s="17">
        <f>J310</f>
        <v/>
      </c>
      <c r="AR310" s="8" t="n">
        <v>0.243968185</v>
      </c>
      <c r="AS310" s="8" t="n">
        <v>0.249427613</v>
      </c>
      <c r="AT310" s="9" t="n">
        <v>0.246356685</v>
      </c>
      <c r="AU310" s="17" t="n">
        <v>0.23037491</v>
      </c>
      <c r="AW310" s="9">
        <f>AQ310</f>
        <v/>
      </c>
      <c r="AY310" s="9">
        <f>AR310*F310</f>
        <v/>
      </c>
      <c r="AZ310" s="9">
        <f>AS310*H310</f>
        <v/>
      </c>
      <c r="BA310" s="9">
        <f>AT310*G310</f>
        <v/>
      </c>
      <c r="BB310" s="9">
        <f>L310</f>
        <v/>
      </c>
      <c r="BC310" s="9">
        <f>K310</f>
        <v/>
      </c>
      <c r="BE310" s="1">
        <f>AW310-SUM(AY310:BC310)</f>
        <v/>
      </c>
    </row>
    <row r="311">
      <c r="B311" s="12" t="n"/>
      <c r="C311" s="20" t="n"/>
      <c r="D311" s="20" t="n"/>
      <c r="E311" s="20" t="n"/>
      <c r="F311" s="20" t="n"/>
      <c r="G311" s="20" t="n"/>
      <c r="H311" s="20" t="n"/>
      <c r="I311" s="21">
        <f>F311+G311+H311</f>
        <v/>
      </c>
      <c r="J311" s="20" t="n"/>
      <c r="K311" s="20" t="n"/>
      <c r="L311" s="20" t="n"/>
      <c r="M311" s="20" t="n"/>
      <c r="N311" s="20" t="n"/>
      <c r="O311" s="20" t="n"/>
      <c r="Q311" s="19" t="n">
        <v>109.479795</v>
      </c>
      <c r="R311" s="19" t="n">
        <v>-7.354813</v>
      </c>
      <c r="S311" s="19" t="n">
        <v>170</v>
      </c>
      <c r="T311" s="19" t="n">
        <v>138.356765</v>
      </c>
      <c r="U311" s="19" t="n">
        <v>156.777934</v>
      </c>
      <c r="V311" s="19" t="n">
        <v>119.345797</v>
      </c>
      <c r="W311" s="19" t="n">
        <v>26.773822</v>
      </c>
      <c r="Y311">
        <f>B311</f>
        <v/>
      </c>
      <c r="Z311">
        <f>C311</f>
        <v/>
      </c>
      <c r="AA311" s="18">
        <f>SUM(AD311:AI311)+AK311+AL311</f>
        <v/>
      </c>
      <c r="AB311" s="18">
        <f>SUM(AD311:AI311)+AN311+AO311</f>
        <v/>
      </c>
      <c r="AC311" s="5">
        <f>AA311-AB311</f>
        <v/>
      </c>
      <c r="AD311" s="1">
        <f>D311/I311*W311*-1</f>
        <v/>
      </c>
      <c r="AE311" s="1">
        <f>E311/I311*W311</f>
        <v/>
      </c>
      <c r="AF311" s="1">
        <f t="array" ref="AF311">_xlfn.IFS(C311="Biomass_Corn", 1/I311*S311, C311="Biomass_Agri", 1/I311*V311, C311="Biomass_Wood", 1/I311*U311, C311="Biomass_Herb", 1/I311*T311)</f>
        <v/>
      </c>
      <c r="AG311" s="1">
        <f>M311/I311/(0.9*8760)</f>
        <v/>
      </c>
      <c r="AH311" s="1">
        <f>N311/I311/(0.9*8760)</f>
        <v/>
      </c>
      <c r="AI311" s="1">
        <f>O311/I311</f>
        <v/>
      </c>
      <c r="AJ311" s="1">
        <f>(AY311+AZ311+BA311+BB311+BC311-AW311)/I311</f>
        <v/>
      </c>
      <c r="AK311" s="1">
        <f>(Q311+R311)*-1*K311/I311</f>
        <v/>
      </c>
      <c r="AL311">
        <f>AJ311*Q311</f>
        <v/>
      </c>
      <c r="AM311" s="1">
        <f>(SUM(AY311:BB311)-AW311)/I311</f>
        <v/>
      </c>
      <c r="AN311" s="1">
        <f>K311/I311*-1*R311</f>
        <v/>
      </c>
      <c r="AO311">
        <f>AM311*Q311</f>
        <v/>
      </c>
      <c r="AQ311" s="17">
        <f>J311</f>
        <v/>
      </c>
      <c r="AR311" s="8" t="n">
        <v>0.243968185</v>
      </c>
      <c r="AS311" s="8" t="n">
        <v>0.249427613</v>
      </c>
      <c r="AT311" s="9" t="n">
        <v>0.246356685</v>
      </c>
      <c r="AU311" s="17" t="n">
        <v>0.23037491</v>
      </c>
      <c r="AW311" s="9">
        <f>AQ311</f>
        <v/>
      </c>
      <c r="AY311" s="9">
        <f>AR311*F311</f>
        <v/>
      </c>
      <c r="AZ311" s="9">
        <f>AS311*H311</f>
        <v/>
      </c>
      <c r="BA311" s="9">
        <f>AT311*G311</f>
        <v/>
      </c>
      <c r="BB311" s="9">
        <f>L311</f>
        <v/>
      </c>
      <c r="BC311" s="9">
        <f>K311</f>
        <v/>
      </c>
      <c r="BE311" s="1">
        <f>AW311-SUM(AY311:BC311)</f>
        <v/>
      </c>
    </row>
    <row r="312">
      <c r="B312" s="12" t="n"/>
      <c r="C312" s="20" t="n"/>
      <c r="D312" s="20" t="n"/>
      <c r="E312" s="20" t="n"/>
      <c r="F312" s="20" t="n"/>
      <c r="G312" s="20" t="n"/>
      <c r="H312" s="20" t="n"/>
      <c r="I312" s="21">
        <f>F312+G312+H312</f>
        <v/>
      </c>
      <c r="J312" s="20" t="n"/>
      <c r="K312" s="20" t="n"/>
      <c r="L312" s="20" t="n"/>
      <c r="M312" s="20" t="n"/>
      <c r="N312" s="20" t="n"/>
      <c r="O312" s="20" t="n"/>
      <c r="Q312" s="19" t="n">
        <v>109.479795</v>
      </c>
      <c r="R312" s="19" t="n">
        <v>-7.354813</v>
      </c>
      <c r="S312" s="19" t="n">
        <v>170</v>
      </c>
      <c r="T312" s="19" t="n">
        <v>138.356765</v>
      </c>
      <c r="U312" s="19" t="n">
        <v>156.777934</v>
      </c>
      <c r="V312" s="19" t="n">
        <v>119.345797</v>
      </c>
      <c r="W312" s="19" t="n">
        <v>26.773822</v>
      </c>
      <c r="Y312">
        <f>B312</f>
        <v/>
      </c>
      <c r="Z312">
        <f>C312</f>
        <v/>
      </c>
      <c r="AA312" s="18">
        <f>SUM(AD312:AI312)+AK312+AL312</f>
        <v/>
      </c>
      <c r="AB312" s="18">
        <f>SUM(AD312:AI312)+AN312+AO312</f>
        <v/>
      </c>
      <c r="AC312" s="5">
        <f>AA312-AB312</f>
        <v/>
      </c>
      <c r="AD312" s="1">
        <f>D312/I312*W312*-1</f>
        <v/>
      </c>
      <c r="AE312" s="1">
        <f>E312/I312*W312</f>
        <v/>
      </c>
      <c r="AF312" s="1">
        <f t="array" ref="AF312">_xlfn.IFS(C312="Biomass_Corn", 1/I312*S312, C312="Biomass_Agri", 1/I312*V312, C312="Biomass_Wood", 1/I312*U312, C312="Biomass_Herb", 1/I312*T312)</f>
        <v/>
      </c>
      <c r="AG312" s="1">
        <f>M312/I312/(0.9*8760)</f>
        <v/>
      </c>
      <c r="AH312" s="1">
        <f>N312/I312/(0.9*8760)</f>
        <v/>
      </c>
      <c r="AI312" s="1">
        <f>O312/I312</f>
        <v/>
      </c>
      <c r="AJ312" s="1">
        <f>(AY312+AZ312+BA312+BB312+BC312-AW312)/I312</f>
        <v/>
      </c>
      <c r="AK312" s="1">
        <f>(Q312+R312)*-1*K312/I312</f>
        <v/>
      </c>
      <c r="AL312">
        <f>AJ312*Q312</f>
        <v/>
      </c>
      <c r="AM312" s="1">
        <f>(SUM(AY312:BB312)-AW312)/I312</f>
        <v/>
      </c>
      <c r="AN312" s="1">
        <f>K312/I312*-1*R312</f>
        <v/>
      </c>
      <c r="AO312">
        <f>AM312*Q312</f>
        <v/>
      </c>
      <c r="AQ312" s="17">
        <f>J312</f>
        <v/>
      </c>
      <c r="AR312" s="8" t="n">
        <v>0.243968185</v>
      </c>
      <c r="AS312" s="8" t="n">
        <v>0.249427613</v>
      </c>
      <c r="AT312" s="9" t="n">
        <v>0.246356685</v>
      </c>
      <c r="AU312" s="17" t="n">
        <v>0.23037491</v>
      </c>
      <c r="AW312" s="9">
        <f>AQ312</f>
        <v/>
      </c>
      <c r="AY312" s="9">
        <f>AR312*F312</f>
        <v/>
      </c>
      <c r="AZ312" s="9">
        <f>AS312*H312</f>
        <v/>
      </c>
      <c r="BA312" s="9">
        <f>AT312*G312</f>
        <v/>
      </c>
      <c r="BB312" s="9">
        <f>L312</f>
        <v/>
      </c>
      <c r="BC312" s="9">
        <f>K312</f>
        <v/>
      </c>
      <c r="BE312" s="1">
        <f>AW312-SUM(AY312:BC312)</f>
        <v/>
      </c>
    </row>
    <row r="313">
      <c r="B313" s="12" t="n"/>
      <c r="C313" s="20" t="n"/>
      <c r="D313" s="20" t="n"/>
      <c r="E313" s="20" t="n"/>
      <c r="F313" s="20" t="n"/>
      <c r="G313" s="20" t="n"/>
      <c r="H313" s="20" t="n"/>
      <c r="I313" s="21">
        <f>F313+G313+H313</f>
        <v/>
      </c>
      <c r="J313" s="20" t="n"/>
      <c r="K313" s="20" t="n"/>
      <c r="L313" s="20" t="n"/>
      <c r="M313" s="20" t="n"/>
      <c r="N313" s="20" t="n"/>
      <c r="O313" s="20" t="n"/>
      <c r="Q313" s="19" t="n">
        <v>109.479795</v>
      </c>
      <c r="R313" s="19" t="n">
        <v>-7.354813</v>
      </c>
      <c r="S313" s="19" t="n">
        <v>170</v>
      </c>
      <c r="T313" s="19" t="n">
        <v>138.356765</v>
      </c>
      <c r="U313" s="19" t="n">
        <v>156.777934</v>
      </c>
      <c r="V313" s="19" t="n">
        <v>119.345797</v>
      </c>
      <c r="W313" s="19" t="n">
        <v>26.773822</v>
      </c>
      <c r="Y313">
        <f>B313</f>
        <v/>
      </c>
      <c r="Z313">
        <f>C313</f>
        <v/>
      </c>
      <c r="AA313" s="18">
        <f>SUM(AD313:AI313)+AK313+AL313</f>
        <v/>
      </c>
      <c r="AB313" s="18">
        <f>SUM(AD313:AI313)+AN313+AO313</f>
        <v/>
      </c>
      <c r="AC313" s="5">
        <f>AA313-AB313</f>
        <v/>
      </c>
      <c r="AD313" s="1">
        <f>D313/I313*W313*-1</f>
        <v/>
      </c>
      <c r="AE313" s="1">
        <f>E313/I313*W313</f>
        <v/>
      </c>
      <c r="AF313" s="1">
        <f t="array" ref="AF313">_xlfn.IFS(C313="Biomass_Corn", 1/I313*S313, C313="Biomass_Agri", 1/I313*V313, C313="Biomass_Wood", 1/I313*U313, C313="Biomass_Herb", 1/I313*T313)</f>
        <v/>
      </c>
      <c r="AG313" s="1">
        <f>M313/I313/(0.9*8760)</f>
        <v/>
      </c>
      <c r="AH313" s="1">
        <f>N313/I313/(0.9*8760)</f>
        <v/>
      </c>
      <c r="AI313" s="1">
        <f>O313/I313</f>
        <v/>
      </c>
      <c r="AJ313" s="1">
        <f>(AY313+AZ313+BA313+BB313+BC313-AW313)/I313</f>
        <v/>
      </c>
      <c r="AK313" s="1">
        <f>(Q313+R313)*-1*K313/I313</f>
        <v/>
      </c>
      <c r="AL313">
        <f>AJ313*Q313</f>
        <v/>
      </c>
      <c r="AM313" s="1">
        <f>(SUM(AY313:BB313)-AW313)/I313</f>
        <v/>
      </c>
      <c r="AN313" s="1">
        <f>K313/I313*-1*R313</f>
        <v/>
      </c>
      <c r="AO313">
        <f>AM313*Q313</f>
        <v/>
      </c>
      <c r="AQ313" s="17">
        <f>J313</f>
        <v/>
      </c>
      <c r="AR313" s="8" t="n">
        <v>0.243968185</v>
      </c>
      <c r="AS313" s="8" t="n">
        <v>0.249427613</v>
      </c>
      <c r="AT313" s="9" t="n">
        <v>0.246356685</v>
      </c>
      <c r="AU313" s="17" t="n">
        <v>0.23037491</v>
      </c>
      <c r="AW313" s="9">
        <f>AQ313</f>
        <v/>
      </c>
      <c r="AY313" s="9">
        <f>AR313*F313</f>
        <v/>
      </c>
      <c r="AZ313" s="9">
        <f>AS313*H313</f>
        <v/>
      </c>
      <c r="BA313" s="9">
        <f>AT313*G313</f>
        <v/>
      </c>
      <c r="BB313" s="9">
        <f>L313</f>
        <v/>
      </c>
      <c r="BC313" s="9">
        <f>K313</f>
        <v/>
      </c>
      <c r="BE313" s="1">
        <f>AW313-SUM(AY313:BC313)</f>
        <v/>
      </c>
    </row>
    <row r="314">
      <c r="B314" s="12" t="n"/>
      <c r="C314" s="20" t="n"/>
      <c r="D314" s="20" t="n"/>
      <c r="E314" s="20" t="n"/>
      <c r="F314" s="20" t="n"/>
      <c r="G314" s="20" t="n"/>
      <c r="H314" s="20" t="n"/>
      <c r="I314" s="21">
        <f>F314+G314+H314</f>
        <v/>
      </c>
      <c r="J314" s="20" t="n"/>
      <c r="K314" s="20" t="n"/>
      <c r="L314" s="20" t="n"/>
      <c r="M314" s="20" t="n"/>
      <c r="N314" s="20" t="n"/>
      <c r="O314" s="20" t="n"/>
      <c r="Q314" s="19" t="n">
        <v>109.479795</v>
      </c>
      <c r="R314" s="19" t="n">
        <v>-7.354813</v>
      </c>
      <c r="S314" s="19" t="n">
        <v>170</v>
      </c>
      <c r="T314" s="19" t="n">
        <v>138.356765</v>
      </c>
      <c r="U314" s="19" t="n">
        <v>156.777934</v>
      </c>
      <c r="V314" s="19" t="n">
        <v>119.345797</v>
      </c>
      <c r="W314" s="19" t="n">
        <v>26.773822</v>
      </c>
      <c r="Y314">
        <f>B314</f>
        <v/>
      </c>
      <c r="Z314">
        <f>C314</f>
        <v/>
      </c>
      <c r="AA314" s="18">
        <f>SUM(AD314:AI314)+AK314+AL314</f>
        <v/>
      </c>
      <c r="AB314" s="18">
        <f>SUM(AD314:AI314)+AN314+AO314</f>
        <v/>
      </c>
      <c r="AC314" s="5">
        <f>AA314-AB314</f>
        <v/>
      </c>
      <c r="AD314" s="1">
        <f>D314/I314*W314*-1</f>
        <v/>
      </c>
      <c r="AE314" s="1">
        <f>E314/I314*W314</f>
        <v/>
      </c>
      <c r="AF314" s="1">
        <f t="array" ref="AF314">_xlfn.IFS(C314="Biomass_Corn", 1/I314*S314, C314="Biomass_Agri", 1/I314*V314, C314="Biomass_Wood", 1/I314*U314, C314="Biomass_Herb", 1/I314*T314)</f>
        <v/>
      </c>
      <c r="AG314" s="1">
        <f>M314/I314/(0.9*8760)</f>
        <v/>
      </c>
      <c r="AH314" s="1">
        <f>N314/I314/(0.9*8760)</f>
        <v/>
      </c>
      <c r="AI314" s="1">
        <f>O314/I314</f>
        <v/>
      </c>
      <c r="AJ314" s="1">
        <f>(AY314+AZ314+BA314+BB314+BC314-AW314)/I314</f>
        <v/>
      </c>
      <c r="AK314" s="1">
        <f>(Q314+R314)*-1*K314/I314</f>
        <v/>
      </c>
      <c r="AL314">
        <f>AJ314*Q314</f>
        <v/>
      </c>
      <c r="AM314" s="1">
        <f>(SUM(AY314:BB314)-AW314)/I314</f>
        <v/>
      </c>
      <c r="AN314" s="1">
        <f>K314/I314*-1*R314</f>
        <v/>
      </c>
      <c r="AO314">
        <f>AM314*Q314</f>
        <v/>
      </c>
      <c r="AQ314" s="17">
        <f>J314</f>
        <v/>
      </c>
      <c r="AR314" s="8" t="n">
        <v>0.243968185</v>
      </c>
      <c r="AS314" s="8" t="n">
        <v>0.249427613</v>
      </c>
      <c r="AT314" s="9" t="n">
        <v>0.246356685</v>
      </c>
      <c r="AU314" s="17" t="n">
        <v>0.23037491</v>
      </c>
      <c r="AW314" s="9">
        <f>AQ314</f>
        <v/>
      </c>
      <c r="AY314" s="9">
        <f>AR314*F314</f>
        <v/>
      </c>
      <c r="AZ314" s="9">
        <f>AS314*H314</f>
        <v/>
      </c>
      <c r="BA314" s="9">
        <f>AT314*G314</f>
        <v/>
      </c>
      <c r="BB314" s="9">
        <f>L314</f>
        <v/>
      </c>
      <c r="BC314" s="9">
        <f>K314</f>
        <v/>
      </c>
      <c r="BE314" s="1">
        <f>AW314-SUM(AY314:BC314)</f>
        <v/>
      </c>
    </row>
    <row r="315">
      <c r="B315" s="12" t="n"/>
      <c r="C315" s="20" t="n"/>
      <c r="D315" s="20" t="n"/>
      <c r="E315" s="20" t="n"/>
      <c r="F315" s="20" t="n"/>
      <c r="G315" s="20" t="n"/>
      <c r="H315" s="20" t="n"/>
      <c r="I315" s="21">
        <f>F315+G315+H315</f>
        <v/>
      </c>
      <c r="J315" s="20" t="n"/>
      <c r="K315" s="20" t="n"/>
      <c r="L315" s="20" t="n"/>
      <c r="M315" s="20" t="n"/>
      <c r="N315" s="20" t="n"/>
      <c r="O315" s="20" t="n"/>
      <c r="Q315" s="19" t="n">
        <v>109.479795</v>
      </c>
      <c r="R315" s="19" t="n">
        <v>-7.354813</v>
      </c>
      <c r="S315" s="19" t="n">
        <v>170</v>
      </c>
      <c r="T315" s="19" t="n">
        <v>138.356765</v>
      </c>
      <c r="U315" s="19" t="n">
        <v>156.777934</v>
      </c>
      <c r="V315" s="19" t="n">
        <v>119.345797</v>
      </c>
      <c r="W315" s="19" t="n">
        <v>26.773822</v>
      </c>
      <c r="Y315">
        <f>B315</f>
        <v/>
      </c>
      <c r="Z315">
        <f>C315</f>
        <v/>
      </c>
      <c r="AA315" s="18">
        <f>SUM(AD315:AI315)+AK315+AL315</f>
        <v/>
      </c>
      <c r="AB315" s="18">
        <f>SUM(AD315:AI315)+AN315+AO315</f>
        <v/>
      </c>
      <c r="AC315" s="5">
        <f>AA315-AB315</f>
        <v/>
      </c>
      <c r="AD315" s="1">
        <f>D315/I315*W315*-1</f>
        <v/>
      </c>
      <c r="AE315" s="1">
        <f>E315/I315*W315</f>
        <v/>
      </c>
      <c r="AF315" s="1">
        <f t="array" ref="AF315">_xlfn.IFS(C315="Biomass_Corn", 1/I315*S315, C315="Biomass_Agri", 1/I315*V315, C315="Biomass_Wood", 1/I315*U315, C315="Biomass_Herb", 1/I315*T315)</f>
        <v/>
      </c>
      <c r="AG315" s="1">
        <f>M315/I315/(0.9*8760)</f>
        <v/>
      </c>
      <c r="AH315" s="1">
        <f>N315/I315/(0.9*8760)</f>
        <v/>
      </c>
      <c r="AI315" s="1">
        <f>O315/I315</f>
        <v/>
      </c>
      <c r="AJ315" s="1">
        <f>(AY315+AZ315+BA315+BB315+BC315-AW315)/I315</f>
        <v/>
      </c>
      <c r="AK315" s="1">
        <f>(Q315+R315)*-1*K315/I315</f>
        <v/>
      </c>
      <c r="AL315">
        <f>AJ315*Q315</f>
        <v/>
      </c>
      <c r="AM315" s="1">
        <f>(SUM(AY315:BB315)-AW315)/I315</f>
        <v/>
      </c>
      <c r="AN315" s="1">
        <f>K315/I315*-1*R315</f>
        <v/>
      </c>
      <c r="AO315">
        <f>AM315*Q315</f>
        <v/>
      </c>
      <c r="AQ315" s="17">
        <f>J315</f>
        <v/>
      </c>
      <c r="AR315" s="8" t="n">
        <v>0.243968185</v>
      </c>
      <c r="AS315" s="8" t="n">
        <v>0.249427613</v>
      </c>
      <c r="AT315" s="9" t="n">
        <v>0.246356685</v>
      </c>
      <c r="AU315" s="17" t="n">
        <v>0.23037491</v>
      </c>
      <c r="AW315" s="9">
        <f>AQ315</f>
        <v/>
      </c>
      <c r="AY315" s="9">
        <f>AR315*F315</f>
        <v/>
      </c>
      <c r="AZ315" s="9">
        <f>AS315*H315</f>
        <v/>
      </c>
      <c r="BA315" s="9">
        <f>AT315*G315</f>
        <v/>
      </c>
      <c r="BB315" s="9">
        <f>L315</f>
        <v/>
      </c>
      <c r="BC315" s="9">
        <f>K315</f>
        <v/>
      </c>
      <c r="BE315" s="1">
        <f>AW315-SUM(AY315:BC315)</f>
        <v/>
      </c>
    </row>
    <row r="316">
      <c r="B316" s="12" t="n"/>
      <c r="C316" s="20" t="n"/>
      <c r="D316" s="20" t="n"/>
      <c r="E316" s="20" t="n"/>
      <c r="F316" s="20" t="n"/>
      <c r="G316" s="20" t="n"/>
      <c r="H316" s="20" t="n"/>
      <c r="I316" s="21">
        <f>F316+G316+H316</f>
        <v/>
      </c>
      <c r="J316" s="20" t="n"/>
      <c r="K316" s="20" t="n"/>
      <c r="L316" s="20" t="n"/>
      <c r="M316" s="20" t="n"/>
      <c r="N316" s="20" t="n"/>
      <c r="O316" s="20" t="n"/>
      <c r="Q316" s="19" t="n">
        <v>109.479795</v>
      </c>
      <c r="R316" s="19" t="n">
        <v>-7.354813</v>
      </c>
      <c r="S316" s="19" t="n">
        <v>170</v>
      </c>
      <c r="T316" s="19" t="n">
        <v>138.356765</v>
      </c>
      <c r="U316" s="19" t="n">
        <v>156.777934</v>
      </c>
      <c r="V316" s="19" t="n">
        <v>119.345797</v>
      </c>
      <c r="W316" s="19" t="n">
        <v>26.773822</v>
      </c>
      <c r="Y316">
        <f>B316</f>
        <v/>
      </c>
      <c r="Z316">
        <f>C316</f>
        <v/>
      </c>
      <c r="AA316" s="18">
        <f>SUM(AD316:AI316)+AK316+AL316</f>
        <v/>
      </c>
      <c r="AB316" s="18">
        <f>SUM(AD316:AI316)+AN316+AO316</f>
        <v/>
      </c>
      <c r="AC316" s="5">
        <f>AA316-AB316</f>
        <v/>
      </c>
      <c r="AD316" s="1">
        <f>D316/I316*W316*-1</f>
        <v/>
      </c>
      <c r="AE316" s="1">
        <f>E316/I316*W316</f>
        <v/>
      </c>
      <c r="AF316" s="1">
        <f t="array" ref="AF316">_xlfn.IFS(C316="Biomass_Corn", 1/I316*S316, C316="Biomass_Agri", 1/I316*V316, C316="Biomass_Wood", 1/I316*U316, C316="Biomass_Herb", 1/I316*T316)</f>
        <v/>
      </c>
      <c r="AG316" s="1">
        <f>M316/I316/(0.9*8760)</f>
        <v/>
      </c>
      <c r="AH316" s="1">
        <f>N316/I316/(0.9*8760)</f>
        <v/>
      </c>
      <c r="AI316" s="1">
        <f>O316/I316</f>
        <v/>
      </c>
      <c r="AJ316" s="1">
        <f>(AY316+AZ316+BA316+BB316+BC316-AW316)/I316</f>
        <v/>
      </c>
      <c r="AK316" s="1">
        <f>(Q316+R316)*-1*K316/I316</f>
        <v/>
      </c>
      <c r="AL316">
        <f>AJ316*Q316</f>
        <v/>
      </c>
      <c r="AM316" s="1">
        <f>(SUM(AY316:BB316)-AW316)/I316</f>
        <v/>
      </c>
      <c r="AN316" s="1">
        <f>K316/I316*-1*R316</f>
        <v/>
      </c>
      <c r="AO316">
        <f>AM316*Q316</f>
        <v/>
      </c>
      <c r="AQ316" s="17">
        <f>J316</f>
        <v/>
      </c>
      <c r="AR316" s="8" t="n">
        <v>0.243968185</v>
      </c>
      <c r="AS316" s="8" t="n">
        <v>0.249427613</v>
      </c>
      <c r="AT316" s="9" t="n">
        <v>0.246356685</v>
      </c>
      <c r="AU316" s="17" t="n">
        <v>0.23037491</v>
      </c>
      <c r="AW316" s="9">
        <f>AQ316</f>
        <v/>
      </c>
      <c r="AY316" s="9">
        <f>AR316*F316</f>
        <v/>
      </c>
      <c r="AZ316" s="9">
        <f>AS316*H316</f>
        <v/>
      </c>
      <c r="BA316" s="9">
        <f>AT316*G316</f>
        <v/>
      </c>
      <c r="BB316" s="9">
        <f>L316</f>
        <v/>
      </c>
      <c r="BC316" s="9">
        <f>K316</f>
        <v/>
      </c>
      <c r="BE316" s="1">
        <f>AW316-SUM(AY316:BC316)</f>
        <v/>
      </c>
    </row>
    <row r="317">
      <c r="B317" s="12" t="n"/>
      <c r="C317" s="20" t="n"/>
      <c r="D317" s="20" t="n"/>
      <c r="E317" s="20" t="n"/>
      <c r="F317" s="20" t="n"/>
      <c r="G317" s="20" t="n"/>
      <c r="H317" s="20" t="n"/>
      <c r="I317" s="21">
        <f>F317+G317+H317</f>
        <v/>
      </c>
      <c r="J317" s="20" t="n"/>
      <c r="K317" s="20" t="n"/>
      <c r="L317" s="20" t="n"/>
      <c r="M317" s="20" t="n"/>
      <c r="N317" s="20" t="n"/>
      <c r="O317" s="20" t="n"/>
      <c r="Q317" s="19" t="n">
        <v>109.479795</v>
      </c>
      <c r="R317" s="19" t="n">
        <v>-7.354813</v>
      </c>
      <c r="S317" s="19" t="n">
        <v>170</v>
      </c>
      <c r="T317" s="19" t="n">
        <v>138.356765</v>
      </c>
      <c r="U317" s="19" t="n">
        <v>156.777934</v>
      </c>
      <c r="V317" s="19" t="n">
        <v>119.345797</v>
      </c>
      <c r="W317" s="19" t="n">
        <v>26.773822</v>
      </c>
      <c r="Y317">
        <f>B317</f>
        <v/>
      </c>
      <c r="Z317">
        <f>C317</f>
        <v/>
      </c>
      <c r="AA317" s="18">
        <f>SUM(AD317:AI317)+AK317+AL317</f>
        <v/>
      </c>
      <c r="AB317" s="18">
        <f>SUM(AD317:AI317)+AN317+AO317</f>
        <v/>
      </c>
      <c r="AC317" s="5">
        <f>AA317-AB317</f>
        <v/>
      </c>
      <c r="AD317" s="1">
        <f>D317/I317*W317*-1</f>
        <v/>
      </c>
      <c r="AE317" s="1">
        <f>E317/I317*W317</f>
        <v/>
      </c>
      <c r="AF317" s="1">
        <f t="array" ref="AF317">_xlfn.IFS(C317="Biomass_Corn", 1/I317*S317, C317="Biomass_Agri", 1/I317*V317, C317="Biomass_Wood", 1/I317*U317, C317="Biomass_Herb", 1/I317*T317)</f>
        <v/>
      </c>
      <c r="AG317" s="1">
        <f>M317/I317/(0.9*8760)</f>
        <v/>
      </c>
      <c r="AH317" s="1">
        <f>N317/I317/(0.9*8760)</f>
        <v/>
      </c>
      <c r="AI317" s="1">
        <f>O317/I317</f>
        <v/>
      </c>
      <c r="AJ317" s="1">
        <f>(AY317+AZ317+BA317+BB317+BC317-AW317)/I317</f>
        <v/>
      </c>
      <c r="AK317" s="1">
        <f>(Q317+R317)*-1*K317/I317</f>
        <v/>
      </c>
      <c r="AL317">
        <f>AJ317*Q317</f>
        <v/>
      </c>
      <c r="AM317" s="1">
        <f>(SUM(AY317:BB317)-AW317)/I317</f>
        <v/>
      </c>
      <c r="AN317" s="1">
        <f>K317/I317*-1*R317</f>
        <v/>
      </c>
      <c r="AO317">
        <f>AM317*Q317</f>
        <v/>
      </c>
      <c r="AQ317" s="17">
        <f>J317</f>
        <v/>
      </c>
      <c r="AR317" s="8" t="n">
        <v>0.243968185</v>
      </c>
      <c r="AS317" s="8" t="n">
        <v>0.249427613</v>
      </c>
      <c r="AT317" s="9" t="n">
        <v>0.246356685</v>
      </c>
      <c r="AU317" s="17" t="n">
        <v>0.23037491</v>
      </c>
      <c r="AW317" s="9">
        <f>AQ317</f>
        <v/>
      </c>
      <c r="AY317" s="9">
        <f>AR317*F317</f>
        <v/>
      </c>
      <c r="AZ317" s="9">
        <f>AS317*H317</f>
        <v/>
      </c>
      <c r="BA317" s="9">
        <f>AT317*G317</f>
        <v/>
      </c>
      <c r="BB317" s="9">
        <f>L317</f>
        <v/>
      </c>
      <c r="BC317" s="9">
        <f>K317</f>
        <v/>
      </c>
      <c r="BE317" s="1">
        <f>AW317-SUM(AY317:BC317)</f>
        <v/>
      </c>
    </row>
    <row r="318">
      <c r="B318" s="12" t="n"/>
      <c r="C318" s="20" t="n"/>
      <c r="D318" s="20" t="n"/>
      <c r="E318" s="20" t="n"/>
      <c r="F318" s="20" t="n"/>
      <c r="G318" s="20" t="n"/>
      <c r="H318" s="20" t="n"/>
      <c r="I318" s="21">
        <f>F318+G318+H318</f>
        <v/>
      </c>
      <c r="J318" s="20" t="n"/>
      <c r="K318" s="20" t="n"/>
      <c r="L318" s="20" t="n"/>
      <c r="M318" s="20" t="n"/>
      <c r="N318" s="20" t="n"/>
      <c r="O318" s="20" t="n"/>
      <c r="Q318" s="19" t="n">
        <v>109.479795</v>
      </c>
      <c r="R318" s="19" t="n">
        <v>-7.354813</v>
      </c>
      <c r="S318" s="19" t="n">
        <v>170</v>
      </c>
      <c r="T318" s="19" t="n">
        <v>138.356765</v>
      </c>
      <c r="U318" s="19" t="n">
        <v>156.777934</v>
      </c>
      <c r="V318" s="19" t="n">
        <v>119.345797</v>
      </c>
      <c r="W318" s="19" t="n">
        <v>26.773822</v>
      </c>
      <c r="Y318">
        <f>B318</f>
        <v/>
      </c>
      <c r="Z318">
        <f>C318</f>
        <v/>
      </c>
      <c r="AA318" s="18">
        <f>SUM(AD318:AI318)+AK318+AL318</f>
        <v/>
      </c>
      <c r="AB318" s="18">
        <f>SUM(AD318:AI318)+AN318+AO318</f>
        <v/>
      </c>
      <c r="AC318" s="5">
        <f>AA318-AB318</f>
        <v/>
      </c>
      <c r="AD318" s="1">
        <f>D318/I318*W318*-1</f>
        <v/>
      </c>
      <c r="AE318" s="1">
        <f>E318/I318*W318</f>
        <v/>
      </c>
      <c r="AF318" s="1">
        <f t="array" ref="AF318">_xlfn.IFS(C318="Biomass_Corn", 1/I318*S318, C318="Biomass_Agri", 1/I318*V318, C318="Biomass_Wood", 1/I318*U318, C318="Biomass_Herb", 1/I318*T318)</f>
        <v/>
      </c>
      <c r="AG318" s="1">
        <f>M318/I318/(0.9*8760)</f>
        <v/>
      </c>
      <c r="AH318" s="1">
        <f>N318/I318/(0.9*8760)</f>
        <v/>
      </c>
      <c r="AI318" s="1">
        <f>O318/I318</f>
        <v/>
      </c>
      <c r="AJ318" s="1">
        <f>(AY318+AZ318+BA318+BB318+BC318-AW318)/I318</f>
        <v/>
      </c>
      <c r="AK318" s="1">
        <f>(Q318+R318)*-1*K318/I318</f>
        <v/>
      </c>
      <c r="AL318">
        <f>AJ318*Q318</f>
        <v/>
      </c>
      <c r="AM318" s="1">
        <f>(SUM(AY318:BB318)-AW318)/I318</f>
        <v/>
      </c>
      <c r="AN318" s="1">
        <f>K318/I318*-1*R318</f>
        <v/>
      </c>
      <c r="AO318">
        <f>AM318*Q318</f>
        <v/>
      </c>
      <c r="AQ318" s="17">
        <f>J318</f>
        <v/>
      </c>
      <c r="AR318" s="8" t="n">
        <v>0.243968185</v>
      </c>
      <c r="AS318" s="8" t="n">
        <v>0.249427613</v>
      </c>
      <c r="AT318" s="9" t="n">
        <v>0.246356685</v>
      </c>
      <c r="AU318" s="17" t="n">
        <v>0.23037491</v>
      </c>
      <c r="AW318" s="9">
        <f>AQ318</f>
        <v/>
      </c>
      <c r="AY318" s="9">
        <f>AR318*F318</f>
        <v/>
      </c>
      <c r="AZ318" s="9">
        <f>AS318*H318</f>
        <v/>
      </c>
      <c r="BA318" s="9">
        <f>AT318*G318</f>
        <v/>
      </c>
      <c r="BB318" s="9">
        <f>L318</f>
        <v/>
      </c>
      <c r="BC318" s="9">
        <f>K318</f>
        <v/>
      </c>
      <c r="BE318" s="1">
        <f>AW318-SUM(AY318:BC318)</f>
        <v/>
      </c>
    </row>
    <row r="319">
      <c r="B319" s="12" t="n"/>
      <c r="C319" s="20" t="n"/>
      <c r="D319" s="20" t="n"/>
      <c r="E319" s="20" t="n"/>
      <c r="F319" s="20" t="n"/>
      <c r="G319" s="20" t="n"/>
      <c r="H319" s="20" t="n"/>
      <c r="I319" s="21">
        <f>F319+G319+H319</f>
        <v/>
      </c>
      <c r="J319" s="20" t="n"/>
      <c r="K319" s="20" t="n"/>
      <c r="L319" s="20" t="n"/>
      <c r="M319" s="20" t="n"/>
      <c r="N319" s="20" t="n"/>
      <c r="O319" s="20" t="n"/>
      <c r="Q319" s="19" t="n">
        <v>109.479795</v>
      </c>
      <c r="R319" s="19" t="n">
        <v>-7.354813</v>
      </c>
      <c r="S319" s="19" t="n">
        <v>170</v>
      </c>
      <c r="T319" s="19" t="n">
        <v>138.356765</v>
      </c>
      <c r="U319" s="19" t="n">
        <v>156.777934</v>
      </c>
      <c r="V319" s="19" t="n">
        <v>119.345797</v>
      </c>
      <c r="W319" s="19" t="n">
        <v>26.773822</v>
      </c>
      <c r="Y319">
        <f>B319</f>
        <v/>
      </c>
      <c r="Z319">
        <f>C319</f>
        <v/>
      </c>
      <c r="AA319" s="18">
        <f>SUM(AD319:AI319)+AK319+AL319</f>
        <v/>
      </c>
      <c r="AB319" s="18">
        <f>SUM(AD319:AI319)+AN319+AO319</f>
        <v/>
      </c>
      <c r="AC319" s="5">
        <f>AA319-AB319</f>
        <v/>
      </c>
      <c r="AD319" s="1">
        <f>D319/I319*W319*-1</f>
        <v/>
      </c>
      <c r="AE319" s="1">
        <f>E319/I319*W319</f>
        <v/>
      </c>
      <c r="AF319" s="1">
        <f t="array" ref="AF319">_xlfn.IFS(C319="Biomass_Corn", 1/I319*S319, C319="Biomass_Agri", 1/I319*V319, C319="Biomass_Wood", 1/I319*U319, C319="Biomass_Herb", 1/I319*T319)</f>
        <v/>
      </c>
      <c r="AG319" s="1">
        <f>M319/I319/(0.9*8760)</f>
        <v/>
      </c>
      <c r="AH319" s="1">
        <f>N319/I319/(0.9*8760)</f>
        <v/>
      </c>
      <c r="AI319" s="1">
        <f>O319/I319</f>
        <v/>
      </c>
      <c r="AJ319" s="1">
        <f>(AY319+AZ319+BA319+BB319+BC319-AW319)/I319</f>
        <v/>
      </c>
      <c r="AK319" s="1">
        <f>(Q319+R319)*-1*K319/I319</f>
        <v/>
      </c>
      <c r="AL319">
        <f>AJ319*Q319</f>
        <v/>
      </c>
      <c r="AM319" s="1">
        <f>(SUM(AY319:BB319)-AW319)/I319</f>
        <v/>
      </c>
      <c r="AN319" s="1">
        <f>K319/I319*-1*R319</f>
        <v/>
      </c>
      <c r="AO319">
        <f>AM319*Q319</f>
        <v/>
      </c>
      <c r="AQ319" s="17">
        <f>J319</f>
        <v/>
      </c>
      <c r="AR319" s="8" t="n">
        <v>0.243968185</v>
      </c>
      <c r="AS319" s="8" t="n">
        <v>0.249427613</v>
      </c>
      <c r="AT319" s="9" t="n">
        <v>0.246356685</v>
      </c>
      <c r="AU319" s="17" t="n">
        <v>0.23037491</v>
      </c>
      <c r="AW319" s="9">
        <f>AQ319</f>
        <v/>
      </c>
      <c r="AY319" s="9">
        <f>AR319*F319</f>
        <v/>
      </c>
      <c r="AZ319" s="9">
        <f>AS319*H319</f>
        <v/>
      </c>
      <c r="BA319" s="9">
        <f>AT319*G319</f>
        <v/>
      </c>
      <c r="BB319" s="9">
        <f>L319</f>
        <v/>
      </c>
      <c r="BC319" s="9">
        <f>K319</f>
        <v/>
      </c>
      <c r="BE319" s="1">
        <f>AW319-SUM(AY319:BC319)</f>
        <v/>
      </c>
    </row>
    <row r="320">
      <c r="B320" s="12" t="n"/>
      <c r="C320" s="20" t="n"/>
      <c r="D320" s="20" t="n"/>
      <c r="E320" s="20" t="n"/>
      <c r="F320" s="20" t="n"/>
      <c r="G320" s="20" t="n"/>
      <c r="H320" s="20" t="n"/>
      <c r="I320" s="21">
        <f>F320+G320+H320</f>
        <v/>
      </c>
      <c r="J320" s="20" t="n"/>
      <c r="K320" s="20" t="n"/>
      <c r="L320" s="20" t="n"/>
      <c r="M320" s="20" t="n"/>
      <c r="N320" s="20" t="n"/>
      <c r="O320" s="20" t="n"/>
      <c r="Q320" s="19" t="n">
        <v>109.479795</v>
      </c>
      <c r="R320" s="19" t="n">
        <v>-7.354813</v>
      </c>
      <c r="S320" s="19" t="n">
        <v>170</v>
      </c>
      <c r="T320" s="19" t="n">
        <v>138.356765</v>
      </c>
      <c r="U320" s="19" t="n">
        <v>156.777934</v>
      </c>
      <c r="V320" s="19" t="n">
        <v>119.345797</v>
      </c>
      <c r="W320" s="19" t="n">
        <v>26.773822</v>
      </c>
      <c r="Y320">
        <f>B320</f>
        <v/>
      </c>
      <c r="Z320">
        <f>C320</f>
        <v/>
      </c>
      <c r="AA320" s="18">
        <f>SUM(AD320:AI320)+AK320+AL320</f>
        <v/>
      </c>
      <c r="AB320" s="18">
        <f>SUM(AD320:AI320)+AN320+AO320</f>
        <v/>
      </c>
      <c r="AC320" s="5">
        <f>AA320-AB320</f>
        <v/>
      </c>
      <c r="AD320" s="1">
        <f>D320/I320*W320*-1</f>
        <v/>
      </c>
      <c r="AE320" s="1">
        <f>E320/I320*W320</f>
        <v/>
      </c>
      <c r="AF320" s="1">
        <f t="array" ref="AF320">_xlfn.IFS(C320="Biomass_Corn", 1/I320*S320, C320="Biomass_Agri", 1/I320*V320, C320="Biomass_Wood", 1/I320*U320, C320="Biomass_Herb", 1/I320*T320)</f>
        <v/>
      </c>
      <c r="AG320" s="1">
        <f>M320/I320/(0.9*8760)</f>
        <v/>
      </c>
      <c r="AH320" s="1">
        <f>N320/I320/(0.9*8760)</f>
        <v/>
      </c>
      <c r="AI320" s="1">
        <f>O320/I320</f>
        <v/>
      </c>
      <c r="AJ320" s="1">
        <f>(AY320+AZ320+BA320+BB320+BC320-AW320)/I320</f>
        <v/>
      </c>
      <c r="AK320" s="1">
        <f>(Q320+R320)*-1*K320/I320</f>
        <v/>
      </c>
      <c r="AL320">
        <f>AJ320*Q320</f>
        <v/>
      </c>
      <c r="AM320" s="1">
        <f>(SUM(AY320:BB320)-AW320)/I320</f>
        <v/>
      </c>
      <c r="AN320" s="1">
        <f>K320/I320*-1*R320</f>
        <v/>
      </c>
      <c r="AO320">
        <f>AM320*Q320</f>
        <v/>
      </c>
      <c r="AQ320" s="17">
        <f>J320</f>
        <v/>
      </c>
      <c r="AR320" s="8" t="n">
        <v>0.243968185</v>
      </c>
      <c r="AS320" s="8" t="n">
        <v>0.249427613</v>
      </c>
      <c r="AT320" s="9" t="n">
        <v>0.246356685</v>
      </c>
      <c r="AU320" s="17" t="n">
        <v>0.23037491</v>
      </c>
      <c r="AW320" s="9">
        <f>AQ320</f>
        <v/>
      </c>
      <c r="AY320" s="9">
        <f>AR320*F320</f>
        <v/>
      </c>
      <c r="AZ320" s="9">
        <f>AS320*H320</f>
        <v/>
      </c>
      <c r="BA320" s="9">
        <f>AT320*G320</f>
        <v/>
      </c>
      <c r="BB320" s="9">
        <f>L320</f>
        <v/>
      </c>
      <c r="BC320" s="9">
        <f>K320</f>
        <v/>
      </c>
      <c r="BE320" s="1">
        <f>AW320-SUM(AY320:BC320)</f>
        <v/>
      </c>
    </row>
    <row r="321">
      <c r="B321" s="12" t="n"/>
      <c r="C321" s="20" t="n"/>
      <c r="D321" s="20" t="n"/>
      <c r="E321" s="20" t="n"/>
      <c r="F321" s="20" t="n"/>
      <c r="G321" s="20" t="n"/>
      <c r="H321" s="20" t="n"/>
      <c r="I321" s="21">
        <f>F321+G321+H321</f>
        <v/>
      </c>
      <c r="J321" s="20" t="n"/>
      <c r="K321" s="20" t="n"/>
      <c r="L321" s="20" t="n"/>
      <c r="M321" s="20" t="n"/>
      <c r="N321" s="20" t="n"/>
      <c r="O321" s="20" t="n"/>
      <c r="Q321" s="19" t="n">
        <v>109.479795</v>
      </c>
      <c r="R321" s="19" t="n">
        <v>-7.354813</v>
      </c>
      <c r="S321" s="19" t="n">
        <v>170</v>
      </c>
      <c r="T321" s="19" t="n">
        <v>138.356765</v>
      </c>
      <c r="U321" s="19" t="n">
        <v>156.777934</v>
      </c>
      <c r="V321" s="19" t="n">
        <v>119.345797</v>
      </c>
      <c r="W321" s="19" t="n">
        <v>26.773822</v>
      </c>
      <c r="Y321">
        <f>B321</f>
        <v/>
      </c>
      <c r="Z321">
        <f>C321</f>
        <v/>
      </c>
      <c r="AA321" s="18">
        <f>SUM(AD321:AI321)+AK321+AL321</f>
        <v/>
      </c>
      <c r="AB321" s="18">
        <f>SUM(AD321:AI321)+AN321+AO321</f>
        <v/>
      </c>
      <c r="AC321" s="5">
        <f>AA321-AB321</f>
        <v/>
      </c>
      <c r="AD321" s="1">
        <f>D321/I321*W321*-1</f>
        <v/>
      </c>
      <c r="AE321" s="1">
        <f>E321/I321*W321</f>
        <v/>
      </c>
      <c r="AF321" s="1">
        <f t="array" ref="AF321">_xlfn.IFS(C321="Biomass_Corn", 1/I321*S321, C321="Biomass_Agri", 1/I321*V321, C321="Biomass_Wood", 1/I321*U321, C321="Biomass_Herb", 1/I321*T321)</f>
        <v/>
      </c>
      <c r="AG321" s="1">
        <f>M321/I321/(0.9*8760)</f>
        <v/>
      </c>
      <c r="AH321" s="1">
        <f>N321/I321/(0.9*8760)</f>
        <v/>
      </c>
      <c r="AI321" s="1">
        <f>O321/I321</f>
        <v/>
      </c>
      <c r="AJ321" s="1">
        <f>(AY321+AZ321+BA321+BB321+BC321-AW321)/I321</f>
        <v/>
      </c>
      <c r="AK321" s="1">
        <f>(Q321+R321)*-1*K321/I321</f>
        <v/>
      </c>
      <c r="AL321">
        <f>AJ321*Q321</f>
        <v/>
      </c>
      <c r="AM321" s="1">
        <f>(SUM(AY321:BB321)-AW321)/I321</f>
        <v/>
      </c>
      <c r="AN321" s="1">
        <f>K321/I321*-1*R321</f>
        <v/>
      </c>
      <c r="AO321">
        <f>AM321*Q321</f>
        <v/>
      </c>
      <c r="AQ321" s="17">
        <f>J321</f>
        <v/>
      </c>
      <c r="AR321" s="8" t="n">
        <v>0.243968185</v>
      </c>
      <c r="AS321" s="8" t="n">
        <v>0.249427613</v>
      </c>
      <c r="AT321" s="9" t="n">
        <v>0.246356685</v>
      </c>
      <c r="AU321" s="17" t="n">
        <v>0.23037491</v>
      </c>
      <c r="AW321" s="9">
        <f>AQ321</f>
        <v/>
      </c>
      <c r="AY321" s="9">
        <f>AR321*F321</f>
        <v/>
      </c>
      <c r="AZ321" s="9">
        <f>AS321*H321</f>
        <v/>
      </c>
      <c r="BA321" s="9">
        <f>AT321*G321</f>
        <v/>
      </c>
      <c r="BB321" s="9">
        <f>L321</f>
        <v/>
      </c>
      <c r="BC321" s="9">
        <f>K321</f>
        <v/>
      </c>
      <c r="BE321" s="1">
        <f>AW321-SUM(AY321:BC321)</f>
        <v/>
      </c>
    </row>
    <row r="322">
      <c r="B322" s="12" t="n"/>
      <c r="C322" s="20" t="n"/>
      <c r="D322" s="20" t="n"/>
      <c r="E322" s="20" t="n"/>
      <c r="F322" s="20" t="n"/>
      <c r="G322" s="20" t="n"/>
      <c r="H322" s="20" t="n"/>
      <c r="I322" s="21">
        <f>F322+G322+H322</f>
        <v/>
      </c>
      <c r="J322" s="20" t="n"/>
      <c r="K322" s="20" t="n"/>
      <c r="L322" s="20" t="n"/>
      <c r="M322" s="20" t="n"/>
      <c r="N322" s="20" t="n"/>
      <c r="O322" s="20" t="n"/>
      <c r="Q322" s="19" t="n">
        <v>109.479795</v>
      </c>
      <c r="R322" s="19" t="n">
        <v>-7.354813</v>
      </c>
      <c r="S322" s="19" t="n">
        <v>170</v>
      </c>
      <c r="T322" s="19" t="n">
        <v>138.356765</v>
      </c>
      <c r="U322" s="19" t="n">
        <v>156.777934</v>
      </c>
      <c r="V322" s="19" t="n">
        <v>119.345797</v>
      </c>
      <c r="W322" s="19" t="n">
        <v>26.773822</v>
      </c>
      <c r="Y322">
        <f>B322</f>
        <v/>
      </c>
      <c r="Z322">
        <f>C322</f>
        <v/>
      </c>
      <c r="AA322" s="18">
        <f>SUM(AD322:AI322)+AK322+AL322</f>
        <v/>
      </c>
      <c r="AB322" s="18">
        <f>SUM(AD322:AI322)+AN322+AO322</f>
        <v/>
      </c>
      <c r="AC322" s="5">
        <f>AA322-AB322</f>
        <v/>
      </c>
      <c r="AD322" s="1">
        <f>D322/I322*W322*-1</f>
        <v/>
      </c>
      <c r="AE322" s="1">
        <f>E322/I322*W322</f>
        <v/>
      </c>
      <c r="AF322" s="1">
        <f t="array" ref="AF322">_xlfn.IFS(C322="Biomass_Corn", 1/I322*S322, C322="Biomass_Agri", 1/I322*V322, C322="Biomass_Wood", 1/I322*U322, C322="Biomass_Herb", 1/I322*T322)</f>
        <v/>
      </c>
      <c r="AG322" s="1">
        <f>M322/I322/(0.9*8760)</f>
        <v/>
      </c>
      <c r="AH322" s="1">
        <f>N322/I322/(0.9*8760)</f>
        <v/>
      </c>
      <c r="AI322" s="1">
        <f>O322/I322</f>
        <v/>
      </c>
      <c r="AJ322" s="1">
        <f>(AY322+AZ322+BA322+BB322+BC322-AW322)/I322</f>
        <v/>
      </c>
      <c r="AK322" s="1">
        <f>(Q322+R322)*-1*K322/I322</f>
        <v/>
      </c>
      <c r="AL322">
        <f>AJ322*Q322</f>
        <v/>
      </c>
      <c r="AM322" s="1">
        <f>(SUM(AY322:BB322)-AW322)/I322</f>
        <v/>
      </c>
      <c r="AN322" s="1">
        <f>K322/I322*-1*R322</f>
        <v/>
      </c>
      <c r="AO322">
        <f>AM322*Q322</f>
        <v/>
      </c>
      <c r="AQ322" s="17">
        <f>J322</f>
        <v/>
      </c>
      <c r="AR322" s="8" t="n">
        <v>0.243968185</v>
      </c>
      <c r="AS322" s="8" t="n">
        <v>0.249427613</v>
      </c>
      <c r="AT322" s="9" t="n">
        <v>0.246356685</v>
      </c>
      <c r="AU322" s="17" t="n">
        <v>0.23037491</v>
      </c>
      <c r="AW322" s="9">
        <f>AQ322</f>
        <v/>
      </c>
      <c r="AY322" s="9">
        <f>AR322*F322</f>
        <v/>
      </c>
      <c r="AZ322" s="9">
        <f>AS322*H322</f>
        <v/>
      </c>
      <c r="BA322" s="9">
        <f>AT322*G322</f>
        <v/>
      </c>
      <c r="BB322" s="9">
        <f>L322</f>
        <v/>
      </c>
      <c r="BC322" s="9">
        <f>K322</f>
        <v/>
      </c>
      <c r="BE322" s="1">
        <f>AW322-SUM(AY322:BC322)</f>
        <v/>
      </c>
    </row>
    <row r="323">
      <c r="B323" s="12" t="n"/>
      <c r="C323" s="20" t="n"/>
      <c r="D323" s="20" t="n"/>
      <c r="E323" s="20" t="n"/>
      <c r="F323" s="20" t="n"/>
      <c r="G323" s="20" t="n"/>
      <c r="H323" s="20" t="n"/>
      <c r="I323" s="21">
        <f>F323+G323+H323</f>
        <v/>
      </c>
      <c r="J323" s="20" t="n"/>
      <c r="K323" s="20" t="n"/>
      <c r="L323" s="20" t="n"/>
      <c r="M323" s="20" t="n"/>
      <c r="N323" s="20" t="n"/>
      <c r="O323" s="20" t="n"/>
      <c r="Q323" s="19" t="n">
        <v>109.479795</v>
      </c>
      <c r="R323" s="19" t="n">
        <v>-7.354813</v>
      </c>
      <c r="S323" s="19" t="n">
        <v>170</v>
      </c>
      <c r="T323" s="19" t="n">
        <v>138.356765</v>
      </c>
      <c r="U323" s="19" t="n">
        <v>156.777934</v>
      </c>
      <c r="V323" s="19" t="n">
        <v>119.345797</v>
      </c>
      <c r="W323" s="19" t="n">
        <v>26.773822</v>
      </c>
      <c r="Y323">
        <f>B323</f>
        <v/>
      </c>
      <c r="Z323">
        <f>C323</f>
        <v/>
      </c>
      <c r="AA323" s="18">
        <f>SUM(AD323:AI323)+AK323+AL323</f>
        <v/>
      </c>
      <c r="AB323" s="18">
        <f>SUM(AD323:AI323)+AN323+AO323</f>
        <v/>
      </c>
      <c r="AC323" s="5">
        <f>AA323-AB323</f>
        <v/>
      </c>
      <c r="AD323" s="1">
        <f>D323/I323*W323*-1</f>
        <v/>
      </c>
      <c r="AE323" s="1">
        <f>E323/I323*W323</f>
        <v/>
      </c>
      <c r="AF323" s="1">
        <f t="array" ref="AF323">_xlfn.IFS(C323="Biomass_Corn", 1/I323*S323, C323="Biomass_Agri", 1/I323*V323, C323="Biomass_Wood", 1/I323*U323, C323="Biomass_Herb", 1/I323*T323)</f>
        <v/>
      </c>
      <c r="AG323" s="1">
        <f>M323/I323/(0.9*8760)</f>
        <v/>
      </c>
      <c r="AH323" s="1">
        <f>N323/I323/(0.9*8760)</f>
        <v/>
      </c>
      <c r="AI323" s="1">
        <f>O323/I323</f>
        <v/>
      </c>
      <c r="AJ323" s="1">
        <f>(AY323+AZ323+BA323+BB323+BC323-AW323)/I323</f>
        <v/>
      </c>
      <c r="AK323" s="1">
        <f>(Q323+R323)*-1*K323/I323</f>
        <v/>
      </c>
      <c r="AL323">
        <f>AJ323*Q323</f>
        <v/>
      </c>
      <c r="AM323" s="1">
        <f>(SUM(AY323:BB323)-AW323)/I323</f>
        <v/>
      </c>
      <c r="AN323" s="1">
        <f>K323/I323*-1*R323</f>
        <v/>
      </c>
      <c r="AO323">
        <f>AM323*Q323</f>
        <v/>
      </c>
      <c r="AQ323" s="17">
        <f>J323</f>
        <v/>
      </c>
      <c r="AR323" s="8" t="n">
        <v>0.243968185</v>
      </c>
      <c r="AS323" s="8" t="n">
        <v>0.249427613</v>
      </c>
      <c r="AT323" s="9" t="n">
        <v>0.246356685</v>
      </c>
      <c r="AU323" s="17" t="n">
        <v>0.23037491</v>
      </c>
      <c r="AW323" s="9">
        <f>AQ323</f>
        <v/>
      </c>
      <c r="AY323" s="9">
        <f>AR323*F323</f>
        <v/>
      </c>
      <c r="AZ323" s="9">
        <f>AS323*H323</f>
        <v/>
      </c>
      <c r="BA323" s="9">
        <f>AT323*G323</f>
        <v/>
      </c>
      <c r="BB323" s="9">
        <f>L323</f>
        <v/>
      </c>
      <c r="BC323" s="9">
        <f>K323</f>
        <v/>
      </c>
      <c r="BE323" s="1">
        <f>AW323-SUM(AY323:BC323)</f>
        <v/>
      </c>
    </row>
    <row r="324">
      <c r="B324" s="12" t="n"/>
      <c r="C324" s="20" t="n"/>
      <c r="D324" s="20" t="n"/>
      <c r="E324" s="20" t="n"/>
      <c r="F324" s="20" t="n"/>
      <c r="G324" s="20" t="n"/>
      <c r="H324" s="20" t="n"/>
      <c r="I324" s="21">
        <f>F324+G324+H324</f>
        <v/>
      </c>
      <c r="J324" s="20" t="n"/>
      <c r="K324" s="20" t="n"/>
      <c r="L324" s="20" t="n"/>
      <c r="M324" s="20" t="n"/>
      <c r="N324" s="20" t="n"/>
      <c r="O324" s="20" t="n"/>
      <c r="Q324" s="19" t="n">
        <v>109.479795</v>
      </c>
      <c r="R324" s="19" t="n">
        <v>-7.354813</v>
      </c>
      <c r="S324" s="19" t="n">
        <v>170</v>
      </c>
      <c r="T324" s="19" t="n">
        <v>138.356765</v>
      </c>
      <c r="U324" s="19" t="n">
        <v>156.777934</v>
      </c>
      <c r="V324" s="19" t="n">
        <v>119.345797</v>
      </c>
      <c r="W324" s="19" t="n">
        <v>26.773822</v>
      </c>
      <c r="Y324">
        <f>B324</f>
        <v/>
      </c>
      <c r="Z324">
        <f>C324</f>
        <v/>
      </c>
      <c r="AA324" s="18">
        <f>SUM(AD324:AI324)+AK324+AL324</f>
        <v/>
      </c>
      <c r="AB324" s="18">
        <f>SUM(AD324:AI324)+AN324+AO324</f>
        <v/>
      </c>
      <c r="AC324" s="5">
        <f>AA324-AB324</f>
        <v/>
      </c>
      <c r="AD324" s="1">
        <f>D324/I324*W324*-1</f>
        <v/>
      </c>
      <c r="AE324" s="1">
        <f>E324/I324*W324</f>
        <v/>
      </c>
      <c r="AF324" s="1">
        <f t="array" ref="AF324">_xlfn.IFS(C324="Biomass_Corn", 1/I324*S324, C324="Biomass_Agri", 1/I324*V324, C324="Biomass_Wood", 1/I324*U324, C324="Biomass_Herb", 1/I324*T324)</f>
        <v/>
      </c>
      <c r="AG324" s="1">
        <f>M324/I324/(0.9*8760)</f>
        <v/>
      </c>
      <c r="AH324" s="1">
        <f>N324/I324/(0.9*8760)</f>
        <v/>
      </c>
      <c r="AI324" s="1">
        <f>O324/I324</f>
        <v/>
      </c>
      <c r="AJ324" s="1">
        <f>(AY324+AZ324+BA324+BB324+BC324-AW324)/I324</f>
        <v/>
      </c>
      <c r="AK324" s="1">
        <f>(Q324+R324)*-1*K324/I324</f>
        <v/>
      </c>
      <c r="AL324">
        <f>AJ324*Q324</f>
        <v/>
      </c>
      <c r="AM324" s="1">
        <f>(SUM(AY324:BB324)-AW324)/I324</f>
        <v/>
      </c>
      <c r="AN324" s="1">
        <f>K324/I324*-1*R324</f>
        <v/>
      </c>
      <c r="AO324">
        <f>AM324*Q324</f>
        <v/>
      </c>
      <c r="AQ324" s="17">
        <f>J324</f>
        <v/>
      </c>
      <c r="AR324" s="8" t="n">
        <v>0.243968185</v>
      </c>
      <c r="AS324" s="8" t="n">
        <v>0.249427613</v>
      </c>
      <c r="AT324" s="9" t="n">
        <v>0.246356685</v>
      </c>
      <c r="AU324" s="17" t="n">
        <v>0.23037491</v>
      </c>
      <c r="AW324" s="9">
        <f>AQ324</f>
        <v/>
      </c>
      <c r="AY324" s="9">
        <f>AR324*F324</f>
        <v/>
      </c>
      <c r="AZ324" s="9">
        <f>AS324*H324</f>
        <v/>
      </c>
      <c r="BA324" s="9">
        <f>AT324*G324</f>
        <v/>
      </c>
      <c r="BB324" s="9">
        <f>L324</f>
        <v/>
      </c>
      <c r="BC324" s="9">
        <f>K324</f>
        <v/>
      </c>
      <c r="BE324" s="1">
        <f>AW324-SUM(AY324:BC324)</f>
        <v/>
      </c>
    </row>
    <row r="325">
      <c r="B325" s="12" t="n"/>
      <c r="C325" s="20" t="n"/>
      <c r="D325" s="20" t="n"/>
      <c r="E325" s="20" t="n"/>
      <c r="F325" s="20" t="n"/>
      <c r="G325" s="20" t="n"/>
      <c r="H325" s="20" t="n"/>
      <c r="I325" s="21">
        <f>F325+G325+H325</f>
        <v/>
      </c>
      <c r="J325" s="20" t="n"/>
      <c r="K325" s="20" t="n"/>
      <c r="L325" s="20" t="n"/>
      <c r="M325" s="20" t="n"/>
      <c r="N325" s="20" t="n"/>
      <c r="O325" s="20" t="n"/>
      <c r="Q325" s="19" t="n">
        <v>109.479795</v>
      </c>
      <c r="R325" s="19" t="n">
        <v>-7.354813</v>
      </c>
      <c r="S325" s="19" t="n">
        <v>170</v>
      </c>
      <c r="T325" s="19" t="n">
        <v>138.356765</v>
      </c>
      <c r="U325" s="19" t="n">
        <v>156.777934</v>
      </c>
      <c r="V325" s="19" t="n">
        <v>119.345797</v>
      </c>
      <c r="W325" s="19" t="n">
        <v>26.773822</v>
      </c>
      <c r="Y325">
        <f>B325</f>
        <v/>
      </c>
      <c r="Z325">
        <f>C325</f>
        <v/>
      </c>
      <c r="AA325" s="18">
        <f>SUM(AD325:AI325)+AK325+AL325</f>
        <v/>
      </c>
      <c r="AB325" s="18">
        <f>SUM(AD325:AI325)+AN325+AO325</f>
        <v/>
      </c>
      <c r="AC325" s="5">
        <f>AA325-AB325</f>
        <v/>
      </c>
      <c r="AD325" s="1">
        <f>D325/I325*W325*-1</f>
        <v/>
      </c>
      <c r="AE325" s="1">
        <f>E325/I325*W325</f>
        <v/>
      </c>
      <c r="AF325" s="1">
        <f t="array" ref="AF325">_xlfn.IFS(C325="Biomass_Corn", 1/I325*S325, C325="Biomass_Agri", 1/I325*V325, C325="Biomass_Wood", 1/I325*U325, C325="Biomass_Herb", 1/I325*T325)</f>
        <v/>
      </c>
      <c r="AG325" s="1">
        <f>M325/I325/(0.9*8760)</f>
        <v/>
      </c>
      <c r="AH325" s="1">
        <f>N325/I325/(0.9*8760)</f>
        <v/>
      </c>
      <c r="AI325" s="1">
        <f>O325/I325</f>
        <v/>
      </c>
      <c r="AJ325" s="1">
        <f>(AY325+AZ325+BA325+BB325+BC325-AW325)/I325</f>
        <v/>
      </c>
      <c r="AK325" s="1">
        <f>(Q325+R325)*-1*K325/I325</f>
        <v/>
      </c>
      <c r="AL325">
        <f>AJ325*Q325</f>
        <v/>
      </c>
      <c r="AM325" s="1">
        <f>(SUM(AY325:BB325)-AW325)/I325</f>
        <v/>
      </c>
      <c r="AN325" s="1">
        <f>K325/I325*-1*R325</f>
        <v/>
      </c>
      <c r="AO325">
        <f>AM325*Q325</f>
        <v/>
      </c>
      <c r="AQ325" s="17">
        <f>J325</f>
        <v/>
      </c>
      <c r="AR325" s="8" t="n">
        <v>0.243968185</v>
      </c>
      <c r="AS325" s="8" t="n">
        <v>0.249427613</v>
      </c>
      <c r="AT325" s="9" t="n">
        <v>0.246356685</v>
      </c>
      <c r="AU325" s="17" t="n">
        <v>0.23037491</v>
      </c>
      <c r="AW325" s="9">
        <f>AQ325</f>
        <v/>
      </c>
      <c r="AY325" s="9">
        <f>AR325*F325</f>
        <v/>
      </c>
      <c r="AZ325" s="9">
        <f>AS325*H325</f>
        <v/>
      </c>
      <c r="BA325" s="9">
        <f>AT325*G325</f>
        <v/>
      </c>
      <c r="BB325" s="9">
        <f>L325</f>
        <v/>
      </c>
      <c r="BC325" s="9">
        <f>K325</f>
        <v/>
      </c>
      <c r="BE325" s="1">
        <f>AW325-SUM(AY325:BC325)</f>
        <v/>
      </c>
    </row>
    <row r="326">
      <c r="B326" s="12" t="n"/>
      <c r="C326" s="20" t="n"/>
      <c r="D326" s="20" t="n"/>
      <c r="E326" s="20" t="n"/>
      <c r="F326" s="20" t="n"/>
      <c r="G326" s="20" t="n"/>
      <c r="H326" s="20" t="n"/>
      <c r="I326" s="21">
        <f>F326+G326+H326</f>
        <v/>
      </c>
      <c r="J326" s="20" t="n"/>
      <c r="K326" s="20" t="n"/>
      <c r="L326" s="20" t="n"/>
      <c r="M326" s="20" t="n"/>
      <c r="N326" s="20" t="n"/>
      <c r="O326" s="20" t="n"/>
      <c r="Q326" s="19" t="n">
        <v>109.479795</v>
      </c>
      <c r="R326" s="19" t="n">
        <v>-7.354813</v>
      </c>
      <c r="S326" s="19" t="n">
        <v>170</v>
      </c>
      <c r="T326" s="19" t="n">
        <v>138.356765</v>
      </c>
      <c r="U326" s="19" t="n">
        <v>156.777934</v>
      </c>
      <c r="V326" s="19" t="n">
        <v>119.345797</v>
      </c>
      <c r="W326" s="19" t="n">
        <v>26.773822</v>
      </c>
      <c r="Y326">
        <f>B326</f>
        <v/>
      </c>
      <c r="Z326">
        <f>C326</f>
        <v/>
      </c>
      <c r="AA326" s="18">
        <f>SUM(AD326:AI326)+AK326+AL326</f>
        <v/>
      </c>
      <c r="AB326" s="18">
        <f>SUM(AD326:AI326)+AN326+AO326</f>
        <v/>
      </c>
      <c r="AC326" s="5">
        <f>AA326-AB326</f>
        <v/>
      </c>
      <c r="AD326" s="1">
        <f>D326/I326*W326*-1</f>
        <v/>
      </c>
      <c r="AE326" s="1">
        <f>E326/I326*W326</f>
        <v/>
      </c>
      <c r="AF326" s="1">
        <f t="array" ref="AF326">_xlfn.IFS(C326="Biomass_Corn", 1/I326*S326, C326="Biomass_Agri", 1/I326*V326, C326="Biomass_Wood", 1/I326*U326, C326="Biomass_Herb", 1/I326*T326)</f>
        <v/>
      </c>
      <c r="AG326" s="1">
        <f>M326/I326/(0.9*8760)</f>
        <v/>
      </c>
      <c r="AH326" s="1">
        <f>N326/I326/(0.9*8760)</f>
        <v/>
      </c>
      <c r="AI326" s="1">
        <f>O326/I326</f>
        <v/>
      </c>
      <c r="AJ326" s="1">
        <f>(AY326+AZ326+BA326+BB326+BC326-AW326)/I326</f>
        <v/>
      </c>
      <c r="AK326" s="1">
        <f>(Q326+R326)*-1*K326/I326</f>
        <v/>
      </c>
      <c r="AL326">
        <f>AJ326*Q326</f>
        <v/>
      </c>
      <c r="AM326" s="1">
        <f>(SUM(AY326:BB326)-AW326)/I326</f>
        <v/>
      </c>
      <c r="AN326" s="1">
        <f>K326/I326*-1*R326</f>
        <v/>
      </c>
      <c r="AO326">
        <f>AM326*Q326</f>
        <v/>
      </c>
      <c r="AQ326" s="17">
        <f>J326</f>
        <v/>
      </c>
      <c r="AR326" s="8" t="n">
        <v>0.243968185</v>
      </c>
      <c r="AS326" s="8" t="n">
        <v>0.249427613</v>
      </c>
      <c r="AT326" s="9" t="n">
        <v>0.246356685</v>
      </c>
      <c r="AU326" s="17" t="n">
        <v>0.23037491</v>
      </c>
      <c r="AW326" s="9">
        <f>AQ326</f>
        <v/>
      </c>
      <c r="AY326" s="9">
        <f>AR326*F326</f>
        <v/>
      </c>
      <c r="AZ326" s="9">
        <f>AS326*H326</f>
        <v/>
      </c>
      <c r="BA326" s="9">
        <f>AT326*G326</f>
        <v/>
      </c>
      <c r="BB326" s="9">
        <f>L326</f>
        <v/>
      </c>
      <c r="BC326" s="9">
        <f>K326</f>
        <v/>
      </c>
      <c r="BE326" s="1">
        <f>AW326-SUM(AY326:BC326)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325"/>
  <sheetViews>
    <sheetView tabSelected="1" zoomScale="75" zoomScaleNormal="112" workbookViewId="0">
      <selection activeCell="B13" sqref="B13"/>
    </sheetView>
  </sheetViews>
  <sheetFormatPr baseColWidth="10" defaultRowHeight="16"/>
  <cols>
    <col width="37.83203125" bestFit="1" customWidth="1" min="2" max="2"/>
    <col width="13.6640625" bestFit="1" customWidth="1" min="3" max="3"/>
    <col width="15.1640625" bestFit="1" customWidth="1" min="4" max="4"/>
    <col width="18.5" bestFit="1" customWidth="1" min="5" max="5"/>
    <col width="13.6640625" bestFit="1" customWidth="1" min="6" max="6"/>
    <col width="12.1640625" bestFit="1" customWidth="1" min="7" max="7"/>
    <col width="14.5" bestFit="1" customWidth="1" min="8" max="8"/>
    <col width="17.83203125" bestFit="1" customWidth="1" min="9" max="9"/>
    <col width="19.33203125" bestFit="1" customWidth="1" min="10" max="10"/>
    <col width="18.6640625" bestFit="1" customWidth="1" min="11" max="11"/>
  </cols>
  <sheetData>
    <row r="1">
      <c r="B1" t="inlineStr">
        <is>
          <t>UNSORTED</t>
        </is>
      </c>
    </row>
    <row r="2">
      <c r="B2" s="2" t="inlineStr">
        <is>
          <t>id_LC</t>
        </is>
      </c>
      <c r="C2" s="4" t="inlineStr">
        <is>
          <t>elec_production</t>
        </is>
      </c>
      <c r="D2" s="4" t="inlineStr">
        <is>
          <t>elec_consumption</t>
        </is>
      </c>
      <c r="E2" s="4" t="inlineStr">
        <is>
          <t>biomass_consumption</t>
        </is>
      </c>
      <c r="F2" s="4" t="inlineStr">
        <is>
          <t>investment_cost</t>
        </is>
      </c>
      <c r="G2" s="4" t="inlineStr">
        <is>
          <t>fixed_om_cost</t>
        </is>
      </c>
      <c r="H2" s="4" t="inlineStr">
        <is>
          <t>variable_om_cost</t>
        </is>
      </c>
      <c r="I2" s="3" t="inlineStr">
        <is>
          <t>modified capture cost</t>
        </is>
      </c>
      <c r="J2" s="3" t="inlineStr">
        <is>
          <t>modified emissions cost</t>
        </is>
      </c>
      <c r="K2" s="3" t="inlineStr">
        <is>
          <t>LCOE ($/MWh-fuel)</t>
        </is>
      </c>
    </row>
    <row r="3">
      <c r="B3">
        <f>lc_detailed!B4</f>
        <v/>
      </c>
      <c r="C3">
        <f>lc_detailed!AD4</f>
        <v/>
      </c>
      <c r="D3">
        <f>lc_detailed!AE4</f>
        <v/>
      </c>
      <c r="E3">
        <f>lc_detailed!AF4</f>
        <v/>
      </c>
      <c r="F3">
        <f>lc_detailed!AG4</f>
        <v/>
      </c>
      <c r="G3">
        <f>lc_detailed!AH4</f>
        <v/>
      </c>
      <c r="H3">
        <f>lc_detailed!AI4</f>
        <v/>
      </c>
      <c r="I3">
        <f>lc_detailed!AK4</f>
        <v/>
      </c>
      <c r="J3">
        <f>lc_detailed!AL4</f>
        <v/>
      </c>
      <c r="K3">
        <f>lc_detailed!AB4</f>
        <v/>
      </c>
    </row>
    <row r="4">
      <c r="B4">
        <f>lc_detailed!B5</f>
        <v/>
      </c>
      <c r="C4">
        <f>lc_detailed!AD5</f>
        <v/>
      </c>
      <c r="D4">
        <f>lc_detailed!AE5</f>
        <v/>
      </c>
      <c r="E4">
        <f>lc_detailed!AF5</f>
        <v/>
      </c>
      <c r="F4">
        <f>lc_detailed!AG5</f>
        <v/>
      </c>
      <c r="G4">
        <f>lc_detailed!AH5</f>
        <v/>
      </c>
      <c r="H4">
        <f>lc_detailed!AI5</f>
        <v/>
      </c>
      <c r="I4">
        <f>lc_detailed!AK5</f>
        <v/>
      </c>
      <c r="J4">
        <f>lc_detailed!AL5</f>
        <v/>
      </c>
      <c r="K4">
        <f>lc_detailed!AB5</f>
        <v/>
      </c>
    </row>
    <row r="5">
      <c r="B5">
        <f>lc_detailed!B6</f>
        <v/>
      </c>
      <c r="C5">
        <f>lc_detailed!AD6</f>
        <v/>
      </c>
      <c r="D5">
        <f>lc_detailed!AE6</f>
        <v/>
      </c>
      <c r="E5">
        <f>lc_detailed!AF6</f>
        <v/>
      </c>
      <c r="F5">
        <f>lc_detailed!AG6</f>
        <v/>
      </c>
      <c r="G5">
        <f>lc_detailed!AH6</f>
        <v/>
      </c>
      <c r="H5">
        <f>lc_detailed!AI6</f>
        <v/>
      </c>
      <c r="I5">
        <f>lc_detailed!AK6</f>
        <v/>
      </c>
      <c r="J5">
        <f>lc_detailed!AL6</f>
        <v/>
      </c>
      <c r="K5">
        <f>lc_detailed!AB6</f>
        <v/>
      </c>
    </row>
    <row r="6">
      <c r="B6">
        <f>lc_detailed!B7</f>
        <v/>
      </c>
      <c r="C6">
        <f>lc_detailed!AD7</f>
        <v/>
      </c>
      <c r="D6">
        <f>lc_detailed!AE7</f>
        <v/>
      </c>
      <c r="E6">
        <f>lc_detailed!AF7</f>
        <v/>
      </c>
      <c r="F6">
        <f>lc_detailed!AG7</f>
        <v/>
      </c>
      <c r="G6">
        <f>lc_detailed!AH7</f>
        <v/>
      </c>
      <c r="H6">
        <f>lc_detailed!AI7</f>
        <v/>
      </c>
      <c r="I6">
        <f>lc_detailed!AK7</f>
        <v/>
      </c>
      <c r="J6">
        <f>lc_detailed!AL7</f>
        <v/>
      </c>
      <c r="K6">
        <f>lc_detailed!AB7</f>
        <v/>
      </c>
    </row>
    <row r="7">
      <c r="B7">
        <f>lc_detailed!B8</f>
        <v/>
      </c>
      <c r="C7">
        <f>lc_detailed!AD8</f>
        <v/>
      </c>
      <c r="D7">
        <f>lc_detailed!AE8</f>
        <v/>
      </c>
      <c r="E7">
        <f>lc_detailed!AF8</f>
        <v/>
      </c>
      <c r="F7">
        <f>lc_detailed!AG8</f>
        <v/>
      </c>
      <c r="G7">
        <f>lc_detailed!AH8</f>
        <v/>
      </c>
      <c r="H7">
        <f>lc_detailed!AI8</f>
        <v/>
      </c>
      <c r="I7">
        <f>lc_detailed!AK8</f>
        <v/>
      </c>
      <c r="J7">
        <f>lc_detailed!AL8</f>
        <v/>
      </c>
      <c r="K7">
        <f>lc_detailed!AB8</f>
        <v/>
      </c>
    </row>
    <row r="8">
      <c r="B8">
        <f>lc_detailed!B9</f>
        <v/>
      </c>
      <c r="C8">
        <f>lc_detailed!AD9</f>
        <v/>
      </c>
      <c r="D8">
        <f>lc_detailed!AE9</f>
        <v/>
      </c>
      <c r="E8">
        <f>lc_detailed!AF9</f>
        <v/>
      </c>
      <c r="F8">
        <f>lc_detailed!AG9</f>
        <v/>
      </c>
      <c r="G8">
        <f>lc_detailed!AH9</f>
        <v/>
      </c>
      <c r="H8">
        <f>lc_detailed!AI9</f>
        <v/>
      </c>
      <c r="I8">
        <f>lc_detailed!AK9</f>
        <v/>
      </c>
      <c r="J8">
        <f>lc_detailed!AL9</f>
        <v/>
      </c>
      <c r="K8">
        <f>lc_detailed!AB9</f>
        <v/>
      </c>
    </row>
    <row r="9">
      <c r="B9">
        <f>lc_detailed!B10</f>
        <v/>
      </c>
      <c r="C9">
        <f>lc_detailed!AD10</f>
        <v/>
      </c>
      <c r="D9">
        <f>lc_detailed!AE10</f>
        <v/>
      </c>
      <c r="E9">
        <f>lc_detailed!AF10</f>
        <v/>
      </c>
      <c r="F9">
        <f>lc_detailed!AG10</f>
        <v/>
      </c>
      <c r="G9">
        <f>lc_detailed!AH10</f>
        <v/>
      </c>
      <c r="H9">
        <f>lc_detailed!AI10</f>
        <v/>
      </c>
      <c r="I9">
        <f>lc_detailed!AK10</f>
        <v/>
      </c>
      <c r="J9">
        <f>lc_detailed!AL10</f>
        <v/>
      </c>
      <c r="K9">
        <f>lc_detailed!AB10</f>
        <v/>
      </c>
    </row>
    <row r="10">
      <c r="B10">
        <f>lc_detailed!B11</f>
        <v/>
      </c>
      <c r="C10">
        <f>lc_detailed!AD11</f>
        <v/>
      </c>
      <c r="D10">
        <f>lc_detailed!AE11</f>
        <v/>
      </c>
      <c r="E10">
        <f>lc_detailed!AF11</f>
        <v/>
      </c>
      <c r="F10">
        <f>lc_detailed!AG11</f>
        <v/>
      </c>
      <c r="G10">
        <f>lc_detailed!AH11</f>
        <v/>
      </c>
      <c r="H10">
        <f>lc_detailed!AI11</f>
        <v/>
      </c>
      <c r="I10">
        <f>lc_detailed!AK11</f>
        <v/>
      </c>
      <c r="J10">
        <f>lc_detailed!AL11</f>
        <v/>
      </c>
      <c r="K10">
        <f>lc_detailed!AB11</f>
        <v/>
      </c>
    </row>
    <row r="11">
      <c r="B11">
        <f>lc_detailed!B12</f>
        <v/>
      </c>
      <c r="C11">
        <f>lc_detailed!AD12</f>
        <v/>
      </c>
      <c r="D11">
        <f>lc_detailed!AE12</f>
        <v/>
      </c>
      <c r="E11">
        <f>lc_detailed!AF12</f>
        <v/>
      </c>
      <c r="F11">
        <f>lc_detailed!AG12</f>
        <v/>
      </c>
      <c r="G11">
        <f>lc_detailed!AH12</f>
        <v/>
      </c>
      <c r="H11">
        <f>lc_detailed!AI12</f>
        <v/>
      </c>
      <c r="I11">
        <f>lc_detailed!AK12</f>
        <v/>
      </c>
      <c r="J11">
        <f>lc_detailed!AL12</f>
        <v/>
      </c>
      <c r="K11">
        <f>lc_detailed!AB12</f>
        <v/>
      </c>
    </row>
    <row r="12">
      <c r="B12">
        <f>lc_detailed!B13</f>
        <v/>
      </c>
      <c r="C12">
        <f>lc_detailed!AD13</f>
        <v/>
      </c>
      <c r="D12">
        <f>lc_detailed!AE13</f>
        <v/>
      </c>
      <c r="E12">
        <f>lc_detailed!AF13</f>
        <v/>
      </c>
      <c r="F12">
        <f>lc_detailed!AG13</f>
        <v/>
      </c>
      <c r="G12">
        <f>lc_detailed!AH13</f>
        <v/>
      </c>
      <c r="H12">
        <f>lc_detailed!AI13</f>
        <v/>
      </c>
      <c r="I12">
        <f>lc_detailed!AK13</f>
        <v/>
      </c>
      <c r="J12">
        <f>lc_detailed!AL13</f>
        <v/>
      </c>
      <c r="K12">
        <f>lc_detailed!AB13</f>
        <v/>
      </c>
    </row>
    <row r="13">
      <c r="B13">
        <f>lc_detailed!B14</f>
        <v/>
      </c>
      <c r="C13">
        <f>lc_detailed!AD14</f>
        <v/>
      </c>
      <c r="D13">
        <f>lc_detailed!AE14</f>
        <v/>
      </c>
      <c r="E13">
        <f>lc_detailed!AF14</f>
        <v/>
      </c>
      <c r="F13">
        <f>lc_detailed!AG14</f>
        <v/>
      </c>
      <c r="G13">
        <f>lc_detailed!AH14</f>
        <v/>
      </c>
      <c r="H13">
        <f>lc_detailed!AI14</f>
        <v/>
      </c>
      <c r="I13">
        <f>lc_detailed!AK14</f>
        <v/>
      </c>
      <c r="J13">
        <f>lc_detailed!AL14</f>
        <v/>
      </c>
      <c r="K13">
        <f>lc_detailed!AB14</f>
        <v/>
      </c>
    </row>
    <row r="14">
      <c r="B14">
        <f>lc_detailed!B15</f>
        <v/>
      </c>
      <c r="C14">
        <f>lc_detailed!AD15</f>
        <v/>
      </c>
      <c r="D14">
        <f>lc_detailed!AE15</f>
        <v/>
      </c>
      <c r="E14">
        <f>lc_detailed!AF15</f>
        <v/>
      </c>
      <c r="F14">
        <f>lc_detailed!AG15</f>
        <v/>
      </c>
      <c r="G14">
        <f>lc_detailed!AH15</f>
        <v/>
      </c>
      <c r="H14">
        <f>lc_detailed!AI15</f>
        <v/>
      </c>
      <c r="I14">
        <f>lc_detailed!AK15</f>
        <v/>
      </c>
      <c r="J14">
        <f>lc_detailed!AL15</f>
        <v/>
      </c>
      <c r="K14">
        <f>lc_detailed!AB15</f>
        <v/>
      </c>
    </row>
    <row r="15">
      <c r="B15">
        <f>lc_detailed!B16</f>
        <v/>
      </c>
      <c r="C15">
        <f>lc_detailed!AD16</f>
        <v/>
      </c>
      <c r="D15">
        <f>lc_detailed!AE16</f>
        <v/>
      </c>
      <c r="E15">
        <f>lc_detailed!AF16</f>
        <v/>
      </c>
      <c r="F15">
        <f>lc_detailed!AG16</f>
        <v/>
      </c>
      <c r="G15">
        <f>lc_detailed!AH16</f>
        <v/>
      </c>
      <c r="H15">
        <f>lc_detailed!AI16</f>
        <v/>
      </c>
      <c r="I15">
        <f>lc_detailed!AK16</f>
        <v/>
      </c>
      <c r="J15">
        <f>lc_detailed!AL16</f>
        <v/>
      </c>
      <c r="K15">
        <f>lc_detailed!AB16</f>
        <v/>
      </c>
    </row>
    <row r="16">
      <c r="B16">
        <f>lc_detailed!B17</f>
        <v/>
      </c>
      <c r="C16">
        <f>lc_detailed!AD17</f>
        <v/>
      </c>
      <c r="D16">
        <f>lc_detailed!AE17</f>
        <v/>
      </c>
      <c r="E16">
        <f>lc_detailed!AF17</f>
        <v/>
      </c>
      <c r="F16">
        <f>lc_detailed!AG17</f>
        <v/>
      </c>
      <c r="G16">
        <f>lc_detailed!AH17</f>
        <v/>
      </c>
      <c r="H16">
        <f>lc_detailed!AI17</f>
        <v/>
      </c>
      <c r="I16">
        <f>lc_detailed!AK17</f>
        <v/>
      </c>
      <c r="J16">
        <f>lc_detailed!AL17</f>
        <v/>
      </c>
      <c r="K16">
        <f>lc_detailed!AB17</f>
        <v/>
      </c>
    </row>
    <row r="17">
      <c r="B17">
        <f>lc_detailed!B18</f>
        <v/>
      </c>
      <c r="C17">
        <f>lc_detailed!AD18</f>
        <v/>
      </c>
      <c r="D17">
        <f>lc_detailed!AE18</f>
        <v/>
      </c>
      <c r="E17">
        <f>lc_detailed!AF18</f>
        <v/>
      </c>
      <c r="F17">
        <f>lc_detailed!AG18</f>
        <v/>
      </c>
      <c r="G17">
        <f>lc_detailed!AH18</f>
        <v/>
      </c>
      <c r="H17">
        <f>lc_detailed!AI18</f>
        <v/>
      </c>
      <c r="I17">
        <f>lc_detailed!AK18</f>
        <v/>
      </c>
      <c r="J17">
        <f>lc_detailed!AL18</f>
        <v/>
      </c>
      <c r="K17">
        <f>lc_detailed!AB18</f>
        <v/>
      </c>
    </row>
    <row r="18">
      <c r="B18">
        <f>lc_detailed!B19</f>
        <v/>
      </c>
      <c r="C18">
        <f>lc_detailed!AD19</f>
        <v/>
      </c>
      <c r="D18">
        <f>lc_detailed!AE19</f>
        <v/>
      </c>
      <c r="E18">
        <f>lc_detailed!AF19</f>
        <v/>
      </c>
      <c r="F18">
        <f>lc_detailed!AG19</f>
        <v/>
      </c>
      <c r="G18">
        <f>lc_detailed!AH19</f>
        <v/>
      </c>
      <c r="H18">
        <f>lc_detailed!AI19</f>
        <v/>
      </c>
      <c r="I18">
        <f>lc_detailed!AK19</f>
        <v/>
      </c>
      <c r="J18">
        <f>lc_detailed!AL19</f>
        <v/>
      </c>
      <c r="K18">
        <f>lc_detailed!AB19</f>
        <v/>
      </c>
    </row>
    <row r="19">
      <c r="B19">
        <f>lc_detailed!B20</f>
        <v/>
      </c>
      <c r="C19">
        <f>lc_detailed!AD20</f>
        <v/>
      </c>
      <c r="D19">
        <f>lc_detailed!AE20</f>
        <v/>
      </c>
      <c r="E19">
        <f>lc_detailed!AF20</f>
        <v/>
      </c>
      <c r="F19">
        <f>lc_detailed!AG20</f>
        <v/>
      </c>
      <c r="G19">
        <f>lc_detailed!AH20</f>
        <v/>
      </c>
      <c r="H19">
        <f>lc_detailed!AI20</f>
        <v/>
      </c>
      <c r="I19">
        <f>lc_detailed!AK20</f>
        <v/>
      </c>
      <c r="J19">
        <f>lc_detailed!AL20</f>
        <v/>
      </c>
      <c r="K19">
        <f>lc_detailed!AB20</f>
        <v/>
      </c>
    </row>
    <row r="20">
      <c r="B20">
        <f>lc_detailed!B21</f>
        <v/>
      </c>
      <c r="C20">
        <f>lc_detailed!AD21</f>
        <v/>
      </c>
      <c r="D20">
        <f>lc_detailed!AE21</f>
        <v/>
      </c>
      <c r="E20">
        <f>lc_detailed!AF21</f>
        <v/>
      </c>
      <c r="F20">
        <f>lc_detailed!AG21</f>
        <v/>
      </c>
      <c r="G20">
        <f>lc_detailed!AH21</f>
        <v/>
      </c>
      <c r="H20">
        <f>lc_detailed!AI21</f>
        <v/>
      </c>
      <c r="I20">
        <f>lc_detailed!AK21</f>
        <v/>
      </c>
      <c r="J20">
        <f>lc_detailed!AL21</f>
        <v/>
      </c>
      <c r="K20">
        <f>lc_detailed!AB21</f>
        <v/>
      </c>
    </row>
    <row r="21">
      <c r="B21">
        <f>lc_detailed!B22</f>
        <v/>
      </c>
      <c r="C21">
        <f>lc_detailed!AD22</f>
        <v/>
      </c>
      <c r="D21">
        <f>lc_detailed!AE22</f>
        <v/>
      </c>
      <c r="E21">
        <f>lc_detailed!AF22</f>
        <v/>
      </c>
      <c r="F21">
        <f>lc_detailed!AG22</f>
        <v/>
      </c>
      <c r="G21">
        <f>lc_detailed!AH22</f>
        <v/>
      </c>
      <c r="H21">
        <f>lc_detailed!AI22</f>
        <v/>
      </c>
      <c r="I21">
        <f>lc_detailed!AK22</f>
        <v/>
      </c>
      <c r="J21">
        <f>lc_detailed!AL22</f>
        <v/>
      </c>
      <c r="K21">
        <f>lc_detailed!AB22</f>
        <v/>
      </c>
    </row>
    <row r="22">
      <c r="B22">
        <f>lc_detailed!B23</f>
        <v/>
      </c>
      <c r="C22">
        <f>lc_detailed!AD23</f>
        <v/>
      </c>
      <c r="D22">
        <f>lc_detailed!AE23</f>
        <v/>
      </c>
      <c r="E22">
        <f>lc_detailed!AF23</f>
        <v/>
      </c>
      <c r="F22">
        <f>lc_detailed!AG23</f>
        <v/>
      </c>
      <c r="G22">
        <f>lc_detailed!AH23</f>
        <v/>
      </c>
      <c r="H22">
        <f>lc_detailed!AI23</f>
        <v/>
      </c>
      <c r="I22">
        <f>lc_detailed!AK23</f>
        <v/>
      </c>
      <c r="J22">
        <f>lc_detailed!AL23</f>
        <v/>
      </c>
      <c r="K22">
        <f>lc_detailed!AB23</f>
        <v/>
      </c>
    </row>
    <row r="23">
      <c r="B23">
        <f>lc_detailed!B24</f>
        <v/>
      </c>
      <c r="C23">
        <f>lc_detailed!AD24</f>
        <v/>
      </c>
      <c r="D23">
        <f>lc_detailed!AE24</f>
        <v/>
      </c>
      <c r="E23">
        <f>lc_detailed!AF24</f>
        <v/>
      </c>
      <c r="F23">
        <f>lc_detailed!AG24</f>
        <v/>
      </c>
      <c r="G23">
        <f>lc_detailed!AH24</f>
        <v/>
      </c>
      <c r="H23">
        <f>lc_detailed!AI24</f>
        <v/>
      </c>
      <c r="I23">
        <f>lc_detailed!AK24</f>
        <v/>
      </c>
      <c r="J23">
        <f>lc_detailed!AL24</f>
        <v/>
      </c>
      <c r="K23">
        <f>lc_detailed!AB24</f>
        <v/>
      </c>
    </row>
    <row r="24">
      <c r="B24">
        <f>lc_detailed!B25</f>
        <v/>
      </c>
      <c r="C24">
        <f>lc_detailed!AD25</f>
        <v/>
      </c>
      <c r="D24">
        <f>lc_detailed!AE25</f>
        <v/>
      </c>
      <c r="E24">
        <f>lc_detailed!AF25</f>
        <v/>
      </c>
      <c r="F24">
        <f>lc_detailed!AG25</f>
        <v/>
      </c>
      <c r="G24">
        <f>lc_detailed!AH25</f>
        <v/>
      </c>
      <c r="H24">
        <f>lc_detailed!AI25</f>
        <v/>
      </c>
      <c r="I24">
        <f>lc_detailed!AK25</f>
        <v/>
      </c>
      <c r="J24">
        <f>lc_detailed!AL25</f>
        <v/>
      </c>
      <c r="K24">
        <f>lc_detailed!AB25</f>
        <v/>
      </c>
    </row>
    <row r="25">
      <c r="B25">
        <f>lc_detailed!B26</f>
        <v/>
      </c>
      <c r="C25">
        <f>lc_detailed!AD26</f>
        <v/>
      </c>
      <c r="D25">
        <f>lc_detailed!AE26</f>
        <v/>
      </c>
      <c r="E25">
        <f>lc_detailed!AF26</f>
        <v/>
      </c>
      <c r="F25">
        <f>lc_detailed!AG26</f>
        <v/>
      </c>
      <c r="G25">
        <f>lc_detailed!AH26</f>
        <v/>
      </c>
      <c r="H25">
        <f>lc_detailed!AI26</f>
        <v/>
      </c>
      <c r="I25">
        <f>lc_detailed!AK26</f>
        <v/>
      </c>
      <c r="J25">
        <f>lc_detailed!AL26</f>
        <v/>
      </c>
      <c r="K25">
        <f>lc_detailed!AB26</f>
        <v/>
      </c>
    </row>
    <row r="26">
      <c r="B26">
        <f>lc_detailed!B27</f>
        <v/>
      </c>
      <c r="C26">
        <f>lc_detailed!AD27</f>
        <v/>
      </c>
      <c r="D26">
        <f>lc_detailed!AE27</f>
        <v/>
      </c>
      <c r="E26">
        <f>lc_detailed!AF27</f>
        <v/>
      </c>
      <c r="F26">
        <f>lc_detailed!AG27</f>
        <v/>
      </c>
      <c r="G26">
        <f>lc_detailed!AH27</f>
        <v/>
      </c>
      <c r="H26">
        <f>lc_detailed!AI27</f>
        <v/>
      </c>
      <c r="I26">
        <f>lc_detailed!AK27</f>
        <v/>
      </c>
      <c r="J26">
        <f>lc_detailed!AL27</f>
        <v/>
      </c>
      <c r="K26">
        <f>lc_detailed!AB27</f>
        <v/>
      </c>
    </row>
    <row r="27">
      <c r="B27">
        <f>lc_detailed!B28</f>
        <v/>
      </c>
      <c r="C27">
        <f>lc_detailed!AD28</f>
        <v/>
      </c>
      <c r="D27">
        <f>lc_detailed!AE28</f>
        <v/>
      </c>
      <c r="E27">
        <f>lc_detailed!AF28</f>
        <v/>
      </c>
      <c r="F27">
        <f>lc_detailed!AG28</f>
        <v/>
      </c>
      <c r="G27">
        <f>lc_detailed!AH28</f>
        <v/>
      </c>
      <c r="H27">
        <f>lc_detailed!AI28</f>
        <v/>
      </c>
      <c r="I27">
        <f>lc_detailed!AK28</f>
        <v/>
      </c>
      <c r="J27">
        <f>lc_detailed!AL28</f>
        <v/>
      </c>
      <c r="K27">
        <f>lc_detailed!AB28</f>
        <v/>
      </c>
    </row>
    <row r="28">
      <c r="B28">
        <f>lc_detailed!B29</f>
        <v/>
      </c>
      <c r="C28">
        <f>lc_detailed!AD29</f>
        <v/>
      </c>
      <c r="D28">
        <f>lc_detailed!AE29</f>
        <v/>
      </c>
      <c r="E28">
        <f>lc_detailed!AF29</f>
        <v/>
      </c>
      <c r="F28">
        <f>lc_detailed!AG29</f>
        <v/>
      </c>
      <c r="G28">
        <f>lc_detailed!AH29</f>
        <v/>
      </c>
      <c r="H28">
        <f>lc_detailed!AI29</f>
        <v/>
      </c>
      <c r="I28">
        <f>lc_detailed!AK29</f>
        <v/>
      </c>
      <c r="J28">
        <f>lc_detailed!AL29</f>
        <v/>
      </c>
      <c r="K28">
        <f>lc_detailed!AB29</f>
        <v/>
      </c>
    </row>
    <row r="29">
      <c r="B29">
        <f>lc_detailed!B30</f>
        <v/>
      </c>
      <c r="C29">
        <f>lc_detailed!AD30</f>
        <v/>
      </c>
      <c r="D29">
        <f>lc_detailed!AE30</f>
        <v/>
      </c>
      <c r="E29">
        <f>lc_detailed!AF30</f>
        <v/>
      </c>
      <c r="F29">
        <f>lc_detailed!AG30</f>
        <v/>
      </c>
      <c r="G29">
        <f>lc_detailed!AH30</f>
        <v/>
      </c>
      <c r="H29">
        <f>lc_detailed!AI30</f>
        <v/>
      </c>
      <c r="I29">
        <f>lc_detailed!AK30</f>
        <v/>
      </c>
      <c r="J29">
        <f>lc_detailed!AL30</f>
        <v/>
      </c>
      <c r="K29">
        <f>lc_detailed!AB30</f>
        <v/>
      </c>
    </row>
    <row r="30">
      <c r="B30">
        <f>lc_detailed!B31</f>
        <v/>
      </c>
      <c r="C30">
        <f>lc_detailed!AD31</f>
        <v/>
      </c>
      <c r="D30">
        <f>lc_detailed!AE31</f>
        <v/>
      </c>
      <c r="E30">
        <f>lc_detailed!AF31</f>
        <v/>
      </c>
      <c r="F30">
        <f>lc_detailed!AG31</f>
        <v/>
      </c>
      <c r="G30">
        <f>lc_detailed!AH31</f>
        <v/>
      </c>
      <c r="H30">
        <f>lc_detailed!AI31</f>
        <v/>
      </c>
      <c r="I30">
        <f>lc_detailed!AK31</f>
        <v/>
      </c>
      <c r="J30">
        <f>lc_detailed!AL31</f>
        <v/>
      </c>
      <c r="K30">
        <f>lc_detailed!AB31</f>
        <v/>
      </c>
    </row>
    <row r="31">
      <c r="B31">
        <f>lc_detailed!B32</f>
        <v/>
      </c>
      <c r="C31">
        <f>lc_detailed!AD32</f>
        <v/>
      </c>
      <c r="D31">
        <f>lc_detailed!AE32</f>
        <v/>
      </c>
      <c r="E31">
        <f>lc_detailed!AF32</f>
        <v/>
      </c>
      <c r="F31">
        <f>lc_detailed!AG32</f>
        <v/>
      </c>
      <c r="G31">
        <f>lc_detailed!AH32</f>
        <v/>
      </c>
      <c r="H31">
        <f>lc_detailed!AI32</f>
        <v/>
      </c>
      <c r="I31">
        <f>lc_detailed!AK32</f>
        <v/>
      </c>
      <c r="J31">
        <f>lc_detailed!AL32</f>
        <v/>
      </c>
      <c r="K31">
        <f>lc_detailed!AB32</f>
        <v/>
      </c>
    </row>
    <row r="32">
      <c r="B32">
        <f>lc_detailed!B33</f>
        <v/>
      </c>
      <c r="C32">
        <f>lc_detailed!AD33</f>
        <v/>
      </c>
      <c r="D32">
        <f>lc_detailed!AE33</f>
        <v/>
      </c>
      <c r="E32">
        <f>lc_detailed!AF33</f>
        <v/>
      </c>
      <c r="F32">
        <f>lc_detailed!AG33</f>
        <v/>
      </c>
      <c r="G32">
        <f>lc_detailed!AH33</f>
        <v/>
      </c>
      <c r="H32">
        <f>lc_detailed!AI33</f>
        <v/>
      </c>
      <c r="I32">
        <f>lc_detailed!AK33</f>
        <v/>
      </c>
      <c r="J32">
        <f>lc_detailed!AL33</f>
        <v/>
      </c>
      <c r="K32">
        <f>lc_detailed!AB33</f>
        <v/>
      </c>
    </row>
    <row r="33">
      <c r="B33">
        <f>lc_detailed!B34</f>
        <v/>
      </c>
      <c r="C33">
        <f>lc_detailed!AD34</f>
        <v/>
      </c>
      <c r="D33">
        <f>lc_detailed!AE34</f>
        <v/>
      </c>
      <c r="E33">
        <f>lc_detailed!AF34</f>
        <v/>
      </c>
      <c r="F33">
        <f>lc_detailed!AG34</f>
        <v/>
      </c>
      <c r="G33">
        <f>lc_detailed!AH34</f>
        <v/>
      </c>
      <c r="H33">
        <f>lc_detailed!AI34</f>
        <v/>
      </c>
      <c r="I33">
        <f>lc_detailed!AK34</f>
        <v/>
      </c>
      <c r="J33">
        <f>lc_detailed!AL34</f>
        <v/>
      </c>
      <c r="K33">
        <f>lc_detailed!AB34</f>
        <v/>
      </c>
    </row>
    <row r="34">
      <c r="B34">
        <f>lc_detailed!B35</f>
        <v/>
      </c>
      <c r="C34">
        <f>lc_detailed!AD35</f>
        <v/>
      </c>
      <c r="D34">
        <f>lc_detailed!AE35</f>
        <v/>
      </c>
      <c r="E34">
        <f>lc_detailed!AF35</f>
        <v/>
      </c>
      <c r="F34">
        <f>lc_detailed!AG35</f>
        <v/>
      </c>
      <c r="G34">
        <f>lc_detailed!AH35</f>
        <v/>
      </c>
      <c r="H34">
        <f>lc_detailed!AI35</f>
        <v/>
      </c>
      <c r="I34">
        <f>lc_detailed!AK35</f>
        <v/>
      </c>
      <c r="J34">
        <f>lc_detailed!AL35</f>
        <v/>
      </c>
      <c r="K34">
        <f>lc_detailed!AB35</f>
        <v/>
      </c>
    </row>
    <row r="35">
      <c r="B35">
        <f>lc_detailed!B36</f>
        <v/>
      </c>
      <c r="C35">
        <f>lc_detailed!AD36</f>
        <v/>
      </c>
      <c r="D35">
        <f>lc_detailed!AE36</f>
        <v/>
      </c>
      <c r="E35">
        <f>lc_detailed!AF36</f>
        <v/>
      </c>
      <c r="F35">
        <f>lc_detailed!AG36</f>
        <v/>
      </c>
      <c r="G35">
        <f>lc_detailed!AH36</f>
        <v/>
      </c>
      <c r="H35">
        <f>lc_detailed!AI36</f>
        <v/>
      </c>
      <c r="I35">
        <f>lc_detailed!AK36</f>
        <v/>
      </c>
      <c r="J35">
        <f>lc_detailed!AL36</f>
        <v/>
      </c>
      <c r="K35">
        <f>lc_detailed!AB36</f>
        <v/>
      </c>
    </row>
    <row r="36">
      <c r="B36">
        <f>lc_detailed!B37</f>
        <v/>
      </c>
      <c r="C36">
        <f>lc_detailed!AD37</f>
        <v/>
      </c>
      <c r="D36">
        <f>lc_detailed!AE37</f>
        <v/>
      </c>
      <c r="E36">
        <f>lc_detailed!AF37</f>
        <v/>
      </c>
      <c r="F36">
        <f>lc_detailed!AG37</f>
        <v/>
      </c>
      <c r="G36">
        <f>lc_detailed!AH37</f>
        <v/>
      </c>
      <c r="H36">
        <f>lc_detailed!AI37</f>
        <v/>
      </c>
      <c r="I36">
        <f>lc_detailed!AK37</f>
        <v/>
      </c>
      <c r="J36">
        <f>lc_detailed!AL37</f>
        <v/>
      </c>
      <c r="K36">
        <f>lc_detailed!AB37</f>
        <v/>
      </c>
    </row>
    <row r="37">
      <c r="B37">
        <f>lc_detailed!B38</f>
        <v/>
      </c>
      <c r="C37">
        <f>lc_detailed!AD38</f>
        <v/>
      </c>
      <c r="D37">
        <f>lc_detailed!AE38</f>
        <v/>
      </c>
      <c r="E37">
        <f>lc_detailed!AF38</f>
        <v/>
      </c>
      <c r="F37">
        <f>lc_detailed!AG38</f>
        <v/>
      </c>
      <c r="G37">
        <f>lc_detailed!AH38</f>
        <v/>
      </c>
      <c r="H37">
        <f>lc_detailed!AI38</f>
        <v/>
      </c>
      <c r="I37">
        <f>lc_detailed!AK38</f>
        <v/>
      </c>
      <c r="J37">
        <f>lc_detailed!AL38</f>
        <v/>
      </c>
      <c r="K37">
        <f>lc_detailed!AB38</f>
        <v/>
      </c>
    </row>
    <row r="38">
      <c r="B38">
        <f>lc_detailed!B39</f>
        <v/>
      </c>
      <c r="C38">
        <f>lc_detailed!AD39</f>
        <v/>
      </c>
      <c r="D38">
        <f>lc_detailed!AE39</f>
        <v/>
      </c>
      <c r="E38">
        <f>lc_detailed!AF39</f>
        <v/>
      </c>
      <c r="F38">
        <f>lc_detailed!AG39</f>
        <v/>
      </c>
      <c r="G38">
        <f>lc_detailed!AH39</f>
        <v/>
      </c>
      <c r="H38">
        <f>lc_detailed!AI39</f>
        <v/>
      </c>
      <c r="I38">
        <f>lc_detailed!AK39</f>
        <v/>
      </c>
      <c r="J38">
        <f>lc_detailed!AL39</f>
        <v/>
      </c>
      <c r="K38">
        <f>lc_detailed!AB39</f>
        <v/>
      </c>
    </row>
    <row r="39">
      <c r="B39">
        <f>lc_detailed!B40</f>
        <v/>
      </c>
      <c r="C39">
        <f>lc_detailed!AD40</f>
        <v/>
      </c>
      <c r="D39">
        <f>lc_detailed!AE40</f>
        <v/>
      </c>
      <c r="E39">
        <f>lc_detailed!AF40</f>
        <v/>
      </c>
      <c r="F39">
        <f>lc_detailed!AG40</f>
        <v/>
      </c>
      <c r="G39">
        <f>lc_detailed!AH40</f>
        <v/>
      </c>
      <c r="H39">
        <f>lc_detailed!AI40</f>
        <v/>
      </c>
      <c r="I39">
        <f>lc_detailed!AK40</f>
        <v/>
      </c>
      <c r="J39">
        <f>lc_detailed!AL40</f>
        <v/>
      </c>
      <c r="K39">
        <f>lc_detailed!AB40</f>
        <v/>
      </c>
    </row>
    <row r="40">
      <c r="B40">
        <f>lc_detailed!B41</f>
        <v/>
      </c>
      <c r="C40">
        <f>lc_detailed!AD41</f>
        <v/>
      </c>
      <c r="D40">
        <f>lc_detailed!AE41</f>
        <v/>
      </c>
      <c r="E40">
        <f>lc_detailed!AF41</f>
        <v/>
      </c>
      <c r="F40">
        <f>lc_detailed!AG41</f>
        <v/>
      </c>
      <c r="G40">
        <f>lc_detailed!AH41</f>
        <v/>
      </c>
      <c r="H40">
        <f>lc_detailed!AI41</f>
        <v/>
      </c>
      <c r="I40">
        <f>lc_detailed!AK41</f>
        <v/>
      </c>
      <c r="J40">
        <f>lc_detailed!AL41</f>
        <v/>
      </c>
      <c r="K40">
        <f>lc_detailed!AB41</f>
        <v/>
      </c>
    </row>
    <row r="41">
      <c r="B41">
        <f>lc_detailed!B42</f>
        <v/>
      </c>
      <c r="C41">
        <f>lc_detailed!AD42</f>
        <v/>
      </c>
      <c r="D41">
        <f>lc_detailed!AE42</f>
        <v/>
      </c>
      <c r="E41">
        <f>lc_detailed!AF42</f>
        <v/>
      </c>
      <c r="F41">
        <f>lc_detailed!AG42</f>
        <v/>
      </c>
      <c r="G41">
        <f>lc_detailed!AH42</f>
        <v/>
      </c>
      <c r="H41">
        <f>lc_detailed!AI42</f>
        <v/>
      </c>
      <c r="I41">
        <f>lc_detailed!AK42</f>
        <v/>
      </c>
      <c r="J41">
        <f>lc_detailed!AL42</f>
        <v/>
      </c>
      <c r="K41">
        <f>lc_detailed!AB42</f>
        <v/>
      </c>
    </row>
    <row r="42">
      <c r="B42">
        <f>lc_detailed!B43</f>
        <v/>
      </c>
      <c r="C42">
        <f>lc_detailed!AD43</f>
        <v/>
      </c>
      <c r="D42">
        <f>lc_detailed!AE43</f>
        <v/>
      </c>
      <c r="E42">
        <f>lc_detailed!AF43</f>
        <v/>
      </c>
      <c r="F42">
        <f>lc_detailed!AG43</f>
        <v/>
      </c>
      <c r="G42">
        <f>lc_detailed!AH43</f>
        <v/>
      </c>
      <c r="H42">
        <f>lc_detailed!AI43</f>
        <v/>
      </c>
      <c r="I42">
        <f>lc_detailed!AK43</f>
        <v/>
      </c>
      <c r="J42">
        <f>lc_detailed!AL43</f>
        <v/>
      </c>
      <c r="K42">
        <f>lc_detailed!AB43</f>
        <v/>
      </c>
    </row>
    <row r="43">
      <c r="B43">
        <f>lc_detailed!B44</f>
        <v/>
      </c>
      <c r="C43">
        <f>lc_detailed!AD44</f>
        <v/>
      </c>
      <c r="D43">
        <f>lc_detailed!AE44</f>
        <v/>
      </c>
      <c r="E43">
        <f>lc_detailed!AF44</f>
        <v/>
      </c>
      <c r="F43">
        <f>lc_detailed!AG44</f>
        <v/>
      </c>
      <c r="G43">
        <f>lc_detailed!AH44</f>
        <v/>
      </c>
      <c r="H43">
        <f>lc_detailed!AI44</f>
        <v/>
      </c>
      <c r="I43">
        <f>lc_detailed!AK44</f>
        <v/>
      </c>
      <c r="J43">
        <f>lc_detailed!AL44</f>
        <v/>
      </c>
      <c r="K43">
        <f>lc_detailed!AB44</f>
        <v/>
      </c>
    </row>
    <row r="44">
      <c r="B44">
        <f>lc_detailed!B45</f>
        <v/>
      </c>
      <c r="C44">
        <f>lc_detailed!AD45</f>
        <v/>
      </c>
      <c r="D44">
        <f>lc_detailed!AE45</f>
        <v/>
      </c>
      <c r="E44">
        <f>lc_detailed!AF45</f>
        <v/>
      </c>
      <c r="F44">
        <f>lc_detailed!AG45</f>
        <v/>
      </c>
      <c r="G44">
        <f>lc_detailed!AH45</f>
        <v/>
      </c>
      <c r="H44">
        <f>lc_detailed!AI45</f>
        <v/>
      </c>
      <c r="I44">
        <f>lc_detailed!AK45</f>
        <v/>
      </c>
      <c r="J44">
        <f>lc_detailed!AL45</f>
        <v/>
      </c>
      <c r="K44">
        <f>lc_detailed!AB45</f>
        <v/>
      </c>
    </row>
    <row r="45">
      <c r="B45">
        <f>lc_detailed!B46</f>
        <v/>
      </c>
      <c r="C45">
        <f>lc_detailed!AD46</f>
        <v/>
      </c>
      <c r="D45">
        <f>lc_detailed!AE46</f>
        <v/>
      </c>
      <c r="E45">
        <f>lc_detailed!AF46</f>
        <v/>
      </c>
      <c r="F45">
        <f>lc_detailed!AG46</f>
        <v/>
      </c>
      <c r="G45">
        <f>lc_detailed!AH46</f>
        <v/>
      </c>
      <c r="H45">
        <f>lc_detailed!AI46</f>
        <v/>
      </c>
      <c r="I45">
        <f>lc_detailed!AK46</f>
        <v/>
      </c>
      <c r="J45">
        <f>lc_detailed!AL46</f>
        <v/>
      </c>
      <c r="K45">
        <f>lc_detailed!AB46</f>
        <v/>
      </c>
    </row>
    <row r="46">
      <c r="B46">
        <f>lc_detailed!B47</f>
        <v/>
      </c>
      <c r="C46">
        <f>lc_detailed!AD47</f>
        <v/>
      </c>
      <c r="D46">
        <f>lc_detailed!AE47</f>
        <v/>
      </c>
      <c r="E46">
        <f>lc_detailed!AF47</f>
        <v/>
      </c>
      <c r="F46">
        <f>lc_detailed!AG47</f>
        <v/>
      </c>
      <c r="G46">
        <f>lc_detailed!AH47</f>
        <v/>
      </c>
      <c r="H46">
        <f>lc_detailed!AI47</f>
        <v/>
      </c>
      <c r="I46">
        <f>lc_detailed!AK47</f>
        <v/>
      </c>
      <c r="J46">
        <f>lc_detailed!AL47</f>
        <v/>
      </c>
      <c r="K46">
        <f>lc_detailed!AB47</f>
        <v/>
      </c>
    </row>
    <row r="47">
      <c r="B47">
        <f>lc_detailed!B48</f>
        <v/>
      </c>
      <c r="C47">
        <f>lc_detailed!AD48</f>
        <v/>
      </c>
      <c r="D47">
        <f>lc_detailed!AE48</f>
        <v/>
      </c>
      <c r="E47">
        <f>lc_detailed!AF48</f>
        <v/>
      </c>
      <c r="F47">
        <f>lc_detailed!AG48</f>
        <v/>
      </c>
      <c r="G47">
        <f>lc_detailed!AH48</f>
        <v/>
      </c>
      <c r="H47">
        <f>lc_detailed!AI48</f>
        <v/>
      </c>
      <c r="I47">
        <f>lc_detailed!AK48</f>
        <v/>
      </c>
      <c r="J47">
        <f>lc_detailed!AL48</f>
        <v/>
      </c>
      <c r="K47">
        <f>lc_detailed!AB48</f>
        <v/>
      </c>
    </row>
    <row r="48">
      <c r="B48">
        <f>lc_detailed!B49</f>
        <v/>
      </c>
      <c r="C48">
        <f>lc_detailed!AD49</f>
        <v/>
      </c>
      <c r="D48">
        <f>lc_detailed!AE49</f>
        <v/>
      </c>
      <c r="E48">
        <f>lc_detailed!AF49</f>
        <v/>
      </c>
      <c r="F48">
        <f>lc_detailed!AG49</f>
        <v/>
      </c>
      <c r="G48">
        <f>lc_detailed!AH49</f>
        <v/>
      </c>
      <c r="H48">
        <f>lc_detailed!AI49</f>
        <v/>
      </c>
      <c r="I48">
        <f>lc_detailed!AK49</f>
        <v/>
      </c>
      <c r="J48">
        <f>lc_detailed!AL49</f>
        <v/>
      </c>
      <c r="K48">
        <f>lc_detailed!AB49</f>
        <v/>
      </c>
    </row>
    <row r="49">
      <c r="B49">
        <f>lc_detailed!B50</f>
        <v/>
      </c>
      <c r="C49">
        <f>lc_detailed!AD50</f>
        <v/>
      </c>
      <c r="D49">
        <f>lc_detailed!AE50</f>
        <v/>
      </c>
      <c r="E49">
        <f>lc_detailed!AF50</f>
        <v/>
      </c>
      <c r="F49">
        <f>lc_detailed!AG50</f>
        <v/>
      </c>
      <c r="G49">
        <f>lc_detailed!AH50</f>
        <v/>
      </c>
      <c r="H49">
        <f>lc_detailed!AI50</f>
        <v/>
      </c>
      <c r="I49">
        <f>lc_detailed!AK50</f>
        <v/>
      </c>
      <c r="J49">
        <f>lc_detailed!AL50</f>
        <v/>
      </c>
      <c r="K49">
        <f>lc_detailed!AB50</f>
        <v/>
      </c>
    </row>
    <row r="50">
      <c r="B50">
        <f>lc_detailed!B51</f>
        <v/>
      </c>
      <c r="C50">
        <f>lc_detailed!AD51</f>
        <v/>
      </c>
      <c r="D50">
        <f>lc_detailed!AE51</f>
        <v/>
      </c>
      <c r="E50">
        <f>lc_detailed!AF51</f>
        <v/>
      </c>
      <c r="F50">
        <f>lc_detailed!AG51</f>
        <v/>
      </c>
      <c r="G50">
        <f>lc_detailed!AH51</f>
        <v/>
      </c>
      <c r="H50">
        <f>lc_detailed!AI51</f>
        <v/>
      </c>
      <c r="I50">
        <f>lc_detailed!AK51</f>
        <v/>
      </c>
      <c r="J50">
        <f>lc_detailed!AL51</f>
        <v/>
      </c>
      <c r="K50">
        <f>lc_detailed!AB51</f>
        <v/>
      </c>
    </row>
    <row r="51">
      <c r="B51">
        <f>lc_detailed!B52</f>
        <v/>
      </c>
      <c r="C51">
        <f>lc_detailed!AD52</f>
        <v/>
      </c>
      <c r="D51">
        <f>lc_detailed!AE52</f>
        <v/>
      </c>
      <c r="E51">
        <f>lc_detailed!AF52</f>
        <v/>
      </c>
      <c r="F51">
        <f>lc_detailed!AG52</f>
        <v/>
      </c>
      <c r="G51">
        <f>lc_detailed!AH52</f>
        <v/>
      </c>
      <c r="H51">
        <f>lc_detailed!AI52</f>
        <v/>
      </c>
      <c r="I51">
        <f>lc_detailed!AK52</f>
        <v/>
      </c>
      <c r="J51">
        <f>lc_detailed!AL52</f>
        <v/>
      </c>
      <c r="K51">
        <f>lc_detailed!AB52</f>
        <v/>
      </c>
    </row>
    <row r="52">
      <c r="B52">
        <f>lc_detailed!B53</f>
        <v/>
      </c>
      <c r="C52">
        <f>lc_detailed!AD53</f>
        <v/>
      </c>
      <c r="D52">
        <f>lc_detailed!AE53</f>
        <v/>
      </c>
      <c r="E52">
        <f>lc_detailed!AF53</f>
        <v/>
      </c>
      <c r="F52">
        <f>lc_detailed!AG53</f>
        <v/>
      </c>
      <c r="G52">
        <f>lc_detailed!AH53</f>
        <v/>
      </c>
      <c r="H52">
        <f>lc_detailed!AI53</f>
        <v/>
      </c>
      <c r="I52">
        <f>lc_detailed!AK53</f>
        <v/>
      </c>
      <c r="J52">
        <f>lc_detailed!AL53</f>
        <v/>
      </c>
      <c r="K52">
        <f>lc_detailed!AB53</f>
        <v/>
      </c>
    </row>
    <row r="53">
      <c r="B53">
        <f>lc_detailed!B54</f>
        <v/>
      </c>
      <c r="C53">
        <f>lc_detailed!AD54</f>
        <v/>
      </c>
      <c r="D53">
        <f>lc_detailed!AE54</f>
        <v/>
      </c>
      <c r="E53">
        <f>lc_detailed!AF54</f>
        <v/>
      </c>
      <c r="F53">
        <f>lc_detailed!AG54</f>
        <v/>
      </c>
      <c r="G53">
        <f>lc_detailed!AH54</f>
        <v/>
      </c>
      <c r="H53">
        <f>lc_detailed!AI54</f>
        <v/>
      </c>
      <c r="I53">
        <f>lc_detailed!AK54</f>
        <v/>
      </c>
      <c r="J53">
        <f>lc_detailed!AL54</f>
        <v/>
      </c>
      <c r="K53">
        <f>lc_detailed!AB54</f>
        <v/>
      </c>
    </row>
    <row r="54">
      <c r="B54">
        <f>lc_detailed!B55</f>
        <v/>
      </c>
      <c r="C54">
        <f>lc_detailed!AD55</f>
        <v/>
      </c>
      <c r="D54">
        <f>lc_detailed!AE55</f>
        <v/>
      </c>
      <c r="E54">
        <f>lc_detailed!AF55</f>
        <v/>
      </c>
      <c r="F54">
        <f>lc_detailed!AG55</f>
        <v/>
      </c>
      <c r="G54">
        <f>lc_detailed!AH55</f>
        <v/>
      </c>
      <c r="H54">
        <f>lc_detailed!AI55</f>
        <v/>
      </c>
      <c r="I54">
        <f>lc_detailed!AK55</f>
        <v/>
      </c>
      <c r="J54">
        <f>lc_detailed!AL55</f>
        <v/>
      </c>
      <c r="K54">
        <f>lc_detailed!AB55</f>
        <v/>
      </c>
    </row>
    <row r="55">
      <c r="B55">
        <f>lc_detailed!B56</f>
        <v/>
      </c>
      <c r="C55">
        <f>lc_detailed!AD56</f>
        <v/>
      </c>
      <c r="D55">
        <f>lc_detailed!AE56</f>
        <v/>
      </c>
      <c r="E55">
        <f>lc_detailed!AF56</f>
        <v/>
      </c>
      <c r="F55">
        <f>lc_detailed!AG56</f>
        <v/>
      </c>
      <c r="G55">
        <f>lc_detailed!AH56</f>
        <v/>
      </c>
      <c r="H55">
        <f>lc_detailed!AI56</f>
        <v/>
      </c>
      <c r="I55">
        <f>lc_detailed!AK56</f>
        <v/>
      </c>
      <c r="J55">
        <f>lc_detailed!AL56</f>
        <v/>
      </c>
      <c r="K55">
        <f>lc_detailed!AB56</f>
        <v/>
      </c>
    </row>
    <row r="56">
      <c r="B56">
        <f>lc_detailed!B57</f>
        <v/>
      </c>
      <c r="C56">
        <f>lc_detailed!AD57</f>
        <v/>
      </c>
      <c r="D56">
        <f>lc_detailed!AE57</f>
        <v/>
      </c>
      <c r="E56">
        <f>lc_detailed!AF57</f>
        <v/>
      </c>
      <c r="F56">
        <f>lc_detailed!AG57</f>
        <v/>
      </c>
      <c r="G56">
        <f>lc_detailed!AH57</f>
        <v/>
      </c>
      <c r="H56">
        <f>lc_detailed!AI57</f>
        <v/>
      </c>
      <c r="I56">
        <f>lc_detailed!AK57</f>
        <v/>
      </c>
      <c r="J56">
        <f>lc_detailed!AL57</f>
        <v/>
      </c>
      <c r="K56">
        <f>lc_detailed!AB57</f>
        <v/>
      </c>
    </row>
    <row r="57">
      <c r="B57">
        <f>lc_detailed!B58</f>
        <v/>
      </c>
      <c r="C57">
        <f>lc_detailed!AD58</f>
        <v/>
      </c>
      <c r="D57">
        <f>lc_detailed!AE58</f>
        <v/>
      </c>
      <c r="E57">
        <f>lc_detailed!AF58</f>
        <v/>
      </c>
      <c r="F57">
        <f>lc_detailed!AG58</f>
        <v/>
      </c>
      <c r="G57">
        <f>lc_detailed!AH58</f>
        <v/>
      </c>
      <c r="H57">
        <f>lc_detailed!AI58</f>
        <v/>
      </c>
      <c r="I57">
        <f>lc_detailed!AK58</f>
        <v/>
      </c>
      <c r="J57">
        <f>lc_detailed!AL58</f>
        <v/>
      </c>
      <c r="K57">
        <f>lc_detailed!AB58</f>
        <v/>
      </c>
    </row>
    <row r="58">
      <c r="B58">
        <f>lc_detailed!B59</f>
        <v/>
      </c>
      <c r="C58">
        <f>lc_detailed!AD59</f>
        <v/>
      </c>
      <c r="D58">
        <f>lc_detailed!AE59</f>
        <v/>
      </c>
      <c r="E58">
        <f>lc_detailed!AF59</f>
        <v/>
      </c>
      <c r="F58">
        <f>lc_detailed!AG59</f>
        <v/>
      </c>
      <c r="G58">
        <f>lc_detailed!AH59</f>
        <v/>
      </c>
      <c r="H58">
        <f>lc_detailed!AI59</f>
        <v/>
      </c>
      <c r="I58">
        <f>lc_detailed!AK59</f>
        <v/>
      </c>
      <c r="J58">
        <f>lc_detailed!AL59</f>
        <v/>
      </c>
      <c r="K58">
        <f>lc_detailed!AB59</f>
        <v/>
      </c>
    </row>
    <row r="59">
      <c r="B59">
        <f>lc_detailed!B60</f>
        <v/>
      </c>
      <c r="C59">
        <f>lc_detailed!AD60</f>
        <v/>
      </c>
      <c r="D59">
        <f>lc_detailed!AE60</f>
        <v/>
      </c>
      <c r="E59">
        <f>lc_detailed!AF60</f>
        <v/>
      </c>
      <c r="F59">
        <f>lc_detailed!AG60</f>
        <v/>
      </c>
      <c r="G59">
        <f>lc_detailed!AH60</f>
        <v/>
      </c>
      <c r="H59">
        <f>lc_detailed!AI60</f>
        <v/>
      </c>
      <c r="I59">
        <f>lc_detailed!AK60</f>
        <v/>
      </c>
      <c r="J59">
        <f>lc_detailed!AL60</f>
        <v/>
      </c>
      <c r="K59">
        <f>lc_detailed!AB60</f>
        <v/>
      </c>
    </row>
    <row r="60">
      <c r="B60">
        <f>lc_detailed!B61</f>
        <v/>
      </c>
      <c r="C60">
        <f>lc_detailed!AD61</f>
        <v/>
      </c>
      <c r="D60">
        <f>lc_detailed!AE61</f>
        <v/>
      </c>
      <c r="E60">
        <f>lc_detailed!AF61</f>
        <v/>
      </c>
      <c r="F60">
        <f>lc_detailed!AG61</f>
        <v/>
      </c>
      <c r="G60">
        <f>lc_detailed!AH61</f>
        <v/>
      </c>
      <c r="H60">
        <f>lc_detailed!AI61</f>
        <v/>
      </c>
      <c r="I60">
        <f>lc_detailed!AK61</f>
        <v/>
      </c>
      <c r="J60">
        <f>lc_detailed!AL61</f>
        <v/>
      </c>
      <c r="K60">
        <f>lc_detailed!AB61</f>
        <v/>
      </c>
    </row>
    <row r="61">
      <c r="B61">
        <f>lc_detailed!B62</f>
        <v/>
      </c>
      <c r="C61">
        <f>lc_detailed!AD62</f>
        <v/>
      </c>
      <c r="D61">
        <f>lc_detailed!AE62</f>
        <v/>
      </c>
      <c r="E61">
        <f>lc_detailed!AF62</f>
        <v/>
      </c>
      <c r="F61">
        <f>lc_detailed!AG62</f>
        <v/>
      </c>
      <c r="G61">
        <f>lc_detailed!AH62</f>
        <v/>
      </c>
      <c r="H61">
        <f>lc_detailed!AI62</f>
        <v/>
      </c>
      <c r="I61">
        <f>lc_detailed!AK62</f>
        <v/>
      </c>
      <c r="J61">
        <f>lc_detailed!AL62</f>
        <v/>
      </c>
      <c r="K61">
        <f>lc_detailed!AB62</f>
        <v/>
      </c>
    </row>
    <row r="62">
      <c r="B62">
        <f>lc_detailed!B63</f>
        <v/>
      </c>
      <c r="C62">
        <f>lc_detailed!AD63</f>
        <v/>
      </c>
      <c r="D62">
        <f>lc_detailed!AE63</f>
        <v/>
      </c>
      <c r="E62">
        <f>lc_detailed!AF63</f>
        <v/>
      </c>
      <c r="F62">
        <f>lc_detailed!AG63</f>
        <v/>
      </c>
      <c r="G62">
        <f>lc_detailed!AH63</f>
        <v/>
      </c>
      <c r="H62">
        <f>lc_detailed!AI63</f>
        <v/>
      </c>
      <c r="I62">
        <f>lc_detailed!AK63</f>
        <v/>
      </c>
      <c r="J62">
        <f>lc_detailed!AL63</f>
        <v/>
      </c>
      <c r="K62">
        <f>lc_detailed!AB63</f>
        <v/>
      </c>
    </row>
    <row r="63">
      <c r="B63">
        <f>lc_detailed!B64</f>
        <v/>
      </c>
      <c r="C63">
        <f>lc_detailed!AD64</f>
        <v/>
      </c>
      <c r="D63">
        <f>lc_detailed!AE64</f>
        <v/>
      </c>
      <c r="E63">
        <f>lc_detailed!AF64</f>
        <v/>
      </c>
      <c r="F63">
        <f>lc_detailed!AG64</f>
        <v/>
      </c>
      <c r="G63">
        <f>lc_detailed!AH64</f>
        <v/>
      </c>
      <c r="H63">
        <f>lc_detailed!AI64</f>
        <v/>
      </c>
      <c r="I63">
        <f>lc_detailed!AK64</f>
        <v/>
      </c>
      <c r="J63">
        <f>lc_detailed!AL64</f>
        <v/>
      </c>
      <c r="K63">
        <f>lc_detailed!AB64</f>
        <v/>
      </c>
    </row>
    <row r="64">
      <c r="B64">
        <f>lc_detailed!B65</f>
        <v/>
      </c>
      <c r="C64">
        <f>lc_detailed!AD65</f>
        <v/>
      </c>
      <c r="D64">
        <f>lc_detailed!AE65</f>
        <v/>
      </c>
      <c r="E64">
        <f>lc_detailed!AF65</f>
        <v/>
      </c>
      <c r="F64">
        <f>lc_detailed!AG65</f>
        <v/>
      </c>
      <c r="G64">
        <f>lc_detailed!AH65</f>
        <v/>
      </c>
      <c r="H64">
        <f>lc_detailed!AI65</f>
        <v/>
      </c>
      <c r="I64">
        <f>lc_detailed!AK65</f>
        <v/>
      </c>
      <c r="J64">
        <f>lc_detailed!AL65</f>
        <v/>
      </c>
      <c r="K64">
        <f>lc_detailed!AB65</f>
        <v/>
      </c>
    </row>
    <row r="65">
      <c r="B65">
        <f>lc_detailed!B66</f>
        <v/>
      </c>
      <c r="C65">
        <f>lc_detailed!AD66</f>
        <v/>
      </c>
      <c r="D65">
        <f>lc_detailed!AE66</f>
        <v/>
      </c>
      <c r="E65">
        <f>lc_detailed!AF66</f>
        <v/>
      </c>
      <c r="F65">
        <f>lc_detailed!AG66</f>
        <v/>
      </c>
      <c r="G65">
        <f>lc_detailed!AH66</f>
        <v/>
      </c>
      <c r="H65">
        <f>lc_detailed!AI66</f>
        <v/>
      </c>
      <c r="I65">
        <f>lc_detailed!AK66</f>
        <v/>
      </c>
      <c r="J65">
        <f>lc_detailed!AL66</f>
        <v/>
      </c>
      <c r="K65">
        <f>lc_detailed!AB66</f>
        <v/>
      </c>
    </row>
    <row r="66">
      <c r="B66">
        <f>lc_detailed!B67</f>
        <v/>
      </c>
      <c r="C66">
        <f>lc_detailed!AD67</f>
        <v/>
      </c>
      <c r="D66">
        <f>lc_detailed!AE67</f>
        <v/>
      </c>
      <c r="E66">
        <f>lc_detailed!AF67</f>
        <v/>
      </c>
      <c r="F66">
        <f>lc_detailed!AG67</f>
        <v/>
      </c>
      <c r="G66">
        <f>lc_detailed!AH67</f>
        <v/>
      </c>
      <c r="H66">
        <f>lc_detailed!AI67</f>
        <v/>
      </c>
      <c r="I66">
        <f>lc_detailed!AK67</f>
        <v/>
      </c>
      <c r="J66">
        <f>lc_detailed!AL67</f>
        <v/>
      </c>
      <c r="K66">
        <f>lc_detailed!AB67</f>
        <v/>
      </c>
    </row>
    <row r="67">
      <c r="B67">
        <f>lc_detailed!B68</f>
        <v/>
      </c>
      <c r="C67">
        <f>lc_detailed!AD68</f>
        <v/>
      </c>
      <c r="D67">
        <f>lc_detailed!AE68</f>
        <v/>
      </c>
      <c r="E67">
        <f>lc_detailed!AF68</f>
        <v/>
      </c>
      <c r="F67">
        <f>lc_detailed!AG68</f>
        <v/>
      </c>
      <c r="G67">
        <f>lc_detailed!AH68</f>
        <v/>
      </c>
      <c r="H67">
        <f>lc_detailed!AI68</f>
        <v/>
      </c>
      <c r="I67">
        <f>lc_detailed!AK68</f>
        <v/>
      </c>
      <c r="J67">
        <f>lc_detailed!AL68</f>
        <v/>
      </c>
      <c r="K67">
        <f>lc_detailed!AB68</f>
        <v/>
      </c>
    </row>
    <row r="68">
      <c r="B68">
        <f>lc_detailed!B69</f>
        <v/>
      </c>
      <c r="C68">
        <f>lc_detailed!AD69</f>
        <v/>
      </c>
      <c r="D68">
        <f>lc_detailed!AE69</f>
        <v/>
      </c>
      <c r="E68">
        <f>lc_detailed!AF69</f>
        <v/>
      </c>
      <c r="F68">
        <f>lc_detailed!AG69</f>
        <v/>
      </c>
      <c r="G68">
        <f>lc_detailed!AH69</f>
        <v/>
      </c>
      <c r="H68">
        <f>lc_detailed!AI69</f>
        <v/>
      </c>
      <c r="I68">
        <f>lc_detailed!AK69</f>
        <v/>
      </c>
      <c r="J68">
        <f>lc_detailed!AL69</f>
        <v/>
      </c>
      <c r="K68">
        <f>lc_detailed!AB69</f>
        <v/>
      </c>
    </row>
    <row r="69">
      <c r="B69">
        <f>lc_detailed!B70</f>
        <v/>
      </c>
      <c r="C69">
        <f>lc_detailed!AD70</f>
        <v/>
      </c>
      <c r="D69">
        <f>lc_detailed!AE70</f>
        <v/>
      </c>
      <c r="E69">
        <f>lc_detailed!AF70</f>
        <v/>
      </c>
      <c r="F69">
        <f>lc_detailed!AG70</f>
        <v/>
      </c>
      <c r="G69">
        <f>lc_detailed!AH70</f>
        <v/>
      </c>
      <c r="H69">
        <f>lc_detailed!AI70</f>
        <v/>
      </c>
      <c r="I69">
        <f>lc_detailed!AK70</f>
        <v/>
      </c>
      <c r="J69">
        <f>lc_detailed!AL70</f>
        <v/>
      </c>
      <c r="K69">
        <f>lc_detailed!AB70</f>
        <v/>
      </c>
    </row>
    <row r="70">
      <c r="B70">
        <f>lc_detailed!B71</f>
        <v/>
      </c>
      <c r="C70">
        <f>lc_detailed!AD71</f>
        <v/>
      </c>
      <c r="D70">
        <f>lc_detailed!AE71</f>
        <v/>
      </c>
      <c r="E70">
        <f>lc_detailed!AF71</f>
        <v/>
      </c>
      <c r="F70">
        <f>lc_detailed!AG71</f>
        <v/>
      </c>
      <c r="G70">
        <f>lc_detailed!AH71</f>
        <v/>
      </c>
      <c r="H70">
        <f>lc_detailed!AI71</f>
        <v/>
      </c>
      <c r="I70">
        <f>lc_detailed!AK71</f>
        <v/>
      </c>
      <c r="J70">
        <f>lc_detailed!AL71</f>
        <v/>
      </c>
      <c r="K70">
        <f>lc_detailed!AB71</f>
        <v/>
      </c>
    </row>
    <row r="71">
      <c r="B71">
        <f>lc_detailed!B72</f>
        <v/>
      </c>
      <c r="C71">
        <f>lc_detailed!AD72</f>
        <v/>
      </c>
      <c r="D71">
        <f>lc_detailed!AE72</f>
        <v/>
      </c>
      <c r="E71">
        <f>lc_detailed!AF72</f>
        <v/>
      </c>
      <c r="F71">
        <f>lc_detailed!AG72</f>
        <v/>
      </c>
      <c r="G71">
        <f>lc_detailed!AH72</f>
        <v/>
      </c>
      <c r="H71">
        <f>lc_detailed!AI72</f>
        <v/>
      </c>
      <c r="I71">
        <f>lc_detailed!AK72</f>
        <v/>
      </c>
      <c r="J71">
        <f>lc_detailed!AL72</f>
        <v/>
      </c>
      <c r="K71">
        <f>lc_detailed!AB72</f>
        <v/>
      </c>
    </row>
    <row r="72">
      <c r="B72">
        <f>lc_detailed!B73</f>
        <v/>
      </c>
      <c r="C72">
        <f>lc_detailed!AD73</f>
        <v/>
      </c>
      <c r="D72">
        <f>lc_detailed!AE73</f>
        <v/>
      </c>
      <c r="E72">
        <f>lc_detailed!AF73</f>
        <v/>
      </c>
      <c r="F72">
        <f>lc_detailed!AG73</f>
        <v/>
      </c>
      <c r="G72">
        <f>lc_detailed!AH73</f>
        <v/>
      </c>
      <c r="H72">
        <f>lc_detailed!AI73</f>
        <v/>
      </c>
      <c r="I72">
        <f>lc_detailed!AK73</f>
        <v/>
      </c>
      <c r="J72">
        <f>lc_detailed!AL73</f>
        <v/>
      </c>
      <c r="K72">
        <f>lc_detailed!AB73</f>
        <v/>
      </c>
    </row>
    <row r="73">
      <c r="B73">
        <f>lc_detailed!B74</f>
        <v/>
      </c>
      <c r="C73">
        <f>lc_detailed!AD74</f>
        <v/>
      </c>
      <c r="D73">
        <f>lc_detailed!AE74</f>
        <v/>
      </c>
      <c r="E73">
        <f>lc_detailed!AF74</f>
        <v/>
      </c>
      <c r="F73">
        <f>lc_detailed!AG74</f>
        <v/>
      </c>
      <c r="G73">
        <f>lc_detailed!AH74</f>
        <v/>
      </c>
      <c r="H73">
        <f>lc_detailed!AI74</f>
        <v/>
      </c>
      <c r="I73">
        <f>lc_detailed!AK74</f>
        <v/>
      </c>
      <c r="J73">
        <f>lc_detailed!AL74</f>
        <v/>
      </c>
      <c r="K73">
        <f>lc_detailed!AB74</f>
        <v/>
      </c>
    </row>
    <row r="74">
      <c r="B74">
        <f>lc_detailed!B75</f>
        <v/>
      </c>
      <c r="C74">
        <f>lc_detailed!AD75</f>
        <v/>
      </c>
      <c r="D74">
        <f>lc_detailed!AE75</f>
        <v/>
      </c>
      <c r="E74">
        <f>lc_detailed!AF75</f>
        <v/>
      </c>
      <c r="F74">
        <f>lc_detailed!AG75</f>
        <v/>
      </c>
      <c r="G74">
        <f>lc_detailed!AH75</f>
        <v/>
      </c>
      <c r="H74">
        <f>lc_detailed!AI75</f>
        <v/>
      </c>
      <c r="I74">
        <f>lc_detailed!AK75</f>
        <v/>
      </c>
      <c r="J74">
        <f>lc_detailed!AL75</f>
        <v/>
      </c>
      <c r="K74">
        <f>lc_detailed!AB75</f>
        <v/>
      </c>
    </row>
    <row r="75">
      <c r="B75">
        <f>lc_detailed!B76</f>
        <v/>
      </c>
      <c r="C75">
        <f>lc_detailed!AD76</f>
        <v/>
      </c>
      <c r="D75">
        <f>lc_detailed!AE76</f>
        <v/>
      </c>
      <c r="E75">
        <f>lc_detailed!AF76</f>
        <v/>
      </c>
      <c r="F75">
        <f>lc_detailed!AG76</f>
        <v/>
      </c>
      <c r="G75">
        <f>lc_detailed!AH76</f>
        <v/>
      </c>
      <c r="H75">
        <f>lc_detailed!AI76</f>
        <v/>
      </c>
      <c r="I75">
        <f>lc_detailed!AK76</f>
        <v/>
      </c>
      <c r="J75">
        <f>lc_detailed!AL76</f>
        <v/>
      </c>
      <c r="K75">
        <f>lc_detailed!AB76</f>
        <v/>
      </c>
    </row>
    <row r="76">
      <c r="B76">
        <f>lc_detailed!B77</f>
        <v/>
      </c>
      <c r="C76">
        <f>lc_detailed!AD77</f>
        <v/>
      </c>
      <c r="D76">
        <f>lc_detailed!AE77</f>
        <v/>
      </c>
      <c r="E76">
        <f>lc_detailed!AF77</f>
        <v/>
      </c>
      <c r="F76">
        <f>lc_detailed!AG77</f>
        <v/>
      </c>
      <c r="G76">
        <f>lc_detailed!AH77</f>
        <v/>
      </c>
      <c r="H76">
        <f>lc_detailed!AI77</f>
        <v/>
      </c>
      <c r="I76">
        <f>lc_detailed!AK77</f>
        <v/>
      </c>
      <c r="J76">
        <f>lc_detailed!AL77</f>
        <v/>
      </c>
      <c r="K76">
        <f>lc_detailed!AB77</f>
        <v/>
      </c>
    </row>
    <row r="77">
      <c r="B77">
        <f>lc_detailed!B78</f>
        <v/>
      </c>
      <c r="C77">
        <f>lc_detailed!AD78</f>
        <v/>
      </c>
      <c r="D77">
        <f>lc_detailed!AE78</f>
        <v/>
      </c>
      <c r="E77">
        <f>lc_detailed!AF78</f>
        <v/>
      </c>
      <c r="F77">
        <f>lc_detailed!AG78</f>
        <v/>
      </c>
      <c r="G77">
        <f>lc_detailed!AH78</f>
        <v/>
      </c>
      <c r="H77">
        <f>lc_detailed!AI78</f>
        <v/>
      </c>
      <c r="I77">
        <f>lc_detailed!AK78</f>
        <v/>
      </c>
      <c r="J77">
        <f>lc_detailed!AL78</f>
        <v/>
      </c>
      <c r="K77">
        <f>lc_detailed!AB78</f>
        <v/>
      </c>
    </row>
    <row r="78">
      <c r="B78">
        <f>lc_detailed!B79</f>
        <v/>
      </c>
      <c r="C78">
        <f>lc_detailed!AD79</f>
        <v/>
      </c>
      <c r="D78">
        <f>lc_detailed!AE79</f>
        <v/>
      </c>
      <c r="E78">
        <f>lc_detailed!AF79</f>
        <v/>
      </c>
      <c r="F78">
        <f>lc_detailed!AG79</f>
        <v/>
      </c>
      <c r="G78">
        <f>lc_detailed!AH79</f>
        <v/>
      </c>
      <c r="H78">
        <f>lc_detailed!AI79</f>
        <v/>
      </c>
      <c r="I78">
        <f>lc_detailed!AK79</f>
        <v/>
      </c>
      <c r="J78">
        <f>lc_detailed!AL79</f>
        <v/>
      </c>
      <c r="K78">
        <f>lc_detailed!AB79</f>
        <v/>
      </c>
    </row>
    <row r="79">
      <c r="B79">
        <f>lc_detailed!B80</f>
        <v/>
      </c>
      <c r="C79">
        <f>lc_detailed!AD80</f>
        <v/>
      </c>
      <c r="D79">
        <f>lc_detailed!AE80</f>
        <v/>
      </c>
      <c r="E79">
        <f>lc_detailed!AF80</f>
        <v/>
      </c>
      <c r="F79">
        <f>lc_detailed!AG80</f>
        <v/>
      </c>
      <c r="G79">
        <f>lc_detailed!AH80</f>
        <v/>
      </c>
      <c r="H79">
        <f>lc_detailed!AI80</f>
        <v/>
      </c>
      <c r="I79">
        <f>lc_detailed!AK80</f>
        <v/>
      </c>
      <c r="J79">
        <f>lc_detailed!AL80</f>
        <v/>
      </c>
      <c r="K79">
        <f>lc_detailed!AB80</f>
        <v/>
      </c>
    </row>
    <row r="80">
      <c r="B80">
        <f>lc_detailed!B81</f>
        <v/>
      </c>
      <c r="C80">
        <f>lc_detailed!AD81</f>
        <v/>
      </c>
      <c r="D80">
        <f>lc_detailed!AE81</f>
        <v/>
      </c>
      <c r="E80">
        <f>lc_detailed!AF81</f>
        <v/>
      </c>
      <c r="F80">
        <f>lc_detailed!AG81</f>
        <v/>
      </c>
      <c r="G80">
        <f>lc_detailed!AH81</f>
        <v/>
      </c>
      <c r="H80">
        <f>lc_detailed!AI81</f>
        <v/>
      </c>
      <c r="I80">
        <f>lc_detailed!AK81</f>
        <v/>
      </c>
      <c r="J80">
        <f>lc_detailed!AL81</f>
        <v/>
      </c>
      <c r="K80">
        <f>lc_detailed!AB81</f>
        <v/>
      </c>
    </row>
    <row r="81">
      <c r="B81">
        <f>lc_detailed!B82</f>
        <v/>
      </c>
      <c r="C81">
        <f>lc_detailed!AD82</f>
        <v/>
      </c>
      <c r="D81">
        <f>lc_detailed!AE82</f>
        <v/>
      </c>
      <c r="E81">
        <f>lc_detailed!AF82</f>
        <v/>
      </c>
      <c r="F81">
        <f>lc_detailed!AG82</f>
        <v/>
      </c>
      <c r="G81">
        <f>lc_detailed!AH82</f>
        <v/>
      </c>
      <c r="H81">
        <f>lc_detailed!AI82</f>
        <v/>
      </c>
      <c r="I81">
        <f>lc_detailed!AK82</f>
        <v/>
      </c>
      <c r="J81">
        <f>lc_detailed!AL82</f>
        <v/>
      </c>
      <c r="K81">
        <f>lc_detailed!AB82</f>
        <v/>
      </c>
    </row>
    <row r="82">
      <c r="B82">
        <f>lc_detailed!B83</f>
        <v/>
      </c>
      <c r="C82">
        <f>lc_detailed!AD83</f>
        <v/>
      </c>
      <c r="D82">
        <f>lc_detailed!AE83</f>
        <v/>
      </c>
      <c r="E82">
        <f>lc_detailed!AF83</f>
        <v/>
      </c>
      <c r="F82">
        <f>lc_detailed!AG83</f>
        <v/>
      </c>
      <c r="G82">
        <f>lc_detailed!AH83</f>
        <v/>
      </c>
      <c r="H82">
        <f>lc_detailed!AI83</f>
        <v/>
      </c>
      <c r="I82">
        <f>lc_detailed!AK83</f>
        <v/>
      </c>
      <c r="J82">
        <f>lc_detailed!AL83</f>
        <v/>
      </c>
      <c r="K82">
        <f>lc_detailed!AB83</f>
        <v/>
      </c>
    </row>
    <row r="83">
      <c r="B83">
        <f>lc_detailed!B84</f>
        <v/>
      </c>
      <c r="C83">
        <f>lc_detailed!AD84</f>
        <v/>
      </c>
      <c r="D83">
        <f>lc_detailed!AE84</f>
        <v/>
      </c>
      <c r="E83">
        <f>lc_detailed!AF84</f>
        <v/>
      </c>
      <c r="F83">
        <f>lc_detailed!AG84</f>
        <v/>
      </c>
      <c r="G83">
        <f>lc_detailed!AH84</f>
        <v/>
      </c>
      <c r="H83">
        <f>lc_detailed!AI84</f>
        <v/>
      </c>
      <c r="I83">
        <f>lc_detailed!AK84</f>
        <v/>
      </c>
      <c r="J83">
        <f>lc_detailed!AL84</f>
        <v/>
      </c>
      <c r="K83">
        <f>lc_detailed!AB84</f>
        <v/>
      </c>
    </row>
    <row r="84">
      <c r="B84">
        <f>lc_detailed!B85</f>
        <v/>
      </c>
      <c r="C84">
        <f>lc_detailed!AD85</f>
        <v/>
      </c>
      <c r="D84">
        <f>lc_detailed!AE85</f>
        <v/>
      </c>
      <c r="E84">
        <f>lc_detailed!AF85</f>
        <v/>
      </c>
      <c r="F84">
        <f>lc_detailed!AG85</f>
        <v/>
      </c>
      <c r="G84">
        <f>lc_detailed!AH85</f>
        <v/>
      </c>
      <c r="H84">
        <f>lc_detailed!AI85</f>
        <v/>
      </c>
      <c r="I84">
        <f>lc_detailed!AK85</f>
        <v/>
      </c>
      <c r="J84">
        <f>lc_detailed!AL85</f>
        <v/>
      </c>
      <c r="K84">
        <f>lc_detailed!AB85</f>
        <v/>
      </c>
    </row>
    <row r="85">
      <c r="B85">
        <f>lc_detailed!B86</f>
        <v/>
      </c>
      <c r="C85">
        <f>lc_detailed!AD86</f>
        <v/>
      </c>
      <c r="D85">
        <f>lc_detailed!AE86</f>
        <v/>
      </c>
      <c r="E85">
        <f>lc_detailed!AF86</f>
        <v/>
      </c>
      <c r="F85">
        <f>lc_detailed!AG86</f>
        <v/>
      </c>
      <c r="G85">
        <f>lc_detailed!AH86</f>
        <v/>
      </c>
      <c r="H85">
        <f>lc_detailed!AI86</f>
        <v/>
      </c>
      <c r="I85">
        <f>lc_detailed!AK86</f>
        <v/>
      </c>
      <c r="J85">
        <f>lc_detailed!AL86</f>
        <v/>
      </c>
      <c r="K85">
        <f>lc_detailed!AB86</f>
        <v/>
      </c>
    </row>
    <row r="86">
      <c r="B86">
        <f>lc_detailed!B87</f>
        <v/>
      </c>
      <c r="C86">
        <f>lc_detailed!AD87</f>
        <v/>
      </c>
      <c r="D86">
        <f>lc_detailed!AE87</f>
        <v/>
      </c>
      <c r="E86">
        <f>lc_detailed!AF87</f>
        <v/>
      </c>
      <c r="F86">
        <f>lc_detailed!AG87</f>
        <v/>
      </c>
      <c r="G86">
        <f>lc_detailed!AH87</f>
        <v/>
      </c>
      <c r="H86">
        <f>lc_detailed!AI87</f>
        <v/>
      </c>
      <c r="I86">
        <f>lc_detailed!AK87</f>
        <v/>
      </c>
      <c r="J86">
        <f>lc_detailed!AL87</f>
        <v/>
      </c>
      <c r="K86">
        <f>lc_detailed!AB87</f>
        <v/>
      </c>
    </row>
    <row r="87">
      <c r="B87">
        <f>lc_detailed!B88</f>
        <v/>
      </c>
      <c r="C87">
        <f>lc_detailed!AD88</f>
        <v/>
      </c>
      <c r="D87">
        <f>lc_detailed!AE88</f>
        <v/>
      </c>
      <c r="E87">
        <f>lc_detailed!AF88</f>
        <v/>
      </c>
      <c r="F87">
        <f>lc_detailed!AG88</f>
        <v/>
      </c>
      <c r="G87">
        <f>lc_detailed!AH88</f>
        <v/>
      </c>
      <c r="H87">
        <f>lc_detailed!AI88</f>
        <v/>
      </c>
      <c r="I87">
        <f>lc_detailed!AK88</f>
        <v/>
      </c>
      <c r="J87">
        <f>lc_detailed!AL88</f>
        <v/>
      </c>
      <c r="K87">
        <f>lc_detailed!AB88</f>
        <v/>
      </c>
    </row>
    <row r="88">
      <c r="B88">
        <f>lc_detailed!B89</f>
        <v/>
      </c>
      <c r="C88">
        <f>lc_detailed!AD89</f>
        <v/>
      </c>
      <c r="D88">
        <f>lc_detailed!AE89</f>
        <v/>
      </c>
      <c r="E88">
        <f>lc_detailed!AF89</f>
        <v/>
      </c>
      <c r="F88">
        <f>lc_detailed!AG89</f>
        <v/>
      </c>
      <c r="G88">
        <f>lc_detailed!AH89</f>
        <v/>
      </c>
      <c r="H88">
        <f>lc_detailed!AI89</f>
        <v/>
      </c>
      <c r="I88">
        <f>lc_detailed!AK89</f>
        <v/>
      </c>
      <c r="J88">
        <f>lc_detailed!AL89</f>
        <v/>
      </c>
      <c r="K88">
        <f>lc_detailed!AB89</f>
        <v/>
      </c>
    </row>
    <row r="89">
      <c r="B89">
        <f>lc_detailed!B90</f>
        <v/>
      </c>
      <c r="C89">
        <f>lc_detailed!AD90</f>
        <v/>
      </c>
      <c r="D89">
        <f>lc_detailed!AE90</f>
        <v/>
      </c>
      <c r="E89">
        <f>lc_detailed!AF90</f>
        <v/>
      </c>
      <c r="F89">
        <f>lc_detailed!AG90</f>
        <v/>
      </c>
      <c r="G89">
        <f>lc_detailed!AH90</f>
        <v/>
      </c>
      <c r="H89">
        <f>lc_detailed!AI90</f>
        <v/>
      </c>
      <c r="I89">
        <f>lc_detailed!AK90</f>
        <v/>
      </c>
      <c r="J89">
        <f>lc_detailed!AL90</f>
        <v/>
      </c>
      <c r="K89">
        <f>lc_detailed!AB90</f>
        <v/>
      </c>
    </row>
    <row r="90">
      <c r="B90">
        <f>lc_detailed!B91</f>
        <v/>
      </c>
      <c r="C90">
        <f>lc_detailed!AD91</f>
        <v/>
      </c>
      <c r="D90">
        <f>lc_detailed!AE91</f>
        <v/>
      </c>
      <c r="E90">
        <f>lc_detailed!AF91</f>
        <v/>
      </c>
      <c r="F90">
        <f>lc_detailed!AG91</f>
        <v/>
      </c>
      <c r="G90">
        <f>lc_detailed!AH91</f>
        <v/>
      </c>
      <c r="H90">
        <f>lc_detailed!AI91</f>
        <v/>
      </c>
      <c r="I90">
        <f>lc_detailed!AK91</f>
        <v/>
      </c>
      <c r="J90">
        <f>lc_detailed!AL91</f>
        <v/>
      </c>
      <c r="K90">
        <f>lc_detailed!AB91</f>
        <v/>
      </c>
    </row>
    <row r="91">
      <c r="B91">
        <f>lc_detailed!B92</f>
        <v/>
      </c>
      <c r="C91">
        <f>lc_detailed!AD92</f>
        <v/>
      </c>
      <c r="D91">
        <f>lc_detailed!AE92</f>
        <v/>
      </c>
      <c r="E91">
        <f>lc_detailed!AF92</f>
        <v/>
      </c>
      <c r="F91">
        <f>lc_detailed!AG92</f>
        <v/>
      </c>
      <c r="G91">
        <f>lc_detailed!AH92</f>
        <v/>
      </c>
      <c r="H91">
        <f>lc_detailed!AI92</f>
        <v/>
      </c>
      <c r="I91">
        <f>lc_detailed!AK92</f>
        <v/>
      </c>
      <c r="J91">
        <f>lc_detailed!AL92</f>
        <v/>
      </c>
      <c r="K91">
        <f>lc_detailed!AB92</f>
        <v/>
      </c>
    </row>
    <row r="92">
      <c r="B92">
        <f>lc_detailed!B93</f>
        <v/>
      </c>
      <c r="C92">
        <f>lc_detailed!AD93</f>
        <v/>
      </c>
      <c r="D92">
        <f>lc_detailed!AE93</f>
        <v/>
      </c>
      <c r="E92">
        <f>lc_detailed!AF93</f>
        <v/>
      </c>
      <c r="F92">
        <f>lc_detailed!AG93</f>
        <v/>
      </c>
      <c r="G92">
        <f>lc_detailed!AH93</f>
        <v/>
      </c>
      <c r="H92">
        <f>lc_detailed!AI93</f>
        <v/>
      </c>
      <c r="I92">
        <f>lc_detailed!AK93</f>
        <v/>
      </c>
      <c r="J92">
        <f>lc_detailed!AL93</f>
        <v/>
      </c>
      <c r="K92">
        <f>lc_detailed!AB93</f>
        <v/>
      </c>
    </row>
    <row r="93">
      <c r="B93">
        <f>lc_detailed!B94</f>
        <v/>
      </c>
      <c r="C93">
        <f>lc_detailed!AD94</f>
        <v/>
      </c>
      <c r="D93">
        <f>lc_detailed!AE94</f>
        <v/>
      </c>
      <c r="E93">
        <f>lc_detailed!AF94</f>
        <v/>
      </c>
      <c r="F93">
        <f>lc_detailed!AG94</f>
        <v/>
      </c>
      <c r="G93">
        <f>lc_detailed!AH94</f>
        <v/>
      </c>
      <c r="H93">
        <f>lc_detailed!AI94</f>
        <v/>
      </c>
      <c r="I93">
        <f>lc_detailed!AK94</f>
        <v/>
      </c>
      <c r="J93">
        <f>lc_detailed!AL94</f>
        <v/>
      </c>
      <c r="K93">
        <f>lc_detailed!AB94</f>
        <v/>
      </c>
    </row>
    <row r="94">
      <c r="B94">
        <f>lc_detailed!B95</f>
        <v/>
      </c>
      <c r="C94">
        <f>lc_detailed!AD95</f>
        <v/>
      </c>
      <c r="D94">
        <f>lc_detailed!AE95</f>
        <v/>
      </c>
      <c r="E94">
        <f>lc_detailed!AF95</f>
        <v/>
      </c>
      <c r="F94">
        <f>lc_detailed!AG95</f>
        <v/>
      </c>
      <c r="G94">
        <f>lc_detailed!AH95</f>
        <v/>
      </c>
      <c r="H94">
        <f>lc_detailed!AI95</f>
        <v/>
      </c>
      <c r="I94">
        <f>lc_detailed!AK95</f>
        <v/>
      </c>
      <c r="J94">
        <f>lc_detailed!AL95</f>
        <v/>
      </c>
      <c r="K94">
        <f>lc_detailed!AB95</f>
        <v/>
      </c>
    </row>
    <row r="95">
      <c r="B95">
        <f>lc_detailed!B96</f>
        <v/>
      </c>
      <c r="C95">
        <f>lc_detailed!AD96</f>
        <v/>
      </c>
      <c r="D95">
        <f>lc_detailed!AE96</f>
        <v/>
      </c>
      <c r="E95">
        <f>lc_detailed!AF96</f>
        <v/>
      </c>
      <c r="F95">
        <f>lc_detailed!AG96</f>
        <v/>
      </c>
      <c r="G95">
        <f>lc_detailed!AH96</f>
        <v/>
      </c>
      <c r="H95">
        <f>lc_detailed!AI96</f>
        <v/>
      </c>
      <c r="I95">
        <f>lc_detailed!AK96</f>
        <v/>
      </c>
      <c r="J95">
        <f>lc_detailed!AL96</f>
        <v/>
      </c>
      <c r="K95">
        <f>lc_detailed!AB96</f>
        <v/>
      </c>
    </row>
    <row r="96">
      <c r="B96">
        <f>lc_detailed!B97</f>
        <v/>
      </c>
      <c r="C96">
        <f>lc_detailed!AD97</f>
        <v/>
      </c>
      <c r="D96">
        <f>lc_detailed!AE97</f>
        <v/>
      </c>
      <c r="E96">
        <f>lc_detailed!AF97</f>
        <v/>
      </c>
      <c r="F96">
        <f>lc_detailed!AG97</f>
        <v/>
      </c>
      <c r="G96">
        <f>lc_detailed!AH97</f>
        <v/>
      </c>
      <c r="H96">
        <f>lc_detailed!AI97</f>
        <v/>
      </c>
      <c r="I96">
        <f>lc_detailed!AK97</f>
        <v/>
      </c>
      <c r="J96">
        <f>lc_detailed!AL97</f>
        <v/>
      </c>
      <c r="K96">
        <f>lc_detailed!AB97</f>
        <v/>
      </c>
    </row>
    <row r="97">
      <c r="B97">
        <f>lc_detailed!B98</f>
        <v/>
      </c>
      <c r="C97">
        <f>lc_detailed!AD98</f>
        <v/>
      </c>
      <c r="D97">
        <f>lc_detailed!AE98</f>
        <v/>
      </c>
      <c r="E97">
        <f>lc_detailed!AF98</f>
        <v/>
      </c>
      <c r="F97">
        <f>lc_detailed!AG98</f>
        <v/>
      </c>
      <c r="G97">
        <f>lc_detailed!AH98</f>
        <v/>
      </c>
      <c r="H97">
        <f>lc_detailed!AI98</f>
        <v/>
      </c>
      <c r="I97">
        <f>lc_detailed!AK98</f>
        <v/>
      </c>
      <c r="J97">
        <f>lc_detailed!AL98</f>
        <v/>
      </c>
      <c r="K97">
        <f>lc_detailed!AB98</f>
        <v/>
      </c>
    </row>
    <row r="98">
      <c r="B98">
        <f>lc_detailed!B99</f>
        <v/>
      </c>
      <c r="C98">
        <f>lc_detailed!AD99</f>
        <v/>
      </c>
      <c r="D98">
        <f>lc_detailed!AE99</f>
        <v/>
      </c>
      <c r="E98">
        <f>lc_detailed!AF99</f>
        <v/>
      </c>
      <c r="F98">
        <f>lc_detailed!AG99</f>
        <v/>
      </c>
      <c r="G98">
        <f>lc_detailed!AH99</f>
        <v/>
      </c>
      <c r="H98">
        <f>lc_detailed!AI99</f>
        <v/>
      </c>
      <c r="I98">
        <f>lc_detailed!AK99</f>
        <v/>
      </c>
      <c r="J98">
        <f>lc_detailed!AL99</f>
        <v/>
      </c>
      <c r="K98">
        <f>lc_detailed!AB99</f>
        <v/>
      </c>
    </row>
    <row r="99">
      <c r="B99">
        <f>lc_detailed!B100</f>
        <v/>
      </c>
      <c r="C99">
        <f>lc_detailed!AD100</f>
        <v/>
      </c>
      <c r="D99">
        <f>lc_detailed!AE100</f>
        <v/>
      </c>
      <c r="E99">
        <f>lc_detailed!AF100</f>
        <v/>
      </c>
      <c r="F99">
        <f>lc_detailed!AG100</f>
        <v/>
      </c>
      <c r="G99">
        <f>lc_detailed!AH100</f>
        <v/>
      </c>
      <c r="H99">
        <f>lc_detailed!AI100</f>
        <v/>
      </c>
      <c r="I99">
        <f>lc_detailed!AK100</f>
        <v/>
      </c>
      <c r="J99">
        <f>lc_detailed!AL100</f>
        <v/>
      </c>
      <c r="K99">
        <f>lc_detailed!AB100</f>
        <v/>
      </c>
    </row>
    <row r="100">
      <c r="B100">
        <f>lc_detailed!B101</f>
        <v/>
      </c>
      <c r="C100">
        <f>lc_detailed!AD101</f>
        <v/>
      </c>
      <c r="D100">
        <f>lc_detailed!AE101</f>
        <v/>
      </c>
      <c r="E100">
        <f>lc_detailed!AF101</f>
        <v/>
      </c>
      <c r="F100">
        <f>lc_detailed!AG101</f>
        <v/>
      </c>
      <c r="G100">
        <f>lc_detailed!AH101</f>
        <v/>
      </c>
      <c r="H100">
        <f>lc_detailed!AI101</f>
        <v/>
      </c>
      <c r="I100">
        <f>lc_detailed!AK101</f>
        <v/>
      </c>
      <c r="J100">
        <f>lc_detailed!AL101</f>
        <v/>
      </c>
      <c r="K100">
        <f>lc_detailed!AB101</f>
        <v/>
      </c>
    </row>
    <row r="101">
      <c r="B101">
        <f>lc_detailed!B102</f>
        <v/>
      </c>
      <c r="C101">
        <f>lc_detailed!AD102</f>
        <v/>
      </c>
      <c r="D101">
        <f>lc_detailed!AE102</f>
        <v/>
      </c>
      <c r="E101">
        <f>lc_detailed!AF102</f>
        <v/>
      </c>
      <c r="F101">
        <f>lc_detailed!AG102</f>
        <v/>
      </c>
      <c r="G101">
        <f>lc_detailed!AH102</f>
        <v/>
      </c>
      <c r="H101">
        <f>lc_detailed!AI102</f>
        <v/>
      </c>
      <c r="I101">
        <f>lc_detailed!AK102</f>
        <v/>
      </c>
      <c r="J101">
        <f>lc_detailed!AL102</f>
        <v/>
      </c>
      <c r="K101">
        <f>lc_detailed!AB102</f>
        <v/>
      </c>
    </row>
    <row r="102">
      <c r="B102">
        <f>lc_detailed!B103</f>
        <v/>
      </c>
      <c r="C102">
        <f>lc_detailed!AD103</f>
        <v/>
      </c>
      <c r="D102">
        <f>lc_detailed!AE103</f>
        <v/>
      </c>
      <c r="E102">
        <f>lc_detailed!AF103</f>
        <v/>
      </c>
      <c r="F102">
        <f>lc_detailed!AG103</f>
        <v/>
      </c>
      <c r="G102">
        <f>lc_detailed!AH103</f>
        <v/>
      </c>
      <c r="H102">
        <f>lc_detailed!AI103</f>
        <v/>
      </c>
      <c r="I102">
        <f>lc_detailed!AK103</f>
        <v/>
      </c>
      <c r="J102">
        <f>lc_detailed!AL103</f>
        <v/>
      </c>
      <c r="K102">
        <f>lc_detailed!AB103</f>
        <v/>
      </c>
    </row>
    <row r="103">
      <c r="B103">
        <f>lc_detailed!B104</f>
        <v/>
      </c>
      <c r="C103">
        <f>lc_detailed!AD104</f>
        <v/>
      </c>
      <c r="D103">
        <f>lc_detailed!AE104</f>
        <v/>
      </c>
      <c r="E103">
        <f>lc_detailed!AF104</f>
        <v/>
      </c>
      <c r="F103">
        <f>lc_detailed!AG104</f>
        <v/>
      </c>
      <c r="G103">
        <f>lc_detailed!AH104</f>
        <v/>
      </c>
      <c r="H103">
        <f>lc_detailed!AI104</f>
        <v/>
      </c>
      <c r="I103">
        <f>lc_detailed!AK104</f>
        <v/>
      </c>
      <c r="J103">
        <f>lc_detailed!AL104</f>
        <v/>
      </c>
      <c r="K103">
        <f>lc_detailed!AB104</f>
        <v/>
      </c>
    </row>
    <row r="104">
      <c r="B104">
        <f>lc_detailed!B105</f>
        <v/>
      </c>
      <c r="C104">
        <f>lc_detailed!AD105</f>
        <v/>
      </c>
      <c r="D104">
        <f>lc_detailed!AE105</f>
        <v/>
      </c>
      <c r="E104">
        <f>lc_detailed!AF105</f>
        <v/>
      </c>
      <c r="F104">
        <f>lc_detailed!AG105</f>
        <v/>
      </c>
      <c r="G104">
        <f>lc_detailed!AH105</f>
        <v/>
      </c>
      <c r="H104">
        <f>lc_detailed!AI105</f>
        <v/>
      </c>
      <c r="I104">
        <f>lc_detailed!AK105</f>
        <v/>
      </c>
      <c r="J104">
        <f>lc_detailed!AL105</f>
        <v/>
      </c>
      <c r="K104">
        <f>lc_detailed!AB105</f>
        <v/>
      </c>
    </row>
    <row r="105">
      <c r="B105">
        <f>lc_detailed!B106</f>
        <v/>
      </c>
      <c r="C105">
        <f>lc_detailed!AD106</f>
        <v/>
      </c>
      <c r="D105">
        <f>lc_detailed!AE106</f>
        <v/>
      </c>
      <c r="E105">
        <f>lc_detailed!AF106</f>
        <v/>
      </c>
      <c r="F105">
        <f>lc_detailed!AG106</f>
        <v/>
      </c>
      <c r="G105">
        <f>lc_detailed!AH106</f>
        <v/>
      </c>
      <c r="H105">
        <f>lc_detailed!AI106</f>
        <v/>
      </c>
      <c r="I105">
        <f>lc_detailed!AK106</f>
        <v/>
      </c>
      <c r="J105">
        <f>lc_detailed!AL106</f>
        <v/>
      </c>
      <c r="K105">
        <f>lc_detailed!AB106</f>
        <v/>
      </c>
    </row>
    <row r="106">
      <c r="B106">
        <f>lc_detailed!B107</f>
        <v/>
      </c>
      <c r="C106">
        <f>lc_detailed!AD107</f>
        <v/>
      </c>
      <c r="D106">
        <f>lc_detailed!AE107</f>
        <v/>
      </c>
      <c r="E106">
        <f>lc_detailed!AF107</f>
        <v/>
      </c>
      <c r="F106">
        <f>lc_detailed!AG107</f>
        <v/>
      </c>
      <c r="G106">
        <f>lc_detailed!AH107</f>
        <v/>
      </c>
      <c r="H106">
        <f>lc_detailed!AI107</f>
        <v/>
      </c>
      <c r="I106">
        <f>lc_detailed!AK107</f>
        <v/>
      </c>
      <c r="J106">
        <f>lc_detailed!AL107</f>
        <v/>
      </c>
      <c r="K106">
        <f>lc_detailed!AB107</f>
        <v/>
      </c>
    </row>
    <row r="107">
      <c r="B107">
        <f>lc_detailed!B108</f>
        <v/>
      </c>
      <c r="C107">
        <f>lc_detailed!AD108</f>
        <v/>
      </c>
      <c r="D107">
        <f>lc_detailed!AE108</f>
        <v/>
      </c>
      <c r="E107">
        <f>lc_detailed!AF108</f>
        <v/>
      </c>
      <c r="F107">
        <f>lc_detailed!AG108</f>
        <v/>
      </c>
      <c r="G107">
        <f>lc_detailed!AH108</f>
        <v/>
      </c>
      <c r="H107">
        <f>lc_detailed!AI108</f>
        <v/>
      </c>
      <c r="I107">
        <f>lc_detailed!AK108</f>
        <v/>
      </c>
      <c r="J107">
        <f>lc_detailed!AL108</f>
        <v/>
      </c>
      <c r="K107">
        <f>lc_detailed!AB108</f>
        <v/>
      </c>
    </row>
    <row r="108">
      <c r="B108">
        <f>lc_detailed!B109</f>
        <v/>
      </c>
      <c r="C108">
        <f>lc_detailed!AD109</f>
        <v/>
      </c>
      <c r="D108">
        <f>lc_detailed!AE109</f>
        <v/>
      </c>
      <c r="E108">
        <f>lc_detailed!AF109</f>
        <v/>
      </c>
      <c r="F108">
        <f>lc_detailed!AG109</f>
        <v/>
      </c>
      <c r="G108">
        <f>lc_detailed!AH109</f>
        <v/>
      </c>
      <c r="H108">
        <f>lc_detailed!AI109</f>
        <v/>
      </c>
      <c r="I108">
        <f>lc_detailed!AK109</f>
        <v/>
      </c>
      <c r="J108">
        <f>lc_detailed!AL109</f>
        <v/>
      </c>
      <c r="K108">
        <f>lc_detailed!AB109</f>
        <v/>
      </c>
    </row>
    <row r="109">
      <c r="B109">
        <f>lc_detailed!B110</f>
        <v/>
      </c>
      <c r="C109">
        <f>lc_detailed!AD110</f>
        <v/>
      </c>
      <c r="D109">
        <f>lc_detailed!AE110</f>
        <v/>
      </c>
      <c r="E109">
        <f>lc_detailed!AF110</f>
        <v/>
      </c>
      <c r="F109">
        <f>lc_detailed!AG110</f>
        <v/>
      </c>
      <c r="G109">
        <f>lc_detailed!AH110</f>
        <v/>
      </c>
      <c r="H109">
        <f>lc_detailed!AI110</f>
        <v/>
      </c>
      <c r="I109">
        <f>lc_detailed!AK110</f>
        <v/>
      </c>
      <c r="J109">
        <f>lc_detailed!AL110</f>
        <v/>
      </c>
      <c r="K109">
        <f>lc_detailed!AB110</f>
        <v/>
      </c>
    </row>
    <row r="110">
      <c r="B110">
        <f>lc_detailed!B111</f>
        <v/>
      </c>
      <c r="C110">
        <f>lc_detailed!AD111</f>
        <v/>
      </c>
      <c r="D110">
        <f>lc_detailed!AE111</f>
        <v/>
      </c>
      <c r="E110">
        <f>lc_detailed!AF111</f>
        <v/>
      </c>
      <c r="F110">
        <f>lc_detailed!AG111</f>
        <v/>
      </c>
      <c r="G110">
        <f>lc_detailed!AH111</f>
        <v/>
      </c>
      <c r="H110">
        <f>lc_detailed!AI111</f>
        <v/>
      </c>
      <c r="I110">
        <f>lc_detailed!AK111</f>
        <v/>
      </c>
      <c r="J110">
        <f>lc_detailed!AL111</f>
        <v/>
      </c>
      <c r="K110">
        <f>lc_detailed!AB111</f>
        <v/>
      </c>
    </row>
    <row r="111">
      <c r="B111">
        <f>lc_detailed!B112</f>
        <v/>
      </c>
      <c r="C111">
        <f>lc_detailed!AD112</f>
        <v/>
      </c>
      <c r="D111">
        <f>lc_detailed!AE112</f>
        <v/>
      </c>
      <c r="E111">
        <f>lc_detailed!AF112</f>
        <v/>
      </c>
      <c r="F111">
        <f>lc_detailed!AG112</f>
        <v/>
      </c>
      <c r="G111">
        <f>lc_detailed!AH112</f>
        <v/>
      </c>
      <c r="H111">
        <f>lc_detailed!AI112</f>
        <v/>
      </c>
      <c r="I111">
        <f>lc_detailed!AK112</f>
        <v/>
      </c>
      <c r="J111">
        <f>lc_detailed!AL112</f>
        <v/>
      </c>
      <c r="K111">
        <f>lc_detailed!AB112</f>
        <v/>
      </c>
    </row>
    <row r="112">
      <c r="B112">
        <f>lc_detailed!B113</f>
        <v/>
      </c>
      <c r="C112">
        <f>lc_detailed!AD113</f>
        <v/>
      </c>
      <c r="D112">
        <f>lc_detailed!AE113</f>
        <v/>
      </c>
      <c r="E112">
        <f>lc_detailed!AF113</f>
        <v/>
      </c>
      <c r="F112">
        <f>lc_detailed!AG113</f>
        <v/>
      </c>
      <c r="G112">
        <f>lc_detailed!AH113</f>
        <v/>
      </c>
      <c r="H112">
        <f>lc_detailed!AI113</f>
        <v/>
      </c>
      <c r="I112">
        <f>lc_detailed!AK113</f>
        <v/>
      </c>
      <c r="J112">
        <f>lc_detailed!AL113</f>
        <v/>
      </c>
      <c r="K112">
        <f>lc_detailed!AB113</f>
        <v/>
      </c>
    </row>
    <row r="113">
      <c r="B113">
        <f>lc_detailed!B114</f>
        <v/>
      </c>
      <c r="C113">
        <f>lc_detailed!AD114</f>
        <v/>
      </c>
      <c r="D113">
        <f>lc_detailed!AE114</f>
        <v/>
      </c>
      <c r="E113">
        <f>lc_detailed!AF114</f>
        <v/>
      </c>
      <c r="F113">
        <f>lc_detailed!AG114</f>
        <v/>
      </c>
      <c r="G113">
        <f>lc_detailed!AH114</f>
        <v/>
      </c>
      <c r="H113">
        <f>lc_detailed!AI114</f>
        <v/>
      </c>
      <c r="I113">
        <f>lc_detailed!AK114</f>
        <v/>
      </c>
      <c r="J113">
        <f>lc_detailed!AL114</f>
        <v/>
      </c>
      <c r="K113">
        <f>lc_detailed!AB114</f>
        <v/>
      </c>
    </row>
    <row r="114">
      <c r="B114">
        <f>lc_detailed!B115</f>
        <v/>
      </c>
      <c r="C114">
        <f>lc_detailed!AD115</f>
        <v/>
      </c>
      <c r="D114">
        <f>lc_detailed!AE115</f>
        <v/>
      </c>
      <c r="E114">
        <f>lc_detailed!AF115</f>
        <v/>
      </c>
      <c r="F114">
        <f>lc_detailed!AG115</f>
        <v/>
      </c>
      <c r="G114">
        <f>lc_detailed!AH115</f>
        <v/>
      </c>
      <c r="H114">
        <f>lc_detailed!AI115</f>
        <v/>
      </c>
      <c r="I114">
        <f>lc_detailed!AK115</f>
        <v/>
      </c>
      <c r="J114">
        <f>lc_detailed!AL115</f>
        <v/>
      </c>
      <c r="K114">
        <f>lc_detailed!AB115</f>
        <v/>
      </c>
    </row>
    <row r="115">
      <c r="B115">
        <f>lc_detailed!B116</f>
        <v/>
      </c>
      <c r="C115">
        <f>lc_detailed!AD116</f>
        <v/>
      </c>
      <c r="D115">
        <f>lc_detailed!AE116</f>
        <v/>
      </c>
      <c r="E115">
        <f>lc_detailed!AF116</f>
        <v/>
      </c>
      <c r="F115">
        <f>lc_detailed!AG116</f>
        <v/>
      </c>
      <c r="G115">
        <f>lc_detailed!AH116</f>
        <v/>
      </c>
      <c r="H115">
        <f>lc_detailed!AI116</f>
        <v/>
      </c>
      <c r="I115">
        <f>lc_detailed!AK116</f>
        <v/>
      </c>
      <c r="J115">
        <f>lc_detailed!AL116</f>
        <v/>
      </c>
      <c r="K115">
        <f>lc_detailed!AB116</f>
        <v/>
      </c>
    </row>
    <row r="116">
      <c r="B116">
        <f>lc_detailed!B117</f>
        <v/>
      </c>
      <c r="C116">
        <f>lc_detailed!AD117</f>
        <v/>
      </c>
      <c r="D116">
        <f>lc_detailed!AE117</f>
        <v/>
      </c>
      <c r="E116">
        <f>lc_detailed!AF117</f>
        <v/>
      </c>
      <c r="F116">
        <f>lc_detailed!AG117</f>
        <v/>
      </c>
      <c r="G116">
        <f>lc_detailed!AH117</f>
        <v/>
      </c>
      <c r="H116">
        <f>lc_detailed!AI117</f>
        <v/>
      </c>
      <c r="I116">
        <f>lc_detailed!AK117</f>
        <v/>
      </c>
      <c r="J116">
        <f>lc_detailed!AL117</f>
        <v/>
      </c>
      <c r="K116">
        <f>lc_detailed!AB117</f>
        <v/>
      </c>
    </row>
    <row r="117">
      <c r="B117">
        <f>lc_detailed!B118</f>
        <v/>
      </c>
      <c r="C117">
        <f>lc_detailed!AD118</f>
        <v/>
      </c>
      <c r="D117">
        <f>lc_detailed!AE118</f>
        <v/>
      </c>
      <c r="E117">
        <f>lc_detailed!AF118</f>
        <v/>
      </c>
      <c r="F117">
        <f>lc_detailed!AG118</f>
        <v/>
      </c>
      <c r="G117">
        <f>lc_detailed!AH118</f>
        <v/>
      </c>
      <c r="H117">
        <f>lc_detailed!AI118</f>
        <v/>
      </c>
      <c r="I117">
        <f>lc_detailed!AK118</f>
        <v/>
      </c>
      <c r="J117">
        <f>lc_detailed!AL118</f>
        <v/>
      </c>
      <c r="K117">
        <f>lc_detailed!AB118</f>
        <v/>
      </c>
    </row>
    <row r="118">
      <c r="B118">
        <f>lc_detailed!B119</f>
        <v/>
      </c>
      <c r="C118">
        <f>lc_detailed!AD119</f>
        <v/>
      </c>
      <c r="D118">
        <f>lc_detailed!AE119</f>
        <v/>
      </c>
      <c r="E118">
        <f>lc_detailed!AF119</f>
        <v/>
      </c>
      <c r="F118">
        <f>lc_detailed!AG119</f>
        <v/>
      </c>
      <c r="G118">
        <f>lc_detailed!AH119</f>
        <v/>
      </c>
      <c r="H118">
        <f>lc_detailed!AI119</f>
        <v/>
      </c>
      <c r="I118">
        <f>lc_detailed!AK119</f>
        <v/>
      </c>
      <c r="J118">
        <f>lc_detailed!AL119</f>
        <v/>
      </c>
      <c r="K118">
        <f>lc_detailed!AB119</f>
        <v/>
      </c>
    </row>
    <row r="119">
      <c r="B119">
        <f>lc_detailed!B120</f>
        <v/>
      </c>
      <c r="C119">
        <f>lc_detailed!AD120</f>
        <v/>
      </c>
      <c r="D119">
        <f>lc_detailed!AE120</f>
        <v/>
      </c>
      <c r="E119">
        <f>lc_detailed!AF120</f>
        <v/>
      </c>
      <c r="F119">
        <f>lc_detailed!AG120</f>
        <v/>
      </c>
      <c r="G119">
        <f>lc_detailed!AH120</f>
        <v/>
      </c>
      <c r="H119">
        <f>lc_detailed!AI120</f>
        <v/>
      </c>
      <c r="I119">
        <f>lc_detailed!AK120</f>
        <v/>
      </c>
      <c r="J119">
        <f>lc_detailed!AL120</f>
        <v/>
      </c>
      <c r="K119">
        <f>lc_detailed!AB120</f>
        <v/>
      </c>
    </row>
    <row r="120">
      <c r="B120">
        <f>lc_detailed!B121</f>
        <v/>
      </c>
      <c r="C120">
        <f>lc_detailed!AD121</f>
        <v/>
      </c>
      <c r="D120">
        <f>lc_detailed!AE121</f>
        <v/>
      </c>
      <c r="E120">
        <f>lc_detailed!AF121</f>
        <v/>
      </c>
      <c r="F120">
        <f>lc_detailed!AG121</f>
        <v/>
      </c>
      <c r="G120">
        <f>lc_detailed!AH121</f>
        <v/>
      </c>
      <c r="H120">
        <f>lc_detailed!AI121</f>
        <v/>
      </c>
      <c r="I120">
        <f>lc_detailed!AK121</f>
        <v/>
      </c>
      <c r="J120">
        <f>lc_detailed!AL121</f>
        <v/>
      </c>
      <c r="K120">
        <f>lc_detailed!AB121</f>
        <v/>
      </c>
    </row>
    <row r="121">
      <c r="B121">
        <f>lc_detailed!B122</f>
        <v/>
      </c>
      <c r="C121">
        <f>lc_detailed!AD122</f>
        <v/>
      </c>
      <c r="D121">
        <f>lc_detailed!AE122</f>
        <v/>
      </c>
      <c r="E121">
        <f>lc_detailed!AF122</f>
        <v/>
      </c>
      <c r="F121">
        <f>lc_detailed!AG122</f>
        <v/>
      </c>
      <c r="G121">
        <f>lc_detailed!AH122</f>
        <v/>
      </c>
      <c r="H121">
        <f>lc_detailed!AI122</f>
        <v/>
      </c>
      <c r="I121">
        <f>lc_detailed!AK122</f>
        <v/>
      </c>
      <c r="J121">
        <f>lc_detailed!AL122</f>
        <v/>
      </c>
      <c r="K121">
        <f>lc_detailed!AB122</f>
        <v/>
      </c>
    </row>
    <row r="122">
      <c r="B122">
        <f>lc_detailed!B123</f>
        <v/>
      </c>
      <c r="C122">
        <f>lc_detailed!AD123</f>
        <v/>
      </c>
      <c r="D122">
        <f>lc_detailed!AE123</f>
        <v/>
      </c>
      <c r="E122">
        <f>lc_detailed!AF123</f>
        <v/>
      </c>
      <c r="F122">
        <f>lc_detailed!AG123</f>
        <v/>
      </c>
      <c r="G122">
        <f>lc_detailed!AH123</f>
        <v/>
      </c>
      <c r="H122">
        <f>lc_detailed!AI123</f>
        <v/>
      </c>
      <c r="I122">
        <f>lc_detailed!AK123</f>
        <v/>
      </c>
      <c r="J122">
        <f>lc_detailed!AL123</f>
        <v/>
      </c>
      <c r="K122">
        <f>lc_detailed!AB123</f>
        <v/>
      </c>
    </row>
    <row r="123">
      <c r="B123">
        <f>lc_detailed!B124</f>
        <v/>
      </c>
      <c r="C123">
        <f>lc_detailed!AD124</f>
        <v/>
      </c>
      <c r="D123">
        <f>lc_detailed!AE124</f>
        <v/>
      </c>
      <c r="E123">
        <f>lc_detailed!AF124</f>
        <v/>
      </c>
      <c r="F123">
        <f>lc_detailed!AG124</f>
        <v/>
      </c>
      <c r="G123">
        <f>lc_detailed!AH124</f>
        <v/>
      </c>
      <c r="H123">
        <f>lc_detailed!AI124</f>
        <v/>
      </c>
      <c r="I123">
        <f>lc_detailed!AK124</f>
        <v/>
      </c>
      <c r="J123">
        <f>lc_detailed!AL124</f>
        <v/>
      </c>
      <c r="K123">
        <f>lc_detailed!AB124</f>
        <v/>
      </c>
    </row>
    <row r="124">
      <c r="B124">
        <f>lc_detailed!B125</f>
        <v/>
      </c>
      <c r="C124">
        <f>lc_detailed!AD125</f>
        <v/>
      </c>
      <c r="D124">
        <f>lc_detailed!AE125</f>
        <v/>
      </c>
      <c r="E124">
        <f>lc_detailed!AF125</f>
        <v/>
      </c>
      <c r="F124">
        <f>lc_detailed!AG125</f>
        <v/>
      </c>
      <c r="G124">
        <f>lc_detailed!AH125</f>
        <v/>
      </c>
      <c r="H124">
        <f>lc_detailed!AI125</f>
        <v/>
      </c>
      <c r="I124">
        <f>lc_detailed!AK125</f>
        <v/>
      </c>
      <c r="J124">
        <f>lc_detailed!AL125</f>
        <v/>
      </c>
      <c r="K124">
        <f>lc_detailed!AB125</f>
        <v/>
      </c>
    </row>
    <row r="125">
      <c r="B125">
        <f>lc_detailed!B126</f>
        <v/>
      </c>
      <c r="C125">
        <f>lc_detailed!AD126</f>
        <v/>
      </c>
      <c r="D125">
        <f>lc_detailed!AE126</f>
        <v/>
      </c>
      <c r="E125">
        <f>lc_detailed!AF126</f>
        <v/>
      </c>
      <c r="F125">
        <f>lc_detailed!AG126</f>
        <v/>
      </c>
      <c r="G125">
        <f>lc_detailed!AH126</f>
        <v/>
      </c>
      <c r="H125">
        <f>lc_detailed!AI126</f>
        <v/>
      </c>
      <c r="I125">
        <f>lc_detailed!AK126</f>
        <v/>
      </c>
      <c r="J125">
        <f>lc_detailed!AL126</f>
        <v/>
      </c>
      <c r="K125">
        <f>lc_detailed!AB126</f>
        <v/>
      </c>
    </row>
    <row r="126">
      <c r="B126">
        <f>lc_detailed!B127</f>
        <v/>
      </c>
      <c r="C126">
        <f>lc_detailed!AD127</f>
        <v/>
      </c>
      <c r="D126">
        <f>lc_detailed!AE127</f>
        <v/>
      </c>
      <c r="E126">
        <f>lc_detailed!AF127</f>
        <v/>
      </c>
      <c r="F126">
        <f>lc_detailed!AG127</f>
        <v/>
      </c>
      <c r="G126">
        <f>lc_detailed!AH127</f>
        <v/>
      </c>
      <c r="H126">
        <f>lc_detailed!AI127</f>
        <v/>
      </c>
      <c r="I126">
        <f>lc_detailed!AK127</f>
        <v/>
      </c>
      <c r="J126">
        <f>lc_detailed!AL127</f>
        <v/>
      </c>
      <c r="K126">
        <f>lc_detailed!AB127</f>
        <v/>
      </c>
    </row>
    <row r="127">
      <c r="B127">
        <f>lc_detailed!B128</f>
        <v/>
      </c>
      <c r="C127">
        <f>lc_detailed!AD128</f>
        <v/>
      </c>
      <c r="D127">
        <f>lc_detailed!AE128</f>
        <v/>
      </c>
      <c r="E127">
        <f>lc_detailed!AF128</f>
        <v/>
      </c>
      <c r="F127">
        <f>lc_detailed!AG128</f>
        <v/>
      </c>
      <c r="G127">
        <f>lc_detailed!AH128</f>
        <v/>
      </c>
      <c r="H127">
        <f>lc_detailed!AI128</f>
        <v/>
      </c>
      <c r="I127">
        <f>lc_detailed!AK128</f>
        <v/>
      </c>
      <c r="J127">
        <f>lc_detailed!AL128</f>
        <v/>
      </c>
      <c r="K127">
        <f>lc_detailed!AB128</f>
        <v/>
      </c>
    </row>
    <row r="128">
      <c r="B128">
        <f>lc_detailed!B129</f>
        <v/>
      </c>
      <c r="C128">
        <f>lc_detailed!AD129</f>
        <v/>
      </c>
      <c r="D128">
        <f>lc_detailed!AE129</f>
        <v/>
      </c>
      <c r="E128">
        <f>lc_detailed!AF129</f>
        <v/>
      </c>
      <c r="F128">
        <f>lc_detailed!AG129</f>
        <v/>
      </c>
      <c r="G128">
        <f>lc_detailed!AH129</f>
        <v/>
      </c>
      <c r="H128">
        <f>lc_detailed!AI129</f>
        <v/>
      </c>
      <c r="I128">
        <f>lc_detailed!AK129</f>
        <v/>
      </c>
      <c r="J128">
        <f>lc_detailed!AL129</f>
        <v/>
      </c>
      <c r="K128">
        <f>lc_detailed!AB129</f>
        <v/>
      </c>
    </row>
    <row r="129">
      <c r="B129">
        <f>lc_detailed!B130</f>
        <v/>
      </c>
      <c r="C129">
        <f>lc_detailed!AD130</f>
        <v/>
      </c>
      <c r="D129">
        <f>lc_detailed!AE130</f>
        <v/>
      </c>
      <c r="E129">
        <f>lc_detailed!AF130</f>
        <v/>
      </c>
      <c r="F129">
        <f>lc_detailed!AG130</f>
        <v/>
      </c>
      <c r="G129">
        <f>lc_detailed!AH130</f>
        <v/>
      </c>
      <c r="H129">
        <f>lc_detailed!AI130</f>
        <v/>
      </c>
      <c r="I129">
        <f>lc_detailed!AK130</f>
        <v/>
      </c>
      <c r="J129">
        <f>lc_detailed!AL130</f>
        <v/>
      </c>
      <c r="K129">
        <f>lc_detailed!AB130</f>
        <v/>
      </c>
    </row>
    <row r="130">
      <c r="B130">
        <f>lc_detailed!B131</f>
        <v/>
      </c>
      <c r="C130">
        <f>lc_detailed!AD131</f>
        <v/>
      </c>
      <c r="D130">
        <f>lc_detailed!AE131</f>
        <v/>
      </c>
      <c r="E130">
        <f>lc_detailed!AF131</f>
        <v/>
      </c>
      <c r="F130">
        <f>lc_detailed!AG131</f>
        <v/>
      </c>
      <c r="G130">
        <f>lc_detailed!AH131</f>
        <v/>
      </c>
      <c r="H130">
        <f>lc_detailed!AI131</f>
        <v/>
      </c>
      <c r="I130">
        <f>lc_detailed!AK131</f>
        <v/>
      </c>
      <c r="J130">
        <f>lc_detailed!AL131</f>
        <v/>
      </c>
      <c r="K130">
        <f>lc_detailed!AB131</f>
        <v/>
      </c>
    </row>
    <row r="131">
      <c r="B131">
        <f>lc_detailed!B132</f>
        <v/>
      </c>
      <c r="C131">
        <f>lc_detailed!AD132</f>
        <v/>
      </c>
      <c r="D131">
        <f>lc_detailed!AE132</f>
        <v/>
      </c>
      <c r="E131">
        <f>lc_detailed!AF132</f>
        <v/>
      </c>
      <c r="F131">
        <f>lc_detailed!AG132</f>
        <v/>
      </c>
      <c r="G131">
        <f>lc_detailed!AH132</f>
        <v/>
      </c>
      <c r="H131">
        <f>lc_detailed!AI132</f>
        <v/>
      </c>
      <c r="I131">
        <f>lc_detailed!AK132</f>
        <v/>
      </c>
      <c r="J131">
        <f>lc_detailed!AL132</f>
        <v/>
      </c>
      <c r="K131">
        <f>lc_detailed!AB132</f>
        <v/>
      </c>
    </row>
    <row r="132">
      <c r="B132">
        <f>lc_detailed!B133</f>
        <v/>
      </c>
      <c r="C132">
        <f>lc_detailed!AD133</f>
        <v/>
      </c>
      <c r="D132">
        <f>lc_detailed!AE133</f>
        <v/>
      </c>
      <c r="E132">
        <f>lc_detailed!AF133</f>
        <v/>
      </c>
      <c r="F132">
        <f>lc_detailed!AG133</f>
        <v/>
      </c>
      <c r="G132">
        <f>lc_detailed!AH133</f>
        <v/>
      </c>
      <c r="H132">
        <f>lc_detailed!AI133</f>
        <v/>
      </c>
      <c r="I132">
        <f>lc_detailed!AK133</f>
        <v/>
      </c>
      <c r="J132">
        <f>lc_detailed!AL133</f>
        <v/>
      </c>
      <c r="K132">
        <f>lc_detailed!AB133</f>
        <v/>
      </c>
    </row>
    <row r="133">
      <c r="B133">
        <f>lc_detailed!B134</f>
        <v/>
      </c>
      <c r="C133">
        <f>lc_detailed!AD134</f>
        <v/>
      </c>
      <c r="D133">
        <f>lc_detailed!AE134</f>
        <v/>
      </c>
      <c r="E133">
        <f>lc_detailed!AF134</f>
        <v/>
      </c>
      <c r="F133">
        <f>lc_detailed!AG134</f>
        <v/>
      </c>
      <c r="G133">
        <f>lc_detailed!AH134</f>
        <v/>
      </c>
      <c r="H133">
        <f>lc_detailed!AI134</f>
        <v/>
      </c>
      <c r="I133">
        <f>lc_detailed!AK134</f>
        <v/>
      </c>
      <c r="J133">
        <f>lc_detailed!AL134</f>
        <v/>
      </c>
      <c r="K133">
        <f>lc_detailed!AB134</f>
        <v/>
      </c>
    </row>
    <row r="134">
      <c r="B134">
        <f>lc_detailed!B135</f>
        <v/>
      </c>
      <c r="C134">
        <f>lc_detailed!AD135</f>
        <v/>
      </c>
      <c r="D134">
        <f>lc_detailed!AE135</f>
        <v/>
      </c>
      <c r="E134">
        <f>lc_detailed!AF135</f>
        <v/>
      </c>
      <c r="F134">
        <f>lc_detailed!AG135</f>
        <v/>
      </c>
      <c r="G134">
        <f>lc_detailed!AH135</f>
        <v/>
      </c>
      <c r="H134">
        <f>lc_detailed!AI135</f>
        <v/>
      </c>
      <c r="I134">
        <f>lc_detailed!AK135</f>
        <v/>
      </c>
      <c r="J134">
        <f>lc_detailed!AL135</f>
        <v/>
      </c>
      <c r="K134">
        <f>lc_detailed!AB135</f>
        <v/>
      </c>
    </row>
    <row r="135">
      <c r="B135">
        <f>lc_detailed!B136</f>
        <v/>
      </c>
      <c r="C135">
        <f>lc_detailed!AD136</f>
        <v/>
      </c>
      <c r="D135">
        <f>lc_detailed!AE136</f>
        <v/>
      </c>
      <c r="E135">
        <f>lc_detailed!AF136</f>
        <v/>
      </c>
      <c r="F135">
        <f>lc_detailed!AG136</f>
        <v/>
      </c>
      <c r="G135">
        <f>lc_detailed!AH136</f>
        <v/>
      </c>
      <c r="H135">
        <f>lc_detailed!AI136</f>
        <v/>
      </c>
      <c r="I135">
        <f>lc_detailed!AK136</f>
        <v/>
      </c>
      <c r="J135">
        <f>lc_detailed!AL136</f>
        <v/>
      </c>
      <c r="K135">
        <f>lc_detailed!AB136</f>
        <v/>
      </c>
    </row>
    <row r="136">
      <c r="B136">
        <f>lc_detailed!B137</f>
        <v/>
      </c>
      <c r="C136">
        <f>lc_detailed!AD137</f>
        <v/>
      </c>
      <c r="D136">
        <f>lc_detailed!AE137</f>
        <v/>
      </c>
      <c r="E136">
        <f>lc_detailed!AF137</f>
        <v/>
      </c>
      <c r="F136">
        <f>lc_detailed!AG137</f>
        <v/>
      </c>
      <c r="G136">
        <f>lc_detailed!AH137</f>
        <v/>
      </c>
      <c r="H136">
        <f>lc_detailed!AI137</f>
        <v/>
      </c>
      <c r="I136">
        <f>lc_detailed!AK137</f>
        <v/>
      </c>
      <c r="J136">
        <f>lc_detailed!AL137</f>
        <v/>
      </c>
      <c r="K136">
        <f>lc_detailed!AB137</f>
        <v/>
      </c>
    </row>
    <row r="137">
      <c r="B137">
        <f>lc_detailed!B138</f>
        <v/>
      </c>
      <c r="C137">
        <f>lc_detailed!AD138</f>
        <v/>
      </c>
      <c r="D137">
        <f>lc_detailed!AE138</f>
        <v/>
      </c>
      <c r="E137">
        <f>lc_detailed!AF138</f>
        <v/>
      </c>
      <c r="F137">
        <f>lc_detailed!AG138</f>
        <v/>
      </c>
      <c r="G137">
        <f>lc_detailed!AH138</f>
        <v/>
      </c>
      <c r="H137">
        <f>lc_detailed!AI138</f>
        <v/>
      </c>
      <c r="I137">
        <f>lc_detailed!AK138</f>
        <v/>
      </c>
      <c r="J137">
        <f>lc_detailed!AL138</f>
        <v/>
      </c>
      <c r="K137">
        <f>lc_detailed!AB138</f>
        <v/>
      </c>
    </row>
    <row r="138">
      <c r="B138">
        <f>lc_detailed!B139</f>
        <v/>
      </c>
      <c r="C138">
        <f>lc_detailed!AD139</f>
        <v/>
      </c>
      <c r="D138">
        <f>lc_detailed!AE139</f>
        <v/>
      </c>
      <c r="E138">
        <f>lc_detailed!AF139</f>
        <v/>
      </c>
      <c r="F138">
        <f>lc_detailed!AG139</f>
        <v/>
      </c>
      <c r="G138">
        <f>lc_detailed!AH139</f>
        <v/>
      </c>
      <c r="H138">
        <f>lc_detailed!AI139</f>
        <v/>
      </c>
      <c r="I138">
        <f>lc_detailed!AK139</f>
        <v/>
      </c>
      <c r="J138">
        <f>lc_detailed!AL139</f>
        <v/>
      </c>
      <c r="K138">
        <f>lc_detailed!AB139</f>
        <v/>
      </c>
    </row>
    <row r="139">
      <c r="B139">
        <f>lc_detailed!B140</f>
        <v/>
      </c>
      <c r="C139">
        <f>lc_detailed!AD140</f>
        <v/>
      </c>
      <c r="D139">
        <f>lc_detailed!AE140</f>
        <v/>
      </c>
      <c r="E139">
        <f>lc_detailed!AF140</f>
        <v/>
      </c>
      <c r="F139">
        <f>lc_detailed!AG140</f>
        <v/>
      </c>
      <c r="G139">
        <f>lc_detailed!AH140</f>
        <v/>
      </c>
      <c r="H139">
        <f>lc_detailed!AI140</f>
        <v/>
      </c>
      <c r="I139">
        <f>lc_detailed!AK140</f>
        <v/>
      </c>
      <c r="J139">
        <f>lc_detailed!AL140</f>
        <v/>
      </c>
      <c r="K139">
        <f>lc_detailed!AB140</f>
        <v/>
      </c>
    </row>
    <row r="140">
      <c r="B140">
        <f>lc_detailed!B141</f>
        <v/>
      </c>
      <c r="C140">
        <f>lc_detailed!AD141</f>
        <v/>
      </c>
      <c r="D140">
        <f>lc_detailed!AE141</f>
        <v/>
      </c>
      <c r="E140">
        <f>lc_detailed!AF141</f>
        <v/>
      </c>
      <c r="F140">
        <f>lc_detailed!AG141</f>
        <v/>
      </c>
      <c r="G140">
        <f>lc_detailed!AH141</f>
        <v/>
      </c>
      <c r="H140">
        <f>lc_detailed!AI141</f>
        <v/>
      </c>
      <c r="I140">
        <f>lc_detailed!AK141</f>
        <v/>
      </c>
      <c r="J140">
        <f>lc_detailed!AL141</f>
        <v/>
      </c>
      <c r="K140">
        <f>lc_detailed!AB141</f>
        <v/>
      </c>
    </row>
    <row r="141">
      <c r="B141">
        <f>lc_detailed!B142</f>
        <v/>
      </c>
      <c r="C141">
        <f>lc_detailed!AD142</f>
        <v/>
      </c>
      <c r="D141">
        <f>lc_detailed!AE142</f>
        <v/>
      </c>
      <c r="E141">
        <f>lc_detailed!AF142</f>
        <v/>
      </c>
      <c r="F141">
        <f>lc_detailed!AG142</f>
        <v/>
      </c>
      <c r="G141">
        <f>lc_detailed!AH142</f>
        <v/>
      </c>
      <c r="H141">
        <f>lc_detailed!AI142</f>
        <v/>
      </c>
      <c r="I141">
        <f>lc_detailed!AK142</f>
        <v/>
      </c>
      <c r="J141">
        <f>lc_detailed!AL142</f>
        <v/>
      </c>
      <c r="K141">
        <f>lc_detailed!AB142</f>
        <v/>
      </c>
    </row>
    <row r="142">
      <c r="B142">
        <f>lc_detailed!B143</f>
        <v/>
      </c>
      <c r="C142">
        <f>lc_detailed!AD143</f>
        <v/>
      </c>
      <c r="D142">
        <f>lc_detailed!AE143</f>
        <v/>
      </c>
      <c r="E142">
        <f>lc_detailed!AF143</f>
        <v/>
      </c>
      <c r="F142">
        <f>lc_detailed!AG143</f>
        <v/>
      </c>
      <c r="G142">
        <f>lc_detailed!AH143</f>
        <v/>
      </c>
      <c r="H142">
        <f>lc_detailed!AI143</f>
        <v/>
      </c>
      <c r="I142">
        <f>lc_detailed!AK143</f>
        <v/>
      </c>
      <c r="J142">
        <f>lc_detailed!AL143</f>
        <v/>
      </c>
      <c r="K142">
        <f>lc_detailed!AB143</f>
        <v/>
      </c>
    </row>
    <row r="143">
      <c r="B143">
        <f>lc_detailed!B144</f>
        <v/>
      </c>
      <c r="C143">
        <f>lc_detailed!AD144</f>
        <v/>
      </c>
      <c r="D143">
        <f>lc_detailed!AE144</f>
        <v/>
      </c>
      <c r="E143">
        <f>lc_detailed!AF144</f>
        <v/>
      </c>
      <c r="F143">
        <f>lc_detailed!AG144</f>
        <v/>
      </c>
      <c r="G143">
        <f>lc_detailed!AH144</f>
        <v/>
      </c>
      <c r="H143">
        <f>lc_detailed!AI144</f>
        <v/>
      </c>
      <c r="I143">
        <f>lc_detailed!AK144</f>
        <v/>
      </c>
      <c r="J143">
        <f>lc_detailed!AL144</f>
        <v/>
      </c>
      <c r="K143">
        <f>lc_detailed!AB144</f>
        <v/>
      </c>
    </row>
    <row r="144">
      <c r="B144">
        <f>lc_detailed!B145</f>
        <v/>
      </c>
      <c r="C144">
        <f>lc_detailed!AD145</f>
        <v/>
      </c>
      <c r="D144">
        <f>lc_detailed!AE145</f>
        <v/>
      </c>
      <c r="E144">
        <f>lc_detailed!AF145</f>
        <v/>
      </c>
      <c r="F144">
        <f>lc_detailed!AG145</f>
        <v/>
      </c>
      <c r="G144">
        <f>lc_detailed!AH145</f>
        <v/>
      </c>
      <c r="H144">
        <f>lc_detailed!AI145</f>
        <v/>
      </c>
      <c r="I144">
        <f>lc_detailed!AK145</f>
        <v/>
      </c>
      <c r="J144">
        <f>lc_detailed!AL145</f>
        <v/>
      </c>
      <c r="K144">
        <f>lc_detailed!AB145</f>
        <v/>
      </c>
    </row>
    <row r="145">
      <c r="B145">
        <f>lc_detailed!B146</f>
        <v/>
      </c>
      <c r="C145">
        <f>lc_detailed!AD146</f>
        <v/>
      </c>
      <c r="D145">
        <f>lc_detailed!AE146</f>
        <v/>
      </c>
      <c r="E145">
        <f>lc_detailed!AF146</f>
        <v/>
      </c>
      <c r="F145">
        <f>lc_detailed!AG146</f>
        <v/>
      </c>
      <c r="G145">
        <f>lc_detailed!AH146</f>
        <v/>
      </c>
      <c r="H145">
        <f>lc_detailed!AI146</f>
        <v/>
      </c>
      <c r="I145">
        <f>lc_detailed!AK146</f>
        <v/>
      </c>
      <c r="J145">
        <f>lc_detailed!AL146</f>
        <v/>
      </c>
      <c r="K145">
        <f>lc_detailed!AB146</f>
        <v/>
      </c>
    </row>
    <row r="146">
      <c r="B146">
        <f>lc_detailed!B147</f>
        <v/>
      </c>
      <c r="C146">
        <f>lc_detailed!AD147</f>
        <v/>
      </c>
      <c r="D146">
        <f>lc_detailed!AE147</f>
        <v/>
      </c>
      <c r="E146">
        <f>lc_detailed!AF147</f>
        <v/>
      </c>
      <c r="F146">
        <f>lc_detailed!AG147</f>
        <v/>
      </c>
      <c r="G146">
        <f>lc_detailed!AH147</f>
        <v/>
      </c>
      <c r="H146">
        <f>lc_detailed!AI147</f>
        <v/>
      </c>
      <c r="I146">
        <f>lc_detailed!AK147</f>
        <v/>
      </c>
      <c r="J146">
        <f>lc_detailed!AL147</f>
        <v/>
      </c>
      <c r="K146">
        <f>lc_detailed!AB147</f>
        <v/>
      </c>
    </row>
    <row r="147">
      <c r="B147">
        <f>lc_detailed!B148</f>
        <v/>
      </c>
      <c r="C147">
        <f>lc_detailed!AD148</f>
        <v/>
      </c>
      <c r="D147">
        <f>lc_detailed!AE148</f>
        <v/>
      </c>
      <c r="E147">
        <f>lc_detailed!AF148</f>
        <v/>
      </c>
      <c r="F147">
        <f>lc_detailed!AG148</f>
        <v/>
      </c>
      <c r="G147">
        <f>lc_detailed!AH148</f>
        <v/>
      </c>
      <c r="H147">
        <f>lc_detailed!AI148</f>
        <v/>
      </c>
      <c r="I147">
        <f>lc_detailed!AK148</f>
        <v/>
      </c>
      <c r="J147">
        <f>lc_detailed!AL148</f>
        <v/>
      </c>
      <c r="K147">
        <f>lc_detailed!AB148</f>
        <v/>
      </c>
    </row>
    <row r="148">
      <c r="B148">
        <f>lc_detailed!B149</f>
        <v/>
      </c>
      <c r="C148">
        <f>lc_detailed!AD149</f>
        <v/>
      </c>
      <c r="D148">
        <f>lc_detailed!AE149</f>
        <v/>
      </c>
      <c r="E148">
        <f>lc_detailed!AF149</f>
        <v/>
      </c>
      <c r="F148">
        <f>lc_detailed!AG149</f>
        <v/>
      </c>
      <c r="G148">
        <f>lc_detailed!AH149</f>
        <v/>
      </c>
      <c r="H148">
        <f>lc_detailed!AI149</f>
        <v/>
      </c>
      <c r="I148">
        <f>lc_detailed!AK149</f>
        <v/>
      </c>
      <c r="J148">
        <f>lc_detailed!AL149</f>
        <v/>
      </c>
      <c r="K148">
        <f>lc_detailed!AB149</f>
        <v/>
      </c>
    </row>
    <row r="149">
      <c r="B149">
        <f>lc_detailed!B150</f>
        <v/>
      </c>
      <c r="C149">
        <f>lc_detailed!AD150</f>
        <v/>
      </c>
      <c r="D149">
        <f>lc_detailed!AE150</f>
        <v/>
      </c>
      <c r="E149">
        <f>lc_detailed!AF150</f>
        <v/>
      </c>
      <c r="F149">
        <f>lc_detailed!AG150</f>
        <v/>
      </c>
      <c r="G149">
        <f>lc_detailed!AH150</f>
        <v/>
      </c>
      <c r="H149">
        <f>lc_detailed!AI150</f>
        <v/>
      </c>
      <c r="I149">
        <f>lc_detailed!AK150</f>
        <v/>
      </c>
      <c r="J149">
        <f>lc_detailed!AL150</f>
        <v/>
      </c>
      <c r="K149">
        <f>lc_detailed!AB150</f>
        <v/>
      </c>
    </row>
    <row r="150">
      <c r="B150">
        <f>lc_detailed!B151</f>
        <v/>
      </c>
      <c r="C150">
        <f>lc_detailed!AD151</f>
        <v/>
      </c>
      <c r="D150">
        <f>lc_detailed!AE151</f>
        <v/>
      </c>
      <c r="E150">
        <f>lc_detailed!AF151</f>
        <v/>
      </c>
      <c r="F150">
        <f>lc_detailed!AG151</f>
        <v/>
      </c>
      <c r="G150">
        <f>lc_detailed!AH151</f>
        <v/>
      </c>
      <c r="H150">
        <f>lc_detailed!AI151</f>
        <v/>
      </c>
      <c r="I150">
        <f>lc_detailed!AK151</f>
        <v/>
      </c>
      <c r="J150">
        <f>lc_detailed!AL151</f>
        <v/>
      </c>
      <c r="K150">
        <f>lc_detailed!AB151</f>
        <v/>
      </c>
    </row>
    <row r="151">
      <c r="B151">
        <f>lc_detailed!B152</f>
        <v/>
      </c>
      <c r="C151">
        <f>lc_detailed!AD152</f>
        <v/>
      </c>
      <c r="D151">
        <f>lc_detailed!AE152</f>
        <v/>
      </c>
      <c r="E151">
        <f>lc_detailed!AF152</f>
        <v/>
      </c>
      <c r="F151">
        <f>lc_detailed!AG152</f>
        <v/>
      </c>
      <c r="G151">
        <f>lc_detailed!AH152</f>
        <v/>
      </c>
      <c r="H151">
        <f>lc_detailed!AI152</f>
        <v/>
      </c>
      <c r="I151">
        <f>lc_detailed!AK152</f>
        <v/>
      </c>
      <c r="J151">
        <f>lc_detailed!AL152</f>
        <v/>
      </c>
      <c r="K151">
        <f>lc_detailed!AB152</f>
        <v/>
      </c>
    </row>
    <row r="152">
      <c r="B152">
        <f>lc_detailed!B153</f>
        <v/>
      </c>
      <c r="C152">
        <f>lc_detailed!AD153</f>
        <v/>
      </c>
      <c r="D152">
        <f>lc_detailed!AE153</f>
        <v/>
      </c>
      <c r="E152">
        <f>lc_detailed!AF153</f>
        <v/>
      </c>
      <c r="F152">
        <f>lc_detailed!AG153</f>
        <v/>
      </c>
      <c r="G152">
        <f>lc_detailed!AH153</f>
        <v/>
      </c>
      <c r="H152">
        <f>lc_detailed!AI153</f>
        <v/>
      </c>
      <c r="I152">
        <f>lc_detailed!AK153</f>
        <v/>
      </c>
      <c r="J152">
        <f>lc_detailed!AL153</f>
        <v/>
      </c>
      <c r="K152">
        <f>lc_detailed!AB153</f>
        <v/>
      </c>
    </row>
    <row r="153">
      <c r="B153">
        <f>lc_detailed!B154</f>
        <v/>
      </c>
      <c r="C153">
        <f>lc_detailed!AD154</f>
        <v/>
      </c>
      <c r="D153">
        <f>lc_detailed!AE154</f>
        <v/>
      </c>
      <c r="E153">
        <f>lc_detailed!AF154</f>
        <v/>
      </c>
      <c r="F153">
        <f>lc_detailed!AG154</f>
        <v/>
      </c>
      <c r="G153">
        <f>lc_detailed!AH154</f>
        <v/>
      </c>
      <c r="H153">
        <f>lc_detailed!AI154</f>
        <v/>
      </c>
      <c r="I153">
        <f>lc_detailed!AK154</f>
        <v/>
      </c>
      <c r="J153">
        <f>lc_detailed!AL154</f>
        <v/>
      </c>
      <c r="K153">
        <f>lc_detailed!AB154</f>
        <v/>
      </c>
    </row>
    <row r="154">
      <c r="B154">
        <f>lc_detailed!B155</f>
        <v/>
      </c>
      <c r="C154">
        <f>lc_detailed!AD155</f>
        <v/>
      </c>
      <c r="D154">
        <f>lc_detailed!AE155</f>
        <v/>
      </c>
      <c r="E154">
        <f>lc_detailed!AF155</f>
        <v/>
      </c>
      <c r="F154">
        <f>lc_detailed!AG155</f>
        <v/>
      </c>
      <c r="G154">
        <f>lc_detailed!AH155</f>
        <v/>
      </c>
      <c r="H154">
        <f>lc_detailed!AI155</f>
        <v/>
      </c>
      <c r="I154">
        <f>lc_detailed!AK155</f>
        <v/>
      </c>
      <c r="J154">
        <f>lc_detailed!AL155</f>
        <v/>
      </c>
      <c r="K154">
        <f>lc_detailed!AB155</f>
        <v/>
      </c>
    </row>
    <row r="155">
      <c r="B155">
        <f>lc_detailed!B156</f>
        <v/>
      </c>
      <c r="C155">
        <f>lc_detailed!AD156</f>
        <v/>
      </c>
      <c r="D155">
        <f>lc_detailed!AE156</f>
        <v/>
      </c>
      <c r="E155">
        <f>lc_detailed!AF156</f>
        <v/>
      </c>
      <c r="F155">
        <f>lc_detailed!AG156</f>
        <v/>
      </c>
      <c r="G155">
        <f>lc_detailed!AH156</f>
        <v/>
      </c>
      <c r="H155">
        <f>lc_detailed!AI156</f>
        <v/>
      </c>
      <c r="I155">
        <f>lc_detailed!AK156</f>
        <v/>
      </c>
      <c r="J155">
        <f>lc_detailed!AL156</f>
        <v/>
      </c>
      <c r="K155">
        <f>lc_detailed!AB156</f>
        <v/>
      </c>
    </row>
    <row r="156">
      <c r="B156">
        <f>lc_detailed!B157</f>
        <v/>
      </c>
      <c r="C156">
        <f>lc_detailed!AD157</f>
        <v/>
      </c>
      <c r="D156">
        <f>lc_detailed!AE157</f>
        <v/>
      </c>
      <c r="E156">
        <f>lc_detailed!AF157</f>
        <v/>
      </c>
      <c r="F156">
        <f>lc_detailed!AG157</f>
        <v/>
      </c>
      <c r="G156">
        <f>lc_detailed!AH157</f>
        <v/>
      </c>
      <c r="H156">
        <f>lc_detailed!AI157</f>
        <v/>
      </c>
      <c r="I156">
        <f>lc_detailed!AK157</f>
        <v/>
      </c>
      <c r="J156">
        <f>lc_detailed!AL157</f>
        <v/>
      </c>
      <c r="K156">
        <f>lc_detailed!AB157</f>
        <v/>
      </c>
    </row>
    <row r="157">
      <c r="B157">
        <f>lc_detailed!B158</f>
        <v/>
      </c>
      <c r="C157">
        <f>lc_detailed!AD158</f>
        <v/>
      </c>
      <c r="D157">
        <f>lc_detailed!AE158</f>
        <v/>
      </c>
      <c r="E157">
        <f>lc_detailed!AF158</f>
        <v/>
      </c>
      <c r="F157">
        <f>lc_detailed!AG158</f>
        <v/>
      </c>
      <c r="G157">
        <f>lc_detailed!AH158</f>
        <v/>
      </c>
      <c r="H157">
        <f>lc_detailed!AI158</f>
        <v/>
      </c>
      <c r="I157">
        <f>lc_detailed!AK158</f>
        <v/>
      </c>
      <c r="J157">
        <f>lc_detailed!AL158</f>
        <v/>
      </c>
      <c r="K157">
        <f>lc_detailed!AB158</f>
        <v/>
      </c>
    </row>
    <row r="158">
      <c r="B158">
        <f>lc_detailed!B159</f>
        <v/>
      </c>
      <c r="C158">
        <f>lc_detailed!AD159</f>
        <v/>
      </c>
      <c r="D158">
        <f>lc_detailed!AE159</f>
        <v/>
      </c>
      <c r="E158">
        <f>lc_detailed!AF159</f>
        <v/>
      </c>
      <c r="F158">
        <f>lc_detailed!AG159</f>
        <v/>
      </c>
      <c r="G158">
        <f>lc_detailed!AH159</f>
        <v/>
      </c>
      <c r="H158">
        <f>lc_detailed!AI159</f>
        <v/>
      </c>
      <c r="I158">
        <f>lc_detailed!AK159</f>
        <v/>
      </c>
      <c r="J158">
        <f>lc_detailed!AL159</f>
        <v/>
      </c>
      <c r="K158">
        <f>lc_detailed!AB159</f>
        <v/>
      </c>
    </row>
    <row r="159">
      <c r="B159">
        <f>lc_detailed!B160</f>
        <v/>
      </c>
      <c r="C159">
        <f>lc_detailed!AD160</f>
        <v/>
      </c>
      <c r="D159">
        <f>lc_detailed!AE160</f>
        <v/>
      </c>
      <c r="E159">
        <f>lc_detailed!AF160</f>
        <v/>
      </c>
      <c r="F159">
        <f>lc_detailed!AG160</f>
        <v/>
      </c>
      <c r="G159">
        <f>lc_detailed!AH160</f>
        <v/>
      </c>
      <c r="H159">
        <f>lc_detailed!AI160</f>
        <v/>
      </c>
      <c r="I159">
        <f>lc_detailed!AK160</f>
        <v/>
      </c>
      <c r="J159">
        <f>lc_detailed!AL160</f>
        <v/>
      </c>
      <c r="K159">
        <f>lc_detailed!AB160</f>
        <v/>
      </c>
    </row>
    <row r="160">
      <c r="B160">
        <f>lc_detailed!B161</f>
        <v/>
      </c>
      <c r="C160">
        <f>lc_detailed!AD161</f>
        <v/>
      </c>
      <c r="D160">
        <f>lc_detailed!AE161</f>
        <v/>
      </c>
      <c r="E160">
        <f>lc_detailed!AF161</f>
        <v/>
      </c>
      <c r="F160">
        <f>lc_detailed!AG161</f>
        <v/>
      </c>
      <c r="G160">
        <f>lc_detailed!AH161</f>
        <v/>
      </c>
      <c r="H160">
        <f>lc_detailed!AI161</f>
        <v/>
      </c>
      <c r="I160">
        <f>lc_detailed!AK161</f>
        <v/>
      </c>
      <c r="J160">
        <f>lc_detailed!AL161</f>
        <v/>
      </c>
      <c r="K160">
        <f>lc_detailed!AB161</f>
        <v/>
      </c>
    </row>
    <row r="161">
      <c r="B161">
        <f>lc_detailed!B162</f>
        <v/>
      </c>
      <c r="C161">
        <f>lc_detailed!AD162</f>
        <v/>
      </c>
      <c r="D161">
        <f>lc_detailed!AE162</f>
        <v/>
      </c>
      <c r="E161">
        <f>lc_detailed!AF162</f>
        <v/>
      </c>
      <c r="F161">
        <f>lc_detailed!AG162</f>
        <v/>
      </c>
      <c r="G161">
        <f>lc_detailed!AH162</f>
        <v/>
      </c>
      <c r="H161">
        <f>lc_detailed!AI162</f>
        <v/>
      </c>
      <c r="I161">
        <f>lc_detailed!AK162</f>
        <v/>
      </c>
      <c r="J161">
        <f>lc_detailed!AL162</f>
        <v/>
      </c>
      <c r="K161">
        <f>lc_detailed!AB162</f>
        <v/>
      </c>
    </row>
    <row r="162">
      <c r="B162">
        <f>lc_detailed!B163</f>
        <v/>
      </c>
      <c r="C162">
        <f>lc_detailed!AD163</f>
        <v/>
      </c>
      <c r="D162">
        <f>lc_detailed!AE163</f>
        <v/>
      </c>
      <c r="E162">
        <f>lc_detailed!AF163</f>
        <v/>
      </c>
      <c r="F162">
        <f>lc_detailed!AG163</f>
        <v/>
      </c>
      <c r="G162">
        <f>lc_detailed!AH163</f>
        <v/>
      </c>
      <c r="H162">
        <f>lc_detailed!AI163</f>
        <v/>
      </c>
      <c r="I162">
        <f>lc_detailed!AK163</f>
        <v/>
      </c>
      <c r="J162">
        <f>lc_detailed!AL163</f>
        <v/>
      </c>
      <c r="K162">
        <f>lc_detailed!AB163</f>
        <v/>
      </c>
    </row>
    <row r="163">
      <c r="B163">
        <f>lc_detailed!B164</f>
        <v/>
      </c>
      <c r="C163">
        <f>lc_detailed!AD164</f>
        <v/>
      </c>
      <c r="D163">
        <f>lc_detailed!AE164</f>
        <v/>
      </c>
      <c r="E163">
        <f>lc_detailed!AF164</f>
        <v/>
      </c>
      <c r="F163">
        <f>lc_detailed!AG164</f>
        <v/>
      </c>
      <c r="G163">
        <f>lc_detailed!AH164</f>
        <v/>
      </c>
      <c r="H163">
        <f>lc_detailed!AI164</f>
        <v/>
      </c>
      <c r="I163">
        <f>lc_detailed!AK164</f>
        <v/>
      </c>
      <c r="J163">
        <f>lc_detailed!AL164</f>
        <v/>
      </c>
      <c r="K163">
        <f>lc_detailed!AB164</f>
        <v/>
      </c>
    </row>
    <row r="164">
      <c r="B164">
        <f>lc_detailed!B165</f>
        <v/>
      </c>
      <c r="C164">
        <f>lc_detailed!AD165</f>
        <v/>
      </c>
      <c r="D164">
        <f>lc_detailed!AE165</f>
        <v/>
      </c>
      <c r="E164">
        <f>lc_detailed!AF165</f>
        <v/>
      </c>
      <c r="F164">
        <f>lc_detailed!AG165</f>
        <v/>
      </c>
      <c r="G164">
        <f>lc_detailed!AH165</f>
        <v/>
      </c>
      <c r="H164">
        <f>lc_detailed!AI165</f>
        <v/>
      </c>
      <c r="I164">
        <f>lc_detailed!AK165</f>
        <v/>
      </c>
      <c r="J164">
        <f>lc_detailed!AL165</f>
        <v/>
      </c>
      <c r="K164">
        <f>lc_detailed!AB165</f>
        <v/>
      </c>
    </row>
    <row r="165">
      <c r="B165">
        <f>lc_detailed!B166</f>
        <v/>
      </c>
      <c r="C165">
        <f>lc_detailed!AD166</f>
        <v/>
      </c>
      <c r="D165">
        <f>lc_detailed!AE166</f>
        <v/>
      </c>
      <c r="E165">
        <f>lc_detailed!AF166</f>
        <v/>
      </c>
      <c r="F165">
        <f>lc_detailed!AG166</f>
        <v/>
      </c>
      <c r="G165">
        <f>lc_detailed!AH166</f>
        <v/>
      </c>
      <c r="H165">
        <f>lc_detailed!AI166</f>
        <v/>
      </c>
      <c r="I165">
        <f>lc_detailed!AK166</f>
        <v/>
      </c>
      <c r="J165">
        <f>lc_detailed!AL166</f>
        <v/>
      </c>
      <c r="K165">
        <f>lc_detailed!AB166</f>
        <v/>
      </c>
    </row>
    <row r="166">
      <c r="B166">
        <f>lc_detailed!B167</f>
        <v/>
      </c>
      <c r="C166">
        <f>lc_detailed!AD167</f>
        <v/>
      </c>
      <c r="D166">
        <f>lc_detailed!AE167</f>
        <v/>
      </c>
      <c r="E166">
        <f>lc_detailed!AF167</f>
        <v/>
      </c>
      <c r="F166">
        <f>lc_detailed!AG167</f>
        <v/>
      </c>
      <c r="G166">
        <f>lc_detailed!AH167</f>
        <v/>
      </c>
      <c r="H166">
        <f>lc_detailed!AI167</f>
        <v/>
      </c>
      <c r="I166">
        <f>lc_detailed!AK167</f>
        <v/>
      </c>
      <c r="J166">
        <f>lc_detailed!AL167</f>
        <v/>
      </c>
      <c r="K166">
        <f>lc_detailed!AB167</f>
        <v/>
      </c>
    </row>
    <row r="167">
      <c r="B167">
        <f>lc_detailed!B168</f>
        <v/>
      </c>
      <c r="C167">
        <f>lc_detailed!AD168</f>
        <v/>
      </c>
      <c r="D167">
        <f>lc_detailed!AE168</f>
        <v/>
      </c>
      <c r="E167">
        <f>lc_detailed!AF168</f>
        <v/>
      </c>
      <c r="F167">
        <f>lc_detailed!AG168</f>
        <v/>
      </c>
      <c r="G167">
        <f>lc_detailed!AH168</f>
        <v/>
      </c>
      <c r="H167">
        <f>lc_detailed!AI168</f>
        <v/>
      </c>
      <c r="I167">
        <f>lc_detailed!AK168</f>
        <v/>
      </c>
      <c r="J167">
        <f>lc_detailed!AL168</f>
        <v/>
      </c>
      <c r="K167">
        <f>lc_detailed!AB168</f>
        <v/>
      </c>
    </row>
    <row r="168">
      <c r="B168">
        <f>lc_detailed!B169</f>
        <v/>
      </c>
      <c r="C168">
        <f>lc_detailed!AD169</f>
        <v/>
      </c>
      <c r="D168">
        <f>lc_detailed!AE169</f>
        <v/>
      </c>
      <c r="E168">
        <f>lc_detailed!AF169</f>
        <v/>
      </c>
      <c r="F168">
        <f>lc_detailed!AG169</f>
        <v/>
      </c>
      <c r="G168">
        <f>lc_detailed!AH169</f>
        <v/>
      </c>
      <c r="H168">
        <f>lc_detailed!AI169</f>
        <v/>
      </c>
      <c r="I168">
        <f>lc_detailed!AK169</f>
        <v/>
      </c>
      <c r="J168">
        <f>lc_detailed!AL169</f>
        <v/>
      </c>
      <c r="K168">
        <f>lc_detailed!AB169</f>
        <v/>
      </c>
    </row>
    <row r="169">
      <c r="B169">
        <f>lc_detailed!B170</f>
        <v/>
      </c>
      <c r="C169">
        <f>lc_detailed!AD170</f>
        <v/>
      </c>
      <c r="D169">
        <f>lc_detailed!AE170</f>
        <v/>
      </c>
      <c r="E169">
        <f>lc_detailed!AF170</f>
        <v/>
      </c>
      <c r="F169">
        <f>lc_detailed!AG170</f>
        <v/>
      </c>
      <c r="G169">
        <f>lc_detailed!AH170</f>
        <v/>
      </c>
      <c r="H169">
        <f>lc_detailed!AI170</f>
        <v/>
      </c>
      <c r="I169">
        <f>lc_detailed!AK170</f>
        <v/>
      </c>
      <c r="J169">
        <f>lc_detailed!AL170</f>
        <v/>
      </c>
      <c r="K169">
        <f>lc_detailed!AB170</f>
        <v/>
      </c>
    </row>
    <row r="170">
      <c r="B170">
        <f>lc_detailed!B171</f>
        <v/>
      </c>
      <c r="C170">
        <f>lc_detailed!AD171</f>
        <v/>
      </c>
      <c r="D170">
        <f>lc_detailed!AE171</f>
        <v/>
      </c>
      <c r="E170">
        <f>lc_detailed!AF171</f>
        <v/>
      </c>
      <c r="F170">
        <f>lc_detailed!AG171</f>
        <v/>
      </c>
      <c r="G170">
        <f>lc_detailed!AH171</f>
        <v/>
      </c>
      <c r="H170">
        <f>lc_detailed!AI171</f>
        <v/>
      </c>
      <c r="I170">
        <f>lc_detailed!AK171</f>
        <v/>
      </c>
      <c r="J170">
        <f>lc_detailed!AL171</f>
        <v/>
      </c>
      <c r="K170">
        <f>lc_detailed!AB171</f>
        <v/>
      </c>
    </row>
    <row r="171">
      <c r="B171">
        <f>lc_detailed!B172</f>
        <v/>
      </c>
      <c r="C171">
        <f>lc_detailed!AD172</f>
        <v/>
      </c>
      <c r="D171">
        <f>lc_detailed!AE172</f>
        <v/>
      </c>
      <c r="E171">
        <f>lc_detailed!AF172</f>
        <v/>
      </c>
      <c r="F171">
        <f>lc_detailed!AG172</f>
        <v/>
      </c>
      <c r="G171">
        <f>lc_detailed!AH172</f>
        <v/>
      </c>
      <c r="H171">
        <f>lc_detailed!AI172</f>
        <v/>
      </c>
      <c r="I171">
        <f>lc_detailed!AK172</f>
        <v/>
      </c>
      <c r="J171">
        <f>lc_detailed!AL172</f>
        <v/>
      </c>
      <c r="K171">
        <f>lc_detailed!AB172</f>
        <v/>
      </c>
    </row>
    <row r="172">
      <c r="B172">
        <f>lc_detailed!B173</f>
        <v/>
      </c>
      <c r="C172">
        <f>lc_detailed!AD173</f>
        <v/>
      </c>
      <c r="D172">
        <f>lc_detailed!AE173</f>
        <v/>
      </c>
      <c r="E172">
        <f>lc_detailed!AF173</f>
        <v/>
      </c>
      <c r="F172">
        <f>lc_detailed!AG173</f>
        <v/>
      </c>
      <c r="G172">
        <f>lc_detailed!AH173</f>
        <v/>
      </c>
      <c r="H172">
        <f>lc_detailed!AI173</f>
        <v/>
      </c>
      <c r="I172">
        <f>lc_detailed!AK173</f>
        <v/>
      </c>
      <c r="J172">
        <f>lc_detailed!AL173</f>
        <v/>
      </c>
      <c r="K172">
        <f>lc_detailed!AB173</f>
        <v/>
      </c>
    </row>
    <row r="173">
      <c r="B173">
        <f>lc_detailed!B174</f>
        <v/>
      </c>
      <c r="C173">
        <f>lc_detailed!AD174</f>
        <v/>
      </c>
      <c r="D173">
        <f>lc_detailed!AE174</f>
        <v/>
      </c>
      <c r="E173">
        <f>lc_detailed!AF174</f>
        <v/>
      </c>
      <c r="F173">
        <f>lc_detailed!AG174</f>
        <v/>
      </c>
      <c r="G173">
        <f>lc_detailed!AH174</f>
        <v/>
      </c>
      <c r="H173">
        <f>lc_detailed!AI174</f>
        <v/>
      </c>
      <c r="I173">
        <f>lc_detailed!AK174</f>
        <v/>
      </c>
      <c r="J173">
        <f>lc_detailed!AL174</f>
        <v/>
      </c>
      <c r="K173">
        <f>lc_detailed!AB174</f>
        <v/>
      </c>
    </row>
    <row r="174">
      <c r="B174">
        <f>lc_detailed!B175</f>
        <v/>
      </c>
      <c r="C174">
        <f>lc_detailed!AD175</f>
        <v/>
      </c>
      <c r="D174">
        <f>lc_detailed!AE175</f>
        <v/>
      </c>
      <c r="E174">
        <f>lc_detailed!AF175</f>
        <v/>
      </c>
      <c r="F174">
        <f>lc_detailed!AG175</f>
        <v/>
      </c>
      <c r="G174">
        <f>lc_detailed!AH175</f>
        <v/>
      </c>
      <c r="H174">
        <f>lc_detailed!AI175</f>
        <v/>
      </c>
      <c r="I174">
        <f>lc_detailed!AK175</f>
        <v/>
      </c>
      <c r="J174">
        <f>lc_detailed!AL175</f>
        <v/>
      </c>
      <c r="K174">
        <f>lc_detailed!AB175</f>
        <v/>
      </c>
    </row>
    <row r="175">
      <c r="B175">
        <f>lc_detailed!B176</f>
        <v/>
      </c>
      <c r="C175">
        <f>lc_detailed!AD176</f>
        <v/>
      </c>
      <c r="D175">
        <f>lc_detailed!AE176</f>
        <v/>
      </c>
      <c r="E175">
        <f>lc_detailed!AF176</f>
        <v/>
      </c>
      <c r="F175">
        <f>lc_detailed!AG176</f>
        <v/>
      </c>
      <c r="G175">
        <f>lc_detailed!AH176</f>
        <v/>
      </c>
      <c r="H175">
        <f>lc_detailed!AI176</f>
        <v/>
      </c>
      <c r="I175">
        <f>lc_detailed!AK176</f>
        <v/>
      </c>
      <c r="J175">
        <f>lc_detailed!AL176</f>
        <v/>
      </c>
      <c r="K175">
        <f>lc_detailed!AB176</f>
        <v/>
      </c>
    </row>
    <row r="176">
      <c r="B176">
        <f>lc_detailed!B177</f>
        <v/>
      </c>
      <c r="C176">
        <f>lc_detailed!AD177</f>
        <v/>
      </c>
      <c r="D176">
        <f>lc_detailed!AE177</f>
        <v/>
      </c>
      <c r="E176">
        <f>lc_detailed!AF177</f>
        <v/>
      </c>
      <c r="F176">
        <f>lc_detailed!AG177</f>
        <v/>
      </c>
      <c r="G176">
        <f>lc_detailed!AH177</f>
        <v/>
      </c>
      <c r="H176">
        <f>lc_detailed!AI177</f>
        <v/>
      </c>
      <c r="I176">
        <f>lc_detailed!AK177</f>
        <v/>
      </c>
      <c r="J176">
        <f>lc_detailed!AL177</f>
        <v/>
      </c>
      <c r="K176">
        <f>lc_detailed!AB177</f>
        <v/>
      </c>
    </row>
    <row r="177">
      <c r="B177">
        <f>lc_detailed!B178</f>
        <v/>
      </c>
      <c r="C177">
        <f>lc_detailed!AD178</f>
        <v/>
      </c>
      <c r="D177">
        <f>lc_detailed!AE178</f>
        <v/>
      </c>
      <c r="E177">
        <f>lc_detailed!AF178</f>
        <v/>
      </c>
      <c r="F177">
        <f>lc_detailed!AG178</f>
        <v/>
      </c>
      <c r="G177">
        <f>lc_detailed!AH178</f>
        <v/>
      </c>
      <c r="H177">
        <f>lc_detailed!AI178</f>
        <v/>
      </c>
      <c r="I177">
        <f>lc_detailed!AK178</f>
        <v/>
      </c>
      <c r="J177">
        <f>lc_detailed!AL178</f>
        <v/>
      </c>
      <c r="K177">
        <f>lc_detailed!AB178</f>
        <v/>
      </c>
    </row>
    <row r="178">
      <c r="B178">
        <f>lc_detailed!B179</f>
        <v/>
      </c>
      <c r="C178">
        <f>lc_detailed!AD179</f>
        <v/>
      </c>
      <c r="D178">
        <f>lc_detailed!AE179</f>
        <v/>
      </c>
      <c r="E178">
        <f>lc_detailed!AF179</f>
        <v/>
      </c>
      <c r="F178">
        <f>lc_detailed!AG179</f>
        <v/>
      </c>
      <c r="G178">
        <f>lc_detailed!AH179</f>
        <v/>
      </c>
      <c r="H178">
        <f>lc_detailed!AI179</f>
        <v/>
      </c>
      <c r="I178">
        <f>lc_detailed!AK179</f>
        <v/>
      </c>
      <c r="J178">
        <f>lc_detailed!AL179</f>
        <v/>
      </c>
      <c r="K178">
        <f>lc_detailed!AB179</f>
        <v/>
      </c>
    </row>
    <row r="179">
      <c r="B179">
        <f>lc_detailed!B180</f>
        <v/>
      </c>
      <c r="C179">
        <f>lc_detailed!AD180</f>
        <v/>
      </c>
      <c r="D179">
        <f>lc_detailed!AE180</f>
        <v/>
      </c>
      <c r="E179">
        <f>lc_detailed!AF180</f>
        <v/>
      </c>
      <c r="F179">
        <f>lc_detailed!AG180</f>
        <v/>
      </c>
      <c r="G179">
        <f>lc_detailed!AH180</f>
        <v/>
      </c>
      <c r="H179">
        <f>lc_detailed!AI180</f>
        <v/>
      </c>
      <c r="I179">
        <f>lc_detailed!AK180</f>
        <v/>
      </c>
      <c r="J179">
        <f>lc_detailed!AL180</f>
        <v/>
      </c>
      <c r="K179">
        <f>lc_detailed!AB180</f>
        <v/>
      </c>
    </row>
    <row r="180">
      <c r="B180">
        <f>lc_detailed!B181</f>
        <v/>
      </c>
      <c r="C180">
        <f>lc_detailed!AD181</f>
        <v/>
      </c>
      <c r="D180">
        <f>lc_detailed!AE181</f>
        <v/>
      </c>
      <c r="E180">
        <f>lc_detailed!AF181</f>
        <v/>
      </c>
      <c r="F180">
        <f>lc_detailed!AG181</f>
        <v/>
      </c>
      <c r="G180">
        <f>lc_detailed!AH181</f>
        <v/>
      </c>
      <c r="H180">
        <f>lc_detailed!AI181</f>
        <v/>
      </c>
      <c r="I180">
        <f>lc_detailed!AK181</f>
        <v/>
      </c>
      <c r="J180">
        <f>lc_detailed!AL181</f>
        <v/>
      </c>
      <c r="K180">
        <f>lc_detailed!AB181</f>
        <v/>
      </c>
    </row>
    <row r="181">
      <c r="B181">
        <f>lc_detailed!B182</f>
        <v/>
      </c>
      <c r="C181">
        <f>lc_detailed!AD182</f>
        <v/>
      </c>
      <c r="D181">
        <f>lc_detailed!AE182</f>
        <v/>
      </c>
      <c r="E181">
        <f>lc_detailed!AF182</f>
        <v/>
      </c>
      <c r="F181">
        <f>lc_detailed!AG182</f>
        <v/>
      </c>
      <c r="G181">
        <f>lc_detailed!AH182</f>
        <v/>
      </c>
      <c r="H181">
        <f>lc_detailed!AI182</f>
        <v/>
      </c>
      <c r="I181">
        <f>lc_detailed!AK182</f>
        <v/>
      </c>
      <c r="J181">
        <f>lc_detailed!AL182</f>
        <v/>
      </c>
      <c r="K181">
        <f>lc_detailed!AB182</f>
        <v/>
      </c>
    </row>
    <row r="182">
      <c r="B182">
        <f>lc_detailed!B183</f>
        <v/>
      </c>
      <c r="C182">
        <f>lc_detailed!AD183</f>
        <v/>
      </c>
      <c r="D182">
        <f>lc_detailed!AE183</f>
        <v/>
      </c>
      <c r="E182">
        <f>lc_detailed!AF183</f>
        <v/>
      </c>
      <c r="F182">
        <f>lc_detailed!AG183</f>
        <v/>
      </c>
      <c r="G182">
        <f>lc_detailed!AH183</f>
        <v/>
      </c>
      <c r="H182">
        <f>lc_detailed!AI183</f>
        <v/>
      </c>
      <c r="I182">
        <f>lc_detailed!AK183</f>
        <v/>
      </c>
      <c r="J182">
        <f>lc_detailed!AL183</f>
        <v/>
      </c>
      <c r="K182">
        <f>lc_detailed!AB183</f>
        <v/>
      </c>
    </row>
    <row r="183">
      <c r="B183">
        <f>lc_detailed!B184</f>
        <v/>
      </c>
      <c r="C183">
        <f>lc_detailed!AD184</f>
        <v/>
      </c>
      <c r="D183">
        <f>lc_detailed!AE184</f>
        <v/>
      </c>
      <c r="E183">
        <f>lc_detailed!AF184</f>
        <v/>
      </c>
      <c r="F183">
        <f>lc_detailed!AG184</f>
        <v/>
      </c>
      <c r="G183">
        <f>lc_detailed!AH184</f>
        <v/>
      </c>
      <c r="H183">
        <f>lc_detailed!AI184</f>
        <v/>
      </c>
      <c r="I183">
        <f>lc_detailed!AK184</f>
        <v/>
      </c>
      <c r="J183">
        <f>lc_detailed!AL184</f>
        <v/>
      </c>
      <c r="K183">
        <f>lc_detailed!AB184</f>
        <v/>
      </c>
    </row>
    <row r="184">
      <c r="B184">
        <f>lc_detailed!B185</f>
        <v/>
      </c>
      <c r="C184">
        <f>lc_detailed!AD185</f>
        <v/>
      </c>
      <c r="D184">
        <f>lc_detailed!AE185</f>
        <v/>
      </c>
      <c r="E184">
        <f>lc_detailed!AF185</f>
        <v/>
      </c>
      <c r="F184">
        <f>lc_detailed!AG185</f>
        <v/>
      </c>
      <c r="G184">
        <f>lc_detailed!AH185</f>
        <v/>
      </c>
      <c r="H184">
        <f>lc_detailed!AI185</f>
        <v/>
      </c>
      <c r="I184">
        <f>lc_detailed!AK185</f>
        <v/>
      </c>
      <c r="J184">
        <f>lc_detailed!AL185</f>
        <v/>
      </c>
      <c r="K184">
        <f>lc_detailed!AB185</f>
        <v/>
      </c>
    </row>
    <row r="185">
      <c r="B185">
        <f>lc_detailed!B186</f>
        <v/>
      </c>
      <c r="C185">
        <f>lc_detailed!AD186</f>
        <v/>
      </c>
      <c r="D185">
        <f>lc_detailed!AE186</f>
        <v/>
      </c>
      <c r="E185">
        <f>lc_detailed!AF186</f>
        <v/>
      </c>
      <c r="F185">
        <f>lc_detailed!AG186</f>
        <v/>
      </c>
      <c r="G185">
        <f>lc_detailed!AH186</f>
        <v/>
      </c>
      <c r="H185">
        <f>lc_detailed!AI186</f>
        <v/>
      </c>
      <c r="I185">
        <f>lc_detailed!AK186</f>
        <v/>
      </c>
      <c r="J185">
        <f>lc_detailed!AL186</f>
        <v/>
      </c>
      <c r="K185">
        <f>lc_detailed!AB186</f>
        <v/>
      </c>
    </row>
    <row r="186">
      <c r="B186">
        <f>lc_detailed!B187</f>
        <v/>
      </c>
      <c r="C186">
        <f>lc_detailed!AD187</f>
        <v/>
      </c>
      <c r="D186">
        <f>lc_detailed!AE187</f>
        <v/>
      </c>
      <c r="E186">
        <f>lc_detailed!AF187</f>
        <v/>
      </c>
      <c r="F186">
        <f>lc_detailed!AG187</f>
        <v/>
      </c>
      <c r="G186">
        <f>lc_detailed!AH187</f>
        <v/>
      </c>
      <c r="H186">
        <f>lc_detailed!AI187</f>
        <v/>
      </c>
      <c r="I186">
        <f>lc_detailed!AK187</f>
        <v/>
      </c>
      <c r="J186">
        <f>lc_detailed!AL187</f>
        <v/>
      </c>
      <c r="K186">
        <f>lc_detailed!AB187</f>
        <v/>
      </c>
    </row>
    <row r="187">
      <c r="B187">
        <f>lc_detailed!B188</f>
        <v/>
      </c>
      <c r="C187">
        <f>lc_detailed!AD188</f>
        <v/>
      </c>
      <c r="D187">
        <f>lc_detailed!AE188</f>
        <v/>
      </c>
      <c r="E187">
        <f>lc_detailed!AF188</f>
        <v/>
      </c>
      <c r="F187">
        <f>lc_detailed!AG188</f>
        <v/>
      </c>
      <c r="G187">
        <f>lc_detailed!AH188</f>
        <v/>
      </c>
      <c r="H187">
        <f>lc_detailed!AI188</f>
        <v/>
      </c>
      <c r="I187">
        <f>lc_detailed!AK188</f>
        <v/>
      </c>
      <c r="J187">
        <f>lc_detailed!AL188</f>
        <v/>
      </c>
      <c r="K187">
        <f>lc_detailed!AB188</f>
        <v/>
      </c>
    </row>
    <row r="188">
      <c r="B188">
        <f>lc_detailed!B189</f>
        <v/>
      </c>
      <c r="C188">
        <f>lc_detailed!AD189</f>
        <v/>
      </c>
      <c r="D188">
        <f>lc_detailed!AE189</f>
        <v/>
      </c>
      <c r="E188">
        <f>lc_detailed!AF189</f>
        <v/>
      </c>
      <c r="F188">
        <f>lc_detailed!AG189</f>
        <v/>
      </c>
      <c r="G188">
        <f>lc_detailed!AH189</f>
        <v/>
      </c>
      <c r="H188">
        <f>lc_detailed!AI189</f>
        <v/>
      </c>
      <c r="I188">
        <f>lc_detailed!AK189</f>
        <v/>
      </c>
      <c r="J188">
        <f>lc_detailed!AL189</f>
        <v/>
      </c>
      <c r="K188">
        <f>lc_detailed!AB189</f>
        <v/>
      </c>
    </row>
    <row r="189">
      <c r="B189">
        <f>lc_detailed!B190</f>
        <v/>
      </c>
      <c r="C189">
        <f>lc_detailed!AD190</f>
        <v/>
      </c>
      <c r="D189">
        <f>lc_detailed!AE190</f>
        <v/>
      </c>
      <c r="E189">
        <f>lc_detailed!AF190</f>
        <v/>
      </c>
      <c r="F189">
        <f>lc_detailed!AG190</f>
        <v/>
      </c>
      <c r="G189">
        <f>lc_detailed!AH190</f>
        <v/>
      </c>
      <c r="H189">
        <f>lc_detailed!AI190</f>
        <v/>
      </c>
      <c r="I189">
        <f>lc_detailed!AK190</f>
        <v/>
      </c>
      <c r="J189">
        <f>lc_detailed!AL190</f>
        <v/>
      </c>
      <c r="K189">
        <f>lc_detailed!AB190</f>
        <v/>
      </c>
    </row>
    <row r="190">
      <c r="B190">
        <f>lc_detailed!B191</f>
        <v/>
      </c>
      <c r="C190">
        <f>lc_detailed!AD191</f>
        <v/>
      </c>
      <c r="D190">
        <f>lc_detailed!AE191</f>
        <v/>
      </c>
      <c r="E190">
        <f>lc_detailed!AF191</f>
        <v/>
      </c>
      <c r="F190">
        <f>lc_detailed!AG191</f>
        <v/>
      </c>
      <c r="G190">
        <f>lc_detailed!AH191</f>
        <v/>
      </c>
      <c r="H190">
        <f>lc_detailed!AI191</f>
        <v/>
      </c>
      <c r="I190">
        <f>lc_detailed!AK191</f>
        <v/>
      </c>
      <c r="J190">
        <f>lc_detailed!AL191</f>
        <v/>
      </c>
      <c r="K190">
        <f>lc_detailed!AB191</f>
        <v/>
      </c>
    </row>
    <row r="191">
      <c r="B191">
        <f>lc_detailed!B192</f>
        <v/>
      </c>
      <c r="C191">
        <f>lc_detailed!AD192</f>
        <v/>
      </c>
      <c r="D191">
        <f>lc_detailed!AE192</f>
        <v/>
      </c>
      <c r="E191">
        <f>lc_detailed!AF192</f>
        <v/>
      </c>
      <c r="F191">
        <f>lc_detailed!AG192</f>
        <v/>
      </c>
      <c r="G191">
        <f>lc_detailed!AH192</f>
        <v/>
      </c>
      <c r="H191">
        <f>lc_detailed!AI192</f>
        <v/>
      </c>
      <c r="I191">
        <f>lc_detailed!AK192</f>
        <v/>
      </c>
      <c r="J191">
        <f>lc_detailed!AL192</f>
        <v/>
      </c>
      <c r="K191">
        <f>lc_detailed!AB192</f>
        <v/>
      </c>
    </row>
    <row r="192">
      <c r="B192">
        <f>lc_detailed!B193</f>
        <v/>
      </c>
      <c r="C192">
        <f>lc_detailed!AD193</f>
        <v/>
      </c>
      <c r="D192">
        <f>lc_detailed!AE193</f>
        <v/>
      </c>
      <c r="E192">
        <f>lc_detailed!AF193</f>
        <v/>
      </c>
      <c r="F192">
        <f>lc_detailed!AG193</f>
        <v/>
      </c>
      <c r="G192">
        <f>lc_detailed!AH193</f>
        <v/>
      </c>
      <c r="H192">
        <f>lc_detailed!AI193</f>
        <v/>
      </c>
      <c r="I192">
        <f>lc_detailed!AK193</f>
        <v/>
      </c>
      <c r="J192">
        <f>lc_detailed!AL193</f>
        <v/>
      </c>
      <c r="K192">
        <f>lc_detailed!AB193</f>
        <v/>
      </c>
    </row>
    <row r="193">
      <c r="B193">
        <f>lc_detailed!B194</f>
        <v/>
      </c>
      <c r="C193">
        <f>lc_detailed!AD194</f>
        <v/>
      </c>
      <c r="D193">
        <f>lc_detailed!AE194</f>
        <v/>
      </c>
      <c r="E193">
        <f>lc_detailed!AF194</f>
        <v/>
      </c>
      <c r="F193">
        <f>lc_detailed!AG194</f>
        <v/>
      </c>
      <c r="G193">
        <f>lc_detailed!AH194</f>
        <v/>
      </c>
      <c r="H193">
        <f>lc_detailed!AI194</f>
        <v/>
      </c>
      <c r="I193">
        <f>lc_detailed!AK194</f>
        <v/>
      </c>
      <c r="J193">
        <f>lc_detailed!AL194</f>
        <v/>
      </c>
      <c r="K193">
        <f>lc_detailed!AB194</f>
        <v/>
      </c>
    </row>
    <row r="194">
      <c r="B194">
        <f>lc_detailed!B195</f>
        <v/>
      </c>
      <c r="C194">
        <f>lc_detailed!AD195</f>
        <v/>
      </c>
      <c r="D194">
        <f>lc_detailed!AE195</f>
        <v/>
      </c>
      <c r="E194">
        <f>lc_detailed!AF195</f>
        <v/>
      </c>
      <c r="F194">
        <f>lc_detailed!AG195</f>
        <v/>
      </c>
      <c r="G194">
        <f>lc_detailed!AH195</f>
        <v/>
      </c>
      <c r="H194">
        <f>lc_detailed!AI195</f>
        <v/>
      </c>
      <c r="I194">
        <f>lc_detailed!AK195</f>
        <v/>
      </c>
      <c r="J194">
        <f>lc_detailed!AL195</f>
        <v/>
      </c>
      <c r="K194">
        <f>lc_detailed!AB195</f>
        <v/>
      </c>
    </row>
    <row r="195">
      <c r="B195">
        <f>lc_detailed!B196</f>
        <v/>
      </c>
      <c r="C195">
        <f>lc_detailed!AD196</f>
        <v/>
      </c>
      <c r="D195">
        <f>lc_detailed!AE196</f>
        <v/>
      </c>
      <c r="E195">
        <f>lc_detailed!AF196</f>
        <v/>
      </c>
      <c r="F195">
        <f>lc_detailed!AG196</f>
        <v/>
      </c>
      <c r="G195">
        <f>lc_detailed!AH196</f>
        <v/>
      </c>
      <c r="H195">
        <f>lc_detailed!AI196</f>
        <v/>
      </c>
      <c r="I195">
        <f>lc_detailed!AK196</f>
        <v/>
      </c>
      <c r="J195">
        <f>lc_detailed!AL196</f>
        <v/>
      </c>
      <c r="K195">
        <f>lc_detailed!AB196</f>
        <v/>
      </c>
    </row>
    <row r="196">
      <c r="B196">
        <f>lc_detailed!B197</f>
        <v/>
      </c>
      <c r="C196">
        <f>lc_detailed!AD197</f>
        <v/>
      </c>
      <c r="D196">
        <f>lc_detailed!AE197</f>
        <v/>
      </c>
      <c r="E196">
        <f>lc_detailed!AF197</f>
        <v/>
      </c>
      <c r="F196">
        <f>lc_detailed!AG197</f>
        <v/>
      </c>
      <c r="G196">
        <f>lc_detailed!AH197</f>
        <v/>
      </c>
      <c r="H196">
        <f>lc_detailed!AI197</f>
        <v/>
      </c>
      <c r="I196">
        <f>lc_detailed!AK197</f>
        <v/>
      </c>
      <c r="J196">
        <f>lc_detailed!AL197</f>
        <v/>
      </c>
      <c r="K196">
        <f>lc_detailed!AB197</f>
        <v/>
      </c>
    </row>
    <row r="197">
      <c r="B197">
        <f>lc_detailed!B198</f>
        <v/>
      </c>
      <c r="C197">
        <f>lc_detailed!AD198</f>
        <v/>
      </c>
      <c r="D197">
        <f>lc_detailed!AE198</f>
        <v/>
      </c>
      <c r="E197">
        <f>lc_detailed!AF198</f>
        <v/>
      </c>
      <c r="F197">
        <f>lc_detailed!AG198</f>
        <v/>
      </c>
      <c r="G197">
        <f>lc_detailed!AH198</f>
        <v/>
      </c>
      <c r="H197">
        <f>lc_detailed!AI198</f>
        <v/>
      </c>
      <c r="I197">
        <f>lc_detailed!AK198</f>
        <v/>
      </c>
      <c r="J197">
        <f>lc_detailed!AL198</f>
        <v/>
      </c>
      <c r="K197">
        <f>lc_detailed!AB198</f>
        <v/>
      </c>
    </row>
    <row r="198">
      <c r="B198">
        <f>lc_detailed!B199</f>
        <v/>
      </c>
      <c r="C198">
        <f>lc_detailed!AD199</f>
        <v/>
      </c>
      <c r="D198">
        <f>lc_detailed!AE199</f>
        <v/>
      </c>
      <c r="E198">
        <f>lc_detailed!AF199</f>
        <v/>
      </c>
      <c r="F198">
        <f>lc_detailed!AG199</f>
        <v/>
      </c>
      <c r="G198">
        <f>lc_detailed!AH199</f>
        <v/>
      </c>
      <c r="H198">
        <f>lc_detailed!AI199</f>
        <v/>
      </c>
      <c r="I198">
        <f>lc_detailed!AK199</f>
        <v/>
      </c>
      <c r="J198">
        <f>lc_detailed!AL199</f>
        <v/>
      </c>
      <c r="K198">
        <f>lc_detailed!AB199</f>
        <v/>
      </c>
    </row>
    <row r="199">
      <c r="B199">
        <f>lc_detailed!B200</f>
        <v/>
      </c>
      <c r="C199">
        <f>lc_detailed!AD200</f>
        <v/>
      </c>
      <c r="D199">
        <f>lc_detailed!AE200</f>
        <v/>
      </c>
      <c r="E199">
        <f>lc_detailed!AF200</f>
        <v/>
      </c>
      <c r="F199">
        <f>lc_detailed!AG200</f>
        <v/>
      </c>
      <c r="G199">
        <f>lc_detailed!AH200</f>
        <v/>
      </c>
      <c r="H199">
        <f>lc_detailed!AI200</f>
        <v/>
      </c>
      <c r="I199">
        <f>lc_detailed!AK200</f>
        <v/>
      </c>
      <c r="J199">
        <f>lc_detailed!AL200</f>
        <v/>
      </c>
      <c r="K199">
        <f>lc_detailed!AB200</f>
        <v/>
      </c>
    </row>
    <row r="200">
      <c r="B200">
        <f>lc_detailed!B201</f>
        <v/>
      </c>
      <c r="C200">
        <f>lc_detailed!AD201</f>
        <v/>
      </c>
      <c r="D200">
        <f>lc_detailed!AE201</f>
        <v/>
      </c>
      <c r="E200">
        <f>lc_detailed!AF201</f>
        <v/>
      </c>
      <c r="F200">
        <f>lc_detailed!AG201</f>
        <v/>
      </c>
      <c r="G200">
        <f>lc_detailed!AH201</f>
        <v/>
      </c>
      <c r="H200">
        <f>lc_detailed!AI201</f>
        <v/>
      </c>
      <c r="I200">
        <f>lc_detailed!AK201</f>
        <v/>
      </c>
      <c r="J200">
        <f>lc_detailed!AL201</f>
        <v/>
      </c>
      <c r="K200">
        <f>lc_detailed!AB201</f>
        <v/>
      </c>
    </row>
    <row r="201">
      <c r="B201">
        <f>lc_detailed!B202</f>
        <v/>
      </c>
      <c r="C201">
        <f>lc_detailed!AD202</f>
        <v/>
      </c>
      <c r="D201">
        <f>lc_detailed!AE202</f>
        <v/>
      </c>
      <c r="E201">
        <f>lc_detailed!AF202</f>
        <v/>
      </c>
      <c r="F201">
        <f>lc_detailed!AG202</f>
        <v/>
      </c>
      <c r="G201">
        <f>lc_detailed!AH202</f>
        <v/>
      </c>
      <c r="H201">
        <f>lc_detailed!AI202</f>
        <v/>
      </c>
      <c r="I201">
        <f>lc_detailed!AK202</f>
        <v/>
      </c>
      <c r="J201">
        <f>lc_detailed!AL202</f>
        <v/>
      </c>
      <c r="K201">
        <f>lc_detailed!AB202</f>
        <v/>
      </c>
    </row>
    <row r="202">
      <c r="B202">
        <f>lc_detailed!B203</f>
        <v/>
      </c>
      <c r="C202">
        <f>lc_detailed!AD203</f>
        <v/>
      </c>
      <c r="D202">
        <f>lc_detailed!AE203</f>
        <v/>
      </c>
      <c r="E202">
        <f>lc_detailed!AF203</f>
        <v/>
      </c>
      <c r="F202">
        <f>lc_detailed!AG203</f>
        <v/>
      </c>
      <c r="G202">
        <f>lc_detailed!AH203</f>
        <v/>
      </c>
      <c r="H202">
        <f>lc_detailed!AI203</f>
        <v/>
      </c>
      <c r="I202">
        <f>lc_detailed!AK203</f>
        <v/>
      </c>
      <c r="J202">
        <f>lc_detailed!AL203</f>
        <v/>
      </c>
      <c r="K202">
        <f>lc_detailed!AB203</f>
        <v/>
      </c>
    </row>
    <row r="203">
      <c r="B203">
        <f>lc_detailed!B204</f>
        <v/>
      </c>
      <c r="C203">
        <f>lc_detailed!AD204</f>
        <v/>
      </c>
      <c r="D203">
        <f>lc_detailed!AE204</f>
        <v/>
      </c>
      <c r="E203">
        <f>lc_detailed!AF204</f>
        <v/>
      </c>
      <c r="F203">
        <f>lc_detailed!AG204</f>
        <v/>
      </c>
      <c r="G203">
        <f>lc_detailed!AH204</f>
        <v/>
      </c>
      <c r="H203">
        <f>lc_detailed!AI204</f>
        <v/>
      </c>
      <c r="I203">
        <f>lc_detailed!AK204</f>
        <v/>
      </c>
      <c r="J203">
        <f>lc_detailed!AL204</f>
        <v/>
      </c>
      <c r="K203">
        <f>lc_detailed!AB204</f>
        <v/>
      </c>
    </row>
    <row r="204">
      <c r="B204">
        <f>lc_detailed!B205</f>
        <v/>
      </c>
      <c r="C204">
        <f>lc_detailed!AD205</f>
        <v/>
      </c>
      <c r="D204">
        <f>lc_detailed!AE205</f>
        <v/>
      </c>
      <c r="E204">
        <f>lc_detailed!AF205</f>
        <v/>
      </c>
      <c r="F204">
        <f>lc_detailed!AG205</f>
        <v/>
      </c>
      <c r="G204">
        <f>lc_detailed!AH205</f>
        <v/>
      </c>
      <c r="H204">
        <f>lc_detailed!AI205</f>
        <v/>
      </c>
      <c r="I204">
        <f>lc_detailed!AK205</f>
        <v/>
      </c>
      <c r="J204">
        <f>lc_detailed!AL205</f>
        <v/>
      </c>
      <c r="K204">
        <f>lc_detailed!AB205</f>
        <v/>
      </c>
    </row>
    <row r="205">
      <c r="B205">
        <f>lc_detailed!B206</f>
        <v/>
      </c>
      <c r="C205">
        <f>lc_detailed!AD206</f>
        <v/>
      </c>
      <c r="D205">
        <f>lc_detailed!AE206</f>
        <v/>
      </c>
      <c r="E205">
        <f>lc_detailed!AF206</f>
        <v/>
      </c>
      <c r="F205">
        <f>lc_detailed!AG206</f>
        <v/>
      </c>
      <c r="G205">
        <f>lc_detailed!AH206</f>
        <v/>
      </c>
      <c r="H205">
        <f>lc_detailed!AI206</f>
        <v/>
      </c>
      <c r="I205">
        <f>lc_detailed!AK206</f>
        <v/>
      </c>
      <c r="J205">
        <f>lc_detailed!AL206</f>
        <v/>
      </c>
      <c r="K205">
        <f>lc_detailed!AB206</f>
        <v/>
      </c>
    </row>
    <row r="206">
      <c r="B206">
        <f>lc_detailed!B207</f>
        <v/>
      </c>
      <c r="C206">
        <f>lc_detailed!AD207</f>
        <v/>
      </c>
      <c r="D206">
        <f>lc_detailed!AE207</f>
        <v/>
      </c>
      <c r="E206">
        <f>lc_detailed!AF207</f>
        <v/>
      </c>
      <c r="F206">
        <f>lc_detailed!AG207</f>
        <v/>
      </c>
      <c r="G206">
        <f>lc_detailed!AH207</f>
        <v/>
      </c>
      <c r="H206">
        <f>lc_detailed!AI207</f>
        <v/>
      </c>
      <c r="I206">
        <f>lc_detailed!AK207</f>
        <v/>
      </c>
      <c r="J206">
        <f>lc_detailed!AL207</f>
        <v/>
      </c>
      <c r="K206">
        <f>lc_detailed!AB207</f>
        <v/>
      </c>
    </row>
    <row r="207">
      <c r="B207">
        <f>lc_detailed!B208</f>
        <v/>
      </c>
      <c r="C207">
        <f>lc_detailed!AD208</f>
        <v/>
      </c>
      <c r="D207">
        <f>lc_detailed!AE208</f>
        <v/>
      </c>
      <c r="E207">
        <f>lc_detailed!AF208</f>
        <v/>
      </c>
      <c r="F207">
        <f>lc_detailed!AG208</f>
        <v/>
      </c>
      <c r="G207">
        <f>lc_detailed!AH208</f>
        <v/>
      </c>
      <c r="H207">
        <f>lc_detailed!AI208</f>
        <v/>
      </c>
      <c r="I207">
        <f>lc_detailed!AK208</f>
        <v/>
      </c>
      <c r="J207">
        <f>lc_detailed!AL208</f>
        <v/>
      </c>
      <c r="K207">
        <f>lc_detailed!AB208</f>
        <v/>
      </c>
    </row>
    <row r="208">
      <c r="B208">
        <f>lc_detailed!B209</f>
        <v/>
      </c>
      <c r="C208">
        <f>lc_detailed!AD209</f>
        <v/>
      </c>
      <c r="D208">
        <f>lc_detailed!AE209</f>
        <v/>
      </c>
      <c r="E208">
        <f>lc_detailed!AF209</f>
        <v/>
      </c>
      <c r="F208">
        <f>lc_detailed!AG209</f>
        <v/>
      </c>
      <c r="G208">
        <f>lc_detailed!AH209</f>
        <v/>
      </c>
      <c r="H208">
        <f>lc_detailed!AI209</f>
        <v/>
      </c>
      <c r="I208">
        <f>lc_detailed!AK209</f>
        <v/>
      </c>
      <c r="J208">
        <f>lc_detailed!AL209</f>
        <v/>
      </c>
      <c r="K208">
        <f>lc_detailed!AB209</f>
        <v/>
      </c>
    </row>
    <row r="209">
      <c r="B209">
        <f>lc_detailed!B210</f>
        <v/>
      </c>
      <c r="C209">
        <f>lc_detailed!AD210</f>
        <v/>
      </c>
      <c r="D209">
        <f>lc_detailed!AE210</f>
        <v/>
      </c>
      <c r="E209">
        <f>lc_detailed!AF210</f>
        <v/>
      </c>
      <c r="F209">
        <f>lc_detailed!AG210</f>
        <v/>
      </c>
      <c r="G209">
        <f>lc_detailed!AH210</f>
        <v/>
      </c>
      <c r="H209">
        <f>lc_detailed!AI210</f>
        <v/>
      </c>
      <c r="I209">
        <f>lc_detailed!AK210</f>
        <v/>
      </c>
      <c r="J209">
        <f>lc_detailed!AL210</f>
        <v/>
      </c>
      <c r="K209">
        <f>lc_detailed!AB210</f>
        <v/>
      </c>
    </row>
    <row r="210">
      <c r="B210">
        <f>lc_detailed!B211</f>
        <v/>
      </c>
      <c r="C210">
        <f>lc_detailed!AD211</f>
        <v/>
      </c>
      <c r="D210">
        <f>lc_detailed!AE211</f>
        <v/>
      </c>
      <c r="E210">
        <f>lc_detailed!AF211</f>
        <v/>
      </c>
      <c r="F210">
        <f>lc_detailed!AG211</f>
        <v/>
      </c>
      <c r="G210">
        <f>lc_detailed!AH211</f>
        <v/>
      </c>
      <c r="H210">
        <f>lc_detailed!AI211</f>
        <v/>
      </c>
      <c r="I210">
        <f>lc_detailed!AK211</f>
        <v/>
      </c>
      <c r="J210">
        <f>lc_detailed!AL211</f>
        <v/>
      </c>
      <c r="K210">
        <f>lc_detailed!AB211</f>
        <v/>
      </c>
    </row>
    <row r="211">
      <c r="B211">
        <f>lc_detailed!B212</f>
        <v/>
      </c>
      <c r="C211">
        <f>lc_detailed!AD212</f>
        <v/>
      </c>
      <c r="D211">
        <f>lc_detailed!AE212</f>
        <v/>
      </c>
      <c r="E211">
        <f>lc_detailed!AF212</f>
        <v/>
      </c>
      <c r="F211">
        <f>lc_detailed!AG212</f>
        <v/>
      </c>
      <c r="G211">
        <f>lc_detailed!AH212</f>
        <v/>
      </c>
      <c r="H211">
        <f>lc_detailed!AI212</f>
        <v/>
      </c>
      <c r="I211">
        <f>lc_detailed!AK212</f>
        <v/>
      </c>
      <c r="J211">
        <f>lc_detailed!AL212</f>
        <v/>
      </c>
      <c r="K211">
        <f>lc_detailed!AB212</f>
        <v/>
      </c>
    </row>
    <row r="212">
      <c r="B212">
        <f>lc_detailed!B213</f>
        <v/>
      </c>
      <c r="C212">
        <f>lc_detailed!AD213</f>
        <v/>
      </c>
      <c r="D212">
        <f>lc_detailed!AE213</f>
        <v/>
      </c>
      <c r="E212">
        <f>lc_detailed!AF213</f>
        <v/>
      </c>
      <c r="F212">
        <f>lc_detailed!AG213</f>
        <v/>
      </c>
      <c r="G212">
        <f>lc_detailed!AH213</f>
        <v/>
      </c>
      <c r="H212">
        <f>lc_detailed!AI213</f>
        <v/>
      </c>
      <c r="I212">
        <f>lc_detailed!AK213</f>
        <v/>
      </c>
      <c r="J212">
        <f>lc_detailed!AL213</f>
        <v/>
      </c>
      <c r="K212">
        <f>lc_detailed!AB213</f>
        <v/>
      </c>
    </row>
    <row r="213">
      <c r="B213">
        <f>lc_detailed!B214</f>
        <v/>
      </c>
      <c r="C213">
        <f>lc_detailed!AD214</f>
        <v/>
      </c>
      <c r="D213">
        <f>lc_detailed!AE214</f>
        <v/>
      </c>
      <c r="E213">
        <f>lc_detailed!AF214</f>
        <v/>
      </c>
      <c r="F213">
        <f>lc_detailed!AG214</f>
        <v/>
      </c>
      <c r="G213">
        <f>lc_detailed!AH214</f>
        <v/>
      </c>
      <c r="H213">
        <f>lc_detailed!AI214</f>
        <v/>
      </c>
      <c r="I213">
        <f>lc_detailed!AK214</f>
        <v/>
      </c>
      <c r="J213">
        <f>lc_detailed!AL214</f>
        <v/>
      </c>
      <c r="K213">
        <f>lc_detailed!AB214</f>
        <v/>
      </c>
    </row>
    <row r="214">
      <c r="B214">
        <f>lc_detailed!B215</f>
        <v/>
      </c>
      <c r="C214">
        <f>lc_detailed!AD215</f>
        <v/>
      </c>
      <c r="D214">
        <f>lc_detailed!AE215</f>
        <v/>
      </c>
      <c r="E214">
        <f>lc_detailed!AF215</f>
        <v/>
      </c>
      <c r="F214">
        <f>lc_detailed!AG215</f>
        <v/>
      </c>
      <c r="G214">
        <f>lc_detailed!AH215</f>
        <v/>
      </c>
      <c r="H214">
        <f>lc_detailed!AI215</f>
        <v/>
      </c>
      <c r="I214">
        <f>lc_detailed!AK215</f>
        <v/>
      </c>
      <c r="J214">
        <f>lc_detailed!AL215</f>
        <v/>
      </c>
      <c r="K214">
        <f>lc_detailed!AB215</f>
        <v/>
      </c>
    </row>
    <row r="215">
      <c r="B215">
        <f>lc_detailed!B216</f>
        <v/>
      </c>
      <c r="C215">
        <f>lc_detailed!AD216</f>
        <v/>
      </c>
      <c r="D215">
        <f>lc_detailed!AE216</f>
        <v/>
      </c>
      <c r="E215">
        <f>lc_detailed!AF216</f>
        <v/>
      </c>
      <c r="F215">
        <f>lc_detailed!AG216</f>
        <v/>
      </c>
      <c r="G215">
        <f>lc_detailed!AH216</f>
        <v/>
      </c>
      <c r="H215">
        <f>lc_detailed!AI216</f>
        <v/>
      </c>
      <c r="I215">
        <f>lc_detailed!AK216</f>
        <v/>
      </c>
      <c r="J215">
        <f>lc_detailed!AL216</f>
        <v/>
      </c>
      <c r="K215">
        <f>lc_detailed!AB216</f>
        <v/>
      </c>
    </row>
    <row r="216">
      <c r="B216">
        <f>lc_detailed!B217</f>
        <v/>
      </c>
      <c r="C216">
        <f>lc_detailed!AD217</f>
        <v/>
      </c>
      <c r="D216">
        <f>lc_detailed!AE217</f>
        <v/>
      </c>
      <c r="E216">
        <f>lc_detailed!AF217</f>
        <v/>
      </c>
      <c r="F216">
        <f>lc_detailed!AG217</f>
        <v/>
      </c>
      <c r="G216">
        <f>lc_detailed!AH217</f>
        <v/>
      </c>
      <c r="H216">
        <f>lc_detailed!AI217</f>
        <v/>
      </c>
      <c r="I216">
        <f>lc_detailed!AK217</f>
        <v/>
      </c>
      <c r="J216">
        <f>lc_detailed!AL217</f>
        <v/>
      </c>
      <c r="K216">
        <f>lc_detailed!AB217</f>
        <v/>
      </c>
    </row>
    <row r="217">
      <c r="B217">
        <f>lc_detailed!B218</f>
        <v/>
      </c>
      <c r="C217">
        <f>lc_detailed!AD218</f>
        <v/>
      </c>
      <c r="D217">
        <f>lc_detailed!AE218</f>
        <v/>
      </c>
      <c r="E217">
        <f>lc_detailed!AF218</f>
        <v/>
      </c>
      <c r="F217">
        <f>lc_detailed!AG218</f>
        <v/>
      </c>
      <c r="G217">
        <f>lc_detailed!AH218</f>
        <v/>
      </c>
      <c r="H217">
        <f>lc_detailed!AI218</f>
        <v/>
      </c>
      <c r="I217">
        <f>lc_detailed!AK218</f>
        <v/>
      </c>
      <c r="J217">
        <f>lc_detailed!AL218</f>
        <v/>
      </c>
      <c r="K217">
        <f>lc_detailed!AB218</f>
        <v/>
      </c>
    </row>
    <row r="218">
      <c r="B218">
        <f>lc_detailed!B219</f>
        <v/>
      </c>
      <c r="C218">
        <f>lc_detailed!AD219</f>
        <v/>
      </c>
      <c r="D218">
        <f>lc_detailed!AE219</f>
        <v/>
      </c>
      <c r="E218">
        <f>lc_detailed!AF219</f>
        <v/>
      </c>
      <c r="F218">
        <f>lc_detailed!AG219</f>
        <v/>
      </c>
      <c r="G218">
        <f>lc_detailed!AH219</f>
        <v/>
      </c>
      <c r="H218">
        <f>lc_detailed!AI219</f>
        <v/>
      </c>
      <c r="I218">
        <f>lc_detailed!AK219</f>
        <v/>
      </c>
      <c r="J218">
        <f>lc_detailed!AL219</f>
        <v/>
      </c>
      <c r="K218">
        <f>lc_detailed!AB219</f>
        <v/>
      </c>
    </row>
    <row r="219">
      <c r="B219">
        <f>lc_detailed!B220</f>
        <v/>
      </c>
      <c r="C219">
        <f>lc_detailed!AD220</f>
        <v/>
      </c>
      <c r="D219">
        <f>lc_detailed!AE220</f>
        <v/>
      </c>
      <c r="E219">
        <f>lc_detailed!AF220</f>
        <v/>
      </c>
      <c r="F219">
        <f>lc_detailed!AG220</f>
        <v/>
      </c>
      <c r="G219">
        <f>lc_detailed!AH220</f>
        <v/>
      </c>
      <c r="H219">
        <f>lc_detailed!AI220</f>
        <v/>
      </c>
      <c r="I219">
        <f>lc_detailed!AK220</f>
        <v/>
      </c>
      <c r="J219">
        <f>lc_detailed!AL220</f>
        <v/>
      </c>
      <c r="K219">
        <f>lc_detailed!AB220</f>
        <v/>
      </c>
    </row>
    <row r="220">
      <c r="B220">
        <f>lc_detailed!B221</f>
        <v/>
      </c>
      <c r="C220">
        <f>lc_detailed!AD221</f>
        <v/>
      </c>
      <c r="D220">
        <f>lc_detailed!AE221</f>
        <v/>
      </c>
      <c r="E220">
        <f>lc_detailed!AF221</f>
        <v/>
      </c>
      <c r="F220">
        <f>lc_detailed!AG221</f>
        <v/>
      </c>
      <c r="G220">
        <f>lc_detailed!AH221</f>
        <v/>
      </c>
      <c r="H220">
        <f>lc_detailed!AI221</f>
        <v/>
      </c>
      <c r="I220">
        <f>lc_detailed!AK221</f>
        <v/>
      </c>
      <c r="J220">
        <f>lc_detailed!AL221</f>
        <v/>
      </c>
      <c r="K220">
        <f>lc_detailed!AB221</f>
        <v/>
      </c>
    </row>
    <row r="221">
      <c r="B221">
        <f>lc_detailed!B222</f>
        <v/>
      </c>
      <c r="C221">
        <f>lc_detailed!AD222</f>
        <v/>
      </c>
      <c r="D221">
        <f>lc_detailed!AE222</f>
        <v/>
      </c>
      <c r="E221">
        <f>lc_detailed!AF222</f>
        <v/>
      </c>
      <c r="F221">
        <f>lc_detailed!AG222</f>
        <v/>
      </c>
      <c r="G221">
        <f>lc_detailed!AH222</f>
        <v/>
      </c>
      <c r="H221">
        <f>lc_detailed!AI222</f>
        <v/>
      </c>
      <c r="I221">
        <f>lc_detailed!AK222</f>
        <v/>
      </c>
      <c r="J221">
        <f>lc_detailed!AL222</f>
        <v/>
      </c>
      <c r="K221">
        <f>lc_detailed!AB222</f>
        <v/>
      </c>
    </row>
    <row r="222">
      <c r="B222">
        <f>lc_detailed!B223</f>
        <v/>
      </c>
      <c r="C222">
        <f>lc_detailed!AD223</f>
        <v/>
      </c>
      <c r="D222">
        <f>lc_detailed!AE223</f>
        <v/>
      </c>
      <c r="E222">
        <f>lc_detailed!AF223</f>
        <v/>
      </c>
      <c r="F222">
        <f>lc_detailed!AG223</f>
        <v/>
      </c>
      <c r="G222">
        <f>lc_detailed!AH223</f>
        <v/>
      </c>
      <c r="H222">
        <f>lc_detailed!AI223</f>
        <v/>
      </c>
      <c r="I222">
        <f>lc_detailed!AK223</f>
        <v/>
      </c>
      <c r="J222">
        <f>lc_detailed!AL223</f>
        <v/>
      </c>
      <c r="K222">
        <f>lc_detailed!AB223</f>
        <v/>
      </c>
    </row>
    <row r="223">
      <c r="B223">
        <f>lc_detailed!B224</f>
        <v/>
      </c>
      <c r="C223">
        <f>lc_detailed!AD224</f>
        <v/>
      </c>
      <c r="D223">
        <f>lc_detailed!AE224</f>
        <v/>
      </c>
      <c r="E223">
        <f>lc_detailed!AF224</f>
        <v/>
      </c>
      <c r="F223">
        <f>lc_detailed!AG224</f>
        <v/>
      </c>
      <c r="G223">
        <f>lc_detailed!AH224</f>
        <v/>
      </c>
      <c r="H223">
        <f>lc_detailed!AI224</f>
        <v/>
      </c>
      <c r="I223">
        <f>lc_detailed!AK224</f>
        <v/>
      </c>
      <c r="J223">
        <f>lc_detailed!AL224</f>
        <v/>
      </c>
      <c r="K223">
        <f>lc_detailed!AB224</f>
        <v/>
      </c>
    </row>
    <row r="224">
      <c r="B224">
        <f>lc_detailed!B225</f>
        <v/>
      </c>
      <c r="C224">
        <f>lc_detailed!AD225</f>
        <v/>
      </c>
      <c r="D224">
        <f>lc_detailed!AE225</f>
        <v/>
      </c>
      <c r="E224">
        <f>lc_detailed!AF225</f>
        <v/>
      </c>
      <c r="F224">
        <f>lc_detailed!AG225</f>
        <v/>
      </c>
      <c r="G224">
        <f>lc_detailed!AH225</f>
        <v/>
      </c>
      <c r="H224">
        <f>lc_detailed!AI225</f>
        <v/>
      </c>
      <c r="I224">
        <f>lc_detailed!AK225</f>
        <v/>
      </c>
      <c r="J224">
        <f>lc_detailed!AL225</f>
        <v/>
      </c>
      <c r="K224">
        <f>lc_detailed!AB225</f>
        <v/>
      </c>
    </row>
    <row r="225">
      <c r="B225">
        <f>lc_detailed!B226</f>
        <v/>
      </c>
      <c r="C225">
        <f>lc_detailed!AD226</f>
        <v/>
      </c>
      <c r="D225">
        <f>lc_detailed!AE226</f>
        <v/>
      </c>
      <c r="E225">
        <f>lc_detailed!AF226</f>
        <v/>
      </c>
      <c r="F225">
        <f>lc_detailed!AG226</f>
        <v/>
      </c>
      <c r="G225">
        <f>lc_detailed!AH226</f>
        <v/>
      </c>
      <c r="H225">
        <f>lc_detailed!AI226</f>
        <v/>
      </c>
      <c r="I225">
        <f>lc_detailed!AK226</f>
        <v/>
      </c>
      <c r="J225">
        <f>lc_detailed!AL226</f>
        <v/>
      </c>
      <c r="K225">
        <f>lc_detailed!AB226</f>
        <v/>
      </c>
    </row>
    <row r="226">
      <c r="B226">
        <f>lc_detailed!B227</f>
        <v/>
      </c>
      <c r="C226">
        <f>lc_detailed!AD227</f>
        <v/>
      </c>
      <c r="D226">
        <f>lc_detailed!AE227</f>
        <v/>
      </c>
      <c r="E226">
        <f>lc_detailed!AF227</f>
        <v/>
      </c>
      <c r="F226">
        <f>lc_detailed!AG227</f>
        <v/>
      </c>
      <c r="G226">
        <f>lc_detailed!AH227</f>
        <v/>
      </c>
      <c r="H226">
        <f>lc_detailed!AI227</f>
        <v/>
      </c>
      <c r="I226">
        <f>lc_detailed!AK227</f>
        <v/>
      </c>
      <c r="J226">
        <f>lc_detailed!AL227</f>
        <v/>
      </c>
      <c r="K226">
        <f>lc_detailed!AB227</f>
        <v/>
      </c>
    </row>
    <row r="227">
      <c r="B227">
        <f>lc_detailed!B228</f>
        <v/>
      </c>
      <c r="C227">
        <f>lc_detailed!AD228</f>
        <v/>
      </c>
      <c r="D227">
        <f>lc_detailed!AE228</f>
        <v/>
      </c>
      <c r="E227">
        <f>lc_detailed!AF228</f>
        <v/>
      </c>
      <c r="F227">
        <f>lc_detailed!AG228</f>
        <v/>
      </c>
      <c r="G227">
        <f>lc_detailed!AH228</f>
        <v/>
      </c>
      <c r="H227">
        <f>lc_detailed!AI228</f>
        <v/>
      </c>
      <c r="I227">
        <f>lc_detailed!AK228</f>
        <v/>
      </c>
      <c r="J227">
        <f>lc_detailed!AL228</f>
        <v/>
      </c>
      <c r="K227">
        <f>lc_detailed!AB228</f>
        <v/>
      </c>
    </row>
    <row r="228">
      <c r="B228">
        <f>lc_detailed!B229</f>
        <v/>
      </c>
      <c r="C228">
        <f>lc_detailed!AD229</f>
        <v/>
      </c>
      <c r="D228">
        <f>lc_detailed!AE229</f>
        <v/>
      </c>
      <c r="E228">
        <f>lc_detailed!AF229</f>
        <v/>
      </c>
      <c r="F228">
        <f>lc_detailed!AG229</f>
        <v/>
      </c>
      <c r="G228">
        <f>lc_detailed!AH229</f>
        <v/>
      </c>
      <c r="H228">
        <f>lc_detailed!AI229</f>
        <v/>
      </c>
      <c r="I228">
        <f>lc_detailed!AK229</f>
        <v/>
      </c>
      <c r="J228">
        <f>lc_detailed!AL229</f>
        <v/>
      </c>
      <c r="K228">
        <f>lc_detailed!AB229</f>
        <v/>
      </c>
    </row>
    <row r="229">
      <c r="B229">
        <f>lc_detailed!B230</f>
        <v/>
      </c>
      <c r="C229">
        <f>lc_detailed!AD230</f>
        <v/>
      </c>
      <c r="D229">
        <f>lc_detailed!AE230</f>
        <v/>
      </c>
      <c r="E229">
        <f>lc_detailed!AF230</f>
        <v/>
      </c>
      <c r="F229">
        <f>lc_detailed!AG230</f>
        <v/>
      </c>
      <c r="G229">
        <f>lc_detailed!AH230</f>
        <v/>
      </c>
      <c r="H229">
        <f>lc_detailed!AI230</f>
        <v/>
      </c>
      <c r="I229">
        <f>lc_detailed!AK230</f>
        <v/>
      </c>
      <c r="J229">
        <f>lc_detailed!AL230</f>
        <v/>
      </c>
      <c r="K229">
        <f>lc_detailed!AB230</f>
        <v/>
      </c>
    </row>
    <row r="230">
      <c r="B230">
        <f>lc_detailed!B231</f>
        <v/>
      </c>
      <c r="C230">
        <f>lc_detailed!AD231</f>
        <v/>
      </c>
      <c r="D230">
        <f>lc_detailed!AE231</f>
        <v/>
      </c>
      <c r="E230">
        <f>lc_detailed!AF231</f>
        <v/>
      </c>
      <c r="F230">
        <f>lc_detailed!AG231</f>
        <v/>
      </c>
      <c r="G230">
        <f>lc_detailed!AH231</f>
        <v/>
      </c>
      <c r="H230">
        <f>lc_detailed!AI231</f>
        <v/>
      </c>
      <c r="I230">
        <f>lc_detailed!AK231</f>
        <v/>
      </c>
      <c r="J230">
        <f>lc_detailed!AL231</f>
        <v/>
      </c>
      <c r="K230">
        <f>lc_detailed!AB231</f>
        <v/>
      </c>
    </row>
    <row r="231">
      <c r="B231">
        <f>lc_detailed!B232</f>
        <v/>
      </c>
      <c r="C231">
        <f>lc_detailed!AD232</f>
        <v/>
      </c>
      <c r="D231">
        <f>lc_detailed!AE232</f>
        <v/>
      </c>
      <c r="E231">
        <f>lc_detailed!AF232</f>
        <v/>
      </c>
      <c r="F231">
        <f>lc_detailed!AG232</f>
        <v/>
      </c>
      <c r="G231">
        <f>lc_detailed!AH232</f>
        <v/>
      </c>
      <c r="H231">
        <f>lc_detailed!AI232</f>
        <v/>
      </c>
      <c r="I231">
        <f>lc_detailed!AK232</f>
        <v/>
      </c>
      <c r="J231">
        <f>lc_detailed!AL232</f>
        <v/>
      </c>
      <c r="K231">
        <f>lc_detailed!AB232</f>
        <v/>
      </c>
    </row>
    <row r="232">
      <c r="B232">
        <f>lc_detailed!B233</f>
        <v/>
      </c>
      <c r="C232">
        <f>lc_detailed!AD233</f>
        <v/>
      </c>
      <c r="D232">
        <f>lc_detailed!AE233</f>
        <v/>
      </c>
      <c r="E232">
        <f>lc_detailed!AF233</f>
        <v/>
      </c>
      <c r="F232">
        <f>lc_detailed!AG233</f>
        <v/>
      </c>
      <c r="G232">
        <f>lc_detailed!AH233</f>
        <v/>
      </c>
      <c r="H232">
        <f>lc_detailed!AI233</f>
        <v/>
      </c>
      <c r="I232">
        <f>lc_detailed!AK233</f>
        <v/>
      </c>
      <c r="J232">
        <f>lc_detailed!AL233</f>
        <v/>
      </c>
      <c r="K232">
        <f>lc_detailed!AB233</f>
        <v/>
      </c>
    </row>
    <row r="233">
      <c r="B233">
        <f>lc_detailed!B234</f>
        <v/>
      </c>
      <c r="C233">
        <f>lc_detailed!AD234</f>
        <v/>
      </c>
      <c r="D233">
        <f>lc_detailed!AE234</f>
        <v/>
      </c>
      <c r="E233">
        <f>lc_detailed!AF234</f>
        <v/>
      </c>
      <c r="F233">
        <f>lc_detailed!AG234</f>
        <v/>
      </c>
      <c r="G233">
        <f>lc_detailed!AH234</f>
        <v/>
      </c>
      <c r="H233">
        <f>lc_detailed!AI234</f>
        <v/>
      </c>
      <c r="I233">
        <f>lc_detailed!AK234</f>
        <v/>
      </c>
      <c r="J233">
        <f>lc_detailed!AL234</f>
        <v/>
      </c>
      <c r="K233">
        <f>lc_detailed!AB234</f>
        <v/>
      </c>
    </row>
    <row r="234">
      <c r="B234">
        <f>lc_detailed!B235</f>
        <v/>
      </c>
      <c r="C234">
        <f>lc_detailed!AD235</f>
        <v/>
      </c>
      <c r="D234">
        <f>lc_detailed!AE235</f>
        <v/>
      </c>
      <c r="E234">
        <f>lc_detailed!AF235</f>
        <v/>
      </c>
      <c r="F234">
        <f>lc_detailed!AG235</f>
        <v/>
      </c>
      <c r="G234">
        <f>lc_detailed!AH235</f>
        <v/>
      </c>
      <c r="H234">
        <f>lc_detailed!AI235</f>
        <v/>
      </c>
      <c r="I234">
        <f>lc_detailed!AK235</f>
        <v/>
      </c>
      <c r="J234">
        <f>lc_detailed!AL235</f>
        <v/>
      </c>
      <c r="K234">
        <f>lc_detailed!AB235</f>
        <v/>
      </c>
    </row>
    <row r="235">
      <c r="B235">
        <f>lc_detailed!B236</f>
        <v/>
      </c>
      <c r="C235">
        <f>lc_detailed!AD236</f>
        <v/>
      </c>
      <c r="D235">
        <f>lc_detailed!AE236</f>
        <v/>
      </c>
      <c r="E235">
        <f>lc_detailed!AF236</f>
        <v/>
      </c>
      <c r="F235">
        <f>lc_detailed!AG236</f>
        <v/>
      </c>
      <c r="G235">
        <f>lc_detailed!AH236</f>
        <v/>
      </c>
      <c r="H235">
        <f>lc_detailed!AI236</f>
        <v/>
      </c>
      <c r="I235">
        <f>lc_detailed!AK236</f>
        <v/>
      </c>
      <c r="J235">
        <f>lc_detailed!AL236</f>
        <v/>
      </c>
      <c r="K235">
        <f>lc_detailed!AB236</f>
        <v/>
      </c>
    </row>
    <row r="236">
      <c r="B236">
        <f>lc_detailed!B237</f>
        <v/>
      </c>
      <c r="C236">
        <f>lc_detailed!AD237</f>
        <v/>
      </c>
      <c r="D236">
        <f>lc_detailed!AE237</f>
        <v/>
      </c>
      <c r="E236">
        <f>lc_detailed!AF237</f>
        <v/>
      </c>
      <c r="F236">
        <f>lc_detailed!AG237</f>
        <v/>
      </c>
      <c r="G236">
        <f>lc_detailed!AH237</f>
        <v/>
      </c>
      <c r="H236">
        <f>lc_detailed!AI237</f>
        <v/>
      </c>
      <c r="I236">
        <f>lc_detailed!AK237</f>
        <v/>
      </c>
      <c r="J236">
        <f>lc_detailed!AL237</f>
        <v/>
      </c>
      <c r="K236">
        <f>lc_detailed!AB237</f>
        <v/>
      </c>
    </row>
    <row r="237">
      <c r="B237">
        <f>lc_detailed!B238</f>
        <v/>
      </c>
      <c r="C237">
        <f>lc_detailed!AD238</f>
        <v/>
      </c>
      <c r="D237">
        <f>lc_detailed!AE238</f>
        <v/>
      </c>
      <c r="E237">
        <f>lc_detailed!AF238</f>
        <v/>
      </c>
      <c r="F237">
        <f>lc_detailed!AG238</f>
        <v/>
      </c>
      <c r="G237">
        <f>lc_detailed!AH238</f>
        <v/>
      </c>
      <c r="H237">
        <f>lc_detailed!AI238</f>
        <v/>
      </c>
      <c r="I237">
        <f>lc_detailed!AK238</f>
        <v/>
      </c>
      <c r="J237">
        <f>lc_detailed!AL238</f>
        <v/>
      </c>
      <c r="K237">
        <f>lc_detailed!AB238</f>
        <v/>
      </c>
    </row>
    <row r="238">
      <c r="B238">
        <f>lc_detailed!B239</f>
        <v/>
      </c>
      <c r="C238">
        <f>lc_detailed!AD239</f>
        <v/>
      </c>
      <c r="D238">
        <f>lc_detailed!AE239</f>
        <v/>
      </c>
      <c r="E238">
        <f>lc_detailed!AF239</f>
        <v/>
      </c>
      <c r="F238">
        <f>lc_detailed!AG239</f>
        <v/>
      </c>
      <c r="G238">
        <f>lc_detailed!AH239</f>
        <v/>
      </c>
      <c r="H238">
        <f>lc_detailed!AI239</f>
        <v/>
      </c>
      <c r="I238">
        <f>lc_detailed!AK239</f>
        <v/>
      </c>
      <c r="J238">
        <f>lc_detailed!AL239</f>
        <v/>
      </c>
      <c r="K238">
        <f>lc_detailed!AB239</f>
        <v/>
      </c>
    </row>
    <row r="239">
      <c r="B239">
        <f>lc_detailed!B240</f>
        <v/>
      </c>
      <c r="C239">
        <f>lc_detailed!AD240</f>
        <v/>
      </c>
      <c r="D239">
        <f>lc_detailed!AE240</f>
        <v/>
      </c>
      <c r="E239">
        <f>lc_detailed!AF240</f>
        <v/>
      </c>
      <c r="F239">
        <f>lc_detailed!AG240</f>
        <v/>
      </c>
      <c r="G239">
        <f>lc_detailed!AH240</f>
        <v/>
      </c>
      <c r="H239">
        <f>lc_detailed!AI240</f>
        <v/>
      </c>
      <c r="I239">
        <f>lc_detailed!AK240</f>
        <v/>
      </c>
      <c r="J239">
        <f>lc_detailed!AL240</f>
        <v/>
      </c>
      <c r="K239">
        <f>lc_detailed!AB240</f>
        <v/>
      </c>
    </row>
    <row r="240">
      <c r="B240">
        <f>lc_detailed!B241</f>
        <v/>
      </c>
      <c r="C240">
        <f>lc_detailed!AD241</f>
        <v/>
      </c>
      <c r="D240">
        <f>lc_detailed!AE241</f>
        <v/>
      </c>
      <c r="E240">
        <f>lc_detailed!AF241</f>
        <v/>
      </c>
      <c r="F240">
        <f>lc_detailed!AG241</f>
        <v/>
      </c>
      <c r="G240">
        <f>lc_detailed!AH241</f>
        <v/>
      </c>
      <c r="H240">
        <f>lc_detailed!AI241</f>
        <v/>
      </c>
      <c r="I240">
        <f>lc_detailed!AK241</f>
        <v/>
      </c>
      <c r="J240">
        <f>lc_detailed!AL241</f>
        <v/>
      </c>
      <c r="K240">
        <f>lc_detailed!AB241</f>
        <v/>
      </c>
    </row>
    <row r="241">
      <c r="B241">
        <f>lc_detailed!B242</f>
        <v/>
      </c>
      <c r="C241">
        <f>lc_detailed!AD242</f>
        <v/>
      </c>
      <c r="D241">
        <f>lc_detailed!AE242</f>
        <v/>
      </c>
      <c r="E241">
        <f>lc_detailed!AF242</f>
        <v/>
      </c>
      <c r="F241">
        <f>lc_detailed!AG242</f>
        <v/>
      </c>
      <c r="G241">
        <f>lc_detailed!AH242</f>
        <v/>
      </c>
      <c r="H241">
        <f>lc_detailed!AI242</f>
        <v/>
      </c>
      <c r="I241">
        <f>lc_detailed!AK242</f>
        <v/>
      </c>
      <c r="J241">
        <f>lc_detailed!AL242</f>
        <v/>
      </c>
      <c r="K241">
        <f>lc_detailed!AB242</f>
        <v/>
      </c>
    </row>
    <row r="242">
      <c r="B242">
        <f>lc_detailed!B243</f>
        <v/>
      </c>
      <c r="C242">
        <f>lc_detailed!AD243</f>
        <v/>
      </c>
      <c r="D242">
        <f>lc_detailed!AE243</f>
        <v/>
      </c>
      <c r="E242">
        <f>lc_detailed!AF243</f>
        <v/>
      </c>
      <c r="F242">
        <f>lc_detailed!AG243</f>
        <v/>
      </c>
      <c r="G242">
        <f>lc_detailed!AH243</f>
        <v/>
      </c>
      <c r="H242">
        <f>lc_detailed!AI243</f>
        <v/>
      </c>
      <c r="I242">
        <f>lc_detailed!AK243</f>
        <v/>
      </c>
      <c r="J242">
        <f>lc_detailed!AL243</f>
        <v/>
      </c>
      <c r="K242">
        <f>lc_detailed!AB243</f>
        <v/>
      </c>
    </row>
    <row r="243">
      <c r="B243">
        <f>lc_detailed!B244</f>
        <v/>
      </c>
      <c r="C243">
        <f>lc_detailed!AD244</f>
        <v/>
      </c>
      <c r="D243">
        <f>lc_detailed!AE244</f>
        <v/>
      </c>
      <c r="E243">
        <f>lc_detailed!AF244</f>
        <v/>
      </c>
      <c r="F243">
        <f>lc_detailed!AG244</f>
        <v/>
      </c>
      <c r="G243">
        <f>lc_detailed!AH244</f>
        <v/>
      </c>
      <c r="H243">
        <f>lc_detailed!AI244</f>
        <v/>
      </c>
      <c r="I243">
        <f>lc_detailed!AK244</f>
        <v/>
      </c>
      <c r="J243">
        <f>lc_detailed!AL244</f>
        <v/>
      </c>
      <c r="K243">
        <f>lc_detailed!AB244</f>
        <v/>
      </c>
    </row>
    <row r="244">
      <c r="B244">
        <f>lc_detailed!B245</f>
        <v/>
      </c>
      <c r="C244">
        <f>lc_detailed!AD245</f>
        <v/>
      </c>
      <c r="D244">
        <f>lc_detailed!AE245</f>
        <v/>
      </c>
      <c r="E244">
        <f>lc_detailed!AF245</f>
        <v/>
      </c>
      <c r="F244">
        <f>lc_detailed!AG245</f>
        <v/>
      </c>
      <c r="G244">
        <f>lc_detailed!AH245</f>
        <v/>
      </c>
      <c r="H244">
        <f>lc_detailed!AI245</f>
        <v/>
      </c>
      <c r="I244">
        <f>lc_detailed!AK245</f>
        <v/>
      </c>
      <c r="J244">
        <f>lc_detailed!AL245</f>
        <v/>
      </c>
      <c r="K244">
        <f>lc_detailed!AB245</f>
        <v/>
      </c>
    </row>
    <row r="245">
      <c r="B245">
        <f>lc_detailed!B246</f>
        <v/>
      </c>
      <c r="C245">
        <f>lc_detailed!AD246</f>
        <v/>
      </c>
      <c r="D245">
        <f>lc_detailed!AE246</f>
        <v/>
      </c>
      <c r="E245">
        <f>lc_detailed!AF246</f>
        <v/>
      </c>
      <c r="F245">
        <f>lc_detailed!AG246</f>
        <v/>
      </c>
      <c r="G245">
        <f>lc_detailed!AH246</f>
        <v/>
      </c>
      <c r="H245">
        <f>lc_detailed!AI246</f>
        <v/>
      </c>
      <c r="I245">
        <f>lc_detailed!AK246</f>
        <v/>
      </c>
      <c r="J245">
        <f>lc_detailed!AL246</f>
        <v/>
      </c>
      <c r="K245">
        <f>lc_detailed!AB246</f>
        <v/>
      </c>
    </row>
    <row r="246">
      <c r="B246">
        <f>lc_detailed!B247</f>
        <v/>
      </c>
      <c r="C246">
        <f>lc_detailed!AD247</f>
        <v/>
      </c>
      <c r="D246">
        <f>lc_detailed!AE247</f>
        <v/>
      </c>
      <c r="E246">
        <f>lc_detailed!AF247</f>
        <v/>
      </c>
      <c r="F246">
        <f>lc_detailed!AG247</f>
        <v/>
      </c>
      <c r="G246">
        <f>lc_detailed!AH247</f>
        <v/>
      </c>
      <c r="H246">
        <f>lc_detailed!AI247</f>
        <v/>
      </c>
      <c r="I246">
        <f>lc_detailed!AK247</f>
        <v/>
      </c>
      <c r="J246">
        <f>lc_detailed!AL247</f>
        <v/>
      </c>
      <c r="K246">
        <f>lc_detailed!AB247</f>
        <v/>
      </c>
    </row>
    <row r="247">
      <c r="B247">
        <f>lc_detailed!B248</f>
        <v/>
      </c>
      <c r="C247">
        <f>lc_detailed!AD248</f>
        <v/>
      </c>
      <c r="D247">
        <f>lc_detailed!AE248</f>
        <v/>
      </c>
      <c r="E247">
        <f>lc_detailed!AF248</f>
        <v/>
      </c>
      <c r="F247">
        <f>lc_detailed!AG248</f>
        <v/>
      </c>
      <c r="G247">
        <f>lc_detailed!AH248</f>
        <v/>
      </c>
      <c r="H247">
        <f>lc_detailed!AI248</f>
        <v/>
      </c>
      <c r="I247">
        <f>lc_detailed!AK248</f>
        <v/>
      </c>
      <c r="J247">
        <f>lc_detailed!AL248</f>
        <v/>
      </c>
      <c r="K247">
        <f>lc_detailed!AB248</f>
        <v/>
      </c>
    </row>
    <row r="248">
      <c r="B248">
        <f>lc_detailed!B249</f>
        <v/>
      </c>
      <c r="C248">
        <f>lc_detailed!AD249</f>
        <v/>
      </c>
      <c r="D248">
        <f>lc_detailed!AE249</f>
        <v/>
      </c>
      <c r="E248">
        <f>lc_detailed!AF249</f>
        <v/>
      </c>
      <c r="F248">
        <f>lc_detailed!AG249</f>
        <v/>
      </c>
      <c r="G248">
        <f>lc_detailed!AH249</f>
        <v/>
      </c>
      <c r="H248">
        <f>lc_detailed!AI249</f>
        <v/>
      </c>
      <c r="I248">
        <f>lc_detailed!AK249</f>
        <v/>
      </c>
      <c r="J248">
        <f>lc_detailed!AL249</f>
        <v/>
      </c>
      <c r="K248">
        <f>lc_detailed!AB249</f>
        <v/>
      </c>
    </row>
    <row r="249">
      <c r="B249">
        <f>lc_detailed!B250</f>
        <v/>
      </c>
      <c r="C249">
        <f>lc_detailed!AD250</f>
        <v/>
      </c>
      <c r="D249">
        <f>lc_detailed!AE250</f>
        <v/>
      </c>
      <c r="E249">
        <f>lc_detailed!AF250</f>
        <v/>
      </c>
      <c r="F249">
        <f>lc_detailed!AG250</f>
        <v/>
      </c>
      <c r="G249">
        <f>lc_detailed!AH250</f>
        <v/>
      </c>
      <c r="H249">
        <f>lc_detailed!AI250</f>
        <v/>
      </c>
      <c r="I249">
        <f>lc_detailed!AK250</f>
        <v/>
      </c>
      <c r="J249">
        <f>lc_detailed!AL250</f>
        <v/>
      </c>
      <c r="K249">
        <f>lc_detailed!AB250</f>
        <v/>
      </c>
    </row>
    <row r="250">
      <c r="B250">
        <f>lc_detailed!B251</f>
        <v/>
      </c>
      <c r="C250">
        <f>lc_detailed!AD251</f>
        <v/>
      </c>
      <c r="D250">
        <f>lc_detailed!AE251</f>
        <v/>
      </c>
      <c r="E250">
        <f>lc_detailed!AF251</f>
        <v/>
      </c>
      <c r="F250">
        <f>lc_detailed!AG251</f>
        <v/>
      </c>
      <c r="G250">
        <f>lc_detailed!AH251</f>
        <v/>
      </c>
      <c r="H250">
        <f>lc_detailed!AI251</f>
        <v/>
      </c>
      <c r="I250">
        <f>lc_detailed!AK251</f>
        <v/>
      </c>
      <c r="J250">
        <f>lc_detailed!AL251</f>
        <v/>
      </c>
      <c r="K250">
        <f>lc_detailed!AB251</f>
        <v/>
      </c>
    </row>
    <row r="251">
      <c r="B251">
        <f>lc_detailed!B252</f>
        <v/>
      </c>
      <c r="C251">
        <f>lc_detailed!AD252</f>
        <v/>
      </c>
      <c r="D251">
        <f>lc_detailed!AE252</f>
        <v/>
      </c>
      <c r="E251">
        <f>lc_detailed!AF252</f>
        <v/>
      </c>
      <c r="F251">
        <f>lc_detailed!AG252</f>
        <v/>
      </c>
      <c r="G251">
        <f>lc_detailed!AH252</f>
        <v/>
      </c>
      <c r="H251">
        <f>lc_detailed!AI252</f>
        <v/>
      </c>
      <c r="I251">
        <f>lc_detailed!AK252</f>
        <v/>
      </c>
      <c r="J251">
        <f>lc_detailed!AL252</f>
        <v/>
      </c>
      <c r="K251">
        <f>lc_detailed!AB252</f>
        <v/>
      </c>
    </row>
    <row r="252">
      <c r="B252">
        <f>lc_detailed!B253</f>
        <v/>
      </c>
      <c r="C252">
        <f>lc_detailed!AD253</f>
        <v/>
      </c>
      <c r="D252">
        <f>lc_detailed!AE253</f>
        <v/>
      </c>
      <c r="E252">
        <f>lc_detailed!AF253</f>
        <v/>
      </c>
      <c r="F252">
        <f>lc_detailed!AG253</f>
        <v/>
      </c>
      <c r="G252">
        <f>lc_detailed!AH253</f>
        <v/>
      </c>
      <c r="H252">
        <f>lc_detailed!AI253</f>
        <v/>
      </c>
      <c r="I252">
        <f>lc_detailed!AK253</f>
        <v/>
      </c>
      <c r="J252">
        <f>lc_detailed!AL253</f>
        <v/>
      </c>
      <c r="K252">
        <f>lc_detailed!AB253</f>
        <v/>
      </c>
    </row>
    <row r="253">
      <c r="B253">
        <f>lc_detailed!B254</f>
        <v/>
      </c>
      <c r="C253">
        <f>lc_detailed!AD254</f>
        <v/>
      </c>
      <c r="D253">
        <f>lc_detailed!AE254</f>
        <v/>
      </c>
      <c r="E253">
        <f>lc_detailed!AF254</f>
        <v/>
      </c>
      <c r="F253">
        <f>lc_detailed!AG254</f>
        <v/>
      </c>
      <c r="G253">
        <f>lc_detailed!AH254</f>
        <v/>
      </c>
      <c r="H253">
        <f>lc_detailed!AI254</f>
        <v/>
      </c>
      <c r="I253">
        <f>lc_detailed!AK254</f>
        <v/>
      </c>
      <c r="J253">
        <f>lc_detailed!AL254</f>
        <v/>
      </c>
      <c r="K253">
        <f>lc_detailed!AB254</f>
        <v/>
      </c>
    </row>
    <row r="254">
      <c r="B254">
        <f>lc_detailed!B255</f>
        <v/>
      </c>
      <c r="C254">
        <f>lc_detailed!AD255</f>
        <v/>
      </c>
      <c r="D254">
        <f>lc_detailed!AE255</f>
        <v/>
      </c>
      <c r="E254">
        <f>lc_detailed!AF255</f>
        <v/>
      </c>
      <c r="F254">
        <f>lc_detailed!AG255</f>
        <v/>
      </c>
      <c r="G254">
        <f>lc_detailed!AH255</f>
        <v/>
      </c>
      <c r="H254">
        <f>lc_detailed!AI255</f>
        <v/>
      </c>
      <c r="I254">
        <f>lc_detailed!AK255</f>
        <v/>
      </c>
      <c r="J254">
        <f>lc_detailed!AL255</f>
        <v/>
      </c>
      <c r="K254">
        <f>lc_detailed!AB255</f>
        <v/>
      </c>
    </row>
    <row r="255">
      <c r="B255">
        <f>lc_detailed!B256</f>
        <v/>
      </c>
      <c r="C255">
        <f>lc_detailed!AD256</f>
        <v/>
      </c>
      <c r="D255">
        <f>lc_detailed!AE256</f>
        <v/>
      </c>
      <c r="E255">
        <f>lc_detailed!AF256</f>
        <v/>
      </c>
      <c r="F255">
        <f>lc_detailed!AG256</f>
        <v/>
      </c>
      <c r="G255">
        <f>lc_detailed!AH256</f>
        <v/>
      </c>
      <c r="H255">
        <f>lc_detailed!AI256</f>
        <v/>
      </c>
      <c r="I255">
        <f>lc_detailed!AK256</f>
        <v/>
      </c>
      <c r="J255">
        <f>lc_detailed!AL256</f>
        <v/>
      </c>
      <c r="K255">
        <f>lc_detailed!AB256</f>
        <v/>
      </c>
    </row>
    <row r="256">
      <c r="B256">
        <f>lc_detailed!B257</f>
        <v/>
      </c>
      <c r="C256">
        <f>lc_detailed!AD257</f>
        <v/>
      </c>
      <c r="D256">
        <f>lc_detailed!AE257</f>
        <v/>
      </c>
      <c r="E256">
        <f>lc_detailed!AF257</f>
        <v/>
      </c>
      <c r="F256">
        <f>lc_detailed!AG257</f>
        <v/>
      </c>
      <c r="G256">
        <f>lc_detailed!AH257</f>
        <v/>
      </c>
      <c r="H256">
        <f>lc_detailed!AI257</f>
        <v/>
      </c>
      <c r="I256">
        <f>lc_detailed!AK257</f>
        <v/>
      </c>
      <c r="J256">
        <f>lc_detailed!AL257</f>
        <v/>
      </c>
      <c r="K256">
        <f>lc_detailed!AB257</f>
        <v/>
      </c>
    </row>
    <row r="257">
      <c r="B257">
        <f>lc_detailed!B258</f>
        <v/>
      </c>
      <c r="C257">
        <f>lc_detailed!AD258</f>
        <v/>
      </c>
      <c r="D257">
        <f>lc_detailed!AE258</f>
        <v/>
      </c>
      <c r="E257">
        <f>lc_detailed!AF258</f>
        <v/>
      </c>
      <c r="F257">
        <f>lc_detailed!AG258</f>
        <v/>
      </c>
      <c r="G257">
        <f>lc_detailed!AH258</f>
        <v/>
      </c>
      <c r="H257">
        <f>lc_detailed!AI258</f>
        <v/>
      </c>
      <c r="I257">
        <f>lc_detailed!AK258</f>
        <v/>
      </c>
      <c r="J257">
        <f>lc_detailed!AL258</f>
        <v/>
      </c>
      <c r="K257">
        <f>lc_detailed!AB258</f>
        <v/>
      </c>
    </row>
    <row r="258">
      <c r="B258">
        <f>lc_detailed!B259</f>
        <v/>
      </c>
      <c r="C258">
        <f>lc_detailed!AD259</f>
        <v/>
      </c>
      <c r="D258">
        <f>lc_detailed!AE259</f>
        <v/>
      </c>
      <c r="E258">
        <f>lc_detailed!AF259</f>
        <v/>
      </c>
      <c r="F258">
        <f>lc_detailed!AG259</f>
        <v/>
      </c>
      <c r="G258">
        <f>lc_detailed!AH259</f>
        <v/>
      </c>
      <c r="H258">
        <f>lc_detailed!AI259</f>
        <v/>
      </c>
      <c r="I258">
        <f>lc_detailed!AK259</f>
        <v/>
      </c>
      <c r="J258">
        <f>lc_detailed!AL259</f>
        <v/>
      </c>
      <c r="K258">
        <f>lc_detailed!AB259</f>
        <v/>
      </c>
    </row>
    <row r="259">
      <c r="B259">
        <f>lc_detailed!B260</f>
        <v/>
      </c>
      <c r="C259">
        <f>lc_detailed!AD260</f>
        <v/>
      </c>
      <c r="D259">
        <f>lc_detailed!AE260</f>
        <v/>
      </c>
      <c r="E259">
        <f>lc_detailed!AF260</f>
        <v/>
      </c>
      <c r="F259">
        <f>lc_detailed!AG260</f>
        <v/>
      </c>
      <c r="G259">
        <f>lc_detailed!AH260</f>
        <v/>
      </c>
      <c r="H259">
        <f>lc_detailed!AI260</f>
        <v/>
      </c>
      <c r="I259">
        <f>lc_detailed!AK260</f>
        <v/>
      </c>
      <c r="J259">
        <f>lc_detailed!AL260</f>
        <v/>
      </c>
      <c r="K259">
        <f>lc_detailed!AB260</f>
        <v/>
      </c>
    </row>
    <row r="260">
      <c r="B260">
        <f>lc_detailed!B261</f>
        <v/>
      </c>
      <c r="C260">
        <f>lc_detailed!AD261</f>
        <v/>
      </c>
      <c r="D260">
        <f>lc_detailed!AE261</f>
        <v/>
      </c>
      <c r="E260">
        <f>lc_detailed!AF261</f>
        <v/>
      </c>
      <c r="F260">
        <f>lc_detailed!AG261</f>
        <v/>
      </c>
      <c r="G260">
        <f>lc_detailed!AH261</f>
        <v/>
      </c>
      <c r="H260">
        <f>lc_detailed!AI261</f>
        <v/>
      </c>
      <c r="I260">
        <f>lc_detailed!AK261</f>
        <v/>
      </c>
      <c r="J260">
        <f>lc_detailed!AL261</f>
        <v/>
      </c>
      <c r="K260">
        <f>lc_detailed!AB261</f>
        <v/>
      </c>
    </row>
    <row r="261">
      <c r="B261">
        <f>lc_detailed!B262</f>
        <v/>
      </c>
      <c r="C261">
        <f>lc_detailed!AD262</f>
        <v/>
      </c>
      <c r="D261">
        <f>lc_detailed!AE262</f>
        <v/>
      </c>
      <c r="E261">
        <f>lc_detailed!AF262</f>
        <v/>
      </c>
      <c r="F261">
        <f>lc_detailed!AG262</f>
        <v/>
      </c>
      <c r="G261">
        <f>lc_detailed!AH262</f>
        <v/>
      </c>
      <c r="H261">
        <f>lc_detailed!AI262</f>
        <v/>
      </c>
      <c r="I261">
        <f>lc_detailed!AK262</f>
        <v/>
      </c>
      <c r="J261">
        <f>lc_detailed!AL262</f>
        <v/>
      </c>
      <c r="K261">
        <f>lc_detailed!AB262</f>
        <v/>
      </c>
    </row>
    <row r="262">
      <c r="B262">
        <f>lc_detailed!B263</f>
        <v/>
      </c>
      <c r="C262">
        <f>lc_detailed!AD263</f>
        <v/>
      </c>
      <c r="D262">
        <f>lc_detailed!AE263</f>
        <v/>
      </c>
      <c r="E262">
        <f>lc_detailed!AF263</f>
        <v/>
      </c>
      <c r="F262">
        <f>lc_detailed!AG263</f>
        <v/>
      </c>
      <c r="G262">
        <f>lc_detailed!AH263</f>
        <v/>
      </c>
      <c r="H262">
        <f>lc_detailed!AI263</f>
        <v/>
      </c>
      <c r="I262">
        <f>lc_detailed!AK263</f>
        <v/>
      </c>
      <c r="J262">
        <f>lc_detailed!AL263</f>
        <v/>
      </c>
      <c r="K262">
        <f>lc_detailed!AB263</f>
        <v/>
      </c>
    </row>
    <row r="263">
      <c r="B263">
        <f>lc_detailed!B264</f>
        <v/>
      </c>
      <c r="C263">
        <f>lc_detailed!AD264</f>
        <v/>
      </c>
      <c r="D263">
        <f>lc_detailed!AE264</f>
        <v/>
      </c>
      <c r="E263">
        <f>lc_detailed!AF264</f>
        <v/>
      </c>
      <c r="F263">
        <f>lc_detailed!AG264</f>
        <v/>
      </c>
      <c r="G263">
        <f>lc_detailed!AH264</f>
        <v/>
      </c>
      <c r="H263">
        <f>lc_detailed!AI264</f>
        <v/>
      </c>
      <c r="I263">
        <f>lc_detailed!AK264</f>
        <v/>
      </c>
      <c r="J263">
        <f>lc_detailed!AL264</f>
        <v/>
      </c>
      <c r="K263">
        <f>lc_detailed!AB264</f>
        <v/>
      </c>
    </row>
    <row r="264">
      <c r="B264">
        <f>lc_detailed!B265</f>
        <v/>
      </c>
      <c r="C264">
        <f>lc_detailed!AD265</f>
        <v/>
      </c>
      <c r="D264">
        <f>lc_detailed!AE265</f>
        <v/>
      </c>
      <c r="E264">
        <f>lc_detailed!AF265</f>
        <v/>
      </c>
      <c r="F264">
        <f>lc_detailed!AG265</f>
        <v/>
      </c>
      <c r="G264">
        <f>lc_detailed!AH265</f>
        <v/>
      </c>
      <c r="H264">
        <f>lc_detailed!AI265</f>
        <v/>
      </c>
      <c r="I264">
        <f>lc_detailed!AK265</f>
        <v/>
      </c>
      <c r="J264">
        <f>lc_detailed!AL265</f>
        <v/>
      </c>
      <c r="K264">
        <f>lc_detailed!AB265</f>
        <v/>
      </c>
    </row>
    <row r="265">
      <c r="B265">
        <f>lc_detailed!B266</f>
        <v/>
      </c>
      <c r="C265">
        <f>lc_detailed!AD266</f>
        <v/>
      </c>
      <c r="D265">
        <f>lc_detailed!AE266</f>
        <v/>
      </c>
      <c r="E265">
        <f>lc_detailed!AF266</f>
        <v/>
      </c>
      <c r="F265">
        <f>lc_detailed!AG266</f>
        <v/>
      </c>
      <c r="G265">
        <f>lc_detailed!AH266</f>
        <v/>
      </c>
      <c r="H265">
        <f>lc_detailed!AI266</f>
        <v/>
      </c>
      <c r="I265">
        <f>lc_detailed!AK266</f>
        <v/>
      </c>
      <c r="J265">
        <f>lc_detailed!AL266</f>
        <v/>
      </c>
      <c r="K265">
        <f>lc_detailed!AB266</f>
        <v/>
      </c>
    </row>
    <row r="266">
      <c r="B266">
        <f>lc_detailed!B267</f>
        <v/>
      </c>
      <c r="C266">
        <f>lc_detailed!AD267</f>
        <v/>
      </c>
      <c r="D266">
        <f>lc_detailed!AE267</f>
        <v/>
      </c>
      <c r="E266">
        <f>lc_detailed!AF267</f>
        <v/>
      </c>
      <c r="F266">
        <f>lc_detailed!AG267</f>
        <v/>
      </c>
      <c r="G266">
        <f>lc_detailed!AH267</f>
        <v/>
      </c>
      <c r="H266">
        <f>lc_detailed!AI267</f>
        <v/>
      </c>
      <c r="I266">
        <f>lc_detailed!AK267</f>
        <v/>
      </c>
      <c r="J266">
        <f>lc_detailed!AL267</f>
        <v/>
      </c>
      <c r="K266">
        <f>lc_detailed!AB267</f>
        <v/>
      </c>
    </row>
    <row r="267">
      <c r="B267">
        <f>lc_detailed!B268</f>
        <v/>
      </c>
      <c r="C267">
        <f>lc_detailed!AD268</f>
        <v/>
      </c>
      <c r="D267">
        <f>lc_detailed!AE268</f>
        <v/>
      </c>
      <c r="E267">
        <f>lc_detailed!AF268</f>
        <v/>
      </c>
      <c r="F267">
        <f>lc_detailed!AG268</f>
        <v/>
      </c>
      <c r="G267">
        <f>lc_detailed!AH268</f>
        <v/>
      </c>
      <c r="H267">
        <f>lc_detailed!AI268</f>
        <v/>
      </c>
      <c r="I267">
        <f>lc_detailed!AK268</f>
        <v/>
      </c>
      <c r="J267">
        <f>lc_detailed!AL268</f>
        <v/>
      </c>
      <c r="K267">
        <f>lc_detailed!AB268</f>
        <v/>
      </c>
    </row>
    <row r="268">
      <c r="B268">
        <f>lc_detailed!B269</f>
        <v/>
      </c>
      <c r="C268">
        <f>lc_detailed!AD269</f>
        <v/>
      </c>
      <c r="D268">
        <f>lc_detailed!AE269</f>
        <v/>
      </c>
      <c r="E268">
        <f>lc_detailed!AF269</f>
        <v/>
      </c>
      <c r="F268">
        <f>lc_detailed!AG269</f>
        <v/>
      </c>
      <c r="G268">
        <f>lc_detailed!AH269</f>
        <v/>
      </c>
      <c r="H268">
        <f>lc_detailed!AI269</f>
        <v/>
      </c>
      <c r="I268">
        <f>lc_detailed!AK269</f>
        <v/>
      </c>
      <c r="J268">
        <f>lc_detailed!AL269</f>
        <v/>
      </c>
      <c r="K268">
        <f>lc_detailed!AB269</f>
        <v/>
      </c>
    </row>
    <row r="269">
      <c r="B269">
        <f>lc_detailed!B270</f>
        <v/>
      </c>
      <c r="C269">
        <f>lc_detailed!AD270</f>
        <v/>
      </c>
      <c r="D269">
        <f>lc_detailed!AE270</f>
        <v/>
      </c>
      <c r="E269">
        <f>lc_detailed!AF270</f>
        <v/>
      </c>
      <c r="F269">
        <f>lc_detailed!AG270</f>
        <v/>
      </c>
      <c r="G269">
        <f>lc_detailed!AH270</f>
        <v/>
      </c>
      <c r="H269">
        <f>lc_detailed!AI270</f>
        <v/>
      </c>
      <c r="I269">
        <f>lc_detailed!AK270</f>
        <v/>
      </c>
      <c r="J269">
        <f>lc_detailed!AL270</f>
        <v/>
      </c>
      <c r="K269">
        <f>lc_detailed!AB270</f>
        <v/>
      </c>
    </row>
    <row r="270">
      <c r="B270">
        <f>lc_detailed!B271</f>
        <v/>
      </c>
      <c r="C270">
        <f>lc_detailed!AD271</f>
        <v/>
      </c>
      <c r="D270">
        <f>lc_detailed!AE271</f>
        <v/>
      </c>
      <c r="E270">
        <f>lc_detailed!AF271</f>
        <v/>
      </c>
      <c r="F270">
        <f>lc_detailed!AG271</f>
        <v/>
      </c>
      <c r="G270">
        <f>lc_detailed!AH271</f>
        <v/>
      </c>
      <c r="H270">
        <f>lc_detailed!AI271</f>
        <v/>
      </c>
      <c r="I270">
        <f>lc_detailed!AK271</f>
        <v/>
      </c>
      <c r="J270">
        <f>lc_detailed!AL271</f>
        <v/>
      </c>
      <c r="K270">
        <f>lc_detailed!AB271</f>
        <v/>
      </c>
    </row>
    <row r="271">
      <c r="B271">
        <f>lc_detailed!B272</f>
        <v/>
      </c>
      <c r="C271">
        <f>lc_detailed!AD272</f>
        <v/>
      </c>
      <c r="D271">
        <f>lc_detailed!AE272</f>
        <v/>
      </c>
      <c r="E271">
        <f>lc_detailed!AF272</f>
        <v/>
      </c>
      <c r="F271">
        <f>lc_detailed!AG272</f>
        <v/>
      </c>
      <c r="G271">
        <f>lc_detailed!AH272</f>
        <v/>
      </c>
      <c r="H271">
        <f>lc_detailed!AI272</f>
        <v/>
      </c>
      <c r="I271">
        <f>lc_detailed!AK272</f>
        <v/>
      </c>
      <c r="J271">
        <f>lc_detailed!AL272</f>
        <v/>
      </c>
      <c r="K271">
        <f>lc_detailed!AB272</f>
        <v/>
      </c>
    </row>
    <row r="272">
      <c r="B272">
        <f>lc_detailed!B273</f>
        <v/>
      </c>
      <c r="C272">
        <f>lc_detailed!AD273</f>
        <v/>
      </c>
      <c r="D272">
        <f>lc_detailed!AE273</f>
        <v/>
      </c>
      <c r="E272">
        <f>lc_detailed!AF273</f>
        <v/>
      </c>
      <c r="F272">
        <f>lc_detailed!AG273</f>
        <v/>
      </c>
      <c r="G272">
        <f>lc_detailed!AH273</f>
        <v/>
      </c>
      <c r="H272">
        <f>lc_detailed!AI273</f>
        <v/>
      </c>
      <c r="I272">
        <f>lc_detailed!AK273</f>
        <v/>
      </c>
      <c r="J272">
        <f>lc_detailed!AL273</f>
        <v/>
      </c>
      <c r="K272">
        <f>lc_detailed!AB273</f>
        <v/>
      </c>
    </row>
    <row r="273">
      <c r="B273">
        <f>lc_detailed!B274</f>
        <v/>
      </c>
      <c r="C273">
        <f>lc_detailed!AD274</f>
        <v/>
      </c>
      <c r="D273">
        <f>lc_detailed!AE274</f>
        <v/>
      </c>
      <c r="E273">
        <f>lc_detailed!AF274</f>
        <v/>
      </c>
      <c r="F273">
        <f>lc_detailed!AG274</f>
        <v/>
      </c>
      <c r="G273">
        <f>lc_detailed!AH274</f>
        <v/>
      </c>
      <c r="H273">
        <f>lc_detailed!AI274</f>
        <v/>
      </c>
      <c r="I273">
        <f>lc_detailed!AK274</f>
        <v/>
      </c>
      <c r="J273">
        <f>lc_detailed!AL274</f>
        <v/>
      </c>
      <c r="K273">
        <f>lc_detailed!AB274</f>
        <v/>
      </c>
    </row>
    <row r="274">
      <c r="B274">
        <f>lc_detailed!B275</f>
        <v/>
      </c>
      <c r="C274">
        <f>lc_detailed!AD275</f>
        <v/>
      </c>
      <c r="D274">
        <f>lc_detailed!AE275</f>
        <v/>
      </c>
      <c r="E274">
        <f>lc_detailed!AF275</f>
        <v/>
      </c>
      <c r="F274">
        <f>lc_detailed!AG275</f>
        <v/>
      </c>
      <c r="G274">
        <f>lc_detailed!AH275</f>
        <v/>
      </c>
      <c r="H274">
        <f>lc_detailed!AI275</f>
        <v/>
      </c>
      <c r="I274">
        <f>lc_detailed!AK275</f>
        <v/>
      </c>
      <c r="J274">
        <f>lc_detailed!AL275</f>
        <v/>
      </c>
      <c r="K274">
        <f>lc_detailed!AB275</f>
        <v/>
      </c>
    </row>
    <row r="275">
      <c r="B275">
        <f>lc_detailed!B276</f>
        <v/>
      </c>
      <c r="C275">
        <f>lc_detailed!AD276</f>
        <v/>
      </c>
      <c r="D275">
        <f>lc_detailed!AE276</f>
        <v/>
      </c>
      <c r="E275">
        <f>lc_detailed!AF276</f>
        <v/>
      </c>
      <c r="F275">
        <f>lc_detailed!AG276</f>
        <v/>
      </c>
      <c r="G275">
        <f>lc_detailed!AH276</f>
        <v/>
      </c>
      <c r="H275">
        <f>lc_detailed!AI276</f>
        <v/>
      </c>
      <c r="I275">
        <f>lc_detailed!AK276</f>
        <v/>
      </c>
      <c r="J275">
        <f>lc_detailed!AL276</f>
        <v/>
      </c>
      <c r="K275">
        <f>lc_detailed!AB276</f>
        <v/>
      </c>
    </row>
    <row r="276">
      <c r="B276">
        <f>lc_detailed!B277</f>
        <v/>
      </c>
      <c r="C276">
        <f>lc_detailed!AD277</f>
        <v/>
      </c>
      <c r="D276">
        <f>lc_detailed!AE277</f>
        <v/>
      </c>
      <c r="E276">
        <f>lc_detailed!AF277</f>
        <v/>
      </c>
      <c r="F276">
        <f>lc_detailed!AG277</f>
        <v/>
      </c>
      <c r="G276">
        <f>lc_detailed!AH277</f>
        <v/>
      </c>
      <c r="H276">
        <f>lc_detailed!AI277</f>
        <v/>
      </c>
      <c r="I276">
        <f>lc_detailed!AK277</f>
        <v/>
      </c>
      <c r="J276">
        <f>lc_detailed!AL277</f>
        <v/>
      </c>
      <c r="K276">
        <f>lc_detailed!AB277</f>
        <v/>
      </c>
    </row>
    <row r="277">
      <c r="B277">
        <f>lc_detailed!B278</f>
        <v/>
      </c>
      <c r="C277">
        <f>lc_detailed!AD278</f>
        <v/>
      </c>
      <c r="D277">
        <f>lc_detailed!AE278</f>
        <v/>
      </c>
      <c r="E277">
        <f>lc_detailed!AF278</f>
        <v/>
      </c>
      <c r="F277">
        <f>lc_detailed!AG278</f>
        <v/>
      </c>
      <c r="G277">
        <f>lc_detailed!AH278</f>
        <v/>
      </c>
      <c r="H277">
        <f>lc_detailed!AI278</f>
        <v/>
      </c>
      <c r="I277">
        <f>lc_detailed!AK278</f>
        <v/>
      </c>
      <c r="J277">
        <f>lc_detailed!AL278</f>
        <v/>
      </c>
      <c r="K277">
        <f>lc_detailed!AB278</f>
        <v/>
      </c>
    </row>
    <row r="278">
      <c r="B278">
        <f>lc_detailed!B279</f>
        <v/>
      </c>
      <c r="C278">
        <f>lc_detailed!AD279</f>
        <v/>
      </c>
      <c r="D278">
        <f>lc_detailed!AE279</f>
        <v/>
      </c>
      <c r="E278">
        <f>lc_detailed!AF279</f>
        <v/>
      </c>
      <c r="F278">
        <f>lc_detailed!AG279</f>
        <v/>
      </c>
      <c r="G278">
        <f>lc_detailed!AH279</f>
        <v/>
      </c>
      <c r="H278">
        <f>lc_detailed!AI279</f>
        <v/>
      </c>
      <c r="I278">
        <f>lc_detailed!AK279</f>
        <v/>
      </c>
      <c r="J278">
        <f>lc_detailed!AL279</f>
        <v/>
      </c>
      <c r="K278">
        <f>lc_detailed!AB279</f>
        <v/>
      </c>
    </row>
    <row r="279">
      <c r="B279">
        <f>lc_detailed!B280</f>
        <v/>
      </c>
      <c r="C279">
        <f>lc_detailed!AD280</f>
        <v/>
      </c>
      <c r="D279">
        <f>lc_detailed!AE280</f>
        <v/>
      </c>
      <c r="E279">
        <f>lc_detailed!AF280</f>
        <v/>
      </c>
      <c r="F279">
        <f>lc_detailed!AG280</f>
        <v/>
      </c>
      <c r="G279">
        <f>lc_detailed!AH280</f>
        <v/>
      </c>
      <c r="H279">
        <f>lc_detailed!AI280</f>
        <v/>
      </c>
      <c r="I279">
        <f>lc_detailed!AK280</f>
        <v/>
      </c>
      <c r="J279">
        <f>lc_detailed!AL280</f>
        <v/>
      </c>
      <c r="K279">
        <f>lc_detailed!AB280</f>
        <v/>
      </c>
    </row>
    <row r="280">
      <c r="B280">
        <f>lc_detailed!B281</f>
        <v/>
      </c>
      <c r="C280">
        <f>lc_detailed!AD281</f>
        <v/>
      </c>
      <c r="D280">
        <f>lc_detailed!AE281</f>
        <v/>
      </c>
      <c r="E280">
        <f>lc_detailed!AF281</f>
        <v/>
      </c>
      <c r="F280">
        <f>lc_detailed!AG281</f>
        <v/>
      </c>
      <c r="G280">
        <f>lc_detailed!AH281</f>
        <v/>
      </c>
      <c r="H280">
        <f>lc_detailed!AI281</f>
        <v/>
      </c>
      <c r="I280">
        <f>lc_detailed!AK281</f>
        <v/>
      </c>
      <c r="J280">
        <f>lc_detailed!AL281</f>
        <v/>
      </c>
      <c r="K280">
        <f>lc_detailed!AB281</f>
        <v/>
      </c>
    </row>
    <row r="281">
      <c r="B281">
        <f>lc_detailed!B282</f>
        <v/>
      </c>
      <c r="C281">
        <f>lc_detailed!AD282</f>
        <v/>
      </c>
      <c r="D281">
        <f>lc_detailed!AE282</f>
        <v/>
      </c>
      <c r="E281">
        <f>lc_detailed!AF282</f>
        <v/>
      </c>
      <c r="F281">
        <f>lc_detailed!AG282</f>
        <v/>
      </c>
      <c r="G281">
        <f>lc_detailed!AH282</f>
        <v/>
      </c>
      <c r="H281">
        <f>lc_detailed!AI282</f>
        <v/>
      </c>
      <c r="I281">
        <f>lc_detailed!AK282</f>
        <v/>
      </c>
      <c r="J281">
        <f>lc_detailed!AL282</f>
        <v/>
      </c>
      <c r="K281">
        <f>lc_detailed!AB282</f>
        <v/>
      </c>
    </row>
    <row r="282">
      <c r="B282">
        <f>lc_detailed!B283</f>
        <v/>
      </c>
      <c r="C282">
        <f>lc_detailed!AD283</f>
        <v/>
      </c>
      <c r="D282">
        <f>lc_detailed!AE283</f>
        <v/>
      </c>
      <c r="E282">
        <f>lc_detailed!AF283</f>
        <v/>
      </c>
      <c r="F282">
        <f>lc_detailed!AG283</f>
        <v/>
      </c>
      <c r="G282">
        <f>lc_detailed!AH283</f>
        <v/>
      </c>
      <c r="H282">
        <f>lc_detailed!AI283</f>
        <v/>
      </c>
      <c r="I282">
        <f>lc_detailed!AK283</f>
        <v/>
      </c>
      <c r="J282">
        <f>lc_detailed!AL283</f>
        <v/>
      </c>
      <c r="K282">
        <f>lc_detailed!AB283</f>
        <v/>
      </c>
    </row>
    <row r="283">
      <c r="B283">
        <f>lc_detailed!B284</f>
        <v/>
      </c>
      <c r="C283">
        <f>lc_detailed!AD284</f>
        <v/>
      </c>
      <c r="D283">
        <f>lc_detailed!AE284</f>
        <v/>
      </c>
      <c r="E283">
        <f>lc_detailed!AF284</f>
        <v/>
      </c>
      <c r="F283">
        <f>lc_detailed!AG284</f>
        <v/>
      </c>
      <c r="G283">
        <f>lc_detailed!AH284</f>
        <v/>
      </c>
      <c r="H283">
        <f>lc_detailed!AI284</f>
        <v/>
      </c>
      <c r="I283">
        <f>lc_detailed!AK284</f>
        <v/>
      </c>
      <c r="J283">
        <f>lc_detailed!AL284</f>
        <v/>
      </c>
      <c r="K283">
        <f>lc_detailed!AB284</f>
        <v/>
      </c>
    </row>
    <row r="284">
      <c r="B284">
        <f>lc_detailed!B285</f>
        <v/>
      </c>
      <c r="C284">
        <f>lc_detailed!AD285</f>
        <v/>
      </c>
      <c r="D284">
        <f>lc_detailed!AE285</f>
        <v/>
      </c>
      <c r="E284">
        <f>lc_detailed!AF285</f>
        <v/>
      </c>
      <c r="F284">
        <f>lc_detailed!AG285</f>
        <v/>
      </c>
      <c r="G284">
        <f>lc_detailed!AH285</f>
        <v/>
      </c>
      <c r="H284">
        <f>lc_detailed!AI285</f>
        <v/>
      </c>
      <c r="I284">
        <f>lc_detailed!AK285</f>
        <v/>
      </c>
      <c r="J284">
        <f>lc_detailed!AL285</f>
        <v/>
      </c>
      <c r="K284">
        <f>lc_detailed!AB285</f>
        <v/>
      </c>
    </row>
    <row r="285">
      <c r="B285">
        <f>lc_detailed!B286</f>
        <v/>
      </c>
      <c r="C285">
        <f>lc_detailed!AD286</f>
        <v/>
      </c>
      <c r="D285">
        <f>lc_detailed!AE286</f>
        <v/>
      </c>
      <c r="E285">
        <f>lc_detailed!AF286</f>
        <v/>
      </c>
      <c r="F285">
        <f>lc_detailed!AG286</f>
        <v/>
      </c>
      <c r="G285">
        <f>lc_detailed!AH286</f>
        <v/>
      </c>
      <c r="H285">
        <f>lc_detailed!AI286</f>
        <v/>
      </c>
      <c r="I285">
        <f>lc_detailed!AK286</f>
        <v/>
      </c>
      <c r="J285">
        <f>lc_detailed!AL286</f>
        <v/>
      </c>
      <c r="K285">
        <f>lc_detailed!AB286</f>
        <v/>
      </c>
    </row>
    <row r="286">
      <c r="B286">
        <f>lc_detailed!B287</f>
        <v/>
      </c>
      <c r="C286">
        <f>lc_detailed!AD287</f>
        <v/>
      </c>
      <c r="D286">
        <f>lc_detailed!AE287</f>
        <v/>
      </c>
      <c r="E286">
        <f>lc_detailed!AF287</f>
        <v/>
      </c>
      <c r="F286">
        <f>lc_detailed!AG287</f>
        <v/>
      </c>
      <c r="G286">
        <f>lc_detailed!AH287</f>
        <v/>
      </c>
      <c r="H286">
        <f>lc_detailed!AI287</f>
        <v/>
      </c>
      <c r="I286">
        <f>lc_detailed!AK287</f>
        <v/>
      </c>
      <c r="J286">
        <f>lc_detailed!AL287</f>
        <v/>
      </c>
      <c r="K286">
        <f>lc_detailed!AB287</f>
        <v/>
      </c>
    </row>
    <row r="287">
      <c r="B287">
        <f>lc_detailed!B288</f>
        <v/>
      </c>
      <c r="C287">
        <f>lc_detailed!AD288</f>
        <v/>
      </c>
      <c r="D287">
        <f>lc_detailed!AE288</f>
        <v/>
      </c>
      <c r="E287">
        <f>lc_detailed!AF288</f>
        <v/>
      </c>
      <c r="F287">
        <f>lc_detailed!AG288</f>
        <v/>
      </c>
      <c r="G287">
        <f>lc_detailed!AH288</f>
        <v/>
      </c>
      <c r="H287">
        <f>lc_detailed!AI288</f>
        <v/>
      </c>
      <c r="I287">
        <f>lc_detailed!AK288</f>
        <v/>
      </c>
      <c r="J287">
        <f>lc_detailed!AL288</f>
        <v/>
      </c>
      <c r="K287">
        <f>lc_detailed!AB288</f>
        <v/>
      </c>
    </row>
    <row r="288">
      <c r="B288">
        <f>lc_detailed!B289</f>
        <v/>
      </c>
      <c r="C288">
        <f>lc_detailed!AD289</f>
        <v/>
      </c>
      <c r="D288">
        <f>lc_detailed!AE289</f>
        <v/>
      </c>
      <c r="E288">
        <f>lc_detailed!AF289</f>
        <v/>
      </c>
      <c r="F288">
        <f>lc_detailed!AG289</f>
        <v/>
      </c>
      <c r="G288">
        <f>lc_detailed!AH289</f>
        <v/>
      </c>
      <c r="H288">
        <f>lc_detailed!AI289</f>
        <v/>
      </c>
      <c r="I288">
        <f>lc_detailed!AK289</f>
        <v/>
      </c>
      <c r="J288">
        <f>lc_detailed!AL289</f>
        <v/>
      </c>
      <c r="K288">
        <f>lc_detailed!AB289</f>
        <v/>
      </c>
    </row>
    <row r="289">
      <c r="B289">
        <f>lc_detailed!B290</f>
        <v/>
      </c>
      <c r="C289">
        <f>lc_detailed!AD290</f>
        <v/>
      </c>
      <c r="D289">
        <f>lc_detailed!AE290</f>
        <v/>
      </c>
      <c r="E289">
        <f>lc_detailed!AF290</f>
        <v/>
      </c>
      <c r="F289">
        <f>lc_detailed!AG290</f>
        <v/>
      </c>
      <c r="G289">
        <f>lc_detailed!AH290</f>
        <v/>
      </c>
      <c r="H289">
        <f>lc_detailed!AI290</f>
        <v/>
      </c>
      <c r="I289">
        <f>lc_detailed!AK290</f>
        <v/>
      </c>
      <c r="J289">
        <f>lc_detailed!AL290</f>
        <v/>
      </c>
      <c r="K289">
        <f>lc_detailed!AB290</f>
        <v/>
      </c>
    </row>
    <row r="290">
      <c r="B290">
        <f>lc_detailed!B291</f>
        <v/>
      </c>
      <c r="C290">
        <f>lc_detailed!AD291</f>
        <v/>
      </c>
      <c r="D290">
        <f>lc_detailed!AE291</f>
        <v/>
      </c>
      <c r="E290">
        <f>lc_detailed!AF291</f>
        <v/>
      </c>
      <c r="F290">
        <f>lc_detailed!AG291</f>
        <v/>
      </c>
      <c r="G290">
        <f>lc_detailed!AH291</f>
        <v/>
      </c>
      <c r="H290">
        <f>lc_detailed!AI291</f>
        <v/>
      </c>
      <c r="I290">
        <f>lc_detailed!AK291</f>
        <v/>
      </c>
      <c r="J290">
        <f>lc_detailed!AL291</f>
        <v/>
      </c>
      <c r="K290">
        <f>lc_detailed!AB291</f>
        <v/>
      </c>
    </row>
    <row r="291">
      <c r="B291">
        <f>lc_detailed!B292</f>
        <v/>
      </c>
      <c r="C291">
        <f>lc_detailed!AD292</f>
        <v/>
      </c>
      <c r="D291">
        <f>lc_detailed!AE292</f>
        <v/>
      </c>
      <c r="E291">
        <f>lc_detailed!AF292</f>
        <v/>
      </c>
      <c r="F291">
        <f>lc_detailed!AG292</f>
        <v/>
      </c>
      <c r="G291">
        <f>lc_detailed!AH292</f>
        <v/>
      </c>
      <c r="H291">
        <f>lc_detailed!AI292</f>
        <v/>
      </c>
      <c r="I291">
        <f>lc_detailed!AK292</f>
        <v/>
      </c>
      <c r="J291">
        <f>lc_detailed!AL292</f>
        <v/>
      </c>
      <c r="K291">
        <f>lc_detailed!AB292</f>
        <v/>
      </c>
    </row>
    <row r="292">
      <c r="B292">
        <f>lc_detailed!B293</f>
        <v/>
      </c>
      <c r="C292">
        <f>lc_detailed!AD293</f>
        <v/>
      </c>
      <c r="D292">
        <f>lc_detailed!AE293</f>
        <v/>
      </c>
      <c r="E292">
        <f>lc_detailed!AF293</f>
        <v/>
      </c>
      <c r="F292">
        <f>lc_detailed!AG293</f>
        <v/>
      </c>
      <c r="G292">
        <f>lc_detailed!AH293</f>
        <v/>
      </c>
      <c r="H292">
        <f>lc_detailed!AI293</f>
        <v/>
      </c>
      <c r="I292">
        <f>lc_detailed!AK293</f>
        <v/>
      </c>
      <c r="J292">
        <f>lc_detailed!AL293</f>
        <v/>
      </c>
      <c r="K292">
        <f>lc_detailed!AB293</f>
        <v/>
      </c>
    </row>
    <row r="293">
      <c r="B293">
        <f>lc_detailed!B294</f>
        <v/>
      </c>
      <c r="C293">
        <f>lc_detailed!AD294</f>
        <v/>
      </c>
      <c r="D293">
        <f>lc_detailed!AE294</f>
        <v/>
      </c>
      <c r="E293">
        <f>lc_detailed!AF294</f>
        <v/>
      </c>
      <c r="F293">
        <f>lc_detailed!AG294</f>
        <v/>
      </c>
      <c r="G293">
        <f>lc_detailed!AH294</f>
        <v/>
      </c>
      <c r="H293">
        <f>lc_detailed!AI294</f>
        <v/>
      </c>
      <c r="I293">
        <f>lc_detailed!AK294</f>
        <v/>
      </c>
      <c r="J293">
        <f>lc_detailed!AL294</f>
        <v/>
      </c>
      <c r="K293">
        <f>lc_detailed!AB294</f>
        <v/>
      </c>
    </row>
    <row r="294">
      <c r="B294">
        <f>lc_detailed!B295</f>
        <v/>
      </c>
      <c r="C294">
        <f>lc_detailed!AD295</f>
        <v/>
      </c>
      <c r="D294">
        <f>lc_detailed!AE295</f>
        <v/>
      </c>
      <c r="E294">
        <f>lc_detailed!AF295</f>
        <v/>
      </c>
      <c r="F294">
        <f>lc_detailed!AG295</f>
        <v/>
      </c>
      <c r="G294">
        <f>lc_detailed!AH295</f>
        <v/>
      </c>
      <c r="H294">
        <f>lc_detailed!AI295</f>
        <v/>
      </c>
      <c r="I294">
        <f>lc_detailed!AK295</f>
        <v/>
      </c>
      <c r="J294">
        <f>lc_detailed!AL295</f>
        <v/>
      </c>
      <c r="K294">
        <f>lc_detailed!AB295</f>
        <v/>
      </c>
    </row>
    <row r="295">
      <c r="B295">
        <f>lc_detailed!B296</f>
        <v/>
      </c>
      <c r="C295">
        <f>lc_detailed!AD296</f>
        <v/>
      </c>
      <c r="D295">
        <f>lc_detailed!AE296</f>
        <v/>
      </c>
      <c r="E295">
        <f>lc_detailed!AF296</f>
        <v/>
      </c>
      <c r="F295">
        <f>lc_detailed!AG296</f>
        <v/>
      </c>
      <c r="G295">
        <f>lc_detailed!AH296</f>
        <v/>
      </c>
      <c r="H295">
        <f>lc_detailed!AI296</f>
        <v/>
      </c>
      <c r="I295">
        <f>lc_detailed!AK296</f>
        <v/>
      </c>
      <c r="J295">
        <f>lc_detailed!AL296</f>
        <v/>
      </c>
      <c r="K295">
        <f>lc_detailed!AB296</f>
        <v/>
      </c>
    </row>
    <row r="296">
      <c r="B296">
        <f>lc_detailed!B297</f>
        <v/>
      </c>
      <c r="C296">
        <f>lc_detailed!AD297</f>
        <v/>
      </c>
      <c r="D296">
        <f>lc_detailed!AE297</f>
        <v/>
      </c>
      <c r="E296">
        <f>lc_detailed!AF297</f>
        <v/>
      </c>
      <c r="F296">
        <f>lc_detailed!AG297</f>
        <v/>
      </c>
      <c r="G296">
        <f>lc_detailed!AH297</f>
        <v/>
      </c>
      <c r="H296">
        <f>lc_detailed!AI297</f>
        <v/>
      </c>
      <c r="I296">
        <f>lc_detailed!AK297</f>
        <v/>
      </c>
      <c r="J296">
        <f>lc_detailed!AL297</f>
        <v/>
      </c>
      <c r="K296">
        <f>lc_detailed!AB297</f>
        <v/>
      </c>
    </row>
    <row r="297">
      <c r="B297">
        <f>lc_detailed!B298</f>
        <v/>
      </c>
      <c r="C297">
        <f>lc_detailed!AD298</f>
        <v/>
      </c>
      <c r="D297">
        <f>lc_detailed!AE298</f>
        <v/>
      </c>
      <c r="E297">
        <f>lc_detailed!AF298</f>
        <v/>
      </c>
      <c r="F297">
        <f>lc_detailed!AG298</f>
        <v/>
      </c>
      <c r="G297">
        <f>lc_detailed!AH298</f>
        <v/>
      </c>
      <c r="H297">
        <f>lc_detailed!AI298</f>
        <v/>
      </c>
      <c r="I297">
        <f>lc_detailed!AK298</f>
        <v/>
      </c>
      <c r="J297">
        <f>lc_detailed!AL298</f>
        <v/>
      </c>
      <c r="K297">
        <f>lc_detailed!AB298</f>
        <v/>
      </c>
    </row>
    <row r="298">
      <c r="B298">
        <f>lc_detailed!B299</f>
        <v/>
      </c>
      <c r="C298">
        <f>lc_detailed!AD299</f>
        <v/>
      </c>
      <c r="D298">
        <f>lc_detailed!AE299</f>
        <v/>
      </c>
      <c r="E298">
        <f>lc_detailed!AF299</f>
        <v/>
      </c>
      <c r="F298">
        <f>lc_detailed!AG299</f>
        <v/>
      </c>
      <c r="G298">
        <f>lc_detailed!AH299</f>
        <v/>
      </c>
      <c r="H298">
        <f>lc_detailed!AI299</f>
        <v/>
      </c>
      <c r="I298">
        <f>lc_detailed!AK299</f>
        <v/>
      </c>
      <c r="J298">
        <f>lc_detailed!AL299</f>
        <v/>
      </c>
      <c r="K298">
        <f>lc_detailed!AB299</f>
        <v/>
      </c>
    </row>
    <row r="299">
      <c r="B299">
        <f>lc_detailed!B300</f>
        <v/>
      </c>
      <c r="C299">
        <f>lc_detailed!AD300</f>
        <v/>
      </c>
      <c r="D299">
        <f>lc_detailed!AE300</f>
        <v/>
      </c>
      <c r="E299">
        <f>lc_detailed!AF300</f>
        <v/>
      </c>
      <c r="F299">
        <f>lc_detailed!AG300</f>
        <v/>
      </c>
      <c r="G299">
        <f>lc_detailed!AH300</f>
        <v/>
      </c>
      <c r="H299">
        <f>lc_detailed!AI300</f>
        <v/>
      </c>
      <c r="I299">
        <f>lc_detailed!AK300</f>
        <v/>
      </c>
      <c r="J299">
        <f>lc_detailed!AL300</f>
        <v/>
      </c>
      <c r="K299">
        <f>lc_detailed!AB300</f>
        <v/>
      </c>
    </row>
    <row r="300">
      <c r="B300">
        <f>lc_detailed!B301</f>
        <v/>
      </c>
      <c r="C300">
        <f>lc_detailed!AD301</f>
        <v/>
      </c>
      <c r="D300">
        <f>lc_detailed!AE301</f>
        <v/>
      </c>
      <c r="E300">
        <f>lc_detailed!AF301</f>
        <v/>
      </c>
      <c r="F300">
        <f>lc_detailed!AG301</f>
        <v/>
      </c>
      <c r="G300">
        <f>lc_detailed!AH301</f>
        <v/>
      </c>
      <c r="H300">
        <f>lc_detailed!AI301</f>
        <v/>
      </c>
      <c r="I300">
        <f>lc_detailed!AK301</f>
        <v/>
      </c>
      <c r="J300">
        <f>lc_detailed!AL301</f>
        <v/>
      </c>
      <c r="K300">
        <f>lc_detailed!AB301</f>
        <v/>
      </c>
    </row>
    <row r="301">
      <c r="B301">
        <f>lc_detailed!B302</f>
        <v/>
      </c>
      <c r="C301">
        <f>lc_detailed!AD302</f>
        <v/>
      </c>
      <c r="D301">
        <f>lc_detailed!AE302</f>
        <v/>
      </c>
      <c r="E301">
        <f>lc_detailed!AF302</f>
        <v/>
      </c>
      <c r="F301">
        <f>lc_detailed!AG302</f>
        <v/>
      </c>
      <c r="G301">
        <f>lc_detailed!AH302</f>
        <v/>
      </c>
      <c r="H301">
        <f>lc_detailed!AI302</f>
        <v/>
      </c>
      <c r="I301">
        <f>lc_detailed!AK302</f>
        <v/>
      </c>
      <c r="J301">
        <f>lc_detailed!AL302</f>
        <v/>
      </c>
      <c r="K301">
        <f>lc_detailed!AB302</f>
        <v/>
      </c>
    </row>
    <row r="302">
      <c r="B302">
        <f>lc_detailed!B303</f>
        <v/>
      </c>
      <c r="C302">
        <f>lc_detailed!AD303</f>
        <v/>
      </c>
      <c r="D302">
        <f>lc_detailed!AE303</f>
        <v/>
      </c>
      <c r="E302">
        <f>lc_detailed!AF303</f>
        <v/>
      </c>
      <c r="F302">
        <f>lc_detailed!AG303</f>
        <v/>
      </c>
      <c r="G302">
        <f>lc_detailed!AH303</f>
        <v/>
      </c>
      <c r="H302">
        <f>lc_detailed!AI303</f>
        <v/>
      </c>
      <c r="I302">
        <f>lc_detailed!AK303</f>
        <v/>
      </c>
      <c r="J302">
        <f>lc_detailed!AL303</f>
        <v/>
      </c>
      <c r="K302">
        <f>lc_detailed!AB303</f>
        <v/>
      </c>
    </row>
    <row r="303">
      <c r="B303">
        <f>lc_detailed!B304</f>
        <v/>
      </c>
      <c r="C303">
        <f>lc_detailed!AD304</f>
        <v/>
      </c>
      <c r="D303">
        <f>lc_detailed!AE304</f>
        <v/>
      </c>
      <c r="E303">
        <f>lc_detailed!AF304</f>
        <v/>
      </c>
      <c r="F303">
        <f>lc_detailed!AG304</f>
        <v/>
      </c>
      <c r="G303">
        <f>lc_detailed!AH304</f>
        <v/>
      </c>
      <c r="H303">
        <f>lc_detailed!AI304</f>
        <v/>
      </c>
      <c r="I303">
        <f>lc_detailed!AK304</f>
        <v/>
      </c>
      <c r="J303">
        <f>lc_detailed!AL304</f>
        <v/>
      </c>
      <c r="K303">
        <f>lc_detailed!AB304</f>
        <v/>
      </c>
    </row>
    <row r="304">
      <c r="B304">
        <f>lc_detailed!B305</f>
        <v/>
      </c>
      <c r="C304">
        <f>lc_detailed!AD305</f>
        <v/>
      </c>
      <c r="D304">
        <f>lc_detailed!AE305</f>
        <v/>
      </c>
      <c r="E304">
        <f>lc_detailed!AF305</f>
        <v/>
      </c>
      <c r="F304">
        <f>lc_detailed!AG305</f>
        <v/>
      </c>
      <c r="G304">
        <f>lc_detailed!AH305</f>
        <v/>
      </c>
      <c r="H304">
        <f>lc_detailed!AI305</f>
        <v/>
      </c>
      <c r="I304">
        <f>lc_detailed!AK305</f>
        <v/>
      </c>
      <c r="J304">
        <f>lc_detailed!AL305</f>
        <v/>
      </c>
      <c r="K304">
        <f>lc_detailed!AB305</f>
        <v/>
      </c>
    </row>
    <row r="305">
      <c r="B305">
        <f>lc_detailed!B306</f>
        <v/>
      </c>
      <c r="C305">
        <f>lc_detailed!AD306</f>
        <v/>
      </c>
      <c r="D305">
        <f>lc_detailed!AE306</f>
        <v/>
      </c>
      <c r="E305">
        <f>lc_detailed!AF306</f>
        <v/>
      </c>
      <c r="F305">
        <f>lc_detailed!AG306</f>
        <v/>
      </c>
      <c r="G305">
        <f>lc_detailed!AH306</f>
        <v/>
      </c>
      <c r="H305">
        <f>lc_detailed!AI306</f>
        <v/>
      </c>
      <c r="I305">
        <f>lc_detailed!AK306</f>
        <v/>
      </c>
      <c r="J305">
        <f>lc_detailed!AL306</f>
        <v/>
      </c>
      <c r="K305">
        <f>lc_detailed!AB306</f>
        <v/>
      </c>
    </row>
    <row r="306">
      <c r="B306">
        <f>lc_detailed!B307</f>
        <v/>
      </c>
      <c r="C306">
        <f>lc_detailed!AD307</f>
        <v/>
      </c>
      <c r="D306">
        <f>lc_detailed!AE307</f>
        <v/>
      </c>
      <c r="E306">
        <f>lc_detailed!AF307</f>
        <v/>
      </c>
      <c r="F306">
        <f>lc_detailed!AG307</f>
        <v/>
      </c>
      <c r="G306">
        <f>lc_detailed!AH307</f>
        <v/>
      </c>
      <c r="H306">
        <f>lc_detailed!AI307</f>
        <v/>
      </c>
      <c r="I306">
        <f>lc_detailed!AK307</f>
        <v/>
      </c>
      <c r="J306">
        <f>lc_detailed!AL307</f>
        <v/>
      </c>
      <c r="K306">
        <f>lc_detailed!AB307</f>
        <v/>
      </c>
    </row>
    <row r="307">
      <c r="B307">
        <f>lc_detailed!B308</f>
        <v/>
      </c>
      <c r="C307">
        <f>lc_detailed!AD308</f>
        <v/>
      </c>
      <c r="D307">
        <f>lc_detailed!AE308</f>
        <v/>
      </c>
      <c r="E307">
        <f>lc_detailed!AF308</f>
        <v/>
      </c>
      <c r="F307">
        <f>lc_detailed!AG308</f>
        <v/>
      </c>
      <c r="G307">
        <f>lc_detailed!AH308</f>
        <v/>
      </c>
      <c r="H307">
        <f>lc_detailed!AI308</f>
        <v/>
      </c>
      <c r="I307">
        <f>lc_detailed!AK308</f>
        <v/>
      </c>
      <c r="J307">
        <f>lc_detailed!AL308</f>
        <v/>
      </c>
      <c r="K307">
        <f>lc_detailed!AB308</f>
        <v/>
      </c>
    </row>
    <row r="308">
      <c r="B308">
        <f>lc_detailed!B309</f>
        <v/>
      </c>
      <c r="C308">
        <f>lc_detailed!AD309</f>
        <v/>
      </c>
      <c r="D308">
        <f>lc_detailed!AE309</f>
        <v/>
      </c>
      <c r="E308">
        <f>lc_detailed!AF309</f>
        <v/>
      </c>
      <c r="F308">
        <f>lc_detailed!AG309</f>
        <v/>
      </c>
      <c r="G308">
        <f>lc_detailed!AH309</f>
        <v/>
      </c>
      <c r="H308">
        <f>lc_detailed!AI309</f>
        <v/>
      </c>
      <c r="I308">
        <f>lc_detailed!AK309</f>
        <v/>
      </c>
      <c r="J308">
        <f>lc_detailed!AL309</f>
        <v/>
      </c>
      <c r="K308">
        <f>lc_detailed!AB309</f>
        <v/>
      </c>
    </row>
    <row r="309">
      <c r="B309">
        <f>lc_detailed!B310</f>
        <v/>
      </c>
      <c r="C309">
        <f>lc_detailed!AD310</f>
        <v/>
      </c>
      <c r="D309">
        <f>lc_detailed!AE310</f>
        <v/>
      </c>
      <c r="E309">
        <f>lc_detailed!AF310</f>
        <v/>
      </c>
      <c r="F309">
        <f>lc_detailed!AG310</f>
        <v/>
      </c>
      <c r="G309">
        <f>lc_detailed!AH310</f>
        <v/>
      </c>
      <c r="H309">
        <f>lc_detailed!AI310</f>
        <v/>
      </c>
      <c r="I309">
        <f>lc_detailed!AK310</f>
        <v/>
      </c>
      <c r="J309">
        <f>lc_detailed!AL310</f>
        <v/>
      </c>
      <c r="K309">
        <f>lc_detailed!AB310</f>
        <v/>
      </c>
    </row>
    <row r="310">
      <c r="B310">
        <f>lc_detailed!B311</f>
        <v/>
      </c>
      <c r="C310">
        <f>lc_detailed!AD311</f>
        <v/>
      </c>
      <c r="D310">
        <f>lc_detailed!AE311</f>
        <v/>
      </c>
      <c r="E310">
        <f>lc_detailed!AF311</f>
        <v/>
      </c>
      <c r="F310">
        <f>lc_detailed!AG311</f>
        <v/>
      </c>
      <c r="G310">
        <f>lc_detailed!AH311</f>
        <v/>
      </c>
      <c r="H310">
        <f>lc_detailed!AI311</f>
        <v/>
      </c>
      <c r="I310">
        <f>lc_detailed!AK311</f>
        <v/>
      </c>
      <c r="J310">
        <f>lc_detailed!AL311</f>
        <v/>
      </c>
      <c r="K310">
        <f>lc_detailed!AB311</f>
        <v/>
      </c>
    </row>
    <row r="311">
      <c r="B311">
        <f>lc_detailed!B312</f>
        <v/>
      </c>
      <c r="C311">
        <f>lc_detailed!AD312</f>
        <v/>
      </c>
      <c r="D311">
        <f>lc_detailed!AE312</f>
        <v/>
      </c>
      <c r="E311">
        <f>lc_detailed!AF312</f>
        <v/>
      </c>
      <c r="F311">
        <f>lc_detailed!AG312</f>
        <v/>
      </c>
      <c r="G311">
        <f>lc_detailed!AH312</f>
        <v/>
      </c>
      <c r="H311">
        <f>lc_detailed!AI312</f>
        <v/>
      </c>
      <c r="I311">
        <f>lc_detailed!AK312</f>
        <v/>
      </c>
      <c r="J311">
        <f>lc_detailed!AL312</f>
        <v/>
      </c>
      <c r="K311">
        <f>lc_detailed!AB312</f>
        <v/>
      </c>
    </row>
    <row r="312">
      <c r="B312">
        <f>lc_detailed!B313</f>
        <v/>
      </c>
      <c r="C312">
        <f>lc_detailed!AD313</f>
        <v/>
      </c>
      <c r="D312">
        <f>lc_detailed!AE313</f>
        <v/>
      </c>
      <c r="E312">
        <f>lc_detailed!AF313</f>
        <v/>
      </c>
      <c r="F312">
        <f>lc_detailed!AG313</f>
        <v/>
      </c>
      <c r="G312">
        <f>lc_detailed!AH313</f>
        <v/>
      </c>
      <c r="H312">
        <f>lc_detailed!AI313</f>
        <v/>
      </c>
      <c r="I312">
        <f>lc_detailed!AK313</f>
        <v/>
      </c>
      <c r="J312">
        <f>lc_detailed!AL313</f>
        <v/>
      </c>
      <c r="K312">
        <f>lc_detailed!AB313</f>
        <v/>
      </c>
    </row>
    <row r="313">
      <c r="B313">
        <f>lc_detailed!B314</f>
        <v/>
      </c>
      <c r="C313">
        <f>lc_detailed!AD314</f>
        <v/>
      </c>
      <c r="D313">
        <f>lc_detailed!AE314</f>
        <v/>
      </c>
      <c r="E313">
        <f>lc_detailed!AF314</f>
        <v/>
      </c>
      <c r="F313">
        <f>lc_detailed!AG314</f>
        <v/>
      </c>
      <c r="G313">
        <f>lc_detailed!AH314</f>
        <v/>
      </c>
      <c r="H313">
        <f>lc_detailed!AI314</f>
        <v/>
      </c>
      <c r="I313">
        <f>lc_detailed!AK314</f>
        <v/>
      </c>
      <c r="J313">
        <f>lc_detailed!AL314</f>
        <v/>
      </c>
      <c r="K313">
        <f>lc_detailed!AB314</f>
        <v/>
      </c>
    </row>
    <row r="314">
      <c r="B314">
        <f>lc_detailed!B315</f>
        <v/>
      </c>
      <c r="C314">
        <f>lc_detailed!AD315</f>
        <v/>
      </c>
      <c r="D314">
        <f>lc_detailed!AE315</f>
        <v/>
      </c>
      <c r="E314">
        <f>lc_detailed!AF315</f>
        <v/>
      </c>
      <c r="F314">
        <f>lc_detailed!AG315</f>
        <v/>
      </c>
      <c r="G314">
        <f>lc_detailed!AH315</f>
        <v/>
      </c>
      <c r="H314">
        <f>lc_detailed!AI315</f>
        <v/>
      </c>
      <c r="I314">
        <f>lc_detailed!AK315</f>
        <v/>
      </c>
      <c r="J314">
        <f>lc_detailed!AL315</f>
        <v/>
      </c>
      <c r="K314">
        <f>lc_detailed!AB315</f>
        <v/>
      </c>
    </row>
    <row r="315">
      <c r="B315">
        <f>lc_detailed!B316</f>
        <v/>
      </c>
      <c r="C315">
        <f>lc_detailed!AD316</f>
        <v/>
      </c>
      <c r="D315">
        <f>lc_detailed!AE316</f>
        <v/>
      </c>
      <c r="E315">
        <f>lc_detailed!AF316</f>
        <v/>
      </c>
      <c r="F315">
        <f>lc_detailed!AG316</f>
        <v/>
      </c>
      <c r="G315">
        <f>lc_detailed!AH316</f>
        <v/>
      </c>
      <c r="H315">
        <f>lc_detailed!AI316</f>
        <v/>
      </c>
      <c r="I315">
        <f>lc_detailed!AK316</f>
        <v/>
      </c>
      <c r="J315">
        <f>lc_detailed!AL316</f>
        <v/>
      </c>
      <c r="K315">
        <f>lc_detailed!AB316</f>
        <v/>
      </c>
    </row>
    <row r="316">
      <c r="B316">
        <f>lc_detailed!B317</f>
        <v/>
      </c>
      <c r="C316">
        <f>lc_detailed!AD317</f>
        <v/>
      </c>
      <c r="D316">
        <f>lc_detailed!AE317</f>
        <v/>
      </c>
      <c r="E316">
        <f>lc_detailed!AF317</f>
        <v/>
      </c>
      <c r="F316">
        <f>lc_detailed!AG317</f>
        <v/>
      </c>
      <c r="G316">
        <f>lc_detailed!AH317</f>
        <v/>
      </c>
      <c r="H316">
        <f>lc_detailed!AI317</f>
        <v/>
      </c>
      <c r="I316">
        <f>lc_detailed!AK317</f>
        <v/>
      </c>
      <c r="J316">
        <f>lc_detailed!AL317</f>
        <v/>
      </c>
      <c r="K316">
        <f>lc_detailed!AB317</f>
        <v/>
      </c>
    </row>
    <row r="317">
      <c r="B317">
        <f>lc_detailed!B318</f>
        <v/>
      </c>
      <c r="C317">
        <f>lc_detailed!AD318</f>
        <v/>
      </c>
      <c r="D317">
        <f>lc_detailed!AE318</f>
        <v/>
      </c>
      <c r="E317">
        <f>lc_detailed!AF318</f>
        <v/>
      </c>
      <c r="F317">
        <f>lc_detailed!AG318</f>
        <v/>
      </c>
      <c r="G317">
        <f>lc_detailed!AH318</f>
        <v/>
      </c>
      <c r="H317">
        <f>lc_detailed!AI318</f>
        <v/>
      </c>
      <c r="I317">
        <f>lc_detailed!AK318</f>
        <v/>
      </c>
      <c r="J317">
        <f>lc_detailed!AL318</f>
        <v/>
      </c>
      <c r="K317">
        <f>lc_detailed!AB318</f>
        <v/>
      </c>
    </row>
    <row r="318">
      <c r="B318">
        <f>lc_detailed!B319</f>
        <v/>
      </c>
      <c r="C318">
        <f>lc_detailed!AD319</f>
        <v/>
      </c>
      <c r="D318">
        <f>lc_detailed!AE319</f>
        <v/>
      </c>
      <c r="E318">
        <f>lc_detailed!AF319</f>
        <v/>
      </c>
      <c r="F318">
        <f>lc_detailed!AG319</f>
        <v/>
      </c>
      <c r="G318">
        <f>lc_detailed!AH319</f>
        <v/>
      </c>
      <c r="H318">
        <f>lc_detailed!AI319</f>
        <v/>
      </c>
      <c r="I318">
        <f>lc_detailed!AK319</f>
        <v/>
      </c>
      <c r="J318">
        <f>lc_detailed!AL319</f>
        <v/>
      </c>
      <c r="K318">
        <f>lc_detailed!AB319</f>
        <v/>
      </c>
    </row>
    <row r="319">
      <c r="B319">
        <f>lc_detailed!B320</f>
        <v/>
      </c>
      <c r="C319">
        <f>lc_detailed!AD320</f>
        <v/>
      </c>
      <c r="D319">
        <f>lc_detailed!AE320</f>
        <v/>
      </c>
      <c r="E319">
        <f>lc_detailed!AF320</f>
        <v/>
      </c>
      <c r="F319">
        <f>lc_detailed!AG320</f>
        <v/>
      </c>
      <c r="G319">
        <f>lc_detailed!AH320</f>
        <v/>
      </c>
      <c r="H319">
        <f>lc_detailed!AI320</f>
        <v/>
      </c>
      <c r="I319">
        <f>lc_detailed!AK320</f>
        <v/>
      </c>
      <c r="J319">
        <f>lc_detailed!AL320</f>
        <v/>
      </c>
      <c r="K319">
        <f>lc_detailed!AB320</f>
        <v/>
      </c>
    </row>
    <row r="320">
      <c r="B320">
        <f>lc_detailed!B321</f>
        <v/>
      </c>
      <c r="C320">
        <f>lc_detailed!AD321</f>
        <v/>
      </c>
      <c r="D320">
        <f>lc_detailed!AE321</f>
        <v/>
      </c>
      <c r="E320">
        <f>lc_detailed!AF321</f>
        <v/>
      </c>
      <c r="F320">
        <f>lc_detailed!AG321</f>
        <v/>
      </c>
      <c r="G320">
        <f>lc_detailed!AH321</f>
        <v/>
      </c>
      <c r="H320">
        <f>lc_detailed!AI321</f>
        <v/>
      </c>
      <c r="I320">
        <f>lc_detailed!AK321</f>
        <v/>
      </c>
      <c r="J320">
        <f>lc_detailed!AL321</f>
        <v/>
      </c>
      <c r="K320">
        <f>lc_detailed!AB321</f>
        <v/>
      </c>
    </row>
    <row r="321">
      <c r="B321">
        <f>lc_detailed!B322</f>
        <v/>
      </c>
      <c r="C321">
        <f>lc_detailed!AD322</f>
        <v/>
      </c>
      <c r="D321">
        <f>lc_detailed!AE322</f>
        <v/>
      </c>
      <c r="E321">
        <f>lc_detailed!AF322</f>
        <v/>
      </c>
      <c r="F321">
        <f>lc_detailed!AG322</f>
        <v/>
      </c>
      <c r="G321">
        <f>lc_detailed!AH322</f>
        <v/>
      </c>
      <c r="H321">
        <f>lc_detailed!AI322</f>
        <v/>
      </c>
      <c r="I321">
        <f>lc_detailed!AK322</f>
        <v/>
      </c>
      <c r="J321">
        <f>lc_detailed!AL322</f>
        <v/>
      </c>
      <c r="K321">
        <f>lc_detailed!AB322</f>
        <v/>
      </c>
    </row>
    <row r="322">
      <c r="B322">
        <f>lc_detailed!B323</f>
        <v/>
      </c>
      <c r="C322">
        <f>lc_detailed!AD323</f>
        <v/>
      </c>
      <c r="D322">
        <f>lc_detailed!AE323</f>
        <v/>
      </c>
      <c r="E322">
        <f>lc_detailed!AF323</f>
        <v/>
      </c>
      <c r="F322">
        <f>lc_detailed!AG323</f>
        <v/>
      </c>
      <c r="G322">
        <f>lc_detailed!AH323</f>
        <v/>
      </c>
      <c r="H322">
        <f>lc_detailed!AI323</f>
        <v/>
      </c>
      <c r="I322">
        <f>lc_detailed!AK323</f>
        <v/>
      </c>
      <c r="J322">
        <f>lc_detailed!AL323</f>
        <v/>
      </c>
      <c r="K322">
        <f>lc_detailed!AB323</f>
        <v/>
      </c>
    </row>
    <row r="323">
      <c r="B323">
        <f>lc_detailed!B324</f>
        <v/>
      </c>
      <c r="C323">
        <f>lc_detailed!AD324</f>
        <v/>
      </c>
      <c r="D323">
        <f>lc_detailed!AE324</f>
        <v/>
      </c>
      <c r="E323">
        <f>lc_detailed!AF324</f>
        <v/>
      </c>
      <c r="F323">
        <f>lc_detailed!AG324</f>
        <v/>
      </c>
      <c r="G323">
        <f>lc_detailed!AH324</f>
        <v/>
      </c>
      <c r="H323">
        <f>lc_detailed!AI324</f>
        <v/>
      </c>
      <c r="I323">
        <f>lc_detailed!AK324</f>
        <v/>
      </c>
      <c r="J323">
        <f>lc_detailed!AL324</f>
        <v/>
      </c>
      <c r="K323">
        <f>lc_detailed!AB324</f>
        <v/>
      </c>
    </row>
    <row r="324">
      <c r="B324">
        <f>lc_detailed!B325</f>
        <v/>
      </c>
      <c r="C324">
        <f>lc_detailed!AD325</f>
        <v/>
      </c>
      <c r="D324">
        <f>lc_detailed!AE325</f>
        <v/>
      </c>
      <c r="E324">
        <f>lc_detailed!AF325</f>
        <v/>
      </c>
      <c r="F324">
        <f>lc_detailed!AG325</f>
        <v/>
      </c>
      <c r="G324">
        <f>lc_detailed!AH325</f>
        <v/>
      </c>
      <c r="H324">
        <f>lc_detailed!AI325</f>
        <v/>
      </c>
      <c r="I324">
        <f>lc_detailed!AK325</f>
        <v/>
      </c>
      <c r="J324">
        <f>lc_detailed!AL325</f>
        <v/>
      </c>
      <c r="K324">
        <f>lc_detailed!AB325</f>
        <v/>
      </c>
    </row>
    <row r="325">
      <c r="B325">
        <f>lc_detailed!B326</f>
        <v/>
      </c>
      <c r="C325">
        <f>lc_detailed!AD326</f>
        <v/>
      </c>
      <c r="D325">
        <f>lc_detailed!AE326</f>
        <v/>
      </c>
      <c r="E325">
        <f>lc_detailed!AF326</f>
        <v/>
      </c>
      <c r="F325">
        <f>lc_detailed!AG326</f>
        <v/>
      </c>
      <c r="G325">
        <f>lc_detailed!AH326</f>
        <v/>
      </c>
      <c r="H325">
        <f>lc_detailed!AI326</f>
        <v/>
      </c>
      <c r="I325">
        <f>lc_detailed!AK326</f>
        <v/>
      </c>
      <c r="J325">
        <f>lc_detailed!AL326</f>
        <v/>
      </c>
      <c r="K325">
        <f>lc_detailed!AB326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Abigail Cheng</dc:creator>
  <dcterms:created xmlns:dcterms="http://purl.org/dc/terms/" xmlns:xsi="http://www.w3.org/2001/XMLSchema-instance" xsi:type="dcterms:W3CDTF">2026-04-05T17:24:30Z</dcterms:created>
  <dcterms:modified xmlns:dcterms="http://purl.org/dc/terms/" xmlns:xsi="http://www.w3.org/2001/XMLSchema-instance" xsi:type="dcterms:W3CDTF">2026-06-30T00:11:42Z</dcterms:modified>
  <cp:lastModifiedBy>Abigail Cheng</cp:lastModifiedBy>
</cp:coreProperties>
</file>