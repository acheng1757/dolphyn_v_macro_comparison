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bio_liquid_fuels_lcoe/"/>
    </mc:Choice>
  </mc:AlternateContent>
  <xr:revisionPtr revIDLastSave="0" documentId="13_ncr:1_{21FEE6B3-B940-E848-8DD6-8CFDBA466F87}" xr6:coauthVersionLast="47" xr6:coauthVersionMax="47" xr10:uidLastSave="{00000000-0000-0000-0000-000000000000}"/>
  <bookViews>
    <workbookView xWindow="29400" yWindow="500" windowWidth="38400" windowHeight="23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2" l="1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C326" i="1"/>
  <c r="BB326" i="1"/>
  <c r="BA326" i="1"/>
  <c r="AZ326" i="1"/>
  <c r="AY326" i="1"/>
  <c r="AQ326" i="1"/>
  <c r="AW326" i="1" s="1"/>
  <c r="AK326" i="1"/>
  <c r="AF326" i="1" a="1"/>
  <c r="AF326" i="1" s="1"/>
  <c r="AE326" i="1"/>
  <c r="AD326" i="1"/>
  <c r="Z326" i="1"/>
  <c r="Y326" i="1"/>
  <c r="I326" i="1"/>
  <c r="AI326" i="1" s="1"/>
  <c r="BE325" i="1"/>
  <c r="BC325" i="1"/>
  <c r="BB325" i="1"/>
  <c r="BA325" i="1"/>
  <c r="AZ325" i="1"/>
  <c r="AY325" i="1"/>
  <c r="AW325" i="1"/>
  <c r="AM325" i="1" s="1"/>
  <c r="AQ325" i="1"/>
  <c r="AO325" i="1"/>
  <c r="AN325" i="1"/>
  <c r="AK325" i="1"/>
  <c r="AI325" i="1"/>
  <c r="AH325" i="1"/>
  <c r="AG325" i="1"/>
  <c r="AF325" i="1" a="1"/>
  <c r="AF325" i="1" s="1"/>
  <c r="AD325" i="1"/>
  <c r="AB325" i="1"/>
  <c r="Z325" i="1"/>
  <c r="Y325" i="1"/>
  <c r="I325" i="1"/>
  <c r="AE325" i="1" s="1"/>
  <c r="BC324" i="1"/>
  <c r="BB324" i="1"/>
  <c r="BA324" i="1"/>
  <c r="AZ324" i="1"/>
  <c r="AY324" i="1"/>
  <c r="AJ324" i="1" s="1"/>
  <c r="AL324" i="1" s="1"/>
  <c r="AW324" i="1"/>
  <c r="AQ324" i="1"/>
  <c r="AN324" i="1"/>
  <c r="AK324" i="1"/>
  <c r="AI324" i="1"/>
  <c r="AF324" i="1" a="1"/>
  <c r="AF324" i="1" s="1"/>
  <c r="AE324" i="1"/>
  <c r="AD324" i="1"/>
  <c r="Z324" i="1"/>
  <c r="Y324" i="1"/>
  <c r="I324" i="1"/>
  <c r="AH324" i="1" s="1"/>
  <c r="BC323" i="1"/>
  <c r="BB323" i="1"/>
  <c r="BA323" i="1"/>
  <c r="AZ323" i="1"/>
  <c r="AY323" i="1"/>
  <c r="AW323" i="1"/>
  <c r="BE323" i="1" s="1"/>
  <c r="AQ323" i="1"/>
  <c r="Z323" i="1"/>
  <c r="Y323" i="1"/>
  <c r="I323" i="1"/>
  <c r="BC322" i="1"/>
  <c r="BB322" i="1"/>
  <c r="BA322" i="1"/>
  <c r="AZ322" i="1"/>
  <c r="AY322" i="1"/>
  <c r="AJ322" i="1" s="1"/>
  <c r="AL322" i="1" s="1"/>
  <c r="AA322" i="1" s="1"/>
  <c r="AQ322" i="1"/>
  <c r="AW322" i="1" s="1"/>
  <c r="AN322" i="1"/>
  <c r="AK322" i="1"/>
  <c r="AI322" i="1"/>
  <c r="AH322" i="1"/>
  <c r="AG322" i="1"/>
  <c r="AF322" i="1" a="1"/>
  <c r="AF322" i="1" s="1"/>
  <c r="AE322" i="1"/>
  <c r="AD322" i="1"/>
  <c r="Z322" i="1"/>
  <c r="Y322" i="1"/>
  <c r="I322" i="1"/>
  <c r="BC321" i="1"/>
  <c r="BB321" i="1"/>
  <c r="BA321" i="1"/>
  <c r="AZ321" i="1"/>
  <c r="BE321" i="1" s="1"/>
  <c r="AY321" i="1"/>
  <c r="AW321" i="1"/>
  <c r="AQ321" i="1"/>
  <c r="AJ321" i="1"/>
  <c r="AL321" i="1" s="1"/>
  <c r="AF321" i="1" a="1"/>
  <c r="AF321" i="1" s="1"/>
  <c r="AD321" i="1"/>
  <c r="Z321" i="1"/>
  <c r="Y321" i="1"/>
  <c r="I321" i="1"/>
  <c r="BC320" i="1"/>
  <c r="BB320" i="1"/>
  <c r="BA320" i="1"/>
  <c r="AZ320" i="1"/>
  <c r="AY320" i="1"/>
  <c r="AW320" i="1"/>
  <c r="AQ320" i="1"/>
  <c r="AJ320" i="1"/>
  <c r="AL320" i="1" s="1"/>
  <c r="Z320" i="1"/>
  <c r="Y320" i="1"/>
  <c r="I320" i="1"/>
  <c r="AN320" i="1" s="1"/>
  <c r="BC319" i="1"/>
  <c r="BB319" i="1"/>
  <c r="BA319" i="1"/>
  <c r="AZ319" i="1"/>
  <c r="AY319" i="1"/>
  <c r="AW319" i="1"/>
  <c r="AQ319" i="1"/>
  <c r="Z319" i="1"/>
  <c r="Y319" i="1"/>
  <c r="I319" i="1"/>
  <c r="BC318" i="1"/>
  <c r="BB318" i="1"/>
  <c r="BA318" i="1"/>
  <c r="AZ318" i="1"/>
  <c r="AY318" i="1"/>
  <c r="AQ318" i="1"/>
  <c r="AW318" i="1" s="1"/>
  <c r="AN318" i="1"/>
  <c r="AK318" i="1"/>
  <c r="AI318" i="1"/>
  <c r="AH318" i="1"/>
  <c r="AG318" i="1"/>
  <c r="AF318" i="1" a="1"/>
  <c r="AF318" i="1" s="1"/>
  <c r="AE318" i="1"/>
  <c r="AD318" i="1"/>
  <c r="Z318" i="1"/>
  <c r="Y318" i="1"/>
  <c r="I318" i="1"/>
  <c r="BC317" i="1"/>
  <c r="BB317" i="1"/>
  <c r="BA317" i="1"/>
  <c r="AZ317" i="1"/>
  <c r="AY317" i="1"/>
  <c r="AW317" i="1"/>
  <c r="AQ317" i="1"/>
  <c r="AI317" i="1"/>
  <c r="AE317" i="1"/>
  <c r="Z317" i="1"/>
  <c r="Y317" i="1"/>
  <c r="I317" i="1"/>
  <c r="AF317" i="1" s="1" a="1"/>
  <c r="AF317" i="1" s="1"/>
  <c r="BC316" i="1"/>
  <c r="BB316" i="1"/>
  <c r="BA316" i="1"/>
  <c r="AZ316" i="1"/>
  <c r="AY316" i="1"/>
  <c r="AQ316" i="1"/>
  <c r="AW316" i="1" s="1"/>
  <c r="AN316" i="1"/>
  <c r="AI316" i="1"/>
  <c r="AG316" i="1"/>
  <c r="Z316" i="1"/>
  <c r="Y316" i="1"/>
  <c r="I316" i="1"/>
  <c r="BE315" i="1"/>
  <c r="BC315" i="1"/>
  <c r="BB315" i="1"/>
  <c r="BA315" i="1"/>
  <c r="AZ315" i="1"/>
  <c r="AJ315" i="1" s="1"/>
  <c r="AL315" i="1" s="1"/>
  <c r="AY315" i="1"/>
  <c r="AW315" i="1"/>
  <c r="AQ315" i="1"/>
  <c r="Z315" i="1"/>
  <c r="Y315" i="1"/>
  <c r="I315" i="1"/>
  <c r="BC314" i="1"/>
  <c r="BB314" i="1"/>
  <c r="BA314" i="1"/>
  <c r="AZ314" i="1"/>
  <c r="AY314" i="1"/>
  <c r="AJ314" i="1" s="1"/>
  <c r="AL314" i="1" s="1"/>
  <c r="AQ314" i="1"/>
  <c r="AW314" i="1" s="1"/>
  <c r="AK314" i="1"/>
  <c r="AH314" i="1"/>
  <c r="AF314" i="1" a="1"/>
  <c r="AF314" i="1" s="1"/>
  <c r="Z314" i="1"/>
  <c r="Y314" i="1"/>
  <c r="I314" i="1"/>
  <c r="BC313" i="1"/>
  <c r="BB313" i="1"/>
  <c r="BA313" i="1"/>
  <c r="AZ313" i="1"/>
  <c r="AY313" i="1"/>
  <c r="AQ313" i="1"/>
  <c r="AW313" i="1" s="1"/>
  <c r="AN313" i="1"/>
  <c r="AK313" i="1"/>
  <c r="AI313" i="1"/>
  <c r="AH313" i="1"/>
  <c r="AG313" i="1"/>
  <c r="Z313" i="1"/>
  <c r="Y313" i="1"/>
  <c r="I313" i="1"/>
  <c r="AE313" i="1" s="1"/>
  <c r="BC312" i="1"/>
  <c r="BB312" i="1"/>
  <c r="BA312" i="1"/>
  <c r="AZ312" i="1"/>
  <c r="AY312" i="1"/>
  <c r="AQ312" i="1"/>
  <c r="AW312" i="1" s="1"/>
  <c r="AK312" i="1"/>
  <c r="AI312" i="1"/>
  <c r="AG312" i="1"/>
  <c r="AD312" i="1"/>
  <c r="Z312" i="1"/>
  <c r="Y312" i="1"/>
  <c r="I312" i="1"/>
  <c r="AN312" i="1" s="1"/>
  <c r="BC311" i="1"/>
  <c r="BB311" i="1"/>
  <c r="BA311" i="1"/>
  <c r="AZ311" i="1"/>
  <c r="AY311" i="1"/>
  <c r="AJ311" i="1" s="1"/>
  <c r="AL311" i="1" s="1"/>
  <c r="AA311" i="1" s="1"/>
  <c r="AQ311" i="1"/>
  <c r="AW311" i="1" s="1"/>
  <c r="AN311" i="1"/>
  <c r="AK311" i="1"/>
  <c r="AH311" i="1"/>
  <c r="AF311" i="1" a="1"/>
  <c r="AF311" i="1" s="1"/>
  <c r="AE311" i="1"/>
  <c r="AD311" i="1"/>
  <c r="Z311" i="1"/>
  <c r="Y311" i="1"/>
  <c r="I311" i="1"/>
  <c r="AI311" i="1" s="1"/>
  <c r="BE310" i="1"/>
  <c r="BC310" i="1"/>
  <c r="BB310" i="1"/>
  <c r="BA310" i="1"/>
  <c r="AZ310" i="1"/>
  <c r="AY310" i="1"/>
  <c r="AW310" i="1"/>
  <c r="AQ310" i="1"/>
  <c r="Z310" i="1"/>
  <c r="Y310" i="1"/>
  <c r="I310" i="1"/>
  <c r="BC309" i="1"/>
  <c r="BB309" i="1"/>
  <c r="BA309" i="1"/>
  <c r="AZ309" i="1"/>
  <c r="AY309" i="1"/>
  <c r="AQ309" i="1"/>
  <c r="AW309" i="1" s="1"/>
  <c r="AN309" i="1"/>
  <c r="AL309" i="1"/>
  <c r="AA309" i="1" s="1"/>
  <c r="AK309" i="1"/>
  <c r="AJ309" i="1"/>
  <c r="AI309" i="1"/>
  <c r="AH309" i="1"/>
  <c r="AF309" i="1" a="1"/>
  <c r="AF309" i="1" s="1"/>
  <c r="AE309" i="1"/>
  <c r="AD309" i="1"/>
  <c r="Z309" i="1"/>
  <c r="Y309" i="1"/>
  <c r="I309" i="1"/>
  <c r="AG309" i="1" s="1"/>
  <c r="BC308" i="1"/>
  <c r="BB308" i="1"/>
  <c r="BA308" i="1"/>
  <c r="AZ308" i="1"/>
  <c r="AY308" i="1"/>
  <c r="AW308" i="1"/>
  <c r="AQ308" i="1"/>
  <c r="AG308" i="1"/>
  <c r="AD308" i="1"/>
  <c r="Z308" i="1"/>
  <c r="Y308" i="1"/>
  <c r="I308" i="1"/>
  <c r="AK308" i="1" s="1"/>
  <c r="BC307" i="1"/>
  <c r="BB307" i="1"/>
  <c r="BA307" i="1"/>
  <c r="AZ307" i="1"/>
  <c r="AY307" i="1"/>
  <c r="AJ307" i="1" s="1"/>
  <c r="AL307" i="1" s="1"/>
  <c r="AQ307" i="1"/>
  <c r="AW307" i="1" s="1"/>
  <c r="AN307" i="1"/>
  <c r="AI307" i="1"/>
  <c r="AH307" i="1"/>
  <c r="AG307" i="1"/>
  <c r="AF307" i="1" a="1"/>
  <c r="AF307" i="1" s="1"/>
  <c r="AE307" i="1"/>
  <c r="Z307" i="1"/>
  <c r="Y307" i="1"/>
  <c r="I307" i="1"/>
  <c r="AK307" i="1" s="1"/>
  <c r="BC306" i="1"/>
  <c r="BB306" i="1"/>
  <c r="BA306" i="1"/>
  <c r="AZ306" i="1"/>
  <c r="AY306" i="1"/>
  <c r="AW306" i="1"/>
  <c r="AQ306" i="1"/>
  <c r="AK306" i="1"/>
  <c r="AI306" i="1"/>
  <c r="AD306" i="1"/>
  <c r="Z306" i="1"/>
  <c r="Y306" i="1"/>
  <c r="I306" i="1"/>
  <c r="BC305" i="1"/>
  <c r="BB305" i="1"/>
  <c r="BA305" i="1"/>
  <c r="AZ305" i="1"/>
  <c r="AY305" i="1"/>
  <c r="AQ305" i="1"/>
  <c r="AW305" i="1" s="1"/>
  <c r="AN305" i="1"/>
  <c r="AH305" i="1"/>
  <c r="AF305" i="1" a="1"/>
  <c r="AF305" i="1" s="1"/>
  <c r="AE305" i="1"/>
  <c r="Z305" i="1"/>
  <c r="Y305" i="1"/>
  <c r="I305" i="1"/>
  <c r="AK305" i="1" s="1"/>
  <c r="BC304" i="1"/>
  <c r="BB304" i="1"/>
  <c r="BA304" i="1"/>
  <c r="AZ304" i="1"/>
  <c r="AJ304" i="1" s="1"/>
  <c r="AL304" i="1" s="1"/>
  <c r="AY304" i="1"/>
  <c r="AW304" i="1"/>
  <c r="BE304" i="1" s="1"/>
  <c r="AQ304" i="1"/>
  <c r="AK304" i="1"/>
  <c r="AA304" i="1" s="1"/>
  <c r="AI304" i="1"/>
  <c r="AG304" i="1"/>
  <c r="AD304" i="1"/>
  <c r="Z304" i="1"/>
  <c r="Y304" i="1"/>
  <c r="I304" i="1"/>
  <c r="AN304" i="1" s="1"/>
  <c r="BC303" i="1"/>
  <c r="BB303" i="1"/>
  <c r="BA303" i="1"/>
  <c r="AJ303" i="1" s="1"/>
  <c r="AL303" i="1" s="1"/>
  <c r="AA303" i="1" s="1"/>
  <c r="AZ303" i="1"/>
  <c r="AY303" i="1"/>
  <c r="AQ303" i="1"/>
  <c r="AW303" i="1" s="1"/>
  <c r="AN303" i="1"/>
  <c r="AK303" i="1"/>
  <c r="AH303" i="1"/>
  <c r="AF303" i="1" a="1"/>
  <c r="AF303" i="1" s="1"/>
  <c r="AE303" i="1"/>
  <c r="AD303" i="1"/>
  <c r="Z303" i="1"/>
  <c r="Y303" i="1"/>
  <c r="I303" i="1"/>
  <c r="AI303" i="1" s="1"/>
  <c r="BC302" i="1"/>
  <c r="BB302" i="1"/>
  <c r="BA302" i="1"/>
  <c r="AZ302" i="1"/>
  <c r="AY302" i="1"/>
  <c r="AW302" i="1"/>
  <c r="AQ302" i="1"/>
  <c r="Z302" i="1"/>
  <c r="Y302" i="1"/>
  <c r="I302" i="1"/>
  <c r="BC301" i="1"/>
  <c r="BB301" i="1"/>
  <c r="BA301" i="1"/>
  <c r="AZ301" i="1"/>
  <c r="AY301" i="1"/>
  <c r="AQ301" i="1"/>
  <c r="AW301" i="1" s="1"/>
  <c r="AN301" i="1"/>
  <c r="AK301" i="1"/>
  <c r="AI301" i="1"/>
  <c r="AH301" i="1"/>
  <c r="AF301" i="1" a="1"/>
  <c r="AF301" i="1" s="1"/>
  <c r="AE301" i="1"/>
  <c r="AD301" i="1"/>
  <c r="Z301" i="1"/>
  <c r="Y301" i="1"/>
  <c r="I301" i="1"/>
  <c r="AG301" i="1" s="1"/>
  <c r="BC300" i="1"/>
  <c r="BB300" i="1"/>
  <c r="BA300" i="1"/>
  <c r="AZ300" i="1"/>
  <c r="AY300" i="1"/>
  <c r="AW300" i="1"/>
  <c r="BE300" i="1" s="1"/>
  <c r="AQ300" i="1"/>
  <c r="AM300" i="1"/>
  <c r="AO300" i="1" s="1"/>
  <c r="AK300" i="1"/>
  <c r="Z300" i="1"/>
  <c r="Y300" i="1"/>
  <c r="I300" i="1"/>
  <c r="BC299" i="1"/>
  <c r="BB299" i="1"/>
  <c r="BA299" i="1"/>
  <c r="AZ299" i="1"/>
  <c r="AY299" i="1"/>
  <c r="AQ299" i="1"/>
  <c r="AW299" i="1" s="1"/>
  <c r="AN299" i="1"/>
  <c r="AK299" i="1"/>
  <c r="AI299" i="1"/>
  <c r="AH299" i="1"/>
  <c r="AG299" i="1"/>
  <c r="AF299" i="1" a="1"/>
  <c r="AF299" i="1" s="1"/>
  <c r="AE299" i="1"/>
  <c r="AD299" i="1"/>
  <c r="Z299" i="1"/>
  <c r="Y299" i="1"/>
  <c r="I299" i="1"/>
  <c r="BC298" i="1"/>
  <c r="BB298" i="1"/>
  <c r="BA298" i="1"/>
  <c r="AZ298" i="1"/>
  <c r="AY298" i="1"/>
  <c r="AW298" i="1"/>
  <c r="BE298" i="1" s="1"/>
  <c r="AQ298" i="1"/>
  <c r="AM298" i="1"/>
  <c r="AO298" i="1" s="1"/>
  <c r="AK298" i="1"/>
  <c r="Z298" i="1"/>
  <c r="Y298" i="1"/>
  <c r="I298" i="1"/>
  <c r="BC297" i="1"/>
  <c r="BB297" i="1"/>
  <c r="BA297" i="1"/>
  <c r="AZ297" i="1"/>
  <c r="AY297" i="1"/>
  <c r="AQ297" i="1"/>
  <c r="AW297" i="1" s="1"/>
  <c r="AN297" i="1"/>
  <c r="AL297" i="1"/>
  <c r="AJ297" i="1"/>
  <c r="AH297" i="1"/>
  <c r="AF297" i="1" a="1"/>
  <c r="AF297" i="1" s="1"/>
  <c r="AE297" i="1"/>
  <c r="Z297" i="1"/>
  <c r="Y297" i="1"/>
  <c r="I297" i="1"/>
  <c r="AK297" i="1" s="1"/>
  <c r="BC296" i="1"/>
  <c r="BB296" i="1"/>
  <c r="BA296" i="1"/>
  <c r="AZ296" i="1"/>
  <c r="AY296" i="1"/>
  <c r="AW296" i="1"/>
  <c r="AQ296" i="1"/>
  <c r="AD296" i="1"/>
  <c r="Z296" i="1"/>
  <c r="Y296" i="1"/>
  <c r="I296" i="1"/>
  <c r="AG296" i="1" s="1"/>
  <c r="BC295" i="1"/>
  <c r="BB295" i="1"/>
  <c r="BA295" i="1"/>
  <c r="AZ295" i="1"/>
  <c r="AJ295" i="1" s="1"/>
  <c r="AL295" i="1" s="1"/>
  <c r="AA295" i="1" s="1"/>
  <c r="AY295" i="1"/>
  <c r="AQ295" i="1"/>
  <c r="AW295" i="1" s="1"/>
  <c r="AN295" i="1"/>
  <c r="AK295" i="1"/>
  <c r="AH295" i="1"/>
  <c r="AF295" i="1" a="1"/>
  <c r="AF295" i="1" s="1"/>
  <c r="AE295" i="1"/>
  <c r="AD295" i="1"/>
  <c r="Z295" i="1"/>
  <c r="Y295" i="1"/>
  <c r="I295" i="1"/>
  <c r="AI295" i="1" s="1"/>
  <c r="BC294" i="1"/>
  <c r="BB294" i="1"/>
  <c r="BA294" i="1"/>
  <c r="AZ294" i="1"/>
  <c r="AY294" i="1"/>
  <c r="AW294" i="1"/>
  <c r="AQ294" i="1"/>
  <c r="AF294" i="1" a="1"/>
  <c r="AF294" i="1" s="1"/>
  <c r="AD294" i="1"/>
  <c r="Z294" i="1"/>
  <c r="Y294" i="1"/>
  <c r="I294" i="1"/>
  <c r="AG294" i="1" s="1"/>
  <c r="BC293" i="1"/>
  <c r="BB293" i="1"/>
  <c r="BA293" i="1"/>
  <c r="AJ293" i="1" s="1"/>
  <c r="AL293" i="1" s="1"/>
  <c r="AZ293" i="1"/>
  <c r="AY293" i="1"/>
  <c r="AQ293" i="1"/>
  <c r="AW293" i="1" s="1"/>
  <c r="AN293" i="1"/>
  <c r="AK293" i="1"/>
  <c r="AA293" i="1" s="1"/>
  <c r="AI293" i="1"/>
  <c r="AH293" i="1"/>
  <c r="AF293" i="1" a="1"/>
  <c r="AF293" i="1" s="1"/>
  <c r="AE293" i="1"/>
  <c r="AD293" i="1"/>
  <c r="Z293" i="1"/>
  <c r="Y293" i="1"/>
  <c r="I293" i="1"/>
  <c r="AG293" i="1" s="1"/>
  <c r="BC292" i="1"/>
  <c r="BB292" i="1"/>
  <c r="BA292" i="1"/>
  <c r="AZ292" i="1"/>
  <c r="AY292" i="1"/>
  <c r="AW292" i="1"/>
  <c r="AQ292" i="1"/>
  <c r="AN292" i="1"/>
  <c r="AK292" i="1"/>
  <c r="AI292" i="1"/>
  <c r="AE292" i="1"/>
  <c r="Z292" i="1"/>
  <c r="Y292" i="1"/>
  <c r="I292" i="1"/>
  <c r="AH292" i="1" s="1"/>
  <c r="BC291" i="1"/>
  <c r="BB291" i="1"/>
  <c r="BA291" i="1"/>
  <c r="AZ291" i="1"/>
  <c r="AY291" i="1"/>
  <c r="AW291" i="1"/>
  <c r="AQ291" i="1"/>
  <c r="AN291" i="1"/>
  <c r="AK291" i="1"/>
  <c r="AI291" i="1"/>
  <c r="AH291" i="1"/>
  <c r="AG291" i="1"/>
  <c r="AF291" i="1" a="1"/>
  <c r="AF291" i="1" s="1"/>
  <c r="AE291" i="1"/>
  <c r="AD291" i="1"/>
  <c r="Z291" i="1"/>
  <c r="Y291" i="1"/>
  <c r="I291" i="1"/>
  <c r="BC290" i="1"/>
  <c r="BB290" i="1"/>
  <c r="BA290" i="1"/>
  <c r="AM290" i="1" s="1"/>
  <c r="AO290" i="1" s="1"/>
  <c r="AZ290" i="1"/>
  <c r="AY290" i="1"/>
  <c r="AW290" i="1"/>
  <c r="AQ290" i="1"/>
  <c r="AI290" i="1"/>
  <c r="AG290" i="1"/>
  <c r="AD290" i="1"/>
  <c r="Z290" i="1"/>
  <c r="Y290" i="1"/>
  <c r="I290" i="1"/>
  <c r="BC289" i="1"/>
  <c r="BB289" i="1"/>
  <c r="BA289" i="1"/>
  <c r="AZ289" i="1"/>
  <c r="AY289" i="1"/>
  <c r="AQ289" i="1"/>
  <c r="AW289" i="1" s="1"/>
  <c r="AH289" i="1"/>
  <c r="AG289" i="1"/>
  <c r="AF289" i="1" a="1"/>
  <c r="AF289" i="1" s="1"/>
  <c r="Z289" i="1"/>
  <c r="Y289" i="1"/>
  <c r="I289" i="1"/>
  <c r="BC288" i="1"/>
  <c r="BB288" i="1"/>
  <c r="BA288" i="1"/>
  <c r="AZ288" i="1"/>
  <c r="AY288" i="1"/>
  <c r="AW288" i="1"/>
  <c r="BE288" i="1" s="1"/>
  <c r="AQ288" i="1"/>
  <c r="AM288" i="1"/>
  <c r="AO288" i="1" s="1"/>
  <c r="Z288" i="1"/>
  <c r="Y288" i="1"/>
  <c r="I288" i="1"/>
  <c r="BC287" i="1"/>
  <c r="AJ287" i="1" s="1"/>
  <c r="BB287" i="1"/>
  <c r="BA287" i="1"/>
  <c r="AZ287" i="1"/>
  <c r="AY287" i="1"/>
  <c r="AQ287" i="1"/>
  <c r="AW287" i="1" s="1"/>
  <c r="AM287" i="1"/>
  <c r="AO287" i="1" s="1"/>
  <c r="AL287" i="1"/>
  <c r="AK287" i="1"/>
  <c r="AD287" i="1"/>
  <c r="Z287" i="1"/>
  <c r="Y287" i="1"/>
  <c r="I287" i="1"/>
  <c r="AN287" i="1" s="1"/>
  <c r="BC286" i="1"/>
  <c r="BB286" i="1"/>
  <c r="BA286" i="1"/>
  <c r="AZ286" i="1"/>
  <c r="AY286" i="1"/>
  <c r="AJ286" i="1" s="1"/>
  <c r="AL286" i="1" s="1"/>
  <c r="AQ286" i="1"/>
  <c r="AW286" i="1" s="1"/>
  <c r="Z286" i="1"/>
  <c r="Y286" i="1"/>
  <c r="I286" i="1"/>
  <c r="BC285" i="1"/>
  <c r="BB285" i="1"/>
  <c r="BA285" i="1"/>
  <c r="AZ285" i="1"/>
  <c r="AY285" i="1"/>
  <c r="AQ285" i="1"/>
  <c r="AW285" i="1" s="1"/>
  <c r="AN285" i="1"/>
  <c r="AL285" i="1"/>
  <c r="AK285" i="1"/>
  <c r="AJ285" i="1"/>
  <c r="AI285" i="1"/>
  <c r="AG285" i="1"/>
  <c r="AF285" i="1" a="1"/>
  <c r="AF285" i="1" s="1"/>
  <c r="AE285" i="1"/>
  <c r="AD285" i="1"/>
  <c r="Z285" i="1"/>
  <c r="Y285" i="1"/>
  <c r="I285" i="1"/>
  <c r="AH285" i="1" s="1"/>
  <c r="BC284" i="1"/>
  <c r="BB284" i="1"/>
  <c r="BA284" i="1"/>
  <c r="AZ284" i="1"/>
  <c r="AY284" i="1"/>
  <c r="AW284" i="1"/>
  <c r="AQ284" i="1"/>
  <c r="AG284" i="1"/>
  <c r="AF284" i="1" a="1"/>
  <c r="AF284" i="1" s="1"/>
  <c r="AE284" i="1"/>
  <c r="Z284" i="1"/>
  <c r="Y284" i="1"/>
  <c r="I284" i="1"/>
  <c r="BC283" i="1"/>
  <c r="BB283" i="1"/>
  <c r="BA283" i="1"/>
  <c r="AZ283" i="1"/>
  <c r="AY283" i="1"/>
  <c r="AJ283" i="1" s="1"/>
  <c r="AL283" i="1" s="1"/>
  <c r="AW283" i="1"/>
  <c r="AQ283" i="1"/>
  <c r="AH283" i="1"/>
  <c r="AG283" i="1"/>
  <c r="AE283" i="1"/>
  <c r="Z283" i="1"/>
  <c r="Y283" i="1"/>
  <c r="I283" i="1"/>
  <c r="AM283" i="1" s="1"/>
  <c r="AO283" i="1" s="1"/>
  <c r="BC282" i="1"/>
  <c r="BB282" i="1"/>
  <c r="AJ282" i="1" s="1"/>
  <c r="AL282" i="1" s="1"/>
  <c r="AA282" i="1" s="1"/>
  <c r="BA282" i="1"/>
  <c r="AZ282" i="1"/>
  <c r="AY282" i="1"/>
  <c r="AQ282" i="1"/>
  <c r="AW282" i="1" s="1"/>
  <c r="AK282" i="1"/>
  <c r="AH282" i="1"/>
  <c r="AE282" i="1"/>
  <c r="AD282" i="1"/>
  <c r="Z282" i="1"/>
  <c r="Y282" i="1"/>
  <c r="I282" i="1"/>
  <c r="BC281" i="1"/>
  <c r="BE281" i="1" s="1"/>
  <c r="BB281" i="1"/>
  <c r="BA281" i="1"/>
  <c r="AZ281" i="1"/>
  <c r="AY281" i="1"/>
  <c r="AQ281" i="1"/>
  <c r="AW281" i="1" s="1"/>
  <c r="AN281" i="1"/>
  <c r="AB281" i="1" s="1"/>
  <c r="AM281" i="1"/>
  <c r="AO281" i="1" s="1"/>
  <c r="AJ281" i="1"/>
  <c r="AL281" i="1" s="1"/>
  <c r="AH281" i="1"/>
  <c r="AD281" i="1"/>
  <c r="Z281" i="1"/>
  <c r="Y281" i="1"/>
  <c r="I281" i="1"/>
  <c r="BC280" i="1"/>
  <c r="BB280" i="1"/>
  <c r="BA280" i="1"/>
  <c r="AZ280" i="1"/>
  <c r="AY280" i="1"/>
  <c r="AQ280" i="1"/>
  <c r="AW280" i="1" s="1"/>
  <c r="AI280" i="1"/>
  <c r="AF280" i="1" a="1"/>
  <c r="AF280" i="1"/>
  <c r="Z280" i="1"/>
  <c r="Y280" i="1"/>
  <c r="I280" i="1"/>
  <c r="BC279" i="1"/>
  <c r="BB279" i="1"/>
  <c r="BA279" i="1"/>
  <c r="AZ279" i="1"/>
  <c r="AY279" i="1"/>
  <c r="AW279" i="1"/>
  <c r="AQ279" i="1"/>
  <c r="AM279" i="1"/>
  <c r="AO279" i="1" s="1"/>
  <c r="AH279" i="1"/>
  <c r="AF279" i="1" a="1"/>
  <c r="AF279" i="1" s="1"/>
  <c r="AE279" i="1"/>
  <c r="Z279" i="1"/>
  <c r="Y279" i="1"/>
  <c r="I279" i="1"/>
  <c r="BC278" i="1"/>
  <c r="BB278" i="1"/>
  <c r="BA278" i="1"/>
  <c r="AZ278" i="1"/>
  <c r="AY278" i="1"/>
  <c r="AW278" i="1"/>
  <c r="AQ278" i="1"/>
  <c r="AN278" i="1"/>
  <c r="AK278" i="1"/>
  <c r="AI278" i="1"/>
  <c r="AH278" i="1"/>
  <c r="AG278" i="1"/>
  <c r="AF278" i="1" a="1"/>
  <c r="AF278" i="1" s="1"/>
  <c r="AE278" i="1"/>
  <c r="AD278" i="1"/>
  <c r="Z278" i="1"/>
  <c r="Y278" i="1"/>
  <c r="I278" i="1"/>
  <c r="BC277" i="1"/>
  <c r="BB277" i="1"/>
  <c r="BA277" i="1"/>
  <c r="AJ277" i="1" s="1"/>
  <c r="AL277" i="1" s="1"/>
  <c r="AZ277" i="1"/>
  <c r="AY277" i="1"/>
  <c r="AW277" i="1"/>
  <c r="AQ277" i="1"/>
  <c r="AN277" i="1"/>
  <c r="AK277" i="1"/>
  <c r="AI277" i="1"/>
  <c r="AG277" i="1"/>
  <c r="AF277" i="1" a="1"/>
  <c r="AF277" i="1" s="1"/>
  <c r="AE277" i="1"/>
  <c r="AD277" i="1"/>
  <c r="Z277" i="1"/>
  <c r="Y277" i="1"/>
  <c r="I277" i="1"/>
  <c r="AH277" i="1" s="1"/>
  <c r="BC276" i="1"/>
  <c r="BE276" i="1" s="1"/>
  <c r="BB276" i="1"/>
  <c r="BA276" i="1"/>
  <c r="AM276" i="1" s="1"/>
  <c r="AO276" i="1" s="1"/>
  <c r="AZ276" i="1"/>
  <c r="AY276" i="1"/>
  <c r="AW276" i="1"/>
  <c r="AQ276" i="1"/>
  <c r="AN276" i="1"/>
  <c r="AI276" i="1"/>
  <c r="AF276" i="1"/>
  <c r="AE276" i="1"/>
  <c r="Z276" i="1"/>
  <c r="Y276" i="1"/>
  <c r="I276" i="1"/>
  <c r="AF276" i="1" s="1" a="1"/>
  <c r="BC275" i="1"/>
  <c r="BB275" i="1"/>
  <c r="BA275" i="1"/>
  <c r="AZ275" i="1"/>
  <c r="AY275" i="1"/>
  <c r="AM275" i="1" s="1"/>
  <c r="AO275" i="1" s="1"/>
  <c r="AW275" i="1"/>
  <c r="AQ275" i="1"/>
  <c r="AI275" i="1"/>
  <c r="AH275" i="1"/>
  <c r="Z275" i="1"/>
  <c r="Y275" i="1"/>
  <c r="I275" i="1"/>
  <c r="BC274" i="1"/>
  <c r="BB274" i="1"/>
  <c r="BA274" i="1"/>
  <c r="AJ274" i="1" s="1"/>
  <c r="AL274" i="1" s="1"/>
  <c r="AZ274" i="1"/>
  <c r="AY274" i="1"/>
  <c r="AQ274" i="1"/>
  <c r="AW274" i="1" s="1"/>
  <c r="AH274" i="1"/>
  <c r="AG274" i="1"/>
  <c r="Z274" i="1"/>
  <c r="Y274" i="1"/>
  <c r="I274" i="1"/>
  <c r="BE273" i="1"/>
  <c r="BC273" i="1"/>
  <c r="BB273" i="1"/>
  <c r="BA273" i="1"/>
  <c r="AZ273" i="1"/>
  <c r="AY273" i="1"/>
  <c r="AQ273" i="1"/>
  <c r="AW273" i="1" s="1"/>
  <c r="AF273" i="1" a="1"/>
  <c r="AF273" i="1" s="1"/>
  <c r="Z273" i="1"/>
  <c r="Y273" i="1"/>
  <c r="I273" i="1"/>
  <c r="AH273" i="1" s="1"/>
  <c r="BC272" i="1"/>
  <c r="BB272" i="1"/>
  <c r="BA272" i="1"/>
  <c r="AZ272" i="1"/>
  <c r="AY272" i="1"/>
  <c r="AQ272" i="1"/>
  <c r="AW272" i="1" s="1"/>
  <c r="AF272" i="1" a="1"/>
  <c r="AF272" i="1" s="1"/>
  <c r="Z272" i="1"/>
  <c r="Y272" i="1"/>
  <c r="I272" i="1"/>
  <c r="BC271" i="1"/>
  <c r="BB271" i="1"/>
  <c r="BA271" i="1"/>
  <c r="AZ271" i="1"/>
  <c r="AY271" i="1"/>
  <c r="AQ271" i="1"/>
  <c r="AW271" i="1" s="1"/>
  <c r="AF271" i="1" a="1"/>
  <c r="AF271" i="1" s="1"/>
  <c r="AE271" i="1"/>
  <c r="Z271" i="1"/>
  <c r="Y271" i="1"/>
  <c r="I271" i="1"/>
  <c r="AH271" i="1" s="1"/>
  <c r="BC270" i="1"/>
  <c r="BB270" i="1"/>
  <c r="BA270" i="1"/>
  <c r="AZ270" i="1"/>
  <c r="AY270" i="1"/>
  <c r="AQ270" i="1"/>
  <c r="AW270" i="1" s="1"/>
  <c r="AN270" i="1"/>
  <c r="AK270" i="1"/>
  <c r="AI270" i="1"/>
  <c r="AH270" i="1"/>
  <c r="AG270" i="1"/>
  <c r="AF270" i="1" a="1"/>
  <c r="AF270" i="1" s="1"/>
  <c r="AE270" i="1"/>
  <c r="AD270" i="1"/>
  <c r="Z270" i="1"/>
  <c r="Y270" i="1"/>
  <c r="I270" i="1"/>
  <c r="BC269" i="1"/>
  <c r="BB269" i="1"/>
  <c r="BA269" i="1"/>
  <c r="AZ269" i="1"/>
  <c r="AY269" i="1"/>
  <c r="AW269" i="1"/>
  <c r="AQ269" i="1"/>
  <c r="AF269" i="1" a="1"/>
  <c r="AF269" i="1" s="1"/>
  <c r="Z269" i="1"/>
  <c r="Y269" i="1"/>
  <c r="I269" i="1"/>
  <c r="AI269" i="1" s="1"/>
  <c r="BC268" i="1"/>
  <c r="BB268" i="1"/>
  <c r="BA268" i="1"/>
  <c r="AZ268" i="1"/>
  <c r="AY268" i="1"/>
  <c r="AW268" i="1"/>
  <c r="AQ268" i="1"/>
  <c r="AI268" i="1"/>
  <c r="AH268" i="1"/>
  <c r="AG268" i="1"/>
  <c r="Z268" i="1"/>
  <c r="Y268" i="1"/>
  <c r="I268" i="1"/>
  <c r="BC267" i="1"/>
  <c r="BB267" i="1"/>
  <c r="BA267" i="1"/>
  <c r="AZ267" i="1"/>
  <c r="AY267" i="1"/>
  <c r="AW267" i="1"/>
  <c r="AQ267" i="1"/>
  <c r="AK267" i="1"/>
  <c r="AI267" i="1"/>
  <c r="AH267" i="1"/>
  <c r="AD267" i="1"/>
  <c r="Z267" i="1"/>
  <c r="Y267" i="1"/>
  <c r="I267" i="1"/>
  <c r="AE267" i="1" s="1"/>
  <c r="BC266" i="1"/>
  <c r="BB266" i="1"/>
  <c r="BA266" i="1"/>
  <c r="AZ266" i="1"/>
  <c r="AY266" i="1"/>
  <c r="AJ266" i="1" s="1"/>
  <c r="AL266" i="1" s="1"/>
  <c r="AQ266" i="1"/>
  <c r="AW266" i="1" s="1"/>
  <c r="BE266" i="1" s="1"/>
  <c r="AM266" i="1"/>
  <c r="AO266" i="1" s="1"/>
  <c r="AK266" i="1"/>
  <c r="AH266" i="1"/>
  <c r="AE266" i="1"/>
  <c r="AD266" i="1"/>
  <c r="Z266" i="1"/>
  <c r="Y266" i="1"/>
  <c r="I266" i="1"/>
  <c r="AI266" i="1" s="1"/>
  <c r="BC265" i="1"/>
  <c r="BB265" i="1"/>
  <c r="BA265" i="1"/>
  <c r="AZ265" i="1"/>
  <c r="AY265" i="1"/>
  <c r="AJ265" i="1" s="1"/>
  <c r="AL265" i="1" s="1"/>
  <c r="AQ265" i="1"/>
  <c r="AW265" i="1" s="1"/>
  <c r="AN265" i="1"/>
  <c r="AK265" i="1"/>
  <c r="AI265" i="1"/>
  <c r="AH265" i="1"/>
  <c r="AG265" i="1"/>
  <c r="AD265" i="1"/>
  <c r="Z265" i="1"/>
  <c r="Y265" i="1"/>
  <c r="I265" i="1"/>
  <c r="AE265" i="1" s="1"/>
  <c r="BE264" i="1"/>
  <c r="BC264" i="1"/>
  <c r="BB264" i="1"/>
  <c r="BA264" i="1"/>
  <c r="AZ264" i="1"/>
  <c r="AY264" i="1"/>
  <c r="AW264" i="1"/>
  <c r="AQ264" i="1"/>
  <c r="AN264" i="1"/>
  <c r="AG264" i="1"/>
  <c r="AF264" i="1" a="1"/>
  <c r="AF264" i="1" s="1"/>
  <c r="AE264" i="1"/>
  <c r="AD264" i="1"/>
  <c r="Z264" i="1"/>
  <c r="Y264" i="1"/>
  <c r="I264" i="1"/>
  <c r="BC263" i="1"/>
  <c r="BB263" i="1"/>
  <c r="BA263" i="1"/>
  <c r="AZ263" i="1"/>
  <c r="AY263" i="1"/>
  <c r="AW263" i="1"/>
  <c r="AM263" i="1" s="1"/>
  <c r="AQ263" i="1"/>
  <c r="AO263" i="1"/>
  <c r="AN263" i="1"/>
  <c r="AI263" i="1"/>
  <c r="AH263" i="1"/>
  <c r="AG263" i="1"/>
  <c r="AF263" i="1" a="1"/>
  <c r="AF263" i="1" s="1"/>
  <c r="AE263" i="1"/>
  <c r="Z263" i="1"/>
  <c r="Y263" i="1"/>
  <c r="I263" i="1"/>
  <c r="AK263" i="1" s="1"/>
  <c r="BC262" i="1"/>
  <c r="BB262" i="1"/>
  <c r="BA262" i="1"/>
  <c r="AZ262" i="1"/>
  <c r="AY262" i="1"/>
  <c r="AW262" i="1"/>
  <c r="AQ262" i="1"/>
  <c r="AI262" i="1"/>
  <c r="AE262" i="1"/>
  <c r="Z262" i="1"/>
  <c r="Y262" i="1"/>
  <c r="I262" i="1"/>
  <c r="BC261" i="1"/>
  <c r="BB261" i="1"/>
  <c r="BA261" i="1"/>
  <c r="AZ261" i="1"/>
  <c r="AY261" i="1"/>
  <c r="AQ261" i="1"/>
  <c r="AW261" i="1" s="1"/>
  <c r="BE261" i="1" s="1"/>
  <c r="AO261" i="1"/>
  <c r="AN261" i="1"/>
  <c r="AM261" i="1"/>
  <c r="AG261" i="1"/>
  <c r="AF261" i="1" a="1"/>
  <c r="AF261" i="1"/>
  <c r="AE261" i="1"/>
  <c r="Z261" i="1"/>
  <c r="Y261" i="1"/>
  <c r="I261" i="1"/>
  <c r="BC260" i="1"/>
  <c r="BB260" i="1"/>
  <c r="BA260" i="1"/>
  <c r="AZ260" i="1"/>
  <c r="AY260" i="1"/>
  <c r="AJ260" i="1" s="1"/>
  <c r="AL260" i="1" s="1"/>
  <c r="AA260" i="1" s="1"/>
  <c r="AW260" i="1"/>
  <c r="AQ260" i="1"/>
  <c r="AK260" i="1"/>
  <c r="AI260" i="1"/>
  <c r="AH260" i="1"/>
  <c r="AG260" i="1"/>
  <c r="AD260" i="1"/>
  <c r="Z260" i="1"/>
  <c r="Y260" i="1"/>
  <c r="I260" i="1"/>
  <c r="AE260" i="1" s="1"/>
  <c r="BC259" i="1"/>
  <c r="BB259" i="1"/>
  <c r="BA259" i="1"/>
  <c r="AZ259" i="1"/>
  <c r="AY259" i="1"/>
  <c r="AW259" i="1"/>
  <c r="BE259" i="1" s="1"/>
  <c r="AQ259" i="1"/>
  <c r="Z259" i="1"/>
  <c r="Y259" i="1"/>
  <c r="I259" i="1"/>
  <c r="BE258" i="1"/>
  <c r="BC258" i="1"/>
  <c r="BB258" i="1"/>
  <c r="BA258" i="1"/>
  <c r="AZ258" i="1"/>
  <c r="AY258" i="1"/>
  <c r="AQ258" i="1"/>
  <c r="AW258" i="1" s="1"/>
  <c r="AM258" i="1"/>
  <c r="AO258" i="1" s="1"/>
  <c r="Z258" i="1"/>
  <c r="Y258" i="1"/>
  <c r="I258" i="1"/>
  <c r="BC257" i="1"/>
  <c r="BB257" i="1"/>
  <c r="BA257" i="1"/>
  <c r="AZ257" i="1"/>
  <c r="AY257" i="1"/>
  <c r="AQ257" i="1"/>
  <c r="AW257" i="1" s="1"/>
  <c r="AN257" i="1"/>
  <c r="AK257" i="1"/>
  <c r="AI257" i="1"/>
  <c r="AH257" i="1"/>
  <c r="AG257" i="1"/>
  <c r="AF257" i="1" a="1"/>
  <c r="AF257" i="1" s="1"/>
  <c r="AE257" i="1"/>
  <c r="AD257" i="1"/>
  <c r="Z257" i="1"/>
  <c r="Y257" i="1"/>
  <c r="I257" i="1"/>
  <c r="BE256" i="1"/>
  <c r="BC256" i="1"/>
  <c r="BB256" i="1"/>
  <c r="BA256" i="1"/>
  <c r="AZ256" i="1"/>
  <c r="AY256" i="1"/>
  <c r="AW256" i="1"/>
  <c r="AM256" i="1" s="1"/>
  <c r="AQ256" i="1"/>
  <c r="AO256" i="1"/>
  <c r="Z256" i="1"/>
  <c r="Y256" i="1"/>
  <c r="I256" i="1"/>
  <c r="BC255" i="1"/>
  <c r="BB255" i="1"/>
  <c r="BA255" i="1"/>
  <c r="AZ255" i="1"/>
  <c r="AY255" i="1"/>
  <c r="AQ255" i="1"/>
  <c r="AW255" i="1" s="1"/>
  <c r="AI255" i="1"/>
  <c r="AG255" i="1"/>
  <c r="Z255" i="1"/>
  <c r="Y255" i="1"/>
  <c r="I255" i="1"/>
  <c r="BC254" i="1"/>
  <c r="BB254" i="1"/>
  <c r="BA254" i="1"/>
  <c r="AZ254" i="1"/>
  <c r="AY254" i="1"/>
  <c r="AW254" i="1"/>
  <c r="AQ254" i="1"/>
  <c r="AK254" i="1"/>
  <c r="AJ254" i="1"/>
  <c r="AL254" i="1" s="1"/>
  <c r="AI254" i="1"/>
  <c r="AH254" i="1"/>
  <c r="AG254" i="1"/>
  <c r="AE254" i="1"/>
  <c r="AD254" i="1"/>
  <c r="Z254" i="1"/>
  <c r="Y254" i="1"/>
  <c r="I254" i="1"/>
  <c r="BC253" i="1"/>
  <c r="BB253" i="1"/>
  <c r="BA253" i="1"/>
  <c r="AZ253" i="1"/>
  <c r="AY253" i="1"/>
  <c r="AJ253" i="1" s="1"/>
  <c r="AL253" i="1" s="1"/>
  <c r="AQ253" i="1"/>
  <c r="AW253" i="1" s="1"/>
  <c r="AN253" i="1"/>
  <c r="AK253" i="1"/>
  <c r="AH253" i="1"/>
  <c r="AG253" i="1"/>
  <c r="AE253" i="1"/>
  <c r="AD253" i="1"/>
  <c r="Z253" i="1"/>
  <c r="Y253" i="1"/>
  <c r="I253" i="1"/>
  <c r="AI253" i="1" s="1"/>
  <c r="BC252" i="1"/>
  <c r="BB252" i="1"/>
  <c r="BA252" i="1"/>
  <c r="AZ252" i="1"/>
  <c r="AY252" i="1"/>
  <c r="AW252" i="1"/>
  <c r="AQ252" i="1"/>
  <c r="AK252" i="1"/>
  <c r="AI252" i="1"/>
  <c r="AF252" i="1" a="1"/>
  <c r="AF252" i="1" s="1"/>
  <c r="AD252" i="1"/>
  <c r="Z252" i="1"/>
  <c r="Y252" i="1"/>
  <c r="I252" i="1"/>
  <c r="BC251" i="1"/>
  <c r="BB251" i="1"/>
  <c r="BA251" i="1"/>
  <c r="AZ251" i="1"/>
  <c r="AY251" i="1"/>
  <c r="AW251" i="1"/>
  <c r="AQ251" i="1"/>
  <c r="AN251" i="1"/>
  <c r="AK251" i="1"/>
  <c r="AI251" i="1"/>
  <c r="Z251" i="1"/>
  <c r="Y251" i="1"/>
  <c r="I251" i="1"/>
  <c r="BC250" i="1"/>
  <c r="BB250" i="1"/>
  <c r="BA250" i="1"/>
  <c r="AZ250" i="1"/>
  <c r="AY250" i="1"/>
  <c r="AQ250" i="1"/>
  <c r="AW250" i="1" s="1"/>
  <c r="AN250" i="1"/>
  <c r="AK250" i="1"/>
  <c r="AI250" i="1"/>
  <c r="AG250" i="1"/>
  <c r="AE250" i="1"/>
  <c r="Z250" i="1"/>
  <c r="Y250" i="1"/>
  <c r="I250" i="1"/>
  <c r="AH250" i="1" s="1"/>
  <c r="BC249" i="1"/>
  <c r="BB249" i="1"/>
  <c r="BA249" i="1"/>
  <c r="AZ249" i="1"/>
  <c r="AY249" i="1"/>
  <c r="AW249" i="1"/>
  <c r="AQ249" i="1"/>
  <c r="AN249" i="1"/>
  <c r="AK249" i="1"/>
  <c r="AI249" i="1"/>
  <c r="AH249" i="1"/>
  <c r="AG249" i="1"/>
  <c r="AF249" i="1" a="1"/>
  <c r="AF249" i="1" s="1"/>
  <c r="AE249" i="1"/>
  <c r="AD249" i="1"/>
  <c r="Z249" i="1"/>
  <c r="Y249" i="1"/>
  <c r="I249" i="1"/>
  <c r="BC248" i="1"/>
  <c r="BB248" i="1"/>
  <c r="BA248" i="1"/>
  <c r="AZ248" i="1"/>
  <c r="AY248" i="1"/>
  <c r="AW248" i="1"/>
  <c r="AQ248" i="1"/>
  <c r="AJ248" i="1"/>
  <c r="AL248" i="1" s="1"/>
  <c r="Z248" i="1"/>
  <c r="Y248" i="1"/>
  <c r="I248" i="1"/>
  <c r="BC247" i="1"/>
  <c r="BB247" i="1"/>
  <c r="BA247" i="1"/>
  <c r="AZ247" i="1"/>
  <c r="AY247" i="1"/>
  <c r="AW247" i="1"/>
  <c r="AQ247" i="1"/>
  <c r="AN247" i="1"/>
  <c r="AI247" i="1"/>
  <c r="AH247" i="1"/>
  <c r="AG247" i="1"/>
  <c r="AE247" i="1"/>
  <c r="Z247" i="1"/>
  <c r="Y247" i="1"/>
  <c r="I247" i="1"/>
  <c r="BC246" i="1"/>
  <c r="BB246" i="1"/>
  <c r="BA246" i="1"/>
  <c r="AZ246" i="1"/>
  <c r="AY246" i="1"/>
  <c r="AW246" i="1"/>
  <c r="AQ246" i="1"/>
  <c r="AI246" i="1"/>
  <c r="AH246" i="1"/>
  <c r="Z246" i="1"/>
  <c r="Y246" i="1"/>
  <c r="I246" i="1"/>
  <c r="BC245" i="1"/>
  <c r="BB245" i="1"/>
  <c r="BA245" i="1"/>
  <c r="AZ245" i="1"/>
  <c r="AJ245" i="1" s="1"/>
  <c r="AL245" i="1" s="1"/>
  <c r="AY245" i="1"/>
  <c r="AQ245" i="1"/>
  <c r="AW245" i="1" s="1"/>
  <c r="AH245" i="1"/>
  <c r="AF245" i="1" a="1"/>
  <c r="AF245" i="1" s="1"/>
  <c r="AD245" i="1"/>
  <c r="Z245" i="1"/>
  <c r="Y245" i="1"/>
  <c r="I245" i="1"/>
  <c r="BC244" i="1"/>
  <c r="BB244" i="1"/>
  <c r="BA244" i="1"/>
  <c r="AZ244" i="1"/>
  <c r="AY244" i="1"/>
  <c r="AJ244" i="1" s="1"/>
  <c r="AL244" i="1" s="1"/>
  <c r="AQ244" i="1"/>
  <c r="AW244" i="1" s="1"/>
  <c r="AI244" i="1"/>
  <c r="AG244" i="1"/>
  <c r="AD244" i="1"/>
  <c r="Z244" i="1"/>
  <c r="Y244" i="1"/>
  <c r="I244" i="1"/>
  <c r="AE244" i="1" s="1"/>
  <c r="BC243" i="1"/>
  <c r="BB243" i="1"/>
  <c r="BA243" i="1"/>
  <c r="AZ243" i="1"/>
  <c r="AY243" i="1"/>
  <c r="AJ243" i="1" s="1"/>
  <c r="AL243" i="1" s="1"/>
  <c r="AQ243" i="1"/>
  <c r="AW243" i="1" s="1"/>
  <c r="AI243" i="1"/>
  <c r="AF243" i="1" a="1"/>
  <c r="AF243" i="1" s="1"/>
  <c r="AD243" i="1"/>
  <c r="Z243" i="1"/>
  <c r="Y243" i="1"/>
  <c r="I243" i="1"/>
  <c r="AG243" i="1" s="1"/>
  <c r="BC242" i="1"/>
  <c r="BB242" i="1"/>
  <c r="BA242" i="1"/>
  <c r="AZ242" i="1"/>
  <c r="AJ242" i="1" s="1"/>
  <c r="AL242" i="1" s="1"/>
  <c r="AY242" i="1"/>
  <c r="AW242" i="1"/>
  <c r="AQ242" i="1"/>
  <c r="AN242" i="1"/>
  <c r="AK242" i="1"/>
  <c r="AI242" i="1"/>
  <c r="AH242" i="1"/>
  <c r="AG242" i="1"/>
  <c r="AE242" i="1"/>
  <c r="AD242" i="1"/>
  <c r="Z242" i="1"/>
  <c r="Y242" i="1"/>
  <c r="I242" i="1"/>
  <c r="AF242" i="1" s="1" a="1"/>
  <c r="AF242" i="1" s="1"/>
  <c r="BC241" i="1"/>
  <c r="BB241" i="1"/>
  <c r="BA241" i="1"/>
  <c r="BE241" i="1" s="1"/>
  <c r="AZ241" i="1"/>
  <c r="AY241" i="1"/>
  <c r="AW241" i="1"/>
  <c r="AQ241" i="1"/>
  <c r="AN241" i="1"/>
  <c r="AK241" i="1"/>
  <c r="AI241" i="1"/>
  <c r="AH241" i="1"/>
  <c r="AG241" i="1"/>
  <c r="AF241" i="1" a="1"/>
  <c r="AF241" i="1" s="1"/>
  <c r="AE241" i="1"/>
  <c r="AD241" i="1"/>
  <c r="Z241" i="1"/>
  <c r="Y241" i="1"/>
  <c r="I241" i="1"/>
  <c r="BC240" i="1"/>
  <c r="BB240" i="1"/>
  <c r="AM240" i="1" s="1"/>
  <c r="AO240" i="1" s="1"/>
  <c r="BA240" i="1"/>
  <c r="AZ240" i="1"/>
  <c r="AY240" i="1"/>
  <c r="BE240" i="1" s="1"/>
  <c r="AW240" i="1"/>
  <c r="AQ240" i="1"/>
  <c r="AN240" i="1"/>
  <c r="AK240" i="1"/>
  <c r="AG240" i="1"/>
  <c r="AE240" i="1"/>
  <c r="Z240" i="1"/>
  <c r="Y240" i="1"/>
  <c r="I240" i="1"/>
  <c r="AH240" i="1" s="1"/>
  <c r="BC239" i="1"/>
  <c r="BB239" i="1"/>
  <c r="BA239" i="1"/>
  <c r="AZ239" i="1"/>
  <c r="AY239" i="1"/>
  <c r="AW239" i="1"/>
  <c r="AQ239" i="1"/>
  <c r="AH239" i="1"/>
  <c r="AF239" i="1" a="1"/>
  <c r="AF239" i="1"/>
  <c r="Z239" i="1"/>
  <c r="Y239" i="1"/>
  <c r="I239" i="1"/>
  <c r="BC238" i="1"/>
  <c r="BB238" i="1"/>
  <c r="BA238" i="1"/>
  <c r="AZ238" i="1"/>
  <c r="AY238" i="1"/>
  <c r="AJ238" i="1" s="1"/>
  <c r="AL238" i="1" s="1"/>
  <c r="AQ238" i="1"/>
  <c r="AW238" i="1" s="1"/>
  <c r="AI238" i="1"/>
  <c r="AG238" i="1"/>
  <c r="AD238" i="1"/>
  <c r="Z238" i="1"/>
  <c r="Y238" i="1"/>
  <c r="I238" i="1"/>
  <c r="BC237" i="1"/>
  <c r="AJ237" i="1" s="1"/>
  <c r="AL237" i="1" s="1"/>
  <c r="BB237" i="1"/>
  <c r="BA237" i="1"/>
  <c r="AZ237" i="1"/>
  <c r="AY237" i="1"/>
  <c r="AQ237" i="1"/>
  <c r="AW237" i="1" s="1"/>
  <c r="AG237" i="1"/>
  <c r="AF237" i="1" a="1"/>
  <c r="AF237" i="1" s="1"/>
  <c r="AE237" i="1"/>
  <c r="Z237" i="1"/>
  <c r="Y237" i="1"/>
  <c r="I237" i="1"/>
  <c r="BC236" i="1"/>
  <c r="BB236" i="1"/>
  <c r="BA236" i="1"/>
  <c r="AZ236" i="1"/>
  <c r="AY236" i="1"/>
  <c r="AW236" i="1"/>
  <c r="AQ236" i="1"/>
  <c r="AN236" i="1"/>
  <c r="AJ236" i="1"/>
  <c r="AL236" i="1" s="1"/>
  <c r="AI236" i="1"/>
  <c r="AH236" i="1"/>
  <c r="AG236" i="1"/>
  <c r="AD236" i="1"/>
  <c r="Z236" i="1"/>
  <c r="Y236" i="1"/>
  <c r="I236" i="1"/>
  <c r="AE236" i="1" s="1"/>
  <c r="BC235" i="1"/>
  <c r="AJ235" i="1" s="1"/>
  <c r="AL235" i="1" s="1"/>
  <c r="BB235" i="1"/>
  <c r="BA235" i="1"/>
  <c r="AZ235" i="1"/>
  <c r="AY235" i="1"/>
  <c r="AQ235" i="1"/>
  <c r="AW235" i="1" s="1"/>
  <c r="AM235" i="1"/>
  <c r="AO235" i="1" s="1"/>
  <c r="AI235" i="1"/>
  <c r="AH235" i="1"/>
  <c r="AF235" i="1" a="1"/>
  <c r="AF235" i="1" s="1"/>
  <c r="AE235" i="1"/>
  <c r="AD235" i="1"/>
  <c r="Z235" i="1"/>
  <c r="Y235" i="1"/>
  <c r="I235" i="1"/>
  <c r="AG235" i="1" s="1"/>
  <c r="BE234" i="1"/>
  <c r="BC234" i="1"/>
  <c r="BB234" i="1"/>
  <c r="BA234" i="1"/>
  <c r="AZ234" i="1"/>
  <c r="AY234" i="1"/>
  <c r="AW234" i="1"/>
  <c r="AQ234" i="1"/>
  <c r="Z234" i="1"/>
  <c r="Y234" i="1"/>
  <c r="I234" i="1"/>
  <c r="BC233" i="1"/>
  <c r="BB233" i="1"/>
  <c r="BA233" i="1"/>
  <c r="AZ233" i="1"/>
  <c r="AY233" i="1"/>
  <c r="AQ233" i="1"/>
  <c r="AW233" i="1" s="1"/>
  <c r="AN233" i="1"/>
  <c r="AK233" i="1"/>
  <c r="AI233" i="1"/>
  <c r="AH233" i="1"/>
  <c r="AG233" i="1"/>
  <c r="AF233" i="1" a="1"/>
  <c r="AF233" i="1" s="1"/>
  <c r="AE233" i="1"/>
  <c r="AD233" i="1"/>
  <c r="Z233" i="1"/>
  <c r="Y233" i="1"/>
  <c r="I233" i="1"/>
  <c r="BC232" i="1"/>
  <c r="BB232" i="1"/>
  <c r="BA232" i="1"/>
  <c r="AZ232" i="1"/>
  <c r="AY232" i="1"/>
  <c r="AW232" i="1"/>
  <c r="AQ232" i="1"/>
  <c r="AN232" i="1"/>
  <c r="AK232" i="1"/>
  <c r="AI232" i="1"/>
  <c r="AG232" i="1"/>
  <c r="AE232" i="1"/>
  <c r="AD232" i="1"/>
  <c r="Z232" i="1"/>
  <c r="Y232" i="1"/>
  <c r="I232" i="1"/>
  <c r="AH232" i="1" s="1"/>
  <c r="BC231" i="1"/>
  <c r="BB231" i="1"/>
  <c r="BA231" i="1"/>
  <c r="AZ231" i="1"/>
  <c r="AY231" i="1"/>
  <c r="AW231" i="1"/>
  <c r="AQ231" i="1"/>
  <c r="AI231" i="1"/>
  <c r="AF231" i="1" a="1"/>
  <c r="AF231" i="1" s="1"/>
  <c r="AE231" i="1"/>
  <c r="Z231" i="1"/>
  <c r="Y231" i="1"/>
  <c r="I231" i="1"/>
  <c r="BC230" i="1"/>
  <c r="BB230" i="1"/>
  <c r="BA230" i="1"/>
  <c r="AZ230" i="1"/>
  <c r="AJ230" i="1" s="1"/>
  <c r="AL230" i="1" s="1"/>
  <c r="AY230" i="1"/>
  <c r="AQ230" i="1"/>
  <c r="AW230" i="1" s="1"/>
  <c r="AI230" i="1"/>
  <c r="AG230" i="1"/>
  <c r="AE230" i="1"/>
  <c r="AD230" i="1"/>
  <c r="Z230" i="1"/>
  <c r="Y230" i="1"/>
  <c r="I230" i="1"/>
  <c r="AK230" i="1" s="1"/>
  <c r="BC229" i="1"/>
  <c r="BB229" i="1"/>
  <c r="BA229" i="1"/>
  <c r="AZ229" i="1"/>
  <c r="AY229" i="1"/>
  <c r="AQ229" i="1"/>
  <c r="AW229" i="1" s="1"/>
  <c r="AN229" i="1"/>
  <c r="AK229" i="1"/>
  <c r="AG229" i="1"/>
  <c r="AE229" i="1"/>
  <c r="Z229" i="1"/>
  <c r="Y229" i="1"/>
  <c r="I229" i="1"/>
  <c r="AI229" i="1" s="1"/>
  <c r="BC228" i="1"/>
  <c r="AJ228" i="1" s="1"/>
  <c r="AL228" i="1" s="1"/>
  <c r="BB228" i="1"/>
  <c r="BA228" i="1"/>
  <c r="AZ228" i="1"/>
  <c r="AY228" i="1"/>
  <c r="AW228" i="1"/>
  <c r="AQ228" i="1"/>
  <c r="AN228" i="1"/>
  <c r="AK228" i="1"/>
  <c r="Z228" i="1"/>
  <c r="Y228" i="1"/>
  <c r="I228" i="1"/>
  <c r="BC227" i="1"/>
  <c r="BB227" i="1"/>
  <c r="BA227" i="1"/>
  <c r="AZ227" i="1"/>
  <c r="AY227" i="1"/>
  <c r="AW227" i="1"/>
  <c r="AQ227" i="1"/>
  <c r="AN227" i="1"/>
  <c r="AE227" i="1"/>
  <c r="Z227" i="1"/>
  <c r="Y227" i="1"/>
  <c r="I227" i="1"/>
  <c r="BC226" i="1"/>
  <c r="BB226" i="1"/>
  <c r="BA226" i="1"/>
  <c r="AZ226" i="1"/>
  <c r="AY226" i="1"/>
  <c r="AQ226" i="1"/>
  <c r="AW226" i="1" s="1"/>
  <c r="AG226" i="1"/>
  <c r="AF226" i="1" a="1"/>
  <c r="AF226" i="1" s="1"/>
  <c r="AE226" i="1"/>
  <c r="Z226" i="1"/>
  <c r="Y226" i="1"/>
  <c r="I226" i="1"/>
  <c r="AI226" i="1" s="1"/>
  <c r="BC225" i="1"/>
  <c r="BB225" i="1"/>
  <c r="BA225" i="1"/>
  <c r="AZ225" i="1"/>
  <c r="AY225" i="1"/>
  <c r="AQ225" i="1"/>
  <c r="AW225" i="1" s="1"/>
  <c r="AN225" i="1"/>
  <c r="AK225" i="1"/>
  <c r="AI225" i="1"/>
  <c r="AH225" i="1"/>
  <c r="AG225" i="1"/>
  <c r="AF225" i="1" a="1"/>
  <c r="AF225" i="1" s="1"/>
  <c r="AE225" i="1"/>
  <c r="AD225" i="1"/>
  <c r="Z225" i="1"/>
  <c r="Y225" i="1"/>
  <c r="I225" i="1"/>
  <c r="BC224" i="1"/>
  <c r="BB224" i="1"/>
  <c r="BA224" i="1"/>
  <c r="AZ224" i="1"/>
  <c r="AY224" i="1"/>
  <c r="AW224" i="1"/>
  <c r="AQ224" i="1"/>
  <c r="AD224" i="1"/>
  <c r="Z224" i="1"/>
  <c r="Y224" i="1"/>
  <c r="I224" i="1"/>
  <c r="BC223" i="1"/>
  <c r="BB223" i="1"/>
  <c r="BA223" i="1"/>
  <c r="AZ223" i="1"/>
  <c r="AY223" i="1"/>
  <c r="AQ223" i="1"/>
  <c r="AW223" i="1" s="1"/>
  <c r="AI223" i="1"/>
  <c r="AG223" i="1"/>
  <c r="AE223" i="1"/>
  <c r="Z223" i="1"/>
  <c r="Y223" i="1"/>
  <c r="I223" i="1"/>
  <c r="BC222" i="1"/>
  <c r="BB222" i="1"/>
  <c r="BA222" i="1"/>
  <c r="AZ222" i="1"/>
  <c r="AY222" i="1"/>
  <c r="AW222" i="1"/>
  <c r="AQ222" i="1"/>
  <c r="AK222" i="1"/>
  <c r="AI222" i="1"/>
  <c r="AH222" i="1"/>
  <c r="AG222" i="1"/>
  <c r="AE222" i="1"/>
  <c r="AD222" i="1"/>
  <c r="Z222" i="1"/>
  <c r="Y222" i="1"/>
  <c r="I222" i="1"/>
  <c r="BC221" i="1"/>
  <c r="BB221" i="1"/>
  <c r="BE221" i="1" s="1"/>
  <c r="BA221" i="1"/>
  <c r="AZ221" i="1"/>
  <c r="AY221" i="1"/>
  <c r="AQ221" i="1"/>
  <c r="AW221" i="1" s="1"/>
  <c r="AN221" i="1"/>
  <c r="AK221" i="1"/>
  <c r="AH221" i="1"/>
  <c r="AG221" i="1"/>
  <c r="AE221" i="1"/>
  <c r="AD221" i="1"/>
  <c r="Z221" i="1"/>
  <c r="Y221" i="1"/>
  <c r="I221" i="1"/>
  <c r="AI221" i="1" s="1"/>
  <c r="BC220" i="1"/>
  <c r="BB220" i="1"/>
  <c r="BA220" i="1"/>
  <c r="AZ220" i="1"/>
  <c r="AY220" i="1"/>
  <c r="AW220" i="1"/>
  <c r="AQ220" i="1"/>
  <c r="AF220" i="1" a="1"/>
  <c r="AF220" i="1" s="1"/>
  <c r="AD220" i="1"/>
  <c r="Z220" i="1"/>
  <c r="Y220" i="1"/>
  <c r="I220" i="1"/>
  <c r="AI220" i="1" s="1"/>
  <c r="BC219" i="1"/>
  <c r="BB219" i="1"/>
  <c r="BA219" i="1"/>
  <c r="AZ219" i="1"/>
  <c r="AY219" i="1"/>
  <c r="AJ219" i="1" s="1"/>
  <c r="AL219" i="1" s="1"/>
  <c r="AW219" i="1"/>
  <c r="AQ219" i="1"/>
  <c r="AI219" i="1"/>
  <c r="AH219" i="1"/>
  <c r="AD219" i="1"/>
  <c r="Z219" i="1"/>
  <c r="Y219" i="1"/>
  <c r="I219" i="1"/>
  <c r="BC218" i="1"/>
  <c r="BB218" i="1"/>
  <c r="BA218" i="1"/>
  <c r="AZ218" i="1"/>
  <c r="AY218" i="1"/>
  <c r="AQ218" i="1"/>
  <c r="AW218" i="1" s="1"/>
  <c r="AN218" i="1"/>
  <c r="AK218" i="1"/>
  <c r="AI218" i="1"/>
  <c r="AG218" i="1"/>
  <c r="AE218" i="1"/>
  <c r="AD218" i="1"/>
  <c r="Z218" i="1"/>
  <c r="Y218" i="1"/>
  <c r="I218" i="1"/>
  <c r="AH218" i="1" s="1"/>
  <c r="BC217" i="1"/>
  <c r="AJ217" i="1" s="1"/>
  <c r="AL217" i="1" s="1"/>
  <c r="BB217" i="1"/>
  <c r="BA217" i="1"/>
  <c r="AZ217" i="1"/>
  <c r="AY217" i="1"/>
  <c r="AW217" i="1"/>
  <c r="AQ217" i="1"/>
  <c r="AN217" i="1"/>
  <c r="AK217" i="1"/>
  <c r="AI217" i="1"/>
  <c r="AH217" i="1"/>
  <c r="AG217" i="1"/>
  <c r="AF217" i="1" a="1"/>
  <c r="AF217" i="1" s="1"/>
  <c r="AE217" i="1"/>
  <c r="AD217" i="1"/>
  <c r="Z217" i="1"/>
  <c r="Y217" i="1"/>
  <c r="I217" i="1"/>
  <c r="BC216" i="1"/>
  <c r="BE216" i="1" s="1"/>
  <c r="BB216" i="1"/>
  <c r="BA216" i="1"/>
  <c r="AZ216" i="1"/>
  <c r="AY216" i="1"/>
  <c r="AJ216" i="1" s="1"/>
  <c r="AL216" i="1" s="1"/>
  <c r="AW216" i="1"/>
  <c r="AQ216" i="1"/>
  <c r="AN216" i="1"/>
  <c r="AG216" i="1"/>
  <c r="AE216" i="1"/>
  <c r="AD216" i="1"/>
  <c r="Z216" i="1"/>
  <c r="Y216" i="1"/>
  <c r="I216" i="1"/>
  <c r="BC215" i="1"/>
  <c r="BB215" i="1"/>
  <c r="BA215" i="1"/>
  <c r="AZ215" i="1"/>
  <c r="AY215" i="1"/>
  <c r="AW215" i="1"/>
  <c r="AQ215" i="1"/>
  <c r="AH215" i="1"/>
  <c r="AG215" i="1"/>
  <c r="AF215" i="1" a="1"/>
  <c r="AF215" i="1" s="1"/>
  <c r="Z215" i="1"/>
  <c r="Y215" i="1"/>
  <c r="I215" i="1"/>
  <c r="BC214" i="1"/>
  <c r="BB214" i="1"/>
  <c r="BA214" i="1"/>
  <c r="AZ214" i="1"/>
  <c r="AY214" i="1"/>
  <c r="AQ214" i="1"/>
  <c r="AW214" i="1" s="1"/>
  <c r="AJ214" i="1"/>
  <c r="AL214" i="1" s="1"/>
  <c r="AI214" i="1"/>
  <c r="AH214" i="1"/>
  <c r="Z214" i="1"/>
  <c r="Y214" i="1"/>
  <c r="I214" i="1"/>
  <c r="BE213" i="1"/>
  <c r="BC213" i="1"/>
  <c r="BB213" i="1"/>
  <c r="BA213" i="1"/>
  <c r="AZ213" i="1"/>
  <c r="AY213" i="1"/>
  <c r="AQ213" i="1"/>
  <c r="AW213" i="1" s="1"/>
  <c r="AM213" i="1" s="1"/>
  <c r="AO213" i="1" s="1"/>
  <c r="AN213" i="1"/>
  <c r="AG213" i="1"/>
  <c r="AF213" i="1" a="1"/>
  <c r="AF213" i="1"/>
  <c r="AD213" i="1"/>
  <c r="Z213" i="1"/>
  <c r="Y213" i="1"/>
  <c r="I213" i="1"/>
  <c r="BC212" i="1"/>
  <c r="BB212" i="1"/>
  <c r="BA212" i="1"/>
  <c r="AZ212" i="1"/>
  <c r="AY212" i="1"/>
  <c r="AQ212" i="1"/>
  <c r="AW212" i="1" s="1"/>
  <c r="AJ212" i="1" s="1"/>
  <c r="AL212" i="1" s="1"/>
  <c r="Z212" i="1"/>
  <c r="Y212" i="1"/>
  <c r="I212" i="1"/>
  <c r="BC211" i="1"/>
  <c r="BB211" i="1"/>
  <c r="BA211" i="1"/>
  <c r="AZ211" i="1"/>
  <c r="AY211" i="1"/>
  <c r="AJ211" i="1" s="1"/>
  <c r="AL211" i="1" s="1"/>
  <c r="AW211" i="1"/>
  <c r="AQ211" i="1"/>
  <c r="AN211" i="1"/>
  <c r="AK211" i="1"/>
  <c r="AI211" i="1"/>
  <c r="AH211" i="1"/>
  <c r="AD211" i="1"/>
  <c r="Z211" i="1"/>
  <c r="Y211" i="1"/>
  <c r="I211" i="1"/>
  <c r="BC210" i="1"/>
  <c r="BB210" i="1"/>
  <c r="BA210" i="1"/>
  <c r="AZ210" i="1"/>
  <c r="AY210" i="1"/>
  <c r="AJ210" i="1" s="1"/>
  <c r="AL210" i="1" s="1"/>
  <c r="AQ210" i="1"/>
  <c r="AW210" i="1" s="1"/>
  <c r="AK210" i="1"/>
  <c r="AI210" i="1"/>
  <c r="AH210" i="1"/>
  <c r="AE210" i="1"/>
  <c r="AD210" i="1"/>
  <c r="Z210" i="1"/>
  <c r="Y210" i="1"/>
  <c r="I210" i="1"/>
  <c r="BC209" i="1"/>
  <c r="BB209" i="1"/>
  <c r="BA209" i="1"/>
  <c r="AZ209" i="1"/>
  <c r="AY209" i="1"/>
  <c r="AQ209" i="1"/>
  <c r="AW209" i="1" s="1"/>
  <c r="Z209" i="1"/>
  <c r="Y209" i="1"/>
  <c r="I209" i="1"/>
  <c r="BC208" i="1"/>
  <c r="BB208" i="1"/>
  <c r="BA208" i="1"/>
  <c r="AZ208" i="1"/>
  <c r="AY208" i="1"/>
  <c r="AQ208" i="1"/>
  <c r="AW208" i="1" s="1"/>
  <c r="AN208" i="1"/>
  <c r="AK208" i="1"/>
  <c r="AI208" i="1"/>
  <c r="AH208" i="1"/>
  <c r="AG208" i="1"/>
  <c r="AF208" i="1" a="1"/>
  <c r="AF208" i="1" s="1"/>
  <c r="AD208" i="1"/>
  <c r="Z208" i="1"/>
  <c r="Y208" i="1"/>
  <c r="I208" i="1"/>
  <c r="AE208" i="1" s="1"/>
  <c r="BC207" i="1"/>
  <c r="BB207" i="1"/>
  <c r="AM207" i="1" s="1"/>
  <c r="AO207" i="1" s="1"/>
  <c r="BA207" i="1"/>
  <c r="AZ207" i="1"/>
  <c r="AY207" i="1"/>
  <c r="AJ207" i="1" s="1"/>
  <c r="AL207" i="1" s="1"/>
  <c r="AW207" i="1"/>
  <c r="AQ207" i="1"/>
  <c r="AN207" i="1"/>
  <c r="AE207" i="1"/>
  <c r="AD207" i="1"/>
  <c r="Z207" i="1"/>
  <c r="Y207" i="1"/>
  <c r="I207" i="1"/>
  <c r="BC206" i="1"/>
  <c r="BB206" i="1"/>
  <c r="BA206" i="1"/>
  <c r="AZ206" i="1"/>
  <c r="AY206" i="1"/>
  <c r="AQ206" i="1"/>
  <c r="AW206" i="1" s="1"/>
  <c r="AN206" i="1"/>
  <c r="AF206" i="1" a="1"/>
  <c r="AF206" i="1" s="1"/>
  <c r="AE206" i="1"/>
  <c r="Z206" i="1"/>
  <c r="Y206" i="1"/>
  <c r="I206" i="1"/>
  <c r="BC205" i="1"/>
  <c r="BB205" i="1"/>
  <c r="BA205" i="1"/>
  <c r="AZ205" i="1"/>
  <c r="AY205" i="1"/>
  <c r="AQ205" i="1"/>
  <c r="AW205" i="1" s="1"/>
  <c r="AN205" i="1"/>
  <c r="AK205" i="1"/>
  <c r="AI205" i="1"/>
  <c r="AH205" i="1"/>
  <c r="AG205" i="1"/>
  <c r="AF205" i="1" a="1"/>
  <c r="AF205" i="1" s="1"/>
  <c r="AE205" i="1"/>
  <c r="AD205" i="1"/>
  <c r="Z205" i="1"/>
  <c r="Y205" i="1"/>
  <c r="I205" i="1"/>
  <c r="BC204" i="1"/>
  <c r="BB204" i="1"/>
  <c r="BA204" i="1"/>
  <c r="AZ204" i="1"/>
  <c r="AY204" i="1"/>
  <c r="AW204" i="1"/>
  <c r="AQ204" i="1"/>
  <c r="AN204" i="1"/>
  <c r="AM204" i="1"/>
  <c r="AO204" i="1" s="1"/>
  <c r="AG204" i="1"/>
  <c r="AE204" i="1"/>
  <c r="AD204" i="1"/>
  <c r="Z204" i="1"/>
  <c r="Y204" i="1"/>
  <c r="I204" i="1"/>
  <c r="AH204" i="1" s="1"/>
  <c r="BC203" i="1"/>
  <c r="BB203" i="1"/>
  <c r="BE203" i="1" s="1"/>
  <c r="BA203" i="1"/>
  <c r="AZ203" i="1"/>
  <c r="AY203" i="1"/>
  <c r="AJ203" i="1" s="1"/>
  <c r="AL203" i="1" s="1"/>
  <c r="AW203" i="1"/>
  <c r="AQ203" i="1"/>
  <c r="AN203" i="1"/>
  <c r="AM203" i="1"/>
  <c r="AO203" i="1" s="1"/>
  <c r="AF203" i="1" a="1"/>
  <c r="AF203" i="1"/>
  <c r="AE203" i="1"/>
  <c r="Z203" i="1"/>
  <c r="Y203" i="1"/>
  <c r="I203" i="1"/>
  <c r="BC202" i="1"/>
  <c r="BB202" i="1"/>
  <c r="BA202" i="1"/>
  <c r="AZ202" i="1"/>
  <c r="AY202" i="1"/>
  <c r="AQ202" i="1"/>
  <c r="AW202" i="1" s="1"/>
  <c r="AE202" i="1"/>
  <c r="Z202" i="1"/>
  <c r="Y202" i="1"/>
  <c r="I202" i="1"/>
  <c r="BC201" i="1"/>
  <c r="BB201" i="1"/>
  <c r="BA201" i="1"/>
  <c r="AZ201" i="1"/>
  <c r="AY201" i="1"/>
  <c r="AQ201" i="1"/>
  <c r="AW201" i="1" s="1"/>
  <c r="Z201" i="1"/>
  <c r="Y201" i="1"/>
  <c r="I201" i="1"/>
  <c r="BC200" i="1"/>
  <c r="BB200" i="1"/>
  <c r="BA200" i="1"/>
  <c r="AZ200" i="1"/>
  <c r="AY200" i="1"/>
  <c r="AQ200" i="1"/>
  <c r="AW200" i="1" s="1"/>
  <c r="Z200" i="1"/>
  <c r="Y200" i="1"/>
  <c r="I200" i="1"/>
  <c r="BC199" i="1"/>
  <c r="BB199" i="1"/>
  <c r="BA199" i="1"/>
  <c r="AZ199" i="1"/>
  <c r="AY199" i="1"/>
  <c r="AQ199" i="1"/>
  <c r="AW199" i="1" s="1"/>
  <c r="AN199" i="1"/>
  <c r="AH199" i="1"/>
  <c r="AF199" i="1" a="1"/>
  <c r="AF199" i="1" s="1"/>
  <c r="Z199" i="1"/>
  <c r="Y199" i="1"/>
  <c r="I199" i="1"/>
  <c r="BC198" i="1"/>
  <c r="BB198" i="1"/>
  <c r="BA198" i="1"/>
  <c r="AZ198" i="1"/>
  <c r="AY198" i="1"/>
  <c r="AW198" i="1"/>
  <c r="AQ198" i="1"/>
  <c r="AN198" i="1"/>
  <c r="AK198" i="1"/>
  <c r="AI198" i="1"/>
  <c r="AH198" i="1"/>
  <c r="AG198" i="1"/>
  <c r="AE198" i="1"/>
  <c r="AD198" i="1"/>
  <c r="Z198" i="1"/>
  <c r="Y198" i="1"/>
  <c r="I198" i="1"/>
  <c r="AF198" i="1" s="1" a="1"/>
  <c r="AF198" i="1" s="1"/>
  <c r="BC197" i="1"/>
  <c r="BB197" i="1"/>
  <c r="BA197" i="1"/>
  <c r="AZ197" i="1"/>
  <c r="AY197" i="1"/>
  <c r="AW197" i="1"/>
  <c r="AQ197" i="1"/>
  <c r="AN197" i="1"/>
  <c r="AK197" i="1"/>
  <c r="AJ197" i="1"/>
  <c r="AL197" i="1" s="1"/>
  <c r="AI197" i="1"/>
  <c r="AH197" i="1"/>
  <c r="AG197" i="1"/>
  <c r="AF197" i="1" a="1"/>
  <c r="AF197" i="1" s="1"/>
  <c r="AE197" i="1"/>
  <c r="AD197" i="1"/>
  <c r="AA197" i="1"/>
  <c r="Z197" i="1"/>
  <c r="Y197" i="1"/>
  <c r="I197" i="1"/>
  <c r="BC196" i="1"/>
  <c r="BB196" i="1"/>
  <c r="BA196" i="1"/>
  <c r="AZ196" i="1"/>
  <c r="AY196" i="1"/>
  <c r="AW196" i="1"/>
  <c r="AQ196" i="1"/>
  <c r="AN196" i="1"/>
  <c r="AK196" i="1"/>
  <c r="AJ196" i="1"/>
  <c r="AL196" i="1" s="1"/>
  <c r="AE196" i="1"/>
  <c r="AD196" i="1"/>
  <c r="Z196" i="1"/>
  <c r="Y196" i="1"/>
  <c r="I196" i="1"/>
  <c r="AH196" i="1" s="1"/>
  <c r="BC195" i="1"/>
  <c r="BB195" i="1"/>
  <c r="BA195" i="1"/>
  <c r="AZ195" i="1"/>
  <c r="AY195" i="1"/>
  <c r="AQ195" i="1"/>
  <c r="AW195" i="1" s="1"/>
  <c r="AE195" i="1"/>
  <c r="Z195" i="1"/>
  <c r="Y195" i="1"/>
  <c r="I195" i="1"/>
  <c r="AN195" i="1" s="1"/>
  <c r="BC194" i="1"/>
  <c r="BB194" i="1"/>
  <c r="BA194" i="1"/>
  <c r="AZ194" i="1"/>
  <c r="AY194" i="1"/>
  <c r="AQ194" i="1"/>
  <c r="AW194" i="1" s="1"/>
  <c r="AM194" i="1" s="1"/>
  <c r="AO194" i="1" s="1"/>
  <c r="AK194" i="1"/>
  <c r="AG194" i="1"/>
  <c r="AE194" i="1"/>
  <c r="AD194" i="1"/>
  <c r="Z194" i="1"/>
  <c r="Y194" i="1"/>
  <c r="I194" i="1"/>
  <c r="BE193" i="1"/>
  <c r="BC193" i="1"/>
  <c r="BB193" i="1"/>
  <c r="BA193" i="1"/>
  <c r="AZ193" i="1"/>
  <c r="AY193" i="1"/>
  <c r="AQ193" i="1"/>
  <c r="AW193" i="1" s="1"/>
  <c r="AN193" i="1"/>
  <c r="AM193" i="1"/>
  <c r="AO193" i="1" s="1"/>
  <c r="AG193" i="1"/>
  <c r="AE193" i="1"/>
  <c r="AD193" i="1"/>
  <c r="Z193" i="1"/>
  <c r="Y193" i="1"/>
  <c r="I193" i="1"/>
  <c r="AI193" i="1" s="1"/>
  <c r="BC192" i="1"/>
  <c r="BB192" i="1"/>
  <c r="BE192" i="1" s="1"/>
  <c r="BA192" i="1"/>
  <c r="AZ192" i="1"/>
  <c r="AY192" i="1"/>
  <c r="AW192" i="1"/>
  <c r="AQ192" i="1"/>
  <c r="AN192" i="1"/>
  <c r="AM192" i="1"/>
  <c r="AO192" i="1" s="1"/>
  <c r="Z192" i="1"/>
  <c r="Y192" i="1"/>
  <c r="I192" i="1"/>
  <c r="BC191" i="1"/>
  <c r="BB191" i="1"/>
  <c r="AM191" i="1" s="1"/>
  <c r="AO191" i="1" s="1"/>
  <c r="BA191" i="1"/>
  <c r="AZ191" i="1"/>
  <c r="AY191" i="1"/>
  <c r="AW191" i="1"/>
  <c r="AQ191" i="1"/>
  <c r="Z191" i="1"/>
  <c r="Y191" i="1"/>
  <c r="I191" i="1"/>
  <c r="BE190" i="1"/>
  <c r="BC190" i="1"/>
  <c r="BB190" i="1"/>
  <c r="BA190" i="1"/>
  <c r="AZ190" i="1"/>
  <c r="AY190" i="1"/>
  <c r="AQ190" i="1"/>
  <c r="AW190" i="1" s="1"/>
  <c r="Z190" i="1"/>
  <c r="Y190" i="1"/>
  <c r="I190" i="1"/>
  <c r="BC189" i="1"/>
  <c r="BB189" i="1"/>
  <c r="BA189" i="1"/>
  <c r="AZ189" i="1"/>
  <c r="AY189" i="1"/>
  <c r="AQ189" i="1"/>
  <c r="AW189" i="1" s="1"/>
  <c r="AN189" i="1"/>
  <c r="AK189" i="1"/>
  <c r="AI189" i="1"/>
  <c r="AH189" i="1"/>
  <c r="AG189" i="1"/>
  <c r="AF189" i="1" a="1"/>
  <c r="AF189" i="1" s="1"/>
  <c r="AE189" i="1"/>
  <c r="AD189" i="1"/>
  <c r="Z189" i="1"/>
  <c r="Y189" i="1"/>
  <c r="I189" i="1"/>
  <c r="BC188" i="1"/>
  <c r="BB188" i="1"/>
  <c r="BA188" i="1"/>
  <c r="AZ188" i="1"/>
  <c r="AY188" i="1"/>
  <c r="AJ188" i="1" s="1"/>
  <c r="AL188" i="1" s="1"/>
  <c r="AW188" i="1"/>
  <c r="AQ188" i="1"/>
  <c r="AK188" i="1"/>
  <c r="AI188" i="1"/>
  <c r="AG188" i="1"/>
  <c r="AD188" i="1"/>
  <c r="Z188" i="1"/>
  <c r="Y188" i="1"/>
  <c r="I188" i="1"/>
  <c r="AH188" i="1" s="1"/>
  <c r="BC187" i="1"/>
  <c r="BB187" i="1"/>
  <c r="BA187" i="1"/>
  <c r="AZ187" i="1"/>
  <c r="AY187" i="1"/>
  <c r="AW187" i="1"/>
  <c r="AQ187" i="1"/>
  <c r="AN187" i="1"/>
  <c r="AI187" i="1"/>
  <c r="AH187" i="1"/>
  <c r="AG187" i="1"/>
  <c r="AE187" i="1"/>
  <c r="Z187" i="1"/>
  <c r="Y187" i="1"/>
  <c r="I187" i="1"/>
  <c r="BC186" i="1"/>
  <c r="BB186" i="1"/>
  <c r="BA186" i="1"/>
  <c r="AZ186" i="1"/>
  <c r="AY186" i="1"/>
  <c r="AW186" i="1"/>
  <c r="AQ186" i="1"/>
  <c r="AK186" i="1"/>
  <c r="AI186" i="1"/>
  <c r="AH186" i="1"/>
  <c r="AE186" i="1"/>
  <c r="AD186" i="1"/>
  <c r="Z186" i="1"/>
  <c r="Y186" i="1"/>
  <c r="I186" i="1"/>
  <c r="BC185" i="1"/>
  <c r="BB185" i="1"/>
  <c r="BA185" i="1"/>
  <c r="AZ185" i="1"/>
  <c r="AY185" i="1"/>
  <c r="AQ185" i="1"/>
  <c r="AW185" i="1" s="1"/>
  <c r="AN185" i="1"/>
  <c r="AK185" i="1"/>
  <c r="AJ185" i="1"/>
  <c r="AL185" i="1" s="1"/>
  <c r="AH185" i="1"/>
  <c r="AE185" i="1"/>
  <c r="AD185" i="1"/>
  <c r="Z185" i="1"/>
  <c r="Y185" i="1"/>
  <c r="I185" i="1"/>
  <c r="AI185" i="1" s="1"/>
  <c r="BC184" i="1"/>
  <c r="BB184" i="1"/>
  <c r="BA184" i="1"/>
  <c r="AZ184" i="1"/>
  <c r="AJ184" i="1" s="1"/>
  <c r="AL184" i="1" s="1"/>
  <c r="AY184" i="1"/>
  <c r="AQ184" i="1"/>
  <c r="AW184" i="1" s="1"/>
  <c r="BE184" i="1" s="1"/>
  <c r="AM184" i="1"/>
  <c r="AO184" i="1" s="1"/>
  <c r="AK184" i="1"/>
  <c r="AD184" i="1"/>
  <c r="Z184" i="1"/>
  <c r="Y184" i="1"/>
  <c r="I184" i="1"/>
  <c r="AE184" i="1" s="1"/>
  <c r="BC183" i="1"/>
  <c r="BB183" i="1"/>
  <c r="BA183" i="1"/>
  <c r="AZ183" i="1"/>
  <c r="AY183" i="1"/>
  <c r="AQ183" i="1"/>
  <c r="AW183" i="1" s="1"/>
  <c r="AK183" i="1"/>
  <c r="AJ183" i="1"/>
  <c r="AL183" i="1" s="1"/>
  <c r="AD183" i="1"/>
  <c r="Z183" i="1"/>
  <c r="Y183" i="1"/>
  <c r="I183" i="1"/>
  <c r="AG183" i="1" s="1"/>
  <c r="BC182" i="1"/>
  <c r="BB182" i="1"/>
  <c r="BA182" i="1"/>
  <c r="AZ182" i="1"/>
  <c r="AY182" i="1"/>
  <c r="AQ182" i="1"/>
  <c r="AW182" i="1" s="1"/>
  <c r="AN182" i="1"/>
  <c r="AM182" i="1"/>
  <c r="AO182" i="1" s="1"/>
  <c r="AG182" i="1"/>
  <c r="AE182" i="1"/>
  <c r="AD182" i="1"/>
  <c r="Z182" i="1"/>
  <c r="Y182" i="1"/>
  <c r="I182" i="1"/>
  <c r="AK182" i="1" s="1"/>
  <c r="BE181" i="1"/>
  <c r="BC181" i="1"/>
  <c r="BB181" i="1"/>
  <c r="BA181" i="1"/>
  <c r="AZ181" i="1"/>
  <c r="AY181" i="1"/>
  <c r="AW181" i="1"/>
  <c r="AM181" i="1" s="1"/>
  <c r="AQ181" i="1"/>
  <c r="AO181" i="1"/>
  <c r="AN181" i="1"/>
  <c r="AK181" i="1"/>
  <c r="AI181" i="1"/>
  <c r="AH181" i="1"/>
  <c r="AG181" i="1"/>
  <c r="AF181" i="1" a="1"/>
  <c r="AF181" i="1" s="1"/>
  <c r="AE181" i="1"/>
  <c r="AD181" i="1"/>
  <c r="Z181" i="1"/>
  <c r="Y181" i="1"/>
  <c r="I181" i="1"/>
  <c r="BC180" i="1"/>
  <c r="BB180" i="1"/>
  <c r="BA180" i="1"/>
  <c r="AZ180" i="1"/>
  <c r="AY180" i="1"/>
  <c r="AW180" i="1"/>
  <c r="AM180" i="1" s="1"/>
  <c r="AQ180" i="1"/>
  <c r="AO180" i="1"/>
  <c r="AN180" i="1"/>
  <c r="AG180" i="1"/>
  <c r="AF180" i="1" a="1"/>
  <c r="AF180" i="1"/>
  <c r="Z180" i="1"/>
  <c r="Y180" i="1"/>
  <c r="I180" i="1"/>
  <c r="BE179" i="1"/>
  <c r="BC179" i="1"/>
  <c r="BB179" i="1"/>
  <c r="BA179" i="1"/>
  <c r="AZ179" i="1"/>
  <c r="AY179" i="1"/>
  <c r="AW179" i="1"/>
  <c r="AQ179" i="1"/>
  <c r="AH179" i="1"/>
  <c r="AG179" i="1"/>
  <c r="AF179" i="1" a="1"/>
  <c r="AF179" i="1" s="1"/>
  <c r="Z179" i="1"/>
  <c r="Y179" i="1"/>
  <c r="I179" i="1"/>
  <c r="BC178" i="1"/>
  <c r="BB178" i="1"/>
  <c r="BA178" i="1"/>
  <c r="AZ178" i="1"/>
  <c r="AY178" i="1"/>
  <c r="AW178" i="1"/>
  <c r="AQ178" i="1"/>
  <c r="AK178" i="1"/>
  <c r="AI178" i="1"/>
  <c r="AH178" i="1"/>
  <c r="AG178" i="1"/>
  <c r="Z178" i="1"/>
  <c r="Y178" i="1"/>
  <c r="I178" i="1"/>
  <c r="AE178" i="1" s="1"/>
  <c r="BC177" i="1"/>
  <c r="BB177" i="1"/>
  <c r="BA177" i="1"/>
  <c r="AZ177" i="1"/>
  <c r="AY177" i="1"/>
  <c r="AQ177" i="1"/>
  <c r="AW177" i="1" s="1"/>
  <c r="AK177" i="1"/>
  <c r="AH177" i="1"/>
  <c r="AG177" i="1"/>
  <c r="AD177" i="1"/>
  <c r="Z177" i="1"/>
  <c r="Y177" i="1"/>
  <c r="I177" i="1"/>
  <c r="AI177" i="1" s="1"/>
  <c r="BC176" i="1"/>
  <c r="BB176" i="1"/>
  <c r="BA176" i="1"/>
  <c r="AZ176" i="1"/>
  <c r="AY176" i="1"/>
  <c r="AJ176" i="1" s="1"/>
  <c r="AL176" i="1" s="1"/>
  <c r="AW176" i="1"/>
  <c r="AQ176" i="1"/>
  <c r="AN176" i="1"/>
  <c r="AK176" i="1"/>
  <c r="AI176" i="1"/>
  <c r="AH176" i="1"/>
  <c r="AG176" i="1"/>
  <c r="AD176" i="1"/>
  <c r="Z176" i="1"/>
  <c r="Y176" i="1"/>
  <c r="I176" i="1"/>
  <c r="AE176" i="1" s="1"/>
  <c r="BC175" i="1"/>
  <c r="BB175" i="1"/>
  <c r="BA175" i="1"/>
  <c r="AZ175" i="1"/>
  <c r="AY175" i="1"/>
  <c r="AW175" i="1"/>
  <c r="AQ175" i="1"/>
  <c r="AK175" i="1"/>
  <c r="AI175" i="1"/>
  <c r="AH175" i="1"/>
  <c r="AF175" i="1" a="1"/>
  <c r="AF175" i="1" s="1"/>
  <c r="AE175" i="1"/>
  <c r="AD175" i="1"/>
  <c r="Z175" i="1"/>
  <c r="Y175" i="1"/>
  <c r="I175" i="1"/>
  <c r="AG175" i="1" s="1"/>
  <c r="BC174" i="1"/>
  <c r="BB174" i="1"/>
  <c r="BA174" i="1"/>
  <c r="AZ174" i="1"/>
  <c r="AY174" i="1"/>
  <c r="AW174" i="1"/>
  <c r="BE174" i="1" s="1"/>
  <c r="AQ174" i="1"/>
  <c r="AN174" i="1"/>
  <c r="AK174" i="1"/>
  <c r="AI174" i="1"/>
  <c r="AH174" i="1"/>
  <c r="AE174" i="1"/>
  <c r="AD174" i="1"/>
  <c r="Z174" i="1"/>
  <c r="Y174" i="1"/>
  <c r="I174" i="1"/>
  <c r="AG174" i="1" s="1"/>
  <c r="BC173" i="1"/>
  <c r="BB173" i="1"/>
  <c r="BA173" i="1"/>
  <c r="AZ173" i="1"/>
  <c r="AY173" i="1"/>
  <c r="AQ173" i="1"/>
  <c r="AW173" i="1" s="1"/>
  <c r="AN173" i="1"/>
  <c r="AK173" i="1"/>
  <c r="AI173" i="1"/>
  <c r="AH173" i="1"/>
  <c r="AG173" i="1"/>
  <c r="AF173" i="1" a="1"/>
  <c r="AF173" i="1" s="1"/>
  <c r="AE173" i="1"/>
  <c r="AD173" i="1"/>
  <c r="Z173" i="1"/>
  <c r="Y173" i="1"/>
  <c r="I173" i="1"/>
  <c r="BC172" i="1"/>
  <c r="BB172" i="1"/>
  <c r="AM172" i="1" s="1"/>
  <c r="AO172" i="1" s="1"/>
  <c r="BA172" i="1"/>
  <c r="AZ172" i="1"/>
  <c r="AY172" i="1"/>
  <c r="AW172" i="1"/>
  <c r="AQ172" i="1"/>
  <c r="AN172" i="1"/>
  <c r="AG172" i="1"/>
  <c r="AE172" i="1"/>
  <c r="AD172" i="1"/>
  <c r="Z172" i="1"/>
  <c r="Y172" i="1"/>
  <c r="I172" i="1"/>
  <c r="AH172" i="1" s="1"/>
  <c r="BC171" i="1"/>
  <c r="BB171" i="1"/>
  <c r="BA171" i="1"/>
  <c r="AZ171" i="1"/>
  <c r="AY171" i="1"/>
  <c r="AJ171" i="1" s="1"/>
  <c r="AL171" i="1" s="1"/>
  <c r="AW171" i="1"/>
  <c r="AQ171" i="1"/>
  <c r="AH171" i="1"/>
  <c r="AF171" i="1" a="1"/>
  <c r="AF171" i="1" s="1"/>
  <c r="AE171" i="1"/>
  <c r="Z171" i="1"/>
  <c r="Y171" i="1"/>
  <c r="I171" i="1"/>
  <c r="BC170" i="1"/>
  <c r="BB170" i="1"/>
  <c r="BA170" i="1"/>
  <c r="AZ170" i="1"/>
  <c r="AY170" i="1"/>
  <c r="AQ170" i="1"/>
  <c r="AW170" i="1" s="1"/>
  <c r="AG170" i="1"/>
  <c r="AE170" i="1"/>
  <c r="Z170" i="1"/>
  <c r="Y170" i="1"/>
  <c r="I170" i="1"/>
  <c r="AI170" i="1" s="1"/>
  <c r="BC169" i="1"/>
  <c r="BB169" i="1"/>
  <c r="BA169" i="1"/>
  <c r="AZ169" i="1"/>
  <c r="BE169" i="1" s="1"/>
  <c r="AY169" i="1"/>
  <c r="AQ169" i="1"/>
  <c r="AW169" i="1" s="1"/>
  <c r="AG169" i="1"/>
  <c r="AF169" i="1" a="1"/>
  <c r="AF169" i="1" s="1"/>
  <c r="Z169" i="1"/>
  <c r="Y169" i="1"/>
  <c r="I169" i="1"/>
  <c r="BC168" i="1"/>
  <c r="BB168" i="1"/>
  <c r="BA168" i="1"/>
  <c r="AZ168" i="1"/>
  <c r="BE168" i="1" s="1"/>
  <c r="AY168" i="1"/>
  <c r="AW168" i="1"/>
  <c r="AQ168" i="1"/>
  <c r="AH168" i="1"/>
  <c r="AG168" i="1"/>
  <c r="Z168" i="1"/>
  <c r="Y168" i="1"/>
  <c r="I168" i="1"/>
  <c r="BC167" i="1"/>
  <c r="BB167" i="1"/>
  <c r="BA167" i="1"/>
  <c r="AZ167" i="1"/>
  <c r="AJ167" i="1" s="1"/>
  <c r="AL167" i="1" s="1"/>
  <c r="AY167" i="1"/>
  <c r="AW167" i="1"/>
  <c r="AQ167" i="1"/>
  <c r="Z167" i="1"/>
  <c r="Y167" i="1"/>
  <c r="I167" i="1"/>
  <c r="BC166" i="1"/>
  <c r="BB166" i="1"/>
  <c r="BA166" i="1"/>
  <c r="AZ166" i="1"/>
  <c r="AY166" i="1"/>
  <c r="AW166" i="1"/>
  <c r="AQ166" i="1"/>
  <c r="AK166" i="1"/>
  <c r="AI166" i="1"/>
  <c r="AH166" i="1"/>
  <c r="AG166" i="1"/>
  <c r="AD166" i="1"/>
  <c r="Z166" i="1"/>
  <c r="Y166" i="1"/>
  <c r="I166" i="1"/>
  <c r="AF166" i="1" s="1" a="1"/>
  <c r="AF166" i="1" s="1"/>
  <c r="BC165" i="1"/>
  <c r="BB165" i="1"/>
  <c r="BA165" i="1"/>
  <c r="AZ165" i="1"/>
  <c r="AY165" i="1"/>
  <c r="AW165" i="1"/>
  <c r="AQ165" i="1"/>
  <c r="AN165" i="1"/>
  <c r="AK165" i="1"/>
  <c r="AJ165" i="1"/>
  <c r="AL165" i="1" s="1"/>
  <c r="AA165" i="1" s="1"/>
  <c r="AI165" i="1"/>
  <c r="AH165" i="1"/>
  <c r="AG165" i="1"/>
  <c r="AF165" i="1" a="1"/>
  <c r="AF165" i="1" s="1"/>
  <c r="AE165" i="1"/>
  <c r="AD165" i="1"/>
  <c r="Z165" i="1"/>
  <c r="Y165" i="1"/>
  <c r="I165" i="1"/>
  <c r="BC164" i="1"/>
  <c r="BB164" i="1"/>
  <c r="BA164" i="1"/>
  <c r="AZ164" i="1"/>
  <c r="AY164" i="1"/>
  <c r="AJ164" i="1" s="1"/>
  <c r="AL164" i="1" s="1"/>
  <c r="AW164" i="1"/>
  <c r="AQ164" i="1"/>
  <c r="AN164" i="1"/>
  <c r="AK164" i="1"/>
  <c r="AI164" i="1"/>
  <c r="AE164" i="1"/>
  <c r="AD164" i="1"/>
  <c r="Z164" i="1"/>
  <c r="Y164" i="1"/>
  <c r="I164" i="1"/>
  <c r="AH164" i="1" s="1"/>
  <c r="BC163" i="1"/>
  <c r="BB163" i="1"/>
  <c r="BA163" i="1"/>
  <c r="AZ163" i="1"/>
  <c r="AY163" i="1"/>
  <c r="AQ163" i="1"/>
  <c r="AW163" i="1" s="1"/>
  <c r="AF163" i="1" a="1"/>
  <c r="AF163" i="1"/>
  <c r="AE163" i="1"/>
  <c r="Z163" i="1"/>
  <c r="Y163" i="1"/>
  <c r="I163" i="1"/>
  <c r="BC162" i="1"/>
  <c r="BB162" i="1"/>
  <c r="BA162" i="1"/>
  <c r="AZ162" i="1"/>
  <c r="AY162" i="1"/>
  <c r="AQ162" i="1"/>
  <c r="AW162" i="1" s="1"/>
  <c r="AK162" i="1"/>
  <c r="AG162" i="1"/>
  <c r="Z162" i="1"/>
  <c r="Y162" i="1"/>
  <c r="I162" i="1"/>
  <c r="BC161" i="1"/>
  <c r="BB161" i="1"/>
  <c r="BA161" i="1"/>
  <c r="AZ161" i="1"/>
  <c r="AY161" i="1"/>
  <c r="AQ161" i="1"/>
  <c r="AW161" i="1" s="1"/>
  <c r="AN161" i="1"/>
  <c r="AF161" i="1" a="1"/>
  <c r="AF161" i="1"/>
  <c r="AE161" i="1"/>
  <c r="AD161" i="1"/>
  <c r="Z161" i="1"/>
  <c r="Y161" i="1"/>
  <c r="I161" i="1"/>
  <c r="AG161" i="1" s="1"/>
  <c r="BC160" i="1"/>
  <c r="BB160" i="1"/>
  <c r="AM160" i="1" s="1"/>
  <c r="AO160" i="1" s="1"/>
  <c r="BA160" i="1"/>
  <c r="AZ160" i="1"/>
  <c r="AY160" i="1"/>
  <c r="AQ160" i="1"/>
  <c r="AW160" i="1" s="1"/>
  <c r="AN160" i="1"/>
  <c r="AG160" i="1"/>
  <c r="AF160" i="1" a="1"/>
  <c r="AF160" i="1" s="1"/>
  <c r="Z160" i="1"/>
  <c r="Y160" i="1"/>
  <c r="I160" i="1"/>
  <c r="BC159" i="1"/>
  <c r="BB159" i="1"/>
  <c r="BA159" i="1"/>
  <c r="AZ159" i="1"/>
  <c r="AY159" i="1"/>
  <c r="AQ159" i="1"/>
  <c r="AW159" i="1" s="1"/>
  <c r="BE159" i="1" s="1"/>
  <c r="AN159" i="1"/>
  <c r="AM159" i="1"/>
  <c r="AO159" i="1" s="1"/>
  <c r="AI159" i="1"/>
  <c r="AG159" i="1"/>
  <c r="AF159" i="1" a="1"/>
  <c r="AF159" i="1"/>
  <c r="Z159" i="1"/>
  <c r="Y159" i="1"/>
  <c r="I159" i="1"/>
  <c r="BC158" i="1"/>
  <c r="BB158" i="1"/>
  <c r="BA158" i="1"/>
  <c r="AZ158" i="1"/>
  <c r="AY158" i="1"/>
  <c r="AQ158" i="1"/>
  <c r="AW158" i="1" s="1"/>
  <c r="AK158" i="1"/>
  <c r="AI158" i="1"/>
  <c r="AH158" i="1"/>
  <c r="AG158" i="1"/>
  <c r="AE158" i="1"/>
  <c r="AD158" i="1"/>
  <c r="Z158" i="1"/>
  <c r="Y158" i="1"/>
  <c r="I158" i="1"/>
  <c r="AN158" i="1" s="1"/>
  <c r="BC157" i="1"/>
  <c r="BB157" i="1"/>
  <c r="BA157" i="1"/>
  <c r="AZ157" i="1"/>
  <c r="AY157" i="1"/>
  <c r="AQ157" i="1"/>
  <c r="AW157" i="1" s="1"/>
  <c r="AN157" i="1"/>
  <c r="AF157" i="1" a="1"/>
  <c r="AF157" i="1"/>
  <c r="AE157" i="1"/>
  <c r="AD157" i="1"/>
  <c r="Z157" i="1"/>
  <c r="Y157" i="1"/>
  <c r="I157" i="1"/>
  <c r="AG157" i="1" s="1"/>
  <c r="BC156" i="1"/>
  <c r="BB156" i="1"/>
  <c r="BA156" i="1"/>
  <c r="AZ156" i="1"/>
  <c r="AY156" i="1"/>
  <c r="AQ156" i="1"/>
  <c r="AW156" i="1" s="1"/>
  <c r="AN156" i="1"/>
  <c r="AI156" i="1"/>
  <c r="AH156" i="1"/>
  <c r="AG156" i="1"/>
  <c r="AF156" i="1" a="1"/>
  <c r="AF156" i="1" s="1"/>
  <c r="Z156" i="1"/>
  <c r="Y156" i="1"/>
  <c r="I156" i="1"/>
  <c r="AE156" i="1" s="1"/>
  <c r="BC155" i="1"/>
  <c r="BB155" i="1"/>
  <c r="BA155" i="1"/>
  <c r="AZ155" i="1"/>
  <c r="AY155" i="1"/>
  <c r="AW155" i="1"/>
  <c r="AQ155" i="1"/>
  <c r="AE155" i="1"/>
  <c r="AD155" i="1"/>
  <c r="Z155" i="1"/>
  <c r="Y155" i="1"/>
  <c r="I155" i="1"/>
  <c r="BC154" i="1"/>
  <c r="BE154" i="1" s="1"/>
  <c r="BB154" i="1"/>
  <c r="BA154" i="1"/>
  <c r="AZ154" i="1"/>
  <c r="AY154" i="1"/>
  <c r="AQ154" i="1"/>
  <c r="AW154" i="1" s="1"/>
  <c r="AM154" i="1"/>
  <c r="AO154" i="1" s="1"/>
  <c r="Z154" i="1"/>
  <c r="Y154" i="1"/>
  <c r="I154" i="1"/>
  <c r="AH154" i="1" s="1"/>
  <c r="BC153" i="1"/>
  <c r="BB153" i="1"/>
  <c r="BA153" i="1"/>
  <c r="AZ153" i="1"/>
  <c r="AY153" i="1"/>
  <c r="AQ153" i="1"/>
  <c r="AW153" i="1" s="1"/>
  <c r="AN153" i="1"/>
  <c r="AK153" i="1"/>
  <c r="AI153" i="1"/>
  <c r="AH153" i="1"/>
  <c r="AG153" i="1"/>
  <c r="AF153" i="1" a="1"/>
  <c r="AF153" i="1" s="1"/>
  <c r="AE153" i="1"/>
  <c r="AD153" i="1"/>
  <c r="Z153" i="1"/>
  <c r="Y153" i="1"/>
  <c r="I153" i="1"/>
  <c r="BC152" i="1"/>
  <c r="BB152" i="1"/>
  <c r="BA152" i="1"/>
  <c r="AZ152" i="1"/>
  <c r="AY152" i="1"/>
  <c r="AW152" i="1"/>
  <c r="AQ152" i="1"/>
  <c r="AN152" i="1"/>
  <c r="AK152" i="1"/>
  <c r="AF152" i="1" a="1"/>
  <c r="AF152" i="1"/>
  <c r="AE152" i="1"/>
  <c r="AD152" i="1"/>
  <c r="Z152" i="1"/>
  <c r="Y152" i="1"/>
  <c r="I152" i="1"/>
  <c r="BC151" i="1"/>
  <c r="BB151" i="1"/>
  <c r="BE151" i="1" s="1"/>
  <c r="BA151" i="1"/>
  <c r="AZ151" i="1"/>
  <c r="AY151" i="1"/>
  <c r="AW151" i="1"/>
  <c r="AQ151" i="1"/>
  <c r="Z151" i="1"/>
  <c r="Y151" i="1"/>
  <c r="I151" i="1"/>
  <c r="AN151" i="1" s="1"/>
  <c r="BC150" i="1"/>
  <c r="BB150" i="1"/>
  <c r="BA150" i="1"/>
  <c r="AZ150" i="1"/>
  <c r="AY150" i="1"/>
  <c r="AQ150" i="1"/>
  <c r="AW150" i="1" s="1"/>
  <c r="AK150" i="1"/>
  <c r="AI150" i="1"/>
  <c r="AH150" i="1"/>
  <c r="AG150" i="1"/>
  <c r="AE150" i="1"/>
  <c r="AD150" i="1"/>
  <c r="Z150" i="1"/>
  <c r="Y150" i="1"/>
  <c r="I150" i="1"/>
  <c r="AN150" i="1" s="1"/>
  <c r="BC149" i="1"/>
  <c r="BB149" i="1"/>
  <c r="BA149" i="1"/>
  <c r="AZ149" i="1"/>
  <c r="AY149" i="1"/>
  <c r="AQ149" i="1"/>
  <c r="AW149" i="1" s="1"/>
  <c r="AN149" i="1"/>
  <c r="AG149" i="1"/>
  <c r="AF149" i="1" a="1"/>
  <c r="AF149" i="1"/>
  <c r="AE149" i="1"/>
  <c r="AD149" i="1"/>
  <c r="Z149" i="1"/>
  <c r="Y149" i="1"/>
  <c r="I149" i="1"/>
  <c r="BE148" i="1"/>
  <c r="BC148" i="1"/>
  <c r="BB148" i="1"/>
  <c r="BA148" i="1"/>
  <c r="AZ148" i="1"/>
  <c r="AY148" i="1"/>
  <c r="AJ148" i="1" s="1"/>
  <c r="AL148" i="1" s="1"/>
  <c r="AW148" i="1"/>
  <c r="AQ148" i="1"/>
  <c r="AN148" i="1"/>
  <c r="AI148" i="1"/>
  <c r="AH148" i="1"/>
  <c r="AG148" i="1"/>
  <c r="AF148" i="1" a="1"/>
  <c r="AF148" i="1" s="1"/>
  <c r="Z148" i="1"/>
  <c r="Y148" i="1"/>
  <c r="I148" i="1"/>
  <c r="AE148" i="1" s="1"/>
  <c r="BC147" i="1"/>
  <c r="BB147" i="1"/>
  <c r="BA147" i="1"/>
  <c r="AZ147" i="1"/>
  <c r="AY147" i="1"/>
  <c r="AW147" i="1"/>
  <c r="AQ147" i="1"/>
  <c r="Z147" i="1"/>
  <c r="Y147" i="1"/>
  <c r="I147" i="1"/>
  <c r="AK147" i="1" s="1"/>
  <c r="BC146" i="1"/>
  <c r="BB146" i="1"/>
  <c r="BA146" i="1"/>
  <c r="BE146" i="1" s="1"/>
  <c r="AZ146" i="1"/>
  <c r="AJ146" i="1" s="1"/>
  <c r="AL146" i="1" s="1"/>
  <c r="AY146" i="1"/>
  <c r="AQ146" i="1"/>
  <c r="AW146" i="1" s="1"/>
  <c r="Z146" i="1"/>
  <c r="Y146" i="1"/>
  <c r="I146" i="1"/>
  <c r="BC145" i="1"/>
  <c r="BB145" i="1"/>
  <c r="BA145" i="1"/>
  <c r="AZ145" i="1"/>
  <c r="AY145" i="1"/>
  <c r="AQ145" i="1"/>
  <c r="AW145" i="1" s="1"/>
  <c r="AN145" i="1"/>
  <c r="AK145" i="1"/>
  <c r="AJ145" i="1"/>
  <c r="AL145" i="1" s="1"/>
  <c r="AA145" i="1" s="1"/>
  <c r="AI145" i="1"/>
  <c r="AH145" i="1"/>
  <c r="AG145" i="1"/>
  <c r="AF145" i="1" a="1"/>
  <c r="AF145" i="1" s="1"/>
  <c r="AE145" i="1"/>
  <c r="AD145" i="1"/>
  <c r="Z145" i="1"/>
  <c r="Y145" i="1"/>
  <c r="I145" i="1"/>
  <c r="BC144" i="1"/>
  <c r="BB144" i="1"/>
  <c r="BA144" i="1"/>
  <c r="AZ144" i="1"/>
  <c r="AY144" i="1"/>
  <c r="AW144" i="1"/>
  <c r="BE144" i="1" s="1"/>
  <c r="AQ144" i="1"/>
  <c r="Z144" i="1"/>
  <c r="Y144" i="1"/>
  <c r="I144" i="1"/>
  <c r="BC143" i="1"/>
  <c r="BB143" i="1"/>
  <c r="BA143" i="1"/>
  <c r="AZ143" i="1"/>
  <c r="AY143" i="1"/>
  <c r="AQ143" i="1"/>
  <c r="AW143" i="1" s="1"/>
  <c r="AM143" i="1"/>
  <c r="AO143" i="1" s="1"/>
  <c r="Z143" i="1"/>
  <c r="Y143" i="1"/>
  <c r="I143" i="1"/>
  <c r="BC142" i="1"/>
  <c r="BB142" i="1"/>
  <c r="BA142" i="1"/>
  <c r="AZ142" i="1"/>
  <c r="AY142" i="1"/>
  <c r="AJ142" i="1" s="1"/>
  <c r="AL142" i="1" s="1"/>
  <c r="AQ142" i="1"/>
  <c r="AW142" i="1" s="1"/>
  <c r="AK142" i="1"/>
  <c r="AI142" i="1"/>
  <c r="AH142" i="1"/>
  <c r="AG142" i="1"/>
  <c r="AE142" i="1"/>
  <c r="AD142" i="1"/>
  <c r="Z142" i="1"/>
  <c r="Y142" i="1"/>
  <c r="I142" i="1"/>
  <c r="AN142" i="1" s="1"/>
  <c r="BE141" i="1"/>
  <c r="BC141" i="1"/>
  <c r="BB141" i="1"/>
  <c r="BA141" i="1"/>
  <c r="AZ141" i="1"/>
  <c r="AY141" i="1"/>
  <c r="AQ141" i="1"/>
  <c r="AW141" i="1" s="1"/>
  <c r="AN141" i="1"/>
  <c r="Z141" i="1"/>
  <c r="Y141" i="1"/>
  <c r="I141" i="1"/>
  <c r="BC140" i="1"/>
  <c r="BB140" i="1"/>
  <c r="BA140" i="1"/>
  <c r="AZ140" i="1"/>
  <c r="AY140" i="1"/>
  <c r="AW140" i="1"/>
  <c r="AQ140" i="1"/>
  <c r="AN140" i="1"/>
  <c r="AI140" i="1"/>
  <c r="AH140" i="1"/>
  <c r="AG140" i="1"/>
  <c r="AF140" i="1" a="1"/>
  <c r="AF140" i="1" s="1"/>
  <c r="Z140" i="1"/>
  <c r="Y140" i="1"/>
  <c r="I140" i="1"/>
  <c r="AE140" i="1" s="1"/>
  <c r="BC139" i="1"/>
  <c r="BB139" i="1"/>
  <c r="BA139" i="1"/>
  <c r="AZ139" i="1"/>
  <c r="AY139" i="1"/>
  <c r="AW139" i="1"/>
  <c r="AQ139" i="1"/>
  <c r="AK139" i="1"/>
  <c r="AJ139" i="1"/>
  <c r="AL139" i="1" s="1"/>
  <c r="AE139" i="1"/>
  <c r="AD139" i="1"/>
  <c r="Z139" i="1"/>
  <c r="Y139" i="1"/>
  <c r="I139" i="1"/>
  <c r="BC138" i="1"/>
  <c r="BB138" i="1"/>
  <c r="BA138" i="1"/>
  <c r="AZ138" i="1"/>
  <c r="AY138" i="1"/>
  <c r="AQ138" i="1"/>
  <c r="AW138" i="1" s="1"/>
  <c r="AN138" i="1"/>
  <c r="AH138" i="1"/>
  <c r="AG138" i="1"/>
  <c r="AF138" i="1" a="1"/>
  <c r="AF138" i="1" s="1"/>
  <c r="Z138" i="1"/>
  <c r="Y138" i="1"/>
  <c r="I138" i="1"/>
  <c r="BE137" i="1"/>
  <c r="BC137" i="1"/>
  <c r="BB137" i="1"/>
  <c r="BA137" i="1"/>
  <c r="AZ137" i="1"/>
  <c r="AY137" i="1"/>
  <c r="AJ137" i="1" s="1"/>
  <c r="AL137" i="1" s="1"/>
  <c r="AW137" i="1"/>
  <c r="AM137" i="1" s="1"/>
  <c r="AQ137" i="1"/>
  <c r="AO137" i="1"/>
  <c r="AN137" i="1"/>
  <c r="AK137" i="1"/>
  <c r="AI137" i="1"/>
  <c r="AH137" i="1"/>
  <c r="AG137" i="1"/>
  <c r="AF137" i="1" a="1"/>
  <c r="AF137" i="1" s="1"/>
  <c r="AE137" i="1"/>
  <c r="AD137" i="1"/>
  <c r="Z137" i="1"/>
  <c r="Y137" i="1"/>
  <c r="I137" i="1"/>
  <c r="BC136" i="1"/>
  <c r="BB136" i="1"/>
  <c r="BA136" i="1"/>
  <c r="AM136" i="1" s="1"/>
  <c r="AO136" i="1" s="1"/>
  <c r="AZ136" i="1"/>
  <c r="AY136" i="1"/>
  <c r="AW136" i="1"/>
  <c r="AQ136" i="1"/>
  <c r="AN136" i="1"/>
  <c r="AK136" i="1"/>
  <c r="AF136" i="1" a="1"/>
  <c r="AF136" i="1" s="1"/>
  <c r="AE136" i="1"/>
  <c r="AD136" i="1"/>
  <c r="Z136" i="1"/>
  <c r="Y136" i="1"/>
  <c r="I136" i="1"/>
  <c r="BC135" i="1"/>
  <c r="BB135" i="1"/>
  <c r="BA135" i="1"/>
  <c r="AZ135" i="1"/>
  <c r="AY135" i="1"/>
  <c r="AW135" i="1"/>
  <c r="AQ135" i="1"/>
  <c r="AF135" i="1" a="1"/>
  <c r="AF135" i="1" s="1"/>
  <c r="Z135" i="1"/>
  <c r="Y135" i="1"/>
  <c r="I135" i="1"/>
  <c r="AI135" i="1" s="1"/>
  <c r="BC134" i="1"/>
  <c r="BB134" i="1"/>
  <c r="BA134" i="1"/>
  <c r="AZ134" i="1"/>
  <c r="AY134" i="1"/>
  <c r="AQ134" i="1"/>
  <c r="AW134" i="1" s="1"/>
  <c r="AK134" i="1"/>
  <c r="AI134" i="1"/>
  <c r="AH134" i="1"/>
  <c r="AG134" i="1"/>
  <c r="AE134" i="1"/>
  <c r="AD134" i="1"/>
  <c r="Z134" i="1"/>
  <c r="Y134" i="1"/>
  <c r="I134" i="1"/>
  <c r="AN134" i="1" s="1"/>
  <c r="BC133" i="1"/>
  <c r="BB133" i="1"/>
  <c r="BA133" i="1"/>
  <c r="AZ133" i="1"/>
  <c r="AY133" i="1"/>
  <c r="AQ133" i="1"/>
  <c r="AW133" i="1" s="1"/>
  <c r="AN133" i="1"/>
  <c r="AK133" i="1"/>
  <c r="AG133" i="1"/>
  <c r="AD133" i="1"/>
  <c r="Z133" i="1"/>
  <c r="Y133" i="1"/>
  <c r="I133" i="1"/>
  <c r="BC132" i="1"/>
  <c r="BB132" i="1"/>
  <c r="BA132" i="1"/>
  <c r="AZ132" i="1"/>
  <c r="AY132" i="1"/>
  <c r="AW132" i="1"/>
  <c r="AQ132" i="1"/>
  <c r="AN132" i="1"/>
  <c r="AI132" i="1"/>
  <c r="AH132" i="1"/>
  <c r="AG132" i="1"/>
  <c r="AF132" i="1" a="1"/>
  <c r="AF132" i="1" s="1"/>
  <c r="Z132" i="1"/>
  <c r="Y132" i="1"/>
  <c r="I132" i="1"/>
  <c r="AE132" i="1" s="1"/>
  <c r="BC131" i="1"/>
  <c r="BB131" i="1"/>
  <c r="BA131" i="1"/>
  <c r="AJ131" i="1" s="1"/>
  <c r="AL131" i="1" s="1"/>
  <c r="AZ131" i="1"/>
  <c r="AY131" i="1"/>
  <c r="AW131" i="1"/>
  <c r="AQ131" i="1"/>
  <c r="AK131" i="1"/>
  <c r="AE131" i="1"/>
  <c r="Z131" i="1"/>
  <c r="Y131" i="1"/>
  <c r="I131" i="1"/>
  <c r="BC130" i="1"/>
  <c r="BB130" i="1"/>
  <c r="BA130" i="1"/>
  <c r="AZ130" i="1"/>
  <c r="AY130" i="1"/>
  <c r="AQ130" i="1"/>
  <c r="AW130" i="1" s="1"/>
  <c r="AH130" i="1"/>
  <c r="AF130" i="1" a="1"/>
  <c r="AF130" i="1" s="1"/>
  <c r="AE130" i="1"/>
  <c r="Z130" i="1"/>
  <c r="Y130" i="1"/>
  <c r="I130" i="1"/>
  <c r="AM130" i="1" s="1"/>
  <c r="AO130" i="1" s="1"/>
  <c r="BC129" i="1"/>
  <c r="BB129" i="1"/>
  <c r="BA129" i="1"/>
  <c r="AZ129" i="1"/>
  <c r="AY129" i="1"/>
  <c r="AQ129" i="1"/>
  <c r="AW129" i="1" s="1"/>
  <c r="AM129" i="1" s="1"/>
  <c r="AO129" i="1" s="1"/>
  <c r="AN129" i="1"/>
  <c r="AK129" i="1"/>
  <c r="AJ129" i="1"/>
  <c r="AL129" i="1" s="1"/>
  <c r="AI129" i="1"/>
  <c r="AH129" i="1"/>
  <c r="AG129" i="1"/>
  <c r="AF129" i="1" a="1"/>
  <c r="AF129" i="1" s="1"/>
  <c r="AE129" i="1"/>
  <c r="AD129" i="1"/>
  <c r="AB129" i="1"/>
  <c r="Z129" i="1"/>
  <c r="Y129" i="1"/>
  <c r="I129" i="1"/>
  <c r="BC128" i="1"/>
  <c r="BB128" i="1"/>
  <c r="AM128" i="1" s="1"/>
  <c r="AO128" i="1" s="1"/>
  <c r="BA128" i="1"/>
  <c r="AZ128" i="1"/>
  <c r="AY128" i="1"/>
  <c r="AW128" i="1"/>
  <c r="BE128" i="1" s="1"/>
  <c r="AQ128" i="1"/>
  <c r="AN128" i="1"/>
  <c r="AK128" i="1"/>
  <c r="AE128" i="1"/>
  <c r="AD128" i="1"/>
  <c r="Z128" i="1"/>
  <c r="Y128" i="1"/>
  <c r="I128" i="1"/>
  <c r="BC127" i="1"/>
  <c r="BB127" i="1"/>
  <c r="BA127" i="1"/>
  <c r="AZ127" i="1"/>
  <c r="AY127" i="1"/>
  <c r="AW127" i="1"/>
  <c r="BE127" i="1" s="1"/>
  <c r="AQ127" i="1"/>
  <c r="AH127" i="1"/>
  <c r="AG127" i="1"/>
  <c r="Z127" i="1"/>
  <c r="Y127" i="1"/>
  <c r="I127" i="1"/>
  <c r="BC126" i="1"/>
  <c r="BB126" i="1"/>
  <c r="BA126" i="1"/>
  <c r="AZ126" i="1"/>
  <c r="AY126" i="1"/>
  <c r="AW126" i="1"/>
  <c r="AQ126" i="1"/>
  <c r="AK126" i="1"/>
  <c r="AJ126" i="1"/>
  <c r="AL126" i="1" s="1"/>
  <c r="AI126" i="1"/>
  <c r="AH126" i="1"/>
  <c r="AG126" i="1"/>
  <c r="AE126" i="1"/>
  <c r="AD126" i="1"/>
  <c r="Z126" i="1"/>
  <c r="Y126" i="1"/>
  <c r="I126" i="1"/>
  <c r="AN126" i="1" s="1"/>
  <c r="BE125" i="1"/>
  <c r="BC125" i="1"/>
  <c r="BB125" i="1"/>
  <c r="BA125" i="1"/>
  <c r="AZ125" i="1"/>
  <c r="AY125" i="1"/>
  <c r="AQ125" i="1"/>
  <c r="AW125" i="1" s="1"/>
  <c r="AM125" i="1" s="1"/>
  <c r="AO125" i="1" s="1"/>
  <c r="AN125" i="1"/>
  <c r="Z125" i="1"/>
  <c r="Y125" i="1"/>
  <c r="I125" i="1"/>
  <c r="BC124" i="1"/>
  <c r="BB124" i="1"/>
  <c r="BA124" i="1"/>
  <c r="AZ124" i="1"/>
  <c r="AY124" i="1"/>
  <c r="AQ124" i="1"/>
  <c r="AW124" i="1" s="1"/>
  <c r="AM124" i="1" s="1"/>
  <c r="AO124" i="1" s="1"/>
  <c r="Z124" i="1"/>
  <c r="Y124" i="1"/>
  <c r="I124" i="1"/>
  <c r="BC123" i="1"/>
  <c r="BB123" i="1"/>
  <c r="BA123" i="1"/>
  <c r="AZ123" i="1"/>
  <c r="AY123" i="1"/>
  <c r="AW123" i="1"/>
  <c r="AQ123" i="1"/>
  <c r="AM123" i="1"/>
  <c r="AO123" i="1" s="1"/>
  <c r="AK123" i="1"/>
  <c r="Z123" i="1"/>
  <c r="Y123" i="1"/>
  <c r="I123" i="1"/>
  <c r="BC122" i="1"/>
  <c r="BB122" i="1"/>
  <c r="BA122" i="1"/>
  <c r="AZ122" i="1"/>
  <c r="AY122" i="1"/>
  <c r="AQ122" i="1"/>
  <c r="AW122" i="1" s="1"/>
  <c r="Z122" i="1"/>
  <c r="Y122" i="1"/>
  <c r="I122" i="1"/>
  <c r="BC121" i="1"/>
  <c r="BB121" i="1"/>
  <c r="BA121" i="1"/>
  <c r="AZ121" i="1"/>
  <c r="AY121" i="1"/>
  <c r="AW121" i="1"/>
  <c r="AQ121" i="1"/>
  <c r="AN121" i="1"/>
  <c r="AK121" i="1"/>
  <c r="AI121" i="1"/>
  <c r="AH121" i="1"/>
  <c r="AG121" i="1"/>
  <c r="AF121" i="1" a="1"/>
  <c r="AF121" i="1" s="1"/>
  <c r="AD121" i="1"/>
  <c r="Z121" i="1"/>
  <c r="Y121" i="1"/>
  <c r="I121" i="1"/>
  <c r="AE121" i="1" s="1"/>
  <c r="BC120" i="1"/>
  <c r="BB120" i="1"/>
  <c r="BA120" i="1"/>
  <c r="AZ120" i="1"/>
  <c r="AY120" i="1"/>
  <c r="AW120" i="1"/>
  <c r="BE120" i="1" s="1"/>
  <c r="AQ120" i="1"/>
  <c r="Z120" i="1"/>
  <c r="Y120" i="1"/>
  <c r="I120" i="1"/>
  <c r="BE119" i="1"/>
  <c r="BC119" i="1"/>
  <c r="BB119" i="1"/>
  <c r="BA119" i="1"/>
  <c r="AZ119" i="1"/>
  <c r="AY119" i="1"/>
  <c r="AQ119" i="1"/>
  <c r="AW119" i="1" s="1"/>
  <c r="AO119" i="1"/>
  <c r="AM119" i="1"/>
  <c r="AI119" i="1"/>
  <c r="Z119" i="1"/>
  <c r="Y119" i="1"/>
  <c r="I119" i="1"/>
  <c r="BC118" i="1"/>
  <c r="BB118" i="1"/>
  <c r="BA118" i="1"/>
  <c r="AZ118" i="1"/>
  <c r="AY118" i="1"/>
  <c r="AQ118" i="1"/>
  <c r="AW118" i="1" s="1"/>
  <c r="AN118" i="1"/>
  <c r="AK118" i="1"/>
  <c r="AI118" i="1"/>
  <c r="AH118" i="1"/>
  <c r="AG118" i="1"/>
  <c r="AF118" i="1" a="1"/>
  <c r="AF118" i="1" s="1"/>
  <c r="AE118" i="1"/>
  <c r="AD118" i="1"/>
  <c r="Z118" i="1"/>
  <c r="Y118" i="1"/>
  <c r="I118" i="1"/>
  <c r="BC117" i="1"/>
  <c r="BB117" i="1"/>
  <c r="BA117" i="1"/>
  <c r="AZ117" i="1"/>
  <c r="AJ117" i="1" s="1"/>
  <c r="AY117" i="1"/>
  <c r="AW117" i="1"/>
  <c r="AQ117" i="1"/>
  <c r="AL117" i="1"/>
  <c r="AI117" i="1"/>
  <c r="Z117" i="1"/>
  <c r="Y117" i="1"/>
  <c r="I117" i="1"/>
  <c r="BC116" i="1"/>
  <c r="BB116" i="1"/>
  <c r="BA116" i="1"/>
  <c r="AZ116" i="1"/>
  <c r="AY116" i="1"/>
  <c r="AQ116" i="1"/>
  <c r="AW116" i="1" s="1"/>
  <c r="AN116" i="1"/>
  <c r="AM116" i="1"/>
  <c r="AO116" i="1" s="1"/>
  <c r="AI116" i="1"/>
  <c r="AG116" i="1"/>
  <c r="AE116" i="1"/>
  <c r="Z116" i="1"/>
  <c r="Y116" i="1"/>
  <c r="I116" i="1"/>
  <c r="BC115" i="1"/>
  <c r="BB115" i="1"/>
  <c r="BA115" i="1"/>
  <c r="AZ115" i="1"/>
  <c r="AY115" i="1"/>
  <c r="AW115" i="1"/>
  <c r="AQ115" i="1"/>
  <c r="AK115" i="1"/>
  <c r="AE115" i="1"/>
  <c r="AD115" i="1"/>
  <c r="Z115" i="1"/>
  <c r="Y115" i="1"/>
  <c r="I115" i="1"/>
  <c r="BC114" i="1"/>
  <c r="BB114" i="1"/>
  <c r="BE114" i="1" s="1"/>
  <c r="BA114" i="1"/>
  <c r="AZ114" i="1"/>
  <c r="AY114" i="1"/>
  <c r="AQ114" i="1"/>
  <c r="AW114" i="1" s="1"/>
  <c r="Z114" i="1"/>
  <c r="Y114" i="1"/>
  <c r="I114" i="1"/>
  <c r="BC113" i="1"/>
  <c r="BB113" i="1"/>
  <c r="BA113" i="1"/>
  <c r="AZ113" i="1"/>
  <c r="AY113" i="1"/>
  <c r="AQ113" i="1"/>
  <c r="AW113" i="1" s="1"/>
  <c r="AN113" i="1"/>
  <c r="AK113" i="1"/>
  <c r="AF113" i="1" a="1"/>
  <c r="AF113" i="1" s="1"/>
  <c r="AD113" i="1"/>
  <c r="Z113" i="1"/>
  <c r="Y113" i="1"/>
  <c r="I113" i="1"/>
  <c r="AG113" i="1" s="1"/>
  <c r="BC112" i="1"/>
  <c r="BB112" i="1"/>
  <c r="BA112" i="1"/>
  <c r="AZ112" i="1"/>
  <c r="AY112" i="1"/>
  <c r="AQ112" i="1"/>
  <c r="AW112" i="1" s="1"/>
  <c r="AI112" i="1"/>
  <c r="AF112" i="1" a="1"/>
  <c r="AF112" i="1" s="1"/>
  <c r="Z112" i="1"/>
  <c r="Y112" i="1"/>
  <c r="I112" i="1"/>
  <c r="BC111" i="1"/>
  <c r="BB111" i="1"/>
  <c r="BA111" i="1"/>
  <c r="AZ111" i="1"/>
  <c r="AY111" i="1"/>
  <c r="AW111" i="1"/>
  <c r="AM111" i="1" s="1"/>
  <c r="AO111" i="1" s="1"/>
  <c r="AQ111" i="1"/>
  <c r="AE111" i="1"/>
  <c r="Z111" i="1"/>
  <c r="Y111" i="1"/>
  <c r="I111" i="1"/>
  <c r="AH111" i="1" s="1"/>
  <c r="BC110" i="1"/>
  <c r="BB110" i="1"/>
  <c r="BA110" i="1"/>
  <c r="AZ110" i="1"/>
  <c r="AY110" i="1"/>
  <c r="AJ110" i="1" s="1"/>
  <c r="AL110" i="1" s="1"/>
  <c r="AW110" i="1"/>
  <c r="AQ110" i="1"/>
  <c r="AN110" i="1"/>
  <c r="AK110" i="1"/>
  <c r="AI110" i="1"/>
  <c r="AH110" i="1"/>
  <c r="AG110" i="1"/>
  <c r="AF110" i="1" a="1"/>
  <c r="AF110" i="1" s="1"/>
  <c r="AE110" i="1"/>
  <c r="AD110" i="1"/>
  <c r="Z110" i="1"/>
  <c r="Y110" i="1"/>
  <c r="I110" i="1"/>
  <c r="BC109" i="1"/>
  <c r="BB109" i="1"/>
  <c r="BA109" i="1"/>
  <c r="AZ109" i="1"/>
  <c r="AY109" i="1"/>
  <c r="AW109" i="1"/>
  <c r="BE109" i="1" s="1"/>
  <c r="AQ109" i="1"/>
  <c r="AE109" i="1"/>
  <c r="Z109" i="1"/>
  <c r="Y109" i="1"/>
  <c r="I109" i="1"/>
  <c r="AG109" i="1" s="1"/>
  <c r="BC108" i="1"/>
  <c r="BB108" i="1"/>
  <c r="BA108" i="1"/>
  <c r="AZ108" i="1"/>
  <c r="AY108" i="1"/>
  <c r="AQ108" i="1"/>
  <c r="AW108" i="1" s="1"/>
  <c r="AN108" i="1"/>
  <c r="AI108" i="1"/>
  <c r="AH108" i="1"/>
  <c r="AG108" i="1"/>
  <c r="AE108" i="1"/>
  <c r="Z108" i="1"/>
  <c r="Y108" i="1"/>
  <c r="I108" i="1"/>
  <c r="BC107" i="1"/>
  <c r="BB107" i="1"/>
  <c r="BA107" i="1"/>
  <c r="AZ107" i="1"/>
  <c r="AY107" i="1"/>
  <c r="AW107" i="1"/>
  <c r="AQ107" i="1"/>
  <c r="AL107" i="1"/>
  <c r="AK107" i="1"/>
  <c r="AJ107" i="1"/>
  <c r="Z107" i="1"/>
  <c r="Y107" i="1"/>
  <c r="I107" i="1"/>
  <c r="AH107" i="1" s="1"/>
  <c r="BC106" i="1"/>
  <c r="BB106" i="1"/>
  <c r="BA106" i="1"/>
  <c r="AZ106" i="1"/>
  <c r="AY106" i="1"/>
  <c r="AQ106" i="1"/>
  <c r="AW106" i="1" s="1"/>
  <c r="AK106" i="1"/>
  <c r="AE106" i="1"/>
  <c r="AD106" i="1"/>
  <c r="Z106" i="1"/>
  <c r="Y106" i="1"/>
  <c r="I106" i="1"/>
  <c r="AF106" i="1" s="1" a="1"/>
  <c r="AF106" i="1" s="1"/>
  <c r="BC105" i="1"/>
  <c r="BB105" i="1"/>
  <c r="AJ105" i="1" s="1"/>
  <c r="AL105" i="1" s="1"/>
  <c r="BA105" i="1"/>
  <c r="AZ105" i="1"/>
  <c r="AY105" i="1"/>
  <c r="AQ105" i="1"/>
  <c r="AW105" i="1" s="1"/>
  <c r="AN105" i="1"/>
  <c r="AK105" i="1"/>
  <c r="AI105" i="1"/>
  <c r="AG105" i="1"/>
  <c r="AD105" i="1"/>
  <c r="Z105" i="1"/>
  <c r="Y105" i="1"/>
  <c r="I105" i="1"/>
  <c r="AE105" i="1" s="1"/>
  <c r="BC104" i="1"/>
  <c r="BB104" i="1"/>
  <c r="BA104" i="1"/>
  <c r="AZ104" i="1"/>
  <c r="AJ104" i="1" s="1"/>
  <c r="AL104" i="1" s="1"/>
  <c r="AY104" i="1"/>
  <c r="AQ104" i="1"/>
  <c r="AW104" i="1" s="1"/>
  <c r="AM104" i="1"/>
  <c r="AO104" i="1" s="1"/>
  <c r="AK104" i="1"/>
  <c r="AI104" i="1"/>
  <c r="AF104" i="1" a="1"/>
  <c r="AF104" i="1" s="1"/>
  <c r="AE104" i="1"/>
  <c r="AD104" i="1"/>
  <c r="Z104" i="1"/>
  <c r="Y104" i="1"/>
  <c r="I104" i="1"/>
  <c r="AG104" i="1" s="1"/>
  <c r="BC103" i="1"/>
  <c r="BB103" i="1"/>
  <c r="BA103" i="1"/>
  <c r="AZ103" i="1"/>
  <c r="AY103" i="1"/>
  <c r="AW103" i="1"/>
  <c r="AQ103" i="1"/>
  <c r="AM103" i="1"/>
  <c r="AO103" i="1" s="1"/>
  <c r="AK103" i="1"/>
  <c r="Z103" i="1"/>
  <c r="Y103" i="1"/>
  <c r="I103" i="1"/>
  <c r="BC102" i="1"/>
  <c r="BB102" i="1"/>
  <c r="BA102" i="1"/>
  <c r="AZ102" i="1"/>
  <c r="AY102" i="1"/>
  <c r="AQ102" i="1"/>
  <c r="AW102" i="1" s="1"/>
  <c r="AN102" i="1"/>
  <c r="AK102" i="1"/>
  <c r="AI102" i="1"/>
  <c r="AH102" i="1"/>
  <c r="AG102" i="1"/>
  <c r="AF102" i="1" a="1"/>
  <c r="AF102" i="1" s="1"/>
  <c r="AE102" i="1"/>
  <c r="AD102" i="1"/>
  <c r="Z102" i="1"/>
  <c r="Y102" i="1"/>
  <c r="I102" i="1"/>
  <c r="BE101" i="1"/>
  <c r="BC101" i="1"/>
  <c r="BB101" i="1"/>
  <c r="BA101" i="1"/>
  <c r="AZ101" i="1"/>
  <c r="AY101" i="1"/>
  <c r="AW101" i="1"/>
  <c r="AQ101" i="1"/>
  <c r="AN101" i="1"/>
  <c r="AK101" i="1"/>
  <c r="AF101" i="1" a="1"/>
  <c r="AF101" i="1" s="1"/>
  <c r="Z101" i="1"/>
  <c r="Y101" i="1"/>
  <c r="I101" i="1"/>
  <c r="AG101" i="1" s="1"/>
  <c r="BC100" i="1"/>
  <c r="BB100" i="1"/>
  <c r="BA100" i="1"/>
  <c r="AZ100" i="1"/>
  <c r="AY100" i="1"/>
  <c r="AW100" i="1"/>
  <c r="AQ100" i="1"/>
  <c r="AN100" i="1"/>
  <c r="AH100" i="1"/>
  <c r="AF100" i="1" a="1"/>
  <c r="AF100" i="1"/>
  <c r="Z100" i="1"/>
  <c r="Y100" i="1"/>
  <c r="I100" i="1"/>
  <c r="BC99" i="1"/>
  <c r="BB99" i="1"/>
  <c r="AJ99" i="1" s="1"/>
  <c r="AL99" i="1" s="1"/>
  <c r="BA99" i="1"/>
  <c r="AZ99" i="1"/>
  <c r="AY99" i="1"/>
  <c r="AW99" i="1"/>
  <c r="AQ99" i="1"/>
  <c r="AH99" i="1"/>
  <c r="Z99" i="1"/>
  <c r="Y99" i="1"/>
  <c r="I99" i="1"/>
  <c r="BC98" i="1"/>
  <c r="AJ98" i="1" s="1"/>
  <c r="AL98" i="1" s="1"/>
  <c r="BB98" i="1"/>
  <c r="BA98" i="1"/>
  <c r="AZ98" i="1"/>
  <c r="AY98" i="1"/>
  <c r="AQ98" i="1"/>
  <c r="AW98" i="1" s="1"/>
  <c r="AM98" i="1"/>
  <c r="AO98" i="1" s="1"/>
  <c r="AK98" i="1"/>
  <c r="AF98" i="1" a="1"/>
  <c r="AF98" i="1" s="1"/>
  <c r="Z98" i="1"/>
  <c r="Y98" i="1"/>
  <c r="I98" i="1"/>
  <c r="AH98" i="1" s="1"/>
  <c r="BC97" i="1"/>
  <c r="BB97" i="1"/>
  <c r="BA97" i="1"/>
  <c r="AZ97" i="1"/>
  <c r="AY97" i="1"/>
  <c r="AQ97" i="1"/>
  <c r="AW97" i="1" s="1"/>
  <c r="AN97" i="1"/>
  <c r="AK97" i="1"/>
  <c r="AI97" i="1"/>
  <c r="AH97" i="1"/>
  <c r="AG97" i="1"/>
  <c r="AD97" i="1"/>
  <c r="Z97" i="1"/>
  <c r="Y97" i="1"/>
  <c r="I97" i="1"/>
  <c r="AE97" i="1" s="1"/>
  <c r="BC96" i="1"/>
  <c r="BB96" i="1"/>
  <c r="BA96" i="1"/>
  <c r="AZ96" i="1"/>
  <c r="AY96" i="1"/>
  <c r="AW96" i="1"/>
  <c r="AM96" i="1" s="1"/>
  <c r="AO96" i="1" s="1"/>
  <c r="AQ96" i="1"/>
  <c r="AK96" i="1"/>
  <c r="AJ96" i="1"/>
  <c r="AL96" i="1" s="1"/>
  <c r="AA96" i="1" s="1"/>
  <c r="AI96" i="1"/>
  <c r="AH96" i="1"/>
  <c r="AF96" i="1" a="1"/>
  <c r="AF96" i="1" s="1"/>
  <c r="AE96" i="1"/>
  <c r="AD96" i="1"/>
  <c r="Z96" i="1"/>
  <c r="Y96" i="1"/>
  <c r="I96" i="1"/>
  <c r="AG96" i="1" s="1"/>
  <c r="BC95" i="1"/>
  <c r="BB95" i="1"/>
  <c r="BA95" i="1"/>
  <c r="AZ95" i="1"/>
  <c r="AY95" i="1"/>
  <c r="AW95" i="1"/>
  <c r="AQ95" i="1"/>
  <c r="AH95" i="1"/>
  <c r="Z95" i="1"/>
  <c r="Y95" i="1"/>
  <c r="I95" i="1"/>
  <c r="BC94" i="1"/>
  <c r="BB94" i="1"/>
  <c r="BA94" i="1"/>
  <c r="AZ94" i="1"/>
  <c r="AJ94" i="1" s="1"/>
  <c r="AL94" i="1" s="1"/>
  <c r="AA94" i="1" s="1"/>
  <c r="AY94" i="1"/>
  <c r="AQ94" i="1"/>
  <c r="AW94" i="1" s="1"/>
  <c r="AN94" i="1"/>
  <c r="AK94" i="1"/>
  <c r="AI94" i="1"/>
  <c r="AH94" i="1"/>
  <c r="AG94" i="1"/>
  <c r="AF94" i="1" a="1"/>
  <c r="AF94" i="1" s="1"/>
  <c r="AE94" i="1"/>
  <c r="AD94" i="1"/>
  <c r="Z94" i="1"/>
  <c r="Y94" i="1"/>
  <c r="I94" i="1"/>
  <c r="BC93" i="1"/>
  <c r="BB93" i="1"/>
  <c r="BA93" i="1"/>
  <c r="AZ93" i="1"/>
  <c r="AY93" i="1"/>
  <c r="AW93" i="1"/>
  <c r="AQ93" i="1"/>
  <c r="AK93" i="1"/>
  <c r="Z93" i="1"/>
  <c r="Y93" i="1"/>
  <c r="I93" i="1"/>
  <c r="AN93" i="1" s="1"/>
  <c r="BC92" i="1"/>
  <c r="BB92" i="1"/>
  <c r="BA92" i="1"/>
  <c r="AZ92" i="1"/>
  <c r="AY92" i="1"/>
  <c r="AQ92" i="1"/>
  <c r="AW92" i="1" s="1"/>
  <c r="AN92" i="1"/>
  <c r="AI92" i="1"/>
  <c r="AF92" i="1" a="1"/>
  <c r="AF92" i="1"/>
  <c r="AE92" i="1"/>
  <c r="Z92" i="1"/>
  <c r="Y92" i="1"/>
  <c r="I92" i="1"/>
  <c r="BC91" i="1"/>
  <c r="BB91" i="1"/>
  <c r="BA91" i="1"/>
  <c r="AZ91" i="1"/>
  <c r="AY91" i="1"/>
  <c r="AW91" i="1"/>
  <c r="BE91" i="1" s="1"/>
  <c r="AQ91" i="1"/>
  <c r="AJ91" i="1"/>
  <c r="AL91" i="1" s="1"/>
  <c r="Z91" i="1"/>
  <c r="Y91" i="1"/>
  <c r="I91" i="1"/>
  <c r="BC90" i="1"/>
  <c r="BB90" i="1"/>
  <c r="BA90" i="1"/>
  <c r="AZ90" i="1"/>
  <c r="AY90" i="1"/>
  <c r="AJ90" i="1" s="1"/>
  <c r="AL90" i="1" s="1"/>
  <c r="AQ90" i="1"/>
  <c r="AW90" i="1" s="1"/>
  <c r="AH90" i="1"/>
  <c r="Z90" i="1"/>
  <c r="Y90" i="1"/>
  <c r="I90" i="1"/>
  <c r="BC89" i="1"/>
  <c r="BB89" i="1"/>
  <c r="BA89" i="1"/>
  <c r="AZ89" i="1"/>
  <c r="AY89" i="1"/>
  <c r="AQ89" i="1"/>
  <c r="AW89" i="1" s="1"/>
  <c r="BE89" i="1" s="1"/>
  <c r="Z89" i="1"/>
  <c r="Y89" i="1"/>
  <c r="I89" i="1"/>
  <c r="BC88" i="1"/>
  <c r="BB88" i="1"/>
  <c r="BA88" i="1"/>
  <c r="AZ88" i="1"/>
  <c r="AY88" i="1"/>
  <c r="AW88" i="1"/>
  <c r="AQ88" i="1"/>
  <c r="AN88" i="1"/>
  <c r="AM88" i="1"/>
  <c r="AO88" i="1" s="1"/>
  <c r="AI88" i="1"/>
  <c r="AF88" i="1"/>
  <c r="Z88" i="1"/>
  <c r="Y88" i="1"/>
  <c r="I88" i="1"/>
  <c r="AF88" i="1" s="1" a="1"/>
  <c r="BC87" i="1"/>
  <c r="BB87" i="1"/>
  <c r="BA87" i="1"/>
  <c r="AZ87" i="1"/>
  <c r="AY87" i="1"/>
  <c r="AW87" i="1"/>
  <c r="BE87" i="1" s="1"/>
  <c r="AQ87" i="1"/>
  <c r="AK87" i="1"/>
  <c r="AH87" i="1"/>
  <c r="AF87" i="1" a="1"/>
  <c r="AF87" i="1" s="1"/>
  <c r="AE87" i="1"/>
  <c r="Z87" i="1"/>
  <c r="Y87" i="1"/>
  <c r="I87" i="1"/>
  <c r="BC86" i="1"/>
  <c r="BB86" i="1"/>
  <c r="BA86" i="1"/>
  <c r="AJ86" i="1" s="1"/>
  <c r="AL86" i="1" s="1"/>
  <c r="AA86" i="1" s="1"/>
  <c r="AZ86" i="1"/>
  <c r="AY86" i="1"/>
  <c r="AW86" i="1"/>
  <c r="AQ86" i="1"/>
  <c r="AN86" i="1"/>
  <c r="AK86" i="1"/>
  <c r="AI86" i="1"/>
  <c r="AH86" i="1"/>
  <c r="AG86" i="1"/>
  <c r="AF86" i="1" a="1"/>
  <c r="AF86" i="1" s="1"/>
  <c r="AE86" i="1"/>
  <c r="AD86" i="1"/>
  <c r="Z86" i="1"/>
  <c r="Y86" i="1"/>
  <c r="I86" i="1"/>
  <c r="BC85" i="1"/>
  <c r="BB85" i="1"/>
  <c r="BA85" i="1"/>
  <c r="AZ85" i="1"/>
  <c r="BE85" i="1" s="1"/>
  <c r="AY85" i="1"/>
  <c r="AW85" i="1"/>
  <c r="AQ85" i="1"/>
  <c r="Z85" i="1"/>
  <c r="Y85" i="1"/>
  <c r="I85" i="1"/>
  <c r="BC84" i="1"/>
  <c r="AJ84" i="1" s="1"/>
  <c r="BB84" i="1"/>
  <c r="AM84" i="1" s="1"/>
  <c r="AO84" i="1" s="1"/>
  <c r="BA84" i="1"/>
  <c r="AZ84" i="1"/>
  <c r="AY84" i="1"/>
  <c r="AQ84" i="1"/>
  <c r="AW84" i="1" s="1"/>
  <c r="AN84" i="1"/>
  <c r="AL84" i="1"/>
  <c r="AI84" i="1"/>
  <c r="AG84" i="1"/>
  <c r="AE84" i="1"/>
  <c r="Z84" i="1"/>
  <c r="Y84" i="1"/>
  <c r="I84" i="1"/>
  <c r="BC83" i="1"/>
  <c r="BB83" i="1"/>
  <c r="AJ83" i="1" s="1"/>
  <c r="AL83" i="1" s="1"/>
  <c r="BA83" i="1"/>
  <c r="AZ83" i="1"/>
  <c r="AY83" i="1"/>
  <c r="AW83" i="1"/>
  <c r="AQ83" i="1"/>
  <c r="AK83" i="1"/>
  <c r="AE83" i="1"/>
  <c r="Z83" i="1"/>
  <c r="Y83" i="1"/>
  <c r="I83" i="1"/>
  <c r="AH83" i="1" s="1"/>
  <c r="BC82" i="1"/>
  <c r="BB82" i="1"/>
  <c r="BA82" i="1"/>
  <c r="AZ82" i="1"/>
  <c r="AY82" i="1"/>
  <c r="AQ82" i="1"/>
  <c r="AW82" i="1" s="1"/>
  <c r="AM82" i="1"/>
  <c r="AO82" i="1" s="1"/>
  <c r="AK82" i="1"/>
  <c r="AH82" i="1"/>
  <c r="AE82" i="1"/>
  <c r="Z82" i="1"/>
  <c r="Y82" i="1"/>
  <c r="I82" i="1"/>
  <c r="BC81" i="1"/>
  <c r="BB81" i="1"/>
  <c r="BA81" i="1"/>
  <c r="AZ81" i="1"/>
  <c r="AY81" i="1"/>
  <c r="AQ81" i="1"/>
  <c r="AW81" i="1" s="1"/>
  <c r="AN81" i="1"/>
  <c r="AK81" i="1"/>
  <c r="AD81" i="1"/>
  <c r="Z81" i="1"/>
  <c r="Y81" i="1"/>
  <c r="I81" i="1"/>
  <c r="AG81" i="1" s="1"/>
  <c r="BC80" i="1"/>
  <c r="BB80" i="1"/>
  <c r="BA80" i="1"/>
  <c r="AZ80" i="1"/>
  <c r="AY80" i="1"/>
  <c r="AQ80" i="1"/>
  <c r="AW80" i="1" s="1"/>
  <c r="Z80" i="1"/>
  <c r="Y80" i="1"/>
  <c r="I80" i="1"/>
  <c r="AI80" i="1" s="1"/>
  <c r="BC79" i="1"/>
  <c r="BE79" i="1" s="1"/>
  <c r="BB79" i="1"/>
  <c r="BA79" i="1"/>
  <c r="AZ79" i="1"/>
  <c r="AY79" i="1"/>
  <c r="AQ79" i="1"/>
  <c r="AW79" i="1" s="1"/>
  <c r="AM79" i="1" s="1"/>
  <c r="AO79" i="1"/>
  <c r="AN79" i="1"/>
  <c r="AK79" i="1"/>
  <c r="AG79" i="1"/>
  <c r="AF79" i="1" a="1"/>
  <c r="AF79" i="1" s="1"/>
  <c r="AE79" i="1"/>
  <c r="Z79" i="1"/>
  <c r="Y79" i="1"/>
  <c r="I79" i="1"/>
  <c r="BE78" i="1"/>
  <c r="BC78" i="1"/>
  <c r="BB78" i="1"/>
  <c r="BA78" i="1"/>
  <c r="AZ78" i="1"/>
  <c r="AY78" i="1"/>
  <c r="AW78" i="1"/>
  <c r="AQ78" i="1"/>
  <c r="AN78" i="1"/>
  <c r="AK78" i="1"/>
  <c r="AI78" i="1"/>
  <c r="AH78" i="1"/>
  <c r="AG78" i="1"/>
  <c r="AF78" i="1" a="1"/>
  <c r="AF78" i="1" s="1"/>
  <c r="AE78" i="1"/>
  <c r="AD78" i="1"/>
  <c r="Z78" i="1"/>
  <c r="Y78" i="1"/>
  <c r="I78" i="1"/>
  <c r="BC77" i="1"/>
  <c r="BB77" i="1"/>
  <c r="BA77" i="1"/>
  <c r="AZ77" i="1"/>
  <c r="AY77" i="1"/>
  <c r="AW77" i="1"/>
  <c r="AQ77" i="1"/>
  <c r="AK77" i="1"/>
  <c r="AJ77" i="1"/>
  <c r="AL77" i="1" s="1"/>
  <c r="AI77" i="1"/>
  <c r="AG77" i="1"/>
  <c r="AD77" i="1"/>
  <c r="Z77" i="1"/>
  <c r="Y77" i="1"/>
  <c r="I77" i="1"/>
  <c r="BC76" i="1"/>
  <c r="BB76" i="1"/>
  <c r="BA76" i="1"/>
  <c r="AZ76" i="1"/>
  <c r="AY76" i="1"/>
  <c r="AQ76" i="1"/>
  <c r="AW76" i="1" s="1"/>
  <c r="AK76" i="1"/>
  <c r="AH76" i="1"/>
  <c r="AF76" i="1" a="1"/>
  <c r="AF76" i="1" s="1"/>
  <c r="Z76" i="1"/>
  <c r="Y76" i="1"/>
  <c r="I76" i="1"/>
  <c r="BC75" i="1"/>
  <c r="BB75" i="1"/>
  <c r="BA75" i="1"/>
  <c r="AZ75" i="1"/>
  <c r="AY75" i="1"/>
  <c r="AW75" i="1"/>
  <c r="AQ75" i="1"/>
  <c r="AI75" i="1"/>
  <c r="H74" i="2" s="1"/>
  <c r="AG75" i="1"/>
  <c r="F74" i="2" s="1"/>
  <c r="AF75" i="1" a="1"/>
  <c r="AF75" i="1" s="1"/>
  <c r="E74" i="2" s="1"/>
  <c r="Z75" i="1"/>
  <c r="Y75" i="1"/>
  <c r="I75" i="1"/>
  <c r="BC74" i="1"/>
  <c r="BB74" i="1"/>
  <c r="BA74" i="1"/>
  <c r="AZ74" i="1"/>
  <c r="AY74" i="1"/>
  <c r="AW74" i="1"/>
  <c r="AQ74" i="1"/>
  <c r="AN74" i="1"/>
  <c r="AK74" i="1"/>
  <c r="AI74" i="1"/>
  <c r="H73" i="2" s="1"/>
  <c r="AH74" i="1"/>
  <c r="G73" i="2" s="1"/>
  <c r="AF74" i="1" a="1"/>
  <c r="AF74" i="1" s="1"/>
  <c r="E73" i="2" s="1"/>
  <c r="AE74" i="1"/>
  <c r="D73" i="2" s="1"/>
  <c r="AD74" i="1"/>
  <c r="C73" i="2" s="1"/>
  <c r="Z74" i="1"/>
  <c r="Y74" i="1"/>
  <c r="I74" i="1"/>
  <c r="AG74" i="1" s="1"/>
  <c r="F73" i="2" s="1"/>
  <c r="BC73" i="1"/>
  <c r="BB73" i="1"/>
  <c r="BA73" i="1"/>
  <c r="AZ73" i="1"/>
  <c r="AY73" i="1"/>
  <c r="AW73" i="1"/>
  <c r="AM73" i="1" s="1"/>
  <c r="AO73" i="1" s="1"/>
  <c r="AQ73" i="1"/>
  <c r="AK73" i="1"/>
  <c r="AI73" i="1"/>
  <c r="H72" i="2" s="1"/>
  <c r="AF73" i="1" a="1"/>
  <c r="AF73" i="1" s="1"/>
  <c r="E72" i="2" s="1"/>
  <c r="Z73" i="1"/>
  <c r="Y73" i="1"/>
  <c r="I73" i="1"/>
  <c r="BC72" i="1"/>
  <c r="BB72" i="1"/>
  <c r="BA72" i="1"/>
  <c r="AZ72" i="1"/>
  <c r="AY72" i="1"/>
  <c r="AQ72" i="1"/>
  <c r="AW72" i="1" s="1"/>
  <c r="AJ72" i="1" s="1"/>
  <c r="AL72" i="1" s="1"/>
  <c r="AN72" i="1"/>
  <c r="AK72" i="1"/>
  <c r="I71" i="2" s="1"/>
  <c r="AI72" i="1"/>
  <c r="H71" i="2" s="1"/>
  <c r="AH72" i="1"/>
  <c r="G71" i="2" s="1"/>
  <c r="AG72" i="1"/>
  <c r="F71" i="2" s="1"/>
  <c r="AF72" i="1" a="1"/>
  <c r="AF72" i="1" s="1"/>
  <c r="E71" i="2" s="1"/>
  <c r="AE72" i="1"/>
  <c r="D71" i="2" s="1"/>
  <c r="AD72" i="1"/>
  <c r="C71" i="2" s="1"/>
  <c r="Z72" i="1"/>
  <c r="Y72" i="1"/>
  <c r="I72" i="1"/>
  <c r="BC71" i="1"/>
  <c r="BB71" i="1"/>
  <c r="BA71" i="1"/>
  <c r="AZ71" i="1"/>
  <c r="AY71" i="1"/>
  <c r="AW71" i="1"/>
  <c r="AQ71" i="1"/>
  <c r="AM71" i="1"/>
  <c r="AO71" i="1" s="1"/>
  <c r="AI71" i="1"/>
  <c r="H70" i="2" s="1"/>
  <c r="AD71" i="1"/>
  <c r="C70" i="2" s="1"/>
  <c r="Z71" i="1"/>
  <c r="Y71" i="1"/>
  <c r="I71" i="1"/>
  <c r="BC70" i="1"/>
  <c r="BB70" i="1"/>
  <c r="BA70" i="1"/>
  <c r="BE70" i="1" s="1"/>
  <c r="AZ70" i="1"/>
  <c r="AY70" i="1"/>
  <c r="AQ70" i="1"/>
  <c r="AW70" i="1" s="1"/>
  <c r="AJ70" i="1"/>
  <c r="AL70" i="1" s="1"/>
  <c r="J69" i="2" s="1"/>
  <c r="AE70" i="1"/>
  <c r="D69" i="2" s="1"/>
  <c r="Z70" i="1"/>
  <c r="Y70" i="1"/>
  <c r="I70" i="1"/>
  <c r="BC69" i="1"/>
  <c r="BB69" i="1"/>
  <c r="BA69" i="1"/>
  <c r="AZ69" i="1"/>
  <c r="AY69" i="1"/>
  <c r="AQ69" i="1"/>
  <c r="AW69" i="1" s="1"/>
  <c r="AM69" i="1" s="1"/>
  <c r="AO69" i="1" s="1"/>
  <c r="AI69" i="1"/>
  <c r="H68" i="2" s="1"/>
  <c r="AG69" i="1"/>
  <c r="F68" i="2" s="1"/>
  <c r="AD69" i="1"/>
  <c r="C68" i="2" s="1"/>
  <c r="Z69" i="1"/>
  <c r="Y69" i="1"/>
  <c r="I69" i="1"/>
  <c r="BC68" i="1"/>
  <c r="BB68" i="1"/>
  <c r="BA68" i="1"/>
  <c r="AM68" i="1" s="1"/>
  <c r="AO68" i="1" s="1"/>
  <c r="AZ68" i="1"/>
  <c r="AY68" i="1"/>
  <c r="AQ68" i="1"/>
  <c r="AW68" i="1" s="1"/>
  <c r="AN68" i="1"/>
  <c r="AK68" i="1"/>
  <c r="I67" i="2" s="1"/>
  <c r="AJ68" i="1"/>
  <c r="AL68" i="1" s="1"/>
  <c r="AH68" i="1"/>
  <c r="G67" i="2" s="1"/>
  <c r="AE68" i="1"/>
  <c r="D67" i="2" s="1"/>
  <c r="AD68" i="1"/>
  <c r="C67" i="2" s="1"/>
  <c r="Z68" i="1"/>
  <c r="Y68" i="1"/>
  <c r="I68" i="1"/>
  <c r="BC67" i="1"/>
  <c r="BB67" i="1"/>
  <c r="BA67" i="1"/>
  <c r="AZ67" i="1"/>
  <c r="AJ67" i="1" s="1"/>
  <c r="AL67" i="1" s="1"/>
  <c r="J66" i="2" s="1"/>
  <c r="AY67" i="1"/>
  <c r="AW67" i="1"/>
  <c r="BE67" i="1" s="1"/>
  <c r="AQ67" i="1"/>
  <c r="AM67" i="1"/>
  <c r="AO67" i="1" s="1"/>
  <c r="AK67" i="1"/>
  <c r="I66" i="2" s="1"/>
  <c r="AH67" i="1"/>
  <c r="G66" i="2" s="1"/>
  <c r="AG67" i="1"/>
  <c r="F66" i="2" s="1"/>
  <c r="Z67" i="1"/>
  <c r="Y67" i="1"/>
  <c r="I67" i="1"/>
  <c r="BC66" i="1"/>
  <c r="BB66" i="1"/>
  <c r="BA66" i="1"/>
  <c r="AZ66" i="1"/>
  <c r="AY66" i="1"/>
  <c r="AW66" i="1"/>
  <c r="AQ66" i="1"/>
  <c r="AN66" i="1"/>
  <c r="AK66" i="1"/>
  <c r="I65" i="2" s="1"/>
  <c r="AI66" i="1"/>
  <c r="H65" i="2" s="1"/>
  <c r="AH66" i="1"/>
  <c r="G65" i="2" s="1"/>
  <c r="AF66" i="1" a="1"/>
  <c r="AF66" i="1" s="1"/>
  <c r="E65" i="2" s="1"/>
  <c r="AE66" i="1"/>
  <c r="D65" i="2" s="1"/>
  <c r="AD66" i="1"/>
  <c r="C65" i="2" s="1"/>
  <c r="Z66" i="1"/>
  <c r="Y66" i="1"/>
  <c r="I66" i="1"/>
  <c r="AG66" i="1" s="1"/>
  <c r="F65" i="2" s="1"/>
  <c r="BC65" i="1"/>
  <c r="BB65" i="1"/>
  <c r="BA65" i="1"/>
  <c r="AZ65" i="1"/>
  <c r="AY65" i="1"/>
  <c r="AW65" i="1"/>
  <c r="AM65" i="1" s="1"/>
  <c r="AO65" i="1" s="1"/>
  <c r="AQ65" i="1"/>
  <c r="AN65" i="1"/>
  <c r="AI65" i="1"/>
  <c r="H64" i="2" s="1"/>
  <c r="AG65" i="1"/>
  <c r="F64" i="2" s="1"/>
  <c r="AF65" i="1" a="1"/>
  <c r="AF65" i="1" s="1"/>
  <c r="E64" i="2" s="1"/>
  <c r="Z65" i="1"/>
  <c r="Y65" i="1"/>
  <c r="I65" i="1"/>
  <c r="BC64" i="1"/>
  <c r="BB64" i="1"/>
  <c r="BA64" i="1"/>
  <c r="AZ64" i="1"/>
  <c r="AY64" i="1"/>
  <c r="AJ64" i="1" s="1"/>
  <c r="AL64" i="1" s="1"/>
  <c r="AW64" i="1"/>
  <c r="BE64" i="1" s="1"/>
  <c r="AQ64" i="1"/>
  <c r="AN64" i="1"/>
  <c r="AK64" i="1"/>
  <c r="I63" i="2" s="1"/>
  <c r="AI64" i="1"/>
  <c r="H63" i="2" s="1"/>
  <c r="AH64" i="1"/>
  <c r="G63" i="2" s="1"/>
  <c r="AG64" i="1"/>
  <c r="F63" i="2" s="1"/>
  <c r="AF64" i="1" a="1"/>
  <c r="AF64" i="1" s="1"/>
  <c r="E63" i="2" s="1"/>
  <c r="AE64" i="1"/>
  <c r="D63" i="2" s="1"/>
  <c r="AD64" i="1"/>
  <c r="C63" i="2" s="1"/>
  <c r="Z64" i="1"/>
  <c r="Y64" i="1"/>
  <c r="I64" i="1"/>
  <c r="BC63" i="1"/>
  <c r="BB63" i="1"/>
  <c r="BA63" i="1"/>
  <c r="AZ63" i="1"/>
  <c r="AY63" i="1"/>
  <c r="AW63" i="1"/>
  <c r="AQ63" i="1"/>
  <c r="AJ63" i="1"/>
  <c r="AL63" i="1" s="1"/>
  <c r="J62" i="2" s="1"/>
  <c r="AD63" i="1"/>
  <c r="C62" i="2" s="1"/>
  <c r="Z63" i="1"/>
  <c r="Y63" i="1"/>
  <c r="I63" i="1"/>
  <c r="AI63" i="1" s="1"/>
  <c r="H62" i="2" s="1"/>
  <c r="BC62" i="1"/>
  <c r="BB62" i="1"/>
  <c r="BA62" i="1"/>
  <c r="AZ62" i="1"/>
  <c r="AY62" i="1"/>
  <c r="AQ62" i="1"/>
  <c r="AW62" i="1" s="1"/>
  <c r="Z62" i="1"/>
  <c r="Y62" i="1"/>
  <c r="I62" i="1"/>
  <c r="AH62" i="1" s="1"/>
  <c r="G61" i="2" s="1"/>
  <c r="BC61" i="1"/>
  <c r="BB61" i="1"/>
  <c r="BA61" i="1"/>
  <c r="AZ61" i="1"/>
  <c r="AY61" i="1"/>
  <c r="AQ61" i="1"/>
  <c r="AW61" i="1" s="1"/>
  <c r="Z61" i="1"/>
  <c r="Y61" i="1"/>
  <c r="I61" i="1"/>
  <c r="AI61" i="1" s="1"/>
  <c r="H60" i="2" s="1"/>
  <c r="BC60" i="1"/>
  <c r="BB60" i="1"/>
  <c r="BA60" i="1"/>
  <c r="AZ60" i="1"/>
  <c r="AM60" i="1" s="1"/>
  <c r="AO60" i="1" s="1"/>
  <c r="AY60" i="1"/>
  <c r="AQ60" i="1"/>
  <c r="AW60" i="1" s="1"/>
  <c r="AK60" i="1"/>
  <c r="I59" i="2" s="1"/>
  <c r="AF60" i="1" a="1"/>
  <c r="AF60" i="1" s="1"/>
  <c r="E59" i="2" s="1"/>
  <c r="AD60" i="1"/>
  <c r="C59" i="2" s="1"/>
  <c r="Z60" i="1"/>
  <c r="Y60" i="1"/>
  <c r="I60" i="1"/>
  <c r="BC59" i="1"/>
  <c r="BB59" i="1"/>
  <c r="BA59" i="1"/>
  <c r="AZ59" i="1"/>
  <c r="AY59" i="1"/>
  <c r="AW59" i="1"/>
  <c r="BE59" i="1" s="1"/>
  <c r="AQ59" i="1"/>
  <c r="AK59" i="1"/>
  <c r="I58" i="2" s="1"/>
  <c r="AH59" i="1"/>
  <c r="G58" i="2" s="1"/>
  <c r="AG59" i="1"/>
  <c r="F58" i="2" s="1"/>
  <c r="AF59" i="1" a="1"/>
  <c r="AF59" i="1" s="1"/>
  <c r="E58" i="2" s="1"/>
  <c r="Z59" i="1"/>
  <c r="Y59" i="1"/>
  <c r="I59" i="1"/>
  <c r="BC58" i="1"/>
  <c r="BB58" i="1"/>
  <c r="BA58" i="1"/>
  <c r="AZ58" i="1"/>
  <c r="AY58" i="1"/>
  <c r="AW58" i="1"/>
  <c r="BE58" i="1" s="1"/>
  <c r="AQ58" i="1"/>
  <c r="AN58" i="1"/>
  <c r="AI58" i="1"/>
  <c r="H57" i="2" s="1"/>
  <c r="AF58" i="1" a="1"/>
  <c r="AF58" i="1" s="1"/>
  <c r="E57" i="2" s="1"/>
  <c r="AE58" i="1"/>
  <c r="D57" i="2" s="1"/>
  <c r="AD58" i="1"/>
  <c r="C57" i="2" s="1"/>
  <c r="Z58" i="1"/>
  <c r="Y58" i="1"/>
  <c r="I58" i="1"/>
  <c r="BC57" i="1"/>
  <c r="BB57" i="1"/>
  <c r="BA57" i="1"/>
  <c r="AZ57" i="1"/>
  <c r="AY57" i="1"/>
  <c r="AW57" i="1"/>
  <c r="AM57" i="1" s="1"/>
  <c r="AO57" i="1" s="1"/>
  <c r="AQ57" i="1"/>
  <c r="AN57" i="1"/>
  <c r="AD57" i="1"/>
  <c r="C56" i="2" s="1"/>
  <c r="Z57" i="1"/>
  <c r="Y57" i="1"/>
  <c r="I57" i="1"/>
  <c r="AG57" i="1" s="1"/>
  <c r="F56" i="2" s="1"/>
  <c r="BC56" i="1"/>
  <c r="BB56" i="1"/>
  <c r="BA56" i="1"/>
  <c r="AZ56" i="1"/>
  <c r="AY56" i="1"/>
  <c r="AW56" i="1"/>
  <c r="AM56" i="1" s="1"/>
  <c r="AO56" i="1" s="1"/>
  <c r="AB56" i="1" s="1"/>
  <c r="K55" i="2" s="1"/>
  <c r="AQ56" i="1"/>
  <c r="AN56" i="1"/>
  <c r="AK56" i="1"/>
  <c r="AI56" i="1"/>
  <c r="H55" i="2" s="1"/>
  <c r="AH56" i="1"/>
  <c r="G55" i="2" s="1"/>
  <c r="AG56" i="1"/>
  <c r="F55" i="2" s="1"/>
  <c r="AF56" i="1" a="1"/>
  <c r="AF56" i="1" s="1"/>
  <c r="E55" i="2" s="1"/>
  <c r="AE56" i="1"/>
  <c r="D55" i="2" s="1"/>
  <c r="AD56" i="1"/>
  <c r="C55" i="2" s="1"/>
  <c r="Z56" i="1"/>
  <c r="Y56" i="1"/>
  <c r="I56" i="1"/>
  <c r="BC55" i="1"/>
  <c r="BB55" i="1"/>
  <c r="BA55" i="1"/>
  <c r="AM55" i="1" s="1"/>
  <c r="AO55" i="1" s="1"/>
  <c r="AZ55" i="1"/>
  <c r="AY55" i="1"/>
  <c r="AW55" i="1"/>
  <c r="AQ55" i="1"/>
  <c r="AN55" i="1"/>
  <c r="AK55" i="1"/>
  <c r="AJ55" i="1"/>
  <c r="AL55" i="1" s="1"/>
  <c r="J54" i="2" s="1"/>
  <c r="AI55" i="1"/>
  <c r="H54" i="2" s="1"/>
  <c r="AG55" i="1"/>
  <c r="F54" i="2" s="1"/>
  <c r="AE55" i="1"/>
  <c r="D54" i="2" s="1"/>
  <c r="AD55" i="1"/>
  <c r="C54" i="2" s="1"/>
  <c r="Z55" i="1"/>
  <c r="Y55" i="1"/>
  <c r="I55" i="1"/>
  <c r="AH55" i="1" s="1"/>
  <c r="G54" i="2" s="1"/>
  <c r="BC54" i="1"/>
  <c r="BB54" i="1"/>
  <c r="AJ54" i="1" s="1"/>
  <c r="AL54" i="1" s="1"/>
  <c r="J53" i="2" s="1"/>
  <c r="BA54" i="1"/>
  <c r="AZ54" i="1"/>
  <c r="AY54" i="1"/>
  <c r="AW54" i="1"/>
  <c r="AQ54" i="1"/>
  <c r="AN54" i="1"/>
  <c r="AM54" i="1"/>
  <c r="AO54" i="1" s="1"/>
  <c r="AE54" i="1"/>
  <c r="D53" i="2" s="1"/>
  <c r="Z54" i="1"/>
  <c r="Y54" i="1"/>
  <c r="I54" i="1"/>
  <c r="AI54" i="1" s="1"/>
  <c r="H53" i="2" s="1"/>
  <c r="BC53" i="1"/>
  <c r="BB53" i="1"/>
  <c r="BA53" i="1"/>
  <c r="AZ53" i="1"/>
  <c r="AY53" i="1"/>
  <c r="AQ53" i="1"/>
  <c r="AW53" i="1" s="1"/>
  <c r="AK53" i="1"/>
  <c r="I52" i="2" s="1"/>
  <c r="AI53" i="1"/>
  <c r="H52" i="2" s="1"/>
  <c r="AG53" i="1"/>
  <c r="F52" i="2" s="1"/>
  <c r="AE53" i="1"/>
  <c r="D52" i="2" s="1"/>
  <c r="AD53" i="1"/>
  <c r="C52" i="2" s="1"/>
  <c r="Z53" i="1"/>
  <c r="Y53" i="1"/>
  <c r="I53" i="1"/>
  <c r="BC52" i="1"/>
  <c r="BB52" i="1"/>
  <c r="BA52" i="1"/>
  <c r="AJ52" i="1" s="1"/>
  <c r="AL52" i="1" s="1"/>
  <c r="J51" i="2" s="1"/>
  <c r="AZ52" i="1"/>
  <c r="BE52" i="1" s="1"/>
  <c r="AY52" i="1"/>
  <c r="AQ52" i="1"/>
  <c r="AW52" i="1" s="1"/>
  <c r="AN52" i="1"/>
  <c r="AG52" i="1"/>
  <c r="F51" i="2" s="1"/>
  <c r="Z52" i="1"/>
  <c r="Y52" i="1"/>
  <c r="I52" i="1"/>
  <c r="AF52" i="1" s="1" a="1"/>
  <c r="AF52" i="1" s="1"/>
  <c r="E51" i="2" s="1"/>
  <c r="BC51" i="1"/>
  <c r="BB51" i="1"/>
  <c r="BA51" i="1"/>
  <c r="AZ51" i="1"/>
  <c r="AY51" i="1"/>
  <c r="AQ51" i="1"/>
  <c r="AW51" i="1" s="1"/>
  <c r="Z51" i="1"/>
  <c r="Y51" i="1"/>
  <c r="I51" i="1"/>
  <c r="AH51" i="1" s="1"/>
  <c r="G50" i="2" s="1"/>
  <c r="BC50" i="1"/>
  <c r="BB50" i="1"/>
  <c r="BA50" i="1"/>
  <c r="AZ50" i="1"/>
  <c r="AJ50" i="1" s="1"/>
  <c r="AL50" i="1" s="1"/>
  <c r="J49" i="2" s="1"/>
  <c r="AY50" i="1"/>
  <c r="AQ50" i="1"/>
  <c r="AW50" i="1" s="1"/>
  <c r="AN50" i="1"/>
  <c r="AM50" i="1"/>
  <c r="AO50" i="1" s="1"/>
  <c r="AE50" i="1"/>
  <c r="D49" i="2" s="1"/>
  <c r="Z50" i="1"/>
  <c r="Y50" i="1"/>
  <c r="I50" i="1"/>
  <c r="AH50" i="1" s="1"/>
  <c r="G49" i="2" s="1"/>
  <c r="BC49" i="1"/>
  <c r="BB49" i="1"/>
  <c r="BA49" i="1"/>
  <c r="AZ49" i="1"/>
  <c r="AY49" i="1"/>
  <c r="AW49" i="1"/>
  <c r="BE49" i="1" s="1"/>
  <c r="AQ49" i="1"/>
  <c r="AK49" i="1"/>
  <c r="I48" i="2" s="1"/>
  <c r="AG49" i="1"/>
  <c r="F48" i="2" s="1"/>
  <c r="AF49" i="1" a="1"/>
  <c r="AF49" i="1"/>
  <c r="E48" i="2" s="1"/>
  <c r="Z49" i="1"/>
  <c r="Y49" i="1"/>
  <c r="I49" i="1"/>
  <c r="BC48" i="1"/>
  <c r="BB48" i="1"/>
  <c r="BA48" i="1"/>
  <c r="AZ48" i="1"/>
  <c r="AY48" i="1"/>
  <c r="AQ48" i="1"/>
  <c r="AW48" i="1" s="1"/>
  <c r="AM48" i="1" s="1"/>
  <c r="AO48" i="1" s="1"/>
  <c r="AN48" i="1"/>
  <c r="AK48" i="1"/>
  <c r="I47" i="2" s="1"/>
  <c r="AJ48" i="1"/>
  <c r="AL48" i="1" s="1"/>
  <c r="J47" i="2" s="1"/>
  <c r="AI48" i="1"/>
  <c r="H47" i="2" s="1"/>
  <c r="AH48" i="1"/>
  <c r="G47" i="2" s="1"/>
  <c r="AG48" i="1"/>
  <c r="F47" i="2" s="1"/>
  <c r="AF48" i="1" a="1"/>
  <c r="AF48" i="1" s="1"/>
  <c r="E47" i="2" s="1"/>
  <c r="AE48" i="1"/>
  <c r="D47" i="2" s="1"/>
  <c r="AD48" i="1"/>
  <c r="C47" i="2" s="1"/>
  <c r="AA48" i="1"/>
  <c r="Z48" i="1"/>
  <c r="Y48" i="1"/>
  <c r="I48" i="1"/>
  <c r="BC47" i="1"/>
  <c r="BB47" i="1"/>
  <c r="BA47" i="1"/>
  <c r="AZ47" i="1"/>
  <c r="BE47" i="1" s="1"/>
  <c r="AY47" i="1"/>
  <c r="AJ47" i="1" s="1"/>
  <c r="AL47" i="1" s="1"/>
  <c r="J46" i="2" s="1"/>
  <c r="AW47" i="1"/>
  <c r="AQ47" i="1"/>
  <c r="AK47" i="1"/>
  <c r="AI47" i="1"/>
  <c r="H46" i="2" s="1"/>
  <c r="AF47" i="1" a="1"/>
  <c r="AF47" i="1" s="1"/>
  <c r="E46" i="2" s="1"/>
  <c r="AE47" i="1"/>
  <c r="D46" i="2" s="1"/>
  <c r="AD47" i="1"/>
  <c r="C46" i="2" s="1"/>
  <c r="Z47" i="1"/>
  <c r="Y47" i="1"/>
  <c r="I47" i="1"/>
  <c r="BC46" i="1"/>
  <c r="BB46" i="1"/>
  <c r="BA46" i="1"/>
  <c r="AZ46" i="1"/>
  <c r="AY46" i="1"/>
  <c r="AQ46" i="1"/>
  <c r="AW46" i="1" s="1"/>
  <c r="AN46" i="1"/>
  <c r="AI46" i="1"/>
  <c r="H45" i="2" s="1"/>
  <c r="AH46" i="1"/>
  <c r="G45" i="2" s="1"/>
  <c r="AG46" i="1"/>
  <c r="F45" i="2" s="1"/>
  <c r="AE46" i="1"/>
  <c r="D45" i="2" s="1"/>
  <c r="Z46" i="1"/>
  <c r="Y46" i="1"/>
  <c r="I46" i="1"/>
  <c r="BC45" i="1"/>
  <c r="BB45" i="1"/>
  <c r="AJ45" i="1" s="1"/>
  <c r="AL45" i="1" s="1"/>
  <c r="J44" i="2" s="1"/>
  <c r="BA45" i="1"/>
  <c r="AZ45" i="1"/>
  <c r="AY45" i="1"/>
  <c r="AW45" i="1"/>
  <c r="BE45" i="1" s="1"/>
  <c r="AQ45" i="1"/>
  <c r="AK45" i="1"/>
  <c r="I44" i="2" s="1"/>
  <c r="AE45" i="1"/>
  <c r="D44" i="2" s="1"/>
  <c r="Z45" i="1"/>
  <c r="Y45" i="1"/>
  <c r="I45" i="1"/>
  <c r="BC44" i="1"/>
  <c r="BB44" i="1"/>
  <c r="BA44" i="1"/>
  <c r="AZ44" i="1"/>
  <c r="BE44" i="1" s="1"/>
  <c r="AY44" i="1"/>
  <c r="AQ44" i="1"/>
  <c r="AW44" i="1" s="1"/>
  <c r="Z44" i="1"/>
  <c r="Y44" i="1"/>
  <c r="I44" i="1"/>
  <c r="BC43" i="1"/>
  <c r="BB43" i="1"/>
  <c r="BA43" i="1"/>
  <c r="AZ43" i="1"/>
  <c r="AY43" i="1"/>
  <c r="BE43" i="1" s="1"/>
  <c r="AQ43" i="1"/>
  <c r="AW43" i="1" s="1"/>
  <c r="AN43" i="1"/>
  <c r="AM43" i="1"/>
  <c r="AO43" i="1" s="1"/>
  <c r="AK43" i="1"/>
  <c r="I42" i="2" s="1"/>
  <c r="AI43" i="1"/>
  <c r="H42" i="2" s="1"/>
  <c r="AG43" i="1"/>
  <c r="F42" i="2" s="1"/>
  <c r="AD43" i="1"/>
  <c r="C42" i="2" s="1"/>
  <c r="Z43" i="1"/>
  <c r="Y43" i="1"/>
  <c r="I43" i="1"/>
  <c r="BC42" i="1"/>
  <c r="BB42" i="1"/>
  <c r="BA42" i="1"/>
  <c r="AZ42" i="1"/>
  <c r="AY42" i="1"/>
  <c r="AJ42" i="1" s="1"/>
  <c r="AL42" i="1" s="1"/>
  <c r="AW42" i="1"/>
  <c r="AM42" i="1" s="1"/>
  <c r="AO42" i="1" s="1"/>
  <c r="AQ42" i="1"/>
  <c r="AK42" i="1"/>
  <c r="I41" i="2" s="1"/>
  <c r="AI42" i="1"/>
  <c r="H41" i="2" s="1"/>
  <c r="AH42" i="1"/>
  <c r="G41" i="2" s="1"/>
  <c r="AF42" i="1" a="1"/>
  <c r="AF42" i="1" s="1"/>
  <c r="E41" i="2" s="1"/>
  <c r="AE42" i="1"/>
  <c r="D41" i="2" s="1"/>
  <c r="AD42" i="1"/>
  <c r="C41" i="2" s="1"/>
  <c r="Z42" i="1"/>
  <c r="Y42" i="1"/>
  <c r="I42" i="1"/>
  <c r="AG42" i="1" s="1"/>
  <c r="F41" i="2" s="1"/>
  <c r="BE41" i="1"/>
  <c r="BC41" i="1"/>
  <c r="BB41" i="1"/>
  <c r="BA41" i="1"/>
  <c r="AZ41" i="1"/>
  <c r="AJ41" i="1" s="1"/>
  <c r="AL41" i="1" s="1"/>
  <c r="J40" i="2" s="1"/>
  <c r="AY41" i="1"/>
  <c r="AW41" i="1"/>
  <c r="AM41" i="1" s="1"/>
  <c r="AO41" i="1" s="1"/>
  <c r="AQ41" i="1"/>
  <c r="AN41" i="1"/>
  <c r="AK41" i="1"/>
  <c r="I40" i="2" s="1"/>
  <c r="AI41" i="1"/>
  <c r="H40" i="2" s="1"/>
  <c r="AF41" i="1" a="1"/>
  <c r="AF41" i="1" s="1"/>
  <c r="E40" i="2" s="1"/>
  <c r="AE41" i="1"/>
  <c r="D40" i="2" s="1"/>
  <c r="Z41" i="1"/>
  <c r="Y41" i="1"/>
  <c r="I41" i="1"/>
  <c r="BC40" i="1"/>
  <c r="BB40" i="1"/>
  <c r="BA40" i="1"/>
  <c r="AZ40" i="1"/>
  <c r="AY40" i="1"/>
  <c r="AQ40" i="1"/>
  <c r="AW40" i="1" s="1"/>
  <c r="AM40" i="1" s="1"/>
  <c r="AO40" i="1" s="1"/>
  <c r="AB40" i="1" s="1"/>
  <c r="K39" i="2" s="1"/>
  <c r="AN40" i="1"/>
  <c r="AK40" i="1"/>
  <c r="I39" i="2" s="1"/>
  <c r="AJ40" i="1"/>
  <c r="AL40" i="1" s="1"/>
  <c r="J39" i="2" s="1"/>
  <c r="AI40" i="1"/>
  <c r="H39" i="2" s="1"/>
  <c r="AH40" i="1"/>
  <c r="G39" i="2" s="1"/>
  <c r="AG40" i="1"/>
  <c r="F39" i="2" s="1"/>
  <c r="AF40" i="1" a="1"/>
  <c r="AF40" i="1" s="1"/>
  <c r="E39" i="2" s="1"/>
  <c r="AE40" i="1"/>
  <c r="D39" i="2" s="1"/>
  <c r="AD40" i="1"/>
  <c r="C39" i="2" s="1"/>
  <c r="Z40" i="1"/>
  <c r="Y40" i="1"/>
  <c r="I40" i="1"/>
  <c r="BC39" i="1"/>
  <c r="BB39" i="1"/>
  <c r="BA39" i="1"/>
  <c r="AM39" i="1" s="1"/>
  <c r="AO39" i="1" s="1"/>
  <c r="AZ39" i="1"/>
  <c r="AY39" i="1"/>
  <c r="AW39" i="1"/>
  <c r="BE39" i="1" s="1"/>
  <c r="AQ39" i="1"/>
  <c r="AK39" i="1"/>
  <c r="AE39" i="1"/>
  <c r="D38" i="2" s="1"/>
  <c r="Z39" i="1"/>
  <c r="Y39" i="1"/>
  <c r="I39" i="1"/>
  <c r="AG39" i="1" s="1"/>
  <c r="F38" i="2" s="1"/>
  <c r="BC38" i="1"/>
  <c r="BB38" i="1"/>
  <c r="BA38" i="1"/>
  <c r="AZ38" i="1"/>
  <c r="AY38" i="1"/>
  <c r="AQ38" i="1"/>
  <c r="AW38" i="1" s="1"/>
  <c r="AN38" i="1"/>
  <c r="AI38" i="1"/>
  <c r="H37" i="2" s="1"/>
  <c r="AH38" i="1"/>
  <c r="G37" i="2" s="1"/>
  <c r="AG38" i="1"/>
  <c r="F37" i="2" s="1"/>
  <c r="AE38" i="1"/>
  <c r="D37" i="2" s="1"/>
  <c r="Z38" i="1"/>
  <c r="Y38" i="1"/>
  <c r="I38" i="1"/>
  <c r="BC37" i="1"/>
  <c r="BB37" i="1"/>
  <c r="AJ37" i="1" s="1"/>
  <c r="AL37" i="1" s="1"/>
  <c r="J36" i="2" s="1"/>
  <c r="BA37" i="1"/>
  <c r="AZ37" i="1"/>
  <c r="AY37" i="1"/>
  <c r="AW37" i="1"/>
  <c r="AM37" i="1" s="1"/>
  <c r="AO37" i="1" s="1"/>
  <c r="AQ37" i="1"/>
  <c r="AD37" i="1"/>
  <c r="C36" i="2" s="1"/>
  <c r="Z37" i="1"/>
  <c r="Y37" i="1"/>
  <c r="I37" i="1"/>
  <c r="AE37" i="1" s="1"/>
  <c r="D36" i="2" s="1"/>
  <c r="BC36" i="1"/>
  <c r="BB36" i="1"/>
  <c r="BA36" i="1"/>
  <c r="AZ36" i="1"/>
  <c r="BE36" i="1" s="1"/>
  <c r="AY36" i="1"/>
  <c r="AJ36" i="1" s="1"/>
  <c r="AL36" i="1" s="1"/>
  <c r="J35" i="2" s="1"/>
  <c r="AQ36" i="1"/>
  <c r="AW36" i="1" s="1"/>
  <c r="Z36" i="1"/>
  <c r="Y36" i="1"/>
  <c r="I36" i="1"/>
  <c r="AF36" i="1" s="1" a="1"/>
  <c r="AF36" i="1" s="1"/>
  <c r="E35" i="2" s="1"/>
  <c r="BC35" i="1"/>
  <c r="BB35" i="1"/>
  <c r="BA35" i="1"/>
  <c r="AZ35" i="1"/>
  <c r="AY35" i="1"/>
  <c r="BE35" i="1" s="1"/>
  <c r="AQ35" i="1"/>
  <c r="AW35" i="1" s="1"/>
  <c r="AN35" i="1"/>
  <c r="AK35" i="1"/>
  <c r="I34" i="2" s="1"/>
  <c r="AI35" i="1"/>
  <c r="H34" i="2" s="1"/>
  <c r="AF35" i="1" a="1"/>
  <c r="AF35" i="1" s="1"/>
  <c r="E34" i="2" s="1"/>
  <c r="Z35" i="1"/>
  <c r="Y35" i="1"/>
  <c r="I35" i="1"/>
  <c r="BC34" i="1"/>
  <c r="BB34" i="1"/>
  <c r="BA34" i="1"/>
  <c r="AZ34" i="1"/>
  <c r="AJ34" i="1" s="1"/>
  <c r="AL34" i="1" s="1"/>
  <c r="AY34" i="1"/>
  <c r="AQ34" i="1"/>
  <c r="AW34" i="1" s="1"/>
  <c r="AM34" i="1" s="1"/>
  <c r="AO34" i="1" s="1"/>
  <c r="AN34" i="1"/>
  <c r="AK34" i="1"/>
  <c r="I33" i="2" s="1"/>
  <c r="AI34" i="1"/>
  <c r="H33" i="2" s="1"/>
  <c r="Z34" i="1"/>
  <c r="Y34" i="1"/>
  <c r="I34" i="1"/>
  <c r="AE34" i="1" s="1"/>
  <c r="D33" i="2" s="1"/>
  <c r="BC33" i="1"/>
  <c r="BB33" i="1"/>
  <c r="BA33" i="1"/>
  <c r="AZ33" i="1"/>
  <c r="AY33" i="1"/>
  <c r="AW33" i="1"/>
  <c r="BE33" i="1" s="1"/>
  <c r="AQ33" i="1"/>
  <c r="AF33" i="1" a="1"/>
  <c r="AF33" i="1" s="1"/>
  <c r="E32" i="2" s="1"/>
  <c r="Z33" i="1"/>
  <c r="Y33" i="1"/>
  <c r="I33" i="1"/>
  <c r="BC32" i="1"/>
  <c r="BB32" i="1"/>
  <c r="BA32" i="1"/>
  <c r="AZ32" i="1"/>
  <c r="AY32" i="1"/>
  <c r="AW32" i="1"/>
  <c r="AQ32" i="1"/>
  <c r="AN32" i="1"/>
  <c r="AK32" i="1"/>
  <c r="I31" i="2" s="1"/>
  <c r="AI32" i="1"/>
  <c r="H31" i="2" s="1"/>
  <c r="AH32" i="1"/>
  <c r="G31" i="2" s="1"/>
  <c r="AG32" i="1"/>
  <c r="F31" i="2" s="1"/>
  <c r="AF32" i="1" a="1"/>
  <c r="AF32" i="1" s="1"/>
  <c r="E31" i="2" s="1"/>
  <c r="AE32" i="1"/>
  <c r="D31" i="2" s="1"/>
  <c r="AD32" i="1"/>
  <c r="C31" i="2" s="1"/>
  <c r="Z32" i="1"/>
  <c r="Y32" i="1"/>
  <c r="I32" i="1"/>
  <c r="BC31" i="1"/>
  <c r="BB31" i="1"/>
  <c r="BA31" i="1"/>
  <c r="AZ31" i="1"/>
  <c r="BE31" i="1" s="1"/>
  <c r="AY31" i="1"/>
  <c r="AW31" i="1"/>
  <c r="AQ31" i="1"/>
  <c r="AJ31" i="1"/>
  <c r="AL31" i="1" s="1"/>
  <c r="J30" i="2" s="1"/>
  <c r="AE31" i="1"/>
  <c r="D30" i="2" s="1"/>
  <c r="Z31" i="1"/>
  <c r="Y31" i="1"/>
  <c r="I31" i="1"/>
  <c r="AF31" i="1" s="1" a="1"/>
  <c r="AF31" i="1" s="1"/>
  <c r="E30" i="2" s="1"/>
  <c r="BC30" i="1"/>
  <c r="BB30" i="1"/>
  <c r="BA30" i="1"/>
  <c r="AZ30" i="1"/>
  <c r="AY30" i="1"/>
  <c r="AQ30" i="1"/>
  <c r="AW30" i="1" s="1"/>
  <c r="AM30" i="1" s="1"/>
  <c r="AO30" i="1" s="1"/>
  <c r="AN30" i="1"/>
  <c r="AG30" i="1"/>
  <c r="F29" i="2" s="1"/>
  <c r="AE30" i="1"/>
  <c r="D29" i="2" s="1"/>
  <c r="Z30" i="1"/>
  <c r="Y30" i="1"/>
  <c r="I30" i="1"/>
  <c r="AI30" i="1" s="1"/>
  <c r="H29" i="2" s="1"/>
  <c r="BE29" i="1"/>
  <c r="BC29" i="1"/>
  <c r="BB29" i="1"/>
  <c r="BA29" i="1"/>
  <c r="AZ29" i="1"/>
  <c r="AM29" i="1" s="1"/>
  <c r="AO29" i="1" s="1"/>
  <c r="AY29" i="1"/>
  <c r="AW29" i="1"/>
  <c r="AQ29" i="1"/>
  <c r="AJ29" i="1"/>
  <c r="AL29" i="1" s="1"/>
  <c r="J28" i="2" s="1"/>
  <c r="AE29" i="1"/>
  <c r="D28" i="2" s="1"/>
  <c r="AD29" i="1"/>
  <c r="C28" i="2" s="1"/>
  <c r="Z29" i="1"/>
  <c r="Y29" i="1"/>
  <c r="I29" i="1"/>
  <c r="BC28" i="1"/>
  <c r="BB28" i="1"/>
  <c r="BA28" i="1"/>
  <c r="AZ28" i="1"/>
  <c r="AY28" i="1"/>
  <c r="AQ28" i="1"/>
  <c r="AW28" i="1" s="1"/>
  <c r="BE28" i="1" s="1"/>
  <c r="AM28" i="1"/>
  <c r="AO28" i="1" s="1"/>
  <c r="AD28" i="1"/>
  <c r="C27" i="2" s="1"/>
  <c r="Z28" i="1"/>
  <c r="Y28" i="1"/>
  <c r="I28" i="1"/>
  <c r="AI28" i="1" s="1"/>
  <c r="H27" i="2" s="1"/>
  <c r="BC27" i="1"/>
  <c r="BB27" i="1"/>
  <c r="BA27" i="1"/>
  <c r="AZ27" i="1"/>
  <c r="AY27" i="1"/>
  <c r="AQ27" i="1"/>
  <c r="AW27" i="1" s="1"/>
  <c r="AN27" i="1"/>
  <c r="AK27" i="1"/>
  <c r="I26" i="2" s="1"/>
  <c r="AI27" i="1"/>
  <c r="H26" i="2" s="1"/>
  <c r="AF27" i="1" a="1"/>
  <c r="AF27" i="1" s="1"/>
  <c r="E26" i="2" s="1"/>
  <c r="AD27" i="1"/>
  <c r="C26" i="2" s="1"/>
  <c r="Z27" i="1"/>
  <c r="Y27" i="1"/>
  <c r="I27" i="1"/>
  <c r="AE27" i="1" s="1"/>
  <c r="D26" i="2" s="1"/>
  <c r="BC26" i="1"/>
  <c r="BB26" i="1"/>
  <c r="BA26" i="1"/>
  <c r="AZ26" i="1"/>
  <c r="AY26" i="1"/>
  <c r="AJ26" i="1" s="1"/>
  <c r="AL26" i="1" s="1"/>
  <c r="J25" i="2" s="1"/>
  <c r="AW26" i="1"/>
  <c r="AQ26" i="1"/>
  <c r="AH26" i="1"/>
  <c r="G25" i="2" s="1"/>
  <c r="AD26" i="1"/>
  <c r="C25" i="2" s="1"/>
  <c r="Z26" i="1"/>
  <c r="Y26" i="1"/>
  <c r="I26" i="1"/>
  <c r="AG26" i="1" s="1"/>
  <c r="F25" i="2" s="1"/>
  <c r="BC25" i="1"/>
  <c r="BB25" i="1"/>
  <c r="AM25" i="1" s="1"/>
  <c r="AO25" i="1" s="1"/>
  <c r="BA25" i="1"/>
  <c r="AZ25" i="1"/>
  <c r="AY25" i="1"/>
  <c r="AW25" i="1"/>
  <c r="BE25" i="1" s="1"/>
  <c r="AQ25" i="1"/>
  <c r="Z25" i="1"/>
  <c r="Y25" i="1"/>
  <c r="I25" i="1"/>
  <c r="AD25" i="1" s="1"/>
  <c r="C24" i="2" s="1"/>
  <c r="BC24" i="1"/>
  <c r="BB24" i="1"/>
  <c r="BA24" i="1"/>
  <c r="AZ24" i="1"/>
  <c r="AY24" i="1"/>
  <c r="AQ24" i="1"/>
  <c r="AW24" i="1" s="1"/>
  <c r="AN24" i="1"/>
  <c r="AK24" i="1"/>
  <c r="I23" i="2" s="1"/>
  <c r="AI24" i="1"/>
  <c r="H23" i="2" s="1"/>
  <c r="AH24" i="1"/>
  <c r="G23" i="2" s="1"/>
  <c r="AG24" i="1"/>
  <c r="F23" i="2" s="1"/>
  <c r="AF24" i="1" a="1"/>
  <c r="AF24" i="1" s="1"/>
  <c r="E23" i="2" s="1"/>
  <c r="AE24" i="1"/>
  <c r="D23" i="2" s="1"/>
  <c r="AD24" i="1"/>
  <c r="C23" i="2" s="1"/>
  <c r="Z24" i="1"/>
  <c r="Y24" i="1"/>
  <c r="I24" i="1"/>
  <c r="BE23" i="1"/>
  <c r="BC23" i="1"/>
  <c r="BB23" i="1"/>
  <c r="BA23" i="1"/>
  <c r="AZ23" i="1"/>
  <c r="AY23" i="1"/>
  <c r="AJ23" i="1" s="1"/>
  <c r="AL23" i="1" s="1"/>
  <c r="J22" i="2" s="1"/>
  <c r="AW23" i="1"/>
  <c r="AM23" i="1" s="1"/>
  <c r="AO23" i="1" s="1"/>
  <c r="AQ23" i="1"/>
  <c r="AK23" i="1"/>
  <c r="AI23" i="1"/>
  <c r="H22" i="2" s="1"/>
  <c r="AF23" i="1" a="1"/>
  <c r="AF23" i="1" s="1"/>
  <c r="E22" i="2" s="1"/>
  <c r="AE23" i="1"/>
  <c r="D22" i="2" s="1"/>
  <c r="Z23" i="1"/>
  <c r="Y23" i="1"/>
  <c r="I23" i="1"/>
  <c r="AD23" i="1" s="1"/>
  <c r="C22" i="2" s="1"/>
  <c r="BC22" i="1"/>
  <c r="BB22" i="1"/>
  <c r="BA22" i="1"/>
  <c r="AZ22" i="1"/>
  <c r="AY22" i="1"/>
  <c r="AJ22" i="1" s="1"/>
  <c r="AL22" i="1" s="1"/>
  <c r="J21" i="2" s="1"/>
  <c r="AQ22" i="1"/>
  <c r="AW22" i="1" s="1"/>
  <c r="AN22" i="1"/>
  <c r="AI22" i="1"/>
  <c r="H21" i="2" s="1"/>
  <c r="AH22" i="1"/>
  <c r="G21" i="2" s="1"/>
  <c r="AG22" i="1"/>
  <c r="F21" i="2" s="1"/>
  <c r="AE22" i="1"/>
  <c r="D21" i="2" s="1"/>
  <c r="Z22" i="1"/>
  <c r="Y22" i="1"/>
  <c r="I22" i="1"/>
  <c r="BC21" i="1"/>
  <c r="BB21" i="1"/>
  <c r="BA21" i="1"/>
  <c r="AZ21" i="1"/>
  <c r="AY21" i="1"/>
  <c r="AJ21" i="1" s="1"/>
  <c r="AL21" i="1" s="1"/>
  <c r="J20" i="2" s="1"/>
  <c r="AW21" i="1"/>
  <c r="AM21" i="1" s="1"/>
  <c r="AO21" i="1" s="1"/>
  <c r="AQ21" i="1"/>
  <c r="AK21" i="1"/>
  <c r="I20" i="2" s="1"/>
  <c r="AI21" i="1"/>
  <c r="H20" i="2" s="1"/>
  <c r="AH21" i="1"/>
  <c r="G20" i="2" s="1"/>
  <c r="AE21" i="1"/>
  <c r="D20" i="2" s="1"/>
  <c r="Z21" i="1"/>
  <c r="Y21" i="1"/>
  <c r="I21" i="1"/>
  <c r="BC20" i="1"/>
  <c r="BB20" i="1"/>
  <c r="BA20" i="1"/>
  <c r="BE20" i="1" s="1"/>
  <c r="AZ20" i="1"/>
  <c r="AY20" i="1"/>
  <c r="AJ20" i="1" s="1"/>
  <c r="AL20" i="1" s="1"/>
  <c r="J19" i="2" s="1"/>
  <c r="AQ20" i="1"/>
  <c r="AW20" i="1" s="1"/>
  <c r="AK20" i="1"/>
  <c r="I19" i="2" s="1"/>
  <c r="Z20" i="1"/>
  <c r="Y20" i="1"/>
  <c r="I20" i="1"/>
  <c r="AN20" i="1" s="1"/>
  <c r="BC19" i="1"/>
  <c r="BB19" i="1"/>
  <c r="BA19" i="1"/>
  <c r="AZ19" i="1"/>
  <c r="AM19" i="1" s="1"/>
  <c r="AO19" i="1" s="1"/>
  <c r="AY19" i="1"/>
  <c r="AQ19" i="1"/>
  <c r="AW19" i="1" s="1"/>
  <c r="BE19" i="1" s="1"/>
  <c r="AI19" i="1"/>
  <c r="H18" i="2" s="1"/>
  <c r="Z19" i="1"/>
  <c r="Y19" i="1"/>
  <c r="I19" i="1"/>
  <c r="AN19" i="1" s="1"/>
  <c r="BC18" i="1"/>
  <c r="BB18" i="1"/>
  <c r="BA18" i="1"/>
  <c r="AZ18" i="1"/>
  <c r="AY18" i="1"/>
  <c r="AJ18" i="1" s="1"/>
  <c r="AL18" i="1" s="1"/>
  <c r="J17" i="2" s="1"/>
  <c r="AQ18" i="1"/>
  <c r="AW18" i="1" s="1"/>
  <c r="BE18" i="1" s="1"/>
  <c r="Z18" i="1"/>
  <c r="Y18" i="1"/>
  <c r="I18" i="1"/>
  <c r="BC17" i="1"/>
  <c r="BB17" i="1"/>
  <c r="BA17" i="1"/>
  <c r="AZ17" i="1"/>
  <c r="AY17" i="1"/>
  <c r="AQ17" i="1"/>
  <c r="AW17" i="1" s="1"/>
  <c r="AF17" i="1" a="1"/>
  <c r="AF17" i="1" s="1"/>
  <c r="E16" i="2" s="1"/>
  <c r="AD17" i="1"/>
  <c r="C16" i="2" s="1"/>
  <c r="Z17" i="1"/>
  <c r="Y17" i="1"/>
  <c r="I17" i="1"/>
  <c r="AI17" i="1" s="1"/>
  <c r="H16" i="2" s="1"/>
  <c r="BC16" i="1"/>
  <c r="BB16" i="1"/>
  <c r="BA16" i="1"/>
  <c r="AZ16" i="1"/>
  <c r="AY16" i="1"/>
  <c r="AQ16" i="1"/>
  <c r="AW16" i="1" s="1"/>
  <c r="AN16" i="1"/>
  <c r="AK16" i="1"/>
  <c r="I15" i="2" s="1"/>
  <c r="AI16" i="1"/>
  <c r="H15" i="2" s="1"/>
  <c r="AH16" i="1"/>
  <c r="G15" i="2" s="1"/>
  <c r="AG16" i="1"/>
  <c r="F15" i="2" s="1"/>
  <c r="AF16" i="1" a="1"/>
  <c r="AF16" i="1" s="1"/>
  <c r="E15" i="2" s="1"/>
  <c r="AE16" i="1"/>
  <c r="D15" i="2" s="1"/>
  <c r="AD16" i="1"/>
  <c r="C15" i="2" s="1"/>
  <c r="Z16" i="1"/>
  <c r="Y16" i="1"/>
  <c r="I16" i="1"/>
  <c r="BC15" i="1"/>
  <c r="BB15" i="1"/>
  <c r="BA15" i="1"/>
  <c r="AZ15" i="1"/>
  <c r="BE15" i="1" s="1"/>
  <c r="AY15" i="1"/>
  <c r="AW15" i="1"/>
  <c r="AM15" i="1" s="1"/>
  <c r="AO15" i="1" s="1"/>
  <c r="AQ15" i="1"/>
  <c r="AN15" i="1"/>
  <c r="AJ15" i="1"/>
  <c r="AL15" i="1" s="1"/>
  <c r="J14" i="2" s="1"/>
  <c r="AE15" i="1"/>
  <c r="D14" i="2" s="1"/>
  <c r="Z15" i="1"/>
  <c r="Y15" i="1"/>
  <c r="I15" i="1"/>
  <c r="BC14" i="1"/>
  <c r="BB14" i="1"/>
  <c r="BA14" i="1"/>
  <c r="AZ14" i="1"/>
  <c r="AY14" i="1"/>
  <c r="AJ14" i="1" s="1"/>
  <c r="AL14" i="1" s="1"/>
  <c r="J13" i="2" s="1"/>
  <c r="AQ14" i="1"/>
  <c r="AW14" i="1" s="1"/>
  <c r="AN14" i="1"/>
  <c r="AI14" i="1"/>
  <c r="H13" i="2" s="1"/>
  <c r="AH14" i="1"/>
  <c r="G13" i="2" s="1"/>
  <c r="AF14" i="1" a="1"/>
  <c r="AF14" i="1" s="1"/>
  <c r="E13" i="2" s="1"/>
  <c r="Z14" i="1"/>
  <c r="Y14" i="1"/>
  <c r="I14" i="1"/>
  <c r="BC13" i="1"/>
  <c r="BB13" i="1"/>
  <c r="BA13" i="1"/>
  <c r="AZ13" i="1"/>
  <c r="AY13" i="1"/>
  <c r="AW13" i="1"/>
  <c r="AM13" i="1" s="1"/>
  <c r="AO13" i="1" s="1"/>
  <c r="AQ13" i="1"/>
  <c r="Z13" i="1"/>
  <c r="Y13" i="1"/>
  <c r="I13" i="1"/>
  <c r="BC12" i="1"/>
  <c r="BB12" i="1"/>
  <c r="BA12" i="1"/>
  <c r="AZ12" i="1"/>
  <c r="AY12" i="1"/>
  <c r="AJ12" i="1" s="1"/>
  <c r="AL12" i="1" s="1"/>
  <c r="J11" i="2" s="1"/>
  <c r="AQ12" i="1"/>
  <c r="AW12" i="1" s="1"/>
  <c r="AM12" i="1"/>
  <c r="AO12" i="1" s="1"/>
  <c r="AD12" i="1"/>
  <c r="C11" i="2" s="1"/>
  <c r="Z12" i="1"/>
  <c r="Y12" i="1"/>
  <c r="I12" i="1"/>
  <c r="AF12" i="1" s="1" a="1"/>
  <c r="AF12" i="1" s="1"/>
  <c r="E11" i="2" s="1"/>
  <c r="BC11" i="1"/>
  <c r="BB11" i="1"/>
  <c r="BA11" i="1"/>
  <c r="AZ11" i="1"/>
  <c r="AY11" i="1"/>
  <c r="AQ11" i="1"/>
  <c r="AW11" i="1" s="1"/>
  <c r="AN11" i="1"/>
  <c r="AK11" i="1"/>
  <c r="I10" i="2" s="1"/>
  <c r="AI11" i="1"/>
  <c r="H10" i="2" s="1"/>
  <c r="AH11" i="1"/>
  <c r="G10" i="2" s="1"/>
  <c r="AG11" i="1"/>
  <c r="F10" i="2" s="1"/>
  <c r="AD11" i="1"/>
  <c r="C10" i="2" s="1"/>
  <c r="Z11" i="1"/>
  <c r="Y11" i="1"/>
  <c r="I11" i="1"/>
  <c r="AE11" i="1" s="1"/>
  <c r="D10" i="2" s="1"/>
  <c r="BC10" i="1"/>
  <c r="BB10" i="1"/>
  <c r="BA10" i="1"/>
  <c r="AZ10" i="1"/>
  <c r="AY10" i="1"/>
  <c r="AJ10" i="1" s="1"/>
  <c r="AL10" i="1" s="1"/>
  <c r="J9" i="2" s="1"/>
  <c r="AQ10" i="1"/>
  <c r="AW10" i="1" s="1"/>
  <c r="AK10" i="1"/>
  <c r="I9" i="2" s="1"/>
  <c r="AI10" i="1"/>
  <c r="H9" i="2" s="1"/>
  <c r="AH10" i="1"/>
  <c r="G9" i="2" s="1"/>
  <c r="AF10" i="1" a="1"/>
  <c r="AF10" i="1" s="1"/>
  <c r="E9" i="2" s="1"/>
  <c r="AE10" i="1"/>
  <c r="D9" i="2" s="1"/>
  <c r="AD10" i="1"/>
  <c r="C9" i="2" s="1"/>
  <c r="Z10" i="1"/>
  <c r="Y10" i="1"/>
  <c r="I10" i="1"/>
  <c r="AG10" i="1" s="1"/>
  <c r="F9" i="2" s="1"/>
  <c r="BC9" i="1"/>
  <c r="BB9" i="1"/>
  <c r="BA9" i="1"/>
  <c r="AZ9" i="1"/>
  <c r="AY9" i="1"/>
  <c r="AW9" i="1"/>
  <c r="BE9" i="1" s="1"/>
  <c r="AQ9" i="1"/>
  <c r="AH9" i="1"/>
  <c r="G8" i="2" s="1"/>
  <c r="AD9" i="1"/>
  <c r="C8" i="2" s="1"/>
  <c r="Z9" i="1"/>
  <c r="Y9" i="1"/>
  <c r="I9" i="1"/>
  <c r="AG9" i="1" s="1"/>
  <c r="F8" i="2" s="1"/>
  <c r="BC8" i="1"/>
  <c r="BB8" i="1"/>
  <c r="BA8" i="1"/>
  <c r="AZ8" i="1"/>
  <c r="AY8" i="1"/>
  <c r="AJ8" i="1" s="1"/>
  <c r="AL8" i="1" s="1"/>
  <c r="J7" i="2" s="1"/>
  <c r="AQ8" i="1"/>
  <c r="AW8" i="1" s="1"/>
  <c r="AM8" i="1" s="1"/>
  <c r="AO8" i="1" s="1"/>
  <c r="AK8" i="1"/>
  <c r="I7" i="2" s="1"/>
  <c r="AG8" i="1"/>
  <c r="F7" i="2" s="1"/>
  <c r="AD8" i="1"/>
  <c r="C7" i="2" s="1"/>
  <c r="Z8" i="1"/>
  <c r="Y8" i="1"/>
  <c r="I8" i="1"/>
  <c r="AI8" i="1" s="1"/>
  <c r="H7" i="2" s="1"/>
  <c r="BC7" i="1"/>
  <c r="BB7" i="1"/>
  <c r="BA7" i="1"/>
  <c r="AZ7" i="1"/>
  <c r="AY7" i="1"/>
  <c r="AJ7" i="1" s="1"/>
  <c r="AL7" i="1" s="1"/>
  <c r="J6" i="2" s="1"/>
  <c r="AW7" i="1"/>
  <c r="AM7" i="1" s="1"/>
  <c r="AO7" i="1" s="1"/>
  <c r="AQ7" i="1"/>
  <c r="AK7" i="1"/>
  <c r="I6" i="2" s="1"/>
  <c r="AH7" i="1"/>
  <c r="G6" i="2" s="1"/>
  <c r="AG7" i="1"/>
  <c r="F6" i="2" s="1"/>
  <c r="AD7" i="1"/>
  <c r="C6" i="2" s="1"/>
  <c r="Z7" i="1"/>
  <c r="Y7" i="1"/>
  <c r="I7" i="1"/>
  <c r="AE7" i="1" s="1"/>
  <c r="D6" i="2" s="1"/>
  <c r="BC6" i="1"/>
  <c r="BB6" i="1"/>
  <c r="BA6" i="1"/>
  <c r="AZ6" i="1"/>
  <c r="AY6" i="1"/>
  <c r="AJ6" i="1" s="1"/>
  <c r="AL6" i="1" s="1"/>
  <c r="J5" i="2" s="1"/>
  <c r="AW6" i="1"/>
  <c r="BE6" i="1" s="1"/>
  <c r="AQ6" i="1"/>
  <c r="AK6" i="1"/>
  <c r="I5" i="2" s="1"/>
  <c r="AH6" i="1"/>
  <c r="G5" i="2" s="1"/>
  <c r="AF6" i="1" a="1"/>
  <c r="AF6" i="1" s="1"/>
  <c r="E5" i="2" s="1"/>
  <c r="AD6" i="1"/>
  <c r="C5" i="2" s="1"/>
  <c r="Z6" i="1"/>
  <c r="Y6" i="1"/>
  <c r="I6" i="1"/>
  <c r="AG6" i="1" s="1"/>
  <c r="F5" i="2" s="1"/>
  <c r="BC5" i="1"/>
  <c r="BB5" i="1"/>
  <c r="BA5" i="1"/>
  <c r="AZ5" i="1"/>
  <c r="AY5" i="1"/>
  <c r="AW5" i="1"/>
  <c r="BE5" i="1" s="1"/>
  <c r="AQ5" i="1"/>
  <c r="AN5" i="1"/>
  <c r="AM5" i="1"/>
  <c r="AO5" i="1" s="1"/>
  <c r="AI5" i="1"/>
  <c r="H4" i="2" s="1"/>
  <c r="AH5" i="1"/>
  <c r="G4" i="2" s="1"/>
  <c r="AG5" i="1"/>
  <c r="F4" i="2" s="1"/>
  <c r="AE5" i="1"/>
  <c r="D4" i="2" s="1"/>
  <c r="Z5" i="1"/>
  <c r="Y5" i="1"/>
  <c r="I5" i="1"/>
  <c r="AF5" i="1" s="1" a="1"/>
  <c r="AF5" i="1" s="1"/>
  <c r="E4" i="2" s="1"/>
  <c r="BC4" i="1"/>
  <c r="BB4" i="1"/>
  <c r="BA4" i="1"/>
  <c r="AZ4" i="1"/>
  <c r="AJ4" i="1" s="1"/>
  <c r="AL4" i="1" s="1"/>
  <c r="J3" i="2" s="1"/>
  <c r="AY4" i="1"/>
  <c r="BE4" i="1" s="1"/>
  <c r="AW4" i="1"/>
  <c r="AM4" i="1" s="1"/>
  <c r="AO4" i="1" s="1"/>
  <c r="AQ4" i="1"/>
  <c r="AN4" i="1"/>
  <c r="AK4" i="1"/>
  <c r="I3" i="2" s="1"/>
  <c r="AI4" i="1"/>
  <c r="H3" i="2" s="1"/>
  <c r="AH4" i="1"/>
  <c r="G3" i="2" s="1"/>
  <c r="AG4" i="1"/>
  <c r="F3" i="2" s="1"/>
  <c r="AF4" i="1" a="1"/>
  <c r="AF4" i="1" s="1"/>
  <c r="E3" i="2" s="1"/>
  <c r="AE4" i="1"/>
  <c r="D3" i="2" s="1"/>
  <c r="AD4" i="1"/>
  <c r="C3" i="2" s="1"/>
  <c r="Z4" i="1"/>
  <c r="Y4" i="1"/>
  <c r="I4" i="1"/>
  <c r="BE61" i="1" l="1"/>
  <c r="AM61" i="1"/>
  <c r="AO61" i="1" s="1"/>
  <c r="AJ61" i="1"/>
  <c r="AL61" i="1" s="1"/>
  <c r="J60" i="2" s="1"/>
  <c r="J67" i="2"/>
  <c r="J71" i="2"/>
  <c r="AA72" i="1"/>
  <c r="BE11" i="1"/>
  <c r="AM11" i="1"/>
  <c r="AO11" i="1" s="1"/>
  <c r="AB11" i="1" s="1"/>
  <c r="K10" i="2" s="1"/>
  <c r="AJ11" i="1"/>
  <c r="AL11" i="1" s="1"/>
  <c r="AM16" i="1"/>
  <c r="AO16" i="1" s="1"/>
  <c r="BE16" i="1"/>
  <c r="AM27" i="1"/>
  <c r="AO27" i="1" s="1"/>
  <c r="AB27" i="1" s="1"/>
  <c r="K26" i="2" s="1"/>
  <c r="BE27" i="1"/>
  <c r="J41" i="2"/>
  <c r="AA42" i="1"/>
  <c r="BE10" i="1"/>
  <c r="AM10" i="1"/>
  <c r="AO10" i="1" s="1"/>
  <c r="BE38" i="1"/>
  <c r="AM38" i="1"/>
  <c r="AO38" i="1" s="1"/>
  <c r="BE46" i="1"/>
  <c r="AM46" i="1"/>
  <c r="AO46" i="1" s="1"/>
  <c r="BE17" i="1"/>
  <c r="AM17" i="1"/>
  <c r="AO17" i="1" s="1"/>
  <c r="AM14" i="1"/>
  <c r="AO14" i="1" s="1"/>
  <c r="BE14" i="1"/>
  <c r="AJ46" i="1"/>
  <c r="AL46" i="1" s="1"/>
  <c r="J45" i="2" s="1"/>
  <c r="AB48" i="1"/>
  <c r="K47" i="2" s="1"/>
  <c r="AB4" i="1"/>
  <c r="K3" i="2" s="1"/>
  <c r="BE22" i="1"/>
  <c r="AM22" i="1"/>
  <c r="AO22" i="1" s="1"/>
  <c r="AM24" i="1"/>
  <c r="AO24" i="1" s="1"/>
  <c r="AB24" i="1" s="1"/>
  <c r="K23" i="2" s="1"/>
  <c r="BE24" i="1"/>
  <c r="AJ24" i="1"/>
  <c r="AL24" i="1" s="1"/>
  <c r="J23" i="2" s="1"/>
  <c r="J33" i="2"/>
  <c r="AN13" i="1"/>
  <c r="AF13" i="1" a="1"/>
  <c r="AF13" i="1" s="1"/>
  <c r="E12" i="2" s="1"/>
  <c r="AE13" i="1"/>
  <c r="D12" i="2" s="1"/>
  <c r="AM9" i="1"/>
  <c r="AO9" i="1" s="1"/>
  <c r="AG17" i="1"/>
  <c r="F16" i="2" s="1"/>
  <c r="AJ19" i="1"/>
  <c r="AL19" i="1" s="1"/>
  <c r="J18" i="2" s="1"/>
  <c r="AN6" i="1"/>
  <c r="AF7" i="1" a="1"/>
  <c r="AF7" i="1" s="1"/>
  <c r="E6" i="2" s="1"/>
  <c r="BE7" i="1"/>
  <c r="AN8" i="1"/>
  <c r="BE8" i="1"/>
  <c r="AK12" i="1"/>
  <c r="AD13" i="1"/>
  <c r="C12" i="2" s="1"/>
  <c r="BE13" i="1"/>
  <c r="AH15" i="1"/>
  <c r="G14" i="2" s="1"/>
  <c r="AD15" i="1"/>
  <c r="C14" i="2" s="1"/>
  <c r="AG15" i="1"/>
  <c r="F14" i="2" s="1"/>
  <c r="AJ16" i="1"/>
  <c r="AL16" i="1" s="1"/>
  <c r="AK17" i="1"/>
  <c r="AJ17" i="1"/>
  <c r="AL17" i="1" s="1"/>
  <c r="J16" i="2" s="1"/>
  <c r="AE20" i="1"/>
  <c r="D19" i="2" s="1"/>
  <c r="BE21" i="1"/>
  <c r="AI25" i="1"/>
  <c r="H24" i="2" s="1"/>
  <c r="AJ25" i="1"/>
  <c r="AL25" i="1" s="1"/>
  <c r="J24" i="2" s="1"/>
  <c r="AK26" i="1"/>
  <c r="AN29" i="1"/>
  <c r="AF29" i="1" a="1"/>
  <c r="AF29" i="1" s="1"/>
  <c r="E28" i="2" s="1"/>
  <c r="AI29" i="1"/>
  <c r="H28" i="2" s="1"/>
  <c r="AG29" i="1"/>
  <c r="F28" i="2" s="1"/>
  <c r="AM31" i="1"/>
  <c r="AO31" i="1" s="1"/>
  <c r="AN33" i="1"/>
  <c r="AI33" i="1"/>
  <c r="H32" i="2" s="1"/>
  <c r="AH33" i="1"/>
  <c r="G32" i="2" s="1"/>
  <c r="AJ33" i="1"/>
  <c r="AL33" i="1" s="1"/>
  <c r="J32" i="2" s="1"/>
  <c r="AK36" i="1"/>
  <c r="BE37" i="1"/>
  <c r="AJ38" i="1"/>
  <c r="AL38" i="1" s="1"/>
  <c r="J37" i="2" s="1"/>
  <c r="BE40" i="1"/>
  <c r="AI44" i="1"/>
  <c r="H43" i="2" s="1"/>
  <c r="AG44" i="1"/>
  <c r="F43" i="2" s="1"/>
  <c r="AH44" i="1"/>
  <c r="G43" i="2" s="1"/>
  <c r="AM44" i="1"/>
  <c r="AO44" i="1" s="1"/>
  <c r="AD44" i="1"/>
  <c r="C43" i="2" s="1"/>
  <c r="AJ44" i="1"/>
  <c r="AL44" i="1" s="1"/>
  <c r="J43" i="2" s="1"/>
  <c r="I46" i="2"/>
  <c r="BE48" i="1"/>
  <c r="BE50" i="1"/>
  <c r="AN51" i="1"/>
  <c r="BE53" i="1"/>
  <c r="AM53" i="1"/>
  <c r="AO53" i="1" s="1"/>
  <c r="BE54" i="1"/>
  <c r="AJ56" i="1"/>
  <c r="AL56" i="1" s="1"/>
  <c r="J55" i="2" s="1"/>
  <c r="BE57" i="1"/>
  <c r="AJ95" i="1"/>
  <c r="AL95" i="1" s="1"/>
  <c r="BE95" i="1"/>
  <c r="AG12" i="1"/>
  <c r="F11" i="2" s="1"/>
  <c r="AJ13" i="1"/>
  <c r="AL13" i="1" s="1"/>
  <c r="J12" i="2" s="1"/>
  <c r="AG18" i="1"/>
  <c r="F17" i="2" s="1"/>
  <c r="AH18" i="1"/>
  <c r="G17" i="2" s="1"/>
  <c r="AF8" i="1" a="1"/>
  <c r="AF8" i="1" s="1"/>
  <c r="E7" i="2" s="1"/>
  <c r="AF9" i="1" a="1"/>
  <c r="AF9" i="1" s="1"/>
  <c r="E8" i="2" s="1"/>
  <c r="AK14" i="1"/>
  <c r="AD14" i="1"/>
  <c r="C13" i="2" s="1"/>
  <c r="AE14" i="1"/>
  <c r="D13" i="2" s="1"/>
  <c r="AG14" i="1"/>
  <c r="F13" i="2" s="1"/>
  <c r="AI15" i="1"/>
  <c r="H14" i="2" s="1"/>
  <c r="AK18" i="1"/>
  <c r="AD19" i="1"/>
  <c r="C18" i="2" s="1"/>
  <c r="AN21" i="1"/>
  <c r="AF21" i="1" a="1"/>
  <c r="AF21" i="1" s="1"/>
  <c r="E20" i="2" s="1"/>
  <c r="AG21" i="1"/>
  <c r="F20" i="2" s="1"/>
  <c r="AK25" i="1"/>
  <c r="AF28" i="1" a="1"/>
  <c r="AF28" i="1" s="1"/>
  <c r="E27" i="2" s="1"/>
  <c r="AH29" i="1"/>
  <c r="G28" i="2" s="1"/>
  <c r="AN31" i="1"/>
  <c r="AK33" i="1"/>
  <c r="AE35" i="1"/>
  <c r="D34" i="2" s="1"/>
  <c r="AD35" i="1"/>
  <c r="C34" i="2" s="1"/>
  <c r="AH35" i="1"/>
  <c r="G34" i="2" s="1"/>
  <c r="AG35" i="1"/>
  <c r="F34" i="2" s="1"/>
  <c r="AM36" i="1"/>
  <c r="AO36" i="1" s="1"/>
  <c r="AD39" i="1"/>
  <c r="C38" i="2" s="1"/>
  <c r="AG41" i="1"/>
  <c r="F40" i="2" s="1"/>
  <c r="AD41" i="1"/>
  <c r="C40" i="2" s="1"/>
  <c r="AH41" i="1"/>
  <c r="G40" i="2" s="1"/>
  <c r="AK44" i="1"/>
  <c r="AM47" i="1"/>
  <c r="AO47" i="1" s="1"/>
  <c r="AD49" i="1"/>
  <c r="C48" i="2" s="1"/>
  <c r="AN49" i="1"/>
  <c r="AE49" i="1"/>
  <c r="D48" i="2" s="1"/>
  <c r="AH49" i="1"/>
  <c r="G48" i="2" s="1"/>
  <c r="AI49" i="1"/>
  <c r="H48" i="2" s="1"/>
  <c r="AD50" i="1"/>
  <c r="C49" i="2" s="1"/>
  <c r="BE51" i="1"/>
  <c r="AM52" i="1"/>
  <c r="AO52" i="1" s="1"/>
  <c r="I55" i="2"/>
  <c r="AA56" i="1"/>
  <c r="AC56" i="1" s="1"/>
  <c r="AJ59" i="1"/>
  <c r="AL59" i="1" s="1"/>
  <c r="AJ60" i="1"/>
  <c r="AL60" i="1" s="1"/>
  <c r="J59" i="2" s="1"/>
  <c r="BE62" i="1"/>
  <c r="BE63" i="1"/>
  <c r="AJ65" i="1"/>
  <c r="AL65" i="1" s="1"/>
  <c r="J64" i="2" s="1"/>
  <c r="AH71" i="1"/>
  <c r="G70" i="2" s="1"/>
  <c r="AN71" i="1"/>
  <c r="AF71" i="1" a="1"/>
  <c r="AF71" i="1" s="1"/>
  <c r="E70" i="2" s="1"/>
  <c r="AE71" i="1"/>
  <c r="D70" i="2" s="1"/>
  <c r="AK71" i="1"/>
  <c r="AG71" i="1"/>
  <c r="F70" i="2" s="1"/>
  <c r="AM86" i="1"/>
  <c r="AO86" i="1" s="1"/>
  <c r="AB86" i="1" s="1"/>
  <c r="AC86" i="1" s="1"/>
  <c r="BE86" i="1"/>
  <c r="AN91" i="1"/>
  <c r="AF91" i="1" a="1"/>
  <c r="AF91" i="1" s="1"/>
  <c r="AK91" i="1"/>
  <c r="AI91" i="1"/>
  <c r="AE91" i="1"/>
  <c r="AH91" i="1"/>
  <c r="AG91" i="1"/>
  <c r="AD91" i="1"/>
  <c r="AM200" i="1"/>
  <c r="AO200" i="1" s="1"/>
  <c r="AJ200" i="1"/>
  <c r="AL200" i="1" s="1"/>
  <c r="BE200" i="1"/>
  <c r="AM45" i="1"/>
  <c r="AO45" i="1" s="1"/>
  <c r="BE66" i="1"/>
  <c r="AM66" i="1"/>
  <c r="AO66" i="1" s="1"/>
  <c r="AB66" i="1" s="1"/>
  <c r="K65" i="2" s="1"/>
  <c r="BE69" i="1"/>
  <c r="BE71" i="1"/>
  <c r="I72" i="2"/>
  <c r="AM80" i="1"/>
  <c r="AO80" i="1" s="1"/>
  <c r="I22" i="2"/>
  <c r="AK5" i="1"/>
  <c r="AH8" i="1"/>
  <c r="G7" i="2" s="1"/>
  <c r="AI9" i="1"/>
  <c r="H8" i="2" s="1"/>
  <c r="AE12" i="1"/>
  <c r="D11" i="2" s="1"/>
  <c r="AK15" i="1"/>
  <c r="AE17" i="1"/>
  <c r="D16" i="2" s="1"/>
  <c r="AD18" i="1"/>
  <c r="C17" i="2" s="1"/>
  <c r="AM18" i="1"/>
  <c r="AO18" i="1" s="1"/>
  <c r="AE19" i="1"/>
  <c r="D18" i="2" s="1"/>
  <c r="AH19" i="1"/>
  <c r="G18" i="2" s="1"/>
  <c r="AF19" i="1" a="1"/>
  <c r="AF19" i="1" s="1"/>
  <c r="E18" i="2" s="1"/>
  <c r="AE25" i="1"/>
  <c r="D24" i="2" s="1"/>
  <c r="AN25" i="1"/>
  <c r="AE26" i="1"/>
  <c r="D25" i="2" s="1"/>
  <c r="AN26" i="1"/>
  <c r="AG27" i="1"/>
  <c r="F26" i="2" s="1"/>
  <c r="AH28" i="1"/>
  <c r="G27" i="2" s="1"/>
  <c r="AK29" i="1"/>
  <c r="AJ32" i="1"/>
  <c r="AL32" i="1" s="1"/>
  <c r="AM33" i="1"/>
  <c r="AO33" i="1" s="1"/>
  <c r="BE34" i="1"/>
  <c r="AJ35" i="1"/>
  <c r="AL35" i="1" s="1"/>
  <c r="AE36" i="1"/>
  <c r="D35" i="2" s="1"/>
  <c r="AN37" i="1"/>
  <c r="AF37" i="1" a="1"/>
  <c r="AF37" i="1" s="1"/>
  <c r="E36" i="2" s="1"/>
  <c r="AK37" i="1"/>
  <c r="AG37" i="1"/>
  <c r="F36" i="2" s="1"/>
  <c r="AH37" i="1"/>
  <c r="G36" i="2" s="1"/>
  <c r="AF39" i="1" a="1"/>
  <c r="AF39" i="1" s="1"/>
  <c r="E38" i="2" s="1"/>
  <c r="AN44" i="1"/>
  <c r="AM49" i="1"/>
  <c r="AO49" i="1" s="1"/>
  <c r="AF50" i="1" a="1"/>
  <c r="AF50" i="1" s="1"/>
  <c r="E49" i="2" s="1"/>
  <c r="AD51" i="1"/>
  <c r="C50" i="2" s="1"/>
  <c r="AJ53" i="1"/>
  <c r="AL53" i="1" s="1"/>
  <c r="AF54" i="1" a="1"/>
  <c r="AF54" i="1" s="1"/>
  <c r="E53" i="2" s="1"/>
  <c r="I54" i="2"/>
  <c r="AF57" i="1" a="1"/>
  <c r="AF57" i="1" s="1"/>
  <c r="E56" i="2" s="1"/>
  <c r="AM58" i="1"/>
  <c r="AO58" i="1" s="1"/>
  <c r="AD61" i="1"/>
  <c r="C60" i="2" s="1"/>
  <c r="AE62" i="1"/>
  <c r="D61" i="2" s="1"/>
  <c r="AE63" i="1"/>
  <c r="D62" i="2" s="1"/>
  <c r="AJ66" i="1"/>
  <c r="AL66" i="1" s="1"/>
  <c r="J65" i="2" s="1"/>
  <c r="AK70" i="1"/>
  <c r="AD70" i="1"/>
  <c r="C69" i="2" s="1"/>
  <c r="AI70" i="1"/>
  <c r="H69" i="2" s="1"/>
  <c r="AF70" i="1" a="1"/>
  <c r="AF70" i="1" s="1"/>
  <c r="E69" i="2" s="1"/>
  <c r="AN70" i="1"/>
  <c r="AG70" i="1"/>
  <c r="F69" i="2" s="1"/>
  <c r="AJ71" i="1"/>
  <c r="AL71" i="1" s="1"/>
  <c r="J70" i="2" s="1"/>
  <c r="AM77" i="1"/>
  <c r="AO77" i="1" s="1"/>
  <c r="BE77" i="1"/>
  <c r="AI20" i="1"/>
  <c r="H19" i="2" s="1"/>
  <c r="AG20" i="1"/>
  <c r="F19" i="2" s="1"/>
  <c r="AF20" i="1" a="1"/>
  <c r="AF20" i="1" s="1"/>
  <c r="E19" i="2" s="1"/>
  <c r="AM26" i="1"/>
  <c r="AO26" i="1" s="1"/>
  <c r="AG28" i="1"/>
  <c r="F27" i="2" s="1"/>
  <c r="AJ28" i="1"/>
  <c r="AL28" i="1" s="1"/>
  <c r="J27" i="2" s="1"/>
  <c r="AJ30" i="1"/>
  <c r="AL30" i="1" s="1"/>
  <c r="J29" i="2" s="1"/>
  <c r="AM32" i="1"/>
  <c r="AO32" i="1" s="1"/>
  <c r="AB32" i="1" s="1"/>
  <c r="K31" i="2" s="1"/>
  <c r="BE32" i="1"/>
  <c r="AN36" i="1"/>
  <c r="AJ5" i="1"/>
  <c r="AL5" i="1" s="1"/>
  <c r="J4" i="2" s="1"/>
  <c r="AI6" i="1"/>
  <c r="H5" i="2" s="1"/>
  <c r="AA7" i="1"/>
  <c r="AI7" i="1"/>
  <c r="H6" i="2" s="1"/>
  <c r="AH13" i="1"/>
  <c r="G12" i="2" s="1"/>
  <c r="AN17" i="1"/>
  <c r="AH20" i="1"/>
  <c r="G19" i="2" s="1"/>
  <c r="AD5" i="1"/>
  <c r="C4" i="2" s="1"/>
  <c r="AK9" i="1"/>
  <c r="AJ9" i="1"/>
  <c r="AL9" i="1" s="1"/>
  <c r="J8" i="2" s="1"/>
  <c r="AA10" i="1"/>
  <c r="BE12" i="1"/>
  <c r="AI13" i="1"/>
  <c r="H12" i="2" s="1"/>
  <c r="AB16" i="1"/>
  <c r="K15" i="2" s="1"/>
  <c r="AE18" i="1"/>
  <c r="D17" i="2" s="1"/>
  <c r="AN18" i="1"/>
  <c r="AG19" i="1"/>
  <c r="F18" i="2" s="1"/>
  <c r="AA21" i="1"/>
  <c r="AH27" i="1"/>
  <c r="G26" i="2" s="1"/>
  <c r="AJ27" i="1"/>
  <c r="AL27" i="1" s="1"/>
  <c r="AK28" i="1"/>
  <c r="BE30" i="1"/>
  <c r="AD33" i="1"/>
  <c r="C32" i="2" s="1"/>
  <c r="AI37" i="1"/>
  <c r="H36" i="2" s="1"/>
  <c r="AA41" i="1"/>
  <c r="AJ43" i="1"/>
  <c r="AL43" i="1" s="1"/>
  <c r="AN45" i="1"/>
  <c r="AF45" i="1" a="1"/>
  <c r="AF45" i="1" s="1"/>
  <c r="E44" i="2" s="1"/>
  <c r="AG45" i="1"/>
  <c r="F44" i="2" s="1"/>
  <c r="AI45" i="1"/>
  <c r="H44" i="2" s="1"/>
  <c r="AD45" i="1"/>
  <c r="C44" i="2" s="1"/>
  <c r="AH45" i="1"/>
  <c r="G44" i="2" s="1"/>
  <c r="AG51" i="1"/>
  <c r="F50" i="2" s="1"/>
  <c r="AD52" i="1"/>
  <c r="C51" i="2" s="1"/>
  <c r="BE56" i="1"/>
  <c r="AM59" i="1"/>
  <c r="AO59" i="1" s="1"/>
  <c r="AG61" i="1"/>
  <c r="F60" i="2" s="1"/>
  <c r="AG80" i="1"/>
  <c r="AH80" i="1"/>
  <c r="AE80" i="1"/>
  <c r="AD80" i="1"/>
  <c r="AK80" i="1"/>
  <c r="AN80" i="1"/>
  <c r="AF80" i="1" a="1"/>
  <c r="AF80" i="1" s="1"/>
  <c r="AE89" i="1"/>
  <c r="AD89" i="1"/>
  <c r="AF89" i="1" a="1"/>
  <c r="AF89" i="1" s="1"/>
  <c r="AN89" i="1"/>
  <c r="AK89" i="1"/>
  <c r="AI89" i="1"/>
  <c r="AH89" i="1"/>
  <c r="AF25" i="1" a="1"/>
  <c r="AF25" i="1" s="1"/>
  <c r="E24" i="2" s="1"/>
  <c r="AF26" i="1" a="1"/>
  <c r="AF26" i="1" s="1"/>
  <c r="E25" i="2" s="1"/>
  <c r="BE26" i="1"/>
  <c r="AH31" i="1"/>
  <c r="G30" i="2" s="1"/>
  <c r="AG31" i="1"/>
  <c r="F30" i="2" s="1"/>
  <c r="AD31" i="1"/>
  <c r="C30" i="2" s="1"/>
  <c r="AI31" i="1"/>
  <c r="H30" i="2" s="1"/>
  <c r="AE33" i="1"/>
  <c r="D32" i="2" s="1"/>
  <c r="AG34" i="1"/>
  <c r="F33" i="2" s="1"/>
  <c r="AD34" i="1"/>
  <c r="C33" i="2" s="1"/>
  <c r="AH34" i="1"/>
  <c r="G33" i="2" s="1"/>
  <c r="AF34" i="1" a="1"/>
  <c r="AF34" i="1" s="1"/>
  <c r="E33" i="2" s="1"/>
  <c r="AH39" i="1"/>
  <c r="G38" i="2" s="1"/>
  <c r="AN39" i="1"/>
  <c r="AI39" i="1"/>
  <c r="H38" i="2" s="1"/>
  <c r="AJ39" i="1"/>
  <c r="AL39" i="1" s="1"/>
  <c r="J38" i="2" s="1"/>
  <c r="AA40" i="1"/>
  <c r="AC40" i="1" s="1"/>
  <c r="BE42" i="1"/>
  <c r="AE44" i="1"/>
  <c r="D43" i="2" s="1"/>
  <c r="AG50" i="1"/>
  <c r="F49" i="2" s="1"/>
  <c r="AI50" i="1"/>
  <c r="H49" i="2" s="1"/>
  <c r="AK50" i="1"/>
  <c r="AK54" i="1"/>
  <c r="AD54" i="1"/>
  <c r="C53" i="2" s="1"/>
  <c r="AG54" i="1"/>
  <c r="F53" i="2" s="1"/>
  <c r="AH54" i="1"/>
  <c r="G53" i="2" s="1"/>
  <c r="AE57" i="1"/>
  <c r="D56" i="2" s="1"/>
  <c r="AI57" i="1"/>
  <c r="H56" i="2" s="1"/>
  <c r="AK57" i="1"/>
  <c r="AH57" i="1"/>
  <c r="G56" i="2" s="1"/>
  <c r="AM64" i="1"/>
  <c r="AO64" i="1" s="1"/>
  <c r="AB64" i="1" s="1"/>
  <c r="K63" i="2" s="1"/>
  <c r="BE65" i="1"/>
  <c r="AJ69" i="1"/>
  <c r="AL69" i="1" s="1"/>
  <c r="J68" i="2" s="1"/>
  <c r="AJ85" i="1"/>
  <c r="AL85" i="1" s="1"/>
  <c r="AA110" i="1"/>
  <c r="AI12" i="1"/>
  <c r="H11" i="2" s="1"/>
  <c r="AN12" i="1"/>
  <c r="AH12" i="1"/>
  <c r="G11" i="2" s="1"/>
  <c r="AE51" i="1"/>
  <c r="D50" i="2" s="1"/>
  <c r="AI51" i="1"/>
  <c r="H50" i="2" s="1"/>
  <c r="AK51" i="1"/>
  <c r="AF51" i="1" a="1"/>
  <c r="AF51" i="1" s="1"/>
  <c r="E50" i="2" s="1"/>
  <c r="AJ51" i="1"/>
  <c r="AL51" i="1" s="1"/>
  <c r="J50" i="2" s="1"/>
  <c r="AN61" i="1"/>
  <c r="AF61" i="1" a="1"/>
  <c r="AF61" i="1" s="1"/>
  <c r="E60" i="2" s="1"/>
  <c r="AE61" i="1"/>
  <c r="D60" i="2" s="1"/>
  <c r="AH61" i="1"/>
  <c r="G60" i="2" s="1"/>
  <c r="AK61" i="1"/>
  <c r="J63" i="2"/>
  <c r="AA64" i="1"/>
  <c r="AC64" i="1" s="1"/>
  <c r="AM72" i="1"/>
  <c r="AO72" i="1" s="1"/>
  <c r="AB72" i="1" s="1"/>
  <c r="K71" i="2" s="1"/>
  <c r="BE72" i="1"/>
  <c r="BE75" i="1"/>
  <c r="AM75" i="1"/>
  <c r="AO75" i="1" s="1"/>
  <c r="AG120" i="1"/>
  <c r="AD120" i="1"/>
  <c r="AE120" i="1"/>
  <c r="AI120" i="1"/>
  <c r="AN120" i="1"/>
  <c r="AF120" i="1" a="1"/>
  <c r="AF120" i="1" s="1"/>
  <c r="AK120" i="1"/>
  <c r="AH120" i="1"/>
  <c r="AG13" i="1"/>
  <c r="F12" i="2" s="1"/>
  <c r="AK13" i="1"/>
  <c r="AF18" i="1" a="1"/>
  <c r="AF18" i="1" s="1"/>
  <c r="E17" i="2" s="1"/>
  <c r="AG25" i="1"/>
  <c r="F24" i="2" s="1"/>
  <c r="AI36" i="1"/>
  <c r="H35" i="2" s="1"/>
  <c r="AD36" i="1"/>
  <c r="C35" i="2" s="1"/>
  <c r="AG36" i="1"/>
  <c r="F35" i="2" s="1"/>
  <c r="AH36" i="1"/>
  <c r="G35" i="2" s="1"/>
  <c r="I38" i="2"/>
  <c r="AC48" i="1"/>
  <c r="AA4" i="1"/>
  <c r="AC4" i="1" s="1"/>
  <c r="AE6" i="1"/>
  <c r="D5" i="2" s="1"/>
  <c r="AM6" i="1"/>
  <c r="AO6" i="1" s="1"/>
  <c r="AN7" i="1"/>
  <c r="AB7" i="1" s="1"/>
  <c r="K6" i="2" s="1"/>
  <c r="AE8" i="1"/>
  <c r="D7" i="2" s="1"/>
  <c r="AE9" i="1"/>
  <c r="D8" i="2" s="1"/>
  <c r="AN9" i="1"/>
  <c r="AB9" i="1" s="1"/>
  <c r="K8" i="2" s="1"/>
  <c r="AF15" i="1" a="1"/>
  <c r="AF15" i="1" s="1"/>
  <c r="E14" i="2" s="1"/>
  <c r="AH17" i="1"/>
  <c r="G16" i="2" s="1"/>
  <c r="AI18" i="1"/>
  <c r="H17" i="2" s="1"/>
  <c r="AK19" i="1"/>
  <c r="AD20" i="1"/>
  <c r="C19" i="2" s="1"/>
  <c r="AM20" i="1"/>
  <c r="AO20" i="1" s="1"/>
  <c r="AB20" i="1" s="1"/>
  <c r="K19" i="2" s="1"/>
  <c r="AD21" i="1"/>
  <c r="C20" i="2" s="1"/>
  <c r="AH23" i="1"/>
  <c r="G22" i="2" s="1"/>
  <c r="AN23" i="1"/>
  <c r="AB23" i="1" s="1"/>
  <c r="K22" i="2" s="1"/>
  <c r="AG23" i="1"/>
  <c r="F22" i="2" s="1"/>
  <c r="AH25" i="1"/>
  <c r="G24" i="2" s="1"/>
  <c r="AI26" i="1"/>
  <c r="H25" i="2" s="1"/>
  <c r="AE28" i="1"/>
  <c r="D27" i="2" s="1"/>
  <c r="AN28" i="1"/>
  <c r="AK30" i="1"/>
  <c r="AD30" i="1"/>
  <c r="C29" i="2" s="1"/>
  <c r="AH30" i="1"/>
  <c r="G29" i="2" s="1"/>
  <c r="AF30" i="1" a="1"/>
  <c r="AF30" i="1" s="1"/>
  <c r="E29" i="2" s="1"/>
  <c r="AK31" i="1"/>
  <c r="AG33" i="1"/>
  <c r="F32" i="2" s="1"/>
  <c r="AM35" i="1"/>
  <c r="AO35" i="1" s="1"/>
  <c r="AB35" i="1" s="1"/>
  <c r="K34" i="2" s="1"/>
  <c r="AF44" i="1" a="1"/>
  <c r="AF44" i="1" s="1"/>
  <c r="E43" i="2" s="1"/>
  <c r="AM51" i="1"/>
  <c r="AO51" i="1" s="1"/>
  <c r="AI52" i="1"/>
  <c r="H51" i="2" s="1"/>
  <c r="AH52" i="1"/>
  <c r="G51" i="2" s="1"/>
  <c r="AE52" i="1"/>
  <c r="D51" i="2" s="1"/>
  <c r="AK52" i="1"/>
  <c r="AJ58" i="1"/>
  <c r="AL58" i="1" s="1"/>
  <c r="J57" i="2" s="1"/>
  <c r="AK62" i="1"/>
  <c r="AD62" i="1"/>
  <c r="C61" i="2" s="1"/>
  <c r="AI62" i="1"/>
  <c r="H61" i="2" s="1"/>
  <c r="AF62" i="1" a="1"/>
  <c r="AF62" i="1" s="1"/>
  <c r="E61" i="2" s="1"/>
  <c r="AN62" i="1"/>
  <c r="AG62" i="1"/>
  <c r="F61" i="2" s="1"/>
  <c r="AM62" i="1"/>
  <c r="AO62" i="1" s="1"/>
  <c r="AH63" i="1"/>
  <c r="G62" i="2" s="1"/>
  <c r="AN63" i="1"/>
  <c r="AF63" i="1" a="1"/>
  <c r="AF63" i="1" s="1"/>
  <c r="E62" i="2" s="1"/>
  <c r="AK63" i="1"/>
  <c r="AG63" i="1"/>
  <c r="F62" i="2" s="1"/>
  <c r="AM63" i="1"/>
  <c r="AO63" i="1" s="1"/>
  <c r="AH70" i="1"/>
  <c r="G69" i="2" s="1"/>
  <c r="AG89" i="1"/>
  <c r="BE97" i="1"/>
  <c r="AM97" i="1"/>
  <c r="AO97" i="1" s="1"/>
  <c r="AG95" i="1"/>
  <c r="AN95" i="1"/>
  <c r="AF95" i="1" a="1"/>
  <c r="AF95" i="1" s="1"/>
  <c r="AE95" i="1"/>
  <c r="AD95" i="1"/>
  <c r="AM95" i="1"/>
  <c r="AO95" i="1" s="1"/>
  <c r="AM102" i="1"/>
  <c r="AO102" i="1" s="1"/>
  <c r="BE102" i="1"/>
  <c r="AK38" i="1"/>
  <c r="AD38" i="1"/>
  <c r="C37" i="2" s="1"/>
  <c r="AF38" i="1" a="1"/>
  <c r="AF38" i="1" s="1"/>
  <c r="E37" i="2" s="1"/>
  <c r="AH47" i="1"/>
  <c r="G46" i="2" s="1"/>
  <c r="AN47" i="1"/>
  <c r="AG47" i="1"/>
  <c r="F46" i="2" s="1"/>
  <c r="BE55" i="1"/>
  <c r="AE59" i="1"/>
  <c r="D58" i="2" s="1"/>
  <c r="AN59" i="1"/>
  <c r="AD59" i="1"/>
  <c r="C58" i="2" s="1"/>
  <c r="AI59" i="1"/>
  <c r="H58" i="2" s="1"/>
  <c r="BE60" i="1"/>
  <c r="AH65" i="1"/>
  <c r="G64" i="2" s="1"/>
  <c r="AD65" i="1"/>
  <c r="C64" i="2" s="1"/>
  <c r="AK65" i="1"/>
  <c r="AE67" i="1"/>
  <c r="D66" i="2" s="1"/>
  <c r="AF67" i="1" a="1"/>
  <c r="AF67" i="1" s="1"/>
  <c r="E66" i="2" s="1"/>
  <c r="AN67" i="1"/>
  <c r="AI67" i="1"/>
  <c r="H66" i="2" s="1"/>
  <c r="AN69" i="1"/>
  <c r="AF69" i="1" a="1"/>
  <c r="AF69" i="1" s="1"/>
  <c r="E68" i="2" s="1"/>
  <c r="AE69" i="1"/>
  <c r="D68" i="2" s="1"/>
  <c r="AK69" i="1"/>
  <c r="AH69" i="1"/>
  <c r="G68" i="2" s="1"/>
  <c r="AJ73" i="1"/>
  <c r="AL73" i="1" s="1"/>
  <c r="J72" i="2" s="1"/>
  <c r="AE75" i="1"/>
  <c r="D74" i="2" s="1"/>
  <c r="AH75" i="1"/>
  <c r="G74" i="2" s="1"/>
  <c r="AD75" i="1"/>
  <c r="C74" i="2" s="1"/>
  <c r="AK75" i="1"/>
  <c r="AN75" i="1"/>
  <c r="AI76" i="1"/>
  <c r="AG76" i="1"/>
  <c r="AN76" i="1"/>
  <c r="AD76" i="1"/>
  <c r="AJ78" i="1"/>
  <c r="AL78" i="1" s="1"/>
  <c r="AA78" i="1" s="1"/>
  <c r="AH85" i="1"/>
  <c r="AG85" i="1"/>
  <c r="AN85" i="1"/>
  <c r="AE85" i="1"/>
  <c r="AD85" i="1"/>
  <c r="AK85" i="1"/>
  <c r="AJ87" i="1"/>
  <c r="AL87" i="1" s="1"/>
  <c r="BE92" i="1"/>
  <c r="AM92" i="1"/>
  <c r="AO92" i="1" s="1"/>
  <c r="AN99" i="1"/>
  <c r="AF99" i="1" a="1"/>
  <c r="AF99" i="1" s="1"/>
  <c r="AE99" i="1"/>
  <c r="AK99" i="1"/>
  <c r="AG99" i="1"/>
  <c r="AD99" i="1"/>
  <c r="AM118" i="1"/>
  <c r="AO118" i="1" s="1"/>
  <c r="AB118" i="1" s="1"/>
  <c r="BE118" i="1"/>
  <c r="BE134" i="1"/>
  <c r="AM134" i="1"/>
  <c r="AO134" i="1" s="1"/>
  <c r="AA137" i="1"/>
  <c r="AI141" i="1"/>
  <c r="AH141" i="1"/>
  <c r="AB141" i="1" s="1"/>
  <c r="AG141" i="1"/>
  <c r="AD141" i="1"/>
  <c r="AK141" i="1"/>
  <c r="AM141" i="1"/>
  <c r="AO141" i="1" s="1"/>
  <c r="AF141" i="1" a="1"/>
  <c r="AF141" i="1" s="1"/>
  <c r="AE141" i="1"/>
  <c r="BE76" i="1"/>
  <c r="AM76" i="1"/>
  <c r="AO76" i="1" s="1"/>
  <c r="BE83" i="1"/>
  <c r="AM83" i="1"/>
  <c r="AO83" i="1" s="1"/>
  <c r="AM85" i="1"/>
  <c r="AO85" i="1" s="1"/>
  <c r="AI90" i="1"/>
  <c r="AD90" i="1"/>
  <c r="AK90" i="1"/>
  <c r="AN90" i="1"/>
  <c r="AB90" i="1" s="1"/>
  <c r="AG90" i="1"/>
  <c r="AF90" i="1" a="1"/>
  <c r="AF90" i="1" s="1"/>
  <c r="BE90" i="1"/>
  <c r="AM90" i="1"/>
  <c r="AO90" i="1" s="1"/>
  <c r="AJ92" i="1"/>
  <c r="AL92" i="1" s="1"/>
  <c r="AJ108" i="1"/>
  <c r="AL108" i="1" s="1"/>
  <c r="AI114" i="1"/>
  <c r="AG114" i="1"/>
  <c r="AK114" i="1"/>
  <c r="AF114" i="1" a="1"/>
  <c r="AF114" i="1" s="1"/>
  <c r="AE114" i="1"/>
  <c r="AD114" i="1"/>
  <c r="AN114" i="1"/>
  <c r="BE115" i="1"/>
  <c r="AE124" i="1"/>
  <c r="AK124" i="1"/>
  <c r="AD124" i="1"/>
  <c r="AH124" i="1"/>
  <c r="AG124" i="1"/>
  <c r="AI124" i="1"/>
  <c r="AF124" i="1" a="1"/>
  <c r="AF124" i="1" s="1"/>
  <c r="BE150" i="1"/>
  <c r="AM150" i="1"/>
  <c r="AO150" i="1" s="1"/>
  <c r="AM195" i="1"/>
  <c r="AO195" i="1" s="1"/>
  <c r="AJ195" i="1"/>
  <c r="AL195" i="1" s="1"/>
  <c r="AI122" i="1"/>
  <c r="AF122" i="1" a="1"/>
  <c r="AF122" i="1" s="1"/>
  <c r="AN122" i="1"/>
  <c r="AE122" i="1"/>
  <c r="AK122" i="1"/>
  <c r="AH122" i="1"/>
  <c r="AG122" i="1"/>
  <c r="AD122" i="1"/>
  <c r="AJ134" i="1"/>
  <c r="AL134" i="1" s="1"/>
  <c r="AC145" i="1"/>
  <c r="AJ150" i="1"/>
  <c r="AL150" i="1" s="1"/>
  <c r="BE157" i="1"/>
  <c r="AM157" i="1"/>
  <c r="AO157" i="1" s="1"/>
  <c r="BE163" i="1"/>
  <c r="AM163" i="1"/>
  <c r="AO163" i="1" s="1"/>
  <c r="AG167" i="1"/>
  <c r="AE167" i="1"/>
  <c r="AD167" i="1"/>
  <c r="AK167" i="1"/>
  <c r="AI167" i="1"/>
  <c r="AH167" i="1"/>
  <c r="AN167" i="1"/>
  <c r="AF167" i="1" a="1"/>
  <c r="AF167" i="1" s="1"/>
  <c r="AE143" i="1"/>
  <c r="AK143" i="1"/>
  <c r="AD143" i="1"/>
  <c r="AF143" i="1" a="1"/>
  <c r="AF143" i="1" s="1"/>
  <c r="AH143" i="1"/>
  <c r="AN143" i="1"/>
  <c r="AG143" i="1"/>
  <c r="AK146" i="1"/>
  <c r="AD146" i="1"/>
  <c r="AI146" i="1"/>
  <c r="AN146" i="1"/>
  <c r="AH146" i="1"/>
  <c r="AM146" i="1"/>
  <c r="AO146" i="1" s="1"/>
  <c r="AG146" i="1"/>
  <c r="AF146" i="1" a="1"/>
  <c r="AF146" i="1" s="1"/>
  <c r="AE146" i="1"/>
  <c r="AJ149" i="1"/>
  <c r="AL149" i="1" s="1"/>
  <c r="BE149" i="1"/>
  <c r="AM151" i="1"/>
  <c r="AO151" i="1" s="1"/>
  <c r="AB151" i="1" s="1"/>
  <c r="AM161" i="1"/>
  <c r="AO161" i="1" s="1"/>
  <c r="BE161" i="1"/>
  <c r="AN10" i="1"/>
  <c r="AB10" i="1" s="1"/>
  <c r="K9" i="2" s="1"/>
  <c r="AF11" i="1" a="1"/>
  <c r="AF11" i="1" s="1"/>
  <c r="E10" i="2" s="1"/>
  <c r="AK22" i="1"/>
  <c r="AD22" i="1"/>
  <c r="C21" i="2" s="1"/>
  <c r="AF22" i="1" a="1"/>
  <c r="AF22" i="1" s="1"/>
  <c r="E21" i="2" s="1"/>
  <c r="AN42" i="1"/>
  <c r="AB42" i="1" s="1"/>
  <c r="K41" i="2" s="1"/>
  <c r="AE43" i="1"/>
  <c r="D42" i="2" s="1"/>
  <c r="AH43" i="1"/>
  <c r="G42" i="2" s="1"/>
  <c r="AF43" i="1" a="1"/>
  <c r="AF43" i="1" s="1"/>
  <c r="E42" i="2" s="1"/>
  <c r="AG58" i="1"/>
  <c r="F57" i="2" s="1"/>
  <c r="AK58" i="1"/>
  <c r="AH58" i="1"/>
  <c r="G57" i="2" s="1"/>
  <c r="AE65" i="1"/>
  <c r="D64" i="2" s="1"/>
  <c r="AD67" i="1"/>
  <c r="C66" i="2" s="1"/>
  <c r="AH73" i="1"/>
  <c r="G72" i="2" s="1"/>
  <c r="AG73" i="1"/>
  <c r="F72" i="2" s="1"/>
  <c r="AE73" i="1"/>
  <c r="D72" i="2" s="1"/>
  <c r="AN73" i="1"/>
  <c r="AD73" i="1"/>
  <c r="C72" i="2" s="1"/>
  <c r="AJ74" i="1"/>
  <c r="AL74" i="1" s="1"/>
  <c r="J73" i="2" s="1"/>
  <c r="AJ75" i="1"/>
  <c r="AL75" i="1" s="1"/>
  <c r="J74" i="2" s="1"/>
  <c r="AE76" i="1"/>
  <c r="AI82" i="1"/>
  <c r="AG82" i="1"/>
  <c r="AF82" i="1" a="1"/>
  <c r="AF82" i="1" s="1"/>
  <c r="AD82" i="1"/>
  <c r="AN82" i="1"/>
  <c r="BE82" i="1"/>
  <c r="AF85" i="1" a="1"/>
  <c r="AF85" i="1" s="1"/>
  <c r="AM87" i="1"/>
  <c r="AO87" i="1" s="1"/>
  <c r="AI95" i="1"/>
  <c r="AI99" i="1"/>
  <c r="AM112" i="1"/>
  <c r="AO112" i="1" s="1"/>
  <c r="AJ113" i="1"/>
  <c r="AL113" i="1" s="1"/>
  <c r="AA113" i="1" s="1"/>
  <c r="BE113" i="1"/>
  <c r="AM113" i="1"/>
  <c r="AO113" i="1" s="1"/>
  <c r="AH114" i="1"/>
  <c r="AJ115" i="1"/>
  <c r="AL115" i="1" s="1"/>
  <c r="AM121" i="1"/>
  <c r="AO121" i="1" s="1"/>
  <c r="AB121" i="1" s="1"/>
  <c r="BE121" i="1"/>
  <c r="AJ121" i="1"/>
  <c r="AL121" i="1" s="1"/>
  <c r="AA121" i="1" s="1"/>
  <c r="AI125" i="1"/>
  <c r="AH125" i="1"/>
  <c r="AD125" i="1"/>
  <c r="AK125" i="1"/>
  <c r="AA125" i="1" s="1"/>
  <c r="AG125" i="1"/>
  <c r="AF125" i="1" a="1"/>
  <c r="AF125" i="1" s="1"/>
  <c r="AE125" i="1"/>
  <c r="AB125" i="1" s="1"/>
  <c r="BE132" i="1"/>
  <c r="AJ132" i="1"/>
  <c r="AL132" i="1" s="1"/>
  <c r="BE135" i="1"/>
  <c r="AM135" i="1"/>
  <c r="AO135" i="1" s="1"/>
  <c r="AM156" i="1"/>
  <c r="AO156" i="1" s="1"/>
  <c r="BE156" i="1"/>
  <c r="AI85" i="1"/>
  <c r="AE90" i="1"/>
  <c r="AM91" i="1"/>
  <c r="AO91" i="1" s="1"/>
  <c r="AK95" i="1"/>
  <c r="AJ97" i="1"/>
  <c r="AL97" i="1" s="1"/>
  <c r="AM100" i="1"/>
  <c r="AO100" i="1" s="1"/>
  <c r="BE100" i="1"/>
  <c r="AI103" i="1"/>
  <c r="AG103" i="1"/>
  <c r="AF103" i="1" a="1"/>
  <c r="AF103" i="1" s="1"/>
  <c r="AH103" i="1"/>
  <c r="AE103" i="1"/>
  <c r="AD103" i="1"/>
  <c r="AN103" i="1"/>
  <c r="BE106" i="1"/>
  <c r="AJ106" i="1"/>
  <c r="AL106" i="1" s="1"/>
  <c r="AA106" i="1" s="1"/>
  <c r="AM106" i="1"/>
  <c r="AO106" i="1" s="1"/>
  <c r="BE111" i="1"/>
  <c r="BE117" i="1"/>
  <c r="AM122" i="1"/>
  <c r="AO122" i="1" s="1"/>
  <c r="AG123" i="1"/>
  <c r="AN123" i="1"/>
  <c r="AF123" i="1" a="1"/>
  <c r="AF123" i="1" s="1"/>
  <c r="AH123" i="1"/>
  <c r="AE123" i="1"/>
  <c r="AI123" i="1"/>
  <c r="AD123" i="1"/>
  <c r="AA123" i="1" s="1"/>
  <c r="AJ123" i="1"/>
  <c r="AL123" i="1" s="1"/>
  <c r="AN124" i="1"/>
  <c r="AJ125" i="1"/>
  <c r="AL125" i="1" s="1"/>
  <c r="AJ180" i="1"/>
  <c r="AL180" i="1" s="1"/>
  <c r="BE180" i="1"/>
  <c r="BE73" i="1"/>
  <c r="I73" i="2"/>
  <c r="AA74" i="1"/>
  <c r="BE81" i="1"/>
  <c r="AM81" i="1"/>
  <c r="AO81" i="1" s="1"/>
  <c r="AJ88" i="1"/>
  <c r="AL88" i="1" s="1"/>
  <c r="AH93" i="1"/>
  <c r="AG93" i="1"/>
  <c r="AI93" i="1"/>
  <c r="AF93" i="1" a="1"/>
  <c r="AF93" i="1" s="1"/>
  <c r="AE93" i="1"/>
  <c r="AD93" i="1"/>
  <c r="AM93" i="1"/>
  <c r="AO93" i="1" s="1"/>
  <c r="AB93" i="1" s="1"/>
  <c r="BE93" i="1"/>
  <c r="AJ103" i="1"/>
  <c r="AL103" i="1" s="1"/>
  <c r="AA103" i="1" s="1"/>
  <c r="BE103" i="1"/>
  <c r="AM105" i="1"/>
  <c r="AO105" i="1" s="1"/>
  <c r="AM109" i="1"/>
  <c r="AO109" i="1" s="1"/>
  <c r="AJ109" i="1"/>
  <c r="AL109" i="1" s="1"/>
  <c r="AG112" i="1"/>
  <c r="AH112" i="1"/>
  <c r="AK112" i="1"/>
  <c r="AE112" i="1"/>
  <c r="AD112" i="1"/>
  <c r="AN112" i="1"/>
  <c r="AB112" i="1" s="1"/>
  <c r="AM114" i="1"/>
  <c r="AO114" i="1" s="1"/>
  <c r="AH117" i="1"/>
  <c r="AG117" i="1"/>
  <c r="AN117" i="1"/>
  <c r="AE117" i="1"/>
  <c r="AK117" i="1"/>
  <c r="AF117" i="1" a="1"/>
  <c r="AF117" i="1" s="1"/>
  <c r="AD117" i="1"/>
  <c r="AN119" i="1"/>
  <c r="AB119" i="1" s="1"/>
  <c r="AD119" i="1"/>
  <c r="AK119" i="1"/>
  <c r="AA119" i="1" s="1"/>
  <c r="AC119" i="1" s="1"/>
  <c r="AF119" i="1" a="1"/>
  <c r="AF119" i="1" s="1"/>
  <c r="AH119" i="1"/>
  <c r="AG119" i="1"/>
  <c r="AE119" i="1"/>
  <c r="BE124" i="1"/>
  <c r="AI143" i="1"/>
  <c r="AI144" i="1"/>
  <c r="AH144" i="1"/>
  <c r="AG144" i="1"/>
  <c r="AK144" i="1"/>
  <c r="AF144" i="1" a="1"/>
  <c r="AF144" i="1" s="1"/>
  <c r="AN144" i="1"/>
  <c r="AM144" i="1"/>
  <c r="AO144" i="1" s="1"/>
  <c r="AE144" i="1"/>
  <c r="AD144" i="1"/>
  <c r="AM153" i="1"/>
  <c r="AO153" i="1" s="1"/>
  <c r="AB153" i="1" s="1"/>
  <c r="BE153" i="1"/>
  <c r="AM171" i="1"/>
  <c r="AO171" i="1" s="1"/>
  <c r="BE171" i="1"/>
  <c r="AJ175" i="1"/>
  <c r="AL175" i="1" s="1"/>
  <c r="AA175" i="1" s="1"/>
  <c r="BE176" i="1"/>
  <c r="AM176" i="1"/>
  <c r="AO176" i="1" s="1"/>
  <c r="AK46" i="1"/>
  <c r="AD46" i="1"/>
  <c r="C45" i="2" s="1"/>
  <c r="AF46" i="1" a="1"/>
  <c r="AF46" i="1" s="1"/>
  <c r="E45" i="2" s="1"/>
  <c r="AN53" i="1"/>
  <c r="AF53" i="1" a="1"/>
  <c r="AF53" i="1" s="1"/>
  <c r="E52" i="2" s="1"/>
  <c r="AH53" i="1"/>
  <c r="G52" i="2" s="1"/>
  <c r="AJ57" i="1"/>
  <c r="AL57" i="1" s="1"/>
  <c r="J56" i="2" s="1"/>
  <c r="AI60" i="1"/>
  <c r="H59" i="2" s="1"/>
  <c r="AG60" i="1"/>
  <c r="F59" i="2" s="1"/>
  <c r="AN60" i="1"/>
  <c r="AE60" i="1"/>
  <c r="D59" i="2" s="1"/>
  <c r="AH60" i="1"/>
  <c r="G59" i="2" s="1"/>
  <c r="AJ62" i="1"/>
  <c r="AL62" i="1" s="1"/>
  <c r="J61" i="2" s="1"/>
  <c r="BE68" i="1"/>
  <c r="AM70" i="1"/>
  <c r="AO70" i="1" s="1"/>
  <c r="BE74" i="1"/>
  <c r="AM74" i="1"/>
  <c r="AO74" i="1" s="1"/>
  <c r="AB74" i="1" s="1"/>
  <c r="K73" i="2" s="1"/>
  <c r="AN77" i="1"/>
  <c r="AF77" i="1" a="1"/>
  <c r="AF77" i="1" s="1"/>
  <c r="AE77" i="1"/>
  <c r="AA77" i="1" s="1"/>
  <c r="AH77" i="1"/>
  <c r="AN87" i="1"/>
  <c r="AB87" i="1" s="1"/>
  <c r="AD87" i="1"/>
  <c r="AG87" i="1"/>
  <c r="AI87" i="1"/>
  <c r="AM94" i="1"/>
  <c r="AO94" i="1" s="1"/>
  <c r="AB94" i="1" s="1"/>
  <c r="AC94" i="1" s="1"/>
  <c r="BE94" i="1"/>
  <c r="BE98" i="1"/>
  <c r="AK100" i="1"/>
  <c r="AD100" i="1"/>
  <c r="AE100" i="1"/>
  <c r="AG100" i="1"/>
  <c r="AI100" i="1"/>
  <c r="AE101" i="1"/>
  <c r="AJ102" i="1"/>
  <c r="AL102" i="1" s="1"/>
  <c r="AA102" i="1" s="1"/>
  <c r="BE104" i="1"/>
  <c r="AF109" i="1" a="1"/>
  <c r="AF109" i="1" s="1"/>
  <c r="AF111" i="1" a="1"/>
  <c r="AF111" i="1" s="1"/>
  <c r="AM117" i="1"/>
  <c r="AO117" i="1" s="1"/>
  <c r="AJ118" i="1"/>
  <c r="AL118" i="1" s="1"/>
  <c r="AA118" i="1" s="1"/>
  <c r="AM120" i="1"/>
  <c r="AO120" i="1" s="1"/>
  <c r="BE123" i="1"/>
  <c r="AM127" i="1"/>
  <c r="AO127" i="1" s="1"/>
  <c r="BE129" i="1"/>
  <c r="AH131" i="1"/>
  <c r="AG131" i="1"/>
  <c r="AN131" i="1"/>
  <c r="AF131" i="1" a="1"/>
  <c r="AF131" i="1" s="1"/>
  <c r="AD131" i="1"/>
  <c r="AA131" i="1" s="1"/>
  <c r="AI131" i="1"/>
  <c r="AG135" i="1"/>
  <c r="AJ136" i="1"/>
  <c r="AL136" i="1" s="1"/>
  <c r="AM145" i="1"/>
  <c r="AO145" i="1" s="1"/>
  <c r="AB145" i="1" s="1"/>
  <c r="BE145" i="1"/>
  <c r="AJ156" i="1"/>
  <c r="AL156" i="1" s="1"/>
  <c r="AJ163" i="1"/>
  <c r="AL163" i="1" s="1"/>
  <c r="BE170" i="1"/>
  <c r="AM170" i="1"/>
  <c r="AO170" i="1" s="1"/>
  <c r="BE215" i="1"/>
  <c r="AM215" i="1"/>
  <c r="AO215" i="1" s="1"/>
  <c r="AE81" i="1"/>
  <c r="AH81" i="1"/>
  <c r="AF81" i="1" a="1"/>
  <c r="AF81" i="1" s="1"/>
  <c r="AI81" i="1"/>
  <c r="AN83" i="1"/>
  <c r="AF83" i="1" a="1"/>
  <c r="AF83" i="1" s="1"/>
  <c r="AI83" i="1"/>
  <c r="AG83" i="1"/>
  <c r="AD83" i="1"/>
  <c r="AA83" i="1" s="1"/>
  <c r="BE84" i="1"/>
  <c r="AE88" i="1"/>
  <c r="BE88" i="1"/>
  <c r="AE98" i="1"/>
  <c r="AM101" i="1"/>
  <c r="AO101" i="1" s="1"/>
  <c r="AB101" i="1" s="1"/>
  <c r="AI106" i="1"/>
  <c r="AG106" i="1"/>
  <c r="AN106" i="1"/>
  <c r="AH106" i="1"/>
  <c r="AD107" i="1"/>
  <c r="AA107" i="1" s="1"/>
  <c r="AC107" i="1" s="1"/>
  <c r="AM107" i="1"/>
  <c r="AO107" i="1" s="1"/>
  <c r="BE107" i="1"/>
  <c r="AJ111" i="1"/>
  <c r="AL111" i="1" s="1"/>
  <c r="AE113" i="1"/>
  <c r="AB113" i="1" s="1"/>
  <c r="AH113" i="1"/>
  <c r="AI113" i="1"/>
  <c r="AJ116" i="1"/>
  <c r="AL116" i="1" s="1"/>
  <c r="AJ122" i="1"/>
  <c r="AL122" i="1" s="1"/>
  <c r="BE122" i="1"/>
  <c r="AJ124" i="1"/>
  <c r="AL124" i="1" s="1"/>
  <c r="AJ128" i="1"/>
  <c r="AL128" i="1" s="1"/>
  <c r="AA128" i="1" s="1"/>
  <c r="AC128" i="1" s="1"/>
  <c r="AK130" i="1"/>
  <c r="AD130" i="1"/>
  <c r="AI130" i="1"/>
  <c r="AN130" i="1"/>
  <c r="AG130" i="1"/>
  <c r="AM140" i="1"/>
  <c r="AO140" i="1" s="1"/>
  <c r="AB140" i="1" s="1"/>
  <c r="BE140" i="1"/>
  <c r="BE142" i="1"/>
  <c r="AM142" i="1"/>
  <c r="AO142" i="1" s="1"/>
  <c r="AJ144" i="1"/>
  <c r="AL144" i="1" s="1"/>
  <c r="BE155" i="1"/>
  <c r="AM155" i="1"/>
  <c r="AO155" i="1" s="1"/>
  <c r="AE190" i="1"/>
  <c r="AD190" i="1"/>
  <c r="AK190" i="1"/>
  <c r="AI190" i="1"/>
  <c r="AH190" i="1"/>
  <c r="AF190" i="1" a="1"/>
  <c r="AF190" i="1" s="1"/>
  <c r="AG190" i="1"/>
  <c r="AN190" i="1"/>
  <c r="AM208" i="1"/>
  <c r="AO208" i="1" s="1"/>
  <c r="AB208" i="1" s="1"/>
  <c r="BE208" i="1"/>
  <c r="BE96" i="1"/>
  <c r="AM99" i="1"/>
  <c r="AO99" i="1" s="1"/>
  <c r="BE99" i="1"/>
  <c r="AB100" i="1"/>
  <c r="AH109" i="1"/>
  <c r="AN109" i="1"/>
  <c r="AD109" i="1"/>
  <c r="AK109" i="1"/>
  <c r="AI109" i="1"/>
  <c r="AB110" i="1"/>
  <c r="AD111" i="1"/>
  <c r="AI111" i="1"/>
  <c r="AG111" i="1"/>
  <c r="AK111" i="1"/>
  <c r="AJ114" i="1"/>
  <c r="AL114" i="1" s="1"/>
  <c r="AJ119" i="1"/>
  <c r="AL119" i="1" s="1"/>
  <c r="AM126" i="1"/>
  <c r="AO126" i="1" s="1"/>
  <c r="BE126" i="1"/>
  <c r="BE131" i="1"/>
  <c r="AM131" i="1"/>
  <c r="AO131" i="1" s="1"/>
  <c r="AB137" i="1"/>
  <c r="AM138" i="1"/>
  <c r="AO138" i="1" s="1"/>
  <c r="AB138" i="1" s="1"/>
  <c r="BE138" i="1"/>
  <c r="AM139" i="1"/>
  <c r="AO139" i="1" s="1"/>
  <c r="AJ143" i="1"/>
  <c r="AL143" i="1" s="1"/>
  <c r="BE147" i="1"/>
  <c r="AM147" i="1"/>
  <c r="AO147" i="1" s="1"/>
  <c r="AM186" i="1"/>
  <c r="AO186" i="1" s="1"/>
  <c r="AJ186" i="1"/>
  <c r="AL186" i="1" s="1"/>
  <c r="BE187" i="1"/>
  <c r="AM187" i="1"/>
  <c r="AO187" i="1" s="1"/>
  <c r="AJ76" i="1"/>
  <c r="AL76" i="1" s="1"/>
  <c r="AA76" i="1" s="1"/>
  <c r="BE80" i="1"/>
  <c r="AJ82" i="1"/>
  <c r="AL82" i="1" s="1"/>
  <c r="AA82" i="1" s="1"/>
  <c r="AM89" i="1"/>
  <c r="AO89" i="1" s="1"/>
  <c r="AJ101" i="1"/>
  <c r="AL101" i="1" s="1"/>
  <c r="AA101" i="1" s="1"/>
  <c r="AC101" i="1" s="1"/>
  <c r="BE105" i="1"/>
  <c r="BE112" i="1"/>
  <c r="BE133" i="1"/>
  <c r="AM133" i="1"/>
  <c r="AO133" i="1" s="1"/>
  <c r="AE135" i="1"/>
  <c r="AK135" i="1"/>
  <c r="AD135" i="1"/>
  <c r="AN135" i="1"/>
  <c r="AH135" i="1"/>
  <c r="AH147" i="1"/>
  <c r="AG147" i="1"/>
  <c r="AN147" i="1"/>
  <c r="AF147" i="1" a="1"/>
  <c r="AF147" i="1" s="1"/>
  <c r="AE147" i="1"/>
  <c r="AD147" i="1"/>
  <c r="AI147" i="1"/>
  <c r="AM149" i="1"/>
  <c r="AO149" i="1" s="1"/>
  <c r="AB149" i="1" s="1"/>
  <c r="AE151" i="1"/>
  <c r="AK151" i="1"/>
  <c r="AD151" i="1"/>
  <c r="AG151" i="1"/>
  <c r="AF151" i="1" a="1"/>
  <c r="AF151" i="1" s="1"/>
  <c r="AI151" i="1"/>
  <c r="AH151" i="1"/>
  <c r="AJ152" i="1"/>
  <c r="AL152" i="1" s="1"/>
  <c r="AA152" i="1" s="1"/>
  <c r="AM152" i="1"/>
  <c r="AO152" i="1" s="1"/>
  <c r="AJ187" i="1"/>
  <c r="AL187" i="1" s="1"/>
  <c r="AM189" i="1"/>
  <c r="AO189" i="1" s="1"/>
  <c r="AB189" i="1" s="1"/>
  <c r="AJ189" i="1"/>
  <c r="AL189" i="1" s="1"/>
  <c r="AA189" i="1" s="1"/>
  <c r="BE189" i="1"/>
  <c r="AM78" i="1"/>
  <c r="AO78" i="1" s="1"/>
  <c r="AB78" i="1" s="1"/>
  <c r="AJ80" i="1"/>
  <c r="AL80" i="1" s="1"/>
  <c r="AB81" i="1"/>
  <c r="AG88" i="1"/>
  <c r="AD88" i="1"/>
  <c r="AB88" i="1" s="1"/>
  <c r="AK88" i="1"/>
  <c r="AH88" i="1"/>
  <c r="AJ89" i="1"/>
  <c r="AL89" i="1" s="1"/>
  <c r="AJ93" i="1"/>
  <c r="AL93" i="1" s="1"/>
  <c r="AA93" i="1" s="1"/>
  <c r="AC93" i="1" s="1"/>
  <c r="AB97" i="1"/>
  <c r="AI98" i="1"/>
  <c r="AN98" i="1"/>
  <c r="AB98" i="1" s="1"/>
  <c r="AD98" i="1"/>
  <c r="AA98" i="1" s="1"/>
  <c r="AC98" i="1" s="1"/>
  <c r="AG98" i="1"/>
  <c r="AH101" i="1"/>
  <c r="AD101" i="1"/>
  <c r="AI101" i="1"/>
  <c r="AN107" i="1"/>
  <c r="AB107" i="1" s="1"/>
  <c r="AF107" i="1" a="1"/>
  <c r="AF107" i="1" s="1"/>
  <c r="AG107" i="1"/>
  <c r="AE107" i="1"/>
  <c r="AI107" i="1"/>
  <c r="BE108" i="1"/>
  <c r="AM108" i="1"/>
  <c r="AO108" i="1" s="1"/>
  <c r="AM110" i="1"/>
  <c r="AO110" i="1" s="1"/>
  <c r="BE110" i="1"/>
  <c r="AN111" i="1"/>
  <c r="AJ112" i="1"/>
  <c r="AL112" i="1" s="1"/>
  <c r="AM115" i="1"/>
  <c r="AO115" i="1" s="1"/>
  <c r="AJ120" i="1"/>
  <c r="AL120" i="1" s="1"/>
  <c r="AJ130" i="1"/>
  <c r="AL130" i="1" s="1"/>
  <c r="AM132" i="1"/>
  <c r="AO132" i="1" s="1"/>
  <c r="AJ154" i="1"/>
  <c r="AL154" i="1" s="1"/>
  <c r="BE158" i="1"/>
  <c r="AM158" i="1"/>
  <c r="AO158" i="1" s="1"/>
  <c r="AB158" i="1" s="1"/>
  <c r="AJ162" i="1"/>
  <c r="AL162" i="1" s="1"/>
  <c r="AA162" i="1" s="1"/>
  <c r="BE162" i="1"/>
  <c r="AI201" i="1"/>
  <c r="AE201" i="1"/>
  <c r="AD201" i="1"/>
  <c r="AK201" i="1"/>
  <c r="AH201" i="1"/>
  <c r="AN201" i="1"/>
  <c r="AG201" i="1"/>
  <c r="AF201" i="1" a="1"/>
  <c r="AF201" i="1" s="1"/>
  <c r="AJ153" i="1"/>
  <c r="AL153" i="1" s="1"/>
  <c r="AA153" i="1" s="1"/>
  <c r="AA158" i="1"/>
  <c r="AN162" i="1"/>
  <c r="AF162" i="1" a="1"/>
  <c r="AF162" i="1" s="1"/>
  <c r="AI162" i="1"/>
  <c r="AH162" i="1"/>
  <c r="AE162" i="1"/>
  <c r="AD162" i="1"/>
  <c r="AK163" i="1"/>
  <c r="AD163" i="1"/>
  <c r="AI163" i="1"/>
  <c r="AH163" i="1"/>
  <c r="AG163" i="1"/>
  <c r="AN163" i="1"/>
  <c r="AE168" i="1"/>
  <c r="AN168" i="1"/>
  <c r="AD168" i="1"/>
  <c r="AK168" i="1"/>
  <c r="AI168" i="1"/>
  <c r="AJ173" i="1"/>
  <c r="AL173" i="1" s="1"/>
  <c r="AE200" i="1"/>
  <c r="AN200" i="1"/>
  <c r="AD200" i="1"/>
  <c r="AK200" i="1"/>
  <c r="AI200" i="1"/>
  <c r="AH200" i="1"/>
  <c r="AG200" i="1"/>
  <c r="AF200" i="1" a="1"/>
  <c r="AF200" i="1" s="1"/>
  <c r="AM201" i="1"/>
  <c r="AO201" i="1" s="1"/>
  <c r="AJ201" i="1"/>
  <c r="AL201" i="1" s="1"/>
  <c r="BE201" i="1"/>
  <c r="AJ208" i="1"/>
  <c r="AL208" i="1" s="1"/>
  <c r="AA208" i="1" s="1"/>
  <c r="AE212" i="1"/>
  <c r="AN212" i="1"/>
  <c r="AI212" i="1"/>
  <c r="AH212" i="1"/>
  <c r="AD212" i="1"/>
  <c r="AK212" i="1"/>
  <c r="AG212" i="1"/>
  <c r="AJ269" i="1"/>
  <c r="AL269" i="1" s="1"/>
  <c r="BE269" i="1"/>
  <c r="AM270" i="1"/>
  <c r="AO270" i="1" s="1"/>
  <c r="BE270" i="1"/>
  <c r="BE178" i="1"/>
  <c r="AM178" i="1"/>
  <c r="AO178" i="1" s="1"/>
  <c r="AG191" i="1"/>
  <c r="AK191" i="1"/>
  <c r="AI191" i="1"/>
  <c r="AH191" i="1"/>
  <c r="AF191" i="1" a="1"/>
  <c r="AF191" i="1" s="1"/>
  <c r="AE191" i="1"/>
  <c r="AD191" i="1"/>
  <c r="BE196" i="1"/>
  <c r="AM196" i="1"/>
  <c r="AO196" i="1" s="1"/>
  <c r="AC197" i="1"/>
  <c r="AM205" i="1"/>
  <c r="AO205" i="1" s="1"/>
  <c r="AB205" i="1" s="1"/>
  <c r="BE205" i="1"/>
  <c r="AJ220" i="1"/>
  <c r="AL220" i="1" s="1"/>
  <c r="BE220" i="1"/>
  <c r="AM220" i="1"/>
  <c r="AO220" i="1" s="1"/>
  <c r="AG154" i="1"/>
  <c r="AJ155" i="1"/>
  <c r="AL155" i="1" s="1"/>
  <c r="AE160" i="1"/>
  <c r="AK160" i="1"/>
  <c r="AI160" i="1"/>
  <c r="AD160" i="1"/>
  <c r="AB160" i="1" s="1"/>
  <c r="BE160" i="1"/>
  <c r="AJ161" i="1"/>
  <c r="AL161" i="1" s="1"/>
  <c r="AM164" i="1"/>
  <c r="AO164" i="1" s="1"/>
  <c r="BE177" i="1"/>
  <c r="AM177" i="1"/>
  <c r="AO177" i="1" s="1"/>
  <c r="AJ178" i="1"/>
  <c r="AL178" i="1" s="1"/>
  <c r="AM190" i="1"/>
  <c r="AO190" i="1" s="1"/>
  <c r="BE199" i="1"/>
  <c r="AM199" i="1"/>
  <c r="AO199" i="1" s="1"/>
  <c r="AJ199" i="1"/>
  <c r="AL199" i="1" s="1"/>
  <c r="BE202" i="1"/>
  <c r="AM202" i="1"/>
  <c r="AO202" i="1" s="1"/>
  <c r="AJ252" i="1"/>
  <c r="AL252" i="1" s="1"/>
  <c r="AA252" i="1" s="1"/>
  <c r="AC252" i="1" s="1"/>
  <c r="BE252" i="1"/>
  <c r="AM252" i="1"/>
  <c r="AO252" i="1" s="1"/>
  <c r="AJ49" i="1"/>
  <c r="AL49" i="1" s="1"/>
  <c r="J48" i="2" s="1"/>
  <c r="AF55" i="1" a="1"/>
  <c r="AF55" i="1" s="1"/>
  <c r="E54" i="2" s="1"/>
  <c r="AI68" i="1"/>
  <c r="H67" i="2" s="1"/>
  <c r="AG68" i="1"/>
  <c r="F67" i="2" s="1"/>
  <c r="AF68" i="1" a="1"/>
  <c r="AF68" i="1" s="1"/>
  <c r="E67" i="2" s="1"/>
  <c r="AD79" i="1"/>
  <c r="AB79" i="1" s="1"/>
  <c r="AI79" i="1"/>
  <c r="AH79" i="1"/>
  <c r="AJ79" i="1"/>
  <c r="AL79" i="1" s="1"/>
  <c r="AA79" i="1" s="1"/>
  <c r="AC79" i="1" s="1"/>
  <c r="AJ81" i="1"/>
  <c r="AL81" i="1" s="1"/>
  <c r="AA81" i="1" s="1"/>
  <c r="AC81" i="1" s="1"/>
  <c r="AK92" i="1"/>
  <c r="AD92" i="1"/>
  <c r="AB92" i="1" s="1"/>
  <c r="AH92" i="1"/>
  <c r="AG92" i="1"/>
  <c r="AJ100" i="1"/>
  <c r="AL100" i="1" s="1"/>
  <c r="AB102" i="1"/>
  <c r="BE116" i="1"/>
  <c r="AK127" i="1"/>
  <c r="AD127" i="1"/>
  <c r="AF127" i="1" a="1"/>
  <c r="AF127" i="1" s="1"/>
  <c r="AN127" i="1"/>
  <c r="AE127" i="1"/>
  <c r="AI127" i="1"/>
  <c r="AJ127" i="1"/>
  <c r="AL127" i="1" s="1"/>
  <c r="BE130" i="1"/>
  <c r="AJ133" i="1"/>
  <c r="AL133" i="1" s="1"/>
  <c r="AJ135" i="1"/>
  <c r="AL135" i="1" s="1"/>
  <c r="AJ138" i="1"/>
  <c r="AL138" i="1" s="1"/>
  <c r="BE143" i="1"/>
  <c r="AJ151" i="1"/>
  <c r="AL151" i="1" s="1"/>
  <c r="BE152" i="1"/>
  <c r="AJ158" i="1"/>
  <c r="AL158" i="1" s="1"/>
  <c r="AJ160" i="1"/>
  <c r="AL160" i="1" s="1"/>
  <c r="AF168" i="1" a="1"/>
  <c r="AF168" i="1" s="1"/>
  <c r="AJ177" i="1"/>
  <c r="AL177" i="1" s="1"/>
  <c r="AA177" i="1" s="1"/>
  <c r="BE188" i="1"/>
  <c r="AM188" i="1"/>
  <c r="AO188" i="1" s="1"/>
  <c r="AJ202" i="1"/>
  <c r="AL202" i="1" s="1"/>
  <c r="AJ205" i="1"/>
  <c r="AL205" i="1" s="1"/>
  <c r="AA205" i="1" s="1"/>
  <c r="AC205" i="1" s="1"/>
  <c r="AJ209" i="1"/>
  <c r="AL209" i="1" s="1"/>
  <c r="AF212" i="1" a="1"/>
  <c r="AF212" i="1" s="1"/>
  <c r="AB217" i="1"/>
  <c r="AJ231" i="1"/>
  <c r="AL231" i="1" s="1"/>
  <c r="BE231" i="1"/>
  <c r="BE232" i="1"/>
  <c r="AM232" i="1"/>
  <c r="AO232" i="1" s="1"/>
  <c r="AB232" i="1" s="1"/>
  <c r="AE234" i="1"/>
  <c r="AK234" i="1"/>
  <c r="AG234" i="1"/>
  <c r="AN234" i="1"/>
  <c r="AI234" i="1"/>
  <c r="AH234" i="1"/>
  <c r="AF234" i="1" a="1"/>
  <c r="AF234" i="1" s="1"/>
  <c r="AD234" i="1"/>
  <c r="BE217" i="1"/>
  <c r="BE223" i="1"/>
  <c r="AM223" i="1"/>
  <c r="AO223" i="1" s="1"/>
  <c r="AA241" i="1"/>
  <c r="AJ215" i="1"/>
  <c r="AL215" i="1" s="1"/>
  <c r="AJ223" i="1"/>
  <c r="AL223" i="1" s="1"/>
  <c r="AJ147" i="1"/>
  <c r="AL147" i="1" s="1"/>
  <c r="AA147" i="1" s="1"/>
  <c r="AK154" i="1"/>
  <c r="AD154" i="1"/>
  <c r="AI154" i="1"/>
  <c r="AF154" i="1" a="1"/>
  <c r="AF154" i="1" s="1"/>
  <c r="AE154" i="1"/>
  <c r="AN154" i="1"/>
  <c r="AJ168" i="1"/>
  <c r="AL168" i="1" s="1"/>
  <c r="AJ170" i="1"/>
  <c r="AL170" i="1" s="1"/>
  <c r="AM173" i="1"/>
  <c r="AO173" i="1" s="1"/>
  <c r="AB173" i="1" s="1"/>
  <c r="BE173" i="1"/>
  <c r="AN191" i="1"/>
  <c r="AE192" i="1"/>
  <c r="AB192" i="1" s="1"/>
  <c r="AK192" i="1"/>
  <c r="AI192" i="1"/>
  <c r="AH192" i="1"/>
  <c r="AG192" i="1"/>
  <c r="AF192" i="1" a="1"/>
  <c r="AF192" i="1" s="1"/>
  <c r="AD192" i="1"/>
  <c r="AN202" i="1"/>
  <c r="AF202" i="1" a="1"/>
  <c r="AF202" i="1" s="1"/>
  <c r="AD202" i="1"/>
  <c r="AK202" i="1"/>
  <c r="AI202" i="1"/>
  <c r="AH202" i="1"/>
  <c r="AG202" i="1"/>
  <c r="AI209" i="1"/>
  <c r="AN209" i="1"/>
  <c r="AE209" i="1"/>
  <c r="AD209" i="1"/>
  <c r="AK209" i="1"/>
  <c r="AH209" i="1"/>
  <c r="AG209" i="1"/>
  <c r="AF209" i="1" a="1"/>
  <c r="AF209" i="1" s="1"/>
  <c r="BE226" i="1"/>
  <c r="AM226" i="1"/>
  <c r="AO226" i="1" s="1"/>
  <c r="BE250" i="1"/>
  <c r="AM250" i="1"/>
  <c r="AO250" i="1" s="1"/>
  <c r="AB250" i="1" s="1"/>
  <c r="AN115" i="1"/>
  <c r="AF115" i="1" a="1"/>
  <c r="AF115" i="1" s="1"/>
  <c r="AA115" i="1" s="1"/>
  <c r="AI115" i="1"/>
  <c r="AG115" i="1"/>
  <c r="AH115" i="1"/>
  <c r="AB126" i="1"/>
  <c r="AA129" i="1"/>
  <c r="AC129" i="1" s="1"/>
  <c r="AI133" i="1"/>
  <c r="AH133" i="1"/>
  <c r="AF133" i="1" a="1"/>
  <c r="AF133" i="1" s="1"/>
  <c r="AE133" i="1"/>
  <c r="AB133" i="1" s="1"/>
  <c r="AK138" i="1"/>
  <c r="AD138" i="1"/>
  <c r="AI138" i="1"/>
  <c r="AE138" i="1"/>
  <c r="AJ140" i="1"/>
  <c r="AL140" i="1" s="1"/>
  <c r="AM148" i="1"/>
  <c r="AO148" i="1" s="1"/>
  <c r="AJ159" i="1"/>
  <c r="AL159" i="1" s="1"/>
  <c r="AH160" i="1"/>
  <c r="AM162" i="1"/>
  <c r="AO162" i="1" s="1"/>
  <c r="AJ169" i="1"/>
  <c r="AL169" i="1" s="1"/>
  <c r="AB181" i="1"/>
  <c r="BE183" i="1"/>
  <c r="AM183" i="1"/>
  <c r="AO183" i="1" s="1"/>
  <c r="AJ194" i="1"/>
  <c r="AL194" i="1" s="1"/>
  <c r="AA194" i="1" s="1"/>
  <c r="BE206" i="1"/>
  <c r="AM206" i="1"/>
  <c r="AO206" i="1" s="1"/>
  <c r="AM214" i="1"/>
  <c r="AO214" i="1" s="1"/>
  <c r="BE214" i="1"/>
  <c r="BE222" i="1"/>
  <c r="AM222" i="1"/>
  <c r="AO222" i="1" s="1"/>
  <c r="AJ181" i="1"/>
  <c r="AL181" i="1" s="1"/>
  <c r="AA181" i="1" s="1"/>
  <c r="AC181" i="1" s="1"/>
  <c r="BE182" i="1"/>
  <c r="AM197" i="1"/>
  <c r="AO197" i="1" s="1"/>
  <c r="AB197" i="1" s="1"/>
  <c r="BE197" i="1"/>
  <c r="AG199" i="1"/>
  <c r="AE199" i="1"/>
  <c r="AB199" i="1" s="1"/>
  <c r="AD199" i="1"/>
  <c r="AK199" i="1"/>
  <c r="AA199" i="1" s="1"/>
  <c r="AI199" i="1"/>
  <c r="AJ222" i="1"/>
  <c r="AL222" i="1" s="1"/>
  <c r="AM249" i="1"/>
  <c r="AO249" i="1" s="1"/>
  <c r="BE249" i="1"/>
  <c r="AM255" i="1"/>
  <c r="AO255" i="1" s="1"/>
  <c r="BE255" i="1"/>
  <c r="AH259" i="1"/>
  <c r="AG259" i="1"/>
  <c r="AK259" i="1"/>
  <c r="AI259" i="1"/>
  <c r="AN259" i="1"/>
  <c r="AB259" i="1" s="1"/>
  <c r="AE259" i="1"/>
  <c r="AF259" i="1" a="1"/>
  <c r="AF259" i="1" s="1"/>
  <c r="AD259" i="1"/>
  <c r="AM259" i="1"/>
  <c r="AO259" i="1" s="1"/>
  <c r="AK84" i="1"/>
  <c r="AA84" i="1" s="1"/>
  <c r="AD84" i="1"/>
  <c r="AB84" i="1" s="1"/>
  <c r="AF84" i="1" a="1"/>
  <c r="AF84" i="1" s="1"/>
  <c r="AN104" i="1"/>
  <c r="AF105" i="1" a="1"/>
  <c r="AF105" i="1" s="1"/>
  <c r="AA105" i="1" s="1"/>
  <c r="AK116" i="1"/>
  <c r="AA116" i="1" s="1"/>
  <c r="AD116" i="1"/>
  <c r="AB116" i="1" s="1"/>
  <c r="AF116" i="1" a="1"/>
  <c r="AF116" i="1" s="1"/>
  <c r="BE136" i="1"/>
  <c r="BE139" i="1"/>
  <c r="AI152" i="1"/>
  <c r="AH152" i="1"/>
  <c r="AG152" i="1"/>
  <c r="AB152" i="1" s="1"/>
  <c r="AH155" i="1"/>
  <c r="AG155" i="1"/>
  <c r="AN155" i="1"/>
  <c r="AF155" i="1" a="1"/>
  <c r="AF155" i="1" s="1"/>
  <c r="AI155" i="1"/>
  <c r="AJ157" i="1"/>
  <c r="AL157" i="1" s="1"/>
  <c r="AM165" i="1"/>
  <c r="AO165" i="1" s="1"/>
  <c r="AB165" i="1" s="1"/>
  <c r="AC165" i="1" s="1"/>
  <c r="BE165" i="1"/>
  <c r="AI169" i="1"/>
  <c r="AE169" i="1"/>
  <c r="AD169" i="1"/>
  <c r="AK169" i="1"/>
  <c r="AA169" i="1" s="1"/>
  <c r="AC169" i="1" s="1"/>
  <c r="AH169" i="1"/>
  <c r="AN169" i="1"/>
  <c r="AB169" i="1" s="1"/>
  <c r="AH180" i="1"/>
  <c r="AE180" i="1"/>
  <c r="AD180" i="1"/>
  <c r="AB180" i="1" s="1"/>
  <c r="AK180" i="1"/>
  <c r="AI180" i="1"/>
  <c r="AJ191" i="1"/>
  <c r="AL191" i="1" s="1"/>
  <c r="AJ192" i="1"/>
  <c r="AL192" i="1" s="1"/>
  <c r="BE195" i="1"/>
  <c r="AN214" i="1"/>
  <c r="AB214" i="1" s="1"/>
  <c r="AF214" i="1" a="1"/>
  <c r="AF214" i="1" s="1"/>
  <c r="AD214" i="1"/>
  <c r="AK214" i="1"/>
  <c r="AG214" i="1"/>
  <c r="AE214" i="1"/>
  <c r="BE224" i="1"/>
  <c r="AJ224" i="1"/>
  <c r="AL224" i="1" s="1"/>
  <c r="AM225" i="1"/>
  <c r="AO225" i="1" s="1"/>
  <c r="AB225" i="1" s="1"/>
  <c r="BE225" i="1"/>
  <c r="AM234" i="1"/>
  <c r="AO234" i="1" s="1"/>
  <c r="AM239" i="1"/>
  <c r="AO239" i="1" s="1"/>
  <c r="BE239" i="1"/>
  <c r="AJ255" i="1"/>
  <c r="AL255" i="1" s="1"/>
  <c r="AI157" i="1"/>
  <c r="AH157" i="1"/>
  <c r="AB157" i="1" s="1"/>
  <c r="AK157" i="1"/>
  <c r="AI161" i="1"/>
  <c r="AK161" i="1"/>
  <c r="AH161" i="1"/>
  <c r="AB161" i="1" s="1"/>
  <c r="BE166" i="1"/>
  <c r="AM166" i="1"/>
  <c r="AO166" i="1" s="1"/>
  <c r="BE167" i="1"/>
  <c r="AM167" i="1"/>
  <c r="AO167" i="1" s="1"/>
  <c r="AM168" i="1"/>
  <c r="AO168" i="1" s="1"/>
  <c r="AN170" i="1"/>
  <c r="AF170" i="1" a="1"/>
  <c r="AF170" i="1" s="1"/>
  <c r="AD170" i="1"/>
  <c r="AK170" i="1"/>
  <c r="AH170" i="1"/>
  <c r="AJ172" i="1"/>
  <c r="AL172" i="1" s="1"/>
  <c r="AA173" i="1"/>
  <c r="AC173" i="1" s="1"/>
  <c r="AJ174" i="1"/>
  <c r="AL174" i="1" s="1"/>
  <c r="AA174" i="1" s="1"/>
  <c r="AM174" i="1"/>
  <c r="AO174" i="1" s="1"/>
  <c r="AK179" i="1"/>
  <c r="AD179" i="1"/>
  <c r="AN179" i="1"/>
  <c r="AE179" i="1"/>
  <c r="AI179" i="1"/>
  <c r="AM179" i="1"/>
  <c r="AO179" i="1" s="1"/>
  <c r="AJ179" i="1"/>
  <c r="AL179" i="1" s="1"/>
  <c r="BE185" i="1"/>
  <c r="AM185" i="1"/>
  <c r="AO185" i="1" s="1"/>
  <c r="AB185" i="1" s="1"/>
  <c r="AJ193" i="1"/>
  <c r="AL193" i="1" s="1"/>
  <c r="BE194" i="1"/>
  <c r="BE198" i="1"/>
  <c r="AM198" i="1"/>
  <c r="AO198" i="1" s="1"/>
  <c r="AB198" i="1" s="1"/>
  <c r="AJ204" i="1"/>
  <c r="AL204" i="1" s="1"/>
  <c r="BE204" i="1"/>
  <c r="BE212" i="1"/>
  <c r="AM212" i="1"/>
  <c r="AO212" i="1" s="1"/>
  <c r="BE218" i="1"/>
  <c r="AM218" i="1"/>
  <c r="AO218" i="1" s="1"/>
  <c r="AB218" i="1" s="1"/>
  <c r="AJ229" i="1"/>
  <c r="AL229" i="1" s="1"/>
  <c r="BE229" i="1"/>
  <c r="AM229" i="1"/>
  <c r="AO229" i="1" s="1"/>
  <c r="BE247" i="1"/>
  <c r="AM247" i="1"/>
  <c r="AO247" i="1" s="1"/>
  <c r="AB247" i="1" s="1"/>
  <c r="AJ247" i="1"/>
  <c r="AL247" i="1" s="1"/>
  <c r="BE248" i="1"/>
  <c r="AM248" i="1"/>
  <c r="AO248" i="1" s="1"/>
  <c r="AH84" i="1"/>
  <c r="AN96" i="1"/>
  <c r="AB96" i="1" s="1"/>
  <c r="AC96" i="1" s="1"/>
  <c r="AF97" i="1" a="1"/>
  <c r="AF97" i="1" s="1"/>
  <c r="AH104" i="1"/>
  <c r="AA104" i="1" s="1"/>
  <c r="AH105" i="1"/>
  <c r="AK108" i="1"/>
  <c r="AA108" i="1" s="1"/>
  <c r="AD108" i="1"/>
  <c r="AF108" i="1" a="1"/>
  <c r="AF108" i="1" s="1"/>
  <c r="AH116" i="1"/>
  <c r="AI128" i="1"/>
  <c r="AH128" i="1"/>
  <c r="AG128" i="1"/>
  <c r="AF128" i="1" a="1"/>
  <c r="AF128" i="1" s="1"/>
  <c r="AB128" i="1" s="1"/>
  <c r="AI136" i="1"/>
  <c r="AA136" i="1" s="1"/>
  <c r="AH136" i="1"/>
  <c r="AG136" i="1"/>
  <c r="AB136" i="1" s="1"/>
  <c r="AH139" i="1"/>
  <c r="AG139" i="1"/>
  <c r="AN139" i="1"/>
  <c r="AF139" i="1" a="1"/>
  <c r="AF139" i="1" s="1"/>
  <c r="AA139" i="1" s="1"/>
  <c r="AI139" i="1"/>
  <c r="AJ141" i="1"/>
  <c r="AL141" i="1" s="1"/>
  <c r="AI149" i="1"/>
  <c r="AH149" i="1"/>
  <c r="AK149" i="1"/>
  <c r="AK155" i="1"/>
  <c r="AA155" i="1" s="1"/>
  <c r="AE159" i="1"/>
  <c r="AK159" i="1"/>
  <c r="AD159" i="1"/>
  <c r="AH159" i="1"/>
  <c r="BE164" i="1"/>
  <c r="AM169" i="1"/>
  <c r="AO169" i="1" s="1"/>
  <c r="AK171" i="1"/>
  <c r="AD171" i="1"/>
  <c r="AI171" i="1"/>
  <c r="AG171" i="1"/>
  <c r="AN171" i="1"/>
  <c r="BE172" i="1"/>
  <c r="BE175" i="1"/>
  <c r="AM175" i="1"/>
  <c r="AO175" i="1" s="1"/>
  <c r="BE186" i="1"/>
  <c r="AK203" i="1"/>
  <c r="AD203" i="1"/>
  <c r="AB203" i="1" s="1"/>
  <c r="AI203" i="1"/>
  <c r="AH203" i="1"/>
  <c r="AG203" i="1"/>
  <c r="BE209" i="1"/>
  <c r="AM209" i="1"/>
  <c r="AO209" i="1" s="1"/>
  <c r="BE210" i="1"/>
  <c r="AM210" i="1"/>
  <c r="AO210" i="1" s="1"/>
  <c r="AJ225" i="1"/>
  <c r="AL225" i="1" s="1"/>
  <c r="AA225" i="1" s="1"/>
  <c r="BE227" i="1"/>
  <c r="AM227" i="1"/>
  <c r="AO227" i="1" s="1"/>
  <c r="AM238" i="1"/>
  <c r="AO238" i="1" s="1"/>
  <c r="BE238" i="1"/>
  <c r="BE253" i="1"/>
  <c r="AA254" i="1"/>
  <c r="AJ166" i="1"/>
  <c r="AL166" i="1" s="1"/>
  <c r="AA166" i="1" s="1"/>
  <c r="AF172" i="1" a="1"/>
  <c r="AF172" i="1" s="1"/>
  <c r="AB172" i="1" s="1"/>
  <c r="AF182" i="1" a="1"/>
  <c r="AF182" i="1" s="1"/>
  <c r="AB182" i="1" s="1"/>
  <c r="AE183" i="1"/>
  <c r="AA183" i="1" s="1"/>
  <c r="AN184" i="1"/>
  <c r="AF193" i="1" a="1"/>
  <c r="AF193" i="1" s="1"/>
  <c r="AB193" i="1" s="1"/>
  <c r="AN194" i="1"/>
  <c r="AF194" i="1" a="1"/>
  <c r="AF194" i="1" s="1"/>
  <c r="AJ198" i="1"/>
  <c r="AL198" i="1" s="1"/>
  <c r="AA198" i="1" s="1"/>
  <c r="AF204" i="1" a="1"/>
  <c r="AF204" i="1" s="1"/>
  <c r="AB204" i="1" s="1"/>
  <c r="AJ213" i="1"/>
  <c r="AL213" i="1" s="1"/>
  <c r="AM233" i="1"/>
  <c r="AO233" i="1" s="1"/>
  <c r="AB233" i="1" s="1"/>
  <c r="BE233" i="1"/>
  <c r="BE237" i="1"/>
  <c r="AM237" i="1"/>
  <c r="AO237" i="1" s="1"/>
  <c r="AJ239" i="1"/>
  <c r="AL239" i="1" s="1"/>
  <c r="AN183" i="1"/>
  <c r="AF184" i="1" a="1"/>
  <c r="AF184" i="1" s="1"/>
  <c r="AA184" i="1" s="1"/>
  <c r="BE191" i="1"/>
  <c r="AK195" i="1"/>
  <c r="AD195" i="1"/>
  <c r="AB195" i="1" s="1"/>
  <c r="AF195" i="1" a="1"/>
  <c r="AF195" i="1" s="1"/>
  <c r="AH207" i="1"/>
  <c r="AG207" i="1"/>
  <c r="AF207" i="1" a="1"/>
  <c r="AF207" i="1" s="1"/>
  <c r="AB207" i="1" s="1"/>
  <c r="BE207" i="1"/>
  <c r="AK215" i="1"/>
  <c r="AD215" i="1"/>
  <c r="AN215" i="1"/>
  <c r="AB215" i="1" s="1"/>
  <c r="AE215" i="1"/>
  <c r="AI215" i="1"/>
  <c r="AJ233" i="1"/>
  <c r="AL233" i="1" s="1"/>
  <c r="AA233" i="1" s="1"/>
  <c r="AC233" i="1" s="1"/>
  <c r="BE235" i="1"/>
  <c r="AN246" i="1"/>
  <c r="AF246" i="1" a="1"/>
  <c r="AF246" i="1" s="1"/>
  <c r="AD246" i="1"/>
  <c r="AG246" i="1"/>
  <c r="AE246" i="1"/>
  <c r="AK246" i="1"/>
  <c r="AA246" i="1" s="1"/>
  <c r="AJ249" i="1"/>
  <c r="AL249" i="1" s="1"/>
  <c r="AA249" i="1" s="1"/>
  <c r="AC249" i="1" s="1"/>
  <c r="AK258" i="1"/>
  <c r="AI258" i="1"/>
  <c r="AH258" i="1"/>
  <c r="AN258" i="1"/>
  <c r="AB258" i="1" s="1"/>
  <c r="AD258" i="1"/>
  <c r="AF258" i="1" a="1"/>
  <c r="AF258" i="1" s="1"/>
  <c r="AE258" i="1"/>
  <c r="AD132" i="1"/>
  <c r="AK132" i="1"/>
  <c r="AA132" i="1" s="1"/>
  <c r="AD140" i="1"/>
  <c r="AK140" i="1"/>
  <c r="AD148" i="1"/>
  <c r="AK148" i="1"/>
  <c r="AD156" i="1"/>
  <c r="AB156" i="1" s="1"/>
  <c r="AK156" i="1"/>
  <c r="AA156" i="1" s="1"/>
  <c r="AF164" i="1" a="1"/>
  <c r="AF164" i="1" s="1"/>
  <c r="AA164" i="1" s="1"/>
  <c r="AE166" i="1"/>
  <c r="AI172" i="1"/>
  <c r="AF174" i="1" a="1"/>
  <c r="AF174" i="1" s="1"/>
  <c r="AE177" i="1"/>
  <c r="AD178" i="1"/>
  <c r="AH182" i="1"/>
  <c r="AA182" i="1" s="1"/>
  <c r="AF183" i="1" a="1"/>
  <c r="AF183" i="1" s="1"/>
  <c r="AG184" i="1"/>
  <c r="AF185" i="1" a="1"/>
  <c r="AF185" i="1" s="1"/>
  <c r="AA185" i="1" s="1"/>
  <c r="AN186" i="1"/>
  <c r="AF186" i="1" a="1"/>
  <c r="AF186" i="1" s="1"/>
  <c r="AE188" i="1"/>
  <c r="AA188" i="1" s="1"/>
  <c r="AC188" i="1" s="1"/>
  <c r="AJ190" i="1"/>
  <c r="AL190" i="1" s="1"/>
  <c r="AH193" i="1"/>
  <c r="AH194" i="1"/>
  <c r="AG195" i="1"/>
  <c r="AF196" i="1" a="1"/>
  <c r="AF196" i="1" s="1"/>
  <c r="AA196" i="1" s="1"/>
  <c r="AI204" i="1"/>
  <c r="AK206" i="1"/>
  <c r="AD206" i="1"/>
  <c r="AG206" i="1"/>
  <c r="AI207" i="1"/>
  <c r="AA222" i="1"/>
  <c r="BE228" i="1"/>
  <c r="AK231" i="1"/>
  <c r="AD231" i="1"/>
  <c r="AG231" i="1"/>
  <c r="AN231" i="1"/>
  <c r="AH231" i="1"/>
  <c r="AM231" i="1"/>
  <c r="AO231" i="1" s="1"/>
  <c r="AA232" i="1"/>
  <c r="BE236" i="1"/>
  <c r="AM236" i="1"/>
  <c r="AO236" i="1" s="1"/>
  <c r="AA242" i="1"/>
  <c r="AI245" i="1"/>
  <c r="AE245" i="1"/>
  <c r="AK245" i="1"/>
  <c r="AG245" i="1"/>
  <c r="AN245" i="1"/>
  <c r="AJ256" i="1"/>
  <c r="AL256" i="1" s="1"/>
  <c r="AB257" i="1"/>
  <c r="AF126" i="1" a="1"/>
  <c r="AF126" i="1" s="1"/>
  <c r="AA126" i="1" s="1"/>
  <c r="AC126" i="1" s="1"/>
  <c r="AF134" i="1" a="1"/>
  <c r="AF134" i="1" s="1"/>
  <c r="AA134" i="1" s="1"/>
  <c r="AF142" i="1" a="1"/>
  <c r="AF142" i="1" s="1"/>
  <c r="AB142" i="1" s="1"/>
  <c r="AF150" i="1" a="1"/>
  <c r="AF150" i="1" s="1"/>
  <c r="AB150" i="1" s="1"/>
  <c r="AF158" i="1" a="1"/>
  <c r="AF158" i="1" s="1"/>
  <c r="AG164" i="1"/>
  <c r="AN166" i="1"/>
  <c r="AB166" i="1" s="1"/>
  <c r="AN175" i="1"/>
  <c r="AB175" i="1" s="1"/>
  <c r="AF176" i="1" a="1"/>
  <c r="AF176" i="1" s="1"/>
  <c r="AA176" i="1" s="1"/>
  <c r="AN177" i="1"/>
  <c r="AI182" i="1"/>
  <c r="AH183" i="1"/>
  <c r="AH184" i="1"/>
  <c r="AG185" i="1"/>
  <c r="AG186" i="1"/>
  <c r="AK187" i="1"/>
  <c r="AD187" i="1"/>
  <c r="AF187" i="1" a="1"/>
  <c r="AF187" i="1" s="1"/>
  <c r="AN188" i="1"/>
  <c r="AB188" i="1" s="1"/>
  <c r="AI194" i="1"/>
  <c r="AH195" i="1"/>
  <c r="AG196" i="1"/>
  <c r="AH206" i="1"/>
  <c r="AI213" i="1"/>
  <c r="AE213" i="1"/>
  <c r="AB213" i="1" s="1"/>
  <c r="AK213" i="1"/>
  <c r="AH213" i="1"/>
  <c r="AH216" i="1"/>
  <c r="AK216" i="1"/>
  <c r="AI216" i="1"/>
  <c r="AF216" i="1" a="1"/>
  <c r="AF216" i="1" s="1"/>
  <c r="AA217" i="1"/>
  <c r="AG219" i="1"/>
  <c r="AF219" i="1" a="1"/>
  <c r="AF219" i="1" s="1"/>
  <c r="AE219" i="1"/>
  <c r="AN219" i="1"/>
  <c r="AB219" i="1" s="1"/>
  <c r="AH224" i="1"/>
  <c r="AE224" i="1"/>
  <c r="AK224" i="1"/>
  <c r="AG224" i="1"/>
  <c r="AN224" i="1"/>
  <c r="AI224" i="1"/>
  <c r="AF224" i="1" a="1"/>
  <c r="AF224" i="1" s="1"/>
  <c r="AB227" i="1"/>
  <c r="AE228" i="1"/>
  <c r="AI228" i="1"/>
  <c r="AG228" i="1"/>
  <c r="AD228" i="1"/>
  <c r="AA228" i="1" s="1"/>
  <c r="AH228" i="1"/>
  <c r="AF228" i="1" a="1"/>
  <c r="AF228" i="1" s="1"/>
  <c r="AA230" i="1"/>
  <c r="AJ241" i="1"/>
  <c r="AL241" i="1" s="1"/>
  <c r="AM246" i="1"/>
  <c r="AO246" i="1" s="1"/>
  <c r="BE246" i="1"/>
  <c r="AH248" i="1"/>
  <c r="AK248" i="1"/>
  <c r="AI248" i="1"/>
  <c r="AN248" i="1"/>
  <c r="AD248" i="1"/>
  <c r="AG248" i="1"/>
  <c r="AF248" i="1" a="1"/>
  <c r="AF248" i="1" s="1"/>
  <c r="AE248" i="1"/>
  <c r="AE252" i="1"/>
  <c r="AG252" i="1"/>
  <c r="AN252" i="1"/>
  <c r="AB252" i="1" s="1"/>
  <c r="AH252" i="1"/>
  <c r="AH256" i="1"/>
  <c r="AE256" i="1"/>
  <c r="AD256" i="1"/>
  <c r="AK256" i="1"/>
  <c r="AA256" i="1" s="1"/>
  <c r="AG256" i="1"/>
  <c r="AN256" i="1"/>
  <c r="AB256" i="1" s="1"/>
  <c r="AI256" i="1"/>
  <c r="AF256" i="1" a="1"/>
  <c r="AF256" i="1" s="1"/>
  <c r="AM257" i="1"/>
  <c r="AO257" i="1" s="1"/>
  <c r="BE257" i="1"/>
  <c r="AK172" i="1"/>
  <c r="AF177" i="1" a="1"/>
  <c r="AF177" i="1" s="1"/>
  <c r="AN178" i="1"/>
  <c r="AF178" i="1" a="1"/>
  <c r="AF178" i="1" s="1"/>
  <c r="AJ182" i="1"/>
  <c r="AL182" i="1" s="1"/>
  <c r="AI183" i="1"/>
  <c r="AI184" i="1"/>
  <c r="AF188" i="1" a="1"/>
  <c r="AF188" i="1" s="1"/>
  <c r="AK193" i="1"/>
  <c r="AI195" i="1"/>
  <c r="AI196" i="1"/>
  <c r="AK204" i="1"/>
  <c r="AA204" i="1" s="1"/>
  <c r="AI206" i="1"/>
  <c r="AJ206" i="1"/>
  <c r="AL206" i="1" s="1"/>
  <c r="AK207" i="1"/>
  <c r="AG210" i="1"/>
  <c r="AN210" i="1"/>
  <c r="AF210" i="1" a="1"/>
  <c r="AF210" i="1" s="1"/>
  <c r="AA210" i="1" s="1"/>
  <c r="AM216" i="1"/>
  <c r="AO216" i="1" s="1"/>
  <c r="AK219" i="1"/>
  <c r="AA219" i="1" s="1"/>
  <c r="AC219" i="1" s="1"/>
  <c r="AM224" i="1"/>
  <c r="AO224" i="1" s="1"/>
  <c r="AG227" i="1"/>
  <c r="AI227" i="1"/>
  <c r="AF227" i="1" a="1"/>
  <c r="AF227" i="1" s="1"/>
  <c r="AD227" i="1"/>
  <c r="AK227" i="1"/>
  <c r="AH227" i="1"/>
  <c r="AM228" i="1"/>
  <c r="AO228" i="1" s="1"/>
  <c r="AB228" i="1" s="1"/>
  <c r="AM230" i="1"/>
  <c r="AO230" i="1" s="1"/>
  <c r="AM244" i="1"/>
  <c r="AO244" i="1" s="1"/>
  <c r="BE245" i="1"/>
  <c r="AJ246" i="1"/>
  <c r="AL246" i="1" s="1"/>
  <c r="AG251" i="1"/>
  <c r="AF251" i="1" a="1"/>
  <c r="AF251" i="1" s="1"/>
  <c r="AE251" i="1"/>
  <c r="AH251" i="1"/>
  <c r="AD251" i="1"/>
  <c r="AG258" i="1"/>
  <c r="AJ259" i="1"/>
  <c r="AL259" i="1" s="1"/>
  <c r="BE263" i="1"/>
  <c r="AJ263" i="1"/>
  <c r="AL263" i="1" s="1"/>
  <c r="AA263" i="1" s="1"/>
  <c r="BE280" i="1"/>
  <c r="AM280" i="1"/>
  <c r="AO280" i="1" s="1"/>
  <c r="AJ280" i="1"/>
  <c r="AL280" i="1" s="1"/>
  <c r="AM271" i="1"/>
  <c r="AO271" i="1" s="1"/>
  <c r="BE271" i="1"/>
  <c r="AJ250" i="1"/>
  <c r="AL250" i="1" s="1"/>
  <c r="AA250" i="1" s="1"/>
  <c r="BE254" i="1"/>
  <c r="AM254" i="1"/>
  <c r="AO254" i="1" s="1"/>
  <c r="BE262" i="1"/>
  <c r="AM262" i="1"/>
  <c r="AO262" i="1" s="1"/>
  <c r="AA266" i="1"/>
  <c r="AJ268" i="1"/>
  <c r="AL268" i="1" s="1"/>
  <c r="AB277" i="1"/>
  <c r="AJ218" i="1"/>
  <c r="AL218" i="1" s="1"/>
  <c r="AA218" i="1" s="1"/>
  <c r="AC218" i="1" s="1"/>
  <c r="AM221" i="1"/>
  <c r="AO221" i="1" s="1"/>
  <c r="AB221" i="1" s="1"/>
  <c r="AJ227" i="1"/>
  <c r="AL227" i="1" s="1"/>
  <c r="AI237" i="1"/>
  <c r="AK237" i="1"/>
  <c r="AA237" i="1" s="1"/>
  <c r="AC237" i="1" s="1"/>
  <c r="AH237" i="1"/>
  <c r="AN237" i="1"/>
  <c r="AB237" i="1" s="1"/>
  <c r="AD237" i="1"/>
  <c r="AN238" i="1"/>
  <c r="AF238" i="1" a="1"/>
  <c r="AF238" i="1" s="1"/>
  <c r="AH238" i="1"/>
  <c r="AE238" i="1"/>
  <c r="AK238" i="1"/>
  <c r="AJ240" i="1"/>
  <c r="AL240" i="1" s="1"/>
  <c r="AB249" i="1"/>
  <c r="AJ251" i="1"/>
  <c r="AL251" i="1" s="1"/>
  <c r="AJ257" i="1"/>
  <c r="AL257" i="1" s="1"/>
  <c r="AA257" i="1" s="1"/>
  <c r="AC257" i="1" s="1"/>
  <c r="AA265" i="1"/>
  <c r="AG211" i="1"/>
  <c r="AE211" i="1"/>
  <c r="AF211" i="1" a="1"/>
  <c r="AF211" i="1" s="1"/>
  <c r="BE211" i="1"/>
  <c r="AM211" i="1"/>
  <c r="AO211" i="1" s="1"/>
  <c r="AB211" i="1" s="1"/>
  <c r="AM217" i="1"/>
  <c r="AO217" i="1" s="1"/>
  <c r="AE220" i="1"/>
  <c r="AG220" i="1"/>
  <c r="AN220" i="1"/>
  <c r="AH220" i="1"/>
  <c r="AK220" i="1"/>
  <c r="AJ221" i="1"/>
  <c r="AL221" i="1" s="1"/>
  <c r="AA221" i="1" s="1"/>
  <c r="AC221" i="1" s="1"/>
  <c r="AK226" i="1"/>
  <c r="AH226" i="1"/>
  <c r="AN226" i="1"/>
  <c r="AD226" i="1"/>
  <c r="BE230" i="1"/>
  <c r="AJ232" i="1"/>
  <c r="AL232" i="1" s="1"/>
  <c r="AK239" i="1"/>
  <c r="AD239" i="1"/>
  <c r="AI239" i="1"/>
  <c r="AG239" i="1"/>
  <c r="AE239" i="1"/>
  <c r="AN239" i="1"/>
  <c r="AB239" i="1" s="1"/>
  <c r="BE242" i="1"/>
  <c r="AM242" i="1"/>
  <c r="AO242" i="1" s="1"/>
  <c r="AB242" i="1" s="1"/>
  <c r="BE243" i="1"/>
  <c r="AM243" i="1"/>
  <c r="AO243" i="1" s="1"/>
  <c r="BE244" i="1"/>
  <c r="AM245" i="1"/>
  <c r="AO245" i="1" s="1"/>
  <c r="AA253" i="1"/>
  <c r="AG262" i="1"/>
  <c r="AN262" i="1"/>
  <c r="AF262" i="1" a="1"/>
  <c r="AF262" i="1" s="1"/>
  <c r="AH262" i="1"/>
  <c r="AK262" i="1"/>
  <c r="AD262" i="1"/>
  <c r="AJ262" i="1"/>
  <c r="AL262" i="1" s="1"/>
  <c r="AB265" i="1"/>
  <c r="BE265" i="1"/>
  <c r="AM265" i="1"/>
  <c r="AO265" i="1" s="1"/>
  <c r="AJ267" i="1"/>
  <c r="AL267" i="1" s="1"/>
  <c r="AA267" i="1" s="1"/>
  <c r="AC267" i="1" s="1"/>
  <c r="BE219" i="1"/>
  <c r="AK223" i="1"/>
  <c r="AD223" i="1"/>
  <c r="AF223" i="1" a="1"/>
  <c r="AF223" i="1" s="1"/>
  <c r="AM241" i="1"/>
  <c r="AO241" i="1" s="1"/>
  <c r="AB241" i="1" s="1"/>
  <c r="AN243" i="1"/>
  <c r="AF244" i="1" a="1"/>
  <c r="AF244" i="1" s="1"/>
  <c r="BE251" i="1"/>
  <c r="AK255" i="1"/>
  <c r="AD255" i="1"/>
  <c r="AF255" i="1" a="1"/>
  <c r="AF255" i="1" s="1"/>
  <c r="AM260" i="1"/>
  <c r="AO260" i="1" s="1"/>
  <c r="AB264" i="1"/>
  <c r="AM268" i="1"/>
  <c r="AO268" i="1" s="1"/>
  <c r="BE268" i="1"/>
  <c r="AJ270" i="1"/>
  <c r="AL270" i="1" s="1"/>
  <c r="AA270" i="1" s="1"/>
  <c r="AC270" i="1" s="1"/>
  <c r="AE286" i="1"/>
  <c r="AH286" i="1"/>
  <c r="AG286" i="1"/>
  <c r="AN286" i="1"/>
  <c r="AK286" i="1"/>
  <c r="AF286" i="1" a="1"/>
  <c r="AF286" i="1" s="1"/>
  <c r="AG272" i="1"/>
  <c r="AI272" i="1"/>
  <c r="AH272" i="1"/>
  <c r="AK272" i="1"/>
  <c r="AJ272" i="1"/>
  <c r="AL272" i="1" s="1"/>
  <c r="AG273" i="1"/>
  <c r="AB285" i="1"/>
  <c r="BE289" i="1"/>
  <c r="AM289" i="1"/>
  <c r="AO289" i="1" s="1"/>
  <c r="AH223" i="1"/>
  <c r="AD229" i="1"/>
  <c r="AA229" i="1" s="1"/>
  <c r="AN235" i="1"/>
  <c r="AB235" i="1" s="1"/>
  <c r="AF236" i="1" a="1"/>
  <c r="AF236" i="1" s="1"/>
  <c r="AD240" i="1"/>
  <c r="AH243" i="1"/>
  <c r="AH244" i="1"/>
  <c r="AK247" i="1"/>
  <c r="AD247" i="1"/>
  <c r="AF247" i="1" a="1"/>
  <c r="AF247" i="1" s="1"/>
  <c r="AD250" i="1"/>
  <c r="AH255" i="1"/>
  <c r="AM269" i="1"/>
  <c r="AO269" i="1" s="1"/>
  <c r="AJ284" i="1"/>
  <c r="AL284" i="1" s="1"/>
  <c r="AA287" i="1"/>
  <c r="AC287" i="1" s="1"/>
  <c r="AM294" i="1"/>
  <c r="AO294" i="1" s="1"/>
  <c r="BE294" i="1"/>
  <c r="AE310" i="1"/>
  <c r="AK310" i="1"/>
  <c r="AD310" i="1"/>
  <c r="AH310" i="1"/>
  <c r="AN310" i="1"/>
  <c r="AB310" i="1" s="1"/>
  <c r="AF310" i="1" a="1"/>
  <c r="AF310" i="1" s="1"/>
  <c r="AG310" i="1"/>
  <c r="AI310" i="1"/>
  <c r="AM310" i="1"/>
  <c r="AO310" i="1" s="1"/>
  <c r="AM272" i="1"/>
  <c r="AO272" i="1" s="1"/>
  <c r="AE273" i="1"/>
  <c r="AI273" i="1"/>
  <c r="AK273" i="1"/>
  <c r="AA273" i="1" s="1"/>
  <c r="AN273" i="1"/>
  <c r="AB273" i="1" s="1"/>
  <c r="AJ275" i="1"/>
  <c r="AL275" i="1" s="1"/>
  <c r="AN288" i="1"/>
  <c r="AF288" i="1" a="1"/>
  <c r="AF288" i="1" s="1"/>
  <c r="AE288" i="1"/>
  <c r="AK288" i="1"/>
  <c r="AA288" i="1" s="1"/>
  <c r="AH288" i="1"/>
  <c r="AG288" i="1"/>
  <c r="AI288" i="1"/>
  <c r="AM291" i="1"/>
  <c r="AO291" i="1" s="1"/>
  <c r="AB291" i="1" s="1"/>
  <c r="BE291" i="1"/>
  <c r="BE292" i="1"/>
  <c r="AB297" i="1"/>
  <c r="AJ308" i="1"/>
  <c r="AL308" i="1" s="1"/>
  <c r="AA308" i="1" s="1"/>
  <c r="AC308" i="1" s="1"/>
  <c r="BE308" i="1"/>
  <c r="AM308" i="1"/>
  <c r="AO308" i="1" s="1"/>
  <c r="AG269" i="1"/>
  <c r="AB270" i="1"/>
  <c r="AG271" i="1"/>
  <c r="AN272" i="1"/>
  <c r="AB272" i="1" s="1"/>
  <c r="AI274" i="1"/>
  <c r="AN274" i="1"/>
  <c r="AB274" i="1" s="1"/>
  <c r="AF274" i="1" a="1"/>
  <c r="AF274" i="1" s="1"/>
  <c r="AD274" i="1"/>
  <c r="AE274" i="1"/>
  <c r="AK274" i="1"/>
  <c r="AA274" i="1" s="1"/>
  <c r="AA277" i="1"/>
  <c r="AC277" i="1" s="1"/>
  <c r="AG279" i="1"/>
  <c r="AK279" i="1"/>
  <c r="AA279" i="1" s="1"/>
  <c r="AI279" i="1"/>
  <c r="AN279" i="1"/>
  <c r="AG280" i="1"/>
  <c r="AE280" i="1"/>
  <c r="AK280" i="1"/>
  <c r="AH280" i="1"/>
  <c r="AN280" i="1"/>
  <c r="AD280" i="1"/>
  <c r="AD286" i="1"/>
  <c r="AJ291" i="1"/>
  <c r="AL291" i="1" s="1"/>
  <c r="AA291" i="1" s="1"/>
  <c r="AC291" i="1" s="1"/>
  <c r="AA306" i="1"/>
  <c r="AF218" i="1" a="1"/>
  <c r="AF218" i="1" s="1"/>
  <c r="AM219" i="1"/>
  <c r="AO219" i="1" s="1"/>
  <c r="AF229" i="1" a="1"/>
  <c r="AF229" i="1" s="1"/>
  <c r="AN230" i="1"/>
  <c r="AB230" i="1" s="1"/>
  <c r="AF230" i="1" a="1"/>
  <c r="AF230" i="1" s="1"/>
  <c r="AJ234" i="1"/>
  <c r="AL234" i="1" s="1"/>
  <c r="AF240" i="1" a="1"/>
  <c r="AF240" i="1" s="1"/>
  <c r="AA240" i="1" s="1"/>
  <c r="AK243" i="1"/>
  <c r="AK244" i="1"/>
  <c r="AA244" i="1" s="1"/>
  <c r="AC244" i="1" s="1"/>
  <c r="AF250" i="1" a="1"/>
  <c r="AF250" i="1" s="1"/>
  <c r="AM251" i="1"/>
  <c r="AO251" i="1" s="1"/>
  <c r="AB251" i="1" s="1"/>
  <c r="AM253" i="1"/>
  <c r="AO253" i="1" s="1"/>
  <c r="AB253" i="1" s="1"/>
  <c r="AI264" i="1"/>
  <c r="AH264" i="1"/>
  <c r="AK264" i="1"/>
  <c r="AA264" i="1" s="1"/>
  <c r="AJ264" i="1"/>
  <c r="AL264" i="1" s="1"/>
  <c r="AD272" i="1"/>
  <c r="BE272" i="1"/>
  <c r="AM273" i="1"/>
  <c r="AO273" i="1" s="1"/>
  <c r="BE274" i="1"/>
  <c r="AM274" i="1"/>
  <c r="AO274" i="1" s="1"/>
  <c r="AJ276" i="1"/>
  <c r="AL276" i="1" s="1"/>
  <c r="AN283" i="1"/>
  <c r="AF283" i="1" a="1"/>
  <c r="AF283" i="1" s="1"/>
  <c r="AK283" i="1"/>
  <c r="AD283" i="1"/>
  <c r="AI283" i="1"/>
  <c r="BE283" i="1"/>
  <c r="AM284" i="1"/>
  <c r="AO284" i="1" s="1"/>
  <c r="AI286" i="1"/>
  <c r="AJ290" i="1"/>
  <c r="AL290" i="1" s="1"/>
  <c r="BE301" i="1"/>
  <c r="AM301" i="1"/>
  <c r="AO301" i="1" s="1"/>
  <c r="AB301" i="1" s="1"/>
  <c r="AE255" i="1"/>
  <c r="BE260" i="1"/>
  <c r="BE267" i="1"/>
  <c r="AM267" i="1"/>
  <c r="AO267" i="1" s="1"/>
  <c r="AH269" i="1"/>
  <c r="AE269" i="1"/>
  <c r="AD269" i="1"/>
  <c r="AN269" i="1"/>
  <c r="AB269" i="1" s="1"/>
  <c r="AK271" i="1"/>
  <c r="AA271" i="1" s="1"/>
  <c r="AI271" i="1"/>
  <c r="AD271" i="1"/>
  <c r="AE272" i="1"/>
  <c r="AD273" i="1"/>
  <c r="AJ273" i="1"/>
  <c r="AL273" i="1" s="1"/>
  <c r="AM278" i="1"/>
  <c r="AO278" i="1" s="1"/>
  <c r="AB278" i="1" s="1"/>
  <c r="BE278" i="1"/>
  <c r="BE279" i="1"/>
  <c r="AF221" i="1" a="1"/>
  <c r="AF221" i="1" s="1"/>
  <c r="AN222" i="1"/>
  <c r="AF222" i="1" a="1"/>
  <c r="AF222" i="1" s="1"/>
  <c r="AN223" i="1"/>
  <c r="AJ226" i="1"/>
  <c r="AL226" i="1" s="1"/>
  <c r="AH229" i="1"/>
  <c r="AH230" i="1"/>
  <c r="AF232" i="1" a="1"/>
  <c r="AF232" i="1" s="1"/>
  <c r="AK235" i="1"/>
  <c r="AA235" i="1" s="1"/>
  <c r="AC235" i="1" s="1"/>
  <c r="AK236" i="1"/>
  <c r="AA236" i="1" s="1"/>
  <c r="AI240" i="1"/>
  <c r="AE243" i="1"/>
  <c r="AN244" i="1"/>
  <c r="AB244" i="1" s="1"/>
  <c r="AF253" i="1" a="1"/>
  <c r="AF253" i="1" s="1"/>
  <c r="AN254" i="1"/>
  <c r="AB254" i="1" s="1"/>
  <c r="AF254" i="1" a="1"/>
  <c r="AF254" i="1" s="1"/>
  <c r="AN255" i="1"/>
  <c r="AB255" i="1" s="1"/>
  <c r="AJ258" i="1"/>
  <c r="AL258" i="1" s="1"/>
  <c r="AI261" i="1"/>
  <c r="AK261" i="1"/>
  <c r="AD261" i="1"/>
  <c r="AB261" i="1" s="1"/>
  <c r="AH261" i="1"/>
  <c r="AJ261" i="1"/>
  <c r="AL261" i="1" s="1"/>
  <c r="AM264" i="1"/>
  <c r="AO264" i="1" s="1"/>
  <c r="AK269" i="1"/>
  <c r="AA269" i="1" s="1"/>
  <c r="AC269" i="1" s="1"/>
  <c r="AN271" i="1"/>
  <c r="BE275" i="1"/>
  <c r="BE277" i="1"/>
  <c r="AD279" i="1"/>
  <c r="BE282" i="1"/>
  <c r="AM282" i="1"/>
  <c r="AO282" i="1" s="1"/>
  <c r="BE284" i="1"/>
  <c r="BE286" i="1"/>
  <c r="AM286" i="1"/>
  <c r="AO286" i="1" s="1"/>
  <c r="AD288" i="1"/>
  <c r="AM302" i="1"/>
  <c r="AO302" i="1" s="1"/>
  <c r="BE302" i="1"/>
  <c r="AF260" i="1" a="1"/>
  <c r="AF260" i="1" s="1"/>
  <c r="AN260" i="1"/>
  <c r="AG266" i="1"/>
  <c r="AG267" i="1"/>
  <c r="AK268" i="1"/>
  <c r="AD268" i="1"/>
  <c r="AF268" i="1" a="1"/>
  <c r="AF268" i="1" s="1"/>
  <c r="AN275" i="1"/>
  <c r="AF275" i="1" a="1"/>
  <c r="AF275" i="1" s="1"/>
  <c r="AK275" i="1"/>
  <c r="AD275" i="1"/>
  <c r="AG275" i="1"/>
  <c r="AE281" i="1"/>
  <c r="AI281" i="1"/>
  <c r="AG281" i="1"/>
  <c r="AB287" i="1"/>
  <c r="AH298" i="1"/>
  <c r="AN298" i="1"/>
  <c r="AB298" i="1" s="1"/>
  <c r="AF298" i="1" a="1"/>
  <c r="AF298" i="1" s="1"/>
  <c r="AE298" i="1"/>
  <c r="AG298" i="1"/>
  <c r="AD298" i="1"/>
  <c r="AH300" i="1"/>
  <c r="AN300" i="1"/>
  <c r="AB300" i="1" s="1"/>
  <c r="AF300" i="1" a="1"/>
  <c r="AF300" i="1" s="1"/>
  <c r="AE300" i="1"/>
  <c r="AG300" i="1"/>
  <c r="AD300" i="1"/>
  <c r="BE317" i="1"/>
  <c r="AM317" i="1"/>
  <c r="AO317" i="1" s="1"/>
  <c r="AA318" i="1"/>
  <c r="AG319" i="1"/>
  <c r="AN319" i="1"/>
  <c r="AB319" i="1" s="1"/>
  <c r="AF319" i="1" a="1"/>
  <c r="AF319" i="1" s="1"/>
  <c r="AK319" i="1"/>
  <c r="AI319" i="1"/>
  <c r="AD319" i="1"/>
  <c r="AH319" i="1"/>
  <c r="AE319" i="1"/>
  <c r="AJ301" i="1"/>
  <c r="AL301" i="1" s="1"/>
  <c r="AA301" i="1" s="1"/>
  <c r="AA314" i="1"/>
  <c r="AN315" i="1"/>
  <c r="AF315" i="1" a="1"/>
  <c r="AF315" i="1" s="1"/>
  <c r="AE315" i="1"/>
  <c r="AD315" i="1"/>
  <c r="AK315" i="1"/>
  <c r="AA315" i="1" s="1"/>
  <c r="AI315" i="1"/>
  <c r="AG315" i="1"/>
  <c r="AH315" i="1"/>
  <c r="AJ317" i="1"/>
  <c r="AL317" i="1" s="1"/>
  <c r="BE326" i="1"/>
  <c r="AM326" i="1"/>
  <c r="AO326" i="1" s="1"/>
  <c r="AK281" i="1"/>
  <c r="AA281" i="1" s="1"/>
  <c r="AC281" i="1" s="1"/>
  <c r="AK284" i="1"/>
  <c r="AD284" i="1"/>
  <c r="AH284" i="1"/>
  <c r="AI284" i="1"/>
  <c r="AA285" i="1"/>
  <c r="BE287" i="1"/>
  <c r="AK289" i="1"/>
  <c r="AD289" i="1"/>
  <c r="AI289" i="1"/>
  <c r="AN289" i="1"/>
  <c r="AB289" i="1" s="1"/>
  <c r="AE289" i="1"/>
  <c r="AH290" i="1"/>
  <c r="AN290" i="1"/>
  <c r="AB290" i="1" s="1"/>
  <c r="AF290" i="1" a="1"/>
  <c r="AF290" i="1" s="1"/>
  <c r="AE290" i="1"/>
  <c r="AK290" i="1"/>
  <c r="BE296" i="1"/>
  <c r="AM296" i="1"/>
  <c r="AO296" i="1" s="1"/>
  <c r="AI298" i="1"/>
  <c r="AJ299" i="1"/>
  <c r="AL299" i="1" s="1"/>
  <c r="AA299" i="1" s="1"/>
  <c r="AI300" i="1"/>
  <c r="AJ305" i="1"/>
  <c r="AL305" i="1" s="1"/>
  <c r="AA305" i="1" s="1"/>
  <c r="AC305" i="1" s="1"/>
  <c r="AM316" i="1"/>
  <c r="AO316" i="1" s="1"/>
  <c r="AB316" i="1" s="1"/>
  <c r="BE316" i="1"/>
  <c r="BE319" i="1"/>
  <c r="AM319" i="1"/>
  <c r="AO319" i="1" s="1"/>
  <c r="AJ316" i="1"/>
  <c r="AL316" i="1" s="1"/>
  <c r="AK323" i="1"/>
  <c r="AD323" i="1"/>
  <c r="AH323" i="1"/>
  <c r="AN323" i="1"/>
  <c r="AB323" i="1" s="1"/>
  <c r="AF323" i="1" a="1"/>
  <c r="AF323" i="1" s="1"/>
  <c r="AI323" i="1"/>
  <c r="AG323" i="1"/>
  <c r="AE323" i="1"/>
  <c r="AD263" i="1"/>
  <c r="AB263" i="1" s="1"/>
  <c r="AF265" i="1" a="1"/>
  <c r="AF265" i="1" s="1"/>
  <c r="AN266" i="1"/>
  <c r="AB266" i="1" s="1"/>
  <c r="AE268" i="1"/>
  <c r="AE275" i="1"/>
  <c r="AM277" i="1"/>
  <c r="AO277" i="1" s="1"/>
  <c r="AJ279" i="1"/>
  <c r="AL279" i="1" s="1"/>
  <c r="AI282" i="1"/>
  <c r="AN282" i="1"/>
  <c r="AF282" i="1" a="1"/>
  <c r="AF282" i="1" s="1"/>
  <c r="AG282" i="1"/>
  <c r="AN284" i="1"/>
  <c r="AB284" i="1" s="1"/>
  <c r="BE285" i="1"/>
  <c r="AM285" i="1"/>
  <c r="AO285" i="1" s="1"/>
  <c r="AJ288" i="1"/>
  <c r="AL288" i="1" s="1"/>
  <c r="AJ289" i="1"/>
  <c r="AL289" i="1" s="1"/>
  <c r="BE290" i="1"/>
  <c r="AJ292" i="1"/>
  <c r="AL292" i="1" s="1"/>
  <c r="AA292" i="1" s="1"/>
  <c r="AM306" i="1"/>
  <c r="AO306" i="1" s="1"/>
  <c r="AF266" i="1" a="1"/>
  <c r="AF266" i="1" s="1"/>
  <c r="AN267" i="1"/>
  <c r="AB267" i="1" s="1"/>
  <c r="AF267" i="1" a="1"/>
  <c r="AF267" i="1" s="1"/>
  <c r="AN268" i="1"/>
  <c r="AB268" i="1" s="1"/>
  <c r="AJ271" i="1"/>
  <c r="AL271" i="1" s="1"/>
  <c r="AK276" i="1"/>
  <c r="AD276" i="1"/>
  <c r="AB276" i="1" s="1"/>
  <c r="AH276" i="1"/>
  <c r="AG276" i="1"/>
  <c r="AJ278" i="1"/>
  <c r="AL278" i="1" s="1"/>
  <c r="AA278" i="1" s="1"/>
  <c r="AC278" i="1" s="1"/>
  <c r="AF281" i="1" a="1"/>
  <c r="AF281" i="1" s="1"/>
  <c r="BE293" i="1"/>
  <c r="AM293" i="1"/>
  <c r="AO293" i="1" s="1"/>
  <c r="AB293" i="1" s="1"/>
  <c r="AC293" i="1" s="1"/>
  <c r="AE302" i="1"/>
  <c r="AK302" i="1"/>
  <c r="AD302" i="1"/>
  <c r="AH302" i="1"/>
  <c r="AN302" i="1"/>
  <c r="AB302" i="1" s="1"/>
  <c r="AF302" i="1" a="1"/>
  <c r="AF302" i="1" s="1"/>
  <c r="AI302" i="1"/>
  <c r="AG302" i="1"/>
  <c r="AM315" i="1"/>
  <c r="AO315" i="1" s="1"/>
  <c r="AE287" i="1"/>
  <c r="AD292" i="1"/>
  <c r="AM292" i="1"/>
  <c r="AO292" i="1" s="1"/>
  <c r="AB292" i="1" s="1"/>
  <c r="AJ296" i="1"/>
  <c r="AL296" i="1" s="1"/>
  <c r="BE297" i="1"/>
  <c r="AM297" i="1"/>
  <c r="AO297" i="1" s="1"/>
  <c r="AM299" i="1"/>
  <c r="AO299" i="1" s="1"/>
  <c r="AB299" i="1" s="1"/>
  <c r="BE299" i="1"/>
  <c r="AH306" i="1"/>
  <c r="AG306" i="1"/>
  <c r="AN306" i="1"/>
  <c r="AB306" i="1" s="1"/>
  <c r="AF306" i="1" a="1"/>
  <c r="AF306" i="1" s="1"/>
  <c r="AE306" i="1"/>
  <c r="AI314" i="1"/>
  <c r="AN314" i="1"/>
  <c r="AM314" i="1"/>
  <c r="AO314" i="1" s="1"/>
  <c r="AE314" i="1"/>
  <c r="AD314" i="1"/>
  <c r="AG314" i="1"/>
  <c r="BE314" i="1"/>
  <c r="AM318" i="1"/>
  <c r="AO318" i="1" s="1"/>
  <c r="AB318" i="1" s="1"/>
  <c r="BE318" i="1"/>
  <c r="AJ319" i="1"/>
  <c r="AL319" i="1" s="1"/>
  <c r="AH320" i="1"/>
  <c r="AE294" i="1"/>
  <c r="AH294" i="1"/>
  <c r="AI294" i="1"/>
  <c r="AJ294" i="1"/>
  <c r="AL294" i="1" s="1"/>
  <c r="AN296" i="1"/>
  <c r="AF296" i="1" a="1"/>
  <c r="AF296" i="1" s="1"/>
  <c r="AE296" i="1"/>
  <c r="AH296" i="1"/>
  <c r="AI296" i="1"/>
  <c r="AJ302" i="1"/>
  <c r="AL302" i="1" s="1"/>
  <c r="AB303" i="1"/>
  <c r="AC303" i="1" s="1"/>
  <c r="BE309" i="1"/>
  <c r="AM309" i="1"/>
  <c r="AO309" i="1" s="1"/>
  <c r="AB309" i="1" s="1"/>
  <c r="AC309" i="1" s="1"/>
  <c r="AA312" i="1"/>
  <c r="AC312" i="1" s="1"/>
  <c r="AJ326" i="1"/>
  <c r="AL326" i="1" s="1"/>
  <c r="AA326" i="1" s="1"/>
  <c r="AC326" i="1" s="1"/>
  <c r="AI287" i="1"/>
  <c r="AG287" i="1"/>
  <c r="AF287" i="1" a="1"/>
  <c r="AF287" i="1" s="1"/>
  <c r="AK294" i="1"/>
  <c r="AA294" i="1" s="1"/>
  <c r="AK296" i="1"/>
  <c r="BE303" i="1"/>
  <c r="AM303" i="1"/>
  <c r="AO303" i="1" s="1"/>
  <c r="AM304" i="1"/>
  <c r="AO304" i="1" s="1"/>
  <c r="AB304" i="1" s="1"/>
  <c r="AC304" i="1" s="1"/>
  <c r="BE305" i="1"/>
  <c r="AM305" i="1"/>
  <c r="AO305" i="1" s="1"/>
  <c r="AB305" i="1" s="1"/>
  <c r="BE306" i="1"/>
  <c r="AI308" i="1"/>
  <c r="AH308" i="1"/>
  <c r="AN308" i="1"/>
  <c r="AB308" i="1" s="1"/>
  <c r="AF308" i="1" a="1"/>
  <c r="AF308" i="1" s="1"/>
  <c r="AE308" i="1"/>
  <c r="BE312" i="1"/>
  <c r="AM312" i="1"/>
  <c r="AO312" i="1" s="1"/>
  <c r="AB312" i="1" s="1"/>
  <c r="BE313" i="1"/>
  <c r="AM313" i="1"/>
  <c r="AO313" i="1" s="1"/>
  <c r="AI321" i="1"/>
  <c r="AH321" i="1"/>
  <c r="AE321" i="1"/>
  <c r="AN321" i="1"/>
  <c r="AM321" i="1"/>
  <c r="AO321" i="1" s="1"/>
  <c r="AK321" i="1"/>
  <c r="AA321" i="1" s="1"/>
  <c r="AG321" i="1"/>
  <c r="AH287" i="1"/>
  <c r="AF292" i="1" a="1"/>
  <c r="AF292" i="1" s="1"/>
  <c r="BE295" i="1"/>
  <c r="AM295" i="1"/>
  <c r="AO295" i="1" s="1"/>
  <c r="AB295" i="1" s="1"/>
  <c r="AC295" i="1" s="1"/>
  <c r="AB307" i="1"/>
  <c r="AJ310" i="1"/>
  <c r="AL310" i="1" s="1"/>
  <c r="AJ312" i="1"/>
  <c r="AL312" i="1" s="1"/>
  <c r="AJ313" i="1"/>
  <c r="AL313" i="1" s="1"/>
  <c r="AA313" i="1" s="1"/>
  <c r="AJ318" i="1"/>
  <c r="AL318" i="1" s="1"/>
  <c r="AG292" i="1"/>
  <c r="AN294" i="1"/>
  <c r="AB294" i="1" s="1"/>
  <c r="AJ298" i="1"/>
  <c r="AL298" i="1" s="1"/>
  <c r="AA298" i="1" s="1"/>
  <c r="AC298" i="1" s="1"/>
  <c r="AJ300" i="1"/>
  <c r="AL300" i="1" s="1"/>
  <c r="AA300" i="1" s="1"/>
  <c r="AC300" i="1" s="1"/>
  <c r="AJ306" i="1"/>
  <c r="AL306" i="1" s="1"/>
  <c r="AM307" i="1"/>
  <c r="AO307" i="1" s="1"/>
  <c r="BE307" i="1"/>
  <c r="BE311" i="1"/>
  <c r="AM311" i="1"/>
  <c r="AO311" i="1" s="1"/>
  <c r="AB311" i="1" s="1"/>
  <c r="AC311" i="1" s="1"/>
  <c r="AH317" i="1"/>
  <c r="AD317" i="1"/>
  <c r="AK317" i="1"/>
  <c r="AA317" i="1" s="1"/>
  <c r="AG317" i="1"/>
  <c r="AN317" i="1"/>
  <c r="AE320" i="1"/>
  <c r="AK320" i="1"/>
  <c r="AD320" i="1"/>
  <c r="AB320" i="1" s="1"/>
  <c r="AG320" i="1"/>
  <c r="AF320" i="1" a="1"/>
  <c r="AF320" i="1" s="1"/>
  <c r="AI320" i="1"/>
  <c r="AM320" i="1"/>
  <c r="AO320" i="1" s="1"/>
  <c r="AM323" i="1"/>
  <c r="AO323" i="1" s="1"/>
  <c r="AH304" i="1"/>
  <c r="AH312" i="1"/>
  <c r="AK316" i="1"/>
  <c r="AD316" i="1"/>
  <c r="AF316" i="1" a="1"/>
  <c r="AF316" i="1" s="1"/>
  <c r="AM322" i="1"/>
  <c r="AO322" i="1" s="1"/>
  <c r="AB322" i="1" s="1"/>
  <c r="AC322" i="1" s="1"/>
  <c r="BE324" i="1"/>
  <c r="AM324" i="1"/>
  <c r="AO324" i="1" s="1"/>
  <c r="AB324" i="1" s="1"/>
  <c r="AG297" i="1"/>
  <c r="AG305" i="1"/>
  <c r="AH316" i="1"/>
  <c r="AG295" i="1"/>
  <c r="AI297" i="1"/>
  <c r="AG303" i="1"/>
  <c r="AE304" i="1"/>
  <c r="AI305" i="1"/>
  <c r="AD307" i="1"/>
  <c r="AA307" i="1" s="1"/>
  <c r="AC307" i="1" s="1"/>
  <c r="AG311" i="1"/>
  <c r="AE312" i="1"/>
  <c r="AD313" i="1"/>
  <c r="AB313" i="1" s="1"/>
  <c r="AA324" i="1"/>
  <c r="AC324" i="1" s="1"/>
  <c r="BE320" i="1"/>
  <c r="AJ323" i="1"/>
  <c r="AL323" i="1" s="1"/>
  <c r="AJ325" i="1"/>
  <c r="AL325" i="1" s="1"/>
  <c r="AA325" i="1" s="1"/>
  <c r="AC325" i="1" s="1"/>
  <c r="AD297" i="1"/>
  <c r="AA297" i="1" s="1"/>
  <c r="AC297" i="1" s="1"/>
  <c r="AF304" i="1" a="1"/>
  <c r="AF304" i="1" s="1"/>
  <c r="AD305" i="1"/>
  <c r="AF312" i="1" a="1"/>
  <c r="AF312" i="1" s="1"/>
  <c r="AF313" i="1" a="1"/>
  <c r="AF313" i="1" s="1"/>
  <c r="AE316" i="1"/>
  <c r="BE322" i="1"/>
  <c r="AN326" i="1"/>
  <c r="AB326" i="1" s="1"/>
  <c r="AG326" i="1"/>
  <c r="AH326" i="1"/>
  <c r="AG324" i="1"/>
  <c r="AC77" i="1" l="1"/>
  <c r="AC176" i="1"/>
  <c r="AC82" i="1"/>
  <c r="AC113" i="1"/>
  <c r="AC123" i="1"/>
  <c r="AC228" i="1"/>
  <c r="AC185" i="1"/>
  <c r="AC106" i="1"/>
  <c r="AC313" i="1"/>
  <c r="AC182" i="1"/>
  <c r="AC292" i="1"/>
  <c r="AC136" i="1"/>
  <c r="AC250" i="1"/>
  <c r="AC183" i="1"/>
  <c r="AC105" i="1"/>
  <c r="AC152" i="1"/>
  <c r="AB321" i="1"/>
  <c r="AA316" i="1"/>
  <c r="AC316" i="1" s="1"/>
  <c r="AB283" i="1"/>
  <c r="AA239" i="1"/>
  <c r="AC239" i="1" s="1"/>
  <c r="AA238" i="1"/>
  <c r="AA224" i="1"/>
  <c r="AB186" i="1"/>
  <c r="AC166" i="1"/>
  <c r="AA203" i="1"/>
  <c r="AC203" i="1" s="1"/>
  <c r="AB234" i="1"/>
  <c r="AC177" i="1"/>
  <c r="AA133" i="1"/>
  <c r="AC133" i="1" s="1"/>
  <c r="AB53" i="1"/>
  <c r="K52" i="2" s="1"/>
  <c r="AA117" i="1"/>
  <c r="AC117" i="1" s="1"/>
  <c r="AB82" i="1"/>
  <c r="I57" i="2"/>
  <c r="AA58" i="1"/>
  <c r="I21" i="2"/>
  <c r="AA22" i="1"/>
  <c r="AA146" i="1"/>
  <c r="AB114" i="1"/>
  <c r="AB85" i="1"/>
  <c r="AB75" i="1"/>
  <c r="K74" i="2" s="1"/>
  <c r="I62" i="2"/>
  <c r="AA63" i="1"/>
  <c r="J42" i="2"/>
  <c r="AA43" i="1"/>
  <c r="AC7" i="1"/>
  <c r="AA67" i="1"/>
  <c r="I43" i="2"/>
  <c r="AA44" i="1"/>
  <c r="I11" i="2"/>
  <c r="AA12" i="1"/>
  <c r="AB50" i="1"/>
  <c r="K49" i="2" s="1"/>
  <c r="AB30" i="1"/>
  <c r="K29" i="2" s="1"/>
  <c r="AA275" i="1"/>
  <c r="AB280" i="1"/>
  <c r="AA284" i="1"/>
  <c r="AC284" i="1" s="1"/>
  <c r="AA261" i="1"/>
  <c r="AC261" i="1" s="1"/>
  <c r="AB223" i="1"/>
  <c r="AA207" i="1"/>
  <c r="AC207" i="1" s="1"/>
  <c r="AC155" i="1"/>
  <c r="AB209" i="1"/>
  <c r="AC241" i="1"/>
  <c r="AB317" i="1"/>
  <c r="AC294" i="1"/>
  <c r="AB288" i="1"/>
  <c r="AB262" i="1"/>
  <c r="AA211" i="1"/>
  <c r="AC211" i="1" s="1"/>
  <c r="AB236" i="1"/>
  <c r="AC236" i="1" s="1"/>
  <c r="AA231" i="1"/>
  <c r="AA258" i="1"/>
  <c r="AC258" i="1" s="1"/>
  <c r="AB246" i="1"/>
  <c r="AA195" i="1"/>
  <c r="AC195" i="1" s="1"/>
  <c r="AB194" i="1"/>
  <c r="AC194" i="1" s="1"/>
  <c r="AC254" i="1"/>
  <c r="AA171" i="1"/>
  <c r="AC171" i="1" s="1"/>
  <c r="AA149" i="1"/>
  <c r="AC149" i="1" s="1"/>
  <c r="AA179" i="1"/>
  <c r="AA161" i="1"/>
  <c r="AC161" i="1" s="1"/>
  <c r="AA214" i="1"/>
  <c r="AC214" i="1" s="1"/>
  <c r="AB155" i="1"/>
  <c r="AB206" i="1"/>
  <c r="AB202" i="1"/>
  <c r="AB191" i="1"/>
  <c r="AA92" i="1"/>
  <c r="AC92" i="1" s="1"/>
  <c r="AA212" i="1"/>
  <c r="AC212" i="1" s="1"/>
  <c r="AB200" i="1"/>
  <c r="AC153" i="1"/>
  <c r="AB132" i="1"/>
  <c r="AC132" i="1" s="1"/>
  <c r="AB187" i="1"/>
  <c r="AB106" i="1"/>
  <c r="AC102" i="1"/>
  <c r="AA144" i="1"/>
  <c r="AA112" i="1"/>
  <c r="AC112" i="1" s="1"/>
  <c r="AB73" i="1"/>
  <c r="K72" i="2" s="1"/>
  <c r="AC137" i="1"/>
  <c r="AB99" i="1"/>
  <c r="I74" i="2"/>
  <c r="AA75" i="1"/>
  <c r="AC75" i="1" s="1"/>
  <c r="AB47" i="1"/>
  <c r="K46" i="2" s="1"/>
  <c r="AA45" i="1"/>
  <c r="AA39" i="1"/>
  <c r="I12" i="2"/>
  <c r="AA13" i="1"/>
  <c r="I50" i="2"/>
  <c r="AA51" i="1"/>
  <c r="AC110" i="1"/>
  <c r="I53" i="2"/>
  <c r="AA54" i="1"/>
  <c r="AC54" i="1" s="1"/>
  <c r="AA49" i="1"/>
  <c r="AC41" i="1"/>
  <c r="I8" i="2"/>
  <c r="AA9" i="1"/>
  <c r="AC9" i="1" s="1"/>
  <c r="J31" i="2"/>
  <c r="AA32" i="1"/>
  <c r="AC32" i="1" s="1"/>
  <c r="I70" i="2"/>
  <c r="AA71" i="1"/>
  <c r="AC71" i="1" s="1"/>
  <c r="I13" i="2"/>
  <c r="AA14" i="1"/>
  <c r="AB51" i="1"/>
  <c r="K50" i="2" s="1"/>
  <c r="AB29" i="1"/>
  <c r="K28" i="2" s="1"/>
  <c r="I16" i="2"/>
  <c r="AA17" i="1"/>
  <c r="AB22" i="1"/>
  <c r="K21" i="2" s="1"/>
  <c r="AB65" i="1"/>
  <c r="K64" i="2" s="1"/>
  <c r="AB34" i="1"/>
  <c r="K33" i="2" s="1"/>
  <c r="AC72" i="1"/>
  <c r="AA286" i="1"/>
  <c r="AC253" i="1"/>
  <c r="AC265" i="1"/>
  <c r="AC230" i="1"/>
  <c r="AC232" i="1"/>
  <c r="AC156" i="1"/>
  <c r="AC301" i="1"/>
  <c r="AC273" i="1"/>
  <c r="AA272" i="1"/>
  <c r="AC272" i="1" s="1"/>
  <c r="AC108" i="1"/>
  <c r="AA302" i="1"/>
  <c r="AC302" i="1" s="1"/>
  <c r="AA289" i="1"/>
  <c r="AC289" i="1" s="1"/>
  <c r="AC264" i="1"/>
  <c r="AA220" i="1"/>
  <c r="AB240" i="1"/>
  <c r="AC240" i="1" s="1"/>
  <c r="AC84" i="1"/>
  <c r="AB296" i="1"/>
  <c r="AC306" i="1"/>
  <c r="AC321" i="1"/>
  <c r="AC285" i="1"/>
  <c r="AB315" i="1"/>
  <c r="AC315" i="1" s="1"/>
  <c r="AA319" i="1"/>
  <c r="AC319" i="1" s="1"/>
  <c r="AA268" i="1"/>
  <c r="AC268" i="1" s="1"/>
  <c r="AB271" i="1"/>
  <c r="AC271" i="1" s="1"/>
  <c r="AB222" i="1"/>
  <c r="AC222" i="1" s="1"/>
  <c r="AB279" i="1"/>
  <c r="AC279" i="1" s="1"/>
  <c r="AB243" i="1"/>
  <c r="AB220" i="1"/>
  <c r="AA216" i="1"/>
  <c r="AB245" i="1"/>
  <c r="AA215" i="1"/>
  <c r="AC215" i="1" s="1"/>
  <c r="AB174" i="1"/>
  <c r="AC174" i="1" s="1"/>
  <c r="AB170" i="1"/>
  <c r="AA180" i="1"/>
  <c r="AC180" i="1" s="1"/>
  <c r="AA138" i="1"/>
  <c r="AC138" i="1" s="1"/>
  <c r="AA234" i="1"/>
  <c r="AC234" i="1" s="1"/>
  <c r="AA127" i="1"/>
  <c r="AB164" i="1"/>
  <c r="AC164" i="1" s="1"/>
  <c r="AB163" i="1"/>
  <c r="AB108" i="1"/>
  <c r="AB135" i="1"/>
  <c r="AA109" i="1"/>
  <c r="AC109" i="1" s="1"/>
  <c r="AA190" i="1"/>
  <c r="AC190" i="1" s="1"/>
  <c r="AA130" i="1"/>
  <c r="AC130" i="1" s="1"/>
  <c r="AB77" i="1"/>
  <c r="AB60" i="1"/>
  <c r="K59" i="2" s="1"/>
  <c r="AB117" i="1"/>
  <c r="AC121" i="1"/>
  <c r="AB143" i="1"/>
  <c r="AB167" i="1"/>
  <c r="AB134" i="1"/>
  <c r="AC134" i="1" s="1"/>
  <c r="AB69" i="1"/>
  <c r="K68" i="2" s="1"/>
  <c r="AB63" i="1"/>
  <c r="K62" i="2" s="1"/>
  <c r="I61" i="2"/>
  <c r="AA62" i="1"/>
  <c r="I29" i="2"/>
  <c r="AA30" i="1"/>
  <c r="AC30" i="1" s="1"/>
  <c r="I60" i="2"/>
  <c r="AA61" i="1"/>
  <c r="AC61" i="1" s="1"/>
  <c r="I49" i="2"/>
  <c r="AA50" i="1"/>
  <c r="AB39" i="1"/>
  <c r="K38" i="2" s="1"/>
  <c r="AB18" i="1"/>
  <c r="K17" i="2" s="1"/>
  <c r="AA8" i="1"/>
  <c r="AC8" i="1" s="1"/>
  <c r="AA6" i="1"/>
  <c r="J52" i="2"/>
  <c r="AA53" i="1"/>
  <c r="AC53" i="1" s="1"/>
  <c r="I36" i="2"/>
  <c r="AA37" i="1"/>
  <c r="I28" i="2"/>
  <c r="AA29" i="1"/>
  <c r="I32" i="2"/>
  <c r="AA33" i="1"/>
  <c r="AC33" i="1" s="1"/>
  <c r="AB21" i="1"/>
  <c r="K20" i="2" s="1"/>
  <c r="J15" i="2"/>
  <c r="AA16" i="1"/>
  <c r="AC16" i="1" s="1"/>
  <c r="AB8" i="1"/>
  <c r="K7" i="2" s="1"/>
  <c r="AA157" i="1"/>
  <c r="AC157" i="1" s="1"/>
  <c r="AC116" i="1"/>
  <c r="AA154" i="1"/>
  <c r="AA186" i="1"/>
  <c r="AC186" i="1" s="1"/>
  <c r="AC118" i="1"/>
  <c r="I45" i="2"/>
  <c r="AA46" i="1"/>
  <c r="AB123" i="1"/>
  <c r="AB103" i="1"/>
  <c r="AC103" i="1" s="1"/>
  <c r="AA141" i="1"/>
  <c r="AC141" i="1" s="1"/>
  <c r="AC78" i="1"/>
  <c r="AB43" i="1"/>
  <c r="K42" i="2" s="1"/>
  <c r="AB28" i="1"/>
  <c r="K27" i="2" s="1"/>
  <c r="I56" i="2"/>
  <c r="AA57" i="1"/>
  <c r="AC57" i="1" s="1"/>
  <c r="AB70" i="1"/>
  <c r="K69" i="2" s="1"/>
  <c r="I4" i="2"/>
  <c r="AA5" i="1"/>
  <c r="AA91" i="1"/>
  <c r="AC91" i="1" s="1"/>
  <c r="AA60" i="1"/>
  <c r="AC60" i="1" s="1"/>
  <c r="AB31" i="1"/>
  <c r="K30" i="2" s="1"/>
  <c r="AB33" i="1"/>
  <c r="K32" i="2" s="1"/>
  <c r="I25" i="2"/>
  <c r="AA26" i="1"/>
  <c r="AB13" i="1"/>
  <c r="K12" i="2" s="1"/>
  <c r="AB57" i="1"/>
  <c r="K56" i="2" s="1"/>
  <c r="J10" i="2"/>
  <c r="AA11" i="1"/>
  <c r="AC11" i="1" s="1"/>
  <c r="AA68" i="1"/>
  <c r="AC68" i="1" s="1"/>
  <c r="AA191" i="1"/>
  <c r="AC191" i="1" s="1"/>
  <c r="AC189" i="1"/>
  <c r="AA135" i="1"/>
  <c r="AA111" i="1"/>
  <c r="AC111" i="1" s="1"/>
  <c r="AB109" i="1"/>
  <c r="AB131" i="1"/>
  <c r="AC131" i="1" s="1"/>
  <c r="AC74" i="1"/>
  <c r="AB124" i="1"/>
  <c r="AA97" i="1"/>
  <c r="AC97" i="1" s="1"/>
  <c r="AA114" i="1"/>
  <c r="AC114" i="1" s="1"/>
  <c r="AA87" i="1"/>
  <c r="AC87" i="1" s="1"/>
  <c r="AB67" i="1"/>
  <c r="K66" i="2" s="1"/>
  <c r="I51" i="2"/>
  <c r="AA52" i="1"/>
  <c r="AA120" i="1"/>
  <c r="AC120" i="1" s="1"/>
  <c r="AB38" i="1"/>
  <c r="K37" i="2" s="1"/>
  <c r="AB36" i="1"/>
  <c r="K35" i="2" s="1"/>
  <c r="AB37" i="1"/>
  <c r="K36" i="2" s="1"/>
  <c r="AA23" i="1"/>
  <c r="AC23" i="1" s="1"/>
  <c r="AB71" i="1"/>
  <c r="K70" i="2" s="1"/>
  <c r="J58" i="2"/>
  <c r="AA59" i="1"/>
  <c r="I17" i="2"/>
  <c r="AA18" i="1"/>
  <c r="AC18" i="1" s="1"/>
  <c r="AA20" i="1"/>
  <c r="AC20" i="1" s="1"/>
  <c r="AA47" i="1"/>
  <c r="AC47" i="1" s="1"/>
  <c r="AA34" i="1"/>
  <c r="AB5" i="1"/>
  <c r="K4" i="2" s="1"/>
  <c r="AB19" i="1"/>
  <c r="K18" i="2" s="1"/>
  <c r="AB54" i="1"/>
  <c r="K53" i="2" s="1"/>
  <c r="AC317" i="1"/>
  <c r="AC299" i="1"/>
  <c r="AC263" i="1"/>
  <c r="AC204" i="1"/>
  <c r="AB216" i="1"/>
  <c r="AB248" i="1"/>
  <c r="AB184" i="1"/>
  <c r="AC184" i="1" s="1"/>
  <c r="AC199" i="1"/>
  <c r="AA251" i="1"/>
  <c r="AC251" i="1" s="1"/>
  <c r="AA227" i="1"/>
  <c r="AC227" i="1" s="1"/>
  <c r="AA213" i="1"/>
  <c r="AC213" i="1" s="1"/>
  <c r="AB177" i="1"/>
  <c r="AA148" i="1"/>
  <c r="AB183" i="1"/>
  <c r="AB171" i="1"/>
  <c r="AB159" i="1"/>
  <c r="AB104" i="1"/>
  <c r="AC104" i="1" s="1"/>
  <c r="AB148" i="1"/>
  <c r="AB115" i="1"/>
  <c r="AC115" i="1" s="1"/>
  <c r="AA209" i="1"/>
  <c r="AB196" i="1"/>
  <c r="AC196" i="1" s="1"/>
  <c r="AB212" i="1"/>
  <c r="AA168" i="1"/>
  <c r="AB162" i="1"/>
  <c r="AC162" i="1" s="1"/>
  <c r="AB201" i="1"/>
  <c r="AA88" i="1"/>
  <c r="AC88" i="1" s="1"/>
  <c r="AB147" i="1"/>
  <c r="AC147" i="1" s="1"/>
  <c r="AB190" i="1"/>
  <c r="AB83" i="1"/>
  <c r="AC83" i="1" s="1"/>
  <c r="AB176" i="1"/>
  <c r="AA95" i="1"/>
  <c r="AA142" i="1"/>
  <c r="AC142" i="1" s="1"/>
  <c r="AB146" i="1"/>
  <c r="AA167" i="1"/>
  <c r="AC167" i="1" s="1"/>
  <c r="AA150" i="1"/>
  <c r="AC150" i="1" s="1"/>
  <c r="AA122" i="1"/>
  <c r="AA124" i="1"/>
  <c r="AA85" i="1"/>
  <c r="AB76" i="1"/>
  <c r="AC76" i="1" s="1"/>
  <c r="AB59" i="1"/>
  <c r="K58" i="2" s="1"/>
  <c r="I37" i="2"/>
  <c r="AA38" i="1"/>
  <c r="I18" i="2"/>
  <c r="AA19" i="1"/>
  <c r="AC19" i="1" s="1"/>
  <c r="AB12" i="1"/>
  <c r="K11" i="2" s="1"/>
  <c r="AA89" i="1"/>
  <c r="AB80" i="1"/>
  <c r="I27" i="2"/>
  <c r="AA28" i="1"/>
  <c r="AB17" i="1"/>
  <c r="K16" i="2" s="1"/>
  <c r="AB58" i="1"/>
  <c r="K57" i="2" s="1"/>
  <c r="AB26" i="1"/>
  <c r="K25" i="2" s="1"/>
  <c r="AB52" i="1"/>
  <c r="K51" i="2" s="1"/>
  <c r="AB91" i="1"/>
  <c r="AB49" i="1"/>
  <c r="K48" i="2" s="1"/>
  <c r="AB6" i="1"/>
  <c r="K5" i="2" s="1"/>
  <c r="AB46" i="1"/>
  <c r="K45" i="2" s="1"/>
  <c r="AC42" i="1"/>
  <c r="AB260" i="1"/>
  <c r="AC260" i="1" s="1"/>
  <c r="AC288" i="1"/>
  <c r="AA247" i="1"/>
  <c r="AC247" i="1" s="1"/>
  <c r="AA223" i="1"/>
  <c r="AC223" i="1" s="1"/>
  <c r="AA262" i="1"/>
  <c r="AC262" i="1" s="1"/>
  <c r="AA226" i="1"/>
  <c r="AC226" i="1" s="1"/>
  <c r="AB210" i="1"/>
  <c r="AC210" i="1" s="1"/>
  <c r="AA193" i="1"/>
  <c r="AC193" i="1" s="1"/>
  <c r="AA172" i="1"/>
  <c r="AC172" i="1" s="1"/>
  <c r="AC256" i="1"/>
  <c r="AA248" i="1"/>
  <c r="AC248" i="1" s="1"/>
  <c r="AB224" i="1"/>
  <c r="AB231" i="1"/>
  <c r="AA159" i="1"/>
  <c r="AC159" i="1" s="1"/>
  <c r="AA202" i="1"/>
  <c r="AC202" i="1" s="1"/>
  <c r="AB154" i="1"/>
  <c r="AC158" i="1"/>
  <c r="AA151" i="1"/>
  <c r="AC151" i="1" s="1"/>
  <c r="AB105" i="1"/>
  <c r="AC125" i="1"/>
  <c r="AA143" i="1"/>
  <c r="AC143" i="1" s="1"/>
  <c r="AA99" i="1"/>
  <c r="AC99" i="1" s="1"/>
  <c r="AB62" i="1"/>
  <c r="K61" i="2" s="1"/>
  <c r="I30" i="2"/>
  <c r="AA31" i="1"/>
  <c r="AB120" i="1"/>
  <c r="AB61" i="1"/>
  <c r="K60" i="2" s="1"/>
  <c r="AB89" i="1"/>
  <c r="AA80" i="1"/>
  <c r="AC80" i="1" s="1"/>
  <c r="J26" i="2"/>
  <c r="AA27" i="1"/>
  <c r="AC27" i="1" s="1"/>
  <c r="AB44" i="1"/>
  <c r="K43" i="2" s="1"/>
  <c r="J34" i="2"/>
  <c r="AA35" i="1"/>
  <c r="AC35" i="1" s="1"/>
  <c r="AA66" i="1"/>
  <c r="AC66" i="1" s="1"/>
  <c r="I24" i="2"/>
  <c r="AA25" i="1"/>
  <c r="AB14" i="1"/>
  <c r="K13" i="2" s="1"/>
  <c r="AB15" i="1"/>
  <c r="K14" i="2" s="1"/>
  <c r="AB286" i="1"/>
  <c r="AB226" i="1"/>
  <c r="AB238" i="1"/>
  <c r="AB178" i="1"/>
  <c r="AB229" i="1"/>
  <c r="AC229" i="1" s="1"/>
  <c r="AA245" i="1"/>
  <c r="AC245" i="1" s="1"/>
  <c r="AC246" i="1"/>
  <c r="AC318" i="1"/>
  <c r="AA283" i="1"/>
  <c r="AC283" i="1" s="1"/>
  <c r="AA320" i="1"/>
  <c r="AC320" i="1" s="1"/>
  <c r="AA296" i="1"/>
  <c r="AC296" i="1" s="1"/>
  <c r="AB314" i="1"/>
  <c r="AC314" i="1" s="1"/>
  <c r="AA276" i="1"/>
  <c r="AC276" i="1" s="1"/>
  <c r="AB282" i="1"/>
  <c r="AC282" i="1" s="1"/>
  <c r="AA323" i="1"/>
  <c r="AC323" i="1" s="1"/>
  <c r="AA290" i="1"/>
  <c r="AC290" i="1" s="1"/>
  <c r="AB275" i="1"/>
  <c r="AA243" i="1"/>
  <c r="AA280" i="1"/>
  <c r="AC280" i="1" s="1"/>
  <c r="AC274" i="1"/>
  <c r="AA310" i="1"/>
  <c r="AC310" i="1" s="1"/>
  <c r="AA255" i="1"/>
  <c r="AC255" i="1" s="1"/>
  <c r="AC266" i="1"/>
  <c r="AC217" i="1"/>
  <c r="AA187" i="1"/>
  <c r="AC187" i="1" s="1"/>
  <c r="AC242" i="1"/>
  <c r="AA206" i="1"/>
  <c r="AC206" i="1" s="1"/>
  <c r="AA140" i="1"/>
  <c r="AC140" i="1" s="1"/>
  <c r="AC198" i="1"/>
  <c r="AC225" i="1"/>
  <c r="AB139" i="1"/>
  <c r="AC139" i="1" s="1"/>
  <c r="AB179" i="1"/>
  <c r="AA170" i="1"/>
  <c r="AC170" i="1" s="1"/>
  <c r="AA259" i="1"/>
  <c r="AC259" i="1" s="1"/>
  <c r="AA192" i="1"/>
  <c r="AC192" i="1" s="1"/>
  <c r="AB127" i="1"/>
  <c r="AA178" i="1"/>
  <c r="AC178" i="1" s="1"/>
  <c r="AA160" i="1"/>
  <c r="AC160" i="1" s="1"/>
  <c r="AC208" i="1"/>
  <c r="AA200" i="1"/>
  <c r="AC200" i="1" s="1"/>
  <c r="AB168" i="1"/>
  <c r="AA163" i="1"/>
  <c r="AC163" i="1" s="1"/>
  <c r="AA201" i="1"/>
  <c r="AB111" i="1"/>
  <c r="AB130" i="1"/>
  <c r="AA100" i="1"/>
  <c r="AC100" i="1" s="1"/>
  <c r="AC175" i="1"/>
  <c r="AB144" i="1"/>
  <c r="AB122" i="1"/>
  <c r="AA90" i="1"/>
  <c r="AC90" i="1" s="1"/>
  <c r="I68" i="2"/>
  <c r="AA69" i="1"/>
  <c r="I64" i="2"/>
  <c r="AA65" i="1"/>
  <c r="AC65" i="1" s="1"/>
  <c r="AB95" i="1"/>
  <c r="AB68" i="1"/>
  <c r="K67" i="2" s="1"/>
  <c r="AB45" i="1"/>
  <c r="K44" i="2" s="1"/>
  <c r="AC10" i="1"/>
  <c r="I69" i="2"/>
  <c r="AA70" i="1"/>
  <c r="AC70" i="1" s="1"/>
  <c r="AA55" i="1"/>
  <c r="AB25" i="1"/>
  <c r="K24" i="2" s="1"/>
  <c r="I14" i="2"/>
  <c r="AA15" i="1"/>
  <c r="AC15" i="1" s="1"/>
  <c r="AA73" i="1"/>
  <c r="AC73" i="1" s="1"/>
  <c r="AA24" i="1"/>
  <c r="AC24" i="1" s="1"/>
  <c r="I35" i="2"/>
  <c r="AA36" i="1"/>
  <c r="AB55" i="1"/>
  <c r="K54" i="2" s="1"/>
  <c r="AB41" i="1"/>
  <c r="K40" i="2" s="1"/>
  <c r="AC46" i="1" l="1"/>
  <c r="AC14" i="1"/>
  <c r="AC67" i="1"/>
  <c r="AC224" i="1"/>
  <c r="AC28" i="1"/>
  <c r="AC38" i="1"/>
  <c r="AC49" i="1"/>
  <c r="AC39" i="1"/>
  <c r="AC179" i="1"/>
  <c r="AC275" i="1"/>
  <c r="AC238" i="1"/>
  <c r="AC45" i="1"/>
  <c r="AC144" i="1"/>
  <c r="AC231" i="1"/>
  <c r="AC21" i="1"/>
  <c r="AC146" i="1"/>
  <c r="AC43" i="1"/>
  <c r="AC22" i="1"/>
  <c r="AC25" i="1"/>
  <c r="AC55" i="1"/>
  <c r="AC168" i="1"/>
  <c r="AC12" i="1"/>
  <c r="AC6" i="1"/>
  <c r="AC95" i="1"/>
  <c r="AC59" i="1"/>
  <c r="AC52" i="1"/>
  <c r="AC154" i="1"/>
  <c r="AC17" i="1"/>
  <c r="AC36" i="1"/>
  <c r="AC69" i="1"/>
  <c r="AC89" i="1"/>
  <c r="AC85" i="1"/>
  <c r="AC5" i="1"/>
  <c r="AC29" i="1"/>
  <c r="AC62" i="1"/>
  <c r="AC51" i="1"/>
  <c r="AC63" i="1"/>
  <c r="AC58" i="1"/>
  <c r="AC148" i="1"/>
  <c r="AC201" i="1"/>
  <c r="AC124" i="1"/>
  <c r="AC286" i="1"/>
  <c r="AC44" i="1"/>
  <c r="AC243" i="1"/>
  <c r="AC31" i="1"/>
  <c r="AC122" i="1"/>
  <c r="AC209" i="1"/>
  <c r="AC34" i="1"/>
  <c r="AC135" i="1"/>
  <c r="AC26" i="1"/>
  <c r="AC37" i="1"/>
  <c r="AC50" i="1"/>
  <c r="AC127" i="1"/>
  <c r="AC216" i="1"/>
  <c r="AC220" i="1"/>
  <c r="AC13" i="1"/>
</calcChain>
</file>

<file path=xl/sharedStrings.xml><?xml version="1.0" encoding="utf-8"?>
<sst xmlns="http://schemas.openxmlformats.org/spreadsheetml/2006/main" count="558" uniqueCount="304">
  <si>
    <t>Asset Parameters (normalized by commodity feedstock)</t>
  </si>
  <si>
    <t>Duals</t>
  </si>
  <si>
    <t>LCOE for ethanol production ($/MWh-ethanol)</t>
  </si>
  <si>
    <t>CI</t>
  </si>
  <si>
    <t>CREDIT</t>
  </si>
  <si>
    <t>NET CARBON INTENSITY + credit for capture</t>
  </si>
  <si>
    <t>CREDIT for capture/storage + PAY for storage</t>
  </si>
  <si>
    <t>Carbon Content</t>
  </si>
  <si>
    <t>Carbon Inputs</t>
  </si>
  <si>
    <t>Carbon Outputs</t>
  </si>
  <si>
    <t>Sanity Checks</t>
  </si>
  <si>
    <t>id</t>
  </si>
  <si>
    <t>commodity</t>
  </si>
  <si>
    <t>elec_production (MWh/t-bio)</t>
  </si>
  <si>
    <t>elec_consumption (MWh/t-bio)</t>
  </si>
  <si>
    <t>gasoline_production (MWh-gasoline/t-bio)</t>
  </si>
  <si>
    <t>jetfuel_production (MWh-jetfuel/t-bio)</t>
  </si>
  <si>
    <t>diesel_production (MWh-diesel/t-bio)</t>
  </si>
  <si>
    <t>fuel_production (MWh-fuel/t-bio)</t>
  </si>
  <si>
    <t>co2_biomass_content (t-CO2/t-bio)</t>
  </si>
  <si>
    <t>process_capture_rate (t-CO2/t-bio)</t>
  </si>
  <si>
    <t>process_emission_rate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</si>
  <si>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</si>
  <si>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</si>
  <si>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</si>
  <si>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</si>
  <si>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</si>
  <si>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biocorn_supply ($/t)</t>
  </si>
  <si>
    <t>bioherb_supply ($/t)</t>
  </si>
  <si>
    <t>biowood_supply ($/t)</t>
  </si>
  <si>
    <t>bioagri_supply ($/t)</t>
  </si>
  <si>
    <t>elec_demand ($/MWh)</t>
  </si>
  <si>
    <t>id_LC</t>
  </si>
  <si>
    <t>commodity_LC</t>
  </si>
  <si>
    <t>LCOE ($/MWh-fuel)</t>
  </si>
  <si>
    <t>Diff. Between Methods ($/MWh)</t>
  </si>
  <si>
    <t>elec_production</t>
  </si>
  <si>
    <t>elec_consumption</t>
  </si>
  <si>
    <t>biomass_consumption</t>
  </si>
  <si>
    <t>investment_cost</t>
  </si>
  <si>
    <t>fixed_om_cost</t>
  </si>
  <si>
    <t>variable_om_cost</t>
  </si>
  <si>
    <t>modified capture cost</t>
  </si>
  <si>
    <t>modified emissions cost</t>
  </si>
  <si>
    <t>Biomass CO2 content (t-CO2/t-bio)</t>
  </si>
  <si>
    <t>Gasoline (t-CO2/MWh-gasoline)</t>
  </si>
  <si>
    <t>Diesel (t-CO2/MWh-diesel)</t>
  </si>
  <si>
    <t>JetFuel (t-CO2/MWh-jetfuel)</t>
  </si>
  <si>
    <t>Ethanol (t-CO2/MWh-ethanol)</t>
  </si>
  <si>
    <t>Biomass (t-CO2/t-bio)</t>
  </si>
  <si>
    <t>Gasoline (t-CO2/t-bio)</t>
  </si>
  <si>
    <t>Diesel (t-CO2/t-bio)</t>
  </si>
  <si>
    <t>JetFuel (t-CO2/t-bio)</t>
  </si>
  <si>
    <t>Process Emissions (t-CO2/t-bio)</t>
  </si>
  <si>
    <t>Process Captured (t-CO2/t-bio)</t>
  </si>
  <si>
    <t>Carbon INPUT - OUTPUT</t>
  </si>
  <si>
    <t>CA_Gasoline_Gasification_Non_CCS_Herb</t>
  </si>
  <si>
    <t>Biomass_Herb</t>
  </si>
  <si>
    <t>NW_Gasoline_Gasification_Non_CCS_Herb</t>
  </si>
  <si>
    <t>SW_Gasoline_Gasification_Non_CCS_Herb</t>
  </si>
  <si>
    <t>TX_Gasoline_Gasification_Non_CCS_Herb</t>
  </si>
  <si>
    <t>NCEN_Gasoline_Gasification_Non_CCS_Herb</t>
  </si>
  <si>
    <t>CEN_Gasoline_Gasification_Non_CCS_Herb</t>
  </si>
  <si>
    <t>SE_Gasoline_Gasification_Non_CCS_Herb</t>
  </si>
  <si>
    <t>MIDAT_Gasoline_Gasification_Non_CCS_Herb</t>
  </si>
  <si>
    <t>NE_Gasoline_Gasification_Non_CCS_Herb</t>
  </si>
  <si>
    <t>CA_Gasoline_Gasification_Non_CCS_Wood</t>
  </si>
  <si>
    <t>Biomass_Wood</t>
  </si>
  <si>
    <t>NW_Gasoline_Gasification_Non_CCS_Wood</t>
  </si>
  <si>
    <t>SW_Gasoline_Gasification_Non_CCS_Wood</t>
  </si>
  <si>
    <t>TX_Gasoline_Gasification_Non_CCS_Wood</t>
  </si>
  <si>
    <t>NCEN_Gasoline_Gasification_Non_CCS_Wood</t>
  </si>
  <si>
    <t>CEN_Gasoline_Gasification_Non_CCS_Wood</t>
  </si>
  <si>
    <t>SE_Gasoline_Gasification_Non_CCS_Wood</t>
  </si>
  <si>
    <t>MIDAT_Gasoline_Gasification_Non_CCS_Wood</t>
  </si>
  <si>
    <t>NE_Gasoline_Gasification_Non_CCS_Wood</t>
  </si>
  <si>
    <t>CA_Gasoline_Gasification_Non_CCS_Agri</t>
  </si>
  <si>
    <t>Biomass_Agri</t>
  </si>
  <si>
    <t>NW_Gasoline_Gasification_Non_CCS_Agri</t>
  </si>
  <si>
    <t>SW_Gasoline_Gasification_Non_CCS_Agri</t>
  </si>
  <si>
    <t>TX_Gasoline_Gasification_Non_CCS_Agri</t>
  </si>
  <si>
    <t>NCEN_Gasoline_Gasification_Non_CCS_Agri</t>
  </si>
  <si>
    <t>CEN_Gasoline_Gasification_Non_CCS_Agri</t>
  </si>
  <si>
    <t>SE_Gasoline_Gasification_Non_CCS_Agri</t>
  </si>
  <si>
    <t>MIDAT_Gasoline_Gasification_Non_CCS_Agri</t>
  </si>
  <si>
    <t>NE_Gasoline_Gasification_Non_CCS_Agri</t>
  </si>
  <si>
    <t>CA_Gasoline_Gasification_CCS_31_Herb</t>
  </si>
  <si>
    <t>NW_Gasoline_Gasification_CCS_31_Herb</t>
  </si>
  <si>
    <t>SW_Gasoline_Gasification_CCS_31_Herb</t>
  </si>
  <si>
    <t>TX_Gasoline_Gasification_CCS_31_Herb</t>
  </si>
  <si>
    <t>NCEN_Gasoline_Gasification_CCS_31_Herb</t>
  </si>
  <si>
    <t>CEN_Gasoline_Gasification_CCS_31_Herb</t>
  </si>
  <si>
    <t>SE_Gasoline_Gasification_CCS_31_Herb</t>
  </si>
  <si>
    <t>MIDAT_Gasoline_Gasification_CCS_31_Herb</t>
  </si>
  <si>
    <t>NE_Gasoline_Gasification_CCS_31_Herb</t>
  </si>
  <si>
    <t>CA_Gasoline_Gasification_CCS_31_Wood</t>
  </si>
  <si>
    <t>NW_Gasoline_Gasification_CCS_31_Wood</t>
  </si>
  <si>
    <t>SW_Gasoline_Gasification_CCS_31_Wood</t>
  </si>
  <si>
    <t>TX_Gasoline_Gasification_CCS_31_Wood</t>
  </si>
  <si>
    <t>NCEN_Gasoline_Gasification_CCS_31_Wood</t>
  </si>
  <si>
    <t>CEN_Gasoline_Gasification_CCS_31_Wood</t>
  </si>
  <si>
    <t>SE_Gasoline_Gasification_CCS_31_Wood</t>
  </si>
  <si>
    <t>MIDAT_Gasoline_Gasification_CCS_31_Wood</t>
  </si>
  <si>
    <t>NE_Gasoline_Gasification_CCS_31_Wood</t>
  </si>
  <si>
    <t>CA_Gasoline_Gasification_CCS_31_Agri</t>
  </si>
  <si>
    <t>NW_Gasoline_Gasification_CCS_31_Agri</t>
  </si>
  <si>
    <t>SW_Gasoline_Gasification_CCS_31_Agri</t>
  </si>
  <si>
    <t>TX_Gasoline_Gasification_CCS_31_Agri</t>
  </si>
  <si>
    <t>NCEN_Gasoline_Gasification_CCS_31_Agri</t>
  </si>
  <si>
    <t>CEN_Gasoline_Gasification_CCS_31_Agri</t>
  </si>
  <si>
    <t>SE_Gasoline_Gasification_CCS_31_Agri</t>
  </si>
  <si>
    <t>MIDAT_Gasoline_Gasification_CCS_31_Agri</t>
  </si>
  <si>
    <t>NE_Gasoline_Gasification_CCS_31_Agri</t>
  </si>
  <si>
    <t>CA_Gasoline_Gasification_CCS_99_Herb</t>
  </si>
  <si>
    <t>NW_Gasoline_Gasification_CCS_99_Herb</t>
  </si>
  <si>
    <t>SW_Gasoline_Gasification_CCS_99_Herb</t>
  </si>
  <si>
    <t>TX_Gasoline_Gasification_CCS_99_Herb</t>
  </si>
  <si>
    <t>NCEN_Gasoline_Gasification_CCS_99_Herb</t>
  </si>
  <si>
    <t>CEN_Gasoline_Gasification_CCS_99_Herb</t>
  </si>
  <si>
    <t>SE_Gasoline_Gasification_CCS_99_Herb</t>
  </si>
  <si>
    <t>MIDAT_Gasoline_Gasification_CCS_99_Herb</t>
  </si>
  <si>
    <t>NE_Gasoline_Gasification_CCS_99_Herb</t>
  </si>
  <si>
    <t>CA_Gasoline_Gasification_CCS_99_Wood</t>
  </si>
  <si>
    <t>NW_Gasoline_Gasification_CCS_99_Wood</t>
  </si>
  <si>
    <t>SW_Gasoline_Gasification_CCS_99_Wood</t>
  </si>
  <si>
    <t>TX_Gasoline_Gasification_CCS_99_Wood</t>
  </si>
  <si>
    <t>NCEN_Gasoline_Gasification_CCS_99_Wood</t>
  </si>
  <si>
    <t>CEN_Gasoline_Gasification_CCS_99_Wood</t>
  </si>
  <si>
    <t>SE_Gasoline_Gasification_CCS_99_Wood</t>
  </si>
  <si>
    <t>MIDAT_Gasoline_Gasification_CCS_99_Wood</t>
  </si>
  <si>
    <t>NE_Gasoline_Gasification_CCS_99_Wood</t>
  </si>
  <si>
    <t>CA_Gasoline_Gasification_CCS_99_Agri</t>
  </si>
  <si>
    <t>NW_Gasoline_Gasification_CCS_99_Agri</t>
  </si>
  <si>
    <t>SW_Gasoline_Gasification_CCS_99_Agri</t>
  </si>
  <si>
    <t>TX_Gasoline_Gasification_CCS_99_Agri</t>
  </si>
  <si>
    <t>NCEN_Gasoline_Gasification_CCS_99_Agri</t>
  </si>
  <si>
    <t>CEN_Gasoline_Gasification_CCS_99_Agri</t>
  </si>
  <si>
    <t>SE_Gasoline_Gasification_CCS_99_Agri</t>
  </si>
  <si>
    <t>MIDAT_Gasoline_Gasification_CCS_99_Agri</t>
  </si>
  <si>
    <t>NE_Gasoline_Gasification_CCS_99_Agri</t>
  </si>
  <si>
    <t>CA_FT_High_Diesel_Non_CCS_Herb</t>
  </si>
  <si>
    <t>NW_FT_High_Diesel_Non_CCS_Herb</t>
  </si>
  <si>
    <t>SW_FT_High_Diesel_Non_CCS_Herb</t>
  </si>
  <si>
    <t>TX_FT_High_Diesel_Non_CCS_Herb</t>
  </si>
  <si>
    <t>NCEN_FT_High_Diesel_Non_CCS_Herb</t>
  </si>
  <si>
    <t>CEN_FT_High_Diesel_Non_CCS_Herb</t>
  </si>
  <si>
    <t>SE_FT_High_Diesel_Non_CCS_Herb</t>
  </si>
  <si>
    <t>MIDAT_FT_High_Diesel_Non_CCS_Herb</t>
  </si>
  <si>
    <t>NE_FT_High_Diesel_Non_CCS_Herb</t>
  </si>
  <si>
    <t>CA_FT_High_Diesel_Non_CCS_Wood</t>
  </si>
  <si>
    <t>NW_FT_High_Diesel_Non_CCS_Wood</t>
  </si>
  <si>
    <t>SW_FT_High_Diesel_Non_CCS_Wood</t>
  </si>
  <si>
    <t>TX_FT_High_Diesel_Non_CCS_Wood</t>
  </si>
  <si>
    <t>NCEN_FT_High_Diesel_Non_CCS_Wood</t>
  </si>
  <si>
    <t>CEN_FT_High_Diesel_Non_CCS_Wood</t>
  </si>
  <si>
    <t>SE_FT_High_Diesel_Non_CCS_Wood</t>
  </si>
  <si>
    <t>MIDAT_FT_High_Diesel_Non_CCS_Wood</t>
  </si>
  <si>
    <t>NE_FT_High_Diesel_Non_CCS_Wood</t>
  </si>
  <si>
    <t>CA_FT_High_Diesel_Agri</t>
  </si>
  <si>
    <t>NW_FT_High_Diesel_Agri</t>
  </si>
  <si>
    <t>SW_FT_High_Diesel_Agri</t>
  </si>
  <si>
    <t>TX_FT_High_Diesel_Agri</t>
  </si>
  <si>
    <t>NCEN_FT_High_Diesel_Agri</t>
  </si>
  <si>
    <t>CEN_FT_High_Diesel_Agri</t>
  </si>
  <si>
    <t>SE_FT_High_Diesel_Agri</t>
  </si>
  <si>
    <t>MIDAT_FT_High_Diesel_Agri</t>
  </si>
  <si>
    <t>NE_FT_High_Diesel_Agri</t>
  </si>
  <si>
    <t>CA_FT_High_Diesel_CCS_53_Herb</t>
  </si>
  <si>
    <t>NW_FT_High_Diesel_CCS_53_Herb</t>
  </si>
  <si>
    <t>SW_FT_High_Diesel_CCS_53_Herb</t>
  </si>
  <si>
    <t>TX_FT_High_Diesel_CCS_53_Herb</t>
  </si>
  <si>
    <t>NCEN_FT_High_Diesel_CCS_53_Herb</t>
  </si>
  <si>
    <t>CEN_FT_High_Diesel_CCS_53_Herb</t>
  </si>
  <si>
    <t>SE_FT_High_Diesel_CCS_53_Herb</t>
  </si>
  <si>
    <t>MIDAT_FT_High_Diesel_CCS_53_Herb</t>
  </si>
  <si>
    <t>NE_FT_High_Diesel_CCS_53_Herb</t>
  </si>
  <si>
    <t>CA_FT_High_Diesel_CCS_53_Wood</t>
  </si>
  <si>
    <t>NW_FT_High_Diesel_CCS_53_Wood</t>
  </si>
  <si>
    <t>SW_FT_High_Diesel_CCS_53_Wood</t>
  </si>
  <si>
    <t>TX_FT_High_Diesel_CCS_53_Wood</t>
  </si>
  <si>
    <t>NCEN_FT_High_Diesel_CCS_53_Wood</t>
  </si>
  <si>
    <t>CEN_FT_High_Diesel_CCS_53_Wood</t>
  </si>
  <si>
    <t>SE_FT_High_Diesel_CCS_53_Wood</t>
  </si>
  <si>
    <t>MIDAT_FT_High_Diesel_CCS_53_Wood</t>
  </si>
  <si>
    <t>NE_FT_High_Diesel_CCS_53_Wood</t>
  </si>
  <si>
    <t>CA_FT_High_Diesel_CCS_53_Agri</t>
  </si>
  <si>
    <t>NW_FT_High_Diesel_CCS_53_Agri</t>
  </si>
  <si>
    <t>SW_FT_High_Diesel_CCS_53_Agri</t>
  </si>
  <si>
    <t>TX_FT_High_Diesel_CCS_53_Agri</t>
  </si>
  <si>
    <t>NCEN_FT_High_Diesel_CCS_53_Agri</t>
  </si>
  <si>
    <t>CEN_FT_High_Diesel_CCS_53_Agri</t>
  </si>
  <si>
    <t>SE_FT_High_Diesel_CCS_53_Agri</t>
  </si>
  <si>
    <t>MIDAT_FT_High_Diesel_CCS_53_Agri</t>
  </si>
  <si>
    <t>NE_FT_High_Diesel_CCS_53_Agri</t>
  </si>
  <si>
    <t>CA_FT_High_Diesel_CCS_99_Herb</t>
  </si>
  <si>
    <t>NW_FT_High_Diesel_CCS_99_Herb</t>
  </si>
  <si>
    <t>SW_FT_High_Diesel_CCS_99_Herb</t>
  </si>
  <si>
    <t>TX_FT_High_Diesel_CCS_99_Herb</t>
  </si>
  <si>
    <t>NCEN_FT_High_Diesel_CCS_99_Herb</t>
  </si>
  <si>
    <t>CEN_FT_High_Diesel_CCS_99_Herb</t>
  </si>
  <si>
    <t>SE_FT_High_Diesel_CCS_99_Herb</t>
  </si>
  <si>
    <t>MIDAT_FT_High_Diesel_CCS_99_Herb</t>
  </si>
  <si>
    <t>NE_FT_High_Diesel_CCS_99_Herb</t>
  </si>
  <si>
    <t>CA_FT_High_Diesel_CCS_99_Wood</t>
  </si>
  <si>
    <t>NW_FT_High_Diesel_CCS_99_Wood</t>
  </si>
  <si>
    <t>SW_FT_High_Diesel_CCS_99_Wood</t>
  </si>
  <si>
    <t>TX_FT_High_Diesel_CCS_99_Wood</t>
  </si>
  <si>
    <t>NCEN_FT_High_Diesel_CCS_99_Wood</t>
  </si>
  <si>
    <t>CEN_FT_High_Diesel_CCS_99_Wood</t>
  </si>
  <si>
    <t>SE_FT_High_Diesel_CCS_99_Wood</t>
  </si>
  <si>
    <t>MIDAT_FT_High_Diesel_CCS_99_Wood</t>
  </si>
  <si>
    <t>NE_FT_High_Diesel_CCS_99_Wood</t>
  </si>
  <si>
    <t>CA_FT_High_Diesel_CCS_99_Agri</t>
  </si>
  <si>
    <t>NW_FT_High_Diesel_CCS_99_Agri</t>
  </si>
  <si>
    <t>SW_FT_High_Diesel_CCS_99_Agri</t>
  </si>
  <si>
    <t>TX_FT_High_Diesel_CCS_99_Agri</t>
  </si>
  <si>
    <t>NCEN_FT_High_Diesel_CCS_99_Agri</t>
  </si>
  <si>
    <t>CEN_FT_High_Diesel_CCS_99_Agri</t>
  </si>
  <si>
    <t>SE_FT_High_Diesel_CCS_99_Agri</t>
  </si>
  <si>
    <t>MIDAT_FT_High_Diesel_CCS_99_Agri</t>
  </si>
  <si>
    <t>NE_FT_High_Diesel_CCS_99_Agri</t>
  </si>
  <si>
    <t>CA_FT_High_Jetfuel_CCS_75_Herb</t>
  </si>
  <si>
    <t>NW_FT_High_Jetfuel_CCS_75_Herb</t>
  </si>
  <si>
    <t>SW_FT_High_Jetfuel_CCS_75_Herb</t>
  </si>
  <si>
    <t>TX_FT_High_Jetfuel_CCS_75_Herb</t>
  </si>
  <si>
    <t>NCEN_FT_High_Jetfuel_CCS_75_Herb</t>
  </si>
  <si>
    <t>CEN_FT_High_Jetfuel_CCS_75_Herb</t>
  </si>
  <si>
    <t>SE_FT_High_Jetfuel_CCS_75_Herb</t>
  </si>
  <si>
    <t>MIDAT_FT_High_Jetfuel_CCS_75_Herb</t>
  </si>
  <si>
    <t>NE_FT_High_Jetfuel_CCS_75_Herb</t>
  </si>
  <si>
    <t>CA_FT_High_Jetfuel_CCS_75_Wood</t>
  </si>
  <si>
    <t>NW_FT_High_Jetfuel_CCS_75_Wood</t>
  </si>
  <si>
    <t>SW_FT_High_Jetfuel_CCS_75_Wood</t>
  </si>
  <si>
    <t>TX_FT_High_Jetfuel_CCS_75_Wood</t>
  </si>
  <si>
    <t>NCEN_FT_High_Jetfuel_CCS_75_Wood</t>
  </si>
  <si>
    <t>CEN_FT_High_Jetfuel_CCS_75_Wood</t>
  </si>
  <si>
    <t>SE_FT_High_Jetfuel_CCS_75_Wood</t>
  </si>
  <si>
    <t>MIDAT_FT_High_Jetfuel_CCS_75_Wood</t>
  </si>
  <si>
    <t>NE_FT_High_Jetfuel_CCS_75_Wood</t>
  </si>
  <si>
    <t>CA_FT_High_Jetfuel_CCS_75_Agri</t>
  </si>
  <si>
    <t>NW_FT_High_Jetfuel_CCS_75_Agri</t>
  </si>
  <si>
    <t>SW_FT_High_Jetfuel_CCS_75_Agri</t>
  </si>
  <si>
    <t>TX_FT_High_Jetfuel_CCS_75_Agri</t>
  </si>
  <si>
    <t>NCEN_FT_High_Jetfuel_CCS_75_Agri</t>
  </si>
  <si>
    <t>CEN_FT_High_Jetfuel_CCS_75_Agri</t>
  </si>
  <si>
    <t>SE_FT_High_Jetfuel_CCS_75_Agri</t>
  </si>
  <si>
    <t>MIDAT_FT_High_Jetfuel_CCS_75_Agri</t>
  </si>
  <si>
    <t>NE_FT_High_Jetfuel_CCS_75_Agri</t>
  </si>
  <si>
    <t>CA_FT_High_Jetfuel_CCS_84_Herb</t>
  </si>
  <si>
    <t>NW_FT_High_Jetfuel_CCS_84_Herb</t>
  </si>
  <si>
    <t>SW_FT_High_Jetfuel_CCS_84_Herb</t>
  </si>
  <si>
    <t>TX_FT_High_Jetfuel_CCS_84_Herb</t>
  </si>
  <si>
    <t>NCEN_FT_High_Jetfuel_CCS_84_Herb</t>
  </si>
  <si>
    <t>CEN_FT_High_Jetfuel_CCS_84_Herb</t>
  </si>
  <si>
    <t>SE_FT_High_Jetfuel_CCS_84_Herb</t>
  </si>
  <si>
    <t>MIDAT_FT_High_Jetfuel_CCS_84_Herb</t>
  </si>
  <si>
    <t>NE_FT_High_Jetfuel_CCS_84_Herb</t>
  </si>
  <si>
    <t>CA_FT_High_Jetfuel_CCS_84_Wood</t>
  </si>
  <si>
    <t>NW_FT_High_Jetfuel_CCS_84_Wood</t>
  </si>
  <si>
    <t>SW_FT_High_Jetfuel_CCS_84_Wood</t>
  </si>
  <si>
    <t>TX_FT_High_Jetfuel_CCS_84_Wood</t>
  </si>
  <si>
    <t>NCEN_FT_High_Jetfuel_CCS_84_Wood</t>
  </si>
  <si>
    <t>CEN_FT_High_Jetfuel_CCS_84_Wood</t>
  </si>
  <si>
    <t>SE_FT_High_Jetfuel_CCS_84_Wood</t>
  </si>
  <si>
    <t>MIDAT_FT_High_Jetfuel_CCS_84_Wood</t>
  </si>
  <si>
    <t>NE_FT_High_Jetfuel_CCS_84_Wood</t>
  </si>
  <si>
    <t>CA_FT_High_Jetfuel_CCS_84_Agri</t>
  </si>
  <si>
    <t>NW_FT_High_Jetfuel_CCS_84_Agri</t>
  </si>
  <si>
    <t>SW_FT_High_Jetfuel_CCS_84_Agri</t>
  </si>
  <si>
    <t>TX_FT_High_Jetfuel_CCS_84_Agri</t>
  </si>
  <si>
    <t>NCEN_FT_High_Jetfuel_CCS_84_Agri</t>
  </si>
  <si>
    <t>CEN_FT_High_Jetfuel_CCS_84_Agri</t>
  </si>
  <si>
    <t>SE_FT_High_Jetfuel_CCS_84_Agri</t>
  </si>
  <si>
    <t>MIDAT_FT_High_Jetfuel_CCS_84_Agri</t>
  </si>
  <si>
    <t>NE_FT_High_Jetfuel_CCS_84_Agri</t>
  </si>
  <si>
    <t>CA_FT_High_Jetfuel_CCS_99_Herb</t>
  </si>
  <si>
    <t>NW_FT_High_Jetfuel_CCS_99_Herb</t>
  </si>
  <si>
    <t>SW_FT_High_Jetfuel_CCS_99_Herb</t>
  </si>
  <si>
    <t>TX_FT_High_Jetfuel_CCS_99_Herb</t>
  </si>
  <si>
    <t>NCEN_FT_High_Jetfuel_CCS_99_Herb</t>
  </si>
  <si>
    <t>CEN_FT_High_Jetfuel_CCS_99_Herb</t>
  </si>
  <si>
    <t>SE_FT_High_Jetfuel_CCS_99_Herb</t>
  </si>
  <si>
    <t>MIDAT_FT_High_Jetfuel_CCS_99_Herb</t>
  </si>
  <si>
    <t>NE_FT_High_Jetfuel_CCS_99_Herb</t>
  </si>
  <si>
    <t>CA_FT_High_Jetfuel_CCS_99_Wood</t>
  </si>
  <si>
    <t>NW_FT_High_Jetfuel_CCS_99_Wood</t>
  </si>
  <si>
    <t>SW_FT_High_Jetfuel_CCS_99_Wood</t>
  </si>
  <si>
    <t>TX_FT_High_Jetfuel_CCS_99_Wood</t>
  </si>
  <si>
    <t>NCEN_FT_High_Jetfuel_CCS_99_Wood</t>
  </si>
  <si>
    <t>CEN_FT_High_Jetfuel_CCS_99_Wood</t>
  </si>
  <si>
    <t>SE_FT_High_Jetfuel_CCS_99_Wood</t>
  </si>
  <si>
    <t>MIDAT_FT_High_Jetfuel_CCS_99_Wood</t>
  </si>
  <si>
    <t>NE_FT_High_Jetfuel_CCS_99_Wood</t>
  </si>
  <si>
    <t>CA_FT_High_Jetfuel_CCS_99_Agri</t>
  </si>
  <si>
    <t>NW_FT_High_Jetfuel_CCS_99_Agri</t>
  </si>
  <si>
    <t>SW_FT_High_Jetfuel_CCS_99_Agri</t>
  </si>
  <si>
    <t>TX_FT_High_Jetfuel_CCS_99_Agri</t>
  </si>
  <si>
    <t>NCEN_FT_High_Jetfuel_CCS_99_Agri</t>
  </si>
  <si>
    <t>CEN_FT_High_Jetfuel_CCS_99_Agri</t>
  </si>
  <si>
    <t>SE_FT_High_Jetfuel_CCS_99_Agri</t>
  </si>
  <si>
    <t>MIDAT_FT_High_Jetfuel_CCS_99_Agri</t>
  </si>
  <si>
    <t>NE_FT_High_Jetfuel_CCS_99_Agri</t>
  </si>
  <si>
    <t>UNSORTED</t>
  </si>
  <si>
    <t>LCOE ($/MWh-ethanol)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</si>
</sst>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8E8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3" fillId="14" borderId="0" xfId="0" applyFont="1" applyFill="1"/>
    <xf numFmtId="164" fontId="1" fillId="15" borderId="0" xfId="0" applyNumberFormat="1" applyFont="1" applyFill="1"/>
    <xf numFmtId="0" fontId="0" fillId="16" borderId="0" xfId="0" applyFill="1"/>
    <xf numFmtId="0" fontId="0" fillId="17" borderId="0" xfId="0" applyFill="1"/>
    <xf numFmtId="0" fontId="0" fillId="1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E326"/>
  <sheetViews>
    <sheetView topLeftCell="AN125" zoomScale="86" zoomScaleNormal="157" workbookViewId="0">
      <selection activeCell="AU342" sqref="AU342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3.33203125" style="1" bestFit="1" customWidth="1"/>
    <col min="4" max="4" width="23.83203125" style="1" bestFit="1" customWidth="1"/>
    <col min="5" max="5" width="25.33203125" style="1" bestFit="1" customWidth="1"/>
    <col min="6" max="6" width="34" style="1" bestFit="1" customWidth="1"/>
    <col min="7" max="7" width="31.1640625" style="1" bestFit="1" customWidth="1"/>
    <col min="8" max="8" width="30.1640625" style="1" bestFit="1" customWidth="1"/>
    <col min="9" max="9" width="30.1640625" style="1" customWidth="1"/>
    <col min="10" max="10" width="28.33203125" style="1" bestFit="1" customWidth="1"/>
    <col min="11" max="11" width="27.83203125" style="1" bestFit="1" customWidth="1"/>
    <col min="12" max="12" width="21" style="1" customWidth="1"/>
    <col min="13" max="13" width="27.83203125" style="1" bestFit="1" customWidth="1"/>
    <col min="14" max="14" width="26.1640625" style="1" bestFit="1" customWidth="1"/>
    <col min="15" max="15" width="14" style="1" customWidth="1"/>
    <col min="16" max="16" width="3" style="1" customWidth="1"/>
    <col min="17" max="17" width="12" style="1" bestFit="1" customWidth="1"/>
    <col min="18" max="18" width="15.6640625" style="1" bestFit="1" customWidth="1"/>
    <col min="19" max="20" width="17.1640625" style="1" bestFit="1" customWidth="1"/>
    <col min="21" max="21" width="18" style="1" bestFit="1" customWidth="1"/>
    <col min="22" max="22" width="16.1640625" style="1" bestFit="1" customWidth="1"/>
    <col min="23" max="23" width="18.83203125" style="1" bestFit="1" customWidth="1"/>
    <col min="24" max="24" width="3.33203125" customWidth="1"/>
    <col min="25" max="25" width="37.83203125" style="1" bestFit="1" customWidth="1"/>
    <col min="26" max="26" width="19.83203125" style="1" customWidth="1"/>
    <col min="27" max="28" width="18.83203125" style="1" bestFit="1" customWidth="1"/>
    <col min="29" max="29" width="27.83203125" style="1" bestFit="1" customWidth="1"/>
    <col min="30" max="30" width="12.6640625" style="1" bestFit="1" customWidth="1"/>
    <col min="31" max="31" width="15.1640625" style="1" bestFit="1" customWidth="1"/>
    <col min="32" max="32" width="18.5" style="1" bestFit="1" customWidth="1"/>
    <col min="33" max="33" width="13.6640625" style="1" bestFit="1" customWidth="1"/>
    <col min="34" max="34" width="12.1640625" style="1" bestFit="1" customWidth="1"/>
    <col min="35" max="35" width="14.5" style="1" bestFit="1" customWidth="1"/>
    <col min="36" max="36" width="10.5" style="1" customWidth="1"/>
    <col min="37" max="37" width="17.83203125" style="1" bestFit="1" customWidth="1"/>
    <col min="38" max="38" width="19.6640625" style="1" bestFit="1" customWidth="1"/>
    <col min="39" max="39" width="12.1640625" style="1" customWidth="1"/>
    <col min="40" max="40" width="17.83203125" style="1" bestFit="1" customWidth="1"/>
    <col min="41" max="41" width="19.33203125" style="1" bestFit="1" customWidth="1"/>
    <col min="42" max="42" width="3.33203125" style="1" customWidth="1"/>
    <col min="43" max="43" width="27.6640625" style="1" bestFit="1" customWidth="1"/>
    <col min="44" max="44" width="26.5" style="1" bestFit="1" customWidth="1"/>
    <col min="45" max="45" width="22.33203125" style="1" bestFit="1" customWidth="1"/>
    <col min="46" max="46" width="23.83203125" style="1" bestFit="1" customWidth="1"/>
    <col min="47" max="47" width="24.1640625" style="1" bestFit="1" customWidth="1"/>
    <col min="48" max="48" width="3.6640625" style="1" customWidth="1"/>
    <col min="49" max="49" width="24.5" style="1" bestFit="1" customWidth="1"/>
    <col min="50" max="50" width="3.33203125" style="1" customWidth="1"/>
    <col min="51" max="51" width="25.83203125" style="1" bestFit="1" customWidth="1"/>
    <col min="52" max="52" width="23.83203125" style="1" bestFit="1" customWidth="1"/>
    <col min="53" max="53" width="24.5" style="1" bestFit="1" customWidth="1"/>
    <col min="54" max="54" width="33.1640625" style="1" bestFit="1" customWidth="1"/>
    <col min="55" max="55" width="32.33203125" style="1" bestFit="1" customWidth="1"/>
    <col min="56" max="56" width="10.83203125" style="1" customWidth="1"/>
    <col min="57" max="57" width="19.1640625" style="1" bestFit="1" customWidth="1"/>
    <col min="58" max="75" width="10.83203125" style="1" customWidth="1"/>
    <col min="76" max="16384" width="10.83203125" style="1"/>
  </cols>
  <sheetData>
    <row r="1" spans="2:57" ht="15" customHeight="1" x14ac:dyDescent="0.2">
      <c r="X1" s="1"/>
      <c r="AD1" s="16"/>
      <c r="AE1" s="16"/>
      <c r="AF1" s="16"/>
      <c r="AG1" s="16"/>
      <c r="AH1" s="16"/>
      <c r="AI1" s="16"/>
      <c r="AJ1" s="16"/>
    </row>
    <row r="2" spans="2:57" x14ac:dyDescent="0.2">
      <c r="B2" s="1" t="s">
        <v>0</v>
      </c>
      <c r="Q2" s="1" t="s">
        <v>1</v>
      </c>
      <c r="Y2" s="1" t="s">
        <v>2</v>
      </c>
      <c r="AA2" s="1" t="s">
        <v>3</v>
      </c>
      <c r="AB2" s="1" t="s">
        <v>4</v>
      </c>
      <c r="AJ2" s="1" t="s">
        <v>5</v>
      </c>
      <c r="AM2" s="1" t="s">
        <v>6</v>
      </c>
      <c r="AQ2" s="1" t="s">
        <v>7</v>
      </c>
      <c r="AW2" s="1" t="s">
        <v>8</v>
      </c>
      <c r="AY2" s="1" t="s">
        <v>9</v>
      </c>
      <c r="BE2" s="1" t="s">
        <v>10</v>
      </c>
    </row>
    <row r="3" spans="2:57" x14ac:dyDescent="0.2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7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Q3" s="13" t="s">
        <v>25</v>
      </c>
      <c r="R3" s="13" t="s">
        <v>26</v>
      </c>
      <c r="S3" s="13" t="s">
        <v>27</v>
      </c>
      <c r="T3" s="13" t="s">
        <v>28</v>
      </c>
      <c r="U3" s="13" t="s">
        <v>29</v>
      </c>
      <c r="V3" s="13" t="s">
        <v>30</v>
      </c>
      <c r="W3" s="13" t="s">
        <v>31</v>
      </c>
      <c r="Y3" s="4" t="s">
        <v>32</v>
      </c>
      <c r="Z3" s="4" t="s">
        <v>33</v>
      </c>
      <c r="AA3" s="3" t="s">
        <v>34</v>
      </c>
      <c r="AB3" s="6" t="s">
        <v>34</v>
      </c>
      <c r="AC3" s="7" t="s">
        <v>35</v>
      </c>
      <c r="AD3" s="4" t="s">
        <v>36</v>
      </c>
      <c r="AE3" s="4" t="s">
        <v>37</v>
      </c>
      <c r="AF3" s="4" t="s">
        <v>38</v>
      </c>
      <c r="AG3" s="4" t="s">
        <v>39</v>
      </c>
      <c r="AH3" s="4" t="s">
        <v>40</v>
      </c>
      <c r="AI3" s="4" t="s">
        <v>41</v>
      </c>
      <c r="AJ3" s="3" t="s">
        <v>3</v>
      </c>
      <c r="AK3" s="3" t="s">
        <v>42</v>
      </c>
      <c r="AL3" s="3" t="s">
        <v>43</v>
      </c>
      <c r="AM3" s="6" t="s">
        <v>3</v>
      </c>
      <c r="AN3" s="6" t="s">
        <v>42</v>
      </c>
      <c r="AO3" s="6" t="s">
        <v>43</v>
      </c>
      <c r="AQ3" s="7" t="s">
        <v>44</v>
      </c>
      <c r="AR3" s="7" t="s">
        <v>45</v>
      </c>
      <c r="AS3" s="7" t="s">
        <v>46</v>
      </c>
      <c r="AT3" s="7" t="s">
        <v>47</v>
      </c>
      <c r="AU3" s="7" t="s">
        <v>48</v>
      </c>
      <c r="AW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E3" s="7" t="s">
        <v>55</v>
      </c>
    </row>
    <row r="4" spans="2:57" x14ac:dyDescent="0.2">
      <c r="B4" s="12" t="s">
        <v>56</v>
      </c>
      <c r="C4" s="11" t="s">
        <v>57</v>
      </c>
      <c r="D4" s="11">
        <v>0</v>
      </c>
      <c r="E4" s="11">
        <v>0</v>
      </c>
      <c r="F4" s="11">
        <v>2.0204</v>
      </c>
      <c r="G4" s="11">
        <v>0</v>
      </c>
      <c r="H4" s="11">
        <v>0</v>
      </c>
      <c r="I4" s="21">
        <f t="shared" ref="I4:I67" si="0">F4+G4+H4</f>
        <v>2.0204</v>
      </c>
      <c r="J4" s="11">
        <v>1.7210000000000001</v>
      </c>
      <c r="K4" s="11">
        <v>0</v>
      </c>
      <c r="L4" s="11">
        <v>1.2280782853713459</v>
      </c>
      <c r="M4" s="11">
        <v>356053.6</v>
      </c>
      <c r="N4" s="11">
        <v>283503.35999999999</v>
      </c>
      <c r="O4" s="11">
        <v>22.041599999999999</v>
      </c>
      <c r="Q4" s="14">
        <v>105.21100300000001</v>
      </c>
      <c r="R4" s="14">
        <v>-6.4122130000000004</v>
      </c>
      <c r="S4" s="14">
        <v>160</v>
      </c>
      <c r="T4" s="14">
        <v>313632.96735400002</v>
      </c>
      <c r="U4" s="14">
        <v>154.036981</v>
      </c>
      <c r="V4" s="14">
        <v>132.85973799999999</v>
      </c>
      <c r="W4" s="14">
        <v>36.488697999999999</v>
      </c>
      <c r="Y4" s="1" t="str">
        <f t="shared" ref="Y4:Y67" si="1">B4</f>
        <v>CA_Gasoline_Gasification_Non_CCS_Herb</v>
      </c>
      <c r="Z4" s="1" t="str">
        <f t="shared" ref="Z4:Z67" si="2">C4</f>
        <v>Biomass_Herb</v>
      </c>
      <c r="AA4" s="10">
        <f t="shared" ref="AA4:AA67" si="3">SUM(AD4:AI4)+AK4+AL4</f>
        <v>155284.1659787907</v>
      </c>
      <c r="AB4" s="10">
        <f t="shared" ref="AB4:AB67" si="4">SUM(AD4:AI4)+AN4+AO4</f>
        <v>155284.1659787907</v>
      </c>
      <c r="AC4" s="5">
        <f t="shared" ref="AC4:AC67" si="5">AA4-AB4</f>
        <v>0</v>
      </c>
      <c r="AD4" s="1">
        <f t="shared" ref="AD4:AD67" si="6">D4/I4*W4*-1</f>
        <v>0</v>
      </c>
      <c r="AE4" s="1">
        <f t="shared" ref="AE4:AE67" si="7">E4/I4*W4</f>
        <v>0</v>
      </c>
      <c r="AF4" s="1">
        <f t="array" ref="AF4">_xlfn.IFS(C4="Biomass_Corn", 1/I4*S4, C4="Biomass_Agri", 1/I4*V4, C4="Biomass_Wood", 1/I4*U4, C4="Biomass_Herb", 1/I4*T4)</f>
        <v>155233.10599584243</v>
      </c>
      <c r="AG4" s="1">
        <f t="shared" ref="AG4:AG67" si="8">M4/I4/(0.9*8760)</f>
        <v>22.352772898575573</v>
      </c>
      <c r="AH4" s="1">
        <f t="shared" ref="AH4:AH67" si="9">N4/I4/(0.9*8760)</f>
        <v>17.798124276971542</v>
      </c>
      <c r="AI4" s="1">
        <f t="shared" ref="AI4:AI67" si="10">O4/I4</f>
        <v>10.909522866759056</v>
      </c>
      <c r="AJ4" s="1">
        <f t="shared" ref="AJ4:AJ67" si="11">(AY4+AZ4+BA4+BB4+BC4-AW4)/I4</f>
        <v>-4.1544519175485815E-6</v>
      </c>
      <c r="AK4" s="1">
        <f t="shared" ref="AK4:AK67" si="12">(Q4+R4)*-1*K4/I4</f>
        <v>0</v>
      </c>
      <c r="AL4" s="1">
        <f t="shared" ref="AL4:AL67" si="13">AJ4*Q4</f>
        <v>-4.3709405316055957E-4</v>
      </c>
      <c r="AM4" s="1">
        <f t="shared" ref="AM4:AM67" si="14">(SUM(AY4:BB4)-AW4)/I4</f>
        <v>-4.1544519175485815E-6</v>
      </c>
      <c r="AN4" s="1">
        <f t="shared" ref="AN4:AN67" si="15">K4/I4*-1*R4</f>
        <v>0</v>
      </c>
      <c r="AO4" s="1">
        <f t="shared" ref="AO4:AO67" si="16">AM4*Q4</f>
        <v>-4.3709405316055957E-4</v>
      </c>
      <c r="AQ4" s="8">
        <f t="shared" ref="AQ4:AQ67" si="17">J4</f>
        <v>1.7210000000000001</v>
      </c>
      <c r="AR4" s="8">
        <v>0.243968185</v>
      </c>
      <c r="AS4" s="8">
        <v>0.24942761299999999</v>
      </c>
      <c r="AT4" s="9">
        <v>0.24635668499999999</v>
      </c>
      <c r="AU4" s="8">
        <v>0.23037490999999999</v>
      </c>
      <c r="AW4" s="9">
        <f t="shared" ref="AW4:AW67" si="18">AQ4</f>
        <v>1.7210000000000001</v>
      </c>
      <c r="AY4" s="9">
        <f t="shared" ref="AY4:AY67" si="19">AR4*F4</f>
        <v>0.49291332097399998</v>
      </c>
      <c r="AZ4" s="9">
        <f t="shared" ref="AZ4:AZ67" si="20">AS4*H4</f>
        <v>0</v>
      </c>
      <c r="BA4" s="9">
        <f t="shared" ref="BA4:BA67" si="21">AT4*G4</f>
        <v>0</v>
      </c>
      <c r="BB4" s="9">
        <f t="shared" ref="BB4:BB67" si="22">L4</f>
        <v>1.2280782853713459</v>
      </c>
      <c r="BC4" s="9">
        <f t="shared" ref="BC4:BC67" si="23">K4</f>
        <v>0</v>
      </c>
      <c r="BE4" s="1">
        <f t="shared" ref="BE4:BE67" si="24">AW4-SUM(AY4:BC4)</f>
        <v>8.3936546542151547E-6</v>
      </c>
    </row>
    <row r="5" spans="2:57" x14ac:dyDescent="0.2">
      <c r="B5" s="12" t="s">
        <v>58</v>
      </c>
      <c r="C5" s="11" t="s">
        <v>57</v>
      </c>
      <c r="D5" s="11">
        <v>0</v>
      </c>
      <c r="E5" s="11">
        <v>0</v>
      </c>
      <c r="F5" s="11">
        <v>2.0249000000000001</v>
      </c>
      <c r="G5" s="11">
        <v>0</v>
      </c>
      <c r="H5" s="11">
        <v>0</v>
      </c>
      <c r="I5" s="21">
        <f t="shared" si="0"/>
        <v>2.0249000000000001</v>
      </c>
      <c r="J5" s="11">
        <v>1.726</v>
      </c>
      <c r="K5" s="11">
        <v>0</v>
      </c>
      <c r="L5" s="11">
        <v>1.231994345372162</v>
      </c>
      <c r="M5" s="11">
        <v>356053.6</v>
      </c>
      <c r="N5" s="11">
        <v>283503.35999999999</v>
      </c>
      <c r="O5" s="11">
        <v>22.041599999999999</v>
      </c>
      <c r="Q5" s="14">
        <v>105.21100300000001</v>
      </c>
      <c r="R5" s="14">
        <v>-7.3796590000000002</v>
      </c>
      <c r="S5" s="14">
        <v>160</v>
      </c>
      <c r="T5" s="14">
        <v>130.996602</v>
      </c>
      <c r="U5" s="14">
        <v>149.05667199999999</v>
      </c>
      <c r="V5" s="14">
        <v>112.26938</v>
      </c>
      <c r="W5" s="14">
        <v>26.787863000000002</v>
      </c>
      <c r="Y5" s="1" t="str">
        <f t="shared" si="1"/>
        <v>NW_Gasoline_Gasification_Non_CCS_Herb</v>
      </c>
      <c r="Z5" s="1" t="str">
        <f t="shared" si="2"/>
        <v>Biomass_Herb</v>
      </c>
      <c r="AA5" s="10">
        <f t="shared" si="3"/>
        <v>115.64010852518255</v>
      </c>
      <c r="AB5" s="10">
        <f t="shared" si="4"/>
        <v>115.64010852518255</v>
      </c>
      <c r="AC5" s="5">
        <f t="shared" si="5"/>
        <v>0</v>
      </c>
      <c r="AD5" s="1">
        <f t="shared" si="6"/>
        <v>0</v>
      </c>
      <c r="AE5" s="1">
        <f t="shared" si="7"/>
        <v>0</v>
      </c>
      <c r="AF5" s="1">
        <f t="array" ref="AF5">_xlfn.IFS(C5="Biomass_Corn", 1/I5*S5, C5="Biomass_Agri", 1/I5*V5, C5="Biomass_Wood", 1/I5*U5, C5="Biomass_Herb", 1/I5*T5)</f>
        <v>64.69287470986221</v>
      </c>
      <c r="AG5" s="1">
        <f t="shared" si="8"/>
        <v>22.303097616811737</v>
      </c>
      <c r="AH5" s="1">
        <f t="shared" si="9"/>
        <v>17.758570936437994</v>
      </c>
      <c r="AI5" s="1">
        <f t="shared" si="10"/>
        <v>10.885278285347423</v>
      </c>
      <c r="AJ5" s="1">
        <f t="shared" si="11"/>
        <v>2.7276303333405972E-6</v>
      </c>
      <c r="AK5" s="1">
        <f t="shared" si="12"/>
        <v>0</v>
      </c>
      <c r="AL5" s="1">
        <f t="shared" si="13"/>
        <v>2.8697672318398859E-4</v>
      </c>
      <c r="AM5" s="1">
        <f t="shared" si="14"/>
        <v>2.7276303333405972E-6</v>
      </c>
      <c r="AN5" s="1">
        <f t="shared" si="15"/>
        <v>0</v>
      </c>
      <c r="AO5" s="1">
        <f t="shared" si="16"/>
        <v>2.8697672318398859E-4</v>
      </c>
      <c r="AQ5" s="8">
        <f t="shared" si="17"/>
        <v>1.726</v>
      </c>
      <c r="AR5" s="8">
        <v>0.243968185</v>
      </c>
      <c r="AS5" s="8">
        <v>0.24942761299999999</v>
      </c>
      <c r="AT5" s="9">
        <v>0.24635668499999999</v>
      </c>
      <c r="AU5" s="8">
        <v>0.23037490999999999</v>
      </c>
      <c r="AW5" s="9">
        <f t="shared" si="18"/>
        <v>1.726</v>
      </c>
      <c r="AY5" s="9">
        <f t="shared" si="19"/>
        <v>0.49401117780650006</v>
      </c>
      <c r="AZ5" s="9">
        <f t="shared" si="20"/>
        <v>0</v>
      </c>
      <c r="BA5" s="9">
        <f t="shared" si="21"/>
        <v>0</v>
      </c>
      <c r="BB5" s="9">
        <f t="shared" si="22"/>
        <v>1.231994345372162</v>
      </c>
      <c r="BC5" s="9">
        <f t="shared" si="23"/>
        <v>0</v>
      </c>
      <c r="BE5" s="1">
        <f t="shared" si="24"/>
        <v>-5.5231786619813761E-6</v>
      </c>
    </row>
    <row r="6" spans="2:57" x14ac:dyDescent="0.2">
      <c r="B6" s="12" t="s">
        <v>59</v>
      </c>
      <c r="C6" s="11" t="s">
        <v>57</v>
      </c>
      <c r="D6" s="11">
        <v>0</v>
      </c>
      <c r="E6" s="11">
        <v>0</v>
      </c>
      <c r="F6" s="11">
        <v>2.0114999999999998</v>
      </c>
      <c r="G6" s="11">
        <v>0</v>
      </c>
      <c r="H6" s="11">
        <v>0</v>
      </c>
      <c r="I6" s="21">
        <f t="shared" si="0"/>
        <v>2.0114999999999998</v>
      </c>
      <c r="J6" s="11">
        <v>1.71</v>
      </c>
      <c r="K6" s="11">
        <v>0</v>
      </c>
      <c r="L6" s="11">
        <v>1.2192461653697131</v>
      </c>
      <c r="M6" s="11">
        <v>356053.6</v>
      </c>
      <c r="N6" s="11">
        <v>283503.35999999999</v>
      </c>
      <c r="O6" s="11">
        <v>22.041599999999999</v>
      </c>
      <c r="Q6" s="14">
        <v>105.21100300000001</v>
      </c>
      <c r="R6" s="14">
        <v>-14.567418</v>
      </c>
      <c r="S6" s="14">
        <v>160</v>
      </c>
      <c r="T6" s="14">
        <v>120.282189</v>
      </c>
      <c r="U6" s="14">
        <v>137.475031</v>
      </c>
      <c r="V6" s="14">
        <v>107.559866</v>
      </c>
      <c r="W6" s="14">
        <v>27.957547000000002</v>
      </c>
      <c r="Y6" s="1" t="str">
        <f t="shared" si="1"/>
        <v>SW_Gasoline_Gasification_Non_CCS_Herb</v>
      </c>
      <c r="Z6" s="1" t="str">
        <f t="shared" si="2"/>
        <v>Biomass_Herb</v>
      </c>
      <c r="AA6" s="10">
        <f t="shared" si="3"/>
        <v>111.08298133453204</v>
      </c>
      <c r="AB6" s="10">
        <f t="shared" si="4"/>
        <v>111.08298133453204</v>
      </c>
      <c r="AC6" s="5">
        <f t="shared" si="5"/>
        <v>0</v>
      </c>
      <c r="AD6" s="1">
        <f t="shared" si="6"/>
        <v>0</v>
      </c>
      <c r="AE6" s="1">
        <f t="shared" si="7"/>
        <v>0</v>
      </c>
      <c r="AF6" s="1">
        <f t="array" ref="AF6">_xlfn.IFS(C6="Biomass_Corn", 1/I6*S6, C6="Biomass_Agri", 1/I6*V6, C6="Biomass_Wood", 1/I6*U6, C6="Biomass_Herb", 1/I6*T6)</f>
        <v>59.797260253542142</v>
      </c>
      <c r="AG6" s="1">
        <f t="shared" si="8"/>
        <v>22.45167405631722</v>
      </c>
      <c r="AH6" s="1">
        <f t="shared" si="9"/>
        <v>17.876873124132889</v>
      </c>
      <c r="AI6" s="1">
        <f t="shared" si="10"/>
        <v>10.957792692020881</v>
      </c>
      <c r="AJ6" s="1">
        <f t="shared" si="11"/>
        <v>-5.8814331528556686E-6</v>
      </c>
      <c r="AK6" s="1">
        <f t="shared" si="12"/>
        <v>0</v>
      </c>
      <c r="AL6" s="1">
        <f t="shared" si="13"/>
        <v>-6.1879148108939721E-4</v>
      </c>
      <c r="AM6" s="1">
        <f t="shared" si="14"/>
        <v>-5.8814331528556686E-6</v>
      </c>
      <c r="AN6" s="1">
        <f t="shared" si="15"/>
        <v>0</v>
      </c>
      <c r="AO6" s="1">
        <f t="shared" si="16"/>
        <v>-6.1879148108939721E-4</v>
      </c>
      <c r="AQ6" s="8">
        <f t="shared" si="17"/>
        <v>1.71</v>
      </c>
      <c r="AR6" s="8">
        <v>0.243968185</v>
      </c>
      <c r="AS6" s="8">
        <v>0.24942761299999999</v>
      </c>
      <c r="AT6" s="9">
        <v>0.24635668499999999</v>
      </c>
      <c r="AU6" s="8">
        <v>0.23037490999999999</v>
      </c>
      <c r="AW6" s="9">
        <f t="shared" si="18"/>
        <v>1.71</v>
      </c>
      <c r="AY6" s="9">
        <f t="shared" si="19"/>
        <v>0.49074200412749996</v>
      </c>
      <c r="AZ6" s="9">
        <f t="shared" si="20"/>
        <v>0</v>
      </c>
      <c r="BA6" s="9">
        <f t="shared" si="21"/>
        <v>0</v>
      </c>
      <c r="BB6" s="9">
        <f t="shared" si="22"/>
        <v>1.2192461653697131</v>
      </c>
      <c r="BC6" s="9">
        <f t="shared" si="23"/>
        <v>0</v>
      </c>
      <c r="BE6" s="1">
        <f t="shared" si="24"/>
        <v>1.1830502786969177E-5</v>
      </c>
    </row>
    <row r="7" spans="2:57" x14ac:dyDescent="0.2">
      <c r="B7" s="12" t="s">
        <v>60</v>
      </c>
      <c r="C7" s="11" t="s">
        <v>57</v>
      </c>
      <c r="D7" s="11">
        <v>0</v>
      </c>
      <c r="E7" s="11">
        <v>0</v>
      </c>
      <c r="F7" s="11">
        <v>2.016</v>
      </c>
      <c r="G7" s="11">
        <v>0</v>
      </c>
      <c r="H7" s="11">
        <v>0</v>
      </c>
      <c r="I7" s="21">
        <f t="shared" si="0"/>
        <v>2.016</v>
      </c>
      <c r="J7" s="11">
        <v>1.714</v>
      </c>
      <c r="K7" s="11">
        <v>0</v>
      </c>
      <c r="L7" s="11">
        <v>1.2221622253705291</v>
      </c>
      <c r="M7" s="11">
        <v>356053.6</v>
      </c>
      <c r="N7" s="11">
        <v>283503.35999999999</v>
      </c>
      <c r="O7" s="11">
        <v>22.041599999999999</v>
      </c>
      <c r="Q7" s="14">
        <v>105.21100300000001</v>
      </c>
      <c r="R7" s="14">
        <v>-19.477884</v>
      </c>
      <c r="S7" s="14">
        <v>160</v>
      </c>
      <c r="T7" s="14">
        <v>132.95547999999999</v>
      </c>
      <c r="U7" s="14">
        <v>152.57709199999999</v>
      </c>
      <c r="V7" s="14">
        <v>106.67488899999999</v>
      </c>
      <c r="W7" s="14">
        <v>20.174973000000001</v>
      </c>
      <c r="Y7" s="1" t="str">
        <f t="shared" si="1"/>
        <v>TX_Gasoline_Gasification_Non_CCS_Herb</v>
      </c>
      <c r="Z7" s="1" t="str">
        <f t="shared" si="2"/>
        <v>Biomass_Herb</v>
      </c>
      <c r="AA7" s="10">
        <f t="shared" si="3"/>
        <v>117.12210920555702</v>
      </c>
      <c r="AB7" s="10">
        <f t="shared" si="4"/>
        <v>117.12210920555702</v>
      </c>
      <c r="AC7" s="5">
        <f t="shared" si="5"/>
        <v>0</v>
      </c>
      <c r="AD7" s="1">
        <f t="shared" si="6"/>
        <v>0</v>
      </c>
      <c r="AE7" s="1">
        <f t="shared" si="7"/>
        <v>0</v>
      </c>
      <c r="AF7" s="1">
        <f t="array" ref="AF7">_xlfn.IFS(C7="Biomass_Corn", 1/I7*S7, C7="Biomass_Agri", 1/I7*V7, C7="Biomass_Wood", 1/I7*U7, C7="Biomass_Herb", 1/I7*T7)</f>
        <v>65.950138888888887</v>
      </c>
      <c r="AG7" s="1">
        <f t="shared" si="8"/>
        <v>22.40155871244151</v>
      </c>
      <c r="AH7" s="1">
        <f t="shared" si="9"/>
        <v>17.836969389480803</v>
      </c>
      <c r="AI7" s="1">
        <f t="shared" si="10"/>
        <v>10.933333333333334</v>
      </c>
      <c r="AJ7" s="1">
        <f t="shared" si="11"/>
        <v>1.034886175211981E-6</v>
      </c>
      <c r="AK7" s="1">
        <f t="shared" si="12"/>
        <v>0</v>
      </c>
      <c r="AL7" s="1">
        <f t="shared" si="13"/>
        <v>1.0888141248488626E-4</v>
      </c>
      <c r="AM7" s="1">
        <f t="shared" si="14"/>
        <v>1.034886175211981E-6</v>
      </c>
      <c r="AN7" s="1">
        <f t="shared" si="15"/>
        <v>0</v>
      </c>
      <c r="AO7" s="1">
        <f t="shared" si="16"/>
        <v>1.0888141248488626E-4</v>
      </c>
      <c r="AQ7" s="8">
        <f t="shared" si="17"/>
        <v>1.714</v>
      </c>
      <c r="AR7" s="8">
        <v>0.243968185</v>
      </c>
      <c r="AS7" s="8">
        <v>0.24942761299999999</v>
      </c>
      <c r="AT7" s="9">
        <v>0.24635668499999999</v>
      </c>
      <c r="AU7" s="8">
        <v>0.23037490999999999</v>
      </c>
      <c r="AW7" s="9">
        <f t="shared" si="18"/>
        <v>1.714</v>
      </c>
      <c r="AY7" s="9">
        <f t="shared" si="19"/>
        <v>0.49183986095999999</v>
      </c>
      <c r="AZ7" s="9">
        <f t="shared" si="20"/>
        <v>0</v>
      </c>
      <c r="BA7" s="9">
        <f t="shared" si="21"/>
        <v>0</v>
      </c>
      <c r="BB7" s="9">
        <f t="shared" si="22"/>
        <v>1.2221622253705291</v>
      </c>
      <c r="BC7" s="9">
        <f t="shared" si="23"/>
        <v>0</v>
      </c>
      <c r="BE7" s="1">
        <f t="shared" si="24"/>
        <v>-2.0863305292273537E-6</v>
      </c>
    </row>
    <row r="8" spans="2:57" x14ac:dyDescent="0.2">
      <c r="B8" s="12" t="s">
        <v>61</v>
      </c>
      <c r="C8" s="11" t="s">
        <v>57</v>
      </c>
      <c r="D8" s="11">
        <v>0</v>
      </c>
      <c r="E8" s="11">
        <v>0</v>
      </c>
      <c r="F8" s="11">
        <v>2.0371000000000001</v>
      </c>
      <c r="G8" s="11">
        <v>0</v>
      </c>
      <c r="H8" s="11">
        <v>0</v>
      </c>
      <c r="I8" s="21">
        <f t="shared" si="0"/>
        <v>2.0371000000000001</v>
      </c>
      <c r="J8" s="11">
        <v>1.74</v>
      </c>
      <c r="K8" s="11">
        <v>0</v>
      </c>
      <c r="L8" s="11">
        <v>1.243013510374408</v>
      </c>
      <c r="M8" s="11">
        <v>356053.6</v>
      </c>
      <c r="N8" s="11">
        <v>283503.35999999999</v>
      </c>
      <c r="O8" s="11">
        <v>22.041599999999999</v>
      </c>
      <c r="Q8" s="14">
        <v>105.21100300000001</v>
      </c>
      <c r="R8" s="14">
        <v>-39.686463000000003</v>
      </c>
      <c r="S8" s="14">
        <v>160</v>
      </c>
      <c r="T8" s="14">
        <v>100.757654</v>
      </c>
      <c r="U8" s="14">
        <v>111.990773</v>
      </c>
      <c r="V8" s="14">
        <v>89.243781999999996</v>
      </c>
      <c r="W8" s="14">
        <v>30.713950000000001</v>
      </c>
      <c r="Y8" s="1" t="str">
        <f t="shared" si="1"/>
        <v>NCEN_Gasoline_Gasification_Non_CCS_Herb</v>
      </c>
      <c r="Z8" s="1" t="str">
        <f t="shared" si="2"/>
        <v>Biomass_Herb</v>
      </c>
      <c r="AA8" s="10">
        <f t="shared" si="3"/>
        <v>100.10320671030732</v>
      </c>
      <c r="AB8" s="10">
        <f t="shared" si="4"/>
        <v>100.10320671030732</v>
      </c>
      <c r="AC8" s="5">
        <f t="shared" si="5"/>
        <v>0</v>
      </c>
      <c r="AD8" s="1">
        <f t="shared" si="6"/>
        <v>0</v>
      </c>
      <c r="AE8" s="1">
        <f t="shared" si="7"/>
        <v>0</v>
      </c>
      <c r="AF8" s="1">
        <f t="array" ref="AF8">_xlfn.IFS(C8="Biomass_Corn", 1/I8*S8, C8="Biomass_Agri", 1/I8*V8, C8="Biomass_Wood", 1/I8*U8, C8="Biomass_Herb", 1/I8*T8)</f>
        <v>49.461319522851113</v>
      </c>
      <c r="AG8" s="1">
        <f t="shared" si="8"/>
        <v>22.169526466193158</v>
      </c>
      <c r="AH8" s="1">
        <f t="shared" si="9"/>
        <v>17.65221652800221</v>
      </c>
      <c r="AI8" s="1">
        <f t="shared" si="10"/>
        <v>10.820087379117371</v>
      </c>
      <c r="AJ8" s="1">
        <f t="shared" si="11"/>
        <v>5.4000191846114897E-7</v>
      </c>
      <c r="AK8" s="1">
        <f t="shared" si="12"/>
        <v>0</v>
      </c>
      <c r="AL8" s="1">
        <f t="shared" si="13"/>
        <v>5.6814143463221705E-5</v>
      </c>
      <c r="AM8" s="1">
        <f t="shared" si="14"/>
        <v>5.4000191846114897E-7</v>
      </c>
      <c r="AN8" s="1">
        <f t="shared" si="15"/>
        <v>0</v>
      </c>
      <c r="AO8" s="1">
        <f t="shared" si="16"/>
        <v>5.6814143463221705E-5</v>
      </c>
      <c r="AQ8" s="8">
        <f t="shared" si="17"/>
        <v>1.74</v>
      </c>
      <c r="AR8" s="8">
        <v>0.243968185</v>
      </c>
      <c r="AS8" s="8">
        <v>0.24942761299999999</v>
      </c>
      <c r="AT8" s="9">
        <v>0.24635668499999999</v>
      </c>
      <c r="AU8" s="8">
        <v>0.23037490999999999</v>
      </c>
      <c r="AW8" s="9">
        <f t="shared" si="18"/>
        <v>1.74</v>
      </c>
      <c r="AY8" s="9">
        <f t="shared" si="19"/>
        <v>0.49698758966350004</v>
      </c>
      <c r="AZ8" s="9">
        <f t="shared" si="20"/>
        <v>0</v>
      </c>
      <c r="BA8" s="9">
        <f t="shared" si="21"/>
        <v>0</v>
      </c>
      <c r="BB8" s="9">
        <f t="shared" si="22"/>
        <v>1.243013510374408</v>
      </c>
      <c r="BC8" s="9">
        <f t="shared" si="23"/>
        <v>0</v>
      </c>
      <c r="BE8" s="1">
        <f t="shared" si="24"/>
        <v>-1.1000379080972067E-6</v>
      </c>
    </row>
    <row r="9" spans="2:57" ht="17" customHeight="1" x14ac:dyDescent="0.2">
      <c r="B9" s="12" t="s">
        <v>62</v>
      </c>
      <c r="C9" s="11" t="s">
        <v>57</v>
      </c>
      <c r="D9" s="11">
        <v>0</v>
      </c>
      <c r="E9" s="11">
        <v>0</v>
      </c>
      <c r="F9" s="11">
        <v>2.0249000000000001</v>
      </c>
      <c r="G9" s="11">
        <v>0</v>
      </c>
      <c r="H9" s="11">
        <v>0</v>
      </c>
      <c r="I9" s="21">
        <f t="shared" si="0"/>
        <v>2.0249000000000001</v>
      </c>
      <c r="J9" s="11">
        <v>1.7230000000000001</v>
      </c>
      <c r="K9" s="11">
        <v>0</v>
      </c>
      <c r="L9" s="11">
        <v>1.228994345372163</v>
      </c>
      <c r="M9" s="11">
        <v>356053.6</v>
      </c>
      <c r="N9" s="11">
        <v>283503.35999999999</v>
      </c>
      <c r="O9" s="11">
        <v>22.041599999999999</v>
      </c>
      <c r="Q9" s="14">
        <v>105.21100300000001</v>
      </c>
      <c r="R9" s="14">
        <v>-29.672038000000001</v>
      </c>
      <c r="S9" s="14">
        <v>160</v>
      </c>
      <c r="T9" s="14">
        <v>107.027154</v>
      </c>
      <c r="U9" s="14">
        <v>122.865223</v>
      </c>
      <c r="V9" s="14">
        <v>94.404420999999999</v>
      </c>
      <c r="W9" s="14">
        <v>25.118154000000001</v>
      </c>
      <c r="Y9" s="1" t="str">
        <f t="shared" si="1"/>
        <v>CEN_Gasoline_Gasification_Non_CCS_Herb</v>
      </c>
      <c r="Z9" s="1" t="str">
        <f t="shared" si="2"/>
        <v>Biomass_Herb</v>
      </c>
      <c r="AA9" s="10">
        <f t="shared" si="3"/>
        <v>103.80275952029348</v>
      </c>
      <c r="AB9" s="10">
        <f t="shared" si="4"/>
        <v>103.80275952029348</v>
      </c>
      <c r="AC9" s="5">
        <f t="shared" si="5"/>
        <v>0</v>
      </c>
      <c r="AD9" s="1">
        <f t="shared" si="6"/>
        <v>0</v>
      </c>
      <c r="AE9" s="1">
        <f t="shared" si="7"/>
        <v>0</v>
      </c>
      <c r="AF9" s="1">
        <f t="array" ref="AF9">_xlfn.IFS(C9="Biomass_Corn", 1/I9*S9, C9="Biomass_Agri", 1/I9*V9, C9="Biomass_Wood", 1/I9*U9, C9="Biomass_Herb", 1/I9*T9)</f>
        <v>52.855525704973076</v>
      </c>
      <c r="AG9" s="1">
        <f t="shared" si="8"/>
        <v>22.303097616811737</v>
      </c>
      <c r="AH9" s="1">
        <f t="shared" si="9"/>
        <v>17.758570936437994</v>
      </c>
      <c r="AI9" s="1">
        <f t="shared" si="10"/>
        <v>10.885278285347423</v>
      </c>
      <c r="AJ9" s="1">
        <f t="shared" si="11"/>
        <v>2.7276303338888829E-6</v>
      </c>
      <c r="AK9" s="1">
        <f t="shared" si="12"/>
        <v>0</v>
      </c>
      <c r="AL9" s="1">
        <f t="shared" si="13"/>
        <v>2.8697672324167427E-4</v>
      </c>
      <c r="AM9" s="1">
        <f t="shared" si="14"/>
        <v>2.7276303338888829E-6</v>
      </c>
      <c r="AN9" s="1">
        <f t="shared" si="15"/>
        <v>0</v>
      </c>
      <c r="AO9" s="1">
        <f t="shared" si="16"/>
        <v>2.8697672324167427E-4</v>
      </c>
      <c r="AQ9" s="8">
        <f t="shared" si="17"/>
        <v>1.7230000000000001</v>
      </c>
      <c r="AR9" s="8">
        <v>0.243968185</v>
      </c>
      <c r="AS9" s="8">
        <v>0.24942761299999999</v>
      </c>
      <c r="AT9" s="9">
        <v>0.24635668499999999</v>
      </c>
      <c r="AU9" s="8">
        <v>0.23037490999999999</v>
      </c>
      <c r="AW9" s="9">
        <f t="shared" si="18"/>
        <v>1.7230000000000001</v>
      </c>
      <c r="AY9" s="9">
        <f t="shared" si="19"/>
        <v>0.49401117780650006</v>
      </c>
      <c r="AZ9" s="9">
        <f t="shared" si="20"/>
        <v>0</v>
      </c>
      <c r="BA9" s="9">
        <f t="shared" si="21"/>
        <v>0</v>
      </c>
      <c r="BB9" s="9">
        <f t="shared" si="22"/>
        <v>1.228994345372163</v>
      </c>
      <c r="BC9" s="9">
        <f t="shared" si="23"/>
        <v>0</v>
      </c>
      <c r="BE9" s="1">
        <f t="shared" si="24"/>
        <v>-5.5231786630915991E-6</v>
      </c>
    </row>
    <row r="10" spans="2:57" x14ac:dyDescent="0.2">
      <c r="B10" s="12" t="s">
        <v>63</v>
      </c>
      <c r="C10" s="11" t="s">
        <v>57</v>
      </c>
      <c r="D10" s="11">
        <v>0</v>
      </c>
      <c r="E10" s="11">
        <v>0</v>
      </c>
      <c r="F10" s="11">
        <v>2.0215000000000001</v>
      </c>
      <c r="G10" s="11">
        <v>0</v>
      </c>
      <c r="H10" s="11">
        <v>0</v>
      </c>
      <c r="I10" s="21">
        <f t="shared" si="0"/>
        <v>2.0215000000000001</v>
      </c>
      <c r="J10" s="11">
        <v>1.7170000000000001</v>
      </c>
      <c r="K10" s="11">
        <v>0</v>
      </c>
      <c r="L10" s="11">
        <v>1.2238073003715499</v>
      </c>
      <c r="M10" s="11">
        <v>356053.6</v>
      </c>
      <c r="N10" s="11">
        <v>283503.35999999999</v>
      </c>
      <c r="O10" s="11">
        <v>22.041599999999999</v>
      </c>
      <c r="Q10" s="14">
        <v>105.21100300000001</v>
      </c>
      <c r="R10" s="14">
        <v>-45.510345000000001</v>
      </c>
      <c r="S10" s="14">
        <v>160</v>
      </c>
      <c r="T10" s="14">
        <v>97.593261999999996</v>
      </c>
      <c r="U10" s="14">
        <v>109.791234</v>
      </c>
      <c r="V10" s="14">
        <v>86.911507</v>
      </c>
      <c r="W10" s="14">
        <v>38.099075999999997</v>
      </c>
      <c r="Y10" s="1" t="str">
        <f t="shared" si="1"/>
        <v>SE_Gasoline_Gasification_Non_CCS_Herb</v>
      </c>
      <c r="Z10" s="1" t="str">
        <f t="shared" si="2"/>
        <v>Biomass_Herb</v>
      </c>
      <c r="AA10" s="10">
        <f t="shared" si="3"/>
        <v>99.309708580861837</v>
      </c>
      <c r="AB10" s="10">
        <f t="shared" si="4"/>
        <v>99.309708580861837</v>
      </c>
      <c r="AC10" s="5">
        <f t="shared" si="5"/>
        <v>0</v>
      </c>
      <c r="AD10" s="1">
        <f t="shared" si="6"/>
        <v>0</v>
      </c>
      <c r="AE10" s="1">
        <f t="shared" si="7"/>
        <v>0</v>
      </c>
      <c r="AF10" s="1">
        <f t="array" ref="AF10">_xlfn.IFS(C10="Biomass_Corn", 1/I10*S10, C10="Biomass_Agri", 1/I10*V10, C10="Biomass_Wood", 1/I10*U10, C10="Biomass_Herb", 1/I10*T10)</f>
        <v>48.277646302250801</v>
      </c>
      <c r="AG10" s="1">
        <f t="shared" si="8"/>
        <v>22.340609628633239</v>
      </c>
      <c r="AH10" s="1">
        <f t="shared" si="9"/>
        <v>17.788439420822804</v>
      </c>
      <c r="AI10" s="1">
        <f t="shared" si="10"/>
        <v>10.903586445708632</v>
      </c>
      <c r="AJ10" s="1">
        <f t="shared" si="11"/>
        <v>-5.4482567153753607E-6</v>
      </c>
      <c r="AK10" s="1">
        <f t="shared" si="12"/>
        <v>0</v>
      </c>
      <c r="AL10" s="1">
        <f t="shared" si="13"/>
        <v>-5.7321655362612724E-4</v>
      </c>
      <c r="AM10" s="1">
        <f t="shared" si="14"/>
        <v>-5.4482567153753607E-6</v>
      </c>
      <c r="AN10" s="1">
        <f t="shared" si="15"/>
        <v>0</v>
      </c>
      <c r="AO10" s="1">
        <f t="shared" si="16"/>
        <v>-5.7321655362612724E-4</v>
      </c>
      <c r="AQ10" s="8">
        <f t="shared" si="17"/>
        <v>1.7170000000000001</v>
      </c>
      <c r="AR10" s="8">
        <v>0.243968185</v>
      </c>
      <c r="AS10" s="8">
        <v>0.24942761299999999</v>
      </c>
      <c r="AT10" s="9">
        <v>0.24635668499999999</v>
      </c>
      <c r="AU10" s="8">
        <v>0.23037490999999999</v>
      </c>
      <c r="AW10" s="9">
        <f t="shared" si="18"/>
        <v>1.7170000000000001</v>
      </c>
      <c r="AY10" s="9">
        <f t="shared" si="19"/>
        <v>0.49318168597750001</v>
      </c>
      <c r="AZ10" s="9">
        <f t="shared" si="20"/>
        <v>0</v>
      </c>
      <c r="BA10" s="9">
        <f t="shared" si="21"/>
        <v>0</v>
      </c>
      <c r="BB10" s="9">
        <f t="shared" si="22"/>
        <v>1.2238073003715499</v>
      </c>
      <c r="BC10" s="9">
        <f t="shared" si="23"/>
        <v>0</v>
      </c>
      <c r="BE10" s="1">
        <f t="shared" si="24"/>
        <v>1.1013650950131293E-5</v>
      </c>
    </row>
    <row r="11" spans="2:57" x14ac:dyDescent="0.2">
      <c r="B11" s="12" t="s">
        <v>64</v>
      </c>
      <c r="C11" s="11" t="s">
        <v>57</v>
      </c>
      <c r="D11" s="11">
        <v>0</v>
      </c>
      <c r="E11" s="11">
        <v>0</v>
      </c>
      <c r="F11" s="11">
        <v>2.0327000000000002</v>
      </c>
      <c r="G11" s="11">
        <v>0</v>
      </c>
      <c r="H11" s="11">
        <v>0</v>
      </c>
      <c r="I11" s="21">
        <f t="shared" si="0"/>
        <v>2.0327000000000002</v>
      </c>
      <c r="J11" s="11">
        <v>1.736</v>
      </c>
      <c r="K11" s="11">
        <v>0</v>
      </c>
      <c r="L11" s="11">
        <v>1.2400974503735911</v>
      </c>
      <c r="M11" s="11">
        <v>356053.6</v>
      </c>
      <c r="N11" s="11">
        <v>283503.35999999999</v>
      </c>
      <c r="O11" s="11">
        <v>22.041599999999999</v>
      </c>
      <c r="Q11" s="14">
        <v>105.21100300000001</v>
      </c>
      <c r="R11" s="14">
        <v>-50.334515000000003</v>
      </c>
      <c r="S11" s="14">
        <v>160</v>
      </c>
      <c r="T11" s="14">
        <v>98.707491000000005</v>
      </c>
      <c r="U11" s="14">
        <v>106.53195700000001</v>
      </c>
      <c r="V11" s="14">
        <v>87.469328000000004</v>
      </c>
      <c r="W11" s="14">
        <v>39.29871</v>
      </c>
      <c r="Y11" s="1" t="str">
        <f t="shared" si="1"/>
        <v>MIDAT_Gasoline_Gasification_Non_CCS_Herb</v>
      </c>
      <c r="Z11" s="1" t="str">
        <f t="shared" si="2"/>
        <v>Biomass_Herb</v>
      </c>
      <c r="AA11" s="10">
        <f t="shared" si="3"/>
        <v>99.311842376799106</v>
      </c>
      <c r="AB11" s="10">
        <f t="shared" si="4"/>
        <v>99.311842376799106</v>
      </c>
      <c r="AC11" s="5">
        <f t="shared" si="5"/>
        <v>0</v>
      </c>
      <c r="AD11" s="1">
        <f t="shared" si="6"/>
        <v>0</v>
      </c>
      <c r="AE11" s="1">
        <f t="shared" si="7"/>
        <v>0</v>
      </c>
      <c r="AF11" s="1">
        <f t="array" ref="AF11">_xlfn.IFS(C11="Biomass_Corn", 1/I11*S11, C11="Biomass_Agri", 1/I11*V11, C11="Biomass_Wood", 1/I11*U11, C11="Biomass_Herb", 1/I11*T11)</f>
        <v>48.559792886308848</v>
      </c>
      <c r="AG11" s="1">
        <f t="shared" si="8"/>
        <v>22.217514814917148</v>
      </c>
      <c r="AH11" s="1">
        <f t="shared" si="9"/>
        <v>17.690426668565603</v>
      </c>
      <c r="AI11" s="1">
        <f t="shared" si="10"/>
        <v>10.843508633836768</v>
      </c>
      <c r="AJ11" s="1">
        <f t="shared" si="11"/>
        <v>5.6968677577092659E-6</v>
      </c>
      <c r="AK11" s="1">
        <f t="shared" si="12"/>
        <v>0</v>
      </c>
      <c r="AL11" s="1">
        <f t="shared" si="13"/>
        <v>5.9937317074695287E-4</v>
      </c>
      <c r="AM11" s="1">
        <f t="shared" si="14"/>
        <v>5.6968677577092659E-6</v>
      </c>
      <c r="AN11" s="1">
        <f t="shared" si="15"/>
        <v>0</v>
      </c>
      <c r="AO11" s="1">
        <f t="shared" si="16"/>
        <v>5.9937317074695287E-4</v>
      </c>
      <c r="AQ11" s="8">
        <f t="shared" si="17"/>
        <v>1.736</v>
      </c>
      <c r="AR11" s="8">
        <v>0.243968185</v>
      </c>
      <c r="AS11" s="8">
        <v>0.24942761299999999</v>
      </c>
      <c r="AT11" s="9">
        <v>0.24635668499999999</v>
      </c>
      <c r="AU11" s="8">
        <v>0.23037490999999999</v>
      </c>
      <c r="AW11" s="9">
        <f t="shared" si="18"/>
        <v>1.736</v>
      </c>
      <c r="AY11" s="9">
        <f t="shared" si="19"/>
        <v>0.49591412964950005</v>
      </c>
      <c r="AZ11" s="9">
        <f t="shared" si="20"/>
        <v>0</v>
      </c>
      <c r="BA11" s="9">
        <f t="shared" si="21"/>
        <v>0</v>
      </c>
      <c r="BB11" s="9">
        <f t="shared" si="22"/>
        <v>1.2400974503735911</v>
      </c>
      <c r="BC11" s="9">
        <f t="shared" si="23"/>
        <v>0</v>
      </c>
      <c r="BE11" s="1">
        <f t="shared" si="24"/>
        <v>-1.1580023091095626E-5</v>
      </c>
    </row>
    <row r="12" spans="2:57" x14ac:dyDescent="0.2">
      <c r="B12" s="12" t="s">
        <v>65</v>
      </c>
      <c r="C12" s="11" t="s">
        <v>57</v>
      </c>
      <c r="D12" s="11">
        <v>0</v>
      </c>
      <c r="E12" s="11">
        <v>0</v>
      </c>
      <c r="F12" s="11">
        <v>2.0404</v>
      </c>
      <c r="G12" s="11">
        <v>0</v>
      </c>
      <c r="H12" s="11">
        <v>0</v>
      </c>
      <c r="I12" s="21">
        <f t="shared" si="0"/>
        <v>2.0404</v>
      </c>
      <c r="J12" s="11">
        <v>1.7450000000000001</v>
      </c>
      <c r="K12" s="11">
        <v>0</v>
      </c>
      <c r="L12" s="11">
        <v>1.2472005553750209</v>
      </c>
      <c r="M12" s="11">
        <v>356053.6</v>
      </c>
      <c r="N12" s="11">
        <v>283503.35999999999</v>
      </c>
      <c r="O12" s="11">
        <v>22.041599999999999</v>
      </c>
      <c r="Q12" s="14">
        <v>105.21100300000001</v>
      </c>
      <c r="R12" s="14">
        <v>-58.833413</v>
      </c>
      <c r="S12" s="14">
        <v>160</v>
      </c>
      <c r="T12" s="14">
        <v>99.493746999999999</v>
      </c>
      <c r="U12" s="14">
        <v>105.21395800000001</v>
      </c>
      <c r="V12" s="14">
        <v>89.700445000000002</v>
      </c>
      <c r="W12" s="14">
        <v>47.365060999999997</v>
      </c>
      <c r="Y12" s="1" t="str">
        <f t="shared" si="1"/>
        <v>NE_Gasoline_Gasification_Non_CCS_Herb</v>
      </c>
      <c r="Z12" s="1" t="str">
        <f t="shared" si="2"/>
        <v>Biomass_Herb</v>
      </c>
      <c r="AA12" s="10">
        <f t="shared" si="3"/>
        <v>99.321460709788596</v>
      </c>
      <c r="AB12" s="10">
        <f t="shared" si="4"/>
        <v>99.321460709788596</v>
      </c>
      <c r="AC12" s="5">
        <f t="shared" si="5"/>
        <v>0</v>
      </c>
      <c r="AD12" s="1">
        <f t="shared" si="6"/>
        <v>0</v>
      </c>
      <c r="AE12" s="1">
        <f t="shared" si="7"/>
        <v>0</v>
      </c>
      <c r="AF12" s="1">
        <f t="array" ref="AF12">_xlfn.IFS(C12="Biomass_Corn", 1/I12*S12, C12="Biomass_Agri", 1/I12*V12, C12="Biomass_Wood", 1/I12*U12, C12="Biomass_Herb", 1/I12*T12)</f>
        <v>48.761883454224659</v>
      </c>
      <c r="AG12" s="1">
        <f t="shared" si="8"/>
        <v>22.133671027387809</v>
      </c>
      <c r="AH12" s="1">
        <f t="shared" si="9"/>
        <v>17.623667069786954</v>
      </c>
      <c r="AI12" s="1">
        <f t="shared" si="10"/>
        <v>10.802587727896491</v>
      </c>
      <c r="AJ12" s="1">
        <f t="shared" si="11"/>
        <v>-3.3130518423873351E-6</v>
      </c>
      <c r="AK12" s="1">
        <f t="shared" si="12"/>
        <v>0</v>
      </c>
      <c r="AL12" s="1">
        <f t="shared" si="13"/>
        <v>-3.4856950732856947E-4</v>
      </c>
      <c r="AM12" s="1">
        <f t="shared" si="14"/>
        <v>-3.3130518423873351E-6</v>
      </c>
      <c r="AN12" s="1">
        <f t="shared" si="15"/>
        <v>0</v>
      </c>
      <c r="AO12" s="1">
        <f t="shared" si="16"/>
        <v>-3.4856950732856947E-4</v>
      </c>
      <c r="AQ12" s="8">
        <f t="shared" si="17"/>
        <v>1.7450000000000001</v>
      </c>
      <c r="AR12" s="8">
        <v>0.243968185</v>
      </c>
      <c r="AS12" s="8">
        <v>0.24942761299999999</v>
      </c>
      <c r="AT12" s="9">
        <v>0.24635668499999999</v>
      </c>
      <c r="AU12" s="8">
        <v>0.23037490999999999</v>
      </c>
      <c r="AW12" s="9">
        <f t="shared" si="18"/>
        <v>1.7450000000000001</v>
      </c>
      <c r="AY12" s="9">
        <f t="shared" si="19"/>
        <v>0.49779268467400001</v>
      </c>
      <c r="AZ12" s="9">
        <f t="shared" si="20"/>
        <v>0</v>
      </c>
      <c r="BA12" s="9">
        <f t="shared" si="21"/>
        <v>0</v>
      </c>
      <c r="BB12" s="9">
        <f t="shared" si="22"/>
        <v>1.2472005553750209</v>
      </c>
      <c r="BC12" s="9">
        <f t="shared" si="23"/>
        <v>0</v>
      </c>
      <c r="BE12" s="1">
        <f t="shared" si="24"/>
        <v>6.7599509792071188E-6</v>
      </c>
    </row>
    <row r="13" spans="2:57" x14ac:dyDescent="0.2">
      <c r="B13" s="12" t="s">
        <v>66</v>
      </c>
      <c r="C13" s="11" t="s">
        <v>67</v>
      </c>
      <c r="D13" s="11">
        <v>0</v>
      </c>
      <c r="E13" s="11">
        <v>0</v>
      </c>
      <c r="F13" s="11">
        <v>2.1503999999999999</v>
      </c>
      <c r="G13" s="11">
        <v>0</v>
      </c>
      <c r="H13" s="11">
        <v>0</v>
      </c>
      <c r="I13" s="21">
        <f t="shared" si="0"/>
        <v>2.1503999999999999</v>
      </c>
      <c r="J13" s="11">
        <v>1.843</v>
      </c>
      <c r="K13" s="11">
        <v>0</v>
      </c>
      <c r="L13" s="11">
        <v>1.318373040395231</v>
      </c>
      <c r="M13" s="11">
        <v>356053.6</v>
      </c>
      <c r="N13" s="11">
        <v>283503.35999999999</v>
      </c>
      <c r="O13" s="11">
        <v>22.041599999999999</v>
      </c>
      <c r="Q13" s="14">
        <v>105.21100300000001</v>
      </c>
      <c r="R13" s="14">
        <v>-6.4122130000000004</v>
      </c>
      <c r="S13" s="14">
        <v>160</v>
      </c>
      <c r="T13" s="14">
        <v>313632.96735400002</v>
      </c>
      <c r="U13" s="14">
        <v>154.036981</v>
      </c>
      <c r="V13" s="14">
        <v>132.85973799999999</v>
      </c>
      <c r="W13" s="14">
        <v>36.488697999999999</v>
      </c>
      <c r="Y13" s="1" t="str">
        <f t="shared" si="1"/>
        <v>CA_Gasoline_Gasification_Non_CCS_Wood</v>
      </c>
      <c r="Z13" s="1" t="str">
        <f t="shared" si="2"/>
        <v>Biomass_Wood</v>
      </c>
      <c r="AA13" s="10">
        <f t="shared" si="3"/>
        <v>119.60550957592299</v>
      </c>
      <c r="AB13" s="10">
        <f t="shared" si="4"/>
        <v>119.60550957592299</v>
      </c>
      <c r="AC13" s="5">
        <f t="shared" si="5"/>
        <v>0</v>
      </c>
      <c r="AD13" s="1">
        <f t="shared" si="6"/>
        <v>0</v>
      </c>
      <c r="AE13" s="1">
        <f t="shared" si="7"/>
        <v>0</v>
      </c>
      <c r="AF13" s="1">
        <f t="array" ref="AF13">_xlfn.IFS(C13="Biomass_Corn", 1/I13*S13, C13="Biomass_Agri", 1/I13*V13, C13="Biomass_Wood", 1/I13*U13, C13="Biomass_Herb", 1/I13*T13)</f>
        <v>71.631780598958329</v>
      </c>
      <c r="AG13" s="1">
        <f t="shared" si="8"/>
        <v>21.00146129291392</v>
      </c>
      <c r="AH13" s="1">
        <f t="shared" si="9"/>
        <v>16.722158802638255</v>
      </c>
      <c r="AI13" s="1">
        <f t="shared" si="10"/>
        <v>10.25</v>
      </c>
      <c r="AJ13" s="1">
        <f t="shared" si="11"/>
        <v>1.0348861751844458E-6</v>
      </c>
      <c r="AK13" s="1">
        <f t="shared" si="12"/>
        <v>0</v>
      </c>
      <c r="AL13" s="1">
        <f t="shared" si="13"/>
        <v>1.0888141248198926E-4</v>
      </c>
      <c r="AM13" s="1">
        <f t="shared" si="14"/>
        <v>1.0348861751844458E-6</v>
      </c>
      <c r="AN13" s="1">
        <f t="shared" si="15"/>
        <v>0</v>
      </c>
      <c r="AO13" s="1">
        <f t="shared" si="16"/>
        <v>1.0888141248198926E-4</v>
      </c>
      <c r="AQ13" s="8">
        <f t="shared" si="17"/>
        <v>1.843</v>
      </c>
      <c r="AR13" s="8">
        <v>0.243968185</v>
      </c>
      <c r="AS13" s="8">
        <v>0.24942761299999999</v>
      </c>
      <c r="AT13" s="9">
        <v>0.24635668499999999</v>
      </c>
      <c r="AU13" s="8">
        <v>0.23037490999999999</v>
      </c>
      <c r="AW13" s="9">
        <f t="shared" si="18"/>
        <v>1.843</v>
      </c>
      <c r="AY13" s="9">
        <f t="shared" si="19"/>
        <v>0.52462918502400002</v>
      </c>
      <c r="AZ13" s="9">
        <f t="shared" si="20"/>
        <v>0</v>
      </c>
      <c r="BA13" s="9">
        <f t="shared" si="21"/>
        <v>0</v>
      </c>
      <c r="BB13" s="9">
        <f t="shared" si="22"/>
        <v>1.318373040395231</v>
      </c>
      <c r="BC13" s="9">
        <f t="shared" si="23"/>
        <v>0</v>
      </c>
      <c r="BE13" s="1">
        <f t="shared" si="24"/>
        <v>-2.2254192311166321E-6</v>
      </c>
    </row>
    <row r="14" spans="2:57" x14ac:dyDescent="0.2">
      <c r="B14" s="12" t="s">
        <v>68</v>
      </c>
      <c r="C14" s="11" t="s">
        <v>67</v>
      </c>
      <c r="D14" s="11">
        <v>0</v>
      </c>
      <c r="E14" s="11">
        <v>0</v>
      </c>
      <c r="F14" s="11">
        <v>2.1459000000000001</v>
      </c>
      <c r="G14" s="11">
        <v>0</v>
      </c>
      <c r="H14" s="11">
        <v>0</v>
      </c>
      <c r="I14" s="21">
        <f t="shared" si="0"/>
        <v>2.1459000000000001</v>
      </c>
      <c r="J14" s="11">
        <v>1.8180000000000001</v>
      </c>
      <c r="K14" s="11">
        <v>0</v>
      </c>
      <c r="L14" s="11">
        <v>1.294456980394415</v>
      </c>
      <c r="M14" s="11">
        <v>356053.6</v>
      </c>
      <c r="N14" s="11">
        <v>283503.35999999999</v>
      </c>
      <c r="O14" s="11">
        <v>22.041599999999999</v>
      </c>
      <c r="Q14" s="14">
        <v>105.21100300000001</v>
      </c>
      <c r="R14" s="14">
        <v>-7.3796590000000002</v>
      </c>
      <c r="S14" s="14">
        <v>160</v>
      </c>
      <c r="T14" s="14">
        <v>130.996602</v>
      </c>
      <c r="U14" s="14">
        <v>149.05667199999999</v>
      </c>
      <c r="V14" s="14">
        <v>112.26938</v>
      </c>
      <c r="W14" s="14">
        <v>26.787863000000002</v>
      </c>
      <c r="Y14" s="1" t="str">
        <f t="shared" si="1"/>
        <v>NW_Gasoline_Gasification_Non_CCS_Wood</v>
      </c>
      <c r="Z14" s="1" t="str">
        <f t="shared" si="2"/>
        <v>Biomass_Wood</v>
      </c>
      <c r="AA14" s="10">
        <f t="shared" si="3"/>
        <v>117.53479406685915</v>
      </c>
      <c r="AB14" s="10">
        <f t="shared" si="4"/>
        <v>117.53479406685915</v>
      </c>
      <c r="AC14" s="5">
        <f t="shared" si="5"/>
        <v>0</v>
      </c>
      <c r="AD14" s="1">
        <f t="shared" si="6"/>
        <v>0</v>
      </c>
      <c r="AE14" s="1">
        <f t="shared" si="7"/>
        <v>0</v>
      </c>
      <c r="AF14" s="1">
        <f t="array" ref="AF14">_xlfn.IFS(C14="Biomass_Corn", 1/I14*S14, C14="Biomass_Agri", 1/I14*V14, C14="Biomass_Wood", 1/I14*U14, C14="Biomass_Herb", 1/I14*T14)</f>
        <v>69.461145440141664</v>
      </c>
      <c r="AG14" s="1">
        <f t="shared" si="8"/>
        <v>21.045501824074787</v>
      </c>
      <c r="AH14" s="1">
        <f t="shared" si="9"/>
        <v>16.757225541354817</v>
      </c>
      <c r="AI14" s="1">
        <f t="shared" si="10"/>
        <v>10.271494477841465</v>
      </c>
      <c r="AJ14" s="1">
        <f t="shared" si="11"/>
        <v>-5.4482567150649393E-6</v>
      </c>
      <c r="AK14" s="1">
        <f t="shared" si="12"/>
        <v>0</v>
      </c>
      <c r="AL14" s="1">
        <f t="shared" si="13"/>
        <v>-5.7321655359346749E-4</v>
      </c>
      <c r="AM14" s="1">
        <f t="shared" si="14"/>
        <v>-5.4482567150649393E-6</v>
      </c>
      <c r="AN14" s="1">
        <f t="shared" si="15"/>
        <v>0</v>
      </c>
      <c r="AO14" s="1">
        <f t="shared" si="16"/>
        <v>-5.7321655359346749E-4</v>
      </c>
      <c r="AQ14" s="8">
        <f t="shared" si="17"/>
        <v>1.8180000000000001</v>
      </c>
      <c r="AR14" s="8">
        <v>0.243968185</v>
      </c>
      <c r="AS14" s="8">
        <v>0.24942761299999999</v>
      </c>
      <c r="AT14" s="9">
        <v>0.24635668499999999</v>
      </c>
      <c r="AU14" s="8">
        <v>0.23037490999999999</v>
      </c>
      <c r="AW14" s="9">
        <f t="shared" si="18"/>
        <v>1.8180000000000001</v>
      </c>
      <c r="AY14" s="9">
        <f t="shared" si="19"/>
        <v>0.52353132819150006</v>
      </c>
      <c r="AZ14" s="9">
        <f t="shared" si="20"/>
        <v>0</v>
      </c>
      <c r="BA14" s="9">
        <f t="shared" si="21"/>
        <v>0</v>
      </c>
      <c r="BB14" s="9">
        <f t="shared" si="22"/>
        <v>1.294456980394415</v>
      </c>
      <c r="BC14" s="9">
        <f t="shared" si="23"/>
        <v>0</v>
      </c>
      <c r="BE14" s="1">
        <f t="shared" si="24"/>
        <v>1.1691414084857854E-5</v>
      </c>
    </row>
    <row r="15" spans="2:57" x14ac:dyDescent="0.2">
      <c r="B15" s="12" t="s">
        <v>69</v>
      </c>
      <c r="C15" s="11" t="s">
        <v>67</v>
      </c>
      <c r="D15" s="11">
        <v>0</v>
      </c>
      <c r="E15" s="11">
        <v>0</v>
      </c>
      <c r="F15" s="11">
        <v>2.1259999999999999</v>
      </c>
      <c r="G15" s="11">
        <v>0</v>
      </c>
      <c r="H15" s="11">
        <v>0</v>
      </c>
      <c r="I15" s="21">
        <f t="shared" si="0"/>
        <v>2.1259999999999999</v>
      </c>
      <c r="J15" s="11">
        <v>1.798</v>
      </c>
      <c r="K15" s="11">
        <v>0</v>
      </c>
      <c r="L15" s="11">
        <v>1.27933471039074</v>
      </c>
      <c r="M15" s="11">
        <v>356053.6</v>
      </c>
      <c r="N15" s="11">
        <v>283503.35999999999</v>
      </c>
      <c r="O15" s="11">
        <v>22.041599999999999</v>
      </c>
      <c r="Q15" s="14">
        <v>105.21100300000001</v>
      </c>
      <c r="R15" s="14">
        <v>-14.567418</v>
      </c>
      <c r="S15" s="14">
        <v>160</v>
      </c>
      <c r="T15" s="14">
        <v>120.282189</v>
      </c>
      <c r="U15" s="14">
        <v>137.475031</v>
      </c>
      <c r="V15" s="14">
        <v>107.559866</v>
      </c>
      <c r="W15" s="14">
        <v>27.957547000000002</v>
      </c>
      <c r="Y15" s="1" t="str">
        <f t="shared" si="1"/>
        <v>SW_Gasoline_Gasification_Non_CCS_Wood</v>
      </c>
      <c r="Z15" s="1" t="str">
        <f t="shared" si="2"/>
        <v>Biomass_Wood</v>
      </c>
      <c r="AA15" s="10">
        <f t="shared" si="3"/>
        <v>113.18846120329968</v>
      </c>
      <c r="AB15" s="10">
        <f t="shared" si="4"/>
        <v>113.18846120329968</v>
      </c>
      <c r="AC15" s="5">
        <f t="shared" si="5"/>
        <v>0</v>
      </c>
      <c r="AD15" s="1">
        <f t="shared" si="6"/>
        <v>0</v>
      </c>
      <c r="AE15" s="1">
        <f t="shared" si="7"/>
        <v>0</v>
      </c>
      <c r="AF15" s="1">
        <f t="array" ref="AF15">_xlfn.IFS(C15="Biomass_Corn", 1/I15*S15, C15="Biomass_Agri", 1/I15*V15, C15="Biomass_Wood", 1/I15*U15, C15="Biomass_Herb", 1/I15*T15)</f>
        <v>64.663702257761059</v>
      </c>
      <c r="AG15" s="1">
        <f t="shared" si="8"/>
        <v>21.24249405657671</v>
      </c>
      <c r="AH15" s="1">
        <f t="shared" si="9"/>
        <v>16.914078216930058</v>
      </c>
      <c r="AI15" s="1">
        <f t="shared" si="10"/>
        <v>10.36763875823142</v>
      </c>
      <c r="AJ15" s="1">
        <f t="shared" si="11"/>
        <v>5.2077614015866182E-6</v>
      </c>
      <c r="AK15" s="1">
        <f t="shared" si="12"/>
        <v>0</v>
      </c>
      <c r="AL15" s="1">
        <f t="shared" si="13"/>
        <v>5.479138004456139E-4</v>
      </c>
      <c r="AM15" s="1">
        <f t="shared" si="14"/>
        <v>5.2077614015866182E-6</v>
      </c>
      <c r="AN15" s="1">
        <f t="shared" si="15"/>
        <v>0</v>
      </c>
      <c r="AO15" s="1">
        <f t="shared" si="16"/>
        <v>5.479138004456139E-4</v>
      </c>
      <c r="AQ15" s="8">
        <f t="shared" si="17"/>
        <v>1.798</v>
      </c>
      <c r="AR15" s="8">
        <v>0.243968185</v>
      </c>
      <c r="AS15" s="8">
        <v>0.24942761299999999</v>
      </c>
      <c r="AT15" s="9">
        <v>0.24635668499999999</v>
      </c>
      <c r="AU15" s="8">
        <v>0.23037490999999999</v>
      </c>
      <c r="AW15" s="9">
        <f t="shared" si="18"/>
        <v>1.798</v>
      </c>
      <c r="AY15" s="9">
        <f t="shared" si="19"/>
        <v>0.51867636130999994</v>
      </c>
      <c r="AZ15" s="9">
        <f t="shared" si="20"/>
        <v>0</v>
      </c>
      <c r="BA15" s="9">
        <f t="shared" si="21"/>
        <v>0</v>
      </c>
      <c r="BB15" s="9">
        <f t="shared" si="22"/>
        <v>1.27933471039074</v>
      </c>
      <c r="BC15" s="9">
        <f t="shared" si="23"/>
        <v>0</v>
      </c>
      <c r="BE15" s="1">
        <f t="shared" si="24"/>
        <v>-1.1071700739773149E-5</v>
      </c>
    </row>
    <row r="16" spans="2:57" x14ac:dyDescent="0.2">
      <c r="B16" s="12" t="s">
        <v>70</v>
      </c>
      <c r="C16" s="11" t="s">
        <v>67</v>
      </c>
      <c r="D16" s="11">
        <v>0</v>
      </c>
      <c r="E16" s="11">
        <v>0</v>
      </c>
      <c r="F16" s="11">
        <v>2.1093000000000002</v>
      </c>
      <c r="G16" s="11">
        <v>0</v>
      </c>
      <c r="H16" s="11">
        <v>0</v>
      </c>
      <c r="I16" s="21">
        <f t="shared" si="0"/>
        <v>2.1093000000000002</v>
      </c>
      <c r="J16" s="11">
        <v>1.821</v>
      </c>
      <c r="K16" s="11">
        <v>0</v>
      </c>
      <c r="L16" s="11">
        <v>1.3063994853876779</v>
      </c>
      <c r="M16" s="11">
        <v>356053.6</v>
      </c>
      <c r="N16" s="11">
        <v>283503.35999999999</v>
      </c>
      <c r="O16" s="11">
        <v>22.041599999999999</v>
      </c>
      <c r="Q16" s="14">
        <v>105.21100300000001</v>
      </c>
      <c r="R16" s="14">
        <v>-19.477884</v>
      </c>
      <c r="S16" s="14">
        <v>160</v>
      </c>
      <c r="T16" s="14">
        <v>132.95547999999999</v>
      </c>
      <c r="U16" s="14">
        <v>152.57709199999999</v>
      </c>
      <c r="V16" s="14">
        <v>106.67488899999999</v>
      </c>
      <c r="W16" s="14">
        <v>20.174973000000001</v>
      </c>
      <c r="Y16" s="1" t="str">
        <f t="shared" si="1"/>
        <v>TX_Gasoline_Gasification_Non_CCS_Wood</v>
      </c>
      <c r="Z16" s="1" t="str">
        <f t="shared" si="2"/>
        <v>Biomass_Wood</v>
      </c>
      <c r="AA16" s="10">
        <f t="shared" si="3"/>
        <v>121.24388691855049</v>
      </c>
      <c r="AB16" s="10">
        <f t="shared" si="4"/>
        <v>121.24388691855049</v>
      </c>
      <c r="AC16" s="5">
        <f t="shared" si="5"/>
        <v>0</v>
      </c>
      <c r="AD16" s="1">
        <f t="shared" si="6"/>
        <v>0</v>
      </c>
      <c r="AE16" s="1">
        <f t="shared" si="7"/>
        <v>0</v>
      </c>
      <c r="AF16" s="1">
        <f t="array" ref="AF16">_xlfn.IFS(C16="Biomass_Corn", 1/I16*S16, C16="Biomass_Agri", 1/I16*V16, C16="Biomass_Wood", 1/I16*U16, C16="Biomass_Herb", 1/I16*T16)</f>
        <v>72.335415540700694</v>
      </c>
      <c r="AG16" s="1">
        <f t="shared" si="8"/>
        <v>21.410677648642714</v>
      </c>
      <c r="AH16" s="1">
        <f t="shared" si="9"/>
        <v>17.047992362012661</v>
      </c>
      <c r="AI16" s="1">
        <f t="shared" si="10"/>
        <v>10.449722656805575</v>
      </c>
      <c r="AJ16" s="1">
        <f t="shared" si="11"/>
        <v>7.4811936572650718E-7</v>
      </c>
      <c r="AK16" s="1">
        <f t="shared" si="12"/>
        <v>0</v>
      </c>
      <c r="AL16" s="1">
        <f t="shared" si="13"/>
        <v>7.8710388831809642E-5</v>
      </c>
      <c r="AM16" s="1">
        <f t="shared" si="14"/>
        <v>7.4811936572650718E-7</v>
      </c>
      <c r="AN16" s="1">
        <f t="shared" si="15"/>
        <v>0</v>
      </c>
      <c r="AO16" s="1">
        <f t="shared" si="16"/>
        <v>7.8710388831809642E-5</v>
      </c>
      <c r="AQ16" s="8">
        <f t="shared" si="17"/>
        <v>1.821</v>
      </c>
      <c r="AR16" s="8">
        <v>0.243968185</v>
      </c>
      <c r="AS16" s="8">
        <v>0.24942761299999999</v>
      </c>
      <c r="AT16" s="9">
        <v>0.24635668499999999</v>
      </c>
      <c r="AU16" s="8">
        <v>0.23037490999999999</v>
      </c>
      <c r="AW16" s="9">
        <f t="shared" si="18"/>
        <v>1.821</v>
      </c>
      <c r="AY16" s="9">
        <f t="shared" si="19"/>
        <v>0.51460209262050005</v>
      </c>
      <c r="AZ16" s="9">
        <f t="shared" si="20"/>
        <v>0</v>
      </c>
      <c r="BA16" s="9">
        <f t="shared" si="21"/>
        <v>0</v>
      </c>
      <c r="BB16" s="9">
        <f t="shared" si="22"/>
        <v>1.3063994853876779</v>
      </c>
      <c r="BC16" s="9">
        <f t="shared" si="23"/>
        <v>0</v>
      </c>
      <c r="BE16" s="1">
        <f t="shared" si="24"/>
        <v>-1.5780081781269217E-6</v>
      </c>
    </row>
    <row r="17" spans="2:57" x14ac:dyDescent="0.2">
      <c r="B17" s="12" t="s">
        <v>71</v>
      </c>
      <c r="C17" s="11" t="s">
        <v>67</v>
      </c>
      <c r="D17" s="11">
        <v>0</v>
      </c>
      <c r="E17" s="11">
        <v>0</v>
      </c>
      <c r="F17" s="11">
        <v>2.1171000000000002</v>
      </c>
      <c r="G17" s="11">
        <v>0</v>
      </c>
      <c r="H17" s="11">
        <v>0</v>
      </c>
      <c r="I17" s="21">
        <f t="shared" si="0"/>
        <v>2.1171000000000002</v>
      </c>
      <c r="J17" s="11">
        <v>1.802</v>
      </c>
      <c r="K17" s="11">
        <v>0</v>
      </c>
      <c r="L17" s="11">
        <v>1.2855025903891071</v>
      </c>
      <c r="M17" s="11">
        <v>356053.6</v>
      </c>
      <c r="N17" s="11">
        <v>283503.35999999999</v>
      </c>
      <c r="O17" s="11">
        <v>22.041599999999999</v>
      </c>
      <c r="Q17" s="14">
        <v>105.21100300000001</v>
      </c>
      <c r="R17" s="14">
        <v>-39.686463000000003</v>
      </c>
      <c r="S17" s="14">
        <v>160</v>
      </c>
      <c r="T17" s="14">
        <v>100.757654</v>
      </c>
      <c r="U17" s="14">
        <v>111.990773</v>
      </c>
      <c r="V17" s="14">
        <v>89.243781999999996</v>
      </c>
      <c r="W17" s="14">
        <v>30.713950000000001</v>
      </c>
      <c r="Y17" s="1" t="str">
        <f t="shared" si="1"/>
        <v>NCEN_Gasoline_Gasification_Non_CCS_Wood</v>
      </c>
      <c r="Z17" s="1" t="str">
        <f t="shared" si="2"/>
        <v>Biomass_Wood</v>
      </c>
      <c r="AA17" s="10">
        <f t="shared" si="3"/>
        <v>101.62677668696608</v>
      </c>
      <c r="AB17" s="10">
        <f t="shared" si="4"/>
        <v>101.62677668696608</v>
      </c>
      <c r="AC17" s="5">
        <f t="shared" si="5"/>
        <v>0</v>
      </c>
      <c r="AD17" s="1">
        <f t="shared" si="6"/>
        <v>0</v>
      </c>
      <c r="AE17" s="1">
        <f t="shared" si="7"/>
        <v>0</v>
      </c>
      <c r="AF17" s="1">
        <f t="array" ref="AF17">_xlfn.IFS(C17="Biomass_Corn", 1/I17*S17, C17="Biomass_Agri", 1/I17*V17, C17="Biomass_Wood", 1/I17*U17, C17="Biomass_Herb", 1/I17*T17)</f>
        <v>52.898197062018802</v>
      </c>
      <c r="AG17" s="1">
        <f t="shared" si="8"/>
        <v>21.331794607851347</v>
      </c>
      <c r="AH17" s="1">
        <f t="shared" si="9"/>
        <v>16.985182697649282</v>
      </c>
      <c r="AI17" s="1">
        <f t="shared" si="10"/>
        <v>10.411222899248971</v>
      </c>
      <c r="AJ17" s="1">
        <f t="shared" si="11"/>
        <v>3.6062786864196901E-6</v>
      </c>
      <c r="AK17" s="1">
        <f t="shared" si="12"/>
        <v>0</v>
      </c>
      <c r="AL17" s="1">
        <f t="shared" si="13"/>
        <v>3.7942019769573809E-4</v>
      </c>
      <c r="AM17" s="1">
        <f t="shared" si="14"/>
        <v>3.6062786864196901E-6</v>
      </c>
      <c r="AN17" s="1">
        <f t="shared" si="15"/>
        <v>0</v>
      </c>
      <c r="AO17" s="1">
        <f t="shared" si="16"/>
        <v>3.7942019769573809E-4</v>
      </c>
      <c r="AQ17" s="8">
        <f t="shared" si="17"/>
        <v>1.802</v>
      </c>
      <c r="AR17" s="8">
        <v>0.243968185</v>
      </c>
      <c r="AS17" s="8">
        <v>0.24942761299999999</v>
      </c>
      <c r="AT17" s="9">
        <v>0.24635668499999999</v>
      </c>
      <c r="AU17" s="8">
        <v>0.23037490999999999</v>
      </c>
      <c r="AW17" s="9">
        <f t="shared" si="18"/>
        <v>1.802</v>
      </c>
      <c r="AY17" s="9">
        <f t="shared" si="19"/>
        <v>0.5165050444635001</v>
      </c>
      <c r="AZ17" s="9">
        <f t="shared" si="20"/>
        <v>0</v>
      </c>
      <c r="BA17" s="9">
        <f t="shared" si="21"/>
        <v>0</v>
      </c>
      <c r="BB17" s="9">
        <f t="shared" si="22"/>
        <v>1.2855025903891071</v>
      </c>
      <c r="BC17" s="9">
        <f t="shared" si="23"/>
        <v>0</v>
      </c>
      <c r="BE17" s="1">
        <f t="shared" si="24"/>
        <v>-7.6348526070191269E-6</v>
      </c>
    </row>
    <row r="18" spans="2:57" x14ac:dyDescent="0.2">
      <c r="B18" s="12" t="s">
        <v>72</v>
      </c>
      <c r="C18" s="11" t="s">
        <v>67</v>
      </c>
      <c r="D18" s="11">
        <v>0</v>
      </c>
      <c r="E18" s="11">
        <v>0</v>
      </c>
      <c r="F18" s="11">
        <v>2.1181999999999999</v>
      </c>
      <c r="G18" s="11">
        <v>0</v>
      </c>
      <c r="H18" s="11">
        <v>0</v>
      </c>
      <c r="I18" s="21">
        <f t="shared" si="0"/>
        <v>2.1181999999999999</v>
      </c>
      <c r="J18" s="11">
        <v>1.802</v>
      </c>
      <c r="K18" s="11">
        <v>0</v>
      </c>
      <c r="L18" s="11">
        <v>1.2852316053893109</v>
      </c>
      <c r="M18" s="11">
        <v>356053.6</v>
      </c>
      <c r="N18" s="11">
        <v>283503.35999999999</v>
      </c>
      <c r="O18" s="11">
        <v>22.041599999999999</v>
      </c>
      <c r="Q18" s="14">
        <v>105.21100300000001</v>
      </c>
      <c r="R18" s="14">
        <v>-29.672038000000001</v>
      </c>
      <c r="S18" s="14">
        <v>160</v>
      </c>
      <c r="T18" s="14">
        <v>107.027154</v>
      </c>
      <c r="U18" s="14">
        <v>122.865223</v>
      </c>
      <c r="V18" s="14">
        <v>94.404420999999999</v>
      </c>
      <c r="W18" s="14">
        <v>25.118154000000001</v>
      </c>
      <c r="Y18" s="1" t="str">
        <f t="shared" si="1"/>
        <v>CEN_Gasoline_Gasification_Non_CCS_Wood</v>
      </c>
      <c r="Z18" s="1" t="str">
        <f t="shared" si="2"/>
        <v>Biomass_Wood</v>
      </c>
      <c r="AA18" s="10">
        <f t="shared" si="3"/>
        <v>106.70768731542714</v>
      </c>
      <c r="AB18" s="10">
        <f t="shared" si="4"/>
        <v>106.70768731542714</v>
      </c>
      <c r="AC18" s="5">
        <f t="shared" si="5"/>
        <v>0</v>
      </c>
      <c r="AD18" s="1">
        <f t="shared" si="6"/>
        <v>0</v>
      </c>
      <c r="AE18" s="1">
        <f t="shared" si="7"/>
        <v>0</v>
      </c>
      <c r="AF18" s="1">
        <f t="array" ref="AF18">_xlfn.IFS(C18="Biomass_Corn", 1/I18*S18, C18="Biomass_Agri", 1/I18*V18, C18="Biomass_Wood", 1/I18*U18, C18="Biomass_Herb", 1/I18*T18)</f>
        <v>58.004543008214526</v>
      </c>
      <c r="AG18" s="1">
        <f t="shared" si="8"/>
        <v>21.320716818186238</v>
      </c>
      <c r="AH18" s="1">
        <f t="shared" si="9"/>
        <v>16.976362142004206</v>
      </c>
      <c r="AI18" s="1">
        <f t="shared" si="10"/>
        <v>10.405816259087905</v>
      </c>
      <c r="AJ18" s="1">
        <f t="shared" si="11"/>
        <v>2.3675084084982271E-6</v>
      </c>
      <c r="AK18" s="1">
        <f t="shared" si="12"/>
        <v>0</v>
      </c>
      <c r="AL18" s="1">
        <f t="shared" si="13"/>
        <v>2.490879342690322E-4</v>
      </c>
      <c r="AM18" s="1">
        <f t="shared" si="14"/>
        <v>2.3675084084982271E-6</v>
      </c>
      <c r="AN18" s="1">
        <f t="shared" si="15"/>
        <v>0</v>
      </c>
      <c r="AO18" s="1">
        <f t="shared" si="16"/>
        <v>2.490879342690322E-4</v>
      </c>
      <c r="AQ18" s="8">
        <f t="shared" si="17"/>
        <v>1.802</v>
      </c>
      <c r="AR18" s="8">
        <v>0.243968185</v>
      </c>
      <c r="AS18" s="8">
        <v>0.24942761299999999</v>
      </c>
      <c r="AT18" s="9">
        <v>0.24635668499999999</v>
      </c>
      <c r="AU18" s="8">
        <v>0.23037490999999999</v>
      </c>
      <c r="AW18" s="9">
        <f t="shared" si="18"/>
        <v>1.802</v>
      </c>
      <c r="AY18" s="9">
        <f t="shared" si="19"/>
        <v>0.51677340946700001</v>
      </c>
      <c r="AZ18" s="9">
        <f t="shared" si="20"/>
        <v>0</v>
      </c>
      <c r="BA18" s="9">
        <f t="shared" si="21"/>
        <v>0</v>
      </c>
      <c r="BB18" s="9">
        <f t="shared" si="22"/>
        <v>1.2852316053893109</v>
      </c>
      <c r="BC18" s="9">
        <f t="shared" si="23"/>
        <v>0</v>
      </c>
      <c r="BE18" s="1">
        <f t="shared" si="24"/>
        <v>-5.0148563108809441E-6</v>
      </c>
    </row>
    <row r="19" spans="2:57" x14ac:dyDescent="0.2">
      <c r="B19" s="12" t="s">
        <v>73</v>
      </c>
      <c r="C19" s="11" t="s">
        <v>67</v>
      </c>
      <c r="D19" s="11">
        <v>0</v>
      </c>
      <c r="E19" s="11">
        <v>0</v>
      </c>
      <c r="F19" s="11">
        <v>2.1259999999999999</v>
      </c>
      <c r="G19" s="11">
        <v>0</v>
      </c>
      <c r="H19" s="11">
        <v>0</v>
      </c>
      <c r="I19" s="21">
        <f t="shared" si="0"/>
        <v>2.1259999999999999</v>
      </c>
      <c r="J19" s="11">
        <v>1.821</v>
      </c>
      <c r="K19" s="11">
        <v>0</v>
      </c>
      <c r="L19" s="11">
        <v>1.3023347103907399</v>
      </c>
      <c r="M19" s="11">
        <v>356053.6</v>
      </c>
      <c r="N19" s="11">
        <v>283503.35999999999</v>
      </c>
      <c r="O19" s="11">
        <v>22.041599999999999</v>
      </c>
      <c r="Q19" s="14">
        <v>105.21100300000001</v>
      </c>
      <c r="R19" s="14">
        <v>-45.510345000000001</v>
      </c>
      <c r="S19" s="14">
        <v>160</v>
      </c>
      <c r="T19" s="14">
        <v>97.593261999999996</v>
      </c>
      <c r="U19" s="14">
        <v>109.791234</v>
      </c>
      <c r="V19" s="14">
        <v>86.911507</v>
      </c>
      <c r="W19" s="14">
        <v>38.099075999999997</v>
      </c>
      <c r="Y19" s="1" t="str">
        <f t="shared" si="1"/>
        <v>SE_Gasoline_Gasification_Non_CCS_Wood</v>
      </c>
      <c r="Z19" s="1" t="str">
        <f t="shared" si="2"/>
        <v>Biomass_Wood</v>
      </c>
      <c r="AA19" s="10">
        <f t="shared" si="3"/>
        <v>100.16691981101373</v>
      </c>
      <c r="AB19" s="10">
        <f t="shared" si="4"/>
        <v>100.16691981101373</v>
      </c>
      <c r="AC19" s="5">
        <f t="shared" si="5"/>
        <v>0</v>
      </c>
      <c r="AD19" s="1">
        <f t="shared" si="6"/>
        <v>0</v>
      </c>
      <c r="AE19" s="1">
        <f t="shared" si="7"/>
        <v>0</v>
      </c>
      <c r="AF19" s="1">
        <f t="array" ref="AF19">_xlfn.IFS(C19="Biomass_Corn", 1/I19*S19, C19="Biomass_Agri", 1/I19*V19, C19="Biomass_Wood", 1/I19*U19, C19="Biomass_Herb", 1/I19*T19)</f>
        <v>51.642160865475077</v>
      </c>
      <c r="AG19" s="1">
        <f t="shared" si="8"/>
        <v>21.24249405657671</v>
      </c>
      <c r="AH19" s="1">
        <f t="shared" si="9"/>
        <v>16.914078216930058</v>
      </c>
      <c r="AI19" s="1">
        <f t="shared" si="10"/>
        <v>10.36763875823142</v>
      </c>
      <c r="AJ19" s="1">
        <f t="shared" si="11"/>
        <v>5.2077614016910607E-6</v>
      </c>
      <c r="AK19" s="1">
        <f t="shared" si="12"/>
        <v>0</v>
      </c>
      <c r="AL19" s="1">
        <f t="shared" si="13"/>
        <v>5.4791380045660239E-4</v>
      </c>
      <c r="AM19" s="1">
        <f t="shared" si="14"/>
        <v>5.2077614016910607E-6</v>
      </c>
      <c r="AN19" s="1">
        <f t="shared" si="15"/>
        <v>0</v>
      </c>
      <c r="AO19" s="1">
        <f t="shared" si="16"/>
        <v>5.4791380045660239E-4</v>
      </c>
      <c r="AQ19" s="8">
        <f t="shared" si="17"/>
        <v>1.821</v>
      </c>
      <c r="AR19" s="8">
        <v>0.243968185</v>
      </c>
      <c r="AS19" s="8">
        <v>0.24942761299999999</v>
      </c>
      <c r="AT19" s="9">
        <v>0.24635668499999999</v>
      </c>
      <c r="AU19" s="8">
        <v>0.23037490999999999</v>
      </c>
      <c r="AW19" s="9">
        <f t="shared" si="18"/>
        <v>1.821</v>
      </c>
      <c r="AY19" s="9">
        <f t="shared" si="19"/>
        <v>0.51867636130999994</v>
      </c>
      <c r="AZ19" s="9">
        <f t="shared" si="20"/>
        <v>0</v>
      </c>
      <c r="BA19" s="9">
        <f t="shared" si="21"/>
        <v>0</v>
      </c>
      <c r="BB19" s="9">
        <f t="shared" si="22"/>
        <v>1.3023347103907399</v>
      </c>
      <c r="BC19" s="9">
        <f t="shared" si="23"/>
        <v>0</v>
      </c>
      <c r="BE19" s="1">
        <f t="shared" si="24"/>
        <v>-1.1071700739995194E-5</v>
      </c>
    </row>
    <row r="20" spans="2:57" x14ac:dyDescent="0.2">
      <c r="B20" s="12" t="s">
        <v>74</v>
      </c>
      <c r="C20" s="11" t="s">
        <v>67</v>
      </c>
      <c r="D20" s="11">
        <v>0</v>
      </c>
      <c r="E20" s="11">
        <v>0</v>
      </c>
      <c r="F20" s="11">
        <v>2.1114999999999999</v>
      </c>
      <c r="G20" s="11">
        <v>0</v>
      </c>
      <c r="H20" s="11">
        <v>0</v>
      </c>
      <c r="I20" s="21">
        <f t="shared" si="0"/>
        <v>2.1114999999999999</v>
      </c>
      <c r="J20" s="11">
        <v>1.806</v>
      </c>
      <c r="K20" s="11">
        <v>0</v>
      </c>
      <c r="L20" s="11">
        <v>1.2908575153880859</v>
      </c>
      <c r="M20" s="11">
        <v>356053.6</v>
      </c>
      <c r="N20" s="11">
        <v>283503.35999999999</v>
      </c>
      <c r="O20" s="11">
        <v>22.041599999999999</v>
      </c>
      <c r="Q20" s="14">
        <v>105.21100300000001</v>
      </c>
      <c r="R20" s="14">
        <v>-50.334515000000003</v>
      </c>
      <c r="S20" s="14">
        <v>160</v>
      </c>
      <c r="T20" s="14">
        <v>98.707491000000005</v>
      </c>
      <c r="U20" s="14">
        <v>106.53195700000001</v>
      </c>
      <c r="V20" s="14">
        <v>87.469328000000004</v>
      </c>
      <c r="W20" s="14">
        <v>39.29871</v>
      </c>
      <c r="Y20" s="1" t="str">
        <f t="shared" si="1"/>
        <v>MIDAT_Gasoline_Gasification_Non_CCS_Wood</v>
      </c>
      <c r="Z20" s="1" t="str">
        <f t="shared" si="2"/>
        <v>Biomass_Wood</v>
      </c>
      <c r="AA20" s="10">
        <f t="shared" si="3"/>
        <v>99.310463827810665</v>
      </c>
      <c r="AB20" s="10">
        <f t="shared" si="4"/>
        <v>99.310463827810665</v>
      </c>
      <c r="AC20" s="5">
        <f t="shared" si="5"/>
        <v>0</v>
      </c>
      <c r="AD20" s="1">
        <f t="shared" si="6"/>
        <v>0</v>
      </c>
      <c r="AE20" s="1">
        <f t="shared" si="7"/>
        <v>0</v>
      </c>
      <c r="AF20" s="1">
        <f t="array" ref="AF20">_xlfn.IFS(C20="Biomass_Corn", 1/I20*S20, C20="Biomass_Agri", 1/I20*V20, C20="Biomass_Wood", 1/I20*U20, C20="Biomass_Herb", 1/I20*T20)</f>
        <v>50.453211934643626</v>
      </c>
      <c r="AG20" s="1">
        <f t="shared" si="8"/>
        <v>21.388369578158699</v>
      </c>
      <c r="AH20" s="1">
        <f t="shared" si="9"/>
        <v>17.030229831491027</v>
      </c>
      <c r="AI20" s="1">
        <f t="shared" si="10"/>
        <v>10.438834951456311</v>
      </c>
      <c r="AJ20" s="1">
        <f t="shared" si="11"/>
        <v>-1.7343047189909752E-6</v>
      </c>
      <c r="AK20" s="1">
        <f t="shared" si="12"/>
        <v>0</v>
      </c>
      <c r="AL20" s="1">
        <f t="shared" si="13"/>
        <v>-1.8246793899267367E-4</v>
      </c>
      <c r="AM20" s="1">
        <f t="shared" si="14"/>
        <v>-1.7343047189909752E-6</v>
      </c>
      <c r="AN20" s="1">
        <f t="shared" si="15"/>
        <v>0</v>
      </c>
      <c r="AO20" s="1">
        <f t="shared" si="16"/>
        <v>-1.8246793899267367E-4</v>
      </c>
      <c r="AQ20" s="8">
        <f t="shared" si="17"/>
        <v>1.806</v>
      </c>
      <c r="AR20" s="8">
        <v>0.243968185</v>
      </c>
      <c r="AS20" s="8">
        <v>0.24942761299999999</v>
      </c>
      <c r="AT20" s="9">
        <v>0.24635668499999999</v>
      </c>
      <c r="AU20" s="8">
        <v>0.23037490999999999</v>
      </c>
      <c r="AW20" s="9">
        <f t="shared" si="18"/>
        <v>1.806</v>
      </c>
      <c r="AY20" s="9">
        <f t="shared" si="19"/>
        <v>0.51513882262749999</v>
      </c>
      <c r="AZ20" s="9">
        <f t="shared" si="20"/>
        <v>0</v>
      </c>
      <c r="BA20" s="9">
        <f t="shared" si="21"/>
        <v>0</v>
      </c>
      <c r="BB20" s="9">
        <f t="shared" si="22"/>
        <v>1.2908575153880859</v>
      </c>
      <c r="BC20" s="9">
        <f t="shared" si="23"/>
        <v>0</v>
      </c>
      <c r="BE20" s="1">
        <f t="shared" si="24"/>
        <v>3.661984414149444E-6</v>
      </c>
    </row>
    <row r="21" spans="2:57" x14ac:dyDescent="0.2">
      <c r="B21" s="12" t="s">
        <v>75</v>
      </c>
      <c r="C21" s="11" t="s">
        <v>67</v>
      </c>
      <c r="D21" s="11">
        <v>0</v>
      </c>
      <c r="E21" s="11">
        <v>0</v>
      </c>
      <c r="F21" s="11">
        <v>2.0981999999999998</v>
      </c>
      <c r="G21" s="11">
        <v>0</v>
      </c>
      <c r="H21" s="11">
        <v>0</v>
      </c>
      <c r="I21" s="21">
        <f t="shared" si="0"/>
        <v>2.0981999999999998</v>
      </c>
      <c r="J21" s="11">
        <v>1.8260000000000001</v>
      </c>
      <c r="K21" s="11">
        <v>0</v>
      </c>
      <c r="L21" s="11">
        <v>1.3141093353856359</v>
      </c>
      <c r="M21" s="11">
        <v>356053.6</v>
      </c>
      <c r="N21" s="11">
        <v>283503.35999999999</v>
      </c>
      <c r="O21" s="11">
        <v>22.041599999999999</v>
      </c>
      <c r="Q21" s="14">
        <v>105.21100300000001</v>
      </c>
      <c r="R21" s="14">
        <v>-58.833413</v>
      </c>
      <c r="S21" s="14">
        <v>160</v>
      </c>
      <c r="T21" s="14">
        <v>99.493746999999999</v>
      </c>
      <c r="U21" s="14">
        <v>105.21395800000001</v>
      </c>
      <c r="V21" s="14">
        <v>89.700445000000002</v>
      </c>
      <c r="W21" s="14">
        <v>47.365060999999997</v>
      </c>
      <c r="Y21" s="1" t="str">
        <f t="shared" si="1"/>
        <v>NE_Gasoline_Gasification_Non_CCS_Wood</v>
      </c>
      <c r="Z21" s="1" t="str">
        <f t="shared" si="2"/>
        <v>Biomass_Wood</v>
      </c>
      <c r="AA21" s="10">
        <f t="shared" si="3"/>
        <v>99.312165850698463</v>
      </c>
      <c r="AB21" s="10">
        <f t="shared" si="4"/>
        <v>99.312165850698463</v>
      </c>
      <c r="AC21" s="5">
        <f t="shared" si="5"/>
        <v>0</v>
      </c>
      <c r="AD21" s="1">
        <f t="shared" si="6"/>
        <v>0</v>
      </c>
      <c r="AE21" s="1">
        <f t="shared" si="7"/>
        <v>0</v>
      </c>
      <c r="AF21" s="1">
        <f t="array" ref="AF21">_xlfn.IFS(C21="Biomass_Corn", 1/I21*S21, C21="Biomass_Agri", 1/I21*V21, C21="Biomass_Wood", 1/I21*U21, C21="Biomass_Herb", 1/I21*T21)</f>
        <v>50.144866075683929</v>
      </c>
      <c r="AG21" s="1">
        <f t="shared" si="8"/>
        <v>21.523945460052467</v>
      </c>
      <c r="AH21" s="1">
        <f t="shared" si="9"/>
        <v>17.138180482886906</v>
      </c>
      <c r="AI21" s="1">
        <f t="shared" si="10"/>
        <v>10.505004289390907</v>
      </c>
      <c r="AJ21" s="1">
        <f t="shared" si="11"/>
        <v>1.6114539298688705E-6</v>
      </c>
      <c r="AK21" s="1">
        <f t="shared" si="12"/>
        <v>0</v>
      </c>
      <c r="AL21" s="1">
        <f t="shared" si="13"/>
        <v>1.6954268424979553E-4</v>
      </c>
      <c r="AM21" s="1">
        <f t="shared" si="14"/>
        <v>1.6114539298688705E-6</v>
      </c>
      <c r="AN21" s="1">
        <f t="shared" si="15"/>
        <v>0</v>
      </c>
      <c r="AO21" s="1">
        <f t="shared" si="16"/>
        <v>1.6954268424979553E-4</v>
      </c>
      <c r="AQ21" s="8">
        <f t="shared" si="17"/>
        <v>1.8260000000000001</v>
      </c>
      <c r="AR21" s="8">
        <v>0.243968185</v>
      </c>
      <c r="AS21" s="8">
        <v>0.24942761299999999</v>
      </c>
      <c r="AT21" s="9">
        <v>0.24635668499999999</v>
      </c>
      <c r="AU21" s="8">
        <v>0.23037490999999999</v>
      </c>
      <c r="AW21" s="9">
        <f t="shared" si="18"/>
        <v>1.8260000000000001</v>
      </c>
      <c r="AY21" s="9">
        <f t="shared" si="19"/>
        <v>0.51189404576699993</v>
      </c>
      <c r="AZ21" s="9">
        <f t="shared" si="20"/>
        <v>0</v>
      </c>
      <c r="BA21" s="9">
        <f t="shared" si="21"/>
        <v>0</v>
      </c>
      <c r="BB21" s="9">
        <f t="shared" si="22"/>
        <v>1.3141093353856359</v>
      </c>
      <c r="BC21" s="9">
        <f t="shared" si="23"/>
        <v>0</v>
      </c>
      <c r="BE21" s="1">
        <f t="shared" si="24"/>
        <v>-3.3811526356508637E-6</v>
      </c>
    </row>
    <row r="22" spans="2:57" x14ac:dyDescent="0.2">
      <c r="B22" s="12" t="s">
        <v>76</v>
      </c>
      <c r="C22" s="11" t="s">
        <v>77</v>
      </c>
      <c r="D22" s="11">
        <v>0</v>
      </c>
      <c r="E22" s="11">
        <v>0</v>
      </c>
      <c r="F22" s="11">
        <v>2.0314999999999999</v>
      </c>
      <c r="G22" s="11">
        <v>0</v>
      </c>
      <c r="H22" s="11">
        <v>0</v>
      </c>
      <c r="I22" s="21">
        <f t="shared" si="0"/>
        <v>2.0314999999999999</v>
      </c>
      <c r="J22" s="11">
        <v>1.7190000000000001</v>
      </c>
      <c r="K22" s="11">
        <v>0</v>
      </c>
      <c r="L22" s="11">
        <v>1.2233684353733869</v>
      </c>
      <c r="M22" s="11">
        <v>356053.6</v>
      </c>
      <c r="N22" s="11">
        <v>283503.35999999999</v>
      </c>
      <c r="O22" s="11">
        <v>22.041599999999999</v>
      </c>
      <c r="Q22" s="14">
        <v>105.21100300000001</v>
      </c>
      <c r="R22" s="14">
        <v>-6.4122130000000004</v>
      </c>
      <c r="S22" s="14">
        <v>160</v>
      </c>
      <c r="T22" s="14">
        <v>313632.96735400002</v>
      </c>
      <c r="U22" s="14">
        <v>154.036981</v>
      </c>
      <c r="V22" s="14">
        <v>132.85973799999999</v>
      </c>
      <c r="W22" s="14">
        <v>36.488697999999999</v>
      </c>
      <c r="Y22" s="1" t="str">
        <f t="shared" si="1"/>
        <v>CA_Gasoline_Gasification_Non_CCS_Agri</v>
      </c>
      <c r="Z22" s="1" t="str">
        <f t="shared" si="2"/>
        <v>Biomass_Agri</v>
      </c>
      <c r="AA22" s="10">
        <f t="shared" si="3"/>
        <v>116.18072253901713</v>
      </c>
      <c r="AB22" s="10">
        <f t="shared" si="4"/>
        <v>116.18072253901713</v>
      </c>
      <c r="AC22" s="5">
        <f t="shared" si="5"/>
        <v>0</v>
      </c>
      <c r="AD22" s="1">
        <f t="shared" si="6"/>
        <v>0</v>
      </c>
      <c r="AE22" s="1">
        <f t="shared" si="7"/>
        <v>0</v>
      </c>
      <c r="AF22" s="1">
        <f t="array" ref="AF22">_xlfn.IFS(C22="Biomass_Corn", 1/I22*S22, C22="Biomass_Agri", 1/I22*V22, C22="Biomass_Wood", 1/I22*U22, C22="Biomass_Herb", 1/I22*T22)</f>
        <v>65.399821806546882</v>
      </c>
      <c r="AG22" s="1">
        <f t="shared" si="8"/>
        <v>22.230638623815942</v>
      </c>
      <c r="AH22" s="1">
        <f t="shared" si="9"/>
        <v>17.700876342206893</v>
      </c>
      <c r="AI22" s="1">
        <f t="shared" si="10"/>
        <v>10.849913856756093</v>
      </c>
      <c r="AJ22" s="1">
        <f t="shared" si="11"/>
        <v>-5.0193448748675408E-6</v>
      </c>
      <c r="AK22" s="1">
        <f t="shared" si="12"/>
        <v>0</v>
      </c>
      <c r="AL22" s="1">
        <f t="shared" si="13"/>
        <v>-5.2809030868772343E-4</v>
      </c>
      <c r="AM22" s="1">
        <f t="shared" si="14"/>
        <v>-5.0193448748675408E-6</v>
      </c>
      <c r="AN22" s="1">
        <f t="shared" si="15"/>
        <v>0</v>
      </c>
      <c r="AO22" s="1">
        <f t="shared" si="16"/>
        <v>-5.2809030868772343E-4</v>
      </c>
      <c r="AQ22" s="8">
        <f t="shared" si="17"/>
        <v>1.7190000000000001</v>
      </c>
      <c r="AR22" s="8">
        <v>0.243968185</v>
      </c>
      <c r="AS22" s="8">
        <v>0.24942761299999999</v>
      </c>
      <c r="AT22" s="9">
        <v>0.24635668499999999</v>
      </c>
      <c r="AU22" s="8">
        <v>0.23037490999999999</v>
      </c>
      <c r="AW22" s="9">
        <f t="shared" si="18"/>
        <v>1.7190000000000001</v>
      </c>
      <c r="AY22" s="9">
        <f t="shared" si="19"/>
        <v>0.49562136782749999</v>
      </c>
      <c r="AZ22" s="9">
        <f t="shared" si="20"/>
        <v>0</v>
      </c>
      <c r="BA22" s="9">
        <f t="shared" si="21"/>
        <v>0</v>
      </c>
      <c r="BB22" s="9">
        <f t="shared" si="22"/>
        <v>1.2233684353733869</v>
      </c>
      <c r="BC22" s="9">
        <f t="shared" si="23"/>
        <v>0</v>
      </c>
      <c r="BE22" s="1">
        <f t="shared" si="24"/>
        <v>1.0196799113293409E-5</v>
      </c>
    </row>
    <row r="23" spans="2:57" x14ac:dyDescent="0.2">
      <c r="B23" s="12" t="s">
        <v>78</v>
      </c>
      <c r="C23" s="11" t="s">
        <v>77</v>
      </c>
      <c r="D23" s="11">
        <v>0</v>
      </c>
      <c r="E23" s="11">
        <v>0</v>
      </c>
      <c r="F23" s="11">
        <v>1.8572</v>
      </c>
      <c r="G23" s="11">
        <v>0</v>
      </c>
      <c r="H23" s="11">
        <v>0</v>
      </c>
      <c r="I23" s="21">
        <f t="shared" si="0"/>
        <v>1.8572</v>
      </c>
      <c r="J23" s="11">
        <v>1.6639999999999999</v>
      </c>
      <c r="K23" s="11">
        <v>0</v>
      </c>
      <c r="L23" s="11">
        <v>1.2109130803413359</v>
      </c>
      <c r="M23" s="11">
        <v>356053.6</v>
      </c>
      <c r="N23" s="11">
        <v>283503.35999999999</v>
      </c>
      <c r="O23" s="11">
        <v>22.041599999999999</v>
      </c>
      <c r="Q23" s="14">
        <v>105.21100300000001</v>
      </c>
      <c r="R23" s="14">
        <v>-7.3796590000000002</v>
      </c>
      <c r="S23" s="14">
        <v>160</v>
      </c>
      <c r="T23" s="14">
        <v>130.996602</v>
      </c>
      <c r="U23" s="14">
        <v>149.05667199999999</v>
      </c>
      <c r="V23" s="14">
        <v>112.26938</v>
      </c>
      <c r="W23" s="14">
        <v>26.787863000000002</v>
      </c>
      <c r="Y23" s="1" t="str">
        <f t="shared" si="1"/>
        <v>NW_Gasoline_Gasification_Non_CCS_Agri</v>
      </c>
      <c r="Z23" s="1" t="str">
        <f t="shared" si="2"/>
        <v>Biomass_Agri</v>
      </c>
      <c r="AA23" s="10">
        <f t="shared" si="3"/>
        <v>115.99880909481556</v>
      </c>
      <c r="AB23" s="10">
        <f t="shared" si="4"/>
        <v>115.99880909481556</v>
      </c>
      <c r="AC23" s="5">
        <f t="shared" si="5"/>
        <v>0</v>
      </c>
      <c r="AD23" s="1">
        <f t="shared" si="6"/>
        <v>0</v>
      </c>
      <c r="AE23" s="1">
        <f t="shared" si="7"/>
        <v>0</v>
      </c>
      <c r="AF23" s="1">
        <f t="array" ref="AF23">_xlfn.IFS(C23="Biomass_Corn", 1/I23*S23, C23="Biomass_Agri", 1/I23*V23, C23="Biomass_Wood", 1/I23*U23, C23="Biomass_Herb", 1/I23*T23)</f>
        <v>60.450883049752314</v>
      </c>
      <c r="AG23" s="1">
        <f t="shared" si="8"/>
        <v>24.317005365217582</v>
      </c>
      <c r="AH23" s="1">
        <f t="shared" si="9"/>
        <v>19.362120552010179</v>
      </c>
      <c r="AI23" s="1">
        <f t="shared" si="10"/>
        <v>11.868188671117812</v>
      </c>
      <c r="AJ23" s="1">
        <f t="shared" si="11"/>
        <v>5.8117183588168172E-6</v>
      </c>
      <c r="AK23" s="1">
        <f t="shared" si="12"/>
        <v>0</v>
      </c>
      <c r="AL23" s="1">
        <f t="shared" si="13"/>
        <v>6.1145671768463126E-4</v>
      </c>
      <c r="AM23" s="1">
        <f t="shared" si="14"/>
        <v>5.8117183588168172E-6</v>
      </c>
      <c r="AN23" s="1">
        <f t="shared" si="15"/>
        <v>0</v>
      </c>
      <c r="AO23" s="1">
        <f t="shared" si="16"/>
        <v>6.1145671768463126E-4</v>
      </c>
      <c r="AQ23" s="8">
        <f t="shared" si="17"/>
        <v>1.6639999999999999</v>
      </c>
      <c r="AR23" s="8">
        <v>0.243968185</v>
      </c>
      <c r="AS23" s="8">
        <v>0.24942761299999999</v>
      </c>
      <c r="AT23" s="9">
        <v>0.24635668499999999</v>
      </c>
      <c r="AU23" s="8">
        <v>0.23037490999999999</v>
      </c>
      <c r="AW23" s="9">
        <f t="shared" si="18"/>
        <v>1.6639999999999999</v>
      </c>
      <c r="AY23" s="9">
        <f t="shared" si="19"/>
        <v>0.45309771318199998</v>
      </c>
      <c r="AZ23" s="9">
        <f t="shared" si="20"/>
        <v>0</v>
      </c>
      <c r="BA23" s="9">
        <f t="shared" si="21"/>
        <v>0</v>
      </c>
      <c r="BB23" s="9">
        <f t="shared" si="22"/>
        <v>1.2109130803413359</v>
      </c>
      <c r="BC23" s="9">
        <f t="shared" si="23"/>
        <v>0</v>
      </c>
      <c r="BE23" s="1">
        <f t="shared" si="24"/>
        <v>-1.0793523335994593E-5</v>
      </c>
    </row>
    <row r="24" spans="2:57" x14ac:dyDescent="0.2">
      <c r="B24" s="12" t="s">
        <v>79</v>
      </c>
      <c r="C24" s="11" t="s">
        <v>77</v>
      </c>
      <c r="D24" s="11">
        <v>0</v>
      </c>
      <c r="E24" s="11">
        <v>0</v>
      </c>
      <c r="F24" s="11">
        <v>1.8915999999999999</v>
      </c>
      <c r="G24" s="11">
        <v>0</v>
      </c>
      <c r="H24" s="11">
        <v>0</v>
      </c>
      <c r="I24" s="21">
        <f t="shared" si="0"/>
        <v>1.8915999999999999</v>
      </c>
      <c r="J24" s="11">
        <v>1.6870000000000001</v>
      </c>
      <c r="K24" s="11">
        <v>0</v>
      </c>
      <c r="L24" s="11">
        <v>1.2255125453476641</v>
      </c>
      <c r="M24" s="11">
        <v>356053.6</v>
      </c>
      <c r="N24" s="11">
        <v>283503.35999999999</v>
      </c>
      <c r="O24" s="11">
        <v>22.041599999999999</v>
      </c>
      <c r="Q24" s="14">
        <v>105.21100300000001</v>
      </c>
      <c r="R24" s="14">
        <v>-14.567418</v>
      </c>
      <c r="S24" s="14">
        <v>160</v>
      </c>
      <c r="T24" s="14">
        <v>120.282189</v>
      </c>
      <c r="U24" s="14">
        <v>137.475031</v>
      </c>
      <c r="V24" s="14">
        <v>107.559866</v>
      </c>
      <c r="W24" s="14">
        <v>27.957547000000002</v>
      </c>
      <c r="Y24" s="1" t="str">
        <f t="shared" si="1"/>
        <v>SW_Gasoline_Gasification_Non_CCS_Agri</v>
      </c>
      <c r="Z24" s="1" t="str">
        <f t="shared" si="2"/>
        <v>Biomass_Agri</v>
      </c>
      <c r="AA24" s="10">
        <f t="shared" si="3"/>
        <v>111.39914858666852</v>
      </c>
      <c r="AB24" s="10">
        <f t="shared" si="4"/>
        <v>111.39914858666852</v>
      </c>
      <c r="AC24" s="5">
        <f t="shared" si="5"/>
        <v>0</v>
      </c>
      <c r="AD24" s="1">
        <f t="shared" si="6"/>
        <v>0</v>
      </c>
      <c r="AE24" s="1">
        <f t="shared" si="7"/>
        <v>0</v>
      </c>
      <c r="AF24" s="1">
        <f t="array" ref="AF24">_xlfn.IFS(C24="Biomass_Corn", 1/I24*S24, C24="Biomass_Agri", 1/I24*V24, C24="Biomass_Wood", 1/I24*U24, C24="Biomass_Herb", 1/I24*T24)</f>
        <v>56.861844998942701</v>
      </c>
      <c r="AG24" s="1">
        <f t="shared" si="8"/>
        <v>23.874784502158008</v>
      </c>
      <c r="AH24" s="1">
        <f t="shared" si="9"/>
        <v>19.010007554024796</v>
      </c>
      <c r="AI24" s="1">
        <f t="shared" si="10"/>
        <v>11.652357792345104</v>
      </c>
      <c r="AJ24" s="1">
        <f t="shared" si="11"/>
        <v>1.4612463861037825E-6</v>
      </c>
      <c r="AK24" s="1">
        <f t="shared" si="12"/>
        <v>0</v>
      </c>
      <c r="AL24" s="1">
        <f t="shared" si="13"/>
        <v>1.5373919791210423E-4</v>
      </c>
      <c r="AM24" s="1">
        <f t="shared" si="14"/>
        <v>1.4612463861037825E-6</v>
      </c>
      <c r="AN24" s="1">
        <f t="shared" si="15"/>
        <v>0</v>
      </c>
      <c r="AO24" s="1">
        <f t="shared" si="16"/>
        <v>1.5373919791210423E-4</v>
      </c>
      <c r="AQ24" s="8">
        <f t="shared" si="17"/>
        <v>1.6870000000000001</v>
      </c>
      <c r="AR24" s="8">
        <v>0.243968185</v>
      </c>
      <c r="AS24" s="8">
        <v>0.24942761299999999</v>
      </c>
      <c r="AT24" s="9">
        <v>0.24635668499999999</v>
      </c>
      <c r="AU24" s="8">
        <v>0.23037490999999999</v>
      </c>
      <c r="AW24" s="9">
        <f t="shared" si="18"/>
        <v>1.6870000000000001</v>
      </c>
      <c r="AY24" s="9">
        <f t="shared" si="19"/>
        <v>0.46149021874599999</v>
      </c>
      <c r="AZ24" s="9">
        <f t="shared" si="20"/>
        <v>0</v>
      </c>
      <c r="BA24" s="9">
        <f t="shared" si="21"/>
        <v>0</v>
      </c>
      <c r="BB24" s="9">
        <f t="shared" si="22"/>
        <v>1.2255125453476641</v>
      </c>
      <c r="BC24" s="9">
        <f t="shared" si="23"/>
        <v>0</v>
      </c>
      <c r="BE24" s="1">
        <f t="shared" si="24"/>
        <v>-2.7640936639539149E-6</v>
      </c>
    </row>
    <row r="25" spans="2:57" x14ac:dyDescent="0.2">
      <c r="B25" s="12" t="s">
        <v>80</v>
      </c>
      <c r="C25" s="11" t="s">
        <v>77</v>
      </c>
      <c r="D25" s="11">
        <v>0</v>
      </c>
      <c r="E25" s="11">
        <v>0</v>
      </c>
      <c r="F25" s="11">
        <v>1.8427</v>
      </c>
      <c r="G25" s="11">
        <v>0</v>
      </c>
      <c r="H25" s="11">
        <v>0</v>
      </c>
      <c r="I25" s="21">
        <f t="shared" si="0"/>
        <v>1.8427</v>
      </c>
      <c r="J25" s="11">
        <v>1.633</v>
      </c>
      <c r="K25" s="11">
        <v>0</v>
      </c>
      <c r="L25" s="11">
        <v>1.1834358853386819</v>
      </c>
      <c r="M25" s="11">
        <v>356053.6</v>
      </c>
      <c r="N25" s="11">
        <v>283503.35999999999</v>
      </c>
      <c r="O25" s="11">
        <v>22.041599999999999</v>
      </c>
      <c r="Q25" s="14">
        <v>105.21100300000001</v>
      </c>
      <c r="R25" s="14">
        <v>-19.477884</v>
      </c>
      <c r="S25" s="14">
        <v>160</v>
      </c>
      <c r="T25" s="14">
        <v>132.95547999999999</v>
      </c>
      <c r="U25" s="14">
        <v>152.57709199999999</v>
      </c>
      <c r="V25" s="14">
        <v>106.67488899999999</v>
      </c>
      <c r="W25" s="14">
        <v>20.174973000000001</v>
      </c>
      <c r="Y25" s="1" t="str">
        <f t="shared" si="1"/>
        <v>TX_Gasoline_Gasification_Non_CCS_Agri</v>
      </c>
      <c r="Z25" s="1" t="str">
        <f t="shared" si="2"/>
        <v>Biomass_Agri</v>
      </c>
      <c r="AA25" s="10">
        <f t="shared" si="3"/>
        <v>113.87472030449801</v>
      </c>
      <c r="AB25" s="10">
        <f t="shared" si="4"/>
        <v>113.87472030449801</v>
      </c>
      <c r="AC25" s="5">
        <f t="shared" si="5"/>
        <v>0</v>
      </c>
      <c r="AD25" s="1">
        <f t="shared" si="6"/>
        <v>0</v>
      </c>
      <c r="AE25" s="1">
        <f t="shared" si="7"/>
        <v>0</v>
      </c>
      <c r="AF25" s="1">
        <f t="array" ref="AF25">_xlfn.IFS(C25="Biomass_Corn", 1/I25*S25, C25="Biomass_Agri", 1/I25*V25, C25="Biomass_Wood", 1/I25*U25, C25="Biomass_Herb", 1/I25*T25)</f>
        <v>57.890535084387032</v>
      </c>
      <c r="AG25" s="1">
        <f t="shared" si="8"/>
        <v>24.508353158019258</v>
      </c>
      <c r="AH25" s="1">
        <f t="shared" si="9"/>
        <v>19.514478910942263</v>
      </c>
      <c r="AI25" s="1">
        <f t="shared" si="10"/>
        <v>11.961578119064416</v>
      </c>
      <c r="AJ25" s="1">
        <f t="shared" si="11"/>
        <v>-2.1382546362131898E-6</v>
      </c>
      <c r="AK25" s="1">
        <f t="shared" si="12"/>
        <v>0</v>
      </c>
      <c r="AL25" s="1">
        <f t="shared" si="13"/>
        <v>-2.2496791494538984E-4</v>
      </c>
      <c r="AM25" s="1">
        <f t="shared" si="14"/>
        <v>-2.1382546362131898E-6</v>
      </c>
      <c r="AN25" s="1">
        <f t="shared" si="15"/>
        <v>0</v>
      </c>
      <c r="AO25" s="1">
        <f t="shared" si="16"/>
        <v>-2.2496791494538984E-4</v>
      </c>
      <c r="AQ25" s="8">
        <f t="shared" si="17"/>
        <v>1.633</v>
      </c>
      <c r="AR25" s="8">
        <v>0.243968185</v>
      </c>
      <c r="AS25" s="8">
        <v>0.24942761299999999</v>
      </c>
      <c r="AT25" s="9">
        <v>0.24635668499999999</v>
      </c>
      <c r="AU25" s="8">
        <v>0.23037490999999999</v>
      </c>
      <c r="AW25" s="9">
        <f t="shared" si="18"/>
        <v>1.633</v>
      </c>
      <c r="AY25" s="9">
        <f t="shared" si="19"/>
        <v>0.44956017449950003</v>
      </c>
      <c r="AZ25" s="9">
        <f t="shared" si="20"/>
        <v>0</v>
      </c>
      <c r="BA25" s="9">
        <f t="shared" si="21"/>
        <v>0</v>
      </c>
      <c r="BB25" s="9">
        <f t="shared" si="22"/>
        <v>1.1834358853386819</v>
      </c>
      <c r="BC25" s="9">
        <f t="shared" si="23"/>
        <v>0</v>
      </c>
      <c r="BE25" s="1">
        <f t="shared" si="24"/>
        <v>3.9401618181500453E-6</v>
      </c>
    </row>
    <row r="26" spans="2:57" x14ac:dyDescent="0.2">
      <c r="B26" s="12" t="s">
        <v>81</v>
      </c>
      <c r="C26" s="11" t="s">
        <v>77</v>
      </c>
      <c r="D26" s="11">
        <v>0</v>
      </c>
      <c r="E26" s="11">
        <v>0</v>
      </c>
      <c r="F26" s="11">
        <v>1.9216</v>
      </c>
      <c r="G26" s="11">
        <v>0</v>
      </c>
      <c r="H26" s="11">
        <v>0</v>
      </c>
      <c r="I26" s="21">
        <f t="shared" si="0"/>
        <v>1.9216</v>
      </c>
      <c r="J26" s="11">
        <v>1.71</v>
      </c>
      <c r="K26" s="11">
        <v>0</v>
      </c>
      <c r="L26" s="11">
        <v>1.241195950353176</v>
      </c>
      <c r="M26" s="11">
        <v>356053.6</v>
      </c>
      <c r="N26" s="11">
        <v>283503.35999999999</v>
      </c>
      <c r="O26" s="11">
        <v>22.041599999999999</v>
      </c>
      <c r="Q26" s="14">
        <v>105.21100300000001</v>
      </c>
      <c r="R26" s="14">
        <v>-39.686463000000003</v>
      </c>
      <c r="S26" s="14">
        <v>160</v>
      </c>
      <c r="T26" s="14">
        <v>100.757654</v>
      </c>
      <c r="U26" s="14">
        <v>111.990773</v>
      </c>
      <c r="V26" s="14">
        <v>89.243781999999996</v>
      </c>
      <c r="W26" s="14">
        <v>30.713950000000001</v>
      </c>
      <c r="Y26" s="1" t="str">
        <f t="shared" si="1"/>
        <v>NCEN_Gasoline_Gasification_Non_CCS_Agri</v>
      </c>
      <c r="Z26" s="1" t="str">
        <f t="shared" si="2"/>
        <v>Biomass_Agri</v>
      </c>
      <c r="AA26" s="10">
        <f t="shared" si="3"/>
        <v>100.12843635092916</v>
      </c>
      <c r="AB26" s="10">
        <f t="shared" si="4"/>
        <v>100.12843635092916</v>
      </c>
      <c r="AC26" s="5">
        <f t="shared" si="5"/>
        <v>0</v>
      </c>
      <c r="AD26" s="1">
        <f t="shared" si="6"/>
        <v>0</v>
      </c>
      <c r="AE26" s="1">
        <f t="shared" si="7"/>
        <v>0</v>
      </c>
      <c r="AF26" s="1">
        <f t="array" ref="AF26">_xlfn.IFS(C26="Biomass_Corn", 1/I26*S26, C26="Biomass_Agri", 1/I26*V26, C26="Biomass_Wood", 1/I26*U26, C26="Biomass_Herb", 1/I26*T26)</f>
        <v>46.442434429641963</v>
      </c>
      <c r="AG26" s="1">
        <f t="shared" si="8"/>
        <v>23.502051605059371</v>
      </c>
      <c r="AH26" s="1">
        <f t="shared" si="9"/>
        <v>18.713223506033152</v>
      </c>
      <c r="AI26" s="1">
        <f t="shared" si="10"/>
        <v>11.470441298917569</v>
      </c>
      <c r="AJ26" s="1">
        <f t="shared" si="11"/>
        <v>2.7137016944327017E-6</v>
      </c>
      <c r="AK26" s="1">
        <f t="shared" si="12"/>
        <v>0</v>
      </c>
      <c r="AL26" s="1">
        <f t="shared" si="13"/>
        <v>2.8551127711406407E-4</v>
      </c>
      <c r="AM26" s="1">
        <f t="shared" si="14"/>
        <v>2.7137016944327017E-6</v>
      </c>
      <c r="AN26" s="1">
        <f t="shared" si="15"/>
        <v>0</v>
      </c>
      <c r="AO26" s="1">
        <f t="shared" si="16"/>
        <v>2.8551127711406407E-4</v>
      </c>
      <c r="AQ26" s="8">
        <f t="shared" si="17"/>
        <v>1.71</v>
      </c>
      <c r="AR26" s="8">
        <v>0.243968185</v>
      </c>
      <c r="AS26" s="8">
        <v>0.24942761299999999</v>
      </c>
      <c r="AT26" s="9">
        <v>0.24635668499999999</v>
      </c>
      <c r="AU26" s="8">
        <v>0.23037490999999999</v>
      </c>
      <c r="AW26" s="9">
        <f t="shared" si="18"/>
        <v>1.71</v>
      </c>
      <c r="AY26" s="9">
        <f t="shared" si="19"/>
        <v>0.46880926429600001</v>
      </c>
      <c r="AZ26" s="9">
        <f t="shared" si="20"/>
        <v>0</v>
      </c>
      <c r="BA26" s="9">
        <f t="shared" si="21"/>
        <v>0</v>
      </c>
      <c r="BB26" s="9">
        <f t="shared" si="22"/>
        <v>1.241195950353176</v>
      </c>
      <c r="BC26" s="9">
        <f t="shared" si="23"/>
        <v>0</v>
      </c>
      <c r="BE26" s="1">
        <f t="shared" si="24"/>
        <v>-5.2146491760218794E-6</v>
      </c>
    </row>
    <row r="27" spans="2:57" x14ac:dyDescent="0.2">
      <c r="B27" s="12" t="s">
        <v>82</v>
      </c>
      <c r="C27" s="11" t="s">
        <v>77</v>
      </c>
      <c r="D27" s="11">
        <v>0</v>
      </c>
      <c r="E27" s="11">
        <v>0</v>
      </c>
      <c r="F27" s="11">
        <v>1.9071</v>
      </c>
      <c r="G27" s="11">
        <v>0</v>
      </c>
      <c r="H27" s="11">
        <v>0</v>
      </c>
      <c r="I27" s="21">
        <f t="shared" si="0"/>
        <v>1.9071</v>
      </c>
      <c r="J27" s="11">
        <v>1.7</v>
      </c>
      <c r="K27" s="11">
        <v>0</v>
      </c>
      <c r="L27" s="11">
        <v>1.234718755350523</v>
      </c>
      <c r="M27" s="11">
        <v>356053.6</v>
      </c>
      <c r="N27" s="11">
        <v>283503.35999999999</v>
      </c>
      <c r="O27" s="11">
        <v>22.041599999999999</v>
      </c>
      <c r="Q27" s="14">
        <v>105.21100300000001</v>
      </c>
      <c r="R27" s="14">
        <v>-29.672038000000001</v>
      </c>
      <c r="S27" s="14">
        <v>160</v>
      </c>
      <c r="T27" s="14">
        <v>107.027154</v>
      </c>
      <c r="U27" s="14">
        <v>122.865223</v>
      </c>
      <c r="V27" s="14">
        <v>94.404420999999999</v>
      </c>
      <c r="W27" s="14">
        <v>25.118154000000001</v>
      </c>
      <c r="Y27" s="1" t="str">
        <f t="shared" si="1"/>
        <v>CEN_Gasoline_Gasification_Non_CCS_Agri</v>
      </c>
      <c r="Z27" s="1" t="str">
        <f t="shared" si="2"/>
        <v>Biomass_Agri</v>
      </c>
      <c r="AA27" s="10">
        <f t="shared" si="3"/>
        <v>103.59493059941936</v>
      </c>
      <c r="AB27" s="10">
        <f t="shared" si="4"/>
        <v>103.59493059941936</v>
      </c>
      <c r="AC27" s="5">
        <f t="shared" si="5"/>
        <v>0</v>
      </c>
      <c r="AD27" s="1">
        <f t="shared" si="6"/>
        <v>0</v>
      </c>
      <c r="AE27" s="1">
        <f t="shared" si="7"/>
        <v>0</v>
      </c>
      <c r="AF27" s="1">
        <f t="array" ref="AF27">_xlfn.IFS(C27="Biomass_Corn", 1/I27*S27, C27="Biomass_Agri", 1/I27*V27, C27="Biomass_Wood", 1/I27*U27, C27="Biomass_Herb", 1/I27*T27)</f>
        <v>49.501557862723509</v>
      </c>
      <c r="AG27" s="1">
        <f t="shared" si="8"/>
        <v>23.680741630896172</v>
      </c>
      <c r="AH27" s="1">
        <f t="shared" si="9"/>
        <v>18.855503271560643</v>
      </c>
      <c r="AI27" s="1">
        <f t="shared" si="10"/>
        <v>11.557652980965864</v>
      </c>
      <c r="AJ27" s="1">
        <f t="shared" si="11"/>
        <v>-4.991366984957546E-6</v>
      </c>
      <c r="AK27" s="1">
        <f t="shared" si="12"/>
        <v>0</v>
      </c>
      <c r="AL27" s="1">
        <f t="shared" si="13"/>
        <v>-5.2514672682846936E-4</v>
      </c>
      <c r="AM27" s="1">
        <f t="shared" si="14"/>
        <v>-4.991366984957546E-6</v>
      </c>
      <c r="AN27" s="1">
        <f t="shared" si="15"/>
        <v>0</v>
      </c>
      <c r="AO27" s="1">
        <f t="shared" si="16"/>
        <v>-5.2514672682846936E-4</v>
      </c>
      <c r="AQ27" s="8">
        <f t="shared" si="17"/>
        <v>1.7</v>
      </c>
      <c r="AR27" s="8">
        <v>0.243968185</v>
      </c>
      <c r="AS27" s="8">
        <v>0.24942761299999999</v>
      </c>
      <c r="AT27" s="9">
        <v>0.24635668499999999</v>
      </c>
      <c r="AU27" s="8">
        <v>0.23037490999999999</v>
      </c>
      <c r="AW27" s="9">
        <f t="shared" si="18"/>
        <v>1.7</v>
      </c>
      <c r="AY27" s="9">
        <f t="shared" si="19"/>
        <v>0.4652717256135</v>
      </c>
      <c r="AZ27" s="9">
        <f t="shared" si="20"/>
        <v>0</v>
      </c>
      <c r="BA27" s="9">
        <f t="shared" si="21"/>
        <v>0</v>
      </c>
      <c r="BB27" s="9">
        <f t="shared" si="22"/>
        <v>1.234718755350523</v>
      </c>
      <c r="BC27" s="9">
        <f t="shared" si="23"/>
        <v>0</v>
      </c>
      <c r="BE27" s="1">
        <f t="shared" si="24"/>
        <v>9.5190359770125355E-6</v>
      </c>
    </row>
    <row r="28" spans="2:57" x14ac:dyDescent="0.2">
      <c r="B28" s="12" t="s">
        <v>83</v>
      </c>
      <c r="C28" s="11" t="s">
        <v>77</v>
      </c>
      <c r="D28" s="11">
        <v>0</v>
      </c>
      <c r="E28" s="11">
        <v>0</v>
      </c>
      <c r="F28" s="11">
        <v>1.9137999999999999</v>
      </c>
      <c r="G28" s="11">
        <v>0</v>
      </c>
      <c r="H28" s="11">
        <v>0</v>
      </c>
      <c r="I28" s="21">
        <f t="shared" si="0"/>
        <v>1.9137999999999999</v>
      </c>
      <c r="J28" s="11">
        <v>1.6890000000000001</v>
      </c>
      <c r="K28" s="11">
        <v>0</v>
      </c>
      <c r="L28" s="11">
        <v>1.2220928453517479</v>
      </c>
      <c r="M28" s="11">
        <v>356053.6</v>
      </c>
      <c r="N28" s="11">
        <v>283503.35999999999</v>
      </c>
      <c r="O28" s="11">
        <v>22.041599999999999</v>
      </c>
      <c r="Q28" s="14">
        <v>105.21100300000001</v>
      </c>
      <c r="R28" s="14">
        <v>-45.510345000000001</v>
      </c>
      <c r="S28" s="14">
        <v>160</v>
      </c>
      <c r="T28" s="14">
        <v>97.593261999999996</v>
      </c>
      <c r="U28" s="14">
        <v>109.791234</v>
      </c>
      <c r="V28" s="14">
        <v>86.911507</v>
      </c>
      <c r="W28" s="14">
        <v>38.099075999999997</v>
      </c>
      <c r="Y28" t="str">
        <f t="shared" si="1"/>
        <v>SE_Gasoline_Gasification_Non_CCS_Agri</v>
      </c>
      <c r="Z28" t="str">
        <f t="shared" si="2"/>
        <v>Biomass_Agri</v>
      </c>
      <c r="AA28" s="10">
        <f t="shared" si="3"/>
        <v>99.317531113631631</v>
      </c>
      <c r="AB28" s="10">
        <f t="shared" si="4"/>
        <v>99.317531113631631</v>
      </c>
      <c r="AC28" s="5">
        <f t="shared" si="5"/>
        <v>0</v>
      </c>
      <c r="AD28" s="1">
        <f t="shared" si="6"/>
        <v>0</v>
      </c>
      <c r="AE28" s="1">
        <f t="shared" si="7"/>
        <v>0</v>
      </c>
      <c r="AF28" s="1">
        <f t="array" ref="AF28">_xlfn.IFS(C28="Biomass_Corn", 1/I28*S28, C28="Biomass_Agri", 1/I28*V28, C28="Biomass_Wood", 1/I28*U28, C28="Biomass_Herb", 1/I28*T28)</f>
        <v>45.413056223220821</v>
      </c>
      <c r="AG28" s="1">
        <f t="shared" si="8"/>
        <v>23.597837999938388</v>
      </c>
      <c r="AH28" s="1">
        <f t="shared" si="9"/>
        <v>18.789492261047812</v>
      </c>
      <c r="AI28" s="1">
        <f t="shared" si="10"/>
        <v>11.517190929041696</v>
      </c>
      <c r="AJ28" s="1">
        <f t="shared" si="11"/>
        <v>-4.4006440182056223E-7</v>
      </c>
      <c r="AK28" s="1">
        <f t="shared" si="12"/>
        <v>0</v>
      </c>
      <c r="AL28">
        <f t="shared" si="13"/>
        <v>-4.6299617100136384E-5</v>
      </c>
      <c r="AM28" s="1">
        <f t="shared" si="14"/>
        <v>-4.4006440182056223E-7</v>
      </c>
      <c r="AN28" s="1">
        <f t="shared" si="15"/>
        <v>0</v>
      </c>
      <c r="AO28">
        <f t="shared" si="16"/>
        <v>-4.6299617100136384E-5</v>
      </c>
      <c r="AQ28" s="8">
        <f t="shared" si="17"/>
        <v>1.6890000000000001</v>
      </c>
      <c r="AR28" s="8">
        <v>0.243968185</v>
      </c>
      <c r="AS28" s="8">
        <v>0.24942761299999999</v>
      </c>
      <c r="AT28" s="9">
        <v>0.24635668499999999</v>
      </c>
      <c r="AU28" s="8">
        <v>0.23037490999999999</v>
      </c>
      <c r="AW28" s="9">
        <f t="shared" si="18"/>
        <v>1.6890000000000001</v>
      </c>
      <c r="AY28" s="9">
        <f t="shared" si="19"/>
        <v>0.46690631245300002</v>
      </c>
      <c r="AZ28" s="9">
        <f t="shared" si="20"/>
        <v>0</v>
      </c>
      <c r="BA28" s="9">
        <f t="shared" si="21"/>
        <v>0</v>
      </c>
      <c r="BB28" s="9">
        <f t="shared" si="22"/>
        <v>1.2220928453517479</v>
      </c>
      <c r="BC28" s="9">
        <f t="shared" si="23"/>
        <v>0</v>
      </c>
      <c r="BE28" s="1">
        <f t="shared" si="24"/>
        <v>8.42195252204192E-7</v>
      </c>
    </row>
    <row r="29" spans="2:57" x14ac:dyDescent="0.2">
      <c r="B29" s="12" t="s">
        <v>84</v>
      </c>
      <c r="C29" s="11" t="s">
        <v>77</v>
      </c>
      <c r="D29" s="11">
        <v>0</v>
      </c>
      <c r="E29" s="11">
        <v>0</v>
      </c>
      <c r="F29" s="11">
        <v>1.9194</v>
      </c>
      <c r="G29" s="11">
        <v>0</v>
      </c>
      <c r="H29" s="11">
        <v>0</v>
      </c>
      <c r="I29" s="21">
        <f t="shared" si="0"/>
        <v>1.9194</v>
      </c>
      <c r="J29" s="11">
        <v>1.708</v>
      </c>
      <c r="K29" s="11">
        <v>0</v>
      </c>
      <c r="L29" s="11">
        <v>1.2397379203527681</v>
      </c>
      <c r="M29" s="11">
        <v>356053.6</v>
      </c>
      <c r="N29" s="11">
        <v>283503.35999999999</v>
      </c>
      <c r="O29" s="11">
        <v>22.041599999999999</v>
      </c>
      <c r="Q29" s="14">
        <v>105.21100300000001</v>
      </c>
      <c r="R29" s="14">
        <v>-50.334515000000003</v>
      </c>
      <c r="S29" s="14">
        <v>160</v>
      </c>
      <c r="T29" s="14">
        <v>98.707491000000005</v>
      </c>
      <c r="U29" s="14">
        <v>106.53195700000001</v>
      </c>
      <c r="V29" s="14">
        <v>87.469328000000004</v>
      </c>
      <c r="W29" s="14">
        <v>39.29871</v>
      </c>
      <c r="Y29" t="str">
        <f t="shared" si="1"/>
        <v>MIDAT_Gasoline_Gasification_Non_CCS_Agri</v>
      </c>
      <c r="Z29" t="str">
        <f t="shared" si="2"/>
        <v>Biomass_Agri</v>
      </c>
      <c r="AA29" s="10">
        <f t="shared" si="3"/>
        <v>99.319006250297917</v>
      </c>
      <c r="AB29" s="10">
        <f t="shared" si="4"/>
        <v>99.319006250297917</v>
      </c>
      <c r="AC29" s="5">
        <f t="shared" si="5"/>
        <v>0</v>
      </c>
      <c r="AD29" s="1">
        <f t="shared" si="6"/>
        <v>0</v>
      </c>
      <c r="AE29" s="1">
        <f t="shared" si="7"/>
        <v>0</v>
      </c>
      <c r="AF29" s="1">
        <f t="array" ref="AF29">_xlfn.IFS(C29="Biomass_Corn", 1/I29*S29, C29="Biomass_Agri", 1/I29*V29, C29="Biomass_Wood", 1/I29*U29, C29="Biomass_Herb", 1/I29*T29)</f>
        <v>45.571182661248308</v>
      </c>
      <c r="AG29" s="1">
        <f t="shared" si="8"/>
        <v>23.528989457268981</v>
      </c>
      <c r="AH29" s="1">
        <f t="shared" si="9"/>
        <v>18.734672444093626</v>
      </c>
      <c r="AI29" s="1">
        <f t="shared" si="10"/>
        <v>11.4835886214442</v>
      </c>
      <c r="AJ29" s="1">
        <f t="shared" si="11"/>
        <v>5.4468280546400965E-6</v>
      </c>
      <c r="AK29" s="1">
        <f t="shared" si="12"/>
        <v>0</v>
      </c>
      <c r="AL29">
        <f t="shared" si="13"/>
        <v>5.7306624279722341E-4</v>
      </c>
      <c r="AM29" s="1">
        <f t="shared" si="14"/>
        <v>5.4468280546400965E-6</v>
      </c>
      <c r="AN29" s="1">
        <f t="shared" si="15"/>
        <v>0</v>
      </c>
      <c r="AO29">
        <f t="shared" si="16"/>
        <v>5.7306624279722341E-4</v>
      </c>
      <c r="AQ29" s="8">
        <f t="shared" si="17"/>
        <v>1.708</v>
      </c>
      <c r="AR29" s="8">
        <v>0.243968185</v>
      </c>
      <c r="AS29" s="8">
        <v>0.24942761299999999</v>
      </c>
      <c r="AT29" s="9">
        <v>0.24635668499999999</v>
      </c>
      <c r="AU29" s="8">
        <v>0.23037490999999999</v>
      </c>
      <c r="AW29" s="9">
        <f t="shared" si="18"/>
        <v>1.708</v>
      </c>
      <c r="AY29" s="9">
        <f t="shared" si="19"/>
        <v>0.46827253428900001</v>
      </c>
      <c r="AZ29" s="9">
        <f t="shared" si="20"/>
        <v>0</v>
      </c>
      <c r="BA29" s="9">
        <f t="shared" si="21"/>
        <v>0</v>
      </c>
      <c r="BB29" s="9">
        <f t="shared" si="22"/>
        <v>1.2397379203527681</v>
      </c>
      <c r="BC29" s="9">
        <f t="shared" si="23"/>
        <v>0</v>
      </c>
      <c r="BE29" s="1">
        <f t="shared" si="24"/>
        <v>-1.04546417680762E-5</v>
      </c>
    </row>
    <row r="30" spans="2:57" x14ac:dyDescent="0.2">
      <c r="B30" s="12" t="s">
        <v>85</v>
      </c>
      <c r="C30" s="11" t="s">
        <v>77</v>
      </c>
      <c r="D30" s="11">
        <v>0</v>
      </c>
      <c r="E30" s="11">
        <v>0</v>
      </c>
      <c r="F30" s="11">
        <v>1.9416</v>
      </c>
      <c r="G30" s="11">
        <v>0</v>
      </c>
      <c r="H30" s="11">
        <v>0</v>
      </c>
      <c r="I30" s="21">
        <f t="shared" si="0"/>
        <v>1.9416</v>
      </c>
      <c r="J30" s="11">
        <v>1.7150000000000001</v>
      </c>
      <c r="K30" s="11">
        <v>0</v>
      </c>
      <c r="L30" s="11">
        <v>1.2413182203568509</v>
      </c>
      <c r="M30" s="11">
        <v>356053.6</v>
      </c>
      <c r="N30" s="11">
        <v>283503.35999999999</v>
      </c>
      <c r="O30" s="11">
        <v>22.041599999999999</v>
      </c>
      <c r="Q30" s="14">
        <v>105.21100300000001</v>
      </c>
      <c r="R30" s="14">
        <v>-58.833413</v>
      </c>
      <c r="S30" s="14">
        <v>160</v>
      </c>
      <c r="T30" s="14">
        <v>99.493746999999999</v>
      </c>
      <c r="U30" s="14">
        <v>105.21395800000001</v>
      </c>
      <c r="V30" s="14">
        <v>89.700445000000002</v>
      </c>
      <c r="W30" s="14">
        <v>47.365060999999997</v>
      </c>
      <c r="Y30" t="str">
        <f t="shared" si="1"/>
        <v>NE_Gasoline_Gasification_Non_CCS_Agri</v>
      </c>
      <c r="Z30" t="str">
        <f t="shared" si="2"/>
        <v>Biomass_Agri</v>
      </c>
      <c r="AA30" s="10">
        <f t="shared" si="3"/>
        <v>99.332322916948769</v>
      </c>
      <c r="AB30" s="10">
        <f t="shared" si="4"/>
        <v>99.332322916948769</v>
      </c>
      <c r="AC30" s="5">
        <f t="shared" si="5"/>
        <v>0</v>
      </c>
      <c r="AD30" s="1">
        <f t="shared" si="6"/>
        <v>0</v>
      </c>
      <c r="AE30" s="1">
        <f t="shared" si="7"/>
        <v>0</v>
      </c>
      <c r="AF30" s="1">
        <f t="array" ref="AF30">_xlfn.IFS(C30="Biomass_Corn", 1/I30*S30, C30="Biomass_Agri", 1/I30*V30, C30="Biomass_Wood", 1/I30*U30, C30="Biomass_Herb", 1/I30*T30)</f>
        <v>46.199240317264113</v>
      </c>
      <c r="AG30" s="1">
        <f t="shared" si="8"/>
        <v>23.259962074722957</v>
      </c>
      <c r="AH30" s="1">
        <f t="shared" si="9"/>
        <v>18.52046265409626</v>
      </c>
      <c r="AI30" s="1">
        <f t="shared" si="10"/>
        <v>11.352286773794807</v>
      </c>
      <c r="AJ30" s="1">
        <f t="shared" si="11"/>
        <v>3.5271697830695665E-6</v>
      </c>
      <c r="AK30" s="1">
        <f t="shared" si="12"/>
        <v>0</v>
      </c>
      <c r="AL30">
        <f t="shared" si="13"/>
        <v>3.7109707062804153E-4</v>
      </c>
      <c r="AM30" s="1">
        <f t="shared" si="14"/>
        <v>3.5271697830695665E-6</v>
      </c>
      <c r="AN30" s="1">
        <f t="shared" si="15"/>
        <v>0</v>
      </c>
      <c r="AO30">
        <f t="shared" si="16"/>
        <v>3.7109707062804153E-4</v>
      </c>
      <c r="AQ30" s="8">
        <f t="shared" si="17"/>
        <v>1.7150000000000001</v>
      </c>
      <c r="AR30" s="8">
        <v>0.243968185</v>
      </c>
      <c r="AS30" s="8">
        <v>0.24942761299999999</v>
      </c>
      <c r="AT30" s="9">
        <v>0.24635668499999999</v>
      </c>
      <c r="AU30" s="8">
        <v>0.23037490999999999</v>
      </c>
      <c r="AW30" s="9">
        <f t="shared" si="18"/>
        <v>1.7150000000000001</v>
      </c>
      <c r="AY30" s="9">
        <f t="shared" si="19"/>
        <v>0.47368862799600003</v>
      </c>
      <c r="AZ30" s="9">
        <f t="shared" si="20"/>
        <v>0</v>
      </c>
      <c r="BA30" s="9">
        <f t="shared" si="21"/>
        <v>0</v>
      </c>
      <c r="BB30" s="9">
        <f t="shared" si="22"/>
        <v>1.2413182203568509</v>
      </c>
      <c r="BC30" s="9">
        <f t="shared" si="23"/>
        <v>0</v>
      </c>
      <c r="BE30" s="1">
        <f t="shared" si="24"/>
        <v>-6.8483528508078706E-6</v>
      </c>
    </row>
    <row r="31" spans="2:57" x14ac:dyDescent="0.2">
      <c r="B31" s="12" t="s">
        <v>86</v>
      </c>
      <c r="C31" s="11" t="s">
        <v>57</v>
      </c>
      <c r="D31" s="11">
        <v>0</v>
      </c>
      <c r="E31" s="11">
        <v>0.1041</v>
      </c>
      <c r="F31" s="11">
        <v>2.0204</v>
      </c>
      <c r="G31" s="11">
        <v>0</v>
      </c>
      <c r="H31" s="11">
        <v>0</v>
      </c>
      <c r="I31" s="21">
        <f t="shared" si="0"/>
        <v>2.0204</v>
      </c>
      <c r="J31" s="11">
        <v>1.7210000000000001</v>
      </c>
      <c r="K31" s="11">
        <v>0.38107269195072868</v>
      </c>
      <c r="L31" s="11">
        <v>0.84700559342061721</v>
      </c>
      <c r="M31" s="11">
        <v>434628.32</v>
      </c>
      <c r="N31" s="11">
        <v>354088</v>
      </c>
      <c r="O31" s="11">
        <v>23.587199999999999</v>
      </c>
      <c r="Q31" s="14">
        <v>105.21100300000001</v>
      </c>
      <c r="R31" s="14">
        <v>-6.4122130000000004</v>
      </c>
      <c r="S31" s="14">
        <v>160</v>
      </c>
      <c r="T31" s="14">
        <v>313632.96735400002</v>
      </c>
      <c r="U31" s="14">
        <v>154.036981</v>
      </c>
      <c r="V31" s="14">
        <v>132.85973799999999</v>
      </c>
      <c r="W31" s="14">
        <v>36.488697999999999</v>
      </c>
      <c r="Y31" t="str">
        <f t="shared" si="1"/>
        <v>CA_Gasoline_Gasification_CCS_31_Herb</v>
      </c>
      <c r="Z31" t="str">
        <f t="shared" si="2"/>
        <v>Biomass_Herb</v>
      </c>
      <c r="AA31" s="10">
        <f t="shared" si="3"/>
        <v>155277.5404599366</v>
      </c>
      <c r="AB31" s="10">
        <f t="shared" si="4"/>
        <v>155277.54045993657</v>
      </c>
      <c r="AC31" s="5">
        <f t="shared" si="5"/>
        <v>0</v>
      </c>
      <c r="AD31" s="1">
        <f t="shared" si="6"/>
        <v>0</v>
      </c>
      <c r="AE31" s="1">
        <f t="shared" si="7"/>
        <v>1.8800601176994653</v>
      </c>
      <c r="AF31" s="1">
        <f t="array" ref="AF31">_xlfn.IFS(C31="Biomass_Corn", 1/I31*S31, C31="Biomass_Agri", 1/I31*V31, C31="Biomass_Wood", 1/I31*U31, C31="Biomass_Herb", 1/I31*T31)</f>
        <v>155233.10599584243</v>
      </c>
      <c r="AG31" s="1">
        <f t="shared" si="8"/>
        <v>27.285633770447575</v>
      </c>
      <c r="AH31" s="1">
        <f t="shared" si="9"/>
        <v>22.229374032760315</v>
      </c>
      <c r="AI31" s="1">
        <f t="shared" si="10"/>
        <v>11.674519897050089</v>
      </c>
      <c r="AJ31" s="1">
        <f t="shared" si="11"/>
        <v>-4.1544519174386806E-6</v>
      </c>
      <c r="AK31" s="1">
        <f t="shared" si="12"/>
        <v>-18.634686629763777</v>
      </c>
      <c r="AL31">
        <f t="shared" si="13"/>
        <v>-4.3709405314899683E-4</v>
      </c>
      <c r="AM31" s="1">
        <f t="shared" si="14"/>
        <v>-0.1886166529426761</v>
      </c>
      <c r="AN31" s="1">
        <f t="shared" si="15"/>
        <v>1.2094235147849228</v>
      </c>
      <c r="AO31">
        <f t="shared" si="16"/>
        <v>-19.844547238601855</v>
      </c>
      <c r="AQ31" s="8">
        <f t="shared" si="17"/>
        <v>1.7210000000000001</v>
      </c>
      <c r="AR31" s="8">
        <v>0.243968185</v>
      </c>
      <c r="AS31" s="8">
        <v>0.24942761299999999</v>
      </c>
      <c r="AT31" s="9">
        <v>0.24635668499999999</v>
      </c>
      <c r="AU31" s="8">
        <v>0.23037490999999999</v>
      </c>
      <c r="AW31" s="9">
        <f t="shared" si="18"/>
        <v>1.7210000000000001</v>
      </c>
      <c r="AY31" s="9">
        <f t="shared" si="19"/>
        <v>0.49291332097399998</v>
      </c>
      <c r="AZ31" s="9">
        <f t="shared" si="20"/>
        <v>0</v>
      </c>
      <c r="BA31" s="9">
        <f t="shared" si="21"/>
        <v>0</v>
      </c>
      <c r="BB31" s="9">
        <f t="shared" si="22"/>
        <v>0.84700559342061721</v>
      </c>
      <c r="BC31" s="9">
        <f t="shared" si="23"/>
        <v>0.38107269195072868</v>
      </c>
      <c r="BE31" s="1">
        <f t="shared" si="24"/>
        <v>8.3936546539931101E-6</v>
      </c>
    </row>
    <row r="32" spans="2:57" x14ac:dyDescent="0.2">
      <c r="B32" s="12" t="s">
        <v>87</v>
      </c>
      <c r="C32" s="11" t="s">
        <v>57</v>
      </c>
      <c r="D32" s="11">
        <v>0</v>
      </c>
      <c r="E32" s="11">
        <v>0.1041</v>
      </c>
      <c r="F32" s="11">
        <v>2.0249000000000001</v>
      </c>
      <c r="G32" s="11">
        <v>0</v>
      </c>
      <c r="H32" s="11">
        <v>0</v>
      </c>
      <c r="I32" s="21">
        <f t="shared" si="0"/>
        <v>2.0249000000000001</v>
      </c>
      <c r="J32" s="11">
        <v>1.726</v>
      </c>
      <c r="K32" s="11">
        <v>0.38228784536898192</v>
      </c>
      <c r="L32" s="11">
        <v>0.84970650000318027</v>
      </c>
      <c r="M32" s="11">
        <v>434628.32</v>
      </c>
      <c r="N32" s="11">
        <v>354088</v>
      </c>
      <c r="O32" s="11">
        <v>23.587199999999999</v>
      </c>
      <c r="Q32" s="14">
        <v>105.21100300000001</v>
      </c>
      <c r="R32" s="14">
        <v>-7.3796590000000002</v>
      </c>
      <c r="S32" s="14">
        <v>160</v>
      </c>
      <c r="T32" s="14">
        <v>130.996602</v>
      </c>
      <c r="U32" s="14">
        <v>149.05667199999999</v>
      </c>
      <c r="V32" s="14">
        <v>112.26938</v>
      </c>
      <c r="W32" s="14">
        <v>26.787863000000002</v>
      </c>
      <c r="Y32" t="str">
        <f t="shared" si="1"/>
        <v>NW_Gasoline_Gasification_CCS_31_Herb</v>
      </c>
      <c r="Z32" t="str">
        <f t="shared" si="2"/>
        <v>Biomass_Herb</v>
      </c>
      <c r="AA32" s="10">
        <f t="shared" si="3"/>
        <v>108.65395214368924</v>
      </c>
      <c r="AB32" s="10">
        <f t="shared" si="4"/>
        <v>108.65395214368922</v>
      </c>
      <c r="AC32" s="5">
        <f t="shared" si="5"/>
        <v>0</v>
      </c>
      <c r="AD32" s="1">
        <f t="shared" si="6"/>
        <v>0</v>
      </c>
      <c r="AE32" s="1">
        <f t="shared" si="7"/>
        <v>1.3771625948441899</v>
      </c>
      <c r="AF32" s="1">
        <f t="array" ref="AF32">_xlfn.IFS(C32="Biomass_Corn", 1/I32*S32, C32="Biomass_Agri", 1/I32*V32, C32="Biomass_Wood", 1/I32*U32, C32="Biomass_Herb", 1/I32*T32)</f>
        <v>64.69287470986221</v>
      </c>
      <c r="AG32" s="1">
        <f t="shared" si="8"/>
        <v>27.224996034279357</v>
      </c>
      <c r="AH32" s="1">
        <f t="shared" si="9"/>
        <v>22.179972984240674</v>
      </c>
      <c r="AI32" s="1">
        <f t="shared" si="10"/>
        <v>11.648575238283371</v>
      </c>
      <c r="AJ32" s="1">
        <f t="shared" si="11"/>
        <v>2.7276303334502545E-6</v>
      </c>
      <c r="AK32" s="1">
        <f t="shared" si="12"/>
        <v>-18.469916394543766</v>
      </c>
      <c r="AL32">
        <f t="shared" si="13"/>
        <v>2.8697672319552575E-4</v>
      </c>
      <c r="AM32" s="1">
        <f t="shared" si="14"/>
        <v>-0.18879071667258618</v>
      </c>
      <c r="AN32" s="1">
        <f t="shared" si="15"/>
        <v>1.3932312403910392</v>
      </c>
      <c r="AO32">
        <f t="shared" si="16"/>
        <v>-19.862860658211616</v>
      </c>
      <c r="AQ32" s="8">
        <f t="shared" si="17"/>
        <v>1.726</v>
      </c>
      <c r="AR32" s="8">
        <v>0.243968185</v>
      </c>
      <c r="AS32" s="8">
        <v>0.24942761299999999</v>
      </c>
      <c r="AT32" s="9">
        <v>0.24635668499999999</v>
      </c>
      <c r="AU32" s="8">
        <v>0.23037490999999999</v>
      </c>
      <c r="AW32" s="9">
        <f t="shared" si="18"/>
        <v>1.726</v>
      </c>
      <c r="AY32" s="9">
        <f t="shared" si="19"/>
        <v>0.49401117780650006</v>
      </c>
      <c r="AZ32" s="9">
        <f t="shared" si="20"/>
        <v>0</v>
      </c>
      <c r="BA32" s="9">
        <f t="shared" si="21"/>
        <v>0</v>
      </c>
      <c r="BB32" s="9">
        <f t="shared" si="22"/>
        <v>0.84970650000318027</v>
      </c>
      <c r="BC32" s="9">
        <f t="shared" si="23"/>
        <v>0.38228784536898192</v>
      </c>
      <c r="BE32" s="1">
        <f t="shared" si="24"/>
        <v>-5.5231786622034207E-6</v>
      </c>
    </row>
    <row r="33" spans="2:57" x14ac:dyDescent="0.2">
      <c r="B33" s="12" t="s">
        <v>88</v>
      </c>
      <c r="C33" s="11" t="s">
        <v>57</v>
      </c>
      <c r="D33" s="11">
        <v>0</v>
      </c>
      <c r="E33" s="11">
        <v>0.1041</v>
      </c>
      <c r="F33" s="11">
        <v>2.0114999999999998</v>
      </c>
      <c r="G33" s="11">
        <v>0</v>
      </c>
      <c r="H33" s="11">
        <v>0</v>
      </c>
      <c r="I33" s="21">
        <f t="shared" si="0"/>
        <v>2.0114999999999998</v>
      </c>
      <c r="J33" s="11">
        <v>1.71</v>
      </c>
      <c r="K33" s="11">
        <v>0.37833208511422178</v>
      </c>
      <c r="L33" s="11">
        <v>0.84091408025549075</v>
      </c>
      <c r="M33" s="11">
        <v>434628.32</v>
      </c>
      <c r="N33" s="11">
        <v>354088</v>
      </c>
      <c r="O33" s="11">
        <v>23.587199999999999</v>
      </c>
      <c r="Q33" s="14">
        <v>105.21100300000001</v>
      </c>
      <c r="R33" s="14">
        <v>-14.567418</v>
      </c>
      <c r="S33" s="14">
        <v>160</v>
      </c>
      <c r="T33" s="14">
        <v>120.282189</v>
      </c>
      <c r="U33" s="14">
        <v>137.475031</v>
      </c>
      <c r="V33" s="14">
        <v>107.559866</v>
      </c>
      <c r="W33" s="14">
        <v>27.957547000000002</v>
      </c>
      <c r="Y33" t="str">
        <f t="shared" si="1"/>
        <v>SW_Gasoline_Gasification_CCS_31_Herb</v>
      </c>
      <c r="Z33" t="str">
        <f t="shared" si="2"/>
        <v>Biomass_Herb</v>
      </c>
      <c r="AA33" s="10">
        <f t="shared" si="3"/>
        <v>105.65511816751618</v>
      </c>
      <c r="AB33" s="10">
        <f t="shared" si="4"/>
        <v>105.65511816751618</v>
      </c>
      <c r="AC33" s="5">
        <f t="shared" si="5"/>
        <v>0</v>
      </c>
      <c r="AD33" s="1">
        <f t="shared" si="6"/>
        <v>0</v>
      </c>
      <c r="AE33" s="1">
        <f t="shared" si="7"/>
        <v>1.4468708141685311</v>
      </c>
      <c r="AF33" s="1">
        <f t="array" ref="AF33">_xlfn.IFS(C33="Biomass_Corn", 1/I33*S33, C33="Biomass_Agri", 1/I33*V33, C33="Biomass_Wood", 1/I33*U33, C33="Biomass_Herb", 1/I33*T33)</f>
        <v>59.797260253542142</v>
      </c>
      <c r="AG33" s="1">
        <f t="shared" si="8"/>
        <v>27.406360661104788</v>
      </c>
      <c r="AH33" s="1">
        <f t="shared" si="9"/>
        <v>22.32772920496592</v>
      </c>
      <c r="AI33" s="1">
        <f t="shared" si="10"/>
        <v>11.726174496644296</v>
      </c>
      <c r="AJ33" s="1">
        <f t="shared" si="11"/>
        <v>-5.8814331530764443E-6</v>
      </c>
      <c r="AK33" s="1">
        <f t="shared" si="12"/>
        <v>-17.048658471428386</v>
      </c>
      <c r="AL33">
        <f t="shared" si="13"/>
        <v>-6.1879148111262526E-4</v>
      </c>
      <c r="AM33" s="1">
        <f t="shared" si="14"/>
        <v>-0.18809043779120518</v>
      </c>
      <c r="AN33" s="1">
        <f t="shared" si="15"/>
        <v>2.7399063518123028</v>
      </c>
      <c r="AO33">
        <f t="shared" si="16"/>
        <v>-19.789183614721804</v>
      </c>
      <c r="AQ33" s="8">
        <f t="shared" si="17"/>
        <v>1.71</v>
      </c>
      <c r="AR33" s="8">
        <v>0.243968185</v>
      </c>
      <c r="AS33" s="8">
        <v>0.24942761299999999</v>
      </c>
      <c r="AT33" s="9">
        <v>0.24635668499999999</v>
      </c>
      <c r="AU33" s="8">
        <v>0.23037490999999999</v>
      </c>
      <c r="AW33" s="9">
        <f t="shared" si="18"/>
        <v>1.71</v>
      </c>
      <c r="AY33" s="9">
        <f t="shared" si="19"/>
        <v>0.49074200412749996</v>
      </c>
      <c r="AZ33" s="9">
        <f t="shared" si="20"/>
        <v>0</v>
      </c>
      <c r="BA33" s="9">
        <f t="shared" si="21"/>
        <v>0</v>
      </c>
      <c r="BB33" s="9">
        <f t="shared" si="22"/>
        <v>0.84091408025549075</v>
      </c>
      <c r="BC33" s="9">
        <f t="shared" si="23"/>
        <v>0.37833208511422178</v>
      </c>
      <c r="BE33" s="1">
        <f t="shared" si="24"/>
        <v>1.1830502787413266E-5</v>
      </c>
    </row>
    <row r="34" spans="2:57" x14ac:dyDescent="0.2">
      <c r="B34" s="12" t="s">
        <v>89</v>
      </c>
      <c r="C34" s="11" t="s">
        <v>57</v>
      </c>
      <c r="D34" s="11">
        <v>0</v>
      </c>
      <c r="E34" s="11">
        <v>0.1041</v>
      </c>
      <c r="F34" s="11">
        <v>2.016</v>
      </c>
      <c r="G34" s="11">
        <v>0</v>
      </c>
      <c r="H34" s="11">
        <v>0</v>
      </c>
      <c r="I34" s="21">
        <f t="shared" si="0"/>
        <v>2.016</v>
      </c>
      <c r="J34" s="11">
        <v>1.714</v>
      </c>
      <c r="K34" s="11">
        <v>0.3792369385324752</v>
      </c>
      <c r="L34" s="11">
        <v>0.84292528683805401</v>
      </c>
      <c r="M34" s="11">
        <v>434628.32</v>
      </c>
      <c r="N34" s="11">
        <v>354088</v>
      </c>
      <c r="O34" s="11">
        <v>23.587199999999999</v>
      </c>
      <c r="Q34" s="14">
        <v>105.21100300000001</v>
      </c>
      <c r="R34" s="14">
        <v>-19.477884</v>
      </c>
      <c r="S34" s="14">
        <v>160</v>
      </c>
      <c r="T34" s="14">
        <v>132.95547999999999</v>
      </c>
      <c r="U34" s="14">
        <v>152.57709199999999</v>
      </c>
      <c r="V34" s="14">
        <v>106.67488899999999</v>
      </c>
      <c r="W34" s="14">
        <v>20.174973000000001</v>
      </c>
      <c r="Y34" t="str">
        <f t="shared" si="1"/>
        <v>TX_Gasoline_Gasification_CCS_31_Herb</v>
      </c>
      <c r="Z34" t="str">
        <f t="shared" si="2"/>
        <v>Biomass_Herb</v>
      </c>
      <c r="AA34" s="10">
        <f t="shared" si="3"/>
        <v>112.18753491043073</v>
      </c>
      <c r="AB34" s="10">
        <f t="shared" si="4"/>
        <v>112.18753491043073</v>
      </c>
      <c r="AC34" s="5">
        <f t="shared" si="5"/>
        <v>0</v>
      </c>
      <c r="AD34" s="1">
        <f t="shared" si="6"/>
        <v>0</v>
      </c>
      <c r="AE34" s="1">
        <f t="shared" si="7"/>
        <v>1.0417731593749999</v>
      </c>
      <c r="AF34" s="1">
        <f t="array" ref="AF34">_xlfn.IFS(C34="Biomass_Corn", 1/I34*S34, C34="Biomass_Agri", 1/I34*V34, C34="Biomass_Wood", 1/I34*U34, C34="Biomass_Herb", 1/I34*T34)</f>
        <v>65.950138888888887</v>
      </c>
      <c r="AG34" s="1">
        <f t="shared" si="8"/>
        <v>27.345185748914819</v>
      </c>
      <c r="AH34" s="1">
        <f t="shared" si="9"/>
        <v>22.27789052370483</v>
      </c>
      <c r="AI34" s="1">
        <f t="shared" si="10"/>
        <v>11.7</v>
      </c>
      <c r="AJ34" s="1">
        <f t="shared" si="11"/>
        <v>1.034886175211981E-6</v>
      </c>
      <c r="AK34" s="1">
        <f t="shared" si="12"/>
        <v>-16.127562291865271</v>
      </c>
      <c r="AL34">
        <f t="shared" si="13"/>
        <v>1.0888141248488626E-4</v>
      </c>
      <c r="AM34" s="1">
        <f t="shared" si="14"/>
        <v>-0.18811252589382241</v>
      </c>
      <c r="AN34" s="1">
        <f t="shared" si="15"/>
        <v>3.6640541156997428</v>
      </c>
      <c r="AO34">
        <f t="shared" si="16"/>
        <v>-19.791507526152529</v>
      </c>
      <c r="AQ34" s="8">
        <f t="shared" si="17"/>
        <v>1.714</v>
      </c>
      <c r="AR34" s="8">
        <v>0.243968185</v>
      </c>
      <c r="AS34" s="8">
        <v>0.24942761299999999</v>
      </c>
      <c r="AT34" s="9">
        <v>0.24635668499999999</v>
      </c>
      <c r="AU34" s="8">
        <v>0.23037490999999999</v>
      </c>
      <c r="AW34" s="9">
        <f t="shared" si="18"/>
        <v>1.714</v>
      </c>
      <c r="AY34" s="9">
        <f t="shared" si="19"/>
        <v>0.49183986095999999</v>
      </c>
      <c r="AZ34" s="9">
        <f t="shared" si="20"/>
        <v>0</v>
      </c>
      <c r="BA34" s="9">
        <f t="shared" si="21"/>
        <v>0</v>
      </c>
      <c r="BB34" s="9">
        <f t="shared" si="22"/>
        <v>0.84292528683805401</v>
      </c>
      <c r="BC34" s="9">
        <f t="shared" si="23"/>
        <v>0.3792369385324752</v>
      </c>
      <c r="BE34" s="1">
        <f t="shared" si="24"/>
        <v>-2.0863305292273537E-6</v>
      </c>
    </row>
    <row r="35" spans="2:57" x14ac:dyDescent="0.2">
      <c r="B35" s="12" t="s">
        <v>90</v>
      </c>
      <c r="C35" s="11" t="s">
        <v>57</v>
      </c>
      <c r="D35" s="11">
        <v>0</v>
      </c>
      <c r="E35" s="11">
        <v>0.1041</v>
      </c>
      <c r="F35" s="11">
        <v>2.0371000000000001</v>
      </c>
      <c r="G35" s="11">
        <v>0</v>
      </c>
      <c r="H35" s="11">
        <v>0</v>
      </c>
      <c r="I35" s="21">
        <f t="shared" si="0"/>
        <v>2.0371000000000001</v>
      </c>
      <c r="J35" s="11">
        <v>1.74</v>
      </c>
      <c r="K35" s="11">
        <v>0.38570709226917882</v>
      </c>
      <c r="L35" s="11">
        <v>0.85730641810522912</v>
      </c>
      <c r="M35" s="11">
        <v>434628.32</v>
      </c>
      <c r="N35" s="11">
        <v>354088</v>
      </c>
      <c r="O35" s="11">
        <v>23.587199999999999</v>
      </c>
      <c r="Q35" s="14">
        <v>105.21100300000001</v>
      </c>
      <c r="R35" s="14">
        <v>-39.686463000000003</v>
      </c>
      <c r="S35" s="14">
        <v>160</v>
      </c>
      <c r="T35" s="14">
        <v>100.757654</v>
      </c>
      <c r="U35" s="14">
        <v>111.990773</v>
      </c>
      <c r="V35" s="14">
        <v>89.243781999999996</v>
      </c>
      <c r="W35" s="14">
        <v>30.713950000000001</v>
      </c>
      <c r="Y35" t="str">
        <f t="shared" si="1"/>
        <v>NCEN_Gasoline_Gasification_CCS_31_Herb</v>
      </c>
      <c r="Z35" t="str">
        <f t="shared" si="2"/>
        <v>Biomass_Herb</v>
      </c>
      <c r="AA35" s="10">
        <f t="shared" si="3"/>
        <v>99.312323352323091</v>
      </c>
      <c r="AB35" s="10">
        <f t="shared" si="4"/>
        <v>99.312323352323105</v>
      </c>
      <c r="AC35" s="5">
        <f t="shared" si="5"/>
        <v>0</v>
      </c>
      <c r="AD35" s="1">
        <f t="shared" si="6"/>
        <v>0</v>
      </c>
      <c r="AE35" s="1">
        <f t="shared" si="7"/>
        <v>1.5695460188503263</v>
      </c>
      <c r="AF35" s="1">
        <f t="array" ref="AF35">_xlfn.IFS(C35="Biomass_Corn", 1/I35*S35, C35="Biomass_Agri", 1/I35*V35, C35="Biomass_Wood", 1/I35*U35, C35="Biomass_Herb", 1/I35*T35)</f>
        <v>49.461319522851113</v>
      </c>
      <c r="AG35" s="1">
        <f t="shared" si="8"/>
        <v>27.061948097693918</v>
      </c>
      <c r="AH35" s="1">
        <f t="shared" si="9"/>
        <v>22.04713921544791</v>
      </c>
      <c r="AI35" s="1">
        <f t="shared" si="10"/>
        <v>11.5788130185067</v>
      </c>
      <c r="AJ35" s="1">
        <f t="shared" si="11"/>
        <v>5.4000191835214864E-7</v>
      </c>
      <c r="AK35" s="1">
        <f t="shared" si="12"/>
        <v>-12.40649933517034</v>
      </c>
      <c r="AL35">
        <f t="shared" si="13"/>
        <v>5.6814143451753672E-5</v>
      </c>
      <c r="AM35" s="1">
        <f t="shared" si="14"/>
        <v>-0.18934072565474</v>
      </c>
      <c r="AN35" s="1">
        <f t="shared" si="15"/>
        <v>7.514285133856144</v>
      </c>
      <c r="AO35">
        <f t="shared" si="16"/>
        <v>-19.920727654883027</v>
      </c>
      <c r="AQ35" s="8">
        <f t="shared" si="17"/>
        <v>1.74</v>
      </c>
      <c r="AR35" s="8">
        <v>0.243968185</v>
      </c>
      <c r="AS35" s="8">
        <v>0.24942761299999999</v>
      </c>
      <c r="AT35" s="9">
        <v>0.24635668499999999</v>
      </c>
      <c r="AU35" s="8">
        <v>0.23037490999999999</v>
      </c>
      <c r="AW35" s="9">
        <f t="shared" si="18"/>
        <v>1.74</v>
      </c>
      <c r="AY35" s="9">
        <f t="shared" si="19"/>
        <v>0.49698758966350004</v>
      </c>
      <c r="AZ35" s="9">
        <f t="shared" si="20"/>
        <v>0</v>
      </c>
      <c r="BA35" s="9">
        <f t="shared" si="21"/>
        <v>0</v>
      </c>
      <c r="BB35" s="9">
        <f t="shared" si="22"/>
        <v>0.85730641810522912</v>
      </c>
      <c r="BC35" s="9">
        <f t="shared" si="23"/>
        <v>0.38570709226917882</v>
      </c>
      <c r="BE35" s="1">
        <f t="shared" si="24"/>
        <v>-1.1000379078751621E-6</v>
      </c>
    </row>
    <row r="36" spans="2:57" x14ac:dyDescent="0.2">
      <c r="B36" s="12" t="s">
        <v>91</v>
      </c>
      <c r="C36" s="11" t="s">
        <v>57</v>
      </c>
      <c r="D36" s="11">
        <v>0</v>
      </c>
      <c r="E36" s="11">
        <v>0.1041</v>
      </c>
      <c r="F36" s="11">
        <v>2.0249000000000001</v>
      </c>
      <c r="G36" s="11">
        <v>0</v>
      </c>
      <c r="H36" s="11">
        <v>0</v>
      </c>
      <c r="I36" s="21">
        <f t="shared" si="0"/>
        <v>2.0249000000000001</v>
      </c>
      <c r="J36" s="11">
        <v>1.7230000000000001</v>
      </c>
      <c r="K36" s="11">
        <v>0.38135694536898201</v>
      </c>
      <c r="L36" s="11">
        <v>0.84763740000318055</v>
      </c>
      <c r="M36" s="11">
        <v>434628.32</v>
      </c>
      <c r="N36" s="11">
        <v>354088</v>
      </c>
      <c r="O36" s="11">
        <v>23.587199999999999</v>
      </c>
      <c r="Q36" s="14">
        <v>105.21100300000001</v>
      </c>
      <c r="R36" s="14">
        <v>-29.672038000000001</v>
      </c>
      <c r="S36" s="14">
        <v>160</v>
      </c>
      <c r="T36" s="14">
        <v>107.027154</v>
      </c>
      <c r="U36" s="14">
        <v>122.865223</v>
      </c>
      <c r="V36" s="14">
        <v>94.404420999999999</v>
      </c>
      <c r="W36" s="14">
        <v>25.118154000000001</v>
      </c>
      <c r="Y36" t="str">
        <f t="shared" si="1"/>
        <v>CEN_Gasoline_Gasification_CCS_31_Herb</v>
      </c>
      <c r="Z36" t="str">
        <f t="shared" si="2"/>
        <v>Biomass_Herb</v>
      </c>
      <c r="AA36" s="10">
        <f t="shared" si="3"/>
        <v>100.97414575901703</v>
      </c>
      <c r="AB36" s="10">
        <f t="shared" si="4"/>
        <v>100.97414575901705</v>
      </c>
      <c r="AC36" s="5">
        <f t="shared" si="5"/>
        <v>0</v>
      </c>
      <c r="AD36" s="1">
        <f t="shared" si="6"/>
        <v>0</v>
      </c>
      <c r="AE36" s="1">
        <f t="shared" si="7"/>
        <v>1.2913229450343227</v>
      </c>
      <c r="AF36" s="1">
        <f t="array" ref="AF36">_xlfn.IFS(C36="Biomass_Corn", 1/I36*S36, C36="Biomass_Agri", 1/I36*V36, C36="Biomass_Wood", 1/I36*U36, C36="Biomass_Herb", 1/I36*T36)</f>
        <v>52.855525704973076</v>
      </c>
      <c r="AG36" s="1">
        <f t="shared" si="8"/>
        <v>27.224996034279357</v>
      </c>
      <c r="AH36" s="1">
        <f t="shared" si="9"/>
        <v>22.179972984240674</v>
      </c>
      <c r="AI36" s="1">
        <f t="shared" si="10"/>
        <v>11.648575238283371</v>
      </c>
      <c r="AJ36" s="1">
        <f t="shared" si="11"/>
        <v>2.7276303336695687E-6</v>
      </c>
      <c r="AK36" s="1">
        <f t="shared" si="12"/>
        <v>-14.226534124516984</v>
      </c>
      <c r="AL36">
        <f t="shared" si="13"/>
        <v>2.8697672321860001E-4</v>
      </c>
      <c r="AM36" s="1">
        <f t="shared" si="14"/>
        <v>-0.1883309902663437</v>
      </c>
      <c r="AN36" s="1">
        <f t="shared" si="15"/>
        <v>5.5882452341114908</v>
      </c>
      <c r="AO36">
        <f t="shared" si="16"/>
        <v>-19.814492381905257</v>
      </c>
      <c r="AQ36" s="8">
        <f t="shared" si="17"/>
        <v>1.7230000000000001</v>
      </c>
      <c r="AR36" s="8">
        <v>0.243968185</v>
      </c>
      <c r="AS36" s="8">
        <v>0.24942761299999999</v>
      </c>
      <c r="AT36" s="9">
        <v>0.24635668499999999</v>
      </c>
      <c r="AU36" s="8">
        <v>0.23037490999999999</v>
      </c>
      <c r="AW36" s="9">
        <f t="shared" si="18"/>
        <v>1.7230000000000001</v>
      </c>
      <c r="AY36" s="9">
        <f t="shared" si="19"/>
        <v>0.49401117780650006</v>
      </c>
      <c r="AZ36" s="9">
        <f t="shared" si="20"/>
        <v>0</v>
      </c>
      <c r="BA36" s="9">
        <f t="shared" si="21"/>
        <v>0</v>
      </c>
      <c r="BB36" s="9">
        <f t="shared" si="22"/>
        <v>0.84763740000318055</v>
      </c>
      <c r="BC36" s="9">
        <f t="shared" si="23"/>
        <v>0.38135694536898201</v>
      </c>
      <c r="BE36" s="1">
        <f t="shared" si="24"/>
        <v>-5.5231786626475099E-6</v>
      </c>
    </row>
    <row r="37" spans="2:57" x14ac:dyDescent="0.2">
      <c r="B37" s="12" t="s">
        <v>92</v>
      </c>
      <c r="C37" s="11" t="s">
        <v>57</v>
      </c>
      <c r="D37" s="11">
        <v>0</v>
      </c>
      <c r="E37" s="11">
        <v>0.1041</v>
      </c>
      <c r="F37" s="11">
        <v>2.0215000000000001</v>
      </c>
      <c r="G37" s="11">
        <v>0</v>
      </c>
      <c r="H37" s="11">
        <v>0</v>
      </c>
      <c r="I37" s="21">
        <f t="shared" si="0"/>
        <v>2.0215000000000001</v>
      </c>
      <c r="J37" s="11">
        <v>1.7170000000000001</v>
      </c>
      <c r="K37" s="11">
        <v>0.379747405305292</v>
      </c>
      <c r="L37" s="11">
        <v>0.84405989506625811</v>
      </c>
      <c r="M37" s="11">
        <v>434628.32</v>
      </c>
      <c r="N37" s="11">
        <v>354088</v>
      </c>
      <c r="O37" s="11">
        <v>23.587199999999999</v>
      </c>
      <c r="Q37" s="14">
        <v>105.21100300000001</v>
      </c>
      <c r="R37" s="14">
        <v>-45.510345000000001</v>
      </c>
      <c r="S37" s="14">
        <v>160</v>
      </c>
      <c r="T37" s="14">
        <v>97.593261999999996</v>
      </c>
      <c r="U37" s="14">
        <v>109.791234</v>
      </c>
      <c r="V37" s="14">
        <v>86.911507</v>
      </c>
      <c r="W37" s="14">
        <v>38.099075999999997</v>
      </c>
      <c r="Y37" t="str">
        <f t="shared" si="1"/>
        <v>SE_Gasoline_Gasification_CCS_31_Herb</v>
      </c>
      <c r="Z37" t="str">
        <f t="shared" si="2"/>
        <v>Biomass_Herb</v>
      </c>
      <c r="AA37" s="10">
        <f t="shared" si="3"/>
        <v>100.18024677191167</v>
      </c>
      <c r="AB37" s="10">
        <f t="shared" si="4"/>
        <v>100.18024677191167</v>
      </c>
      <c r="AC37" s="5">
        <f t="shared" si="5"/>
        <v>0</v>
      </c>
      <c r="AD37" s="1">
        <f t="shared" si="6"/>
        <v>0</v>
      </c>
      <c r="AE37" s="1">
        <f t="shared" si="7"/>
        <v>1.9619657737323768</v>
      </c>
      <c r="AF37" s="1">
        <f t="array" ref="AF37">_xlfn.IFS(C37="Biomass_Corn", 1/I37*S37, C37="Biomass_Agri", 1/I37*V37, C37="Biomass_Wood", 1/I37*U37, C37="Biomass_Herb", 1/I37*T37)</f>
        <v>48.277646302250801</v>
      </c>
      <c r="AG37" s="1">
        <f t="shared" si="8"/>
        <v>27.270786282370654</v>
      </c>
      <c r="AH37" s="1">
        <f t="shared" si="9"/>
        <v>22.217277910358121</v>
      </c>
      <c r="AI37" s="1">
        <f t="shared" si="10"/>
        <v>11.668167202572347</v>
      </c>
      <c r="AJ37" s="1">
        <f t="shared" si="11"/>
        <v>-5.4482567152655192E-6</v>
      </c>
      <c r="AK37" s="1">
        <f t="shared" si="12"/>
        <v>-11.215023482819008</v>
      </c>
      <c r="AL37">
        <f t="shared" si="13"/>
        <v>-5.7321655361457073E-4</v>
      </c>
      <c r="AM37" s="1">
        <f t="shared" si="14"/>
        <v>-0.18785971751483649</v>
      </c>
      <c r="AN37" s="1">
        <f t="shared" si="15"/>
        <v>8.54931260365999</v>
      </c>
      <c r="AO37">
        <f t="shared" si="16"/>
        <v>-19.764909303032617</v>
      </c>
      <c r="AQ37" s="8">
        <f t="shared" si="17"/>
        <v>1.7170000000000001</v>
      </c>
      <c r="AR37" s="8">
        <v>0.243968185</v>
      </c>
      <c r="AS37" s="8">
        <v>0.24942761299999999</v>
      </c>
      <c r="AT37" s="9">
        <v>0.24635668499999999</v>
      </c>
      <c r="AU37" s="8">
        <v>0.23037490999999999</v>
      </c>
      <c r="AW37" s="9">
        <f t="shared" si="18"/>
        <v>1.7170000000000001</v>
      </c>
      <c r="AY37" s="9">
        <f t="shared" si="19"/>
        <v>0.49318168597750001</v>
      </c>
      <c r="AZ37" s="9">
        <f t="shared" si="20"/>
        <v>0</v>
      </c>
      <c r="BA37" s="9">
        <f t="shared" si="21"/>
        <v>0</v>
      </c>
      <c r="BB37" s="9">
        <f t="shared" si="22"/>
        <v>0.84405989506625811</v>
      </c>
      <c r="BC37" s="9">
        <f t="shared" si="23"/>
        <v>0.379747405305292</v>
      </c>
      <c r="BE37" s="1">
        <f t="shared" si="24"/>
        <v>1.1013650949909248E-5</v>
      </c>
    </row>
    <row r="38" spans="2:57" x14ac:dyDescent="0.2">
      <c r="B38" s="12" t="s">
        <v>93</v>
      </c>
      <c r="C38" s="11" t="s">
        <v>57</v>
      </c>
      <c r="D38" s="11">
        <v>0</v>
      </c>
      <c r="E38" s="11">
        <v>0.1041</v>
      </c>
      <c r="F38" s="11">
        <v>2.0327000000000002</v>
      </c>
      <c r="G38" s="11">
        <v>0</v>
      </c>
      <c r="H38" s="11">
        <v>0</v>
      </c>
      <c r="I38" s="21">
        <f t="shared" si="0"/>
        <v>2.0327000000000002</v>
      </c>
      <c r="J38" s="11">
        <v>1.736</v>
      </c>
      <c r="K38" s="11">
        <v>0.3848022388509254</v>
      </c>
      <c r="L38" s="11">
        <v>0.85529521152266585</v>
      </c>
      <c r="M38" s="11">
        <v>434628.32</v>
      </c>
      <c r="N38" s="11">
        <v>354088</v>
      </c>
      <c r="O38" s="11">
        <v>23.587199999999999</v>
      </c>
      <c r="Q38" s="14">
        <v>105.21100300000001</v>
      </c>
      <c r="R38" s="14">
        <v>-50.334515000000003</v>
      </c>
      <c r="S38" s="14">
        <v>160</v>
      </c>
      <c r="T38" s="14">
        <v>98.707491000000005</v>
      </c>
      <c r="U38" s="14">
        <v>106.53195700000001</v>
      </c>
      <c r="V38" s="14">
        <v>87.469328000000004</v>
      </c>
      <c r="W38" s="14">
        <v>39.29871</v>
      </c>
      <c r="Y38" t="str">
        <f t="shared" si="1"/>
        <v>MIDAT_Gasoline_Gasification_CCS_31_Herb</v>
      </c>
      <c r="Z38" t="str">
        <f t="shared" si="2"/>
        <v>Biomass_Herb</v>
      </c>
      <c r="AA38" s="10">
        <f t="shared" si="3"/>
        <v>101.00380350261693</v>
      </c>
      <c r="AB38" s="10">
        <f t="shared" si="4"/>
        <v>101.00380350261695</v>
      </c>
      <c r="AC38" s="5">
        <f t="shared" si="5"/>
        <v>0</v>
      </c>
      <c r="AD38" s="1">
        <f t="shared" si="6"/>
        <v>0</v>
      </c>
      <c r="AE38" s="1">
        <f t="shared" si="7"/>
        <v>2.0125919766812612</v>
      </c>
      <c r="AF38" s="1">
        <f t="array" ref="AF38">_xlfn.IFS(C38="Biomass_Corn", 1/I38*S38, C38="Biomass_Agri", 1/I38*V38, C38="Biomass_Wood", 1/I38*U38, C38="Biomass_Herb", 1/I38*T38)</f>
        <v>48.559792886308848</v>
      </c>
      <c r="AG38" s="1">
        <f t="shared" si="8"/>
        <v>27.120526624594024</v>
      </c>
      <c r="AH38" s="1">
        <f t="shared" si="9"/>
        <v>22.094862643670453</v>
      </c>
      <c r="AI38" s="1">
        <f t="shared" si="10"/>
        <v>11.603876617307028</v>
      </c>
      <c r="AJ38" s="1">
        <f t="shared" si="11"/>
        <v>5.6968677578185026E-6</v>
      </c>
      <c r="AK38" s="1">
        <f t="shared" si="12"/>
        <v>-10.388446619115435</v>
      </c>
      <c r="AL38">
        <f t="shared" si="13"/>
        <v>5.9937317075844574E-4</v>
      </c>
      <c r="AM38" s="1">
        <f t="shared" si="14"/>
        <v>-0.18930026999942637</v>
      </c>
      <c r="AN38" s="1">
        <f t="shared" si="15"/>
        <v>9.5286240288657886</v>
      </c>
      <c r="AO38">
        <f t="shared" si="16"/>
        <v>-19.916471274810458</v>
      </c>
      <c r="AQ38" s="8">
        <f t="shared" si="17"/>
        <v>1.736</v>
      </c>
      <c r="AR38" s="8">
        <v>0.243968185</v>
      </c>
      <c r="AS38" s="8">
        <v>0.24942761299999999</v>
      </c>
      <c r="AT38" s="9">
        <v>0.24635668499999999</v>
      </c>
      <c r="AU38" s="8">
        <v>0.23037490999999999</v>
      </c>
      <c r="AW38" s="9">
        <f t="shared" si="18"/>
        <v>1.736</v>
      </c>
      <c r="AY38" s="9">
        <f t="shared" si="19"/>
        <v>0.49591412964950005</v>
      </c>
      <c r="AZ38" s="9">
        <f t="shared" si="20"/>
        <v>0</v>
      </c>
      <c r="BA38" s="9">
        <f t="shared" si="21"/>
        <v>0</v>
      </c>
      <c r="BB38" s="9">
        <f t="shared" si="22"/>
        <v>0.85529521152266585</v>
      </c>
      <c r="BC38" s="9">
        <f t="shared" si="23"/>
        <v>0.3848022388509254</v>
      </c>
      <c r="BE38" s="1">
        <f t="shared" si="24"/>
        <v>-1.158002309131767E-5</v>
      </c>
    </row>
    <row r="39" spans="2:57" x14ac:dyDescent="0.2">
      <c r="B39" s="12" t="s">
        <v>94</v>
      </c>
      <c r="C39" s="11" t="s">
        <v>57</v>
      </c>
      <c r="D39" s="11">
        <v>0</v>
      </c>
      <c r="E39" s="11">
        <v>0.1041</v>
      </c>
      <c r="F39" s="11">
        <v>2.0404</v>
      </c>
      <c r="G39" s="11">
        <v>0</v>
      </c>
      <c r="H39" s="11">
        <v>0</v>
      </c>
      <c r="I39" s="21">
        <f t="shared" si="0"/>
        <v>2.0404</v>
      </c>
      <c r="J39" s="11">
        <v>1.7450000000000001</v>
      </c>
      <c r="K39" s="11">
        <v>0.38700633233286891</v>
      </c>
      <c r="L39" s="11">
        <v>0.86019422304215165</v>
      </c>
      <c r="M39" s="11">
        <v>434628.32</v>
      </c>
      <c r="N39" s="11">
        <v>354088</v>
      </c>
      <c r="O39" s="11">
        <v>23.587199999999999</v>
      </c>
      <c r="Q39" s="14">
        <v>105.21100300000001</v>
      </c>
      <c r="R39" s="14">
        <v>-58.833413</v>
      </c>
      <c r="S39" s="14">
        <v>160</v>
      </c>
      <c r="T39" s="14">
        <v>99.493746999999999</v>
      </c>
      <c r="U39" s="14">
        <v>105.21395800000001</v>
      </c>
      <c r="V39" s="14">
        <v>89.700445000000002</v>
      </c>
      <c r="W39" s="14">
        <v>47.365060999999997</v>
      </c>
      <c r="Y39" t="str">
        <f t="shared" si="1"/>
        <v>NE_Gasoline_Gasification_CCS_31_Herb</v>
      </c>
      <c r="Z39" t="str">
        <f t="shared" si="2"/>
        <v>Biomass_Herb</v>
      </c>
      <c r="AA39" s="10">
        <f t="shared" si="3"/>
        <v>102.97129944429568</v>
      </c>
      <c r="AB39" s="10">
        <f t="shared" si="4"/>
        <v>102.97129944429567</v>
      </c>
      <c r="AC39" s="5">
        <f t="shared" si="5"/>
        <v>0</v>
      </c>
      <c r="AD39" s="1">
        <f t="shared" si="6"/>
        <v>0</v>
      </c>
      <c r="AE39" s="1">
        <f t="shared" si="7"/>
        <v>2.4165373701725152</v>
      </c>
      <c r="AF39" s="1">
        <f t="array" ref="AF39">_xlfn.IFS(C39="Biomass_Corn", 1/I39*S39, C39="Biomass_Agri", 1/I39*V39, C39="Biomass_Wood", 1/I39*U39, C39="Biomass_Herb", 1/I39*T39)</f>
        <v>48.761883454224659</v>
      </c>
      <c r="AG39" s="1">
        <f t="shared" si="8"/>
        <v>27.018179998927796</v>
      </c>
      <c r="AH39" s="1">
        <f t="shared" si="9"/>
        <v>22.011481717206891</v>
      </c>
      <c r="AI39" s="1">
        <f t="shared" si="10"/>
        <v>11.560086257596549</v>
      </c>
      <c r="AJ39" s="1">
        <f t="shared" si="11"/>
        <v>-3.3130518424961594E-6</v>
      </c>
      <c r="AK39" s="1">
        <f t="shared" si="12"/>
        <v>-8.7965207843253967</v>
      </c>
      <c r="AL39">
        <f t="shared" si="13"/>
        <v>-3.4856950734001897E-4</v>
      </c>
      <c r="AM39" s="1">
        <f t="shared" si="14"/>
        <v>-0.18967510894130973</v>
      </c>
      <c r="AN39" s="1">
        <f t="shared" si="15"/>
        <v>11.159039102016727</v>
      </c>
      <c r="AO39">
        <f t="shared" si="16"/>
        <v>-19.955908455849467</v>
      </c>
      <c r="AQ39" s="8">
        <f t="shared" si="17"/>
        <v>1.7450000000000001</v>
      </c>
      <c r="AR39" s="8">
        <v>0.243968185</v>
      </c>
      <c r="AS39" s="8">
        <v>0.24942761299999999</v>
      </c>
      <c r="AT39" s="9">
        <v>0.24635668499999999</v>
      </c>
      <c r="AU39" s="8">
        <v>0.23037490999999999</v>
      </c>
      <c r="AW39" s="9">
        <f t="shared" si="18"/>
        <v>1.7450000000000001</v>
      </c>
      <c r="AY39" s="9">
        <f t="shared" si="19"/>
        <v>0.49779268467400001</v>
      </c>
      <c r="AZ39" s="9">
        <f t="shared" si="20"/>
        <v>0</v>
      </c>
      <c r="BA39" s="9">
        <f t="shared" si="21"/>
        <v>0</v>
      </c>
      <c r="BB39" s="9">
        <f t="shared" si="22"/>
        <v>0.86019422304215165</v>
      </c>
      <c r="BC39" s="9">
        <f t="shared" si="23"/>
        <v>0.38700633233286891</v>
      </c>
      <c r="BE39" s="1">
        <f t="shared" si="24"/>
        <v>6.7599509794291635E-6</v>
      </c>
    </row>
    <row r="40" spans="2:57" x14ac:dyDescent="0.2">
      <c r="B40" s="12" t="s">
        <v>95</v>
      </c>
      <c r="C40" s="11" t="s">
        <v>67</v>
      </c>
      <c r="D40" s="11">
        <v>0</v>
      </c>
      <c r="E40" s="11">
        <v>0.1041</v>
      </c>
      <c r="F40" s="11">
        <v>2.1503999999999999</v>
      </c>
      <c r="G40" s="11">
        <v>0</v>
      </c>
      <c r="H40" s="11">
        <v>0</v>
      </c>
      <c r="I40" s="21">
        <f t="shared" si="0"/>
        <v>2.1503999999999999</v>
      </c>
      <c r="J40" s="11">
        <v>1.843</v>
      </c>
      <c r="K40" s="11">
        <v>0.40909115443464028</v>
      </c>
      <c r="L40" s="11">
        <v>0.90928188596059079</v>
      </c>
      <c r="M40" s="11">
        <v>434628.32</v>
      </c>
      <c r="N40" s="11">
        <v>354088</v>
      </c>
      <c r="O40" s="11">
        <v>23.587199999999999</v>
      </c>
      <c r="Q40" s="14">
        <v>105.21100300000001</v>
      </c>
      <c r="R40" s="14">
        <v>-6.4122130000000004</v>
      </c>
      <c r="S40" s="14">
        <v>160</v>
      </c>
      <c r="T40" s="14">
        <v>313632.96735400002</v>
      </c>
      <c r="U40" s="14">
        <v>154.036981</v>
      </c>
      <c r="V40" s="14">
        <v>132.85973799999999</v>
      </c>
      <c r="W40" s="14">
        <v>36.488697999999999</v>
      </c>
      <c r="Y40" t="str">
        <f t="shared" si="1"/>
        <v>CA_Gasoline_Gasification_CCS_31_Wood</v>
      </c>
      <c r="Z40" t="str">
        <f t="shared" si="2"/>
        <v>Biomass_Wood</v>
      </c>
      <c r="AA40" s="10">
        <f t="shared" si="3"/>
        <v>112.09323814552876</v>
      </c>
      <c r="AB40" s="10">
        <f t="shared" si="4"/>
        <v>112.09323814552874</v>
      </c>
      <c r="AC40" s="5">
        <f t="shared" si="5"/>
        <v>0</v>
      </c>
      <c r="AD40" s="1">
        <f t="shared" si="6"/>
        <v>0</v>
      </c>
      <c r="AE40" s="1">
        <f t="shared" si="7"/>
        <v>1.7664032095424109</v>
      </c>
      <c r="AF40" s="1">
        <f t="array" ref="AF40">_xlfn.IFS(C40="Biomass_Corn", 1/I40*S40, C40="Biomass_Agri", 1/I40*V40, C40="Biomass_Wood", 1/I40*U40, C40="Biomass_Herb", 1/I40*T40)</f>
        <v>71.631780598958329</v>
      </c>
      <c r="AG40" s="1">
        <f t="shared" si="8"/>
        <v>25.636111639607648</v>
      </c>
      <c r="AH40" s="1">
        <f t="shared" si="9"/>
        <v>20.88552236597328</v>
      </c>
      <c r="AI40" s="1">
        <f t="shared" si="10"/>
        <v>10.96875</v>
      </c>
      <c r="AJ40" s="1">
        <f t="shared" si="11"/>
        <v>1.0348861751844458E-6</v>
      </c>
      <c r="AK40" s="1">
        <f t="shared" si="12"/>
        <v>-18.795438549965404</v>
      </c>
      <c r="AL40">
        <f t="shared" si="13"/>
        <v>1.0888141248198926E-4</v>
      </c>
      <c r="AM40" s="1">
        <f t="shared" si="14"/>
        <v>-0.19023852725790977</v>
      </c>
      <c r="AN40" s="1">
        <f t="shared" si="15"/>
        <v>1.2198565934946095</v>
      </c>
      <c r="AO40">
        <f t="shared" si="16"/>
        <v>-20.015186262047528</v>
      </c>
      <c r="AQ40" s="8">
        <f t="shared" si="17"/>
        <v>1.843</v>
      </c>
      <c r="AR40" s="8">
        <v>0.243968185</v>
      </c>
      <c r="AS40" s="8">
        <v>0.24942761299999999</v>
      </c>
      <c r="AT40" s="9">
        <v>0.24635668499999999</v>
      </c>
      <c r="AU40" s="8">
        <v>0.23037490999999999</v>
      </c>
      <c r="AW40" s="9">
        <f t="shared" si="18"/>
        <v>1.843</v>
      </c>
      <c r="AY40" s="9">
        <f t="shared" si="19"/>
        <v>0.52462918502400002</v>
      </c>
      <c r="AZ40" s="9">
        <f t="shared" si="20"/>
        <v>0</v>
      </c>
      <c r="BA40" s="9">
        <f t="shared" si="21"/>
        <v>0</v>
      </c>
      <c r="BB40" s="9">
        <f t="shared" si="22"/>
        <v>0.90928188596059079</v>
      </c>
      <c r="BC40" s="9">
        <f t="shared" si="23"/>
        <v>0.40909115443464028</v>
      </c>
      <c r="BE40" s="1">
        <f t="shared" si="24"/>
        <v>-2.2254192311166321E-6</v>
      </c>
    </row>
    <row r="41" spans="2:57" x14ac:dyDescent="0.2">
      <c r="B41" s="12" t="s">
        <v>96</v>
      </c>
      <c r="C41" s="11" t="s">
        <v>67</v>
      </c>
      <c r="D41" s="11">
        <v>0</v>
      </c>
      <c r="E41" s="11">
        <v>0.1041</v>
      </c>
      <c r="F41" s="11">
        <v>2.1459000000000001</v>
      </c>
      <c r="G41" s="11">
        <v>0</v>
      </c>
      <c r="H41" s="11">
        <v>0</v>
      </c>
      <c r="I41" s="21">
        <f t="shared" si="0"/>
        <v>2.1459000000000001</v>
      </c>
      <c r="J41" s="11">
        <v>1.8180000000000001</v>
      </c>
      <c r="K41" s="11">
        <v>0.40167000101638689</v>
      </c>
      <c r="L41" s="11">
        <v>0.89278697937802776</v>
      </c>
      <c r="M41" s="11">
        <v>434628.32</v>
      </c>
      <c r="N41" s="11">
        <v>354088</v>
      </c>
      <c r="O41" s="11">
        <v>23.587199999999999</v>
      </c>
      <c r="Q41" s="14">
        <v>105.21100300000001</v>
      </c>
      <c r="R41" s="14">
        <v>-7.3796590000000002</v>
      </c>
      <c r="S41" s="14">
        <v>160</v>
      </c>
      <c r="T41" s="14">
        <v>130.996602</v>
      </c>
      <c r="U41" s="14">
        <v>149.05667199999999</v>
      </c>
      <c r="V41" s="14">
        <v>112.26938</v>
      </c>
      <c r="W41" s="14">
        <v>26.787863000000002</v>
      </c>
      <c r="Y41" t="str">
        <f t="shared" si="1"/>
        <v>NW_Gasoline_Gasification_CCS_31_Wood</v>
      </c>
      <c r="Z41" t="str">
        <f t="shared" si="2"/>
        <v>Biomass_Wood</v>
      </c>
      <c r="AA41" s="10">
        <f t="shared" si="3"/>
        <v>110.05893293936543</v>
      </c>
      <c r="AB41" s="10">
        <f t="shared" si="4"/>
        <v>110.05893293936543</v>
      </c>
      <c r="AC41" s="5">
        <f t="shared" si="5"/>
        <v>0</v>
      </c>
      <c r="AD41" s="1">
        <f t="shared" si="6"/>
        <v>0</v>
      </c>
      <c r="AE41" s="1">
        <f t="shared" si="7"/>
        <v>1.2995090816440655</v>
      </c>
      <c r="AF41" s="1">
        <f t="array" ref="AF41">_xlfn.IFS(C41="Biomass_Corn", 1/I41*S41, C41="Biomass_Agri", 1/I41*V41, C41="Biomass_Wood", 1/I41*U41, C41="Biomass_Herb", 1/I41*T41)</f>
        <v>69.461145440141664</v>
      </c>
      <c r="AG41" s="1">
        <f t="shared" si="8"/>
        <v>25.689871135566555</v>
      </c>
      <c r="AH41" s="1">
        <f t="shared" si="9"/>
        <v>20.929319770627213</v>
      </c>
      <c r="AI41" s="1">
        <f t="shared" si="10"/>
        <v>10.991751712568153</v>
      </c>
      <c r="AJ41" s="1">
        <f t="shared" si="11"/>
        <v>-5.4482567152718872E-6</v>
      </c>
      <c r="AK41" s="1">
        <f t="shared" si="12"/>
        <v>-18.31209098462859</v>
      </c>
      <c r="AL41">
        <f t="shared" si="13"/>
        <v>-5.7321655361524065E-4</v>
      </c>
      <c r="AM41" s="1">
        <f t="shared" si="14"/>
        <v>-0.18718565284052016</v>
      </c>
      <c r="AN41" s="1">
        <f t="shared" si="15"/>
        <v>1.3813260813787167</v>
      </c>
      <c r="AO41">
        <f t="shared" si="16"/>
        <v>-19.693990282560925</v>
      </c>
      <c r="AQ41" s="8">
        <f t="shared" si="17"/>
        <v>1.8180000000000001</v>
      </c>
      <c r="AR41" s="8">
        <v>0.243968185</v>
      </c>
      <c r="AS41" s="8">
        <v>0.24942761299999999</v>
      </c>
      <c r="AT41" s="9">
        <v>0.24635668499999999</v>
      </c>
      <c r="AU41" s="8">
        <v>0.23037490999999999</v>
      </c>
      <c r="AW41" s="9">
        <f t="shared" si="18"/>
        <v>1.8180000000000001</v>
      </c>
      <c r="AY41" s="9">
        <f t="shared" si="19"/>
        <v>0.52353132819150006</v>
      </c>
      <c r="AZ41" s="9">
        <f t="shared" si="20"/>
        <v>0</v>
      </c>
      <c r="BA41" s="9">
        <f t="shared" si="21"/>
        <v>0</v>
      </c>
      <c r="BB41" s="9">
        <f t="shared" si="22"/>
        <v>0.89278697937802776</v>
      </c>
      <c r="BC41" s="9">
        <f t="shared" si="23"/>
        <v>0.40167000101638689</v>
      </c>
      <c r="BE41" s="1">
        <f t="shared" si="24"/>
        <v>1.1691414085301943E-5</v>
      </c>
    </row>
    <row r="42" spans="2:57" x14ac:dyDescent="0.2">
      <c r="B42" s="12" t="s">
        <v>97</v>
      </c>
      <c r="C42" s="11" t="s">
        <v>67</v>
      </c>
      <c r="D42" s="11">
        <v>0</v>
      </c>
      <c r="E42" s="11">
        <v>0.1041</v>
      </c>
      <c r="F42" s="11">
        <v>2.1259999999999999</v>
      </c>
      <c r="G42" s="11">
        <v>0</v>
      </c>
      <c r="H42" s="11">
        <v>0</v>
      </c>
      <c r="I42" s="21">
        <f t="shared" si="0"/>
        <v>2.1259999999999999</v>
      </c>
      <c r="J42" s="11">
        <v>1.798</v>
      </c>
      <c r="K42" s="11">
        <v>0.39697756063424661</v>
      </c>
      <c r="L42" s="11">
        <v>0.88235714975649338</v>
      </c>
      <c r="M42" s="11">
        <v>434628.32</v>
      </c>
      <c r="N42" s="11">
        <v>354088</v>
      </c>
      <c r="O42" s="11">
        <v>23.587199999999999</v>
      </c>
      <c r="Q42" s="14">
        <v>105.21100300000001</v>
      </c>
      <c r="R42" s="14">
        <v>-14.567418</v>
      </c>
      <c r="S42" s="14">
        <v>160</v>
      </c>
      <c r="T42" s="14">
        <v>120.282189</v>
      </c>
      <c r="U42" s="14">
        <v>137.475031</v>
      </c>
      <c r="V42" s="14">
        <v>107.559866</v>
      </c>
      <c r="W42" s="14">
        <v>27.957547000000002</v>
      </c>
      <c r="Y42" t="str">
        <f t="shared" si="1"/>
        <v>SW_Gasoline_Gasification_CCS_31_Wood</v>
      </c>
      <c r="Z42" t="str">
        <f t="shared" si="2"/>
        <v>Biomass_Wood</v>
      </c>
      <c r="AA42" s="10">
        <f t="shared" si="3"/>
        <v>107.25796284694168</v>
      </c>
      <c r="AB42" s="10">
        <f t="shared" si="4"/>
        <v>107.25796284694168</v>
      </c>
      <c r="AC42" s="5">
        <f t="shared" si="5"/>
        <v>0</v>
      </c>
      <c r="AD42" s="1">
        <f t="shared" si="6"/>
        <v>0</v>
      </c>
      <c r="AE42" s="1">
        <f t="shared" si="7"/>
        <v>1.3689466804797743</v>
      </c>
      <c r="AF42" s="1">
        <f t="array" ref="AF42">_xlfn.IFS(C42="Biomass_Corn", 1/I42*S42, C42="Biomass_Agri", 1/I42*V42, C42="Biomass_Wood", 1/I42*U42, C42="Biomass_Herb", 1/I42*T42)</f>
        <v>64.663702257761059</v>
      </c>
      <c r="AG42" s="1">
        <f t="shared" si="8"/>
        <v>25.930336062940867</v>
      </c>
      <c r="AH42" s="1">
        <f t="shared" si="9"/>
        <v>21.125224504134028</v>
      </c>
      <c r="AI42" s="1">
        <f t="shared" si="10"/>
        <v>11.094637817497649</v>
      </c>
      <c r="AJ42" s="1">
        <f t="shared" si="11"/>
        <v>5.2077614015866182E-6</v>
      </c>
      <c r="AK42" s="1">
        <f t="shared" si="12"/>
        <v>-16.925432389672149</v>
      </c>
      <c r="AL42">
        <f t="shared" si="13"/>
        <v>5.479138004456139E-4</v>
      </c>
      <c r="AM42" s="1">
        <f t="shared" si="14"/>
        <v>-0.18671989131397307</v>
      </c>
      <c r="AN42" s="1">
        <f t="shared" si="15"/>
        <v>2.720102569322397</v>
      </c>
      <c r="AO42">
        <f t="shared" si="16"/>
        <v>-19.644987045194096</v>
      </c>
      <c r="AQ42" s="8">
        <f t="shared" si="17"/>
        <v>1.798</v>
      </c>
      <c r="AR42" s="8">
        <v>0.243968185</v>
      </c>
      <c r="AS42" s="8">
        <v>0.24942761299999999</v>
      </c>
      <c r="AT42" s="9">
        <v>0.24635668499999999</v>
      </c>
      <c r="AU42" s="8">
        <v>0.23037490999999999</v>
      </c>
      <c r="AW42" s="9">
        <f t="shared" si="18"/>
        <v>1.798</v>
      </c>
      <c r="AY42" s="9">
        <f t="shared" si="19"/>
        <v>0.51867636130999994</v>
      </c>
      <c r="AZ42" s="9">
        <f t="shared" si="20"/>
        <v>0</v>
      </c>
      <c r="BA42" s="9">
        <f t="shared" si="21"/>
        <v>0</v>
      </c>
      <c r="BB42" s="9">
        <f t="shared" si="22"/>
        <v>0.88235714975649338</v>
      </c>
      <c r="BC42" s="9">
        <f t="shared" si="23"/>
        <v>0.39697756063424661</v>
      </c>
      <c r="BE42" s="1">
        <f t="shared" si="24"/>
        <v>-1.1071700739773149E-5</v>
      </c>
    </row>
    <row r="43" spans="2:57" x14ac:dyDescent="0.2">
      <c r="B43" s="12" t="s">
        <v>98</v>
      </c>
      <c r="C43" s="11" t="s">
        <v>67</v>
      </c>
      <c r="D43" s="11">
        <v>0</v>
      </c>
      <c r="E43" s="11">
        <v>0.1041</v>
      </c>
      <c r="F43" s="11">
        <v>2.1093000000000002</v>
      </c>
      <c r="G43" s="11">
        <v>0</v>
      </c>
      <c r="H43" s="11">
        <v>0</v>
      </c>
      <c r="I43" s="21">
        <f t="shared" si="0"/>
        <v>2.1093000000000002</v>
      </c>
      <c r="J43" s="11">
        <v>1.821</v>
      </c>
      <c r="K43" s="11">
        <v>0.40537576031579631</v>
      </c>
      <c r="L43" s="11">
        <v>0.90102372507188122</v>
      </c>
      <c r="M43" s="11">
        <v>434628.32</v>
      </c>
      <c r="N43" s="11">
        <v>354088</v>
      </c>
      <c r="O43" s="11">
        <v>23.587199999999999</v>
      </c>
      <c r="Q43" s="14">
        <v>105.21100300000001</v>
      </c>
      <c r="R43" s="14">
        <v>-19.477884</v>
      </c>
      <c r="S43" s="14">
        <v>160</v>
      </c>
      <c r="T43" s="14">
        <v>132.95547999999999</v>
      </c>
      <c r="U43" s="14">
        <v>152.57709199999999</v>
      </c>
      <c r="V43" s="14">
        <v>106.67488899999999</v>
      </c>
      <c r="W43" s="14">
        <v>20.174973000000001</v>
      </c>
      <c r="Y43" t="str">
        <f t="shared" si="1"/>
        <v>TX_Gasoline_Gasification_CCS_31_Wood</v>
      </c>
      <c r="Z43" t="str">
        <f t="shared" si="2"/>
        <v>Biomass_Wood</v>
      </c>
      <c r="AA43" s="10">
        <f t="shared" si="3"/>
        <v>115.46516198732026</v>
      </c>
      <c r="AB43" s="10">
        <f t="shared" si="4"/>
        <v>115.46516198732027</v>
      </c>
      <c r="AC43" s="5">
        <f t="shared" si="5"/>
        <v>0</v>
      </c>
      <c r="AD43" s="1">
        <f t="shared" si="6"/>
        <v>0</v>
      </c>
      <c r="AE43" s="1">
        <f t="shared" si="7"/>
        <v>0.99569273659507895</v>
      </c>
      <c r="AF43" s="1">
        <f t="array" ref="AF43">_xlfn.IFS(C43="Biomass_Corn", 1/I43*S43, C43="Biomass_Agri", 1/I43*V43, C43="Biomass_Wood", 1/I43*U43, C43="Biomass_Herb", 1/I43*T43)</f>
        <v>72.335415540700694</v>
      </c>
      <c r="AG43" s="1">
        <f t="shared" si="8"/>
        <v>26.1356347934444</v>
      </c>
      <c r="AH43" s="1">
        <f t="shared" si="9"/>
        <v>21.292479635798102</v>
      </c>
      <c r="AI43" s="1">
        <f t="shared" si="10"/>
        <v>11.182477599203526</v>
      </c>
      <c r="AJ43" s="1">
        <f t="shared" si="11"/>
        <v>7.4811936551596856E-7</v>
      </c>
      <c r="AK43" s="1">
        <f t="shared" si="12"/>
        <v>-16.476617028810335</v>
      </c>
      <c r="AL43">
        <f t="shared" si="13"/>
        <v>7.8710388809658674E-5</v>
      </c>
      <c r="AM43" s="1">
        <f t="shared" si="14"/>
        <v>-0.19218422334784935</v>
      </c>
      <c r="AN43" s="1">
        <f t="shared" si="15"/>
        <v>3.7433565807817204</v>
      </c>
      <c r="AO43">
        <f t="shared" si="16"/>
        <v>-20.219894899203247</v>
      </c>
      <c r="AQ43" s="8">
        <f t="shared" si="17"/>
        <v>1.821</v>
      </c>
      <c r="AR43" s="8">
        <v>0.243968185</v>
      </c>
      <c r="AS43" s="8">
        <v>0.24942761299999999</v>
      </c>
      <c r="AT43" s="9">
        <v>0.24635668499999999</v>
      </c>
      <c r="AU43" s="8">
        <v>0.23037490999999999</v>
      </c>
      <c r="AW43" s="9">
        <f t="shared" si="18"/>
        <v>1.821</v>
      </c>
      <c r="AY43" s="9">
        <f t="shared" si="19"/>
        <v>0.51460209262050005</v>
      </c>
      <c r="AZ43" s="9">
        <f t="shared" si="20"/>
        <v>0</v>
      </c>
      <c r="BA43" s="9">
        <f t="shared" si="21"/>
        <v>0</v>
      </c>
      <c r="BB43" s="9">
        <f t="shared" si="22"/>
        <v>0.90102372507188122</v>
      </c>
      <c r="BC43" s="9">
        <f t="shared" si="23"/>
        <v>0.40537576031579631</v>
      </c>
      <c r="BE43" s="1">
        <f t="shared" si="24"/>
        <v>-1.5780081776828325E-6</v>
      </c>
    </row>
    <row r="44" spans="2:57" x14ac:dyDescent="0.2">
      <c r="B44" s="12" t="s">
        <v>99</v>
      </c>
      <c r="C44" s="11" t="s">
        <v>67</v>
      </c>
      <c r="D44" s="11">
        <v>0</v>
      </c>
      <c r="E44" s="11">
        <v>0.1041</v>
      </c>
      <c r="F44" s="11">
        <v>2.1171000000000002</v>
      </c>
      <c r="G44" s="11">
        <v>0</v>
      </c>
      <c r="H44" s="11">
        <v>0</v>
      </c>
      <c r="I44" s="21">
        <f t="shared" si="0"/>
        <v>2.1171000000000002</v>
      </c>
      <c r="J44" s="11">
        <v>1.802</v>
      </c>
      <c r="K44" s="11">
        <v>0.39889145379773988</v>
      </c>
      <c r="L44" s="11">
        <v>0.88661113659136692</v>
      </c>
      <c r="M44" s="11">
        <v>434628.32</v>
      </c>
      <c r="N44" s="11">
        <v>354088</v>
      </c>
      <c r="O44" s="11">
        <v>23.587199999999999</v>
      </c>
      <c r="Q44" s="14">
        <v>105.21100300000001</v>
      </c>
      <c r="R44" s="14">
        <v>-39.686463000000003</v>
      </c>
      <c r="S44" s="14">
        <v>160</v>
      </c>
      <c r="T44" s="14">
        <v>100.757654</v>
      </c>
      <c r="U44" s="14">
        <v>111.990773</v>
      </c>
      <c r="V44" s="14">
        <v>89.243781999999996</v>
      </c>
      <c r="W44" s="14">
        <v>30.713950000000001</v>
      </c>
      <c r="Y44" t="str">
        <f t="shared" si="1"/>
        <v>NCEN_Gasoline_Gasification_CCS_31_Wood</v>
      </c>
      <c r="Z44" t="str">
        <f t="shared" si="2"/>
        <v>Biomass_Wood</v>
      </c>
      <c r="AA44" s="10">
        <f t="shared" si="3"/>
        <v>100.45772103871975</v>
      </c>
      <c r="AB44" s="10">
        <f t="shared" si="4"/>
        <v>100.45772103871975</v>
      </c>
      <c r="AC44" s="5">
        <f t="shared" si="5"/>
        <v>0</v>
      </c>
      <c r="AD44" s="1">
        <f t="shared" si="6"/>
        <v>0</v>
      </c>
      <c r="AE44" s="1">
        <f t="shared" si="7"/>
        <v>1.5102367365736147</v>
      </c>
      <c r="AF44" s="1">
        <f t="array" ref="AF44">_xlfn.IFS(C44="Biomass_Corn", 1/I44*S44, C44="Biomass_Agri", 1/I44*V44, C44="Biomass_Wood", 1/I44*U44, C44="Biomass_Herb", 1/I44*T44)</f>
        <v>52.898197062018802</v>
      </c>
      <c r="AG44" s="1">
        <f t="shared" si="8"/>
        <v>26.039343663413288</v>
      </c>
      <c r="AH44" s="1">
        <f t="shared" si="9"/>
        <v>21.214032070185127</v>
      </c>
      <c r="AI44" s="1">
        <f t="shared" si="10"/>
        <v>11.141278163525577</v>
      </c>
      <c r="AJ44" s="1">
        <f t="shared" si="11"/>
        <v>3.6062786863148088E-6</v>
      </c>
      <c r="AK44" s="1">
        <f t="shared" si="12"/>
        <v>-12.345746077194349</v>
      </c>
      <c r="AL44">
        <f t="shared" si="13"/>
        <v>3.794201976847034E-4</v>
      </c>
      <c r="AM44" s="1">
        <f t="shared" si="14"/>
        <v>-0.18841047609708239</v>
      </c>
      <c r="AN44" s="1">
        <f t="shared" si="15"/>
        <v>7.4774885088848961</v>
      </c>
      <c r="AO44">
        <f t="shared" si="16"/>
        <v>-19.822855165881563</v>
      </c>
      <c r="AQ44" s="8">
        <f t="shared" si="17"/>
        <v>1.802</v>
      </c>
      <c r="AR44" s="8">
        <v>0.243968185</v>
      </c>
      <c r="AS44" s="8">
        <v>0.24942761299999999</v>
      </c>
      <c r="AT44" s="9">
        <v>0.24635668499999999</v>
      </c>
      <c r="AU44" s="8">
        <v>0.23037490999999999</v>
      </c>
      <c r="AW44" s="9">
        <f t="shared" si="18"/>
        <v>1.802</v>
      </c>
      <c r="AY44" s="9">
        <f t="shared" si="19"/>
        <v>0.5165050444635001</v>
      </c>
      <c r="AZ44" s="9">
        <f t="shared" si="20"/>
        <v>0</v>
      </c>
      <c r="BA44" s="9">
        <f t="shared" si="21"/>
        <v>0</v>
      </c>
      <c r="BB44" s="9">
        <f t="shared" si="22"/>
        <v>0.88661113659136692</v>
      </c>
      <c r="BC44" s="9">
        <f t="shared" si="23"/>
        <v>0.39889145379773988</v>
      </c>
      <c r="BE44" s="1">
        <f t="shared" si="24"/>
        <v>-7.6348526067970823E-6</v>
      </c>
    </row>
    <row r="45" spans="2:57" x14ac:dyDescent="0.2">
      <c r="B45" s="12" t="s">
        <v>100</v>
      </c>
      <c r="C45" s="11" t="s">
        <v>67</v>
      </c>
      <c r="D45" s="11">
        <v>0</v>
      </c>
      <c r="E45" s="11">
        <v>0.1041</v>
      </c>
      <c r="F45" s="11">
        <v>2.1181999999999999</v>
      </c>
      <c r="G45" s="11">
        <v>0</v>
      </c>
      <c r="H45" s="11">
        <v>0</v>
      </c>
      <c r="I45" s="21">
        <f t="shared" si="0"/>
        <v>2.1181999999999999</v>
      </c>
      <c r="J45" s="11">
        <v>1.802</v>
      </c>
      <c r="K45" s="11">
        <v>0.39880736715230319</v>
      </c>
      <c r="L45" s="11">
        <v>0.88642423823700767</v>
      </c>
      <c r="M45" s="11">
        <v>434628.32</v>
      </c>
      <c r="N45" s="11">
        <v>354088</v>
      </c>
      <c r="O45" s="11">
        <v>23.587199999999999</v>
      </c>
      <c r="Q45" s="14">
        <v>105.21100300000001</v>
      </c>
      <c r="R45" s="14">
        <v>-29.672038000000001</v>
      </c>
      <c r="S45" s="14">
        <v>160</v>
      </c>
      <c r="T45" s="14">
        <v>107.027154</v>
      </c>
      <c r="U45" s="14">
        <v>122.865223</v>
      </c>
      <c r="V45" s="14">
        <v>94.404420999999999</v>
      </c>
      <c r="W45" s="14">
        <v>25.118154000000001</v>
      </c>
      <c r="Y45" t="str">
        <f t="shared" si="1"/>
        <v>CEN_Gasoline_Gasification_CCS_31_Wood</v>
      </c>
      <c r="Z45" t="str">
        <f t="shared" si="2"/>
        <v>Biomass_Wood</v>
      </c>
      <c r="AA45" s="10">
        <f t="shared" si="3"/>
        <v>103.38135042300235</v>
      </c>
      <c r="AB45" s="10">
        <f t="shared" si="4"/>
        <v>103.38135042300236</v>
      </c>
      <c r="AC45" s="5">
        <f t="shared" si="5"/>
        <v>0</v>
      </c>
      <c r="AD45" s="1">
        <f t="shared" si="6"/>
        <v>0</v>
      </c>
      <c r="AE45" s="1">
        <f t="shared" si="7"/>
        <v>1.234444259937683</v>
      </c>
      <c r="AF45" s="1">
        <f t="array" ref="AF45">_xlfn.IFS(C45="Biomass_Corn", 1/I45*S45, C45="Biomass_Agri", 1/I45*V45, C45="Biomass_Wood", 1/I45*U45, C45="Biomass_Herb", 1/I45*T45)</f>
        <v>58.004543008214526</v>
      </c>
      <c r="AG45" s="1">
        <f t="shared" si="8"/>
        <v>26.02582120187531</v>
      </c>
      <c r="AH45" s="1">
        <f t="shared" si="9"/>
        <v>21.203015435647693</v>
      </c>
      <c r="AI45" s="1">
        <f t="shared" si="10"/>
        <v>11.135492399206875</v>
      </c>
      <c r="AJ45" s="1">
        <f t="shared" si="11"/>
        <v>2.3675084084982271E-6</v>
      </c>
      <c r="AK45" s="1">
        <f t="shared" si="12"/>
        <v>-14.222214969813987</v>
      </c>
      <c r="AL45">
        <f t="shared" si="13"/>
        <v>2.490879342690322E-4</v>
      </c>
      <c r="AM45" s="1">
        <f t="shared" si="14"/>
        <v>-0.1882741725502749</v>
      </c>
      <c r="AN45" s="1">
        <f t="shared" si="15"/>
        <v>5.5865486511297764</v>
      </c>
      <c r="AO45">
        <f t="shared" si="16"/>
        <v>-19.80851453300949</v>
      </c>
      <c r="AQ45" s="8">
        <f t="shared" si="17"/>
        <v>1.802</v>
      </c>
      <c r="AR45" s="8">
        <v>0.243968185</v>
      </c>
      <c r="AS45" s="8">
        <v>0.24942761299999999</v>
      </c>
      <c r="AT45" s="9">
        <v>0.24635668499999999</v>
      </c>
      <c r="AU45" s="8">
        <v>0.23037490999999999</v>
      </c>
      <c r="AW45" s="9">
        <f t="shared" si="18"/>
        <v>1.802</v>
      </c>
      <c r="AY45" s="9">
        <f t="shared" si="19"/>
        <v>0.51677340946700001</v>
      </c>
      <c r="AZ45" s="9">
        <f t="shared" si="20"/>
        <v>0</v>
      </c>
      <c r="BA45" s="9">
        <f t="shared" si="21"/>
        <v>0</v>
      </c>
      <c r="BB45" s="9">
        <f t="shared" si="22"/>
        <v>0.88642423823700767</v>
      </c>
      <c r="BC45" s="9">
        <f t="shared" si="23"/>
        <v>0.39880736715230319</v>
      </c>
      <c r="BE45" s="1">
        <f t="shared" si="24"/>
        <v>-5.0148563108809441E-6</v>
      </c>
    </row>
    <row r="46" spans="2:57" x14ac:dyDescent="0.2">
      <c r="B46" s="12" t="s">
        <v>101</v>
      </c>
      <c r="C46" s="11" t="s">
        <v>67</v>
      </c>
      <c r="D46" s="11">
        <v>0</v>
      </c>
      <c r="E46" s="11">
        <v>0.1041</v>
      </c>
      <c r="F46" s="11">
        <v>2.1259999999999999</v>
      </c>
      <c r="G46" s="11">
        <v>0</v>
      </c>
      <c r="H46" s="11">
        <v>0</v>
      </c>
      <c r="I46" s="21">
        <f t="shared" si="0"/>
        <v>2.1259999999999999</v>
      </c>
      <c r="J46" s="11">
        <v>1.821</v>
      </c>
      <c r="K46" s="11">
        <v>0.4041144606342465</v>
      </c>
      <c r="L46" s="11">
        <v>0.89822024975649317</v>
      </c>
      <c r="M46" s="11">
        <v>434628.32</v>
      </c>
      <c r="N46" s="11">
        <v>354088</v>
      </c>
      <c r="O46" s="11">
        <v>23.587199999999999</v>
      </c>
      <c r="Q46" s="14">
        <v>105.21100300000001</v>
      </c>
      <c r="R46" s="14">
        <v>-45.510345000000001</v>
      </c>
      <c r="S46" s="14">
        <v>160</v>
      </c>
      <c r="T46" s="14">
        <v>97.593261999999996</v>
      </c>
      <c r="U46" s="14">
        <v>109.791234</v>
      </c>
      <c r="V46" s="14">
        <v>86.911507</v>
      </c>
      <c r="W46" s="14">
        <v>38.099075999999997</v>
      </c>
      <c r="Y46" t="str">
        <f t="shared" si="1"/>
        <v>SE_Gasoline_Gasification_CCS_31_Wood</v>
      </c>
      <c r="Z46" t="str">
        <f t="shared" si="2"/>
        <v>Biomass_Wood</v>
      </c>
      <c r="AA46" s="10">
        <f t="shared" si="3"/>
        <v>100.31041168144934</v>
      </c>
      <c r="AB46" s="10">
        <f t="shared" si="4"/>
        <v>100.31041168144935</v>
      </c>
      <c r="AC46" s="5">
        <f t="shared" si="5"/>
        <v>0</v>
      </c>
      <c r="AD46" s="1">
        <f t="shared" si="6"/>
        <v>0</v>
      </c>
      <c r="AE46" s="1">
        <f t="shared" si="7"/>
        <v>1.8655286037629351</v>
      </c>
      <c r="AF46" s="1">
        <f t="array" ref="AF46">_xlfn.IFS(C46="Biomass_Corn", 1/I46*S46, C46="Biomass_Agri", 1/I46*V46, C46="Biomass_Wood", 1/I46*U46, C46="Biomass_Herb", 1/I46*T46)</f>
        <v>51.642160865475077</v>
      </c>
      <c r="AG46" s="1">
        <f t="shared" si="8"/>
        <v>25.930336062940867</v>
      </c>
      <c r="AH46" s="1">
        <f t="shared" si="9"/>
        <v>21.125224504134028</v>
      </c>
      <c r="AI46" s="1">
        <f t="shared" si="10"/>
        <v>11.094637817497649</v>
      </c>
      <c r="AJ46" s="1">
        <f t="shared" si="11"/>
        <v>5.2077614014821756E-6</v>
      </c>
      <c r="AK46" s="1">
        <f t="shared" si="12"/>
        <v>-11.348024086161626</v>
      </c>
      <c r="AL46">
        <f t="shared" si="13"/>
        <v>5.479138004346254E-4</v>
      </c>
      <c r="AM46" s="1">
        <f t="shared" si="14"/>
        <v>-0.19007685274388847</v>
      </c>
      <c r="AN46" s="1">
        <f t="shared" si="15"/>
        <v>8.6507001519066229</v>
      </c>
      <c r="AO46">
        <f t="shared" si="16"/>
        <v>-19.99817632426781</v>
      </c>
      <c r="AQ46" s="8">
        <f t="shared" si="17"/>
        <v>1.821</v>
      </c>
      <c r="AR46" s="8">
        <v>0.243968185</v>
      </c>
      <c r="AS46" s="8">
        <v>0.24942761299999999</v>
      </c>
      <c r="AT46" s="9">
        <v>0.24635668499999999</v>
      </c>
      <c r="AU46" s="8">
        <v>0.23037490999999999</v>
      </c>
      <c r="AW46" s="9">
        <f t="shared" si="18"/>
        <v>1.821</v>
      </c>
      <c r="AY46" s="9">
        <f t="shared" si="19"/>
        <v>0.51867636130999994</v>
      </c>
      <c r="AZ46" s="9">
        <f t="shared" si="20"/>
        <v>0</v>
      </c>
      <c r="BA46" s="9">
        <f t="shared" si="21"/>
        <v>0</v>
      </c>
      <c r="BB46" s="9">
        <f t="shared" si="22"/>
        <v>0.89822024975649317</v>
      </c>
      <c r="BC46" s="9">
        <f t="shared" si="23"/>
        <v>0.4041144606342465</v>
      </c>
      <c r="BE46" s="1">
        <f t="shared" si="24"/>
        <v>-1.1071700739551105E-5</v>
      </c>
    </row>
    <row r="47" spans="2:57" x14ac:dyDescent="0.2">
      <c r="B47" s="12" t="s">
        <v>102</v>
      </c>
      <c r="C47" s="11" t="s">
        <v>67</v>
      </c>
      <c r="D47" s="11">
        <v>0</v>
      </c>
      <c r="E47" s="11">
        <v>0.1041</v>
      </c>
      <c r="F47" s="11">
        <v>2.1114999999999999</v>
      </c>
      <c r="G47" s="11">
        <v>0</v>
      </c>
      <c r="H47" s="11">
        <v>0</v>
      </c>
      <c r="I47" s="21">
        <f t="shared" si="0"/>
        <v>2.1114999999999999</v>
      </c>
      <c r="J47" s="11">
        <v>1.806</v>
      </c>
      <c r="K47" s="11">
        <v>0.40055308702492309</v>
      </c>
      <c r="L47" s="11">
        <v>0.89030442836316281</v>
      </c>
      <c r="M47" s="11">
        <v>434628.32</v>
      </c>
      <c r="N47" s="11">
        <v>354088</v>
      </c>
      <c r="O47" s="11">
        <v>23.587199999999999</v>
      </c>
      <c r="Q47" s="14">
        <v>105.21100300000001</v>
      </c>
      <c r="R47" s="14">
        <v>-50.334515000000003</v>
      </c>
      <c r="S47" s="14">
        <v>160</v>
      </c>
      <c r="T47" s="14">
        <v>98.707491000000005</v>
      </c>
      <c r="U47" s="14">
        <v>106.53195700000001</v>
      </c>
      <c r="V47" s="14">
        <v>87.469328000000004</v>
      </c>
      <c r="W47" s="14">
        <v>39.29871</v>
      </c>
      <c r="Y47" t="str">
        <f t="shared" si="1"/>
        <v>MIDAT_Gasoline_Gasification_CCS_31_Wood</v>
      </c>
      <c r="Z47" t="str">
        <f t="shared" si="2"/>
        <v>Biomass_Wood</v>
      </c>
      <c r="AA47" s="10">
        <f t="shared" si="3"/>
        <v>100.5299277869107</v>
      </c>
      <c r="AB47" s="10">
        <f t="shared" si="4"/>
        <v>100.52992778691069</v>
      </c>
      <c r="AC47" s="5">
        <f t="shared" si="5"/>
        <v>0</v>
      </c>
      <c r="AD47" s="1">
        <f t="shared" si="6"/>
        <v>0</v>
      </c>
      <c r="AE47" s="1">
        <f t="shared" si="7"/>
        <v>1.9374831688373193</v>
      </c>
      <c r="AF47" s="1">
        <f t="array" ref="AF47">_xlfn.IFS(C47="Biomass_Corn", 1/I47*S47, C47="Biomass_Agri", 1/I47*V47, C47="Biomass_Wood", 1/I47*U47, C47="Biomass_Herb", 1/I47*T47)</f>
        <v>50.453211934643626</v>
      </c>
      <c r="AG47" s="1">
        <f t="shared" si="8"/>
        <v>26.108403727119242</v>
      </c>
      <c r="AH47" s="1">
        <f t="shared" si="9"/>
        <v>21.270294717399452</v>
      </c>
      <c r="AI47" s="1">
        <f t="shared" si="10"/>
        <v>11.170826426710869</v>
      </c>
      <c r="AJ47" s="1">
        <f t="shared" si="11"/>
        <v>-1.7343047188858154E-6</v>
      </c>
      <c r="AK47" s="1">
        <f t="shared" si="12"/>
        <v>-10.410109719860833</v>
      </c>
      <c r="AL47">
        <f t="shared" si="13"/>
        <v>-1.8246793898160968E-4</v>
      </c>
      <c r="AM47" s="1">
        <f t="shared" si="14"/>
        <v>-0.18970246223506376</v>
      </c>
      <c r="AN47" s="1">
        <f t="shared" si="15"/>
        <v>9.5484941355208619</v>
      </c>
      <c r="AO47">
        <f t="shared" si="16"/>
        <v>-19.95878632332068</v>
      </c>
      <c r="AQ47" s="8">
        <f t="shared" si="17"/>
        <v>1.806</v>
      </c>
      <c r="AR47" s="8">
        <v>0.243968185</v>
      </c>
      <c r="AS47" s="8">
        <v>0.24942761299999999</v>
      </c>
      <c r="AT47" s="9">
        <v>0.24635668499999999</v>
      </c>
      <c r="AU47" s="8">
        <v>0.23037490999999999</v>
      </c>
      <c r="AW47" s="9">
        <f t="shared" si="18"/>
        <v>1.806</v>
      </c>
      <c r="AY47" s="9">
        <f t="shared" si="19"/>
        <v>0.51513882262749999</v>
      </c>
      <c r="AZ47" s="9">
        <f t="shared" si="20"/>
        <v>0</v>
      </c>
      <c r="BA47" s="9">
        <f t="shared" si="21"/>
        <v>0</v>
      </c>
      <c r="BB47" s="9">
        <f t="shared" si="22"/>
        <v>0.89030442836316281</v>
      </c>
      <c r="BC47" s="9">
        <f t="shared" si="23"/>
        <v>0.40055308702492309</v>
      </c>
      <c r="BE47" s="1">
        <f t="shared" si="24"/>
        <v>3.6619844139273994E-6</v>
      </c>
    </row>
    <row r="48" spans="2:57" x14ac:dyDescent="0.2">
      <c r="B48" s="12" t="s">
        <v>103</v>
      </c>
      <c r="C48" s="11" t="s">
        <v>67</v>
      </c>
      <c r="D48" s="11">
        <v>0</v>
      </c>
      <c r="E48" s="11">
        <v>0.1041</v>
      </c>
      <c r="F48" s="11">
        <v>2.0981999999999998</v>
      </c>
      <c r="G48" s="11">
        <v>0</v>
      </c>
      <c r="H48" s="11">
        <v>0</v>
      </c>
      <c r="I48" s="21">
        <f t="shared" si="0"/>
        <v>2.0981999999999998</v>
      </c>
      <c r="J48" s="11">
        <v>1.8260000000000001</v>
      </c>
      <c r="K48" s="11">
        <v>0.407768126770163</v>
      </c>
      <c r="L48" s="11">
        <v>0.9063412086154734</v>
      </c>
      <c r="M48" s="11">
        <v>434628.32</v>
      </c>
      <c r="N48" s="11">
        <v>354088</v>
      </c>
      <c r="O48" s="11">
        <v>23.587199999999999</v>
      </c>
      <c r="Q48" s="14">
        <v>105.21100300000001</v>
      </c>
      <c r="R48" s="14">
        <v>-58.833413</v>
      </c>
      <c r="S48" s="14">
        <v>160</v>
      </c>
      <c r="T48" s="14">
        <v>99.493746999999999</v>
      </c>
      <c r="U48" s="14">
        <v>105.21395800000001</v>
      </c>
      <c r="V48" s="14">
        <v>89.700445000000002</v>
      </c>
      <c r="W48" s="14">
        <v>47.365060999999997</v>
      </c>
      <c r="Y48" t="str">
        <f t="shared" si="1"/>
        <v>NE_Gasoline_Gasification_CCS_31_Wood</v>
      </c>
      <c r="Z48" t="str">
        <f t="shared" si="2"/>
        <v>Biomass_Wood</v>
      </c>
      <c r="AA48" s="10">
        <f t="shared" si="3"/>
        <v>102.40255235523152</v>
      </c>
      <c r="AB48" s="10">
        <f t="shared" si="4"/>
        <v>102.40255235523151</v>
      </c>
      <c r="AC48" s="5">
        <f t="shared" si="5"/>
        <v>0</v>
      </c>
      <c r="AD48" s="1">
        <f t="shared" si="6"/>
        <v>0</v>
      </c>
      <c r="AE48" s="1">
        <f t="shared" si="7"/>
        <v>2.3499679964255078</v>
      </c>
      <c r="AF48" s="1">
        <f t="array" ref="AF48">_xlfn.IFS(C48="Biomass_Corn", 1/I48*S48, C48="Biomass_Agri", 1/I48*V48, C48="Biomass_Wood", 1/I48*U48, C48="Biomass_Herb", 1/I48*T48)</f>
        <v>50.144866075683929</v>
      </c>
      <c r="AG48" s="1">
        <f t="shared" si="8"/>
        <v>26.273898803647068</v>
      </c>
      <c r="AH48" s="1">
        <f t="shared" si="9"/>
        <v>21.405122150314053</v>
      </c>
      <c r="AI48" s="1">
        <f t="shared" si="10"/>
        <v>11.241635687732343</v>
      </c>
      <c r="AJ48" s="1">
        <f t="shared" si="11"/>
        <v>1.6114539301863491E-6</v>
      </c>
      <c r="AK48" s="1">
        <f t="shared" si="12"/>
        <v>-9.013107901255669</v>
      </c>
      <c r="AL48">
        <f t="shared" si="13"/>
        <v>1.6954268428319777E-4</v>
      </c>
      <c r="AM48" s="1">
        <f t="shared" si="14"/>
        <v>-0.19434026575994978</v>
      </c>
      <c r="AN48" s="1">
        <f t="shared" si="15"/>
        <v>11.43379592531949</v>
      </c>
      <c r="AO48">
        <f t="shared" si="16"/>
        <v>-20.446734283890876</v>
      </c>
      <c r="AQ48" s="8">
        <f t="shared" si="17"/>
        <v>1.8260000000000001</v>
      </c>
      <c r="AR48" s="8">
        <v>0.243968185</v>
      </c>
      <c r="AS48" s="8">
        <v>0.24942761299999999</v>
      </c>
      <c r="AT48" s="9">
        <v>0.24635668499999999</v>
      </c>
      <c r="AU48" s="8">
        <v>0.23037490999999999</v>
      </c>
      <c r="AW48" s="9">
        <f t="shared" si="18"/>
        <v>1.8260000000000001</v>
      </c>
      <c r="AY48" s="9">
        <f t="shared" si="19"/>
        <v>0.51189404576699993</v>
      </c>
      <c r="AZ48" s="9">
        <f t="shared" si="20"/>
        <v>0</v>
      </c>
      <c r="BA48" s="9">
        <f t="shared" si="21"/>
        <v>0</v>
      </c>
      <c r="BB48" s="9">
        <f t="shared" si="22"/>
        <v>0.9063412086154734</v>
      </c>
      <c r="BC48" s="9">
        <f t="shared" si="23"/>
        <v>0.407768126770163</v>
      </c>
      <c r="BE48" s="1">
        <f t="shared" si="24"/>
        <v>-3.3811526363169975E-6</v>
      </c>
    </row>
    <row r="49" spans="2:57" x14ac:dyDescent="0.2">
      <c r="B49" s="12" t="s">
        <v>104</v>
      </c>
      <c r="C49" s="11" t="s">
        <v>77</v>
      </c>
      <c r="D49" s="11">
        <v>0</v>
      </c>
      <c r="E49" s="11">
        <v>0.1041</v>
      </c>
      <c r="F49" s="11">
        <v>2.0314999999999999</v>
      </c>
      <c r="G49" s="11">
        <v>0</v>
      </c>
      <c r="H49" s="11">
        <v>0</v>
      </c>
      <c r="I49" s="21">
        <f t="shared" si="0"/>
        <v>2.0314999999999999</v>
      </c>
      <c r="J49" s="11">
        <v>1.7190000000000001</v>
      </c>
      <c r="K49" s="11">
        <v>0.37961122549636211</v>
      </c>
      <c r="L49" s="11">
        <v>0.84375720987702518</v>
      </c>
      <c r="M49" s="11">
        <v>434628.32</v>
      </c>
      <c r="N49" s="11">
        <v>354088</v>
      </c>
      <c r="O49" s="11">
        <v>23.587199999999999</v>
      </c>
      <c r="Q49" s="14">
        <v>105.21100300000001</v>
      </c>
      <c r="R49" s="14">
        <v>-6.4122130000000004</v>
      </c>
      <c r="S49" s="14">
        <v>160</v>
      </c>
      <c r="T49" s="14">
        <v>313632.96735400002</v>
      </c>
      <c r="U49" s="14">
        <v>154.036981</v>
      </c>
      <c r="V49" s="14">
        <v>132.85973799999999</v>
      </c>
      <c r="W49" s="14">
        <v>36.488697999999999</v>
      </c>
      <c r="Y49" t="str">
        <f t="shared" si="1"/>
        <v>CA_Gasoline_Gasification_CCS_31_Agri</v>
      </c>
      <c r="Z49" t="str">
        <f t="shared" si="2"/>
        <v>Biomass_Agri</v>
      </c>
      <c r="AA49" s="10">
        <f t="shared" si="3"/>
        <v>109.66248125152914</v>
      </c>
      <c r="AB49" s="10">
        <f t="shared" si="4"/>
        <v>109.66248125152914</v>
      </c>
      <c r="AC49" s="5">
        <f t="shared" si="5"/>
        <v>0</v>
      </c>
      <c r="AD49" s="1">
        <f t="shared" si="6"/>
        <v>0</v>
      </c>
      <c r="AE49" s="1">
        <f t="shared" si="7"/>
        <v>1.8697875765690377</v>
      </c>
      <c r="AF49" s="1">
        <f t="array" ref="AF49">_xlfn.IFS(C49="Biomass_Corn", 1/I49*S49, C49="Biomass_Agri", 1/I49*V49, C49="Biomass_Wood", 1/I49*U49, C49="Biomass_Herb", 1/I49*T49)</f>
        <v>65.399821806546882</v>
      </c>
      <c r="AG49" s="1">
        <f t="shared" si="8"/>
        <v>27.136546625553674</v>
      </c>
      <c r="AH49" s="1">
        <f t="shared" si="9"/>
        <v>22.107914002357344</v>
      </c>
      <c r="AI49" s="1">
        <f t="shared" si="10"/>
        <v>11.610730986955453</v>
      </c>
      <c r="AJ49" s="1">
        <f t="shared" si="11"/>
        <v>-5.0193448746489394E-6</v>
      </c>
      <c r="AK49" s="1">
        <f t="shared" si="12"/>
        <v>-18.461791656144587</v>
      </c>
      <c r="AL49">
        <f t="shared" si="13"/>
        <v>-5.2809030866472425E-4</v>
      </c>
      <c r="AM49" s="1">
        <f t="shared" si="14"/>
        <v>-0.18686754727810734</v>
      </c>
      <c r="AN49" s="1">
        <f t="shared" si="15"/>
        <v>1.1982023308263376</v>
      </c>
      <c r="AO49">
        <f t="shared" si="16"/>
        <v>-19.660522077279595</v>
      </c>
      <c r="AQ49" s="8">
        <f t="shared" si="17"/>
        <v>1.7190000000000001</v>
      </c>
      <c r="AR49" s="8">
        <v>0.243968185</v>
      </c>
      <c r="AS49" s="8">
        <v>0.24942761299999999</v>
      </c>
      <c r="AT49" s="9">
        <v>0.24635668499999999</v>
      </c>
      <c r="AU49" s="8">
        <v>0.23037490999999999</v>
      </c>
      <c r="AW49" s="9">
        <f t="shared" si="18"/>
        <v>1.7190000000000001</v>
      </c>
      <c r="AY49" s="9">
        <f t="shared" si="19"/>
        <v>0.49562136782749999</v>
      </c>
      <c r="AZ49" s="9">
        <f t="shared" si="20"/>
        <v>0</v>
      </c>
      <c r="BA49" s="9">
        <f t="shared" si="21"/>
        <v>0</v>
      </c>
      <c r="BB49" s="9">
        <f t="shared" si="22"/>
        <v>0.84375720987702518</v>
      </c>
      <c r="BC49" s="9">
        <f t="shared" si="23"/>
        <v>0.37961122549636211</v>
      </c>
      <c r="BE49" s="1">
        <f t="shared" si="24"/>
        <v>1.019679911284932E-5</v>
      </c>
    </row>
    <row r="50" spans="2:57" x14ac:dyDescent="0.2">
      <c r="B50" s="12" t="s">
        <v>105</v>
      </c>
      <c r="C50" s="11" t="s">
        <v>77</v>
      </c>
      <c r="D50" s="11">
        <v>0</v>
      </c>
      <c r="E50" s="11">
        <v>0.1041</v>
      </c>
      <c r="F50" s="11">
        <v>1.8572</v>
      </c>
      <c r="G50" s="11">
        <v>0</v>
      </c>
      <c r="H50" s="11">
        <v>0</v>
      </c>
      <c r="I50" s="21">
        <f t="shared" si="0"/>
        <v>1.8572</v>
      </c>
      <c r="J50" s="11">
        <v>1.6639999999999999</v>
      </c>
      <c r="K50" s="11">
        <v>0.37574632882991649</v>
      </c>
      <c r="L50" s="11">
        <v>0.83516675151141939</v>
      </c>
      <c r="M50" s="11">
        <v>434628.32</v>
      </c>
      <c r="N50" s="11">
        <v>354088</v>
      </c>
      <c r="O50" s="11">
        <v>23.587199999999999</v>
      </c>
      <c r="Q50" s="14">
        <v>105.21100300000001</v>
      </c>
      <c r="R50" s="14">
        <v>-7.3796590000000002</v>
      </c>
      <c r="S50" s="14">
        <v>160</v>
      </c>
      <c r="T50" s="14">
        <v>130.996602</v>
      </c>
      <c r="U50" s="14">
        <v>149.05667199999999</v>
      </c>
      <c r="V50" s="14">
        <v>112.26938</v>
      </c>
      <c r="W50" s="14">
        <v>26.787863000000002</v>
      </c>
      <c r="Y50" t="str">
        <f t="shared" si="1"/>
        <v>NW_Gasoline_Gasification_CCS_31_Agri</v>
      </c>
      <c r="Z50" t="str">
        <f t="shared" si="2"/>
        <v>Biomass_Agri</v>
      </c>
      <c r="AA50" s="10">
        <f t="shared" si="3"/>
        <v>108.72640832910866</v>
      </c>
      <c r="AB50" s="10">
        <f t="shared" si="4"/>
        <v>108.72640832910868</v>
      </c>
      <c r="AC50" s="5">
        <f t="shared" si="5"/>
        <v>0</v>
      </c>
      <c r="AD50" s="1">
        <f t="shared" si="6"/>
        <v>0</v>
      </c>
      <c r="AE50" s="1">
        <f t="shared" si="7"/>
        <v>1.5015165508830497</v>
      </c>
      <c r="AF50" s="1">
        <f t="array" ref="AF50">_xlfn.IFS(C50="Biomass_Corn", 1/I50*S50, C50="Biomass_Agri", 1/I50*V50, C50="Biomass_Wood", 1/I50*U50, C50="Biomass_Herb", 1/I50*T50)</f>
        <v>60.450883049752314</v>
      </c>
      <c r="AG50" s="1">
        <f t="shared" si="8"/>
        <v>29.683337534897845</v>
      </c>
      <c r="AH50" s="1">
        <f t="shared" si="9"/>
        <v>24.182762920411879</v>
      </c>
      <c r="AI50" s="1">
        <f t="shared" si="10"/>
        <v>12.700409218177903</v>
      </c>
      <c r="AJ50" s="1">
        <f t="shared" si="11"/>
        <v>5.8117183588168172E-6</v>
      </c>
      <c r="AK50" s="1">
        <f t="shared" si="12"/>
        <v>-19.793112401732003</v>
      </c>
      <c r="AL50">
        <f t="shared" si="13"/>
        <v>6.1145671768463126E-4</v>
      </c>
      <c r="AM50" s="1">
        <f t="shared" si="14"/>
        <v>-0.20231290938325466</v>
      </c>
      <c r="AN50" s="1">
        <f t="shared" si="15"/>
        <v>1.4930431710460117</v>
      </c>
      <c r="AO50">
        <f t="shared" si="16"/>
        <v>-21.285544116060336</v>
      </c>
      <c r="AQ50" s="8">
        <f t="shared" si="17"/>
        <v>1.6639999999999999</v>
      </c>
      <c r="AR50" s="8">
        <v>0.243968185</v>
      </c>
      <c r="AS50" s="8">
        <v>0.24942761299999999</v>
      </c>
      <c r="AT50" s="9">
        <v>0.24635668499999999</v>
      </c>
      <c r="AU50" s="8">
        <v>0.23037490999999999</v>
      </c>
      <c r="AW50" s="9">
        <f t="shared" si="18"/>
        <v>1.6639999999999999</v>
      </c>
      <c r="AY50" s="9">
        <f t="shared" si="19"/>
        <v>0.45309771318199998</v>
      </c>
      <c r="AZ50" s="9">
        <f t="shared" si="20"/>
        <v>0</v>
      </c>
      <c r="BA50" s="9">
        <f t="shared" si="21"/>
        <v>0</v>
      </c>
      <c r="BB50" s="9">
        <f t="shared" si="22"/>
        <v>0.83516675151141939</v>
      </c>
      <c r="BC50" s="9">
        <f t="shared" si="23"/>
        <v>0.37574632882991649</v>
      </c>
      <c r="BE50" s="1">
        <f t="shared" si="24"/>
        <v>-1.0793523335994593E-5</v>
      </c>
    </row>
    <row r="51" spans="2:57" x14ac:dyDescent="0.2">
      <c r="B51" s="12" t="s">
        <v>106</v>
      </c>
      <c r="C51" s="11" t="s">
        <v>77</v>
      </c>
      <c r="D51" s="11">
        <v>0</v>
      </c>
      <c r="E51" s="11">
        <v>0.1041</v>
      </c>
      <c r="F51" s="11">
        <v>1.8915999999999999</v>
      </c>
      <c r="G51" s="11">
        <v>0</v>
      </c>
      <c r="H51" s="11">
        <v>0</v>
      </c>
      <c r="I51" s="21">
        <f t="shared" si="0"/>
        <v>1.8915999999999999</v>
      </c>
      <c r="J51" s="11">
        <v>1.6870000000000001</v>
      </c>
      <c r="K51" s="11">
        <v>0.38027654282138029</v>
      </c>
      <c r="L51" s="11">
        <v>0.84523600252628417</v>
      </c>
      <c r="M51" s="11">
        <v>434628.32</v>
      </c>
      <c r="N51" s="11">
        <v>354088</v>
      </c>
      <c r="O51" s="11">
        <v>23.587199999999999</v>
      </c>
      <c r="Q51" s="14">
        <v>105.21100300000001</v>
      </c>
      <c r="R51" s="14">
        <v>-14.567418</v>
      </c>
      <c r="S51" s="14">
        <v>160</v>
      </c>
      <c r="T51" s="14">
        <v>120.282189</v>
      </c>
      <c r="U51" s="14">
        <v>137.475031</v>
      </c>
      <c r="V51" s="14">
        <v>107.559866</v>
      </c>
      <c r="W51" s="14">
        <v>27.957547000000002</v>
      </c>
      <c r="Y51" t="str">
        <f t="shared" si="1"/>
        <v>SW_Gasoline_Gasification_CCS_31_Agri</v>
      </c>
      <c r="Z51" t="str">
        <f t="shared" si="2"/>
        <v>Biomass_Agri</v>
      </c>
      <c r="AA51" s="10">
        <f t="shared" si="3"/>
        <v>105.53406115914154</v>
      </c>
      <c r="AB51" s="10">
        <f t="shared" si="4"/>
        <v>105.53406115914153</v>
      </c>
      <c r="AC51" s="5">
        <f t="shared" si="5"/>
        <v>0</v>
      </c>
      <c r="AD51" s="1">
        <f t="shared" si="6"/>
        <v>0</v>
      </c>
      <c r="AE51" s="1">
        <f t="shared" si="7"/>
        <v>1.5385814351342781</v>
      </c>
      <c r="AF51" s="1">
        <f t="array" ref="AF51">_xlfn.IFS(C51="Biomass_Corn", 1/I51*S51, C51="Biomass_Agri", 1/I51*V51, C51="Biomass_Wood", 1/I51*U51, C51="Biomass_Herb", 1/I51*T51)</f>
        <v>56.861844998942701</v>
      </c>
      <c r="AG51" s="1">
        <f t="shared" si="8"/>
        <v>29.143526363825483</v>
      </c>
      <c r="AH51" s="1">
        <f t="shared" si="9"/>
        <v>23.742983345204557</v>
      </c>
      <c r="AI51" s="1">
        <f t="shared" si="10"/>
        <v>12.46944385705223</v>
      </c>
      <c r="AJ51" s="1">
        <f t="shared" si="11"/>
        <v>1.4612463863385517E-6</v>
      </c>
      <c r="AK51" s="1">
        <f t="shared" si="12"/>
        <v>-18.222472580215651</v>
      </c>
      <c r="AL51">
        <f t="shared" si="13"/>
        <v>1.5373919793680452E-4</v>
      </c>
      <c r="AM51" s="1">
        <f t="shared" si="14"/>
        <v>-0.20103287097045675</v>
      </c>
      <c r="AN51" s="1">
        <f t="shared" si="15"/>
        <v>2.9285511497536194</v>
      </c>
      <c r="AO51">
        <f t="shared" si="16"/>
        <v>-21.150869990771337</v>
      </c>
      <c r="AQ51" s="8">
        <f t="shared" si="17"/>
        <v>1.6870000000000001</v>
      </c>
      <c r="AR51" s="8">
        <v>0.243968185</v>
      </c>
      <c r="AS51" s="8">
        <v>0.24942761299999999</v>
      </c>
      <c r="AT51" s="9">
        <v>0.24635668499999999</v>
      </c>
      <c r="AU51" s="8">
        <v>0.23037490999999999</v>
      </c>
      <c r="AW51" s="9">
        <f t="shared" si="18"/>
        <v>1.6870000000000001</v>
      </c>
      <c r="AY51" s="9">
        <f t="shared" si="19"/>
        <v>0.46149021874599999</v>
      </c>
      <c r="AZ51" s="9">
        <f t="shared" si="20"/>
        <v>0</v>
      </c>
      <c r="BA51" s="9">
        <f t="shared" si="21"/>
        <v>0</v>
      </c>
      <c r="BB51" s="9">
        <f t="shared" si="22"/>
        <v>0.84523600252628417</v>
      </c>
      <c r="BC51" s="9">
        <f t="shared" si="23"/>
        <v>0.38027654282138029</v>
      </c>
      <c r="BE51" s="1">
        <f t="shared" si="24"/>
        <v>-2.7640936643980041E-6</v>
      </c>
    </row>
    <row r="52" spans="2:57" x14ac:dyDescent="0.2">
      <c r="B52" s="12" t="s">
        <v>107</v>
      </c>
      <c r="C52" s="11" t="s">
        <v>77</v>
      </c>
      <c r="D52" s="11">
        <v>0</v>
      </c>
      <c r="E52" s="11">
        <v>0.1041</v>
      </c>
      <c r="F52" s="11">
        <v>1.8427</v>
      </c>
      <c r="G52" s="11">
        <v>0</v>
      </c>
      <c r="H52" s="11">
        <v>0</v>
      </c>
      <c r="I52" s="21">
        <f t="shared" si="0"/>
        <v>1.8427</v>
      </c>
      <c r="J52" s="11">
        <v>1.633</v>
      </c>
      <c r="K52" s="11">
        <v>0.36722015522059309</v>
      </c>
      <c r="L52" s="11">
        <v>0.81621573011808901</v>
      </c>
      <c r="M52" s="11">
        <v>434628.32</v>
      </c>
      <c r="N52" s="11">
        <v>354088</v>
      </c>
      <c r="O52" s="11">
        <v>23.587199999999999</v>
      </c>
      <c r="Q52" s="14">
        <v>105.21100300000001</v>
      </c>
      <c r="R52" s="14">
        <v>-19.477884</v>
      </c>
      <c r="S52" s="14">
        <v>160</v>
      </c>
      <c r="T52" s="14">
        <v>132.95547999999999</v>
      </c>
      <c r="U52" s="14">
        <v>152.57709199999999</v>
      </c>
      <c r="V52" s="14">
        <v>106.67488899999999</v>
      </c>
      <c r="W52" s="14">
        <v>20.174973000000001</v>
      </c>
      <c r="Y52" t="str">
        <f t="shared" si="1"/>
        <v>TX_Gasoline_Gasification_CCS_31_Agri</v>
      </c>
      <c r="Z52" t="str">
        <f t="shared" si="2"/>
        <v>Biomass_Agri</v>
      </c>
      <c r="AA52" s="10">
        <f t="shared" si="3"/>
        <v>109.03515582558137</v>
      </c>
      <c r="AB52" s="10">
        <f t="shared" si="4"/>
        <v>109.03515582558137</v>
      </c>
      <c r="AC52" s="5">
        <f t="shared" si="5"/>
        <v>0</v>
      </c>
      <c r="AD52" s="1">
        <f t="shared" si="6"/>
        <v>0</v>
      </c>
      <c r="AE52" s="1">
        <f t="shared" si="7"/>
        <v>1.1397485696532264</v>
      </c>
      <c r="AF52" s="1">
        <f t="array" ref="AF52">_xlfn.IFS(C52="Biomass_Corn", 1/I52*S52, C52="Biomass_Agri", 1/I52*V52, C52="Biomass_Wood", 1/I52*U52, C52="Biomass_Herb", 1/I52*T52)</f>
        <v>57.890535084387032</v>
      </c>
      <c r="AG52" s="1">
        <f t="shared" si="8"/>
        <v>29.916912394753503</v>
      </c>
      <c r="AH52" s="1">
        <f t="shared" si="9"/>
        <v>24.373054374444532</v>
      </c>
      <c r="AI52" s="1">
        <f t="shared" si="10"/>
        <v>12.800347316437835</v>
      </c>
      <c r="AJ52" s="1">
        <f t="shared" si="11"/>
        <v>-2.1382546360926905E-6</v>
      </c>
      <c r="AK52" s="1">
        <f t="shared" si="12"/>
        <v>-17.085216946179834</v>
      </c>
      <c r="AL52">
        <f t="shared" si="13"/>
        <v>-2.2496791493271199E-4</v>
      </c>
      <c r="AM52" s="1">
        <f t="shared" si="14"/>
        <v>-0.1992858823370115</v>
      </c>
      <c r="AN52" s="1">
        <f t="shared" si="15"/>
        <v>3.881625650322194</v>
      </c>
      <c r="AO52">
        <f t="shared" si="16"/>
        <v>-20.967067564416965</v>
      </c>
      <c r="AQ52" s="8">
        <f t="shared" si="17"/>
        <v>1.633</v>
      </c>
      <c r="AR52" s="8">
        <v>0.243968185</v>
      </c>
      <c r="AS52" s="8">
        <v>0.24942761299999999</v>
      </c>
      <c r="AT52" s="9">
        <v>0.24635668499999999</v>
      </c>
      <c r="AU52" s="8">
        <v>0.23037490999999999</v>
      </c>
      <c r="AW52" s="9">
        <f t="shared" si="18"/>
        <v>1.633</v>
      </c>
      <c r="AY52" s="9">
        <f t="shared" si="19"/>
        <v>0.44956017449950003</v>
      </c>
      <c r="AZ52" s="9">
        <f t="shared" si="20"/>
        <v>0</v>
      </c>
      <c r="BA52" s="9">
        <f t="shared" si="21"/>
        <v>0</v>
      </c>
      <c r="BB52" s="9">
        <f t="shared" si="22"/>
        <v>0.81621573011808901</v>
      </c>
      <c r="BC52" s="9">
        <f t="shared" si="23"/>
        <v>0.36722015522059309</v>
      </c>
      <c r="BE52" s="1">
        <f t="shared" si="24"/>
        <v>3.9401618179280007E-6</v>
      </c>
    </row>
    <row r="53" spans="2:57" x14ac:dyDescent="0.2">
      <c r="B53" s="12" t="s">
        <v>108</v>
      </c>
      <c r="C53" s="11" t="s">
        <v>77</v>
      </c>
      <c r="D53" s="11">
        <v>0</v>
      </c>
      <c r="E53" s="11">
        <v>0.1041</v>
      </c>
      <c r="F53" s="11">
        <v>1.9216</v>
      </c>
      <c r="G53" s="11">
        <v>0</v>
      </c>
      <c r="H53" s="11">
        <v>0</v>
      </c>
      <c r="I53" s="21">
        <f t="shared" si="0"/>
        <v>1.9216</v>
      </c>
      <c r="J53" s="11">
        <v>1.71</v>
      </c>
      <c r="K53" s="11">
        <v>0.38514310339459068</v>
      </c>
      <c r="L53" s="11">
        <v>0.85605284695858574</v>
      </c>
      <c r="M53" s="11">
        <v>434628.32</v>
      </c>
      <c r="N53" s="11">
        <v>354088</v>
      </c>
      <c r="O53" s="11">
        <v>23.587199999999999</v>
      </c>
      <c r="Q53" s="14">
        <v>105.21100300000001</v>
      </c>
      <c r="R53" s="14">
        <v>-39.686463000000003</v>
      </c>
      <c r="S53" s="14">
        <v>160</v>
      </c>
      <c r="T53" s="14">
        <v>100.757654</v>
      </c>
      <c r="U53" s="14">
        <v>111.990773</v>
      </c>
      <c r="V53" s="14">
        <v>89.243781999999996</v>
      </c>
      <c r="W53" s="14">
        <v>30.713950000000001</v>
      </c>
      <c r="Y53" t="str">
        <f t="shared" si="1"/>
        <v>NCEN_Gasoline_Gasification_CCS_31_Agri</v>
      </c>
      <c r="Z53" t="str">
        <f t="shared" si="2"/>
        <v>Biomass_Agri</v>
      </c>
      <c r="AA53" s="10">
        <f t="shared" si="3"/>
        <v>99.309247457831191</v>
      </c>
      <c r="AB53" s="10">
        <f t="shared" si="4"/>
        <v>99.309247457831177</v>
      </c>
      <c r="AC53" s="5">
        <f t="shared" si="5"/>
        <v>0</v>
      </c>
      <c r="AD53" s="1">
        <f t="shared" si="6"/>
        <v>0</v>
      </c>
      <c r="AE53" s="1">
        <f t="shared" si="7"/>
        <v>1.6638854053913406</v>
      </c>
      <c r="AF53" s="1">
        <f t="array" ref="AF53">_xlfn.IFS(C53="Biomass_Corn", 1/I53*S53, C53="Biomass_Agri", 1/I53*V53, C53="Biomass_Wood", 1/I53*U53, C53="Biomass_Herb", 1/I53*T53)</f>
        <v>46.442434429641963</v>
      </c>
      <c r="AG53" s="1">
        <f t="shared" si="8"/>
        <v>28.688537921426043</v>
      </c>
      <c r="AH53" s="1">
        <f t="shared" si="9"/>
        <v>23.372308126451365</v>
      </c>
      <c r="AI53" s="1">
        <f t="shared" si="10"/>
        <v>12.274771024146544</v>
      </c>
      <c r="AJ53" s="1">
        <f t="shared" si="11"/>
        <v>2.7137016946638057E-6</v>
      </c>
      <c r="AK53" s="1">
        <f t="shared" si="12"/>
        <v>-13.132974960503223</v>
      </c>
      <c r="AL53">
        <f t="shared" si="13"/>
        <v>2.8551127713837877E-4</v>
      </c>
      <c r="AM53" s="1">
        <f t="shared" si="14"/>
        <v>-0.20042562903071098</v>
      </c>
      <c r="AN53" s="1">
        <f t="shared" si="15"/>
        <v>7.9542920080009365</v>
      </c>
      <c r="AO53">
        <f t="shared" si="16"/>
        <v>-21.086981457227022</v>
      </c>
      <c r="AQ53" s="8">
        <f t="shared" si="17"/>
        <v>1.71</v>
      </c>
      <c r="AR53" s="8">
        <v>0.243968185</v>
      </c>
      <c r="AS53" s="8">
        <v>0.24942761299999999</v>
      </c>
      <c r="AT53" s="9">
        <v>0.24635668499999999</v>
      </c>
      <c r="AU53" s="8">
        <v>0.23037490999999999</v>
      </c>
      <c r="AW53" s="9">
        <f t="shared" si="18"/>
        <v>1.71</v>
      </c>
      <c r="AY53" s="9">
        <f t="shared" si="19"/>
        <v>0.46880926429600001</v>
      </c>
      <c r="AZ53" s="9">
        <f t="shared" si="20"/>
        <v>0</v>
      </c>
      <c r="BA53" s="9">
        <f t="shared" si="21"/>
        <v>0</v>
      </c>
      <c r="BB53" s="9">
        <f t="shared" si="22"/>
        <v>0.85605284695858574</v>
      </c>
      <c r="BC53" s="9">
        <f t="shared" si="23"/>
        <v>0.38514310339459068</v>
      </c>
      <c r="BE53" s="1">
        <f t="shared" si="24"/>
        <v>-5.2146491764659686E-6</v>
      </c>
    </row>
    <row r="54" spans="2:57" x14ac:dyDescent="0.2">
      <c r="B54" s="12" t="s">
        <v>109</v>
      </c>
      <c r="C54" s="11" t="s">
        <v>77</v>
      </c>
      <c r="D54" s="11">
        <v>0</v>
      </c>
      <c r="E54" s="11">
        <v>0.1041</v>
      </c>
      <c r="F54" s="11">
        <v>1.9071</v>
      </c>
      <c r="G54" s="11">
        <v>0</v>
      </c>
      <c r="H54" s="11">
        <v>0</v>
      </c>
      <c r="I54" s="21">
        <f t="shared" si="0"/>
        <v>1.9071</v>
      </c>
      <c r="J54" s="11">
        <v>1.7</v>
      </c>
      <c r="K54" s="11">
        <v>0.38313322978526709</v>
      </c>
      <c r="L54" s="11">
        <v>0.85158552556525535</v>
      </c>
      <c r="M54" s="11">
        <v>434628.32</v>
      </c>
      <c r="N54" s="11">
        <v>354088</v>
      </c>
      <c r="O54" s="11">
        <v>23.587199999999999</v>
      </c>
      <c r="Q54" s="14">
        <v>105.21100300000001</v>
      </c>
      <c r="R54" s="14">
        <v>-29.672038000000001</v>
      </c>
      <c r="S54" s="14">
        <v>160</v>
      </c>
      <c r="T54" s="14">
        <v>107.027154</v>
      </c>
      <c r="U54" s="14">
        <v>122.865223</v>
      </c>
      <c r="V54" s="14">
        <v>94.404420999999999</v>
      </c>
      <c r="W54" s="14">
        <v>25.118154000000001</v>
      </c>
      <c r="Y54" t="str">
        <f t="shared" si="1"/>
        <v>CEN_Gasoline_Gasification_CCS_31_Agri</v>
      </c>
      <c r="Z54" t="str">
        <f t="shared" si="2"/>
        <v>Biomass_Agri</v>
      </c>
      <c r="AA54" s="10">
        <f t="shared" si="3"/>
        <v>100.52123824371674</v>
      </c>
      <c r="AB54" s="10">
        <f t="shared" si="4"/>
        <v>100.52123824371674</v>
      </c>
      <c r="AC54" s="5">
        <f t="shared" si="5"/>
        <v>0</v>
      </c>
      <c r="AD54" s="1">
        <f t="shared" si="6"/>
        <v>0</v>
      </c>
      <c r="AE54" s="1">
        <f t="shared" si="7"/>
        <v>1.3710869023124115</v>
      </c>
      <c r="AF54" s="1">
        <f t="array" ref="AF54">_xlfn.IFS(C54="Biomass_Corn", 1/I54*S54, C54="Biomass_Agri", 1/I54*V54, C54="Biomass_Wood", 1/I54*U54, C54="Biomass_Herb", 1/I54*T54)</f>
        <v>49.501557862723509</v>
      </c>
      <c r="AG54" s="1">
        <f t="shared" si="8"/>
        <v>28.906661669452195</v>
      </c>
      <c r="AH54" s="1">
        <f t="shared" si="9"/>
        <v>23.550011690938565</v>
      </c>
      <c r="AI54" s="1">
        <f t="shared" si="10"/>
        <v>12.368098159509202</v>
      </c>
      <c r="AJ54" s="1">
        <f t="shared" si="11"/>
        <v>-4.9913669851904064E-6</v>
      </c>
      <c r="AK54" s="1">
        <f t="shared" si="12"/>
        <v>-15.175652894492293</v>
      </c>
      <c r="AL54">
        <f t="shared" si="13"/>
        <v>-5.2514672685296886E-4</v>
      </c>
      <c r="AM54" s="1">
        <f t="shared" si="14"/>
        <v>-0.20090333428831453</v>
      </c>
      <c r="AN54" s="1">
        <f t="shared" si="15"/>
        <v>5.9610632652987139</v>
      </c>
      <c r="AO54">
        <f t="shared" si="16"/>
        <v>-21.137241306517865</v>
      </c>
      <c r="AQ54" s="8">
        <f t="shared" si="17"/>
        <v>1.7</v>
      </c>
      <c r="AR54" s="8">
        <v>0.243968185</v>
      </c>
      <c r="AS54" s="8">
        <v>0.24942761299999999</v>
      </c>
      <c r="AT54" s="9">
        <v>0.24635668499999999</v>
      </c>
      <c r="AU54" s="8">
        <v>0.23037490999999999</v>
      </c>
      <c r="AW54" s="9">
        <f t="shared" si="18"/>
        <v>1.7</v>
      </c>
      <c r="AY54" s="9">
        <f t="shared" si="19"/>
        <v>0.4652717256135</v>
      </c>
      <c r="AZ54" s="9">
        <f t="shared" si="20"/>
        <v>0</v>
      </c>
      <c r="BA54" s="9">
        <f t="shared" si="21"/>
        <v>0</v>
      </c>
      <c r="BB54" s="9">
        <f t="shared" si="22"/>
        <v>0.85158552556525535</v>
      </c>
      <c r="BC54" s="9">
        <f t="shared" si="23"/>
        <v>0.38313322978526709</v>
      </c>
      <c r="BE54" s="1">
        <f t="shared" si="24"/>
        <v>9.5190359774566247E-6</v>
      </c>
    </row>
    <row r="55" spans="2:57" x14ac:dyDescent="0.2">
      <c r="B55" s="12" t="s">
        <v>110</v>
      </c>
      <c r="C55" s="11" t="s">
        <v>77</v>
      </c>
      <c r="D55" s="11">
        <v>0</v>
      </c>
      <c r="E55" s="11">
        <v>0.1041</v>
      </c>
      <c r="F55" s="11">
        <v>1.9137999999999999</v>
      </c>
      <c r="G55" s="11">
        <v>0</v>
      </c>
      <c r="H55" s="11">
        <v>0</v>
      </c>
      <c r="I55" s="21">
        <f t="shared" si="0"/>
        <v>1.9137999999999999</v>
      </c>
      <c r="J55" s="11">
        <v>1.6890000000000001</v>
      </c>
      <c r="K55" s="11">
        <v>0.37921540991264729</v>
      </c>
      <c r="L55" s="11">
        <v>0.84287743543910032</v>
      </c>
      <c r="M55" s="11">
        <v>434628.32</v>
      </c>
      <c r="N55" s="11">
        <v>354088</v>
      </c>
      <c r="O55" s="11">
        <v>23.587199999999999</v>
      </c>
      <c r="Q55" s="14">
        <v>105.21100300000001</v>
      </c>
      <c r="R55" s="14">
        <v>-45.510345000000001</v>
      </c>
      <c r="S55" s="14">
        <v>160</v>
      </c>
      <c r="T55" s="14">
        <v>97.593261999999996</v>
      </c>
      <c r="U55" s="14">
        <v>109.791234</v>
      </c>
      <c r="V55" s="14">
        <v>86.911507</v>
      </c>
      <c r="W55" s="14">
        <v>38.099075999999997</v>
      </c>
      <c r="Y55" t="str">
        <f t="shared" si="1"/>
        <v>SE_Gasoline_Gasification_CCS_31_Agri</v>
      </c>
      <c r="Z55" t="str">
        <f t="shared" si="2"/>
        <v>Biomass_Agri</v>
      </c>
      <c r="AA55" s="10">
        <f t="shared" si="3"/>
        <v>100.25365475675059</v>
      </c>
      <c r="AB55" s="10">
        <f t="shared" si="4"/>
        <v>100.25365475675058</v>
      </c>
      <c r="AC55" s="5">
        <f t="shared" si="5"/>
        <v>0</v>
      </c>
      <c r="AD55" s="1">
        <f t="shared" si="6"/>
        <v>0</v>
      </c>
      <c r="AE55" s="1">
        <f t="shared" si="7"/>
        <v>2.072376325425854</v>
      </c>
      <c r="AF55" s="1">
        <f t="array" ref="AF55">_xlfn.IFS(C55="Biomass_Corn", 1/I55*S55, C55="Biomass_Agri", 1/I55*V55, C55="Biomass_Wood", 1/I55*U55, C55="Biomass_Herb", 1/I55*T55)</f>
        <v>45.413056223220821</v>
      </c>
      <c r="AG55" s="1">
        <f t="shared" si="8"/>
        <v>28.805462676252631</v>
      </c>
      <c r="AH55" s="1">
        <f t="shared" si="9"/>
        <v>23.467565730896091</v>
      </c>
      <c r="AI55" s="1">
        <f t="shared" si="10"/>
        <v>12.324798829553767</v>
      </c>
      <c r="AJ55" s="1">
        <f t="shared" si="11"/>
        <v>-4.4006440193658515E-7</v>
      </c>
      <c r="AK55" s="1">
        <f t="shared" si="12"/>
        <v>-11.829558728981485</v>
      </c>
      <c r="AL55">
        <f t="shared" si="13"/>
        <v>-4.6299617112343267E-5</v>
      </c>
      <c r="AM55" s="1">
        <f t="shared" si="14"/>
        <v>-0.19814831858496168</v>
      </c>
      <c r="AN55" s="1">
        <f t="shared" si="15"/>
        <v>9.0177783124887654</v>
      </c>
      <c r="AO55">
        <f t="shared" si="16"/>
        <v>-20.847383341087362</v>
      </c>
      <c r="AQ55" s="8">
        <f t="shared" si="17"/>
        <v>1.6890000000000001</v>
      </c>
      <c r="AR55" s="8">
        <v>0.243968185</v>
      </c>
      <c r="AS55" s="8">
        <v>0.24942761299999999</v>
      </c>
      <c r="AT55" s="9">
        <v>0.24635668499999999</v>
      </c>
      <c r="AU55" s="8">
        <v>0.23037490999999999</v>
      </c>
      <c r="AW55" s="9">
        <f t="shared" si="18"/>
        <v>1.6890000000000001</v>
      </c>
      <c r="AY55" s="9">
        <f t="shared" si="19"/>
        <v>0.46690631245300002</v>
      </c>
      <c r="AZ55" s="9">
        <f t="shared" si="20"/>
        <v>0</v>
      </c>
      <c r="BA55" s="9">
        <f t="shared" si="21"/>
        <v>0</v>
      </c>
      <c r="BB55" s="9">
        <f t="shared" si="22"/>
        <v>0.84287743543910032</v>
      </c>
      <c r="BC55" s="9">
        <f t="shared" si="23"/>
        <v>0.37921540991264729</v>
      </c>
      <c r="BE55" s="1">
        <f t="shared" si="24"/>
        <v>8.4219525242623661E-7</v>
      </c>
    </row>
    <row r="56" spans="2:57" x14ac:dyDescent="0.2">
      <c r="B56" s="12" t="s">
        <v>111</v>
      </c>
      <c r="C56" s="11" t="s">
        <v>77</v>
      </c>
      <c r="D56" s="11">
        <v>0</v>
      </c>
      <c r="E56" s="11">
        <v>0.1041</v>
      </c>
      <c r="F56" s="11">
        <v>1.9194</v>
      </c>
      <c r="G56" s="11">
        <v>0</v>
      </c>
      <c r="H56" s="11">
        <v>0</v>
      </c>
      <c r="I56" s="21">
        <f t="shared" si="0"/>
        <v>1.9194</v>
      </c>
      <c r="J56" s="11">
        <v>1.708</v>
      </c>
      <c r="K56" s="11">
        <v>0.38469067668546397</v>
      </c>
      <c r="L56" s="11">
        <v>0.85504724366730411</v>
      </c>
      <c r="M56" s="11">
        <v>434628.32</v>
      </c>
      <c r="N56" s="11">
        <v>354088</v>
      </c>
      <c r="O56" s="11">
        <v>23.587199999999999</v>
      </c>
      <c r="Q56" s="14">
        <v>105.21100300000001</v>
      </c>
      <c r="R56" s="14">
        <v>-50.334515000000003</v>
      </c>
      <c r="S56" s="14">
        <v>160</v>
      </c>
      <c r="T56" s="14">
        <v>98.707491000000005</v>
      </c>
      <c r="U56" s="14">
        <v>106.53195700000001</v>
      </c>
      <c r="V56" s="14">
        <v>87.469328000000004</v>
      </c>
      <c r="W56" s="14">
        <v>39.29871</v>
      </c>
      <c r="Y56" t="str">
        <f t="shared" si="1"/>
        <v>MIDAT_Gasoline_Gasification_CCS_31_Agri</v>
      </c>
      <c r="Z56" t="str">
        <f t="shared" si="2"/>
        <v>Biomass_Agri</v>
      </c>
      <c r="AA56" s="10">
        <f t="shared" si="3"/>
        <v>101.11403152917886</v>
      </c>
      <c r="AB56" s="10">
        <f t="shared" si="4"/>
        <v>101.11403152917887</v>
      </c>
      <c r="AC56" s="5">
        <f t="shared" si="5"/>
        <v>0</v>
      </c>
      <c r="AD56" s="1">
        <f t="shared" si="6"/>
        <v>0</v>
      </c>
      <c r="AE56" s="1">
        <f t="shared" si="7"/>
        <v>2.1313929931228506</v>
      </c>
      <c r="AF56" s="1">
        <f t="array" ref="AF56">_xlfn.IFS(C56="Biomass_Corn", 1/I56*S56, C56="Biomass_Agri", 1/I56*V56, C56="Biomass_Wood", 1/I56*U56, C56="Biomass_Herb", 1/I56*T56)</f>
        <v>45.571182661248308</v>
      </c>
      <c r="AG56" s="1">
        <f t="shared" si="8"/>
        <v>28.721420480260644</v>
      </c>
      <c r="AH56" s="1">
        <f t="shared" si="9"/>
        <v>23.399097267786257</v>
      </c>
      <c r="AI56" s="1">
        <f t="shared" si="10"/>
        <v>12.288840262582056</v>
      </c>
      <c r="AJ56" s="1">
        <f t="shared" si="11"/>
        <v>5.4468280546400965E-6</v>
      </c>
      <c r="AK56" s="1">
        <f t="shared" si="12"/>
        <v>-10.998475202064053</v>
      </c>
      <c r="AL56">
        <f t="shared" si="13"/>
        <v>5.7306624279722341E-4</v>
      </c>
      <c r="AM56" s="1">
        <f t="shared" si="14"/>
        <v>-0.20041691259961228</v>
      </c>
      <c r="AN56" s="1">
        <f t="shared" si="15"/>
        <v>10.088162256947294</v>
      </c>
      <c r="AO56">
        <f t="shared" si="16"/>
        <v>-21.086064392768545</v>
      </c>
      <c r="AQ56" s="8">
        <f t="shared" si="17"/>
        <v>1.708</v>
      </c>
      <c r="AR56" s="8">
        <v>0.243968185</v>
      </c>
      <c r="AS56" s="8">
        <v>0.24942761299999999</v>
      </c>
      <c r="AT56" s="9">
        <v>0.24635668499999999</v>
      </c>
      <c r="AU56" s="8">
        <v>0.23037490999999999</v>
      </c>
      <c r="AW56" s="9">
        <f t="shared" si="18"/>
        <v>1.708</v>
      </c>
      <c r="AY56" s="9">
        <f t="shared" si="19"/>
        <v>0.46827253428900001</v>
      </c>
      <c r="AZ56" s="9">
        <f t="shared" si="20"/>
        <v>0</v>
      </c>
      <c r="BA56" s="9">
        <f t="shared" si="21"/>
        <v>0</v>
      </c>
      <c r="BB56" s="9">
        <f t="shared" si="22"/>
        <v>0.85504724366730411</v>
      </c>
      <c r="BC56" s="9">
        <f t="shared" si="23"/>
        <v>0.38469067668546397</v>
      </c>
      <c r="BE56" s="1">
        <f t="shared" si="24"/>
        <v>-1.04546417680762E-5</v>
      </c>
    </row>
    <row r="57" spans="2:57" x14ac:dyDescent="0.2">
      <c r="B57" s="12" t="s">
        <v>112</v>
      </c>
      <c r="C57" s="11" t="s">
        <v>77</v>
      </c>
      <c r="D57" s="11">
        <v>0</v>
      </c>
      <c r="E57" s="11">
        <v>0.1041</v>
      </c>
      <c r="F57" s="11">
        <v>1.9416</v>
      </c>
      <c r="G57" s="11">
        <v>0</v>
      </c>
      <c r="H57" s="11">
        <v>0</v>
      </c>
      <c r="I57" s="21">
        <f t="shared" si="0"/>
        <v>1.9416</v>
      </c>
      <c r="J57" s="11">
        <v>1.7150000000000001</v>
      </c>
      <c r="K57" s="11">
        <v>0.38518104377673101</v>
      </c>
      <c r="L57" s="11">
        <v>0.85613717658012034</v>
      </c>
      <c r="M57" s="11">
        <v>434628.32</v>
      </c>
      <c r="N57" s="11">
        <v>354088</v>
      </c>
      <c r="O57" s="11">
        <v>23.587199999999999</v>
      </c>
      <c r="Q57" s="14">
        <v>105.21100300000001</v>
      </c>
      <c r="R57" s="14">
        <v>-58.833413</v>
      </c>
      <c r="S57" s="14">
        <v>160</v>
      </c>
      <c r="T57" s="14">
        <v>99.493746999999999</v>
      </c>
      <c r="U57" s="14">
        <v>105.21395800000001</v>
      </c>
      <c r="V57" s="14">
        <v>89.700445000000002</v>
      </c>
      <c r="W57" s="14">
        <v>47.365060999999997</v>
      </c>
      <c r="Y57" t="str">
        <f t="shared" si="1"/>
        <v>NE_Gasoline_Gasification_CCS_31_Agri</v>
      </c>
      <c r="Z57" t="str">
        <f t="shared" si="2"/>
        <v>Biomass_Agri</v>
      </c>
      <c r="AA57" s="10">
        <f t="shared" si="3"/>
        <v>103.21148620401954</v>
      </c>
      <c r="AB57" s="10">
        <f t="shared" si="4"/>
        <v>103.21148620401954</v>
      </c>
      <c r="AC57" s="5">
        <f t="shared" si="5"/>
        <v>0</v>
      </c>
      <c r="AD57" s="1">
        <f t="shared" si="6"/>
        <v>0</v>
      </c>
      <c r="AE57" s="1">
        <f t="shared" si="7"/>
        <v>2.5395049701792334</v>
      </c>
      <c r="AF57" s="1">
        <f t="array" ref="AF57">_xlfn.IFS(C57="Biomass_Corn", 1/I57*S57, C57="Biomass_Agri", 1/I57*V57, C57="Biomass_Wood", 1/I57*U57, C57="Biomass_Herb", 1/I57*T57)</f>
        <v>46.199240317264113</v>
      </c>
      <c r="AG57" s="1">
        <f t="shared" si="8"/>
        <v>28.393023521740975</v>
      </c>
      <c r="AH57" s="1">
        <f t="shared" si="9"/>
        <v>23.131555055515523</v>
      </c>
      <c r="AI57" s="1">
        <f t="shared" si="10"/>
        <v>12.148331273176762</v>
      </c>
      <c r="AJ57" s="1">
        <f t="shared" si="11"/>
        <v>3.5271697832982899E-6</v>
      </c>
      <c r="AK57" s="1">
        <f t="shared" si="12"/>
        <v>-9.2005400309277316</v>
      </c>
      <c r="AL57">
        <f t="shared" si="13"/>
        <v>3.7109707065210572E-4</v>
      </c>
      <c r="AM57" s="1">
        <f t="shared" si="14"/>
        <v>-0.19837978750714858</v>
      </c>
      <c r="AN57" s="1">
        <f t="shared" si="15"/>
        <v>11.671567484696897</v>
      </c>
      <c r="AO57">
        <f t="shared" si="16"/>
        <v>-20.871736418553972</v>
      </c>
      <c r="AQ57" s="8">
        <f t="shared" si="17"/>
        <v>1.7150000000000001</v>
      </c>
      <c r="AR57" s="8">
        <v>0.243968185</v>
      </c>
      <c r="AS57" s="8">
        <v>0.24942761299999999</v>
      </c>
      <c r="AT57" s="9">
        <v>0.24635668499999999</v>
      </c>
      <c r="AU57" s="8">
        <v>0.23037490999999999</v>
      </c>
      <c r="AW57" s="9">
        <f t="shared" si="18"/>
        <v>1.7150000000000001</v>
      </c>
      <c r="AY57" s="9">
        <f t="shared" si="19"/>
        <v>0.47368862799600003</v>
      </c>
      <c r="AZ57" s="9">
        <f t="shared" si="20"/>
        <v>0</v>
      </c>
      <c r="BA57" s="9">
        <f t="shared" si="21"/>
        <v>0</v>
      </c>
      <c r="BB57" s="9">
        <f t="shared" si="22"/>
        <v>0.85613717658012034</v>
      </c>
      <c r="BC57" s="9">
        <f t="shared" si="23"/>
        <v>0.38518104377673101</v>
      </c>
      <c r="BE57" s="1">
        <f t="shared" si="24"/>
        <v>-6.8483528512519598E-6</v>
      </c>
    </row>
    <row r="58" spans="2:57" x14ac:dyDescent="0.2">
      <c r="B58" s="12" t="s">
        <v>113</v>
      </c>
      <c r="C58" s="11" t="s">
        <v>57</v>
      </c>
      <c r="D58" s="11">
        <v>0</v>
      </c>
      <c r="E58" s="11">
        <v>1.1596</v>
      </c>
      <c r="F58" s="11">
        <v>2.0204</v>
      </c>
      <c r="G58" s="11">
        <v>0</v>
      </c>
      <c r="H58" s="11">
        <v>0</v>
      </c>
      <c r="I58" s="21">
        <f t="shared" si="0"/>
        <v>2.0204</v>
      </c>
      <c r="J58" s="11">
        <v>1.7210000000000001</v>
      </c>
      <c r="K58" s="11">
        <v>1.2196045452022839</v>
      </c>
      <c r="L58" s="11">
        <v>8.4737401690622993E-3</v>
      </c>
      <c r="M58" s="11">
        <v>590486.4</v>
      </c>
      <c r="N58" s="11">
        <v>434613.76000000001</v>
      </c>
      <c r="O58" s="11">
        <v>28.7392</v>
      </c>
      <c r="Q58" s="15">
        <v>105.21100300000001</v>
      </c>
      <c r="R58" s="15">
        <v>-6.4122130000000004</v>
      </c>
      <c r="S58" s="15">
        <v>160</v>
      </c>
      <c r="T58" s="14">
        <v>313632.96735400002</v>
      </c>
      <c r="U58" s="14">
        <v>154.036981</v>
      </c>
      <c r="V58" s="14">
        <v>132.85973799999999</v>
      </c>
      <c r="W58" s="14">
        <v>36.488697999999999</v>
      </c>
      <c r="Y58" t="str">
        <f t="shared" si="1"/>
        <v>CA_Gasoline_Gasification_CCS_99_Herb</v>
      </c>
      <c r="Z58" t="str">
        <f t="shared" si="2"/>
        <v>Biomass_Herb</v>
      </c>
      <c r="AA58" s="10">
        <f t="shared" si="3"/>
        <v>155272.98820188877</v>
      </c>
      <c r="AB58" s="10">
        <f t="shared" si="4"/>
        <v>155272.98820188874</v>
      </c>
      <c r="AC58" s="5">
        <f t="shared" si="5"/>
        <v>0</v>
      </c>
      <c r="AD58" s="1">
        <f t="shared" si="6"/>
        <v>0</v>
      </c>
      <c r="AE58" s="1">
        <f t="shared" si="7"/>
        <v>20.942533261136408</v>
      </c>
      <c r="AF58" s="1">
        <f t="array" ref="AF58">_xlfn.IFS(C58="Biomass_Corn", 1/I58*S58, C58="Biomass_Agri", 1/I58*V58, C58="Biomass_Wood", 1/I58*U58, C58="Biomass_Herb", 1/I58*T58)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     <f t="shared" si="10"/>
        <v>14.224509998020194</v>
      </c>
      <c r="AJ58" s="1">
        <f t="shared" si="11"/>
        <v>-4.1544519174386806E-6</v>
      </c>
      <c r="AK58" s="1">
        <f t="shared" si="12"/>
        <v>-59.639404743855657</v>
      </c>
      <c r="AL58">
        <f t="shared" si="13"/>
        <v>-4.3709405314899683E-4</v>
      </c>
      <c r="AM58" s="1">
        <f t="shared" si="14"/>
        <v>-0.60364924710796752</v>
      </c>
      <c r="AN58" s="1">
        <f t="shared" si="15"/>
        <v>3.8707009105153301</v>
      </c>
      <c r="AO58">
        <f t="shared" si="16"/>
        <v>-63.510542748424115</v>
      </c>
      <c r="AQ58" s="8">
        <f t="shared" si="17"/>
        <v>1.7210000000000001</v>
      </c>
      <c r="AR58" s="8">
        <v>0.243968185</v>
      </c>
      <c r="AS58" s="8">
        <v>0.24942761299999999</v>
      </c>
      <c r="AT58" s="9">
        <v>0.24635668499999999</v>
      </c>
      <c r="AU58" s="8">
        <v>0.23037490999999999</v>
      </c>
      <c r="AW58" s="9">
        <f t="shared" si="18"/>
        <v>1.7210000000000001</v>
      </c>
      <c r="AY58" s="9">
        <f t="shared" si="19"/>
        <v>0.49291332097399998</v>
      </c>
      <c r="AZ58" s="9">
        <f t="shared" si="20"/>
        <v>0</v>
      </c>
      <c r="BA58" s="9">
        <f t="shared" si="21"/>
        <v>0</v>
      </c>
      <c r="BB58" s="9">
        <f t="shared" si="22"/>
        <v>8.4737401690622993E-3</v>
      </c>
      <c r="BC58" s="9">
        <f t="shared" si="23"/>
        <v>1.2196045452022839</v>
      </c>
      <c r="BE58" s="1">
        <f t="shared" si="24"/>
        <v>8.3936546539931101E-6</v>
      </c>
    </row>
    <row r="59" spans="2:57" x14ac:dyDescent="0.2">
      <c r="B59" s="12" t="s">
        <v>114</v>
      </c>
      <c r="C59" s="11" t="s">
        <v>57</v>
      </c>
      <c r="D59" s="11">
        <v>0</v>
      </c>
      <c r="E59" s="11">
        <v>1.1596</v>
      </c>
      <c r="F59" s="11">
        <v>2.0249000000000001</v>
      </c>
      <c r="G59" s="11">
        <v>0</v>
      </c>
      <c r="H59" s="11">
        <v>0</v>
      </c>
      <c r="I59" s="21">
        <f t="shared" si="0"/>
        <v>2.0249000000000001</v>
      </c>
      <c r="J59" s="11">
        <v>1.726</v>
      </c>
      <c r="K59" s="11">
        <v>1.2234935843890939</v>
      </c>
      <c r="L59" s="11">
        <v>8.5007609830678992E-3</v>
      </c>
      <c r="M59" s="11">
        <v>590486.4</v>
      </c>
      <c r="N59" s="11">
        <v>434613.76000000001</v>
      </c>
      <c r="O59" s="11">
        <v>28.7392</v>
      </c>
      <c r="Q59" s="15">
        <v>105.21100300000001</v>
      </c>
      <c r="R59" s="15">
        <v>-7.3796590000000002</v>
      </c>
      <c r="S59" s="15">
        <v>160</v>
      </c>
      <c r="T59" s="14">
        <v>130.996602</v>
      </c>
      <c r="U59" s="14">
        <v>149.05667199999999</v>
      </c>
      <c r="V59" s="14">
        <v>112.26938</v>
      </c>
      <c r="W59" s="14">
        <v>26.787863000000002</v>
      </c>
      <c r="Y59" t="str">
        <f t="shared" si="1"/>
        <v>NW_Gasoline_Gasification_CCS_99_Herb</v>
      </c>
      <c r="Z59" t="str">
        <f t="shared" si="2"/>
        <v>Biomass_Herb</v>
      </c>
      <c r="AA59" s="10">
        <f t="shared" si="3"/>
        <v>99.326593235369401</v>
      </c>
      <c r="AB59" s="10">
        <f t="shared" si="4"/>
        <v>99.326593235369387</v>
      </c>
      <c r="AC59" s="5">
        <f t="shared" si="5"/>
        <v>0</v>
      </c>
      <c r="AD59" s="1">
        <f t="shared" si="6"/>
        <v>0</v>
      </c>
      <c r="AE59" s="1">
        <f t="shared" si="7"/>
        <v>15.340612343720677</v>
      </c>
      <c r="AF59" s="1">
        <f t="array" ref="AF59">_xlfn.IFS(C59="Biomass_Corn", 1/I59*S59, C59="Biomass_Agri", 1/I59*V59, C59="Biomass_Wood", 1/I59*U59, C59="Biomass_Herb", 1/I59*T59)</f>
        <v>64.69287470986221</v>
      </c>
      <c r="AG59" s="1">
        <f t="shared" si="8"/>
        <v>36.987902441092416</v>
      </c>
      <c r="AH59" s="1">
        <f t="shared" si="9"/>
        <v>27.224083999964016</v>
      </c>
      <c r="AI59" s="1">
        <f t="shared" si="10"/>
        <v>14.192898414736529</v>
      </c>
      <c r="AJ59" s="1">
        <f t="shared" si="11"/>
        <v>2.7276303333405972E-6</v>
      </c>
      <c r="AK59" s="1">
        <f t="shared" si="12"/>
        <v>-59.112065650729647</v>
      </c>
      <c r="AL59">
        <f t="shared" si="13"/>
        <v>2.8697672318398859E-4</v>
      </c>
      <c r="AM59" s="1">
        <f t="shared" si="14"/>
        <v>-0.6042214732630905</v>
      </c>
      <c r="AN59" s="1">
        <f t="shared" si="15"/>
        <v>4.4589685621409627</v>
      </c>
      <c r="AO59">
        <f t="shared" si="16"/>
        <v>-63.57074723614744</v>
      </c>
      <c r="AQ59" s="8">
        <f t="shared" si="17"/>
        <v>1.726</v>
      </c>
      <c r="AR59" s="8">
        <v>0.243968185</v>
      </c>
      <c r="AS59" s="8">
        <v>0.24942761299999999</v>
      </c>
      <c r="AT59" s="9">
        <v>0.24635668499999999</v>
      </c>
      <c r="AU59" s="8">
        <v>0.23037490999999999</v>
      </c>
      <c r="AW59" s="9">
        <f t="shared" si="18"/>
        <v>1.726</v>
      </c>
      <c r="AY59" s="9">
        <f t="shared" si="19"/>
        <v>0.49401117780650006</v>
      </c>
      <c r="AZ59" s="9">
        <f t="shared" si="20"/>
        <v>0</v>
      </c>
      <c r="BA59" s="9">
        <f t="shared" si="21"/>
        <v>0</v>
      </c>
      <c r="BB59" s="9">
        <f t="shared" si="22"/>
        <v>8.5007609830678992E-3</v>
      </c>
      <c r="BC59" s="9">
        <f t="shared" si="23"/>
        <v>1.2234935843890939</v>
      </c>
      <c r="BE59" s="1">
        <f t="shared" si="24"/>
        <v>-5.5231786619813761E-6</v>
      </c>
    </row>
    <row r="60" spans="2:57" x14ac:dyDescent="0.2">
      <c r="B60" s="12" t="s">
        <v>115</v>
      </c>
      <c r="C60" s="11" t="s">
        <v>57</v>
      </c>
      <c r="D60" s="11">
        <v>0</v>
      </c>
      <c r="E60" s="11">
        <v>1.1596</v>
      </c>
      <c r="F60" s="11">
        <v>2.0114999999999998</v>
      </c>
      <c r="G60" s="11">
        <v>0</v>
      </c>
      <c r="H60" s="11">
        <v>0</v>
      </c>
      <c r="I60" s="21">
        <f t="shared" si="0"/>
        <v>2.0114999999999998</v>
      </c>
      <c r="J60" s="11">
        <v>1.71</v>
      </c>
      <c r="K60" s="11">
        <v>1.2108333668286611</v>
      </c>
      <c r="L60" s="11">
        <v>8.412798541051E-3</v>
      </c>
      <c r="M60" s="11">
        <v>590486.4</v>
      </c>
      <c r="N60" s="11">
        <v>434613.76000000001</v>
      </c>
      <c r="O60" s="11">
        <v>28.7392</v>
      </c>
      <c r="Q60" s="15">
        <v>105.21100300000001</v>
      </c>
      <c r="R60" s="15">
        <v>-14.567418</v>
      </c>
      <c r="S60" s="15">
        <v>160</v>
      </c>
      <c r="T60" s="14">
        <v>120.282189</v>
      </c>
      <c r="U60" s="14">
        <v>137.475031</v>
      </c>
      <c r="V60" s="14">
        <v>107.559866</v>
      </c>
      <c r="W60" s="14">
        <v>27.957547000000002</v>
      </c>
      <c r="Y60" t="str">
        <f t="shared" si="1"/>
        <v>SW_Gasoline_Gasification_CCS_99_Herb</v>
      </c>
      <c r="Z60" t="str">
        <f t="shared" si="2"/>
        <v>Biomass_Herb</v>
      </c>
      <c r="AA60" s="10">
        <f t="shared" si="3"/>
        <v>100.27754906271984</v>
      </c>
      <c r="AB60" s="10">
        <f t="shared" si="4"/>
        <v>100.27754906271984</v>
      </c>
      <c r="AC60" s="5">
        <f t="shared" si="5"/>
        <v>0</v>
      </c>
      <c r="AD60" s="1">
        <f t="shared" si="6"/>
        <v>0</v>
      </c>
      <c r="AE60" s="1">
        <f t="shared" si="7"/>
        <v>16.117112354561275</v>
      </c>
      <c r="AF60" s="1">
        <f t="array" ref="AF60">_xlfn.IFS(C60="Biomass_Corn", 1/I60*S60, C60="Biomass_Agri", 1/I60*V60, C60="Biomass_Wood", 1/I60*U60, C60="Biomass_Herb", 1/I60*T60)</f>
        <v>59.797260253542142</v>
      </c>
      <c r="AG60" s="1">
        <f t="shared" si="8"/>
        <v>37.234304575176758</v>
      </c>
      <c r="AH60" s="1">
        <f t="shared" si="9"/>
        <v>27.405442551094779</v>
      </c>
      <c r="AI60" s="1">
        <f t="shared" si="10"/>
        <v>14.287447178722347</v>
      </c>
      <c r="AJ60" s="1">
        <f t="shared" si="11"/>
        <v>-5.8814331534076071E-6</v>
      </c>
      <c r="AK60" s="1">
        <f t="shared" si="12"/>
        <v>-54.563399058896309</v>
      </c>
      <c r="AL60">
        <f t="shared" si="13"/>
        <v>-6.1879148114746729E-4</v>
      </c>
      <c r="AM60" s="1">
        <f t="shared" si="14"/>
        <v>-0.60196132106957445</v>
      </c>
      <c r="AN60" s="1">
        <f t="shared" si="15"/>
        <v>8.768936506557516</v>
      </c>
      <c r="AO60">
        <f t="shared" si="16"/>
        <v>-63.332954356934962</v>
      </c>
      <c r="AQ60" s="8">
        <f t="shared" si="17"/>
        <v>1.71</v>
      </c>
      <c r="AR60" s="8">
        <v>0.243968185</v>
      </c>
      <c r="AS60" s="8">
        <v>0.24942761299999999</v>
      </c>
      <c r="AT60" s="9">
        <v>0.24635668499999999</v>
      </c>
      <c r="AU60" s="8">
        <v>0.23037490999999999</v>
      </c>
      <c r="AW60" s="9">
        <f t="shared" si="18"/>
        <v>1.71</v>
      </c>
      <c r="AY60" s="9">
        <f t="shared" si="19"/>
        <v>0.49074200412749996</v>
      </c>
      <c r="AZ60" s="9">
        <f t="shared" si="20"/>
        <v>0</v>
      </c>
      <c r="BA60" s="9">
        <f t="shared" si="21"/>
        <v>0</v>
      </c>
      <c r="BB60" s="9">
        <f t="shared" si="22"/>
        <v>8.412798541051E-3</v>
      </c>
      <c r="BC60" s="9">
        <f t="shared" si="23"/>
        <v>1.2108333668286611</v>
      </c>
      <c r="BE60" s="1">
        <f t="shared" si="24"/>
        <v>1.18305027880794E-5</v>
      </c>
    </row>
    <row r="61" spans="2:57" x14ac:dyDescent="0.2">
      <c r="B61" s="12" t="s">
        <v>116</v>
      </c>
      <c r="C61" s="11" t="s">
        <v>57</v>
      </c>
      <c r="D61" s="11">
        <v>0</v>
      </c>
      <c r="E61" s="11">
        <v>1.1596</v>
      </c>
      <c r="F61" s="11">
        <v>2.016</v>
      </c>
      <c r="G61" s="11">
        <v>0</v>
      </c>
      <c r="H61" s="11">
        <v>0</v>
      </c>
      <c r="I61" s="21">
        <f t="shared" si="0"/>
        <v>2.016</v>
      </c>
      <c r="J61" s="11">
        <v>1.714</v>
      </c>
      <c r="K61" s="11">
        <v>1.213729306015473</v>
      </c>
      <c r="L61" s="11">
        <v>8.4329193550565992E-3</v>
      </c>
      <c r="M61" s="11">
        <v>590486.4</v>
      </c>
      <c r="N61" s="11">
        <v>434613.76000000001</v>
      </c>
      <c r="O61" s="11">
        <v>28.7392</v>
      </c>
      <c r="Q61" s="15">
        <v>105.21100300000001</v>
      </c>
      <c r="R61" s="15">
        <v>-19.477884</v>
      </c>
      <c r="S61" s="15">
        <v>160</v>
      </c>
      <c r="T61" s="14">
        <v>132.95547999999999</v>
      </c>
      <c r="U61" s="14">
        <v>152.57709199999999</v>
      </c>
      <c r="V61" s="14">
        <v>106.67488899999999</v>
      </c>
      <c r="W61" s="14">
        <v>20.174973000000001</v>
      </c>
      <c r="Y61" t="str">
        <f t="shared" si="1"/>
        <v>TX_Gasoline_Gasification_CCS_99_Herb</v>
      </c>
      <c r="Z61" t="str">
        <f t="shared" si="2"/>
        <v>Biomass_Herb</v>
      </c>
      <c r="AA61" s="10">
        <f t="shared" si="3"/>
        <v>104.69040204058078</v>
      </c>
      <c r="AB61" s="10">
        <f t="shared" si="4"/>
        <v>104.69040204058078</v>
      </c>
      <c r="AC61" s="5">
        <f t="shared" si="5"/>
        <v>0</v>
      </c>
      <c r="AD61" s="1">
        <f t="shared" si="6"/>
        <v>0</v>
      </c>
      <c r="AE61" s="1">
        <f t="shared" si="7"/>
        <v>11.604612445833332</v>
      </c>
      <c r="AF61" s="1">
        <f t="array" ref="AF61">_xlfn.IFS(C61="Biomass_Corn", 1/I61*S61, C61="Biomass_Agri", 1/I61*V61, C61="Biomass_Wood", 1/I61*U61, C61="Biomass_Herb", 1/I61*T61)</f>
        <v>65.950138888888887</v>
      </c>
      <c r="AG61" s="1">
        <f t="shared" si="8"/>
        <v>37.151192288178592</v>
      </c>
      <c r="AH61" s="1">
        <f t="shared" si="9"/>
        <v>27.344269688257512</v>
      </c>
      <c r="AI61" s="1">
        <f t="shared" si="10"/>
        <v>14.255555555555556</v>
      </c>
      <c r="AJ61" s="1">
        <f t="shared" si="11"/>
        <v>1.0348861754322633E-6</v>
      </c>
      <c r="AK61" s="1">
        <f t="shared" si="12"/>
        <v>-51.61547570754562</v>
      </c>
      <c r="AL61">
        <f t="shared" si="13"/>
        <v>1.0888141250806239E-4</v>
      </c>
      <c r="AM61" s="1">
        <f t="shared" si="14"/>
        <v>-0.60204723198657906</v>
      </c>
      <c r="AN61" s="1">
        <f t="shared" si="15"/>
        <v>11.726626304548555</v>
      </c>
      <c r="AO61">
        <f t="shared" si="16"/>
        <v>-63.341993130681665</v>
      </c>
      <c r="AQ61" s="8">
        <f t="shared" si="17"/>
        <v>1.714</v>
      </c>
      <c r="AR61" s="8">
        <v>0.243968185</v>
      </c>
      <c r="AS61" s="8">
        <v>0.24942761299999999</v>
      </c>
      <c r="AT61" s="9">
        <v>0.24635668499999999</v>
      </c>
      <c r="AU61" s="8">
        <v>0.23037490999999999</v>
      </c>
      <c r="AW61" s="9">
        <f t="shared" si="18"/>
        <v>1.714</v>
      </c>
      <c r="AY61" s="9">
        <f t="shared" si="19"/>
        <v>0.49183986095999999</v>
      </c>
      <c r="AZ61" s="9">
        <f t="shared" si="20"/>
        <v>0</v>
      </c>
      <c r="BA61" s="9">
        <f t="shared" si="21"/>
        <v>0</v>
      </c>
      <c r="BB61" s="9">
        <f t="shared" si="22"/>
        <v>8.4329193550565992E-3</v>
      </c>
      <c r="BC61" s="9">
        <f t="shared" si="23"/>
        <v>1.213729306015473</v>
      </c>
      <c r="BE61" s="1">
        <f t="shared" si="24"/>
        <v>-2.0863305296714429E-6</v>
      </c>
    </row>
    <row r="62" spans="2:57" x14ac:dyDescent="0.2">
      <c r="B62" s="12" t="s">
        <v>117</v>
      </c>
      <c r="C62" s="11" t="s">
        <v>57</v>
      </c>
      <c r="D62" s="11">
        <v>0</v>
      </c>
      <c r="E62" s="11">
        <v>1.1596</v>
      </c>
      <c r="F62" s="11">
        <v>2.0371000000000001</v>
      </c>
      <c r="G62" s="11">
        <v>0</v>
      </c>
      <c r="H62" s="11">
        <v>0</v>
      </c>
      <c r="I62" s="21">
        <f t="shared" si="0"/>
        <v>2.0371000000000001</v>
      </c>
      <c r="J62" s="11">
        <v>1.74</v>
      </c>
      <c r="K62" s="11">
        <v>1.2344367171528241</v>
      </c>
      <c r="L62" s="11">
        <v>8.5767932215834002E-3</v>
      </c>
      <c r="M62" s="11">
        <v>590486.4</v>
      </c>
      <c r="N62" s="11">
        <v>434613.76000000001</v>
      </c>
      <c r="O62" s="11">
        <v>28.7392</v>
      </c>
      <c r="Q62" s="15">
        <v>105.21100300000001</v>
      </c>
      <c r="R62" s="15">
        <v>-39.686463000000003</v>
      </c>
      <c r="S62" s="15">
        <v>160</v>
      </c>
      <c r="T62" s="14">
        <v>100.757654</v>
      </c>
      <c r="U62" s="14">
        <v>111.990773</v>
      </c>
      <c r="V62" s="14">
        <v>89.243781999999996</v>
      </c>
      <c r="W62" s="14">
        <v>30.713950000000001</v>
      </c>
      <c r="Y62" t="str">
        <f t="shared" si="1"/>
        <v>NCEN_Gasoline_Gasification_CCS_99_Herb</v>
      </c>
      <c r="Z62" t="str">
        <f t="shared" si="2"/>
        <v>Biomass_Herb</v>
      </c>
      <c r="AA62" s="10">
        <f t="shared" si="3"/>
        <v>105.17393326299046</v>
      </c>
      <c r="AB62" s="10">
        <f t="shared" si="4"/>
        <v>105.17393326299047</v>
      </c>
      <c r="AC62" s="5">
        <f t="shared" si="5"/>
        <v>0</v>
      </c>
      <c r="AD62" s="1">
        <f t="shared" si="6"/>
        <v>0</v>
      </c>
      <c r="AE62" s="1">
        <f t="shared" si="7"/>
        <v>17.48362693044033</v>
      </c>
      <c r="AF62" s="1">
        <f t="array" ref="AF62">_xlfn.IFS(C62="Biomass_Corn", 1/I62*S62, C62="Biomass_Agri", 1/I62*V62, C62="Biomass_Wood", 1/I62*U62, C62="Biomass_Herb", 1/I62*T62)</f>
        <v>49.461319522851113</v>
      </c>
      <c r="AG62" s="1">
        <f t="shared" si="8"/>
        <v>36.766385377727175</v>
      </c>
      <c r="AH62" s="1">
        <f t="shared" si="9"/>
        <v>27.061041525466173</v>
      </c>
      <c r="AI62" s="1">
        <f t="shared" si="10"/>
        <v>14.107898483137793</v>
      </c>
      <c r="AJ62" s="1">
        <f t="shared" si="11"/>
        <v>5.4000191824314831E-7</v>
      </c>
      <c r="AK62" s="1">
        <f t="shared" si="12"/>
        <v>-39.706395390775569</v>
      </c>
      <c r="AL62">
        <f t="shared" si="13"/>
        <v>5.6814143440285632E-5</v>
      </c>
      <c r="AM62" s="1">
        <f t="shared" si="14"/>
        <v>-0.60597693638747063</v>
      </c>
      <c r="AN62" s="1">
        <f t="shared" si="15"/>
        <v>24.049102695560855</v>
      </c>
      <c r="AO62">
        <f t="shared" si="16"/>
        <v>-63.755441272192982</v>
      </c>
      <c r="AQ62" s="8">
        <f t="shared" si="17"/>
        <v>1.74</v>
      </c>
      <c r="AR62" s="8">
        <v>0.243968185</v>
      </c>
      <c r="AS62" s="8">
        <v>0.24942761299999999</v>
      </c>
      <c r="AT62" s="9">
        <v>0.24635668499999999</v>
      </c>
      <c r="AU62" s="8">
        <v>0.23037490999999999</v>
      </c>
      <c r="AW62" s="9">
        <f t="shared" si="18"/>
        <v>1.74</v>
      </c>
      <c r="AY62" s="9">
        <f t="shared" si="19"/>
        <v>0.49698758966350004</v>
      </c>
      <c r="AZ62" s="9">
        <f t="shared" si="20"/>
        <v>0</v>
      </c>
      <c r="BA62" s="9">
        <f t="shared" si="21"/>
        <v>0</v>
      </c>
      <c r="BB62" s="9">
        <f t="shared" si="22"/>
        <v>8.5767932215834002E-3</v>
      </c>
      <c r="BC62" s="9">
        <f t="shared" si="23"/>
        <v>1.2344367171528241</v>
      </c>
      <c r="BE62" s="1">
        <f t="shared" si="24"/>
        <v>-1.1000379076531175E-6</v>
      </c>
    </row>
    <row r="63" spans="2:57" x14ac:dyDescent="0.2">
      <c r="B63" s="12" t="s">
        <v>118</v>
      </c>
      <c r="C63" s="11" t="s">
        <v>57</v>
      </c>
      <c r="D63" s="11">
        <v>0</v>
      </c>
      <c r="E63" s="11">
        <v>1.1596</v>
      </c>
      <c r="F63" s="11">
        <v>2.0249000000000001</v>
      </c>
      <c r="G63" s="11">
        <v>0</v>
      </c>
      <c r="H63" s="11">
        <v>0</v>
      </c>
      <c r="I63" s="21">
        <f t="shared" si="0"/>
        <v>2.0249000000000001</v>
      </c>
      <c r="J63" s="11">
        <v>1.7230000000000001</v>
      </c>
      <c r="K63" s="11">
        <v>1.220514284389095</v>
      </c>
      <c r="L63" s="11">
        <v>8.4800609830679007E-3</v>
      </c>
      <c r="M63" s="11">
        <v>590486.4</v>
      </c>
      <c r="N63" s="11">
        <v>434613.76000000001</v>
      </c>
      <c r="O63" s="11">
        <v>28.7392</v>
      </c>
      <c r="Q63" s="15">
        <v>105.21100300000001</v>
      </c>
      <c r="R63" s="15">
        <v>-29.672038000000001</v>
      </c>
      <c r="S63" s="15">
        <v>160</v>
      </c>
      <c r="T63" s="14">
        <v>107.027154</v>
      </c>
      <c r="U63" s="14">
        <v>122.865223</v>
      </c>
      <c r="V63" s="14">
        <v>94.404420999999999</v>
      </c>
      <c r="W63" s="14">
        <v>25.118154000000001</v>
      </c>
      <c r="Y63" t="str">
        <f t="shared" si="1"/>
        <v>CEN_Gasoline_Gasification_CCS_99_Herb</v>
      </c>
      <c r="Z63" t="str">
        <f t="shared" si="2"/>
        <v>Biomass_Herb</v>
      </c>
      <c r="AA63" s="10">
        <f t="shared" si="3"/>
        <v>100.11378932865529</v>
      </c>
      <c r="AB63" s="10">
        <f t="shared" si="4"/>
        <v>100.11378932865532</v>
      </c>
      <c r="AC63" s="5">
        <f t="shared" si="5"/>
        <v>0</v>
      </c>
      <c r="AD63" s="1">
        <f t="shared" si="6"/>
        <v>0</v>
      </c>
      <c r="AE63" s="1">
        <f t="shared" si="7"/>
        <v>14.384419664378488</v>
      </c>
      <c r="AF63" s="1">
        <f t="array" ref="AF63">_xlfn.IFS(C63="Biomass_Corn", 1/I63*S63, C63="Biomass_Agri", 1/I63*V63, C63="Biomass_Wood", 1/I63*U63, C63="Biomass_Herb", 1/I63*T63)</f>
        <v>52.855525704973076</v>
      </c>
      <c r="AG63" s="1">
        <f t="shared" si="8"/>
        <v>36.987902441092416</v>
      </c>
      <c r="AH63" s="1">
        <f t="shared" si="9"/>
        <v>27.224083999964016</v>
      </c>
      <c r="AI63" s="1">
        <f t="shared" si="10"/>
        <v>14.192898414736529</v>
      </c>
      <c r="AJ63" s="1">
        <f t="shared" si="11"/>
        <v>2.7276303337792256E-6</v>
      </c>
      <c r="AK63" s="1">
        <f t="shared" si="12"/>
        <v>-45.531327873212454</v>
      </c>
      <c r="AL63">
        <f t="shared" si="13"/>
        <v>2.8697672323013711E-4</v>
      </c>
      <c r="AM63" s="1">
        <f t="shared" si="14"/>
        <v>-0.60275014134546501</v>
      </c>
      <c r="AN63" s="1">
        <f t="shared" si="15"/>
        <v>17.884906032858925</v>
      </c>
      <c r="AO63">
        <f t="shared" si="16"/>
        <v>-63.415946929348145</v>
      </c>
      <c r="AQ63" s="8">
        <f t="shared" si="17"/>
        <v>1.7230000000000001</v>
      </c>
      <c r="AR63" s="8">
        <v>0.243968185</v>
      </c>
      <c r="AS63" s="8">
        <v>0.24942761299999999</v>
      </c>
      <c r="AT63" s="9">
        <v>0.24635668499999999</v>
      </c>
      <c r="AU63" s="8">
        <v>0.23037490999999999</v>
      </c>
      <c r="AW63" s="9">
        <f t="shared" si="18"/>
        <v>1.7230000000000001</v>
      </c>
      <c r="AY63" s="9">
        <f t="shared" si="19"/>
        <v>0.49401117780650006</v>
      </c>
      <c r="AZ63" s="9">
        <f t="shared" si="20"/>
        <v>0</v>
      </c>
      <c r="BA63" s="9">
        <f t="shared" si="21"/>
        <v>0</v>
      </c>
      <c r="BB63" s="9">
        <f t="shared" si="22"/>
        <v>8.4800609830679007E-3</v>
      </c>
      <c r="BC63" s="9">
        <f t="shared" si="23"/>
        <v>1.220514284389095</v>
      </c>
      <c r="BE63" s="1">
        <f t="shared" si="24"/>
        <v>-5.5231786628695545E-6</v>
      </c>
    </row>
    <row r="64" spans="2:57" x14ac:dyDescent="0.2">
      <c r="B64" s="12" t="s">
        <v>119</v>
      </c>
      <c r="C64" s="11" t="s">
        <v>57</v>
      </c>
      <c r="D64" s="11">
        <v>0</v>
      </c>
      <c r="E64" s="11">
        <v>1.1596</v>
      </c>
      <c r="F64" s="11">
        <v>2.0215000000000001</v>
      </c>
      <c r="G64" s="11">
        <v>0</v>
      </c>
      <c r="H64" s="11">
        <v>0</v>
      </c>
      <c r="I64" s="21">
        <f t="shared" si="0"/>
        <v>2.0215000000000001</v>
      </c>
      <c r="J64" s="11">
        <v>1.7170000000000001</v>
      </c>
      <c r="K64" s="11">
        <v>1.2153630299989859</v>
      </c>
      <c r="L64" s="11">
        <v>8.4442703725637006E-3</v>
      </c>
      <c r="M64" s="11">
        <v>590486.4</v>
      </c>
      <c r="N64" s="11">
        <v>434613.76000000001</v>
      </c>
      <c r="O64" s="11">
        <v>28.7392</v>
      </c>
      <c r="Q64" s="15">
        <v>105.21100300000001</v>
      </c>
      <c r="R64" s="15">
        <v>-45.510345000000001</v>
      </c>
      <c r="S64" s="15">
        <v>160</v>
      </c>
      <c r="T64" s="14">
        <v>97.593261999999996</v>
      </c>
      <c r="U64" s="14">
        <v>109.791234</v>
      </c>
      <c r="V64" s="14">
        <v>86.911507</v>
      </c>
      <c r="W64" s="14">
        <v>38.099075999999997</v>
      </c>
      <c r="Y64" t="str">
        <f t="shared" si="1"/>
        <v>SE_Gasoline_Gasification_CCS_99_Herb</v>
      </c>
      <c r="Z64" t="str">
        <f t="shared" si="2"/>
        <v>Biomass_Herb</v>
      </c>
      <c r="AA64" s="10">
        <f t="shared" si="3"/>
        <v>112.7755975844763</v>
      </c>
      <c r="AB64" s="10">
        <f t="shared" si="4"/>
        <v>112.77559758447629</v>
      </c>
      <c r="AC64" s="5">
        <f t="shared" si="5"/>
        <v>0</v>
      </c>
      <c r="AD64" s="1">
        <f t="shared" si="6"/>
        <v>0</v>
      </c>
      <c r="AE64" s="1">
        <f t="shared" si="7"/>
        <v>21.854904046302249</v>
      </c>
      <c r="AF64" s="1">
        <f t="array" ref="AF64">_xlfn.IFS(C64="Biomass_Corn", 1/I64*S64, C64="Biomass_Agri", 1/I64*V64, C64="Biomass_Wood", 1/I64*U64, C64="Biomass_Herb", 1/I64*T64)</f>
        <v>48.277646302250801</v>
      </c>
      <c r="AG64" s="1">
        <f t="shared" si="8"/>
        <v>37.050113110545652</v>
      </c>
      <c r="AH64" s="1">
        <f t="shared" si="9"/>
        <v>27.269872714087132</v>
      </c>
      <c r="AI64" s="1">
        <f t="shared" si="10"/>
        <v>14.216769725451398</v>
      </c>
      <c r="AJ64" s="1">
        <f t="shared" si="11"/>
        <v>-5.4482567154852023E-6</v>
      </c>
      <c r="AK64" s="1">
        <f t="shared" si="12"/>
        <v>-35.89313509760732</v>
      </c>
      <c r="AL64">
        <f t="shared" si="13"/>
        <v>-5.7321655363768375E-4</v>
      </c>
      <c r="AM64" s="1">
        <f t="shared" si="14"/>
        <v>-0.60122386527328031</v>
      </c>
      <c r="AN64" s="1">
        <f t="shared" si="15"/>
        <v>27.361657578777738</v>
      </c>
      <c r="AO64">
        <f t="shared" si="16"/>
        <v>-63.255365892938691</v>
      </c>
      <c r="AQ64" s="8">
        <f t="shared" si="17"/>
        <v>1.7170000000000001</v>
      </c>
      <c r="AR64" s="8">
        <v>0.243968185</v>
      </c>
      <c r="AS64" s="8">
        <v>0.24942761299999999</v>
      </c>
      <c r="AT64" s="9">
        <v>0.24635668499999999</v>
      </c>
      <c r="AU64" s="8">
        <v>0.23037490999999999</v>
      </c>
      <c r="AW64" s="9">
        <f t="shared" si="18"/>
        <v>1.7170000000000001</v>
      </c>
      <c r="AY64" s="9">
        <f t="shared" si="19"/>
        <v>0.49318168597750001</v>
      </c>
      <c r="AZ64" s="9">
        <f t="shared" si="20"/>
        <v>0</v>
      </c>
      <c r="BA64" s="9">
        <f t="shared" si="21"/>
        <v>0</v>
      </c>
      <c r="BB64" s="9">
        <f t="shared" si="22"/>
        <v>8.4442703725637006E-3</v>
      </c>
      <c r="BC64" s="9">
        <f t="shared" si="23"/>
        <v>1.2153630299989859</v>
      </c>
      <c r="BE64" s="1">
        <f t="shared" si="24"/>
        <v>1.1013650950353338E-5</v>
      </c>
    </row>
    <row r="65" spans="2:57" x14ac:dyDescent="0.2">
      <c r="B65" s="12" t="s">
        <v>120</v>
      </c>
      <c r="C65" s="11" t="s">
        <v>57</v>
      </c>
      <c r="D65" s="11">
        <v>0</v>
      </c>
      <c r="E65" s="11">
        <v>1.1596</v>
      </c>
      <c r="F65" s="11">
        <v>2.0327000000000002</v>
      </c>
      <c r="G65" s="11">
        <v>0</v>
      </c>
      <c r="H65" s="11">
        <v>0</v>
      </c>
      <c r="I65" s="21">
        <f t="shared" si="0"/>
        <v>2.0327000000000002</v>
      </c>
      <c r="J65" s="11">
        <v>1.736</v>
      </c>
      <c r="K65" s="11">
        <v>1.2315407779660139</v>
      </c>
      <c r="L65" s="11">
        <v>8.5566724075777992E-3</v>
      </c>
      <c r="M65" s="11">
        <v>590486.4</v>
      </c>
      <c r="N65" s="11">
        <v>434613.76000000001</v>
      </c>
      <c r="O65" s="11">
        <v>28.7392</v>
      </c>
      <c r="Q65" s="15">
        <v>105.21100300000001</v>
      </c>
      <c r="R65" s="15">
        <v>-50.334515000000003</v>
      </c>
      <c r="S65" s="15">
        <v>160</v>
      </c>
      <c r="T65" s="14">
        <v>98.707491000000005</v>
      </c>
      <c r="U65" s="14">
        <v>106.53195700000001</v>
      </c>
      <c r="V65" s="14">
        <v>87.469328000000004</v>
      </c>
      <c r="W65" s="14">
        <v>39.29871</v>
      </c>
      <c r="Y65" t="str">
        <f t="shared" si="1"/>
        <v>MIDAT_Gasoline_Gasification_CCS_99_Herb</v>
      </c>
      <c r="Z65" t="str">
        <f t="shared" si="2"/>
        <v>Biomass_Herb</v>
      </c>
      <c r="AA65" s="10">
        <f t="shared" si="3"/>
        <v>115.83554488255854</v>
      </c>
      <c r="AB65" s="10">
        <f t="shared" si="4"/>
        <v>115.83554488255852</v>
      </c>
      <c r="AC65" s="5">
        <f t="shared" si="5"/>
        <v>0</v>
      </c>
      <c r="AD65" s="1">
        <f t="shared" si="6"/>
        <v>0</v>
      </c>
      <c r="AE65" s="1">
        <f t="shared" si="7"/>
        <v>22.418843959265999</v>
      </c>
      <c r="AF65" s="1">
        <f t="array" ref="AF65">_xlfn.IFS(C65="Biomass_Corn", 1/I65*S65, C65="Biomass_Agri", 1/I65*V65, C65="Biomass_Wood", 1/I65*U65, C65="Biomass_Herb", 1/I65*T65)</f>
        <v>48.559792886308848</v>
      </c>
      <c r="AG65" s="1">
        <f t="shared" si="8"/>
        <v>36.845970213493395</v>
      </c>
      <c r="AH65" s="1">
        <f t="shared" si="9"/>
        <v>27.119618089992198</v>
      </c>
      <c r="AI65" s="1">
        <f t="shared" si="10"/>
        <v>14.1384365622079</v>
      </c>
      <c r="AJ65" s="1">
        <f t="shared" si="11"/>
        <v>5.6968677580369744E-6</v>
      </c>
      <c r="AK65" s="1">
        <f t="shared" si="12"/>
        <v>-33.247716201880564</v>
      </c>
      <c r="AL65">
        <f t="shared" si="13"/>
        <v>5.9937317078143147E-4</v>
      </c>
      <c r="AM65" s="1">
        <f t="shared" si="14"/>
        <v>-0.6058588074693374</v>
      </c>
      <c r="AN65" s="1">
        <f t="shared" si="15"/>
        <v>30.495895981523095</v>
      </c>
      <c r="AO65">
        <f t="shared" si="16"/>
        <v>-63.743012810232884</v>
      </c>
      <c r="AQ65" s="8">
        <f t="shared" si="17"/>
        <v>1.736</v>
      </c>
      <c r="AR65" s="8">
        <v>0.243968185</v>
      </c>
      <c r="AS65" s="8">
        <v>0.24942761299999999</v>
      </c>
      <c r="AT65" s="9">
        <v>0.24635668499999999</v>
      </c>
      <c r="AU65" s="8">
        <v>0.23037490999999999</v>
      </c>
      <c r="AW65" s="9">
        <f t="shared" si="18"/>
        <v>1.736</v>
      </c>
      <c r="AY65" s="9">
        <f t="shared" si="19"/>
        <v>0.49591412964950005</v>
      </c>
      <c r="AZ65" s="9">
        <f t="shared" si="20"/>
        <v>0</v>
      </c>
      <c r="BA65" s="9">
        <f t="shared" si="21"/>
        <v>0</v>
      </c>
      <c r="BB65" s="9">
        <f t="shared" si="22"/>
        <v>8.5566724075777992E-3</v>
      </c>
      <c r="BC65" s="9">
        <f t="shared" si="23"/>
        <v>1.2315407779660139</v>
      </c>
      <c r="BE65" s="1">
        <f t="shared" si="24"/>
        <v>-1.158002309176176E-5</v>
      </c>
    </row>
    <row r="66" spans="2:57" x14ac:dyDescent="0.2">
      <c r="B66" s="12" t="s">
        <v>121</v>
      </c>
      <c r="C66" s="11" t="s">
        <v>57</v>
      </c>
      <c r="D66" s="11">
        <v>0</v>
      </c>
      <c r="E66" s="11">
        <v>1.1596</v>
      </c>
      <c r="F66" s="11">
        <v>2.0404</v>
      </c>
      <c r="G66" s="11">
        <v>0</v>
      </c>
      <c r="H66" s="11">
        <v>0</v>
      </c>
      <c r="I66" s="21">
        <f t="shared" si="0"/>
        <v>2.0404</v>
      </c>
      <c r="J66" s="11">
        <v>1.7450000000000001</v>
      </c>
      <c r="K66" s="11">
        <v>1.2385948715429329</v>
      </c>
      <c r="L66" s="11">
        <v>8.6056838320875996E-3</v>
      </c>
      <c r="M66" s="11">
        <v>590486.4</v>
      </c>
      <c r="N66" s="11">
        <v>434613.76000000001</v>
      </c>
      <c r="O66" s="11">
        <v>28.7392</v>
      </c>
      <c r="Q66" s="15">
        <v>105.21100300000001</v>
      </c>
      <c r="R66" s="15">
        <v>-58.833413</v>
      </c>
      <c r="S66" s="15">
        <v>160</v>
      </c>
      <c r="T66" s="14">
        <v>99.493746999999999</v>
      </c>
      <c r="U66" s="14">
        <v>105.21395800000001</v>
      </c>
      <c r="V66" s="14">
        <v>89.700445000000002</v>
      </c>
      <c r="W66" s="14">
        <v>47.365060999999997</v>
      </c>
      <c r="Y66" t="str">
        <f t="shared" si="1"/>
        <v>NE_Gasoline_Gasification_CCS_99_Herb</v>
      </c>
      <c r="Z66" t="str">
        <f t="shared" si="2"/>
        <v>Biomass_Herb</v>
      </c>
      <c r="AA66" s="10">
        <f t="shared" si="3"/>
        <v>125.33648634108586</v>
      </c>
      <c r="AB66" s="10">
        <f t="shared" si="4"/>
        <v>125.33648634108586</v>
      </c>
      <c r="AC66" s="5">
        <f t="shared" si="5"/>
        <v>0</v>
      </c>
      <c r="AD66" s="1">
        <f t="shared" si="6"/>
        <v>0</v>
      </c>
      <c r="AE66" s="1">
        <f t="shared" si="7"/>
        <v>26.918508496177221</v>
      </c>
      <c r="AF66" s="1">
        <f t="array" ref="AF66">_xlfn.IFS(C66="Biomass_Corn", 1/I66*S66, C66="Biomass_Agri", 1/I66*V66, C66="Biomass_Wood", 1/I66*U66, C66="Biomass_Herb", 1/I66*T66)</f>
        <v>48.761883454224659</v>
      </c>
      <c r="AG66" s="1">
        <f t="shared" si="8"/>
        <v>36.706922002042759</v>
      </c>
      <c r="AH66" s="1">
        <f t="shared" si="9"/>
        <v>27.017274892926459</v>
      </c>
      <c r="AI66" s="1">
        <f t="shared" si="10"/>
        <v>14.085081356596746</v>
      </c>
      <c r="AJ66" s="1">
        <f t="shared" si="11"/>
        <v>-3.3130518424961594E-6</v>
      </c>
      <c r="AK66" s="1">
        <f t="shared" si="12"/>
        <v>-28.15283529137464</v>
      </c>
      <c r="AL66">
        <f t="shared" si="13"/>
        <v>-3.4856950734001897E-4</v>
      </c>
      <c r="AM66" s="1">
        <f t="shared" si="14"/>
        <v>-0.60703863531362101</v>
      </c>
      <c r="AN66" s="1">
        <f t="shared" si="15"/>
        <v>35.713959820215308</v>
      </c>
      <c r="AO66">
        <f t="shared" si="16"/>
        <v>-63.867143681097289</v>
      </c>
      <c r="AQ66" s="8">
        <f t="shared" si="17"/>
        <v>1.7450000000000001</v>
      </c>
      <c r="AR66" s="8">
        <v>0.243968185</v>
      </c>
      <c r="AS66" s="8">
        <v>0.24942761299999999</v>
      </c>
      <c r="AT66" s="9">
        <v>0.24635668499999999</v>
      </c>
      <c r="AU66" s="8">
        <v>0.23037490999999999</v>
      </c>
      <c r="AW66" s="9">
        <f t="shared" si="18"/>
        <v>1.7450000000000001</v>
      </c>
      <c r="AY66" s="9">
        <f t="shared" si="19"/>
        <v>0.49779268467400001</v>
      </c>
      <c r="AZ66" s="9">
        <f t="shared" si="20"/>
        <v>0</v>
      </c>
      <c r="BA66" s="9">
        <f t="shared" si="21"/>
        <v>0</v>
      </c>
      <c r="BB66" s="9">
        <f t="shared" si="22"/>
        <v>8.6056838320875996E-3</v>
      </c>
      <c r="BC66" s="9">
        <f t="shared" si="23"/>
        <v>1.2385948715429329</v>
      </c>
      <c r="BE66" s="1">
        <f t="shared" si="24"/>
        <v>6.7599509794291635E-6</v>
      </c>
    </row>
    <row r="67" spans="2:57" x14ac:dyDescent="0.2">
      <c r="B67" s="12" t="s">
        <v>122</v>
      </c>
      <c r="C67" s="20" t="s">
        <v>67</v>
      </c>
      <c r="D67" s="20">
        <v>0</v>
      </c>
      <c r="E67" s="20">
        <v>1.1596</v>
      </c>
      <c r="F67" s="20">
        <v>2.1503999999999999</v>
      </c>
      <c r="G67" s="20">
        <v>0</v>
      </c>
      <c r="H67" s="20">
        <v>0</v>
      </c>
      <c r="I67" s="21">
        <f t="shared" si="0"/>
        <v>2.1503999999999999</v>
      </c>
      <c r="J67" s="20">
        <v>1.843</v>
      </c>
      <c r="K67" s="20">
        <v>1.3092762664165041</v>
      </c>
      <c r="L67" s="20">
        <v>9.0967739787271001E-3</v>
      </c>
      <c r="M67" s="20">
        <v>590486.4</v>
      </c>
      <c r="N67" s="20">
        <v>434613.76000000001</v>
      </c>
      <c r="O67" s="20">
        <v>28.7392</v>
      </c>
      <c r="Q67" s="19">
        <v>105.21100300000001</v>
      </c>
      <c r="R67" s="19">
        <v>-6.4122130000000004</v>
      </c>
      <c r="S67" s="19">
        <v>160</v>
      </c>
      <c r="T67" s="19">
        <v>313632.96735400002</v>
      </c>
      <c r="U67" s="19">
        <v>154.036981</v>
      </c>
      <c r="V67" s="19">
        <v>132.85973799999999</v>
      </c>
      <c r="W67" s="19">
        <v>36.488697999999999</v>
      </c>
      <c r="Y67" t="str">
        <f t="shared" si="1"/>
        <v>CA_Gasoline_Gasification_CCS_99_Wood</v>
      </c>
      <c r="Z67" t="str">
        <f t="shared" si="2"/>
        <v>Biomass_Wood</v>
      </c>
      <c r="AA67" s="18">
        <f t="shared" si="3"/>
        <v>104.98356109850091</v>
      </c>
      <c r="AB67" s="18">
        <f t="shared" si="4"/>
        <v>104.98356109850091</v>
      </c>
      <c r="AC67" s="5">
        <f t="shared" si="5"/>
        <v>0</v>
      </c>
      <c r="AD67" s="1">
        <f t="shared" si="6"/>
        <v>0</v>
      </c>
      <c r="AE67" s="1">
        <f t="shared" si="7"/>
        <v>19.676476097842265</v>
      </c>
      <c r="AF67" s="1">
        <f t="array" ref="AF67">_xlfn.IFS(C67="Biomass_Corn", 1/I67*S67, C67="Biomass_Agri", 1/I67*V67, C67="Biomass_Wood", 1/I67*U67, C67="Biomass_Herb", 1/I67*T67)</f>
        <v>71.631780598958329</v>
      </c>
      <c r="AG67" s="1">
        <f t="shared" si="8"/>
        <v>34.829242770167426</v>
      </c>
      <c r="AH67" s="1">
        <f t="shared" si="9"/>
        <v>25.635252832741418</v>
      </c>
      <c r="AI67" s="1">
        <f t="shared" si="10"/>
        <v>13.364583333333334</v>
      </c>
      <c r="AJ67" s="1">
        <f t="shared" si="11"/>
        <v>1.0348861751844458E-6</v>
      </c>
      <c r="AK67" s="1">
        <f t="shared" si="12"/>
        <v>-60.153883415954361</v>
      </c>
      <c r="AL67">
        <f t="shared" si="13"/>
        <v>1.0888141248198926E-4</v>
      </c>
      <c r="AM67" s="1">
        <f t="shared" si="14"/>
        <v>-0.60885139555304735</v>
      </c>
      <c r="AN67" s="1">
        <f t="shared" si="15"/>
        <v>3.9040914695439786</v>
      </c>
      <c r="AO67">
        <f t="shared" si="16"/>
        <v>-64.057866004085852</v>
      </c>
      <c r="AQ67" s="17">
        <f t="shared" si="17"/>
        <v>1.843</v>
      </c>
      <c r="AR67" s="8">
        <v>0.243968185</v>
      </c>
      <c r="AS67" s="8">
        <v>0.24942761299999999</v>
      </c>
      <c r="AT67" s="9">
        <v>0.24635668499999999</v>
      </c>
      <c r="AU67" s="17">
        <v>0.23037490999999999</v>
      </c>
      <c r="AW67" s="9">
        <f t="shared" si="18"/>
        <v>1.843</v>
      </c>
      <c r="AY67" s="9">
        <f t="shared" si="19"/>
        <v>0.52462918502400002</v>
      </c>
      <c r="AZ67" s="9">
        <f t="shared" si="20"/>
        <v>0</v>
      </c>
      <c r="BA67" s="9">
        <f t="shared" si="21"/>
        <v>0</v>
      </c>
      <c r="BB67" s="9">
        <f t="shared" si="22"/>
        <v>9.0967739787271001E-3</v>
      </c>
      <c r="BC67" s="9">
        <f t="shared" si="23"/>
        <v>1.3092762664165041</v>
      </c>
      <c r="BE67" s="1">
        <f t="shared" si="24"/>
        <v>-2.2254192311166321E-6</v>
      </c>
    </row>
    <row r="68" spans="2:57" x14ac:dyDescent="0.2">
      <c r="B68" s="12" t="s">
        <v>123</v>
      </c>
      <c r="C68" s="20" t="s">
        <v>67</v>
      </c>
      <c r="D68" s="20">
        <v>0</v>
      </c>
      <c r="E68" s="20">
        <v>1.1596</v>
      </c>
      <c r="F68" s="20">
        <v>2.1459000000000001</v>
      </c>
      <c r="G68" s="20">
        <v>0</v>
      </c>
      <c r="H68" s="20">
        <v>0</v>
      </c>
      <c r="I68" s="21">
        <f t="shared" ref="I68:I131" si="25">F68+G68+H68</f>
        <v>2.1459000000000001</v>
      </c>
      <c r="J68" s="20">
        <v>1.8180000000000001</v>
      </c>
      <c r="K68" s="20">
        <v>1.2855252272296931</v>
      </c>
      <c r="L68" s="20">
        <v>8.9317531647214003E-3</v>
      </c>
      <c r="M68" s="20">
        <v>590486.4</v>
      </c>
      <c r="N68" s="20">
        <v>434613.76000000001</v>
      </c>
      <c r="O68" s="20">
        <v>28.7392</v>
      </c>
      <c r="Q68" s="19">
        <v>105.21100300000001</v>
      </c>
      <c r="R68" s="19">
        <v>-7.3796590000000002</v>
      </c>
      <c r="S68" s="19">
        <v>160</v>
      </c>
      <c r="T68" s="19">
        <v>130.996602</v>
      </c>
      <c r="U68" s="19">
        <v>149.05667199999999</v>
      </c>
      <c r="V68" s="19">
        <v>112.26938</v>
      </c>
      <c r="W68" s="19">
        <v>26.787863000000002</v>
      </c>
      <c r="Y68" t="str">
        <f t="shared" ref="Y68:Y131" si="26">B68</f>
        <v>NW_Gasoline_Gasification_CCS_99_Wood</v>
      </c>
      <c r="Z68" t="str">
        <f t="shared" ref="Z68:Z131" si="27">C68</f>
        <v>Biomass_Wood</v>
      </c>
      <c r="AA68" s="18">
        <f t="shared" ref="AA68:AA131" si="28">SUM(AD68:AI68)+AK68+AL68</f>
        <v>99.31312665460014</v>
      </c>
      <c r="AB68" s="18">
        <f t="shared" ref="AB68:AB131" si="29">SUM(AD68:AI68)+AN68+AO68</f>
        <v>99.313126654600126</v>
      </c>
      <c r="AC68" s="5">
        <f t="shared" ref="AC68:AC131" si="30">AA68-AB68</f>
        <v>0</v>
      </c>
      <c r="AD68" s="1">
        <f t="shared" ref="AD68:AD131" si="31">D68/I68*W68*-1</f>
        <v>0</v>
      </c>
      <c r="AE68" s="1">
        <f t="shared" ref="AE68:AE131" si="32">E68/I68*W68</f>
        <v>14.475607407055314</v>
      </c>
      <c r="AF68" s="1">
        <f t="array" ref="AF68">_xlfn.IFS(C68="Biomass_Corn", 1/I68*S68, C68="Biomass_Agri", 1/I68*V68, C68="Biomass_Wood", 1/I68*U68, C68="Biomass_Herb", 1/I68*T68)</f>
        <v>69.461145440141664</v>
      </c>
      <c r="AG68" s="1">
        <f t="shared" ref="AG68:AG131" si="33">M68/I68/(0.9*8760)</f>
        <v>34.902280466456048</v>
      </c>
      <c r="AH68" s="1">
        <f t="shared" ref="AH68:AH131" si="34">N68/I68/(0.9*8760)</f>
        <v>25.689010527763244</v>
      </c>
      <c r="AI68" s="1">
        <f t="shared" ref="AI68:AI131" si="35">O68/I68</f>
        <v>13.392609161657113</v>
      </c>
      <c r="AJ68" s="1">
        <f t="shared" ref="AJ68:AJ131" si="36">(AY68+AZ68+BA68+BB68+BC68-AW68)/I68</f>
        <v>-5.4482567153753607E-6</v>
      </c>
      <c r="AK68" s="1">
        <f t="shared" ref="AK68:AK131" si="37">(Q68+R68)*-1*K68/I68</f>
        <v>-58.606953131919596</v>
      </c>
      <c r="AL68">
        <f t="shared" ref="AL68:AL131" si="38">AJ68*Q68</f>
        <v>-5.7321655362612724E-4</v>
      </c>
      <c r="AM68" s="1">
        <f t="shared" ref="AM68:AM131" si="39">(SUM(AY68:BB68)-AW68)/I68</f>
        <v>-0.59906655419347521</v>
      </c>
      <c r="AN68" s="1">
        <f t="shared" ref="AN68:AN131" si="40">K68/I68*-1*R68</f>
        <v>4.4208666819761637</v>
      </c>
      <c r="AO68">
        <f t="shared" ref="AO68:AO131" si="41">AM68*Q68</f>
        <v>-63.028393030449386</v>
      </c>
      <c r="AQ68" s="17">
        <f t="shared" ref="AQ68:AQ131" si="42">J68</f>
        <v>1.8180000000000001</v>
      </c>
      <c r="AR68" s="8">
        <v>0.243968185</v>
      </c>
      <c r="AS68" s="8">
        <v>0.24942761299999999</v>
      </c>
      <c r="AT68" s="9">
        <v>0.24635668499999999</v>
      </c>
      <c r="AU68" s="17">
        <v>0.23037490999999999</v>
      </c>
      <c r="AW68" s="9">
        <f t="shared" ref="AW68:AW131" si="43">AQ68</f>
        <v>1.8180000000000001</v>
      </c>
      <c r="AY68" s="9">
        <f t="shared" ref="AY68:AY131" si="44">AR68*F68</f>
        <v>0.52353132819150006</v>
      </c>
      <c r="AZ68" s="9">
        <f t="shared" ref="AZ68:AZ131" si="45">AS68*H68</f>
        <v>0</v>
      </c>
      <c r="BA68" s="9">
        <f t="shared" ref="BA68:BA131" si="46">AT68*G68</f>
        <v>0</v>
      </c>
      <c r="BB68" s="9">
        <f t="shared" ref="BB68:BB131" si="47">L68</f>
        <v>8.9317531647214003E-3</v>
      </c>
      <c r="BC68" s="9">
        <f t="shared" ref="BC68:BC131" si="48">K68</f>
        <v>1.2855252272296931</v>
      </c>
      <c r="BE68" s="1">
        <f t="shared" ref="BE68:BE131" si="49">AW68-SUM(AY68:BC68)</f>
        <v>1.1691414085523988E-5</v>
      </c>
    </row>
    <row r="69" spans="2:57" x14ac:dyDescent="0.2">
      <c r="B69" s="12" t="s">
        <v>124</v>
      </c>
      <c r="C69" s="20" t="s">
        <v>67</v>
      </c>
      <c r="D69" s="20">
        <v>0</v>
      </c>
      <c r="E69" s="20">
        <v>1.1596</v>
      </c>
      <c r="F69" s="20">
        <v>2.1259999999999999</v>
      </c>
      <c r="G69" s="20">
        <v>0</v>
      </c>
      <c r="H69" s="20">
        <v>0</v>
      </c>
      <c r="I69" s="21">
        <f t="shared" si="25"/>
        <v>2.1259999999999999</v>
      </c>
      <c r="J69" s="20">
        <v>1.798</v>
      </c>
      <c r="K69" s="20">
        <v>1.270507300889044</v>
      </c>
      <c r="L69" s="20">
        <v>8.8274095016960992E-3</v>
      </c>
      <c r="M69" s="20">
        <v>590486.4</v>
      </c>
      <c r="N69" s="20">
        <v>434613.76000000001</v>
      </c>
      <c r="O69" s="20">
        <v>28.7392</v>
      </c>
      <c r="Q69" s="19">
        <v>105.21100300000001</v>
      </c>
      <c r="R69" s="19">
        <v>-14.567418</v>
      </c>
      <c r="S69" s="19">
        <v>160</v>
      </c>
      <c r="T69" s="19">
        <v>120.282189</v>
      </c>
      <c r="U69" s="19">
        <v>137.475031</v>
      </c>
      <c r="V69" s="19">
        <v>107.559866</v>
      </c>
      <c r="W69" s="19">
        <v>27.957547000000002</v>
      </c>
      <c r="Y69" t="str">
        <f t="shared" si="26"/>
        <v>SW_Gasoline_Gasification_CCS_99_Wood</v>
      </c>
      <c r="Z69" t="str">
        <f t="shared" si="27"/>
        <v>Biomass_Wood</v>
      </c>
      <c r="AA69" s="18">
        <f t="shared" si="28"/>
        <v>100.42073480205943</v>
      </c>
      <c r="AB69" s="18">
        <f t="shared" si="29"/>
        <v>100.42073480205941</v>
      </c>
      <c r="AC69" s="5">
        <f t="shared" si="30"/>
        <v>0</v>
      </c>
      <c r="AD69" s="1">
        <f t="shared" si="31"/>
        <v>0</v>
      </c>
      <c r="AE69" s="1">
        <f t="shared" si="32"/>
        <v>15.249092898024461</v>
      </c>
      <c r="AF69" s="1">
        <f t="array" ref="AF69">_xlfn.IFS(C69="Biomass_Corn", 1/I69*S69, C69="Biomass_Agri", 1/I69*V69, C69="Biomass_Wood", 1/I69*U69, C69="Biomass_Herb", 1/I69*T69)</f>
        <v>64.663702257761059</v>
      </c>
      <c r="AG69" s="1">
        <f t="shared" si="33"/>
        <v>35.228976318423349</v>
      </c>
      <c r="AH69" s="1">
        <f t="shared" si="34"/>
        <v>25.929467399589438</v>
      </c>
      <c r="AI69" s="1">
        <f t="shared" si="35"/>
        <v>13.517968015051741</v>
      </c>
      <c r="AJ69" s="1">
        <f t="shared" si="36"/>
        <v>5.2077614016910607E-6</v>
      </c>
      <c r="AK69" s="1">
        <f t="shared" si="37"/>
        <v>-54.169020000591082</v>
      </c>
      <c r="AL69">
        <f t="shared" si="38"/>
        <v>5.4791380045660239E-4</v>
      </c>
      <c r="AM69" s="1">
        <f t="shared" si="39"/>
        <v>-0.59759935521557106</v>
      </c>
      <c r="AN69" s="1">
        <f t="shared" si="40"/>
        <v>8.7055554675928857</v>
      </c>
      <c r="AO69">
        <f t="shared" si="41"/>
        <v>-62.874027554383517</v>
      </c>
      <c r="AQ69" s="17">
        <f t="shared" si="42"/>
        <v>1.798</v>
      </c>
      <c r="AR69" s="8">
        <v>0.243968185</v>
      </c>
      <c r="AS69" s="8">
        <v>0.24942761299999999</v>
      </c>
      <c r="AT69" s="9">
        <v>0.24635668499999999</v>
      </c>
      <c r="AU69" s="17">
        <v>0.23037490999999999</v>
      </c>
      <c r="AW69" s="9">
        <f t="shared" si="43"/>
        <v>1.798</v>
      </c>
      <c r="AY69" s="9">
        <f t="shared" si="44"/>
        <v>0.51867636130999994</v>
      </c>
      <c r="AZ69" s="9">
        <f t="shared" si="45"/>
        <v>0</v>
      </c>
      <c r="BA69" s="9">
        <f t="shared" si="46"/>
        <v>0</v>
      </c>
      <c r="BB69" s="9">
        <f t="shared" si="47"/>
        <v>8.8274095016960992E-3</v>
      </c>
      <c r="BC69" s="9">
        <f t="shared" si="48"/>
        <v>1.270507300889044</v>
      </c>
      <c r="BE69" s="1">
        <f t="shared" si="49"/>
        <v>-1.1071700739995194E-5</v>
      </c>
    </row>
    <row r="70" spans="2:57" x14ac:dyDescent="0.2">
      <c r="B70" s="12" t="s">
        <v>125</v>
      </c>
      <c r="C70" s="20" t="s">
        <v>67</v>
      </c>
      <c r="D70" s="20">
        <v>0</v>
      </c>
      <c r="E70" s="20">
        <v>1.1596</v>
      </c>
      <c r="F70" s="20">
        <v>2.1093000000000002</v>
      </c>
      <c r="G70" s="20">
        <v>0</v>
      </c>
      <c r="H70" s="20">
        <v>0</v>
      </c>
      <c r="I70" s="21">
        <f t="shared" si="25"/>
        <v>2.1093000000000002</v>
      </c>
      <c r="J70" s="20">
        <v>1.821</v>
      </c>
      <c r="K70" s="20">
        <v>1.297385328938502</v>
      </c>
      <c r="L70" s="20">
        <v>9.0141564491748993E-3</v>
      </c>
      <c r="M70" s="20">
        <v>590486.4</v>
      </c>
      <c r="N70" s="20">
        <v>434613.76000000001</v>
      </c>
      <c r="O70" s="20">
        <v>28.7392</v>
      </c>
      <c r="Q70" s="19">
        <v>105.21100300000001</v>
      </c>
      <c r="R70" s="19">
        <v>-19.477884</v>
      </c>
      <c r="S70" s="19">
        <v>160</v>
      </c>
      <c r="T70" s="19">
        <v>132.95547999999999</v>
      </c>
      <c r="U70" s="19">
        <v>152.57709199999999</v>
      </c>
      <c r="V70" s="19">
        <v>106.67488899999999</v>
      </c>
      <c r="W70" s="19">
        <v>20.174973000000001</v>
      </c>
      <c r="Y70" t="str">
        <f t="shared" si="26"/>
        <v>TX_Gasoline_Gasification_CCS_99_Wood</v>
      </c>
      <c r="Z70" t="str">
        <f t="shared" si="27"/>
        <v>Biomass_Wood</v>
      </c>
      <c r="AA70" s="18">
        <f t="shared" si="28"/>
        <v>105.96184386496918</v>
      </c>
      <c r="AB70" s="18">
        <f t="shared" si="29"/>
        <v>105.96184386496915</v>
      </c>
      <c r="AC70" s="5">
        <f t="shared" si="30"/>
        <v>0</v>
      </c>
      <c r="AD70" s="1">
        <f t="shared" si="31"/>
        <v>0</v>
      </c>
      <c r="AE70" s="1">
        <f t="shared" si="32"/>
        <v>11.091309292561514</v>
      </c>
      <c r="AF70" s="1">
        <f t="array" ref="AF70">_xlfn.IFS(C70="Biomass_Corn", 1/I70*S70, C70="Biomass_Agri", 1/I70*V70, C70="Biomass_Wood", 1/I70*U70, C70="Biomass_Herb", 1/I70*T70)</f>
        <v>72.335415540700694</v>
      </c>
      <c r="AG70" s="1">
        <f t="shared" si="33"/>
        <v>35.507895345834179</v>
      </c>
      <c r="AH70" s="1">
        <f t="shared" si="34"/>
        <v>26.134759252608514</v>
      </c>
      <c r="AI70" s="1">
        <f t="shared" si="35"/>
        <v>13.624994073863366</v>
      </c>
      <c r="AJ70" s="1">
        <f t="shared" si="36"/>
        <v>7.4811936520016048E-7</v>
      </c>
      <c r="AK70" s="1">
        <f t="shared" si="37"/>
        <v>-52.732608350987874</v>
      </c>
      <c r="AL70">
        <f t="shared" si="38"/>
        <v>7.8710388776432187E-5</v>
      </c>
      <c r="AM70" s="1">
        <f t="shared" si="39"/>
        <v>-0.61507786987641633</v>
      </c>
      <c r="AN70" s="1">
        <f t="shared" si="40"/>
        <v>11.980429972202144</v>
      </c>
      <c r="AO70">
        <f t="shared" si="41"/>
        <v>-64.712959612801257</v>
      </c>
      <c r="AQ70" s="17">
        <f t="shared" si="42"/>
        <v>1.821</v>
      </c>
      <c r="AR70" s="8">
        <v>0.243968185</v>
      </c>
      <c r="AS70" s="8">
        <v>0.24942761299999999</v>
      </c>
      <c r="AT70" s="9">
        <v>0.24635668499999999</v>
      </c>
      <c r="AU70" s="17">
        <v>0.23037490999999999</v>
      </c>
      <c r="AW70" s="9">
        <f t="shared" si="43"/>
        <v>1.821</v>
      </c>
      <c r="AY70" s="9">
        <f t="shared" si="44"/>
        <v>0.51460209262050005</v>
      </c>
      <c r="AZ70" s="9">
        <f t="shared" si="45"/>
        <v>0</v>
      </c>
      <c r="BA70" s="9">
        <f t="shared" si="46"/>
        <v>0</v>
      </c>
      <c r="BB70" s="9">
        <f t="shared" si="47"/>
        <v>9.0141564491748993E-3</v>
      </c>
      <c r="BC70" s="9">
        <f t="shared" si="48"/>
        <v>1.297385328938502</v>
      </c>
      <c r="BE70" s="1">
        <f t="shared" si="49"/>
        <v>-1.5780081770166987E-6</v>
      </c>
    </row>
    <row r="71" spans="2:57" x14ac:dyDescent="0.2">
      <c r="B71" s="12" t="s">
        <v>126</v>
      </c>
      <c r="C71" s="20" t="s">
        <v>67</v>
      </c>
      <c r="D71" s="20">
        <v>0</v>
      </c>
      <c r="E71" s="20">
        <v>1.1596</v>
      </c>
      <c r="F71" s="20">
        <v>2.1171000000000002</v>
      </c>
      <c r="G71" s="20">
        <v>0</v>
      </c>
      <c r="H71" s="20">
        <v>0</v>
      </c>
      <c r="I71" s="21">
        <f t="shared" si="25"/>
        <v>2.1171000000000002</v>
      </c>
      <c r="J71" s="20">
        <v>1.802</v>
      </c>
      <c r="K71" s="20">
        <v>1.2766326225154221</v>
      </c>
      <c r="L71" s="20">
        <v>8.8699678736847993E-3</v>
      </c>
      <c r="M71" s="20">
        <v>590486.4</v>
      </c>
      <c r="N71" s="20">
        <v>434613.76000000001</v>
      </c>
      <c r="O71" s="20">
        <v>28.7392</v>
      </c>
      <c r="Q71" s="19">
        <v>105.21100300000001</v>
      </c>
      <c r="R71" s="19">
        <v>-39.686463000000003</v>
      </c>
      <c r="S71" s="19">
        <v>160</v>
      </c>
      <c r="T71" s="19">
        <v>100.757654</v>
      </c>
      <c r="U71" s="19">
        <v>111.990773</v>
      </c>
      <c r="V71" s="19">
        <v>89.243781999999996</v>
      </c>
      <c r="W71" s="19">
        <v>30.713950000000001</v>
      </c>
      <c r="Y71" t="str">
        <f t="shared" si="26"/>
        <v>NCEN_Gasoline_Gasification_CCS_99_Wood</v>
      </c>
      <c r="Z71" t="str">
        <f t="shared" si="27"/>
        <v>Biomass_Wood</v>
      </c>
      <c r="AA71" s="18">
        <f t="shared" si="28"/>
        <v>105.19992380883237</v>
      </c>
      <c r="AB71" s="18">
        <f t="shared" si="29"/>
        <v>105.19992380883238</v>
      </c>
      <c r="AC71" s="5">
        <f t="shared" si="30"/>
        <v>0</v>
      </c>
      <c r="AD71" s="1">
        <f t="shared" si="31"/>
        <v>0</v>
      </c>
      <c r="AE71" s="1">
        <f t="shared" si="32"/>
        <v>16.822963686174482</v>
      </c>
      <c r="AF71" s="1">
        <f t="array" ref="AF71">_xlfn.IFS(C71="Biomass_Corn", 1/I71*S71, C71="Biomass_Agri", 1/I71*V71, C71="Biomass_Wood", 1/I71*U71, C71="Biomass_Herb", 1/I71*T71)</f>
        <v>52.898197062018802</v>
      </c>
      <c r="AG71" s="1">
        <f t="shared" si="33"/>
        <v>35.377074135831101</v>
      </c>
      <c r="AH71" s="1">
        <f t="shared" si="34"/>
        <v>26.038471348319465</v>
      </c>
      <c r="AI71" s="1">
        <f t="shared" si="35"/>
        <v>13.574795711114259</v>
      </c>
      <c r="AJ71" s="1">
        <f t="shared" si="36"/>
        <v>3.6062786864196901E-6</v>
      </c>
      <c r="AK71" s="1">
        <f t="shared" si="37"/>
        <v>-39.511957554823425</v>
      </c>
      <c r="AL71">
        <f t="shared" si="38"/>
        <v>3.7942019769573809E-4</v>
      </c>
      <c r="AM71" s="1">
        <f t="shared" si="39"/>
        <v>-0.60300646528875113</v>
      </c>
      <c r="AN71" s="1">
        <f t="shared" si="40"/>
        <v>23.93133689388846</v>
      </c>
      <c r="AO71">
        <f t="shared" si="41"/>
        <v>-63.442915028514193</v>
      </c>
      <c r="AQ71" s="17">
        <f t="shared" si="42"/>
        <v>1.802</v>
      </c>
      <c r="AR71" s="8">
        <v>0.243968185</v>
      </c>
      <c r="AS71" s="8">
        <v>0.24942761299999999</v>
      </c>
      <c r="AT71" s="9">
        <v>0.24635668499999999</v>
      </c>
      <c r="AU71" s="17">
        <v>0.23037490999999999</v>
      </c>
      <c r="AW71" s="9">
        <f t="shared" si="43"/>
        <v>1.802</v>
      </c>
      <c r="AY71" s="9">
        <f t="shared" si="44"/>
        <v>0.5165050444635001</v>
      </c>
      <c r="AZ71" s="9">
        <f t="shared" si="45"/>
        <v>0</v>
      </c>
      <c r="BA71" s="9">
        <f t="shared" si="46"/>
        <v>0</v>
      </c>
      <c r="BB71" s="9">
        <f t="shared" si="47"/>
        <v>8.8699678736847993E-3</v>
      </c>
      <c r="BC71" s="9">
        <f t="shared" si="48"/>
        <v>1.2766326225154221</v>
      </c>
      <c r="BE71" s="1">
        <f t="shared" si="49"/>
        <v>-7.6348526070191269E-6</v>
      </c>
    </row>
    <row r="72" spans="2:57" x14ac:dyDescent="0.2">
      <c r="B72" s="12" t="s">
        <v>127</v>
      </c>
      <c r="C72" s="20" t="s">
        <v>67</v>
      </c>
      <c r="D72" s="20">
        <v>0</v>
      </c>
      <c r="E72" s="20">
        <v>1.1596</v>
      </c>
      <c r="F72" s="20">
        <v>2.1181999999999999</v>
      </c>
      <c r="G72" s="20">
        <v>0</v>
      </c>
      <c r="H72" s="20">
        <v>0</v>
      </c>
      <c r="I72" s="21">
        <f t="shared" si="25"/>
        <v>2.1181999999999999</v>
      </c>
      <c r="J72" s="20">
        <v>1.802</v>
      </c>
      <c r="K72" s="20">
        <v>1.2763635073121249</v>
      </c>
      <c r="L72" s="20">
        <v>8.8680980771861997E-3</v>
      </c>
      <c r="M72" s="20">
        <v>590486.4</v>
      </c>
      <c r="N72" s="20">
        <v>434613.76000000001</v>
      </c>
      <c r="O72" s="20">
        <v>28.7392</v>
      </c>
      <c r="Q72" s="19">
        <v>105.21100300000001</v>
      </c>
      <c r="R72" s="19">
        <v>-29.672038000000001</v>
      </c>
      <c r="S72" s="19">
        <v>160</v>
      </c>
      <c r="T72" s="19">
        <v>107.027154</v>
      </c>
      <c r="U72" s="19">
        <v>122.865223</v>
      </c>
      <c r="V72" s="19">
        <v>94.404420999999999</v>
      </c>
      <c r="W72" s="19">
        <v>25.118154000000001</v>
      </c>
      <c r="Y72" t="str">
        <f t="shared" si="26"/>
        <v>CEN_Gasoline_Gasification_CCS_99_Wood</v>
      </c>
      <c r="Z72" t="str">
        <f t="shared" si="27"/>
        <v>Biomass_Wood</v>
      </c>
      <c r="AA72" s="18">
        <f t="shared" si="28"/>
        <v>101.18951705921528</v>
      </c>
      <c r="AB72" s="18">
        <f t="shared" si="29"/>
        <v>101.18951705921526</v>
      </c>
      <c r="AC72" s="5">
        <f t="shared" si="30"/>
        <v>0</v>
      </c>
      <c r="AD72" s="1">
        <f t="shared" si="31"/>
        <v>0</v>
      </c>
      <c r="AE72" s="1">
        <f t="shared" si="32"/>
        <v>13.750831544896611</v>
      </c>
      <c r="AF72" s="1">
        <f t="array" ref="AF72">_xlfn.IFS(C72="Biomass_Corn", 1/I72*S72, C72="Biomass_Agri", 1/I72*V72, C72="Biomass_Wood", 1/I72*U72, C72="Biomass_Herb", 1/I72*T72)</f>
        <v>58.004543008214526</v>
      </c>
      <c r="AG72" s="1">
        <f t="shared" si="33"/>
        <v>35.358702508246644</v>
      </c>
      <c r="AH72" s="1">
        <f t="shared" si="34"/>
        <v>26.024949339782435</v>
      </c>
      <c r="AI72" s="1">
        <f t="shared" si="35"/>
        <v>13.567746199603437</v>
      </c>
      <c r="AJ72" s="1">
        <f t="shared" si="36"/>
        <v>2.3675084086030542E-6</v>
      </c>
      <c r="AK72" s="1">
        <f t="shared" si="37"/>
        <v>-45.517504629462685</v>
      </c>
      <c r="AL72">
        <f t="shared" si="38"/>
        <v>2.4908793428006119E-4</v>
      </c>
      <c r="AM72" s="1">
        <f t="shared" si="39"/>
        <v>-0.60256750658852509</v>
      </c>
      <c r="AN72" s="1">
        <f t="shared" si="40"/>
        <v>17.879476201859433</v>
      </c>
      <c r="AO72">
        <f t="shared" si="41"/>
        <v>-63.396731743387839</v>
      </c>
      <c r="AQ72" s="17">
        <f t="shared" si="42"/>
        <v>1.802</v>
      </c>
      <c r="AR72" s="8">
        <v>0.243968185</v>
      </c>
      <c r="AS72" s="8">
        <v>0.24942761299999999</v>
      </c>
      <c r="AT72" s="9">
        <v>0.24635668499999999</v>
      </c>
      <c r="AU72" s="17">
        <v>0.23037490999999999</v>
      </c>
      <c r="AW72" s="9">
        <f t="shared" si="43"/>
        <v>1.802</v>
      </c>
      <c r="AY72" s="9">
        <f t="shared" si="44"/>
        <v>0.51677340946700001</v>
      </c>
      <c r="AZ72" s="9">
        <f t="shared" si="45"/>
        <v>0</v>
      </c>
      <c r="BA72" s="9">
        <f t="shared" si="46"/>
        <v>0</v>
      </c>
      <c r="BB72" s="9">
        <f t="shared" si="47"/>
        <v>8.8680980771861997E-3</v>
      </c>
      <c r="BC72" s="9">
        <f t="shared" si="48"/>
        <v>1.2763635073121249</v>
      </c>
      <c r="BE72" s="1">
        <f t="shared" si="49"/>
        <v>-5.0148563111029887E-6</v>
      </c>
    </row>
    <row r="73" spans="2:57" x14ac:dyDescent="0.2">
      <c r="B73" s="12" t="s">
        <v>128</v>
      </c>
      <c r="C73" s="20" t="s">
        <v>67</v>
      </c>
      <c r="D73" s="20">
        <v>0</v>
      </c>
      <c r="E73" s="20">
        <v>1.1596</v>
      </c>
      <c r="F73" s="20">
        <v>2.1259999999999999</v>
      </c>
      <c r="G73" s="20">
        <v>0</v>
      </c>
      <c r="H73" s="20">
        <v>0</v>
      </c>
      <c r="I73" s="21">
        <f t="shared" si="25"/>
        <v>2.1259999999999999</v>
      </c>
      <c r="J73" s="20">
        <v>1.821</v>
      </c>
      <c r="K73" s="20">
        <v>1.293348600889044</v>
      </c>
      <c r="L73" s="20">
        <v>8.9861095016961004E-3</v>
      </c>
      <c r="M73" s="20">
        <v>590486.4</v>
      </c>
      <c r="N73" s="20">
        <v>434613.76000000001</v>
      </c>
      <c r="O73" s="20">
        <v>28.7392</v>
      </c>
      <c r="Q73" s="19">
        <v>105.21100300000001</v>
      </c>
      <c r="R73" s="19">
        <v>-45.510345000000001</v>
      </c>
      <c r="S73" s="19">
        <v>160</v>
      </c>
      <c r="T73" s="19">
        <v>97.593261999999996</v>
      </c>
      <c r="U73" s="19">
        <v>109.791234</v>
      </c>
      <c r="V73" s="19">
        <v>86.911507</v>
      </c>
      <c r="W73" s="19">
        <v>38.099075999999997</v>
      </c>
      <c r="Y73" t="str">
        <f t="shared" si="26"/>
        <v>SE_Gasoline_Gasification_CCS_99_Wood</v>
      </c>
      <c r="Z73" t="str">
        <f t="shared" si="27"/>
        <v>Biomass_Wood</v>
      </c>
      <c r="AA73" s="18">
        <f t="shared" si="28"/>
        <v>110.78098600300076</v>
      </c>
      <c r="AB73" s="18">
        <f t="shared" si="29"/>
        <v>110.78098600300078</v>
      </c>
      <c r="AC73" s="5">
        <f t="shared" si="30"/>
        <v>0</v>
      </c>
      <c r="AD73" s="1">
        <f t="shared" si="31"/>
        <v>0</v>
      </c>
      <c r="AE73" s="1">
        <f t="shared" si="32"/>
        <v>20.780662525682033</v>
      </c>
      <c r="AF73" s="1">
        <f t="array" ref="AF73">_xlfn.IFS(C73="Biomass_Corn", 1/I73*S73, C73="Biomass_Agri", 1/I73*V73, C73="Biomass_Wood", 1/I73*U73, C73="Biomass_Herb", 1/I73*T73)</f>
        <v>51.642160865475077</v>
      </c>
      <c r="AG73" s="1">
        <f t="shared" si="33"/>
        <v>35.228976318423349</v>
      </c>
      <c r="AH73" s="1">
        <f t="shared" si="34"/>
        <v>25.929467399589438</v>
      </c>
      <c r="AI73" s="1">
        <f t="shared" si="35"/>
        <v>13.517968015051741</v>
      </c>
      <c r="AJ73" s="1">
        <f t="shared" si="36"/>
        <v>5.2077614016910607E-6</v>
      </c>
      <c r="AK73" s="1">
        <f t="shared" si="37"/>
        <v>-36.318797035021319</v>
      </c>
      <c r="AL73">
        <f t="shared" si="38"/>
        <v>5.4791380045660239E-4</v>
      </c>
      <c r="AM73" s="1">
        <f t="shared" si="39"/>
        <v>-0.60834314637267362</v>
      </c>
      <c r="AN73" s="1">
        <f t="shared" si="40"/>
        <v>27.686143476823943</v>
      </c>
      <c r="AO73">
        <f t="shared" si="41"/>
        <v>-64.004392598044802</v>
      </c>
      <c r="AQ73" s="17">
        <f t="shared" si="42"/>
        <v>1.821</v>
      </c>
      <c r="AR73" s="8">
        <v>0.243968185</v>
      </c>
      <c r="AS73" s="8">
        <v>0.24942761299999999</v>
      </c>
      <c r="AT73" s="9">
        <v>0.24635668499999999</v>
      </c>
      <c r="AU73" s="17">
        <v>0.23037490999999999</v>
      </c>
      <c r="AW73" s="9">
        <f t="shared" si="43"/>
        <v>1.821</v>
      </c>
      <c r="AY73" s="9">
        <f t="shared" si="44"/>
        <v>0.51867636130999994</v>
      </c>
      <c r="AZ73" s="9">
        <f t="shared" si="45"/>
        <v>0</v>
      </c>
      <c r="BA73" s="9">
        <f t="shared" si="46"/>
        <v>0</v>
      </c>
      <c r="BB73" s="9">
        <f t="shared" si="47"/>
        <v>8.9861095016961004E-3</v>
      </c>
      <c r="BC73" s="9">
        <f t="shared" si="48"/>
        <v>1.293348600889044</v>
      </c>
      <c r="BE73" s="1">
        <f t="shared" si="49"/>
        <v>-1.1071700739995194E-5</v>
      </c>
    </row>
    <row r="74" spans="2:57" x14ac:dyDescent="0.2">
      <c r="B74" s="12" t="s">
        <v>129</v>
      </c>
      <c r="C74" s="20" t="s">
        <v>67</v>
      </c>
      <c r="D74" s="20">
        <v>0</v>
      </c>
      <c r="E74" s="20">
        <v>1.1596</v>
      </c>
      <c r="F74" s="20">
        <v>2.1114999999999999</v>
      </c>
      <c r="G74" s="20">
        <v>0</v>
      </c>
      <c r="H74" s="20">
        <v>0</v>
      </c>
      <c r="I74" s="21">
        <f t="shared" si="25"/>
        <v>2.1114999999999999</v>
      </c>
      <c r="J74" s="20">
        <v>1.806</v>
      </c>
      <c r="K74" s="20">
        <v>1.281950598531908</v>
      </c>
      <c r="L74" s="20">
        <v>8.9069168561777996E-3</v>
      </c>
      <c r="M74" s="20">
        <v>590486.4</v>
      </c>
      <c r="N74" s="20">
        <v>434613.76000000001</v>
      </c>
      <c r="O74" s="20">
        <v>28.7392</v>
      </c>
      <c r="Q74" s="19">
        <v>105.21100300000001</v>
      </c>
      <c r="R74" s="19">
        <v>-50.334515000000003</v>
      </c>
      <c r="S74" s="19">
        <v>160</v>
      </c>
      <c r="T74" s="19">
        <v>98.707491000000005</v>
      </c>
      <c r="U74" s="19">
        <v>106.53195700000001</v>
      </c>
      <c r="V74" s="19">
        <v>87.469328000000004</v>
      </c>
      <c r="W74" s="19">
        <v>39.29871</v>
      </c>
      <c r="Y74" t="str">
        <f t="shared" si="26"/>
        <v>MIDAT_Gasoline_Gasification_CCS_99_Wood</v>
      </c>
      <c r="Z74" t="str">
        <f t="shared" si="27"/>
        <v>Biomass_Wood</v>
      </c>
      <c r="AA74" s="18">
        <f t="shared" si="28"/>
        <v>113.90739310561823</v>
      </c>
      <c r="AB74" s="18">
        <f t="shared" si="29"/>
        <v>113.90739310561824</v>
      </c>
      <c r="AC74" s="5">
        <f t="shared" si="30"/>
        <v>0</v>
      </c>
      <c r="AD74" s="1">
        <f t="shared" si="31"/>
        <v>0</v>
      </c>
      <c r="AE74" s="1">
        <f t="shared" si="32"/>
        <v>21.582185231352121</v>
      </c>
      <c r="AF74" s="1">
        <f t="array" ref="AF74">_xlfn.IFS(C74="Biomass_Corn", 1/I74*S74, C74="Biomass_Agri", 1/I74*V74, C74="Biomass_Wood", 1/I74*U74, C74="Biomass_Herb", 1/I74*T74)</f>
        <v>50.453211934643626</v>
      </c>
      <c r="AG74" s="1">
        <f t="shared" si="33"/>
        <v>35.470899196290809</v>
      </c>
      <c r="AH74" s="1">
        <f t="shared" si="34"/>
        <v>26.107529098521027</v>
      </c>
      <c r="AI74" s="1">
        <f t="shared" si="35"/>
        <v>13.610798010892731</v>
      </c>
      <c r="AJ74" s="1">
        <f t="shared" si="36"/>
        <v>-1.7343047190961348E-6</v>
      </c>
      <c r="AK74" s="1">
        <f t="shared" si="37"/>
        <v>-33.317047898143059</v>
      </c>
      <c r="AL74">
        <f t="shared" si="38"/>
        <v>-1.824679390037376E-4</v>
      </c>
      <c r="AM74" s="1">
        <f t="shared" si="39"/>
        <v>-0.60712965215075643</v>
      </c>
      <c r="AN74" s="1">
        <f t="shared" si="40"/>
        <v>30.559489287740139</v>
      </c>
      <c r="AO74">
        <f t="shared" si="41"/>
        <v>-63.876719653822192</v>
      </c>
      <c r="AQ74" s="17">
        <f t="shared" si="42"/>
        <v>1.806</v>
      </c>
      <c r="AR74" s="8">
        <v>0.243968185</v>
      </c>
      <c r="AS74" s="8">
        <v>0.24942761299999999</v>
      </c>
      <c r="AT74" s="9">
        <v>0.24635668499999999</v>
      </c>
      <c r="AU74" s="17">
        <v>0.23037490999999999</v>
      </c>
      <c r="AW74" s="9">
        <f t="shared" si="43"/>
        <v>1.806</v>
      </c>
      <c r="AY74" s="9">
        <f t="shared" si="44"/>
        <v>0.51513882262749999</v>
      </c>
      <c r="AZ74" s="9">
        <f t="shared" si="45"/>
        <v>0</v>
      </c>
      <c r="BA74" s="9">
        <f t="shared" si="46"/>
        <v>0</v>
      </c>
      <c r="BB74" s="9">
        <f t="shared" si="47"/>
        <v>8.9069168561777996E-3</v>
      </c>
      <c r="BC74" s="9">
        <f t="shared" si="48"/>
        <v>1.281950598531908</v>
      </c>
      <c r="BE74" s="1">
        <f t="shared" si="49"/>
        <v>3.6619844143714886E-6</v>
      </c>
    </row>
    <row r="75" spans="2:57" x14ac:dyDescent="0.2">
      <c r="B75" s="12" t="s">
        <v>130</v>
      </c>
      <c r="C75" s="20" t="s">
        <v>67</v>
      </c>
      <c r="D75" s="20">
        <v>0</v>
      </c>
      <c r="E75" s="20">
        <v>1.1596</v>
      </c>
      <c r="F75" s="20">
        <v>2.0981999999999998</v>
      </c>
      <c r="G75" s="20">
        <v>0</v>
      </c>
      <c r="H75" s="20">
        <v>0</v>
      </c>
      <c r="I75" s="21">
        <f t="shared" si="25"/>
        <v>2.0981999999999998</v>
      </c>
      <c r="J75" s="20">
        <v>1.8260000000000001</v>
      </c>
      <c r="K75" s="20">
        <v>1.3050419809714759</v>
      </c>
      <c r="L75" s="20">
        <v>9.0673544141608997E-3</v>
      </c>
      <c r="M75" s="20">
        <v>590486.4</v>
      </c>
      <c r="N75" s="20">
        <v>434613.76000000001</v>
      </c>
      <c r="O75" s="20">
        <v>28.7392</v>
      </c>
      <c r="Q75" s="19">
        <v>105.21100300000001</v>
      </c>
      <c r="R75" s="19">
        <v>-58.833413</v>
      </c>
      <c r="S75" s="19">
        <v>160</v>
      </c>
      <c r="T75" s="19">
        <v>99.493746999999999</v>
      </c>
      <c r="U75" s="19">
        <v>105.21395800000001</v>
      </c>
      <c r="V75" s="19">
        <v>89.700445000000002</v>
      </c>
      <c r="W75" s="19">
        <v>47.365060999999997</v>
      </c>
      <c r="Y75" t="str">
        <f t="shared" si="26"/>
        <v>NE_Gasoline_Gasification_CCS_99_Wood</v>
      </c>
      <c r="Z75" t="str">
        <f t="shared" si="27"/>
        <v>Biomass_Wood</v>
      </c>
      <c r="AA75" s="18">
        <f t="shared" si="28"/>
        <v>123.14183008687091</v>
      </c>
      <c r="AB75" s="18">
        <f t="shared" si="29"/>
        <v>123.14183008687091</v>
      </c>
      <c r="AC75" s="5">
        <f t="shared" si="30"/>
        <v>0</v>
      </c>
      <c r="AD75" s="1">
        <f t="shared" si="31"/>
        <v>0</v>
      </c>
      <c r="AE75" s="1">
        <f t="shared" si="32"/>
        <v>26.176972993804217</v>
      </c>
      <c r="AF75" s="1">
        <f t="array" ref="AF75">_xlfn.IFS(C75="Biomass_Corn", 1/I75*S75, C75="Biomass_Agri", 1/I75*V75, C75="Biomass_Wood", 1/I75*U75, C75="Biomass_Herb", 1/I75*T75)</f>
        <v>50.144866075683929</v>
      </c>
      <c r="AG75" s="1">
        <f t="shared" si="33"/>
        <v>35.695740946033766</v>
      </c>
      <c r="AH75" s="1">
        <f t="shared" si="34"/>
        <v>26.273018630982342</v>
      </c>
      <c r="AI75" s="1">
        <f t="shared" si="35"/>
        <v>13.697073682203795</v>
      </c>
      <c r="AJ75" s="1">
        <f t="shared" si="36"/>
        <v>1.6114539303980016E-6</v>
      </c>
      <c r="AK75" s="1">
        <f t="shared" si="37"/>
        <v>-28.846011784521458</v>
      </c>
      <c r="AL75">
        <f t="shared" si="38"/>
        <v>1.6954268430546595E-4</v>
      </c>
      <c r="AM75" s="1">
        <f t="shared" si="39"/>
        <v>-0.62198007807589328</v>
      </c>
      <c r="AN75" s="1">
        <f t="shared" si="40"/>
        <v>36.593305618545891</v>
      </c>
      <c r="AO75">
        <f t="shared" si="41"/>
        <v>-65.439147860383045</v>
      </c>
      <c r="AQ75" s="17">
        <f t="shared" si="42"/>
        <v>1.8260000000000001</v>
      </c>
      <c r="AR75" s="8">
        <v>0.243968185</v>
      </c>
      <c r="AS75" s="8">
        <v>0.24942761299999999</v>
      </c>
      <c r="AT75" s="9">
        <v>0.24635668499999999</v>
      </c>
      <c r="AU75" s="17">
        <v>0.23037490999999999</v>
      </c>
      <c r="AW75" s="9">
        <f t="shared" si="43"/>
        <v>1.8260000000000001</v>
      </c>
      <c r="AY75" s="9">
        <f t="shared" si="44"/>
        <v>0.51189404576699993</v>
      </c>
      <c r="AZ75" s="9">
        <f t="shared" si="45"/>
        <v>0</v>
      </c>
      <c r="BA75" s="9">
        <f t="shared" si="46"/>
        <v>0</v>
      </c>
      <c r="BB75" s="9">
        <f t="shared" si="47"/>
        <v>9.0673544141608997E-3</v>
      </c>
      <c r="BC75" s="9">
        <f t="shared" si="48"/>
        <v>1.3050419809714759</v>
      </c>
      <c r="BE75" s="1">
        <f t="shared" si="49"/>
        <v>-3.3811526367610867E-6</v>
      </c>
    </row>
    <row r="76" spans="2:57" x14ac:dyDescent="0.2">
      <c r="B76" s="12" t="s">
        <v>131</v>
      </c>
      <c r="C76" s="20" t="s">
        <v>77</v>
      </c>
      <c r="D76" s="20">
        <v>0</v>
      </c>
      <c r="E76" s="20">
        <v>1.1596</v>
      </c>
      <c r="F76" s="20">
        <v>2.0314999999999999</v>
      </c>
      <c r="G76" s="20">
        <v>0</v>
      </c>
      <c r="H76" s="20">
        <v>0</v>
      </c>
      <c r="I76" s="21">
        <f t="shared" si="25"/>
        <v>2.0314999999999999</v>
      </c>
      <c r="J76" s="20">
        <v>1.7190000000000001</v>
      </c>
      <c r="K76" s="20">
        <v>1.2149271931693111</v>
      </c>
      <c r="L76" s="20">
        <v>8.4412422040763008E-3</v>
      </c>
      <c r="M76" s="20">
        <v>590486.4</v>
      </c>
      <c r="N76" s="20">
        <v>434613.76000000001</v>
      </c>
      <c r="O76" s="20">
        <v>28.7392</v>
      </c>
      <c r="Q76" s="19">
        <v>105.21100300000001</v>
      </c>
      <c r="R76" s="19">
        <v>-6.4122130000000004</v>
      </c>
      <c r="S76" s="19">
        <v>160</v>
      </c>
      <c r="T76" s="19">
        <v>313632.96735400002</v>
      </c>
      <c r="U76" s="19">
        <v>154.036981</v>
      </c>
      <c r="V76" s="19">
        <v>132.85973799999999</v>
      </c>
      <c r="W76" s="19">
        <v>36.488697999999999</v>
      </c>
      <c r="Y76" t="str">
        <f t="shared" si="26"/>
        <v>CA_Gasoline_Gasification_CCS_99_Agri</v>
      </c>
      <c r="Z76" t="str">
        <f t="shared" si="27"/>
        <v>Biomass_Agri</v>
      </c>
      <c r="AA76" s="18">
        <f t="shared" si="28"/>
        <v>105.29149599143932</v>
      </c>
      <c r="AB76" s="18">
        <f t="shared" si="29"/>
        <v>105.29149599143935</v>
      </c>
      <c r="AC76" s="5">
        <f t="shared" si="30"/>
        <v>0</v>
      </c>
      <c r="AD76" s="1">
        <f t="shared" si="31"/>
        <v>0</v>
      </c>
      <c r="AE76" s="1">
        <f t="shared" si="32"/>
        <v>20.828104455230129</v>
      </c>
      <c r="AF76" s="1">
        <f t="array" ref="AF76">_xlfn.IFS(C76="Biomass_Corn", 1/I76*S76, C76="Biomass_Agri", 1/I76*V76, C76="Biomass_Wood", 1/I76*U76, C76="Biomass_Herb", 1/I76*T76)</f>
        <v>65.399821806546882</v>
      </c>
      <c r="AG76" s="1">
        <f t="shared" si="33"/>
        <v>36.867735000230397</v>
      </c>
      <c r="AH76" s="1">
        <f t="shared" si="34"/>
        <v>27.135637554283608</v>
      </c>
      <c r="AI76" s="1">
        <f t="shared" si="35"/>
        <v>14.146788087619987</v>
      </c>
      <c r="AJ76" s="1">
        <f t="shared" si="36"/>
        <v>-5.0193448746489394E-6</v>
      </c>
      <c r="AK76" s="1">
        <f t="shared" si="37"/>
        <v>-59.086062822163044</v>
      </c>
      <c r="AL76">
        <f t="shared" si="38"/>
        <v>-5.2809030866472425E-4</v>
      </c>
      <c r="AM76" s="1">
        <f t="shared" si="39"/>
        <v>-0.59804941667163369</v>
      </c>
      <c r="AN76" s="1">
        <f t="shared" si="40"/>
        <v>3.8347880591158106</v>
      </c>
      <c r="AO76">
        <f t="shared" si="41"/>
        <v>-62.921378971587508</v>
      </c>
      <c r="AQ76" s="17">
        <f t="shared" si="42"/>
        <v>1.7190000000000001</v>
      </c>
      <c r="AR76" s="8">
        <v>0.243968185</v>
      </c>
      <c r="AS76" s="8">
        <v>0.24942761299999999</v>
      </c>
      <c r="AT76" s="9">
        <v>0.24635668499999999</v>
      </c>
      <c r="AU76" s="17">
        <v>0.23037490999999999</v>
      </c>
      <c r="AW76" s="9">
        <f t="shared" si="43"/>
        <v>1.7190000000000001</v>
      </c>
      <c r="AY76" s="9">
        <f t="shared" si="44"/>
        <v>0.49562136782749999</v>
      </c>
      <c r="AZ76" s="9">
        <f t="shared" si="45"/>
        <v>0</v>
      </c>
      <c r="BA76" s="9">
        <f t="shared" si="46"/>
        <v>0</v>
      </c>
      <c r="BB76" s="9">
        <f t="shared" si="47"/>
        <v>8.4412422040763008E-3</v>
      </c>
      <c r="BC76" s="9">
        <f t="shared" si="48"/>
        <v>1.2149271931693111</v>
      </c>
      <c r="BE76" s="1">
        <f t="shared" si="49"/>
        <v>1.019679911284932E-5</v>
      </c>
    </row>
    <row r="77" spans="2:57" x14ac:dyDescent="0.2">
      <c r="B77" s="12" t="s">
        <v>132</v>
      </c>
      <c r="C77" s="20" t="s">
        <v>77</v>
      </c>
      <c r="D77" s="20">
        <v>0</v>
      </c>
      <c r="E77" s="20">
        <v>1.1596</v>
      </c>
      <c r="F77" s="20">
        <v>1.8572</v>
      </c>
      <c r="G77" s="20">
        <v>0</v>
      </c>
      <c r="H77" s="20">
        <v>0</v>
      </c>
      <c r="I77" s="21">
        <f t="shared" si="25"/>
        <v>1.8572</v>
      </c>
      <c r="J77" s="20">
        <v>1.6639999999999999</v>
      </c>
      <c r="K77" s="20">
        <v>1.2025577800869811</v>
      </c>
      <c r="L77" s="20">
        <v>8.3553002543551996E-3</v>
      </c>
      <c r="M77" s="20">
        <v>590486.4</v>
      </c>
      <c r="N77" s="20">
        <v>434613.76000000001</v>
      </c>
      <c r="O77" s="20">
        <v>28.7392</v>
      </c>
      <c r="Q77" s="19">
        <v>105.21100300000001</v>
      </c>
      <c r="R77" s="19">
        <v>-7.3796590000000002</v>
      </c>
      <c r="S77" s="19">
        <v>160</v>
      </c>
      <c r="T77" s="19">
        <v>130.996602</v>
      </c>
      <c r="U77" s="19">
        <v>149.05667199999999</v>
      </c>
      <c r="V77" s="19">
        <v>112.26938</v>
      </c>
      <c r="W77" s="19">
        <v>26.787863000000002</v>
      </c>
      <c r="Y77" t="str">
        <f t="shared" si="26"/>
        <v>NW_Gasoline_Gasification_CCS_99_Agri</v>
      </c>
      <c r="Z77" t="str">
        <f t="shared" si="27"/>
        <v>Biomass_Agri</v>
      </c>
      <c r="AA77" s="18">
        <f t="shared" si="28"/>
        <v>99.315059774469916</v>
      </c>
      <c r="AB77" s="18">
        <f t="shared" si="29"/>
        <v>99.315059774469916</v>
      </c>
      <c r="AC77" s="5">
        <f t="shared" si="30"/>
        <v>0</v>
      </c>
      <c r="AD77" s="1">
        <f t="shared" si="31"/>
        <v>0</v>
      </c>
      <c r="AE77" s="1">
        <f t="shared" si="32"/>
        <v>16.725827016368729</v>
      </c>
      <c r="AF77" s="1">
        <f t="array" ref="AF77">_xlfn.IFS(C77="Biomass_Corn", 1/I77*S77, C77="Biomass_Agri", 1/I77*V77, C77="Biomass_Wood", 1/I77*U77, C77="Biomass_Herb", 1/I77*T77)</f>
        <v>60.450883049752314</v>
      </c>
      <c r="AG77" s="1">
        <f t="shared" si="33"/>
        <v>40.327807265220784</v>
      </c>
      <c r="AH77" s="1">
        <f t="shared" si="34"/>
        <v>29.682343146417804</v>
      </c>
      <c r="AI77" s="1">
        <f t="shared" si="35"/>
        <v>15.474477708378204</v>
      </c>
      <c r="AJ77" s="1">
        <f t="shared" si="36"/>
        <v>5.8117183590559346E-6</v>
      </c>
      <c r="AK77" s="1">
        <f t="shared" si="37"/>
        <v>-63.346889868385631</v>
      </c>
      <c r="AL77">
        <f t="shared" si="38"/>
        <v>6.1145671770978908E-4</v>
      </c>
      <c r="AM77" s="1">
        <f t="shared" si="39"/>
        <v>-0.64750537721497126</v>
      </c>
      <c r="AN77" s="1">
        <f t="shared" si="40"/>
        <v>4.7784117730125519</v>
      </c>
      <c r="AO77">
        <f t="shared" si="41"/>
        <v>-68.124690184680475</v>
      </c>
      <c r="AQ77" s="17">
        <f t="shared" si="42"/>
        <v>1.6639999999999999</v>
      </c>
      <c r="AR77" s="8">
        <v>0.243968185</v>
      </c>
      <c r="AS77" s="8">
        <v>0.24942761299999999</v>
      </c>
      <c r="AT77" s="9">
        <v>0.24635668499999999</v>
      </c>
      <c r="AU77" s="17">
        <v>0.23037490999999999</v>
      </c>
      <c r="AW77" s="9">
        <f t="shared" si="43"/>
        <v>1.6639999999999999</v>
      </c>
      <c r="AY77" s="9">
        <f t="shared" si="44"/>
        <v>0.45309771318199998</v>
      </c>
      <c r="AZ77" s="9">
        <f t="shared" si="45"/>
        <v>0</v>
      </c>
      <c r="BA77" s="9">
        <f t="shared" si="46"/>
        <v>0</v>
      </c>
      <c r="BB77" s="9">
        <f t="shared" si="47"/>
        <v>8.3553002543551996E-3</v>
      </c>
      <c r="BC77" s="9">
        <f t="shared" si="48"/>
        <v>1.2025577800869811</v>
      </c>
      <c r="BE77" s="1">
        <f t="shared" si="49"/>
        <v>-1.0793523336438682E-5</v>
      </c>
    </row>
    <row r="78" spans="2:57" x14ac:dyDescent="0.2">
      <c r="B78" s="12" t="s">
        <v>133</v>
      </c>
      <c r="C78" s="20" t="s">
        <v>77</v>
      </c>
      <c r="D78" s="20">
        <v>0</v>
      </c>
      <c r="E78" s="20">
        <v>1.1596</v>
      </c>
      <c r="F78" s="20">
        <v>1.8915999999999999</v>
      </c>
      <c r="G78" s="20">
        <v>0</v>
      </c>
      <c r="H78" s="20">
        <v>0</v>
      </c>
      <c r="I78" s="21">
        <f t="shared" si="25"/>
        <v>1.8915999999999999</v>
      </c>
      <c r="J78" s="20">
        <v>1.6870000000000001</v>
      </c>
      <c r="K78" s="20">
        <v>1.217056508784766</v>
      </c>
      <c r="L78" s="20">
        <v>8.4560365628988995E-3</v>
      </c>
      <c r="M78" s="20">
        <v>590486.4</v>
      </c>
      <c r="N78" s="20">
        <v>434613.76000000001</v>
      </c>
      <c r="O78" s="20">
        <v>28.7392</v>
      </c>
      <c r="Q78" s="19">
        <v>105.21100300000001</v>
      </c>
      <c r="R78" s="19">
        <v>-14.567418</v>
      </c>
      <c r="S78" s="19">
        <v>160</v>
      </c>
      <c r="T78" s="19">
        <v>120.282189</v>
      </c>
      <c r="U78" s="19">
        <v>137.475031</v>
      </c>
      <c r="V78" s="19">
        <v>107.559866</v>
      </c>
      <c r="W78" s="19">
        <v>27.957547000000002</v>
      </c>
      <c r="Y78" t="str">
        <f t="shared" si="26"/>
        <v>SW_Gasoline_Gasification_CCS_99_Agri</v>
      </c>
      <c r="Z78" t="str">
        <f t="shared" si="27"/>
        <v>Biomass_Agri</v>
      </c>
      <c r="AA78" s="18">
        <f t="shared" si="28"/>
        <v>99.610601900468836</v>
      </c>
      <c r="AB78" s="18">
        <f t="shared" si="29"/>
        <v>99.610601900468851</v>
      </c>
      <c r="AC78" s="5">
        <f t="shared" si="30"/>
        <v>0</v>
      </c>
      <c r="AD78" s="1">
        <f t="shared" si="31"/>
        <v>0</v>
      </c>
      <c r="AE78" s="1">
        <f t="shared" si="32"/>
        <v>17.138703479171074</v>
      </c>
      <c r="AF78" s="1">
        <f t="array" ref="AF78">_xlfn.IFS(C78="Biomass_Corn", 1/I78*S78, C78="Biomass_Agri", 1/I78*V78, C78="Biomass_Wood", 1/I78*U78, C78="Biomass_Herb", 1/I78*T78)</f>
        <v>56.861844998942701</v>
      </c>
      <c r="AG78" s="1">
        <f t="shared" si="33"/>
        <v>39.594419355555104</v>
      </c>
      <c r="AH78" s="1">
        <f t="shared" si="34"/>
        <v>29.142550058959159</v>
      </c>
      <c r="AI78" s="1">
        <f t="shared" si="35"/>
        <v>15.193064072742652</v>
      </c>
      <c r="AJ78" s="1">
        <f t="shared" si="36"/>
        <v>1.4612463865733206E-6</v>
      </c>
      <c r="AK78" s="1">
        <f t="shared" si="37"/>
        <v>-58.320133804099804</v>
      </c>
      <c r="AL78">
        <f t="shared" si="38"/>
        <v>1.5373919796150481E-4</v>
      </c>
      <c r="AM78" s="1">
        <f t="shared" si="39"/>
        <v>-0.64339910376987797</v>
      </c>
      <c r="AN78" s="1">
        <f t="shared" si="40"/>
        <v>9.372684972028102</v>
      </c>
      <c r="AO78">
        <f t="shared" si="41"/>
        <v>-67.692665036929952</v>
      </c>
      <c r="AQ78" s="17">
        <f t="shared" si="42"/>
        <v>1.6870000000000001</v>
      </c>
      <c r="AR78" s="8">
        <v>0.243968185</v>
      </c>
      <c r="AS78" s="8">
        <v>0.24942761299999999</v>
      </c>
      <c r="AT78" s="9">
        <v>0.24635668499999999</v>
      </c>
      <c r="AU78" s="17">
        <v>0.23037490999999999</v>
      </c>
      <c r="AW78" s="9">
        <f t="shared" si="43"/>
        <v>1.6870000000000001</v>
      </c>
      <c r="AY78" s="9">
        <f t="shared" si="44"/>
        <v>0.46149021874599999</v>
      </c>
      <c r="AZ78" s="9">
        <f t="shared" si="45"/>
        <v>0</v>
      </c>
      <c r="BA78" s="9">
        <f t="shared" si="46"/>
        <v>0</v>
      </c>
      <c r="BB78" s="9">
        <f t="shared" si="47"/>
        <v>8.4560365628988995E-3</v>
      </c>
      <c r="BC78" s="9">
        <f t="shared" si="48"/>
        <v>1.217056508784766</v>
      </c>
      <c r="BE78" s="1">
        <f t="shared" si="49"/>
        <v>-2.7640936648420933E-6</v>
      </c>
    </row>
    <row r="79" spans="2:57" x14ac:dyDescent="0.2">
      <c r="B79" s="12" t="s">
        <v>134</v>
      </c>
      <c r="C79" s="20" t="s">
        <v>77</v>
      </c>
      <c r="D79" s="20">
        <v>0</v>
      </c>
      <c r="E79" s="20">
        <v>1.1596</v>
      </c>
      <c r="F79" s="20">
        <v>1.8427</v>
      </c>
      <c r="G79" s="20">
        <v>0</v>
      </c>
      <c r="H79" s="20">
        <v>0</v>
      </c>
      <c r="I79" s="21">
        <f t="shared" si="25"/>
        <v>1.8427</v>
      </c>
      <c r="J79" s="20">
        <v>1.633</v>
      </c>
      <c r="K79" s="20">
        <v>1.1752701777298451</v>
      </c>
      <c r="L79" s="20">
        <v>8.1657076088369005E-3</v>
      </c>
      <c r="M79" s="20">
        <v>590486.4</v>
      </c>
      <c r="N79" s="20">
        <v>434613.76000000001</v>
      </c>
      <c r="O79" s="20">
        <v>28.7392</v>
      </c>
      <c r="Q79" s="19">
        <v>105.21100300000001</v>
      </c>
      <c r="R79" s="19">
        <v>-19.477884</v>
      </c>
      <c r="S79" s="19">
        <v>160</v>
      </c>
      <c r="T79" s="19">
        <v>132.95547999999999</v>
      </c>
      <c r="U79" s="19">
        <v>152.57709199999999</v>
      </c>
      <c r="V79" s="19">
        <v>106.67488899999999</v>
      </c>
      <c r="W79" s="19">
        <v>20.174973000000001</v>
      </c>
      <c r="Y79" t="str">
        <f t="shared" si="26"/>
        <v>TX_Gasoline_Gasification_CCS_99_Agri</v>
      </c>
      <c r="Z79" t="str">
        <f t="shared" si="27"/>
        <v>Biomass_Agri</v>
      </c>
      <c r="AA79" s="18">
        <f t="shared" si="28"/>
        <v>102.06319340231964</v>
      </c>
      <c r="AB79" s="18">
        <f t="shared" si="29"/>
        <v>102.06319340231964</v>
      </c>
      <c r="AC79" s="5">
        <f t="shared" si="30"/>
        <v>0</v>
      </c>
      <c r="AD79" s="1">
        <f t="shared" si="31"/>
        <v>0</v>
      </c>
      <c r="AE79" s="1">
        <f t="shared" si="32"/>
        <v>12.695988870027678</v>
      </c>
      <c r="AF79" s="1">
        <f t="array" ref="AF79">_xlfn.IFS(C79="Biomass_Corn", 1/I79*S79, C79="Biomass_Agri", 1/I79*V79, C79="Biomass_Wood", 1/I79*U79, C79="Biomass_Herb", 1/I79*T79)</f>
        <v>57.890535084387032</v>
      </c>
      <c r="AG79" s="1">
        <f t="shared" si="33"/>
        <v>40.645142265679731</v>
      </c>
      <c r="AH79" s="1">
        <f t="shared" si="34"/>
        <v>29.915910181541836</v>
      </c>
      <c r="AI79" s="1">
        <f t="shared" si="35"/>
        <v>15.5962446410159</v>
      </c>
      <c r="AJ79" s="1">
        <f t="shared" si="36"/>
        <v>-2.1382546360926905E-6</v>
      </c>
      <c r="AK79" s="1">
        <f t="shared" si="37"/>
        <v>-54.680402672417628</v>
      </c>
      <c r="AL79">
        <f t="shared" si="38"/>
        <v>-2.2496791493271199E-4</v>
      </c>
      <c r="AM79" s="1">
        <f t="shared" si="39"/>
        <v>-0.63780003141675967</v>
      </c>
      <c r="AN79" s="1">
        <f t="shared" si="40"/>
        <v>12.422953378456235</v>
      </c>
      <c r="AO79">
        <f t="shared" si="41"/>
        <v>-67.103581018788802</v>
      </c>
      <c r="AQ79" s="17">
        <f t="shared" si="42"/>
        <v>1.633</v>
      </c>
      <c r="AR79" s="8">
        <v>0.243968185</v>
      </c>
      <c r="AS79" s="8">
        <v>0.24942761299999999</v>
      </c>
      <c r="AT79" s="9">
        <v>0.24635668499999999</v>
      </c>
      <c r="AU79" s="17">
        <v>0.23037490999999999</v>
      </c>
      <c r="AW79" s="9">
        <f t="shared" si="43"/>
        <v>1.633</v>
      </c>
      <c r="AY79" s="9">
        <f t="shared" si="44"/>
        <v>0.44956017449950003</v>
      </c>
      <c r="AZ79" s="9">
        <f t="shared" si="45"/>
        <v>0</v>
      </c>
      <c r="BA79" s="9">
        <f t="shared" si="46"/>
        <v>0</v>
      </c>
      <c r="BB79" s="9">
        <f t="shared" si="47"/>
        <v>8.1657076088369005E-3</v>
      </c>
      <c r="BC79" s="9">
        <f t="shared" si="48"/>
        <v>1.1752701777298451</v>
      </c>
      <c r="BE79" s="1">
        <f t="shared" si="49"/>
        <v>3.9401618179280007E-6</v>
      </c>
    </row>
    <row r="80" spans="2:57" x14ac:dyDescent="0.2">
      <c r="B80" s="12" t="s">
        <v>135</v>
      </c>
      <c r="C80" s="20" t="s">
        <v>77</v>
      </c>
      <c r="D80" s="20">
        <v>0</v>
      </c>
      <c r="E80" s="20">
        <v>1.1596</v>
      </c>
      <c r="F80" s="20">
        <v>1.9216</v>
      </c>
      <c r="G80" s="20">
        <v>0</v>
      </c>
      <c r="H80" s="20">
        <v>0</v>
      </c>
      <c r="I80" s="21">
        <f t="shared" si="25"/>
        <v>1.9216</v>
      </c>
      <c r="J80" s="20">
        <v>1.71</v>
      </c>
      <c r="K80" s="20">
        <v>1.2326316982957399</v>
      </c>
      <c r="L80" s="20">
        <v>8.5642520574369004E-3</v>
      </c>
      <c r="M80" s="20">
        <v>590486.4</v>
      </c>
      <c r="N80" s="20">
        <v>434613.76000000001</v>
      </c>
      <c r="O80" s="20">
        <v>28.7392</v>
      </c>
      <c r="Q80" s="19">
        <v>105.21100300000001</v>
      </c>
      <c r="R80" s="19">
        <v>-39.686463000000003</v>
      </c>
      <c r="S80" s="19">
        <v>160</v>
      </c>
      <c r="T80" s="19">
        <v>100.757654</v>
      </c>
      <c r="U80" s="19">
        <v>111.990773</v>
      </c>
      <c r="V80" s="19">
        <v>89.243781999999996</v>
      </c>
      <c r="W80" s="19">
        <v>30.713950000000001</v>
      </c>
      <c r="Y80" t="str">
        <f t="shared" si="26"/>
        <v>NCEN_Gasoline_Gasification_CCS_99_Agri</v>
      </c>
      <c r="Z80" t="str">
        <f t="shared" si="27"/>
        <v>Biomass_Agri</v>
      </c>
      <c r="AA80" s="18">
        <f t="shared" si="28"/>
        <v>105.56549405845033</v>
      </c>
      <c r="AB80" s="18">
        <f t="shared" si="29"/>
        <v>105.56549405845034</v>
      </c>
      <c r="AC80" s="5">
        <f t="shared" si="30"/>
        <v>0</v>
      </c>
      <c r="AD80" s="1">
        <f t="shared" si="31"/>
        <v>0</v>
      </c>
      <c r="AE80" s="1">
        <f t="shared" si="32"/>
        <v>18.534500634887593</v>
      </c>
      <c r="AF80" s="1">
        <f t="array" ref="AF80">_xlfn.IFS(C80="Biomass_Corn", 1/I80*S80, C80="Biomass_Agri", 1/I80*V80, C80="Biomass_Wood", 1/I80*U80, C80="Biomass_Herb", 1/I80*T80)</f>
        <v>46.442434429641963</v>
      </c>
      <c r="AG80" s="1">
        <f t="shared" si="33"/>
        <v>38.976271676190692</v>
      </c>
      <c r="AH80" s="1">
        <f t="shared" si="34"/>
        <v>28.687576858621537</v>
      </c>
      <c r="AI80" s="1">
        <f t="shared" si="35"/>
        <v>14.955870108243131</v>
      </c>
      <c r="AJ80" s="1">
        <f t="shared" si="36"/>
        <v>2.7137016948949093E-6</v>
      </c>
      <c r="AK80" s="1">
        <f t="shared" si="37"/>
        <v>-42.031445160411714</v>
      </c>
      <c r="AL80">
        <f t="shared" si="38"/>
        <v>2.8551127716269342E-4</v>
      </c>
      <c r="AM80" s="1">
        <f t="shared" si="39"/>
        <v>-0.64145841155628802</v>
      </c>
      <c r="AN80" s="1">
        <f t="shared" si="40"/>
        <v>25.457323213489307</v>
      </c>
      <c r="AO80">
        <f t="shared" si="41"/>
        <v>-67.488482862623854</v>
      </c>
      <c r="AQ80" s="17">
        <f t="shared" si="42"/>
        <v>1.71</v>
      </c>
      <c r="AR80" s="8">
        <v>0.243968185</v>
      </c>
      <c r="AS80" s="8">
        <v>0.24942761299999999</v>
      </c>
      <c r="AT80" s="9">
        <v>0.24635668499999999</v>
      </c>
      <c r="AU80" s="17">
        <v>0.23037490999999999</v>
      </c>
      <c r="AW80" s="9">
        <f t="shared" si="43"/>
        <v>1.71</v>
      </c>
      <c r="AY80" s="9">
        <f t="shared" si="44"/>
        <v>0.46880926429600001</v>
      </c>
      <c r="AZ80" s="9">
        <f t="shared" si="45"/>
        <v>0</v>
      </c>
      <c r="BA80" s="9">
        <f t="shared" si="46"/>
        <v>0</v>
      </c>
      <c r="BB80" s="9">
        <f t="shared" si="47"/>
        <v>8.5642520574369004E-3</v>
      </c>
      <c r="BC80" s="9">
        <f t="shared" si="48"/>
        <v>1.2326316982957399</v>
      </c>
      <c r="BE80" s="1">
        <f t="shared" si="49"/>
        <v>-5.2146491769100578E-6</v>
      </c>
    </row>
    <row r="81" spans="2:57" x14ac:dyDescent="0.2">
      <c r="B81" s="12" t="s">
        <v>136</v>
      </c>
      <c r="C81" s="20" t="s">
        <v>77</v>
      </c>
      <c r="D81" s="20">
        <v>0</v>
      </c>
      <c r="E81" s="20">
        <v>1.1596</v>
      </c>
      <c r="F81" s="20">
        <v>1.9071</v>
      </c>
      <c r="G81" s="20">
        <v>0</v>
      </c>
      <c r="H81" s="20">
        <v>0</v>
      </c>
      <c r="I81" s="21">
        <f t="shared" si="25"/>
        <v>1.9071</v>
      </c>
      <c r="J81" s="20">
        <v>1.7</v>
      </c>
      <c r="K81" s="20">
        <v>1.226199195938604</v>
      </c>
      <c r="L81" s="20">
        <v>8.5195594119185994E-3</v>
      </c>
      <c r="M81" s="20">
        <v>590486.4</v>
      </c>
      <c r="N81" s="20">
        <v>434613.76000000001</v>
      </c>
      <c r="O81" s="20">
        <v>28.7392</v>
      </c>
      <c r="Q81" s="19">
        <v>105.21100300000001</v>
      </c>
      <c r="R81" s="19">
        <v>-29.672038000000001</v>
      </c>
      <c r="S81" s="19">
        <v>160</v>
      </c>
      <c r="T81" s="19">
        <v>107.027154</v>
      </c>
      <c r="U81" s="19">
        <v>122.865223</v>
      </c>
      <c r="V81" s="19">
        <v>94.404420999999999</v>
      </c>
      <c r="W81" s="19">
        <v>25.118154000000001</v>
      </c>
      <c r="Y81" t="str">
        <f t="shared" si="26"/>
        <v>CEN_Gasoline_Gasification_CCS_99_Agri</v>
      </c>
      <c r="Z81" t="str">
        <f t="shared" si="27"/>
        <v>Biomass_Agri</v>
      </c>
      <c r="AA81" s="18">
        <f t="shared" si="28"/>
        <v>99.452920177514571</v>
      </c>
      <c r="AB81" s="18">
        <f t="shared" si="29"/>
        <v>99.452920177514585</v>
      </c>
      <c r="AC81" s="5">
        <f t="shared" si="30"/>
        <v>0</v>
      </c>
      <c r="AD81" s="1">
        <f t="shared" si="31"/>
        <v>0</v>
      </c>
      <c r="AE81" s="1">
        <f t="shared" si="32"/>
        <v>15.272933447852759</v>
      </c>
      <c r="AF81" s="1">
        <f t="array" ref="AF81">_xlfn.IFS(C81="Biomass_Corn", 1/I81*S81, C81="Biomass_Agri", 1/I81*V81, C81="Biomass_Wood", 1/I81*U81, C81="Biomass_Herb", 1/I81*T81)</f>
        <v>49.501557862723509</v>
      </c>
      <c r="AG81" s="1">
        <f t="shared" si="33"/>
        <v>39.272614783161885</v>
      </c>
      <c r="AH81" s="1">
        <f t="shared" si="34"/>
        <v>28.905693299526583</v>
      </c>
      <c r="AI81" s="1">
        <f t="shared" si="35"/>
        <v>15.069582087986996</v>
      </c>
      <c r="AJ81" s="1">
        <f t="shared" si="36"/>
        <v>-4.9913669850739758E-6</v>
      </c>
      <c r="AK81" s="1">
        <f t="shared" si="37"/>
        <v>-48.568936157010306</v>
      </c>
      <c r="AL81">
        <f t="shared" si="38"/>
        <v>-5.25146726840719E-4</v>
      </c>
      <c r="AM81" s="1">
        <f t="shared" si="39"/>
        <v>-0.6429703292824609</v>
      </c>
      <c r="AN81" s="1">
        <f t="shared" si="40"/>
        <v>19.078091939310841</v>
      </c>
      <c r="AO81">
        <f t="shared" si="41"/>
        <v>-67.64755324304798</v>
      </c>
      <c r="AQ81" s="17">
        <f t="shared" si="42"/>
        <v>1.7</v>
      </c>
      <c r="AR81" s="8">
        <v>0.243968185</v>
      </c>
      <c r="AS81" s="8">
        <v>0.24942761299999999</v>
      </c>
      <c r="AT81" s="9">
        <v>0.24635668499999999</v>
      </c>
      <c r="AU81" s="17">
        <v>0.23037490999999999</v>
      </c>
      <c r="AW81" s="9">
        <f t="shared" si="43"/>
        <v>1.7</v>
      </c>
      <c r="AY81" s="9">
        <f t="shared" si="44"/>
        <v>0.4652717256135</v>
      </c>
      <c r="AZ81" s="9">
        <f t="shared" si="45"/>
        <v>0</v>
      </c>
      <c r="BA81" s="9">
        <f t="shared" si="46"/>
        <v>0</v>
      </c>
      <c r="BB81" s="9">
        <f t="shared" si="47"/>
        <v>8.5195594119185994E-3</v>
      </c>
      <c r="BC81" s="9">
        <f t="shared" si="48"/>
        <v>1.226199195938604</v>
      </c>
      <c r="BE81" s="1">
        <f t="shared" si="49"/>
        <v>9.5190359772345801E-6</v>
      </c>
    </row>
    <row r="82" spans="2:57" x14ac:dyDescent="0.2">
      <c r="B82" s="12" t="s">
        <v>137</v>
      </c>
      <c r="C82" s="20" t="s">
        <v>77</v>
      </c>
      <c r="D82" s="20">
        <v>0</v>
      </c>
      <c r="E82" s="20">
        <v>1.1596</v>
      </c>
      <c r="F82" s="20">
        <v>1.9137999999999999</v>
      </c>
      <c r="G82" s="20">
        <v>0</v>
      </c>
      <c r="H82" s="20">
        <v>0</v>
      </c>
      <c r="I82" s="21">
        <f t="shared" si="25"/>
        <v>1.9137999999999999</v>
      </c>
      <c r="J82" s="20">
        <v>1.6890000000000001</v>
      </c>
      <c r="K82" s="20">
        <v>1.2136604047188211</v>
      </c>
      <c r="L82" s="20">
        <v>8.4324406329270001E-3</v>
      </c>
      <c r="M82" s="20">
        <v>590486.4</v>
      </c>
      <c r="N82" s="20">
        <v>434613.76000000001</v>
      </c>
      <c r="O82" s="20">
        <v>28.7392</v>
      </c>
      <c r="Q82" s="19">
        <v>105.21100300000001</v>
      </c>
      <c r="R82" s="19">
        <v>-45.510345000000001</v>
      </c>
      <c r="S82" s="19">
        <v>160</v>
      </c>
      <c r="T82" s="19">
        <v>97.593261999999996</v>
      </c>
      <c r="U82" s="19">
        <v>109.791234</v>
      </c>
      <c r="V82" s="19">
        <v>86.911507</v>
      </c>
      <c r="W82" s="19">
        <v>38.099075999999997</v>
      </c>
      <c r="Y82" t="str">
        <f t="shared" si="26"/>
        <v>SE_Gasoline_Gasification_CCS_99_Agri</v>
      </c>
      <c r="Z82" t="str">
        <f t="shared" si="27"/>
        <v>Biomass_Agri</v>
      </c>
      <c r="AA82" s="18">
        <f t="shared" si="28"/>
        <v>113.59433248804896</v>
      </c>
      <c r="AB82" s="18">
        <f t="shared" si="29"/>
        <v>113.59433248804895</v>
      </c>
      <c r="AC82" s="5">
        <f t="shared" si="30"/>
        <v>0</v>
      </c>
      <c r="AD82" s="1">
        <f t="shared" si="31"/>
        <v>0</v>
      </c>
      <c r="AE82" s="1">
        <f t="shared" si="32"/>
        <v>23.084799106280698</v>
      </c>
      <c r="AF82" s="1">
        <f t="array" ref="AF82">_xlfn.IFS(C82="Biomass_Corn", 1/I82*S82, C82="Biomass_Agri", 1/I82*V82, C82="Biomass_Wood", 1/I82*U82, C82="Biomass_Herb", 1/I82*T82)</f>
        <v>45.413056223220821</v>
      </c>
      <c r="AG82" s="1">
        <f t="shared" si="33"/>
        <v>39.135125746142776</v>
      </c>
      <c r="AH82" s="1">
        <f t="shared" si="34"/>
        <v>28.804497696481945</v>
      </c>
      <c r="AI82" s="1">
        <f t="shared" si="35"/>
        <v>15.016825164594001</v>
      </c>
      <c r="AJ82" s="1">
        <f t="shared" si="36"/>
        <v>-4.4006440170453936E-7</v>
      </c>
      <c r="AK82" s="1">
        <f t="shared" si="37"/>
        <v>-37.859925149054199</v>
      </c>
      <c r="AL82">
        <f t="shared" si="38"/>
        <v>-4.62996170879295E-5</v>
      </c>
      <c r="AM82" s="1">
        <f t="shared" si="39"/>
        <v>-0.63416305095311587</v>
      </c>
      <c r="AN82" s="1">
        <f t="shared" si="40"/>
        <v>28.86095920764614</v>
      </c>
      <c r="AO82">
        <f t="shared" si="41"/>
        <v>-66.720930656317435</v>
      </c>
      <c r="AQ82" s="17">
        <f t="shared" si="42"/>
        <v>1.6890000000000001</v>
      </c>
      <c r="AR82" s="8">
        <v>0.243968185</v>
      </c>
      <c r="AS82" s="8">
        <v>0.24942761299999999</v>
      </c>
      <c r="AT82" s="9">
        <v>0.24635668499999999</v>
      </c>
      <c r="AU82" s="17">
        <v>0.23037490999999999</v>
      </c>
      <c r="AW82" s="9">
        <f t="shared" si="43"/>
        <v>1.6890000000000001</v>
      </c>
      <c r="AY82" s="9">
        <f t="shared" si="44"/>
        <v>0.46690631245300002</v>
      </c>
      <c r="AZ82" s="9">
        <f t="shared" si="45"/>
        <v>0</v>
      </c>
      <c r="BA82" s="9">
        <f t="shared" si="46"/>
        <v>0</v>
      </c>
      <c r="BB82" s="9">
        <f t="shared" si="47"/>
        <v>8.4324406329270001E-3</v>
      </c>
      <c r="BC82" s="9">
        <f t="shared" si="48"/>
        <v>1.2136604047188211</v>
      </c>
      <c r="BE82" s="1">
        <f t="shared" si="49"/>
        <v>8.421952519821474E-7</v>
      </c>
    </row>
    <row r="83" spans="2:57" x14ac:dyDescent="0.2">
      <c r="B83" s="12" t="s">
        <v>138</v>
      </c>
      <c r="C83" s="20" t="s">
        <v>77</v>
      </c>
      <c r="D83" s="20">
        <v>0</v>
      </c>
      <c r="E83" s="20">
        <v>1.1596</v>
      </c>
      <c r="F83" s="20">
        <v>1.9194</v>
      </c>
      <c r="G83" s="20">
        <v>0</v>
      </c>
      <c r="H83" s="20">
        <v>0</v>
      </c>
      <c r="I83" s="21">
        <f t="shared" si="25"/>
        <v>1.9194</v>
      </c>
      <c r="J83" s="20">
        <v>1.708</v>
      </c>
      <c r="K83" s="20">
        <v>1.2311837287023339</v>
      </c>
      <c r="L83" s="20">
        <v>8.5541916504340999E-3</v>
      </c>
      <c r="M83" s="20">
        <v>590486.4</v>
      </c>
      <c r="N83" s="20">
        <v>434613.76000000001</v>
      </c>
      <c r="O83" s="20">
        <v>28.7392</v>
      </c>
      <c r="Q83" s="19">
        <v>105.21100300000001</v>
      </c>
      <c r="R83" s="19">
        <v>-50.334515000000003</v>
      </c>
      <c r="S83" s="19">
        <v>160</v>
      </c>
      <c r="T83" s="19">
        <v>98.707491000000005</v>
      </c>
      <c r="U83" s="19">
        <v>106.53195700000001</v>
      </c>
      <c r="V83" s="19">
        <v>87.469328000000004</v>
      </c>
      <c r="W83" s="19">
        <v>39.29871</v>
      </c>
      <c r="Y83" t="str">
        <f t="shared" si="26"/>
        <v>MIDAT_Gasoline_Gasification_CCS_99_Agri</v>
      </c>
      <c r="Z83" t="str">
        <f t="shared" si="27"/>
        <v>Biomass_Agri</v>
      </c>
      <c r="AA83" s="18">
        <f t="shared" si="28"/>
        <v>116.8282923256813</v>
      </c>
      <c r="AB83" s="18">
        <f t="shared" si="29"/>
        <v>116.8282923256813</v>
      </c>
      <c r="AC83" s="5">
        <f t="shared" si="30"/>
        <v>0</v>
      </c>
      <c r="AD83" s="1">
        <f t="shared" si="31"/>
        <v>0</v>
      </c>
      <c r="AE83" s="1">
        <f t="shared" si="32"/>
        <v>23.742202832135039</v>
      </c>
      <c r="AF83" s="1">
        <f t="array" ref="AF83">_xlfn.IFS(C83="Biomass_Corn", 1/I83*S83, C83="Biomass_Agri", 1/I83*V83, C83="Biomass_Wood", 1/I83*U83, C83="Biomass_Herb", 1/I83*T83)</f>
        <v>45.571182661248308</v>
      </c>
      <c r="AG83" s="1">
        <f t="shared" si="33"/>
        <v>39.020945948196335</v>
      </c>
      <c r="AH83" s="1">
        <f t="shared" si="34"/>
        <v>28.720458315894106</v>
      </c>
      <c r="AI83" s="1">
        <f t="shared" si="35"/>
        <v>14.973012399708242</v>
      </c>
      <c r="AJ83" s="1">
        <f t="shared" si="36"/>
        <v>5.4468280546400965E-6</v>
      </c>
      <c r="AK83" s="1">
        <f t="shared" si="37"/>
        <v>-35.200082897743506</v>
      </c>
      <c r="AL83">
        <f t="shared" si="38"/>
        <v>5.7306624279722341E-4</v>
      </c>
      <c r="AM83" s="1">
        <f t="shared" si="39"/>
        <v>-0.64143652915523908</v>
      </c>
      <c r="AN83" s="1">
        <f t="shared" si="40"/>
        <v>32.286670761760739</v>
      </c>
      <c r="AO83">
        <f t="shared" si="41"/>
        <v>-67.486180593261452</v>
      </c>
      <c r="AQ83" s="17">
        <f t="shared" si="42"/>
        <v>1.708</v>
      </c>
      <c r="AR83" s="8">
        <v>0.243968185</v>
      </c>
      <c r="AS83" s="8">
        <v>0.24942761299999999</v>
      </c>
      <c r="AT83" s="9">
        <v>0.24635668499999999</v>
      </c>
      <c r="AU83" s="17">
        <v>0.23037490999999999</v>
      </c>
      <c r="AW83" s="9">
        <f t="shared" si="43"/>
        <v>1.708</v>
      </c>
      <c r="AY83" s="9">
        <f t="shared" si="44"/>
        <v>0.46827253428900001</v>
      </c>
      <c r="AZ83" s="9">
        <f t="shared" si="45"/>
        <v>0</v>
      </c>
      <c r="BA83" s="9">
        <f t="shared" si="46"/>
        <v>0</v>
      </c>
      <c r="BB83" s="9">
        <f t="shared" si="47"/>
        <v>8.5541916504340999E-3</v>
      </c>
      <c r="BC83" s="9">
        <f t="shared" si="48"/>
        <v>1.2311837287023339</v>
      </c>
      <c r="BE83" s="1">
        <f t="shared" si="49"/>
        <v>-1.04546417680762E-5</v>
      </c>
    </row>
    <row r="84" spans="2:57" x14ac:dyDescent="0.2">
      <c r="B84" s="12" t="s">
        <v>139</v>
      </c>
      <c r="C84" s="20" t="s">
        <v>77</v>
      </c>
      <c r="D84" s="20">
        <v>0</v>
      </c>
      <c r="E84" s="20">
        <v>1.1596</v>
      </c>
      <c r="F84" s="20">
        <v>1.9416</v>
      </c>
      <c r="G84" s="20">
        <v>0</v>
      </c>
      <c r="H84" s="20">
        <v>0</v>
      </c>
      <c r="I84" s="21">
        <f t="shared" si="25"/>
        <v>1.9416</v>
      </c>
      <c r="J84" s="20">
        <v>1.7150000000000001</v>
      </c>
      <c r="K84" s="20">
        <v>1.232753124636389</v>
      </c>
      <c r="L84" s="20">
        <v>8.5650957204622003E-3</v>
      </c>
      <c r="M84" s="20">
        <v>590486.4</v>
      </c>
      <c r="N84" s="20">
        <v>434613.76000000001</v>
      </c>
      <c r="O84" s="20">
        <v>28.7392</v>
      </c>
      <c r="Q84" s="19">
        <v>105.21100300000001</v>
      </c>
      <c r="R84" s="19">
        <v>-58.833413</v>
      </c>
      <c r="S84" s="19">
        <v>160</v>
      </c>
      <c r="T84" s="19">
        <v>99.493746999999999</v>
      </c>
      <c r="U84" s="19">
        <v>105.21395800000001</v>
      </c>
      <c r="V84" s="19">
        <v>89.700445000000002</v>
      </c>
      <c r="W84" s="19">
        <v>47.365060999999997</v>
      </c>
      <c r="Y84" t="str">
        <f t="shared" si="26"/>
        <v>NE_Gasoline_Gasification_CCS_99_Agri</v>
      </c>
      <c r="Z84" t="str">
        <f t="shared" si="27"/>
        <v>Biomass_Agri</v>
      </c>
      <c r="AA84" s="18">
        <f t="shared" si="28"/>
        <v>126.81068325945726</v>
      </c>
      <c r="AB84" s="18">
        <f t="shared" si="29"/>
        <v>126.81068325945726</v>
      </c>
      <c r="AC84" s="5">
        <f t="shared" si="30"/>
        <v>0</v>
      </c>
      <c r="AD84" s="1">
        <f t="shared" si="31"/>
        <v>0</v>
      </c>
      <c r="AE84" s="1">
        <f t="shared" si="32"/>
        <v>28.288280148125253</v>
      </c>
      <c r="AF84" s="1">
        <f t="array" ref="AF84">_xlfn.IFS(C84="Biomass_Corn", 1/I84*S84, C84="Biomass_Agri", 1/I84*V84, C84="Biomass_Wood", 1/I84*U84, C84="Biomass_Herb", 1/I84*T84)</f>
        <v>46.199240317264113</v>
      </c>
      <c r="AG84" s="1">
        <f t="shared" si="33"/>
        <v>38.574785564981482</v>
      </c>
      <c r="AH84" s="1">
        <f t="shared" si="34"/>
        <v>28.392072358635737</v>
      </c>
      <c r="AI84" s="1">
        <f t="shared" si="35"/>
        <v>14.801812937783271</v>
      </c>
      <c r="AJ84" s="1">
        <f t="shared" si="36"/>
        <v>3.5271697832982899E-6</v>
      </c>
      <c r="AK84" s="1">
        <f t="shared" si="37"/>
        <v>-29.445879164403252</v>
      </c>
      <c r="AL84">
        <f t="shared" si="38"/>
        <v>3.7109707065210572E-4</v>
      </c>
      <c r="AM84" s="1">
        <f t="shared" si="39"/>
        <v>-0.63491258564253084</v>
      </c>
      <c r="AN84" s="1">
        <f t="shared" si="40"/>
        <v>37.354281885441466</v>
      </c>
      <c r="AO84">
        <f t="shared" si="41"/>
        <v>-66.799789952774077</v>
      </c>
      <c r="AQ84" s="17">
        <f t="shared" si="42"/>
        <v>1.7150000000000001</v>
      </c>
      <c r="AR84" s="8">
        <v>0.243968185</v>
      </c>
      <c r="AS84" s="8">
        <v>0.24942761299999999</v>
      </c>
      <c r="AT84" s="9">
        <v>0.24635668499999999</v>
      </c>
      <c r="AU84" s="17">
        <v>0.23037490999999999</v>
      </c>
      <c r="AW84" s="9">
        <f t="shared" si="43"/>
        <v>1.7150000000000001</v>
      </c>
      <c r="AY84" s="9">
        <f t="shared" si="44"/>
        <v>0.47368862799600003</v>
      </c>
      <c r="AZ84" s="9">
        <f t="shared" si="45"/>
        <v>0</v>
      </c>
      <c r="BA84" s="9">
        <f t="shared" si="46"/>
        <v>0</v>
      </c>
      <c r="BB84" s="9">
        <f t="shared" si="47"/>
        <v>8.5650957204622003E-3</v>
      </c>
      <c r="BC84" s="9">
        <f t="shared" si="48"/>
        <v>1.232753124636389</v>
      </c>
      <c r="BE84" s="1">
        <f t="shared" si="49"/>
        <v>-6.8483528512519598E-6</v>
      </c>
    </row>
    <row r="85" spans="2:57" x14ac:dyDescent="0.2">
      <c r="B85" s="12" t="s">
        <v>140</v>
      </c>
      <c r="C85" s="20" t="s">
        <v>57</v>
      </c>
      <c r="D85" s="20">
        <v>0</v>
      </c>
      <c r="E85" s="20">
        <v>2.8679000000000001</v>
      </c>
      <c r="F85" s="20">
        <v>0.65959999999999996</v>
      </c>
      <c r="G85" s="20">
        <v>0.68</v>
      </c>
      <c r="H85" s="20">
        <v>1.3472</v>
      </c>
      <c r="I85" s="21">
        <f t="shared" si="25"/>
        <v>2.6867999999999999</v>
      </c>
      <c r="J85" s="20">
        <v>1.7210000000000001</v>
      </c>
      <c r="K85" s="20">
        <v>0</v>
      </c>
      <c r="L85" s="20">
        <v>1.056526164370964</v>
      </c>
      <c r="M85" s="20">
        <v>492864.96</v>
      </c>
      <c r="N85" s="20">
        <v>547339.52000000002</v>
      </c>
      <c r="O85" s="20">
        <v>0</v>
      </c>
      <c r="Q85" s="19">
        <v>105.21100300000001</v>
      </c>
      <c r="R85" s="19">
        <v>-6.4122130000000004</v>
      </c>
      <c r="S85" s="19">
        <v>160</v>
      </c>
      <c r="T85" s="19">
        <v>313632.96735400002</v>
      </c>
      <c r="U85" s="19">
        <v>154.036981</v>
      </c>
      <c r="V85" s="19">
        <v>132.85973799999999</v>
      </c>
      <c r="W85" s="19">
        <v>36.488697999999999</v>
      </c>
      <c r="Y85" t="str">
        <f t="shared" si="26"/>
        <v>CA_FT_High_Diesel_Non_CCS_Herb</v>
      </c>
      <c r="Z85" t="str">
        <f t="shared" si="27"/>
        <v>Biomass_Herb</v>
      </c>
      <c r="AA85" s="18">
        <f t="shared" si="28"/>
        <v>116819.09775832182</v>
      </c>
      <c r="AB85" s="18">
        <f t="shared" si="29"/>
        <v>116819.09775832182</v>
      </c>
      <c r="AC85" s="5">
        <f t="shared" si="30"/>
        <v>0</v>
      </c>
      <c r="AD85" s="1">
        <f t="shared" si="31"/>
        <v>0</v>
      </c>
      <c r="AE85" s="1">
        <f t="shared" si="32"/>
        <v>38.948167706639872</v>
      </c>
      <c r="AF85" s="1">
        <f t="array" ref="AF85">_xlfn.IFS(C85="Biomass_Corn", 1/I85*S85, C85="Biomass_Agri", 1/I85*V85, C85="Biomass_Wood", 1/I85*U85, C85="Biomass_Herb", 1/I85*T85)</f>
        <v>116731.04338022928</v>
      </c>
      <c r="AG85" s="1">
        <f t="shared" si="33"/>
        <v>23.267299922117694</v>
      </c>
      <c r="AH85" s="1">
        <f t="shared" si="34"/>
        <v>25.838949417438673</v>
      </c>
      <c r="AI85" s="1">
        <f t="shared" si="35"/>
        <v>0</v>
      </c>
      <c r="AJ85" s="1">
        <f t="shared" si="36"/>
        <v>-3.7024320238121134E-7</v>
      </c>
      <c r="AK85" s="1">
        <f t="shared" si="37"/>
        <v>0</v>
      </c>
      <c r="AL85">
        <f t="shared" si="38"/>
        <v>-3.8953658676459232E-5</v>
      </c>
      <c r="AM85" s="1">
        <f t="shared" si="39"/>
        <v>-3.7024320238121134E-7</v>
      </c>
      <c r="AN85" s="1">
        <f t="shared" si="40"/>
        <v>0</v>
      </c>
      <c r="AO85">
        <f t="shared" si="41"/>
        <v>-3.8953658676459232E-5</v>
      </c>
      <c r="AQ85" s="17">
        <f t="shared" si="42"/>
        <v>1.7210000000000001</v>
      </c>
      <c r="AR85" s="8">
        <v>0.243968185</v>
      </c>
      <c r="AS85" s="8">
        <v>0.24942761299999999</v>
      </c>
      <c r="AT85" s="9">
        <v>0.24635668499999999</v>
      </c>
      <c r="AU85" s="17">
        <v>0.23037490999999999</v>
      </c>
      <c r="AW85" s="9">
        <f t="shared" si="43"/>
        <v>1.7210000000000001</v>
      </c>
      <c r="AY85" s="9">
        <f t="shared" si="44"/>
        <v>0.160921414826</v>
      </c>
      <c r="AZ85" s="9">
        <f t="shared" si="45"/>
        <v>0.3360288802336</v>
      </c>
      <c r="BA85" s="9">
        <f t="shared" si="46"/>
        <v>0.16752254580000001</v>
      </c>
      <c r="BB85" s="9">
        <f t="shared" si="47"/>
        <v>1.056526164370964</v>
      </c>
      <c r="BC85" s="9">
        <f t="shared" si="48"/>
        <v>0</v>
      </c>
      <c r="BE85" s="1">
        <f t="shared" si="49"/>
        <v>9.9476943615783853E-7</v>
      </c>
    </row>
    <row r="86" spans="2:57" x14ac:dyDescent="0.2">
      <c r="B86" s="12" t="s">
        <v>141</v>
      </c>
      <c r="C86" s="20" t="s">
        <v>57</v>
      </c>
      <c r="D86" s="20">
        <v>0</v>
      </c>
      <c r="E86" s="20">
        <v>2.8679000000000001</v>
      </c>
      <c r="F86" s="20">
        <v>0.66110000000000002</v>
      </c>
      <c r="G86" s="20">
        <v>0.68149999999999999</v>
      </c>
      <c r="H86" s="20">
        <v>1.3501000000000001</v>
      </c>
      <c r="I86" s="21">
        <f t="shared" si="25"/>
        <v>2.6927000000000003</v>
      </c>
      <c r="J86" s="20">
        <v>1.726</v>
      </c>
      <c r="K86" s="20">
        <v>0</v>
      </c>
      <c r="L86" s="20">
        <v>1.060064979465787</v>
      </c>
      <c r="M86" s="20">
        <v>492864.96</v>
      </c>
      <c r="N86" s="20">
        <v>547339.52000000002</v>
      </c>
      <c r="O86" s="20">
        <v>0</v>
      </c>
      <c r="Q86" s="19">
        <v>105.21100300000001</v>
      </c>
      <c r="R86" s="19">
        <v>-7.3796590000000002</v>
      </c>
      <c r="S86" s="19">
        <v>160</v>
      </c>
      <c r="T86" s="19">
        <v>130.996602</v>
      </c>
      <c r="U86" s="19">
        <v>149.05667199999999</v>
      </c>
      <c r="V86" s="19">
        <v>112.26938</v>
      </c>
      <c r="W86" s="19">
        <v>26.787863000000002</v>
      </c>
      <c r="Y86" t="str">
        <f t="shared" si="26"/>
        <v>NW_FT_High_Diesel_Non_CCS_Herb</v>
      </c>
      <c r="Z86" t="str">
        <f t="shared" si="27"/>
        <v>Biomass_Herb</v>
      </c>
      <c r="AA86" s="18">
        <f t="shared" si="28"/>
        <v>126.17812319427546</v>
      </c>
      <c r="AB86" s="18">
        <f t="shared" si="29"/>
        <v>126.17812319427546</v>
      </c>
      <c r="AC86" s="5">
        <f t="shared" si="30"/>
        <v>0</v>
      </c>
      <c r="AD86" s="1">
        <f t="shared" si="31"/>
        <v>0</v>
      </c>
      <c r="AE86" s="1">
        <f t="shared" si="32"/>
        <v>28.530810078248599</v>
      </c>
      <c r="AF86" s="1">
        <f t="array" ref="AF86">_xlfn.IFS(C86="Biomass_Corn", 1/I86*S86, C86="Biomass_Agri", 1/I86*V86, C86="Biomass_Wood", 1/I86*U86, C86="Biomass_Herb", 1/I86*T86)</f>
        <v>48.648791918891817</v>
      </c>
      <c r="AG86" s="1">
        <f t="shared" si="33"/>
        <v>23.216318724977089</v>
      </c>
      <c r="AH86" s="1">
        <f t="shared" si="34"/>
        <v>25.782333455184098</v>
      </c>
      <c r="AI86" s="1">
        <f t="shared" si="35"/>
        <v>0</v>
      </c>
      <c r="AJ86" s="1">
        <f t="shared" si="36"/>
        <v>-1.2449555884243614E-6</v>
      </c>
      <c r="AK86" s="1">
        <f t="shared" si="37"/>
        <v>0</v>
      </c>
      <c r="AL86">
        <f t="shared" si="38"/>
        <v>-1.3098302614858226E-4</v>
      </c>
      <c r="AM86" s="1">
        <f t="shared" si="39"/>
        <v>-1.2449555884243614E-6</v>
      </c>
      <c r="AN86" s="1">
        <f t="shared" si="40"/>
        <v>0</v>
      </c>
      <c r="AO86">
        <f t="shared" si="41"/>
        <v>-1.3098302614858226E-4</v>
      </c>
      <c r="AQ86" s="17">
        <f t="shared" si="42"/>
        <v>1.726</v>
      </c>
      <c r="AR86" s="8">
        <v>0.243968185</v>
      </c>
      <c r="AS86" s="8">
        <v>0.24942761299999999</v>
      </c>
      <c r="AT86" s="9">
        <v>0.24635668499999999</v>
      </c>
      <c r="AU86" s="17">
        <v>0.23037490999999999</v>
      </c>
      <c r="AW86" s="9">
        <f t="shared" si="43"/>
        <v>1.726</v>
      </c>
      <c r="AY86" s="9">
        <f t="shared" si="44"/>
        <v>0.1612873671035</v>
      </c>
      <c r="AZ86" s="9">
        <f t="shared" si="45"/>
        <v>0.33675222031130003</v>
      </c>
      <c r="BA86" s="9">
        <f t="shared" si="46"/>
        <v>0.16789208082749998</v>
      </c>
      <c r="BB86" s="9">
        <f t="shared" si="47"/>
        <v>1.060064979465787</v>
      </c>
      <c r="BC86" s="9">
        <f t="shared" si="48"/>
        <v>0</v>
      </c>
      <c r="BE86" s="1">
        <f t="shared" si="49"/>
        <v>3.3522919129502782E-6</v>
      </c>
    </row>
    <row r="87" spans="2:57" x14ac:dyDescent="0.2">
      <c r="B87" s="12" t="s">
        <v>142</v>
      </c>
      <c r="C87" s="20" t="s">
        <v>57</v>
      </c>
      <c r="D87" s="20">
        <v>0</v>
      </c>
      <c r="E87" s="20">
        <v>2.8679000000000001</v>
      </c>
      <c r="F87" s="20">
        <v>0.65669999999999995</v>
      </c>
      <c r="G87" s="20">
        <v>0.67700000000000005</v>
      </c>
      <c r="H87" s="20">
        <v>1.3411999999999999</v>
      </c>
      <c r="I87" s="21">
        <f t="shared" si="25"/>
        <v>2.6749000000000001</v>
      </c>
      <c r="J87" s="20">
        <v>1.71</v>
      </c>
      <c r="K87" s="20">
        <v>0</v>
      </c>
      <c r="L87" s="20">
        <v>1.048448534181317</v>
      </c>
      <c r="M87" s="20">
        <v>492864.96</v>
      </c>
      <c r="N87" s="20">
        <v>547339.52000000002</v>
      </c>
      <c r="O87" s="20">
        <v>0</v>
      </c>
      <c r="Q87" s="19">
        <v>105.21100300000001</v>
      </c>
      <c r="R87" s="19">
        <v>-14.567418</v>
      </c>
      <c r="S87" s="19">
        <v>160</v>
      </c>
      <c r="T87" s="19">
        <v>120.282189</v>
      </c>
      <c r="U87" s="19">
        <v>137.475031</v>
      </c>
      <c r="V87" s="19">
        <v>107.559866</v>
      </c>
      <c r="W87" s="19">
        <v>27.957547000000002</v>
      </c>
      <c r="Y87" t="str">
        <f t="shared" si="26"/>
        <v>SW_FT_High_Diesel_Non_CCS_Herb</v>
      </c>
      <c r="Z87" t="str">
        <f t="shared" si="27"/>
        <v>Biomass_Herb</v>
      </c>
      <c r="AA87" s="18">
        <f t="shared" si="28"/>
        <v>124.26558693357326</v>
      </c>
      <c r="AB87" s="18">
        <f t="shared" si="29"/>
        <v>124.26558693357326</v>
      </c>
      <c r="AC87" s="5">
        <f t="shared" si="30"/>
        <v>0</v>
      </c>
      <c r="AD87" s="1">
        <f t="shared" si="31"/>
        <v>0</v>
      </c>
      <c r="AE87" s="1">
        <f t="shared" si="32"/>
        <v>29.974746361097615</v>
      </c>
      <c r="AF87" s="1">
        <f t="array" ref="AF87">_xlfn.IFS(C87="Biomass_Corn", 1/I87*S87, C87="Biomass_Agri", 1/I87*V87, C87="Biomass_Wood", 1/I87*U87, C87="Biomass_Herb", 1/I87*T87)</f>
        <v>44.966985307861975</v>
      </c>
      <c r="AG87" s="1">
        <f t="shared" si="33"/>
        <v>23.370810658621188</v>
      </c>
      <c r="AH87" s="1">
        <f t="shared" si="34"/>
        <v>25.953900816768559</v>
      </c>
      <c r="AI87" s="1">
        <f t="shared" si="35"/>
        <v>0</v>
      </c>
      <c r="AJ87" s="1">
        <f t="shared" si="36"/>
        <v>-8.1380345370053144E-6</v>
      </c>
      <c r="AK87" s="1">
        <f t="shared" si="37"/>
        <v>0</v>
      </c>
      <c r="AL87">
        <f t="shared" si="38"/>
        <v>-8.562107760869698E-4</v>
      </c>
      <c r="AM87" s="1">
        <f t="shared" si="39"/>
        <v>-8.1380345370053144E-6</v>
      </c>
      <c r="AN87" s="1">
        <f t="shared" si="40"/>
        <v>0</v>
      </c>
      <c r="AO87">
        <f t="shared" si="41"/>
        <v>-8.562107760869698E-4</v>
      </c>
      <c r="AQ87" s="17">
        <f t="shared" si="42"/>
        <v>1.71</v>
      </c>
      <c r="AR87" s="8">
        <v>0.243968185</v>
      </c>
      <c r="AS87" s="8">
        <v>0.24942761299999999</v>
      </c>
      <c r="AT87" s="9">
        <v>0.24635668499999999</v>
      </c>
      <c r="AU87" s="17">
        <v>0.23037490999999999</v>
      </c>
      <c r="AW87" s="9">
        <f t="shared" si="43"/>
        <v>1.71</v>
      </c>
      <c r="AY87" s="9">
        <f t="shared" si="44"/>
        <v>0.16021390708949998</v>
      </c>
      <c r="AZ87" s="9">
        <f t="shared" si="45"/>
        <v>0.33453231455559995</v>
      </c>
      <c r="BA87" s="9">
        <f t="shared" si="46"/>
        <v>0.16678347574499999</v>
      </c>
      <c r="BB87" s="9">
        <f t="shared" si="47"/>
        <v>1.048448534181317</v>
      </c>
      <c r="BC87" s="9">
        <f t="shared" si="48"/>
        <v>0</v>
      </c>
      <c r="BE87" s="1">
        <f t="shared" si="49"/>
        <v>2.1768428583035515E-5</v>
      </c>
    </row>
    <row r="88" spans="2:57" x14ac:dyDescent="0.2">
      <c r="B88" s="12" t="s">
        <v>143</v>
      </c>
      <c r="C88" s="20" t="s">
        <v>57</v>
      </c>
      <c r="D88" s="20">
        <v>0</v>
      </c>
      <c r="E88" s="20">
        <v>2.8679000000000001</v>
      </c>
      <c r="F88" s="20">
        <v>0.65820000000000001</v>
      </c>
      <c r="G88" s="20">
        <v>0.67849999999999999</v>
      </c>
      <c r="H88" s="20">
        <v>1.3442000000000001</v>
      </c>
      <c r="I88" s="21">
        <f t="shared" si="25"/>
        <v>2.6809000000000003</v>
      </c>
      <c r="J88" s="20">
        <v>1.714</v>
      </c>
      <c r="K88" s="20">
        <v>0</v>
      </c>
      <c r="L88" s="20">
        <v>1.0509873492761399</v>
      </c>
      <c r="M88" s="20">
        <v>492864.96</v>
      </c>
      <c r="N88" s="20">
        <v>547339.52000000002</v>
      </c>
      <c r="O88" s="20">
        <v>0</v>
      </c>
      <c r="Q88" s="19">
        <v>105.21100300000001</v>
      </c>
      <c r="R88" s="19">
        <v>-19.477884</v>
      </c>
      <c r="S88" s="19">
        <v>160</v>
      </c>
      <c r="T88" s="19">
        <v>132.95547999999999</v>
      </c>
      <c r="U88" s="19">
        <v>152.57709199999999</v>
      </c>
      <c r="V88" s="19">
        <v>106.67488899999999</v>
      </c>
      <c r="W88" s="19">
        <v>20.174973000000001</v>
      </c>
      <c r="Y88" t="str">
        <f t="shared" si="26"/>
        <v>TX_FT_High_Diesel_Non_CCS_Herb</v>
      </c>
      <c r="Z88" t="str">
        <f t="shared" si="27"/>
        <v>Biomass_Herb</v>
      </c>
      <c r="AA88" s="18">
        <f t="shared" si="28"/>
        <v>120.39018304660549</v>
      </c>
      <c r="AB88" s="18">
        <f t="shared" si="29"/>
        <v>120.39018304660549</v>
      </c>
      <c r="AC88" s="5">
        <f t="shared" si="30"/>
        <v>0</v>
      </c>
      <c r="AD88" s="1">
        <f t="shared" si="31"/>
        <v>0</v>
      </c>
      <c r="AE88" s="1">
        <f t="shared" si="32"/>
        <v>21.582231738110337</v>
      </c>
      <c r="AF88" s="1">
        <f t="array" ref="AF88">_xlfn.IFS(C88="Biomass_Corn", 1/I88*S88, C88="Biomass_Agri", 1/I88*V88, C88="Biomass_Wood", 1/I88*U88, C88="Biomass_Herb", 1/I88*T88)</f>
        <v>49.59359916445969</v>
      </c>
      <c r="AG88" s="1">
        <f t="shared" si="33"/>
        <v>23.318505513352161</v>
      </c>
      <c r="AH88" s="1">
        <f t="shared" si="34"/>
        <v>25.895814575244966</v>
      </c>
      <c r="AI88" s="1">
        <f t="shared" si="35"/>
        <v>0</v>
      </c>
      <c r="AJ88" s="1">
        <f t="shared" si="36"/>
        <v>3.0467762314512878E-7</v>
      </c>
      <c r="AK88" s="1">
        <f t="shared" si="37"/>
        <v>0</v>
      </c>
      <c r="AL88">
        <f t="shared" si="38"/>
        <v>3.2055438322755015E-5</v>
      </c>
      <c r="AM88" s="1">
        <f t="shared" si="39"/>
        <v>3.0467762314512878E-7</v>
      </c>
      <c r="AN88" s="1">
        <f t="shared" si="40"/>
        <v>0</v>
      </c>
      <c r="AO88">
        <f t="shared" si="41"/>
        <v>3.2055438322755015E-5</v>
      </c>
      <c r="AQ88" s="17">
        <f t="shared" si="42"/>
        <v>1.714</v>
      </c>
      <c r="AR88" s="8">
        <v>0.243968185</v>
      </c>
      <c r="AS88" s="8">
        <v>0.24942761299999999</v>
      </c>
      <c r="AT88" s="9">
        <v>0.24635668499999999</v>
      </c>
      <c r="AU88" s="17">
        <v>0.23037490999999999</v>
      </c>
      <c r="AW88" s="9">
        <f t="shared" si="43"/>
        <v>1.714</v>
      </c>
      <c r="AY88" s="9">
        <f t="shared" si="44"/>
        <v>0.16057985936700001</v>
      </c>
      <c r="AZ88" s="9">
        <f t="shared" si="45"/>
        <v>0.33528059739460003</v>
      </c>
      <c r="BA88" s="9">
        <f t="shared" si="46"/>
        <v>0.1671530107725</v>
      </c>
      <c r="BB88" s="9">
        <f t="shared" si="47"/>
        <v>1.0509873492761399</v>
      </c>
      <c r="BC88" s="9">
        <f t="shared" si="48"/>
        <v>0</v>
      </c>
      <c r="BE88" s="1">
        <f t="shared" si="49"/>
        <v>-8.1681023988977586E-7</v>
      </c>
    </row>
    <row r="89" spans="2:57" x14ac:dyDescent="0.2">
      <c r="B89" s="12" t="s">
        <v>144</v>
      </c>
      <c r="C89" s="20" t="s">
        <v>57</v>
      </c>
      <c r="D89" s="20">
        <v>0</v>
      </c>
      <c r="E89" s="20">
        <v>2.8679000000000001</v>
      </c>
      <c r="F89" s="20">
        <v>0.66500000000000004</v>
      </c>
      <c r="G89" s="20">
        <v>0.68559999999999999</v>
      </c>
      <c r="H89" s="20">
        <v>1.3583000000000001</v>
      </c>
      <c r="I89" s="21">
        <f t="shared" si="25"/>
        <v>2.7088999999999999</v>
      </c>
      <c r="J89" s="20">
        <v>1.74</v>
      </c>
      <c r="K89" s="20">
        <v>0</v>
      </c>
      <c r="L89" s="20">
        <v>1.070046720976551</v>
      </c>
      <c r="M89" s="20">
        <v>492864.96</v>
      </c>
      <c r="N89" s="20">
        <v>547339.52000000002</v>
      </c>
      <c r="O89" s="20">
        <v>0</v>
      </c>
      <c r="Q89" s="19">
        <v>105.21100300000001</v>
      </c>
      <c r="R89" s="19">
        <v>-39.686463000000003</v>
      </c>
      <c r="S89" s="19">
        <v>160</v>
      </c>
      <c r="T89" s="19">
        <v>100.757654</v>
      </c>
      <c r="U89" s="19">
        <v>111.990773</v>
      </c>
      <c r="V89" s="19">
        <v>89.243781999999996</v>
      </c>
      <c r="W89" s="19">
        <v>30.713950000000001</v>
      </c>
      <c r="Y89" t="str">
        <f t="shared" si="26"/>
        <v>NCEN_FT_High_Diesel_Non_CCS_Herb</v>
      </c>
      <c r="Z89" t="str">
        <f t="shared" si="27"/>
        <v>Biomass_Herb</v>
      </c>
      <c r="AA89" s="18">
        <f t="shared" si="28"/>
        <v>118.41681434614306</v>
      </c>
      <c r="AB89" s="18">
        <f t="shared" si="29"/>
        <v>118.41681434614306</v>
      </c>
      <c r="AC89" s="5">
        <f t="shared" si="30"/>
        <v>0</v>
      </c>
      <c r="AD89" s="1">
        <f t="shared" si="31"/>
        <v>0</v>
      </c>
      <c r="AE89" s="1">
        <f t="shared" si="32"/>
        <v>32.516717931632769</v>
      </c>
      <c r="AF89" s="1">
        <f t="array" ref="AF89">_xlfn.IFS(C89="Biomass_Corn", 1/I89*S89, C89="Biomass_Agri", 1/I89*V89, C89="Biomass_Wood", 1/I89*U89, C89="Biomass_Herb", 1/I89*T89)</f>
        <v>37.195043744693422</v>
      </c>
      <c r="AG89" s="1">
        <f t="shared" si="33"/>
        <v>23.077478471241395</v>
      </c>
      <c r="AH89" s="1">
        <f t="shared" si="34"/>
        <v>25.628147696398624</v>
      </c>
      <c r="AI89" s="1">
        <f t="shared" si="35"/>
        <v>0</v>
      </c>
      <c r="AJ89" s="1">
        <f t="shared" si="36"/>
        <v>-5.4509301004409087E-6</v>
      </c>
      <c r="AK89" s="1">
        <f t="shared" si="37"/>
        <v>0</v>
      </c>
      <c r="AL89">
        <f t="shared" si="38"/>
        <v>-5.734978231502788E-4</v>
      </c>
      <c r="AM89" s="1">
        <f t="shared" si="39"/>
        <v>-5.4509301004409087E-6</v>
      </c>
      <c r="AN89" s="1">
        <f t="shared" si="40"/>
        <v>0</v>
      </c>
      <c r="AO89">
        <f t="shared" si="41"/>
        <v>-5.734978231502788E-4</v>
      </c>
      <c r="AQ89" s="17">
        <f t="shared" si="42"/>
        <v>1.74</v>
      </c>
      <c r="AR89" s="8">
        <v>0.243968185</v>
      </c>
      <c r="AS89" s="8">
        <v>0.24942761299999999</v>
      </c>
      <c r="AT89" s="9">
        <v>0.24635668499999999</v>
      </c>
      <c r="AU89" s="17">
        <v>0.23037490999999999</v>
      </c>
      <c r="AW89" s="9">
        <f t="shared" si="43"/>
        <v>1.74</v>
      </c>
      <c r="AY89" s="9">
        <f t="shared" si="44"/>
        <v>0.16223884302500002</v>
      </c>
      <c r="AZ89" s="9">
        <f t="shared" si="45"/>
        <v>0.33879752673789998</v>
      </c>
      <c r="BA89" s="9">
        <f t="shared" si="46"/>
        <v>0.168902143236</v>
      </c>
      <c r="BB89" s="9">
        <f t="shared" si="47"/>
        <v>1.070046720976551</v>
      </c>
      <c r="BC89" s="9">
        <f t="shared" si="48"/>
        <v>0</v>
      </c>
      <c r="BE89" s="1">
        <f t="shared" si="49"/>
        <v>1.4766024549084378E-5</v>
      </c>
    </row>
    <row r="90" spans="2:57" x14ac:dyDescent="0.2">
      <c r="B90" s="12" t="s">
        <v>145</v>
      </c>
      <c r="C90" s="20" t="s">
        <v>57</v>
      </c>
      <c r="D90" s="20">
        <v>0</v>
      </c>
      <c r="E90" s="20">
        <v>2.8679000000000001</v>
      </c>
      <c r="F90" s="20">
        <v>0.66110000000000002</v>
      </c>
      <c r="G90" s="20">
        <v>0.68149999999999999</v>
      </c>
      <c r="H90" s="20">
        <v>1.3501000000000001</v>
      </c>
      <c r="I90" s="21">
        <f t="shared" si="25"/>
        <v>2.6927000000000003</v>
      </c>
      <c r="J90" s="20">
        <v>1.7230000000000001</v>
      </c>
      <c r="K90" s="20">
        <v>0</v>
      </c>
      <c r="L90" s="20">
        <v>1.0570649794657869</v>
      </c>
      <c r="M90" s="20">
        <v>492864.96</v>
      </c>
      <c r="N90" s="20">
        <v>547339.52000000002</v>
      </c>
      <c r="O90" s="20">
        <v>0</v>
      </c>
      <c r="Q90" s="19">
        <v>105.21100300000001</v>
      </c>
      <c r="R90" s="19">
        <v>-29.672038000000001</v>
      </c>
      <c r="S90" s="19">
        <v>160</v>
      </c>
      <c r="T90" s="19">
        <v>107.027154</v>
      </c>
      <c r="U90" s="19">
        <v>122.865223</v>
      </c>
      <c r="V90" s="19">
        <v>94.404420999999999</v>
      </c>
      <c r="W90" s="19">
        <v>25.118154000000001</v>
      </c>
      <c r="Y90" t="str">
        <f t="shared" si="26"/>
        <v>CEN_FT_High_Diesel_Non_CCS_Herb</v>
      </c>
      <c r="Z90" t="str">
        <f t="shared" si="27"/>
        <v>Biomass_Herb</v>
      </c>
      <c r="AA90" s="18">
        <f t="shared" si="28"/>
        <v>115.49813417169588</v>
      </c>
      <c r="AB90" s="18">
        <f t="shared" si="29"/>
        <v>115.49813417169588</v>
      </c>
      <c r="AC90" s="5">
        <f t="shared" si="30"/>
        <v>0</v>
      </c>
      <c r="AD90" s="1">
        <f t="shared" si="31"/>
        <v>0</v>
      </c>
      <c r="AE90" s="1">
        <f t="shared" si="32"/>
        <v>26.75246178801946</v>
      </c>
      <c r="AF90" s="1">
        <f t="array" ref="AF90">_xlfn.IFS(C90="Biomass_Corn", 1/I90*S90, C90="Biomass_Agri", 1/I90*V90, C90="Biomass_Wood", 1/I90*U90, C90="Biomass_Herb", 1/I90*T90)</f>
        <v>39.747151186541387</v>
      </c>
      <c r="AG90" s="1">
        <f t="shared" si="33"/>
        <v>23.216318724977089</v>
      </c>
      <c r="AH90" s="1">
        <f t="shared" si="34"/>
        <v>25.782333455184098</v>
      </c>
      <c r="AI90" s="1">
        <f t="shared" si="35"/>
        <v>0</v>
      </c>
      <c r="AJ90" s="1">
        <f t="shared" si="36"/>
        <v>-1.244955588506823E-6</v>
      </c>
      <c r="AK90" s="1">
        <f t="shared" si="37"/>
        <v>0</v>
      </c>
      <c r="AL90">
        <f t="shared" si="38"/>
        <v>-1.3098302615725812E-4</v>
      </c>
      <c r="AM90" s="1">
        <f t="shared" si="39"/>
        <v>-1.244955588506823E-6</v>
      </c>
      <c r="AN90" s="1">
        <f t="shared" si="40"/>
        <v>0</v>
      </c>
      <c r="AO90">
        <f t="shared" si="41"/>
        <v>-1.3098302615725812E-4</v>
      </c>
      <c r="AQ90" s="17">
        <f t="shared" si="42"/>
        <v>1.7230000000000001</v>
      </c>
      <c r="AR90" s="8">
        <v>0.243968185</v>
      </c>
      <c r="AS90" s="8">
        <v>0.24942761299999999</v>
      </c>
      <c r="AT90" s="9">
        <v>0.24635668499999999</v>
      </c>
      <c r="AU90" s="17">
        <v>0.23037490999999999</v>
      </c>
      <c r="AW90" s="9">
        <f t="shared" si="43"/>
        <v>1.7230000000000001</v>
      </c>
      <c r="AY90" s="9">
        <f t="shared" si="44"/>
        <v>0.1612873671035</v>
      </c>
      <c r="AZ90" s="9">
        <f t="shared" si="45"/>
        <v>0.33675222031130003</v>
      </c>
      <c r="BA90" s="9">
        <f t="shared" si="46"/>
        <v>0.16789208082749998</v>
      </c>
      <c r="BB90" s="9">
        <f t="shared" si="47"/>
        <v>1.0570649794657869</v>
      </c>
      <c r="BC90" s="9">
        <f t="shared" si="48"/>
        <v>0</v>
      </c>
      <c r="BE90" s="1">
        <f t="shared" si="49"/>
        <v>3.3522919131723228E-6</v>
      </c>
    </row>
    <row r="91" spans="2:57" x14ac:dyDescent="0.2">
      <c r="B91" s="12" t="s">
        <v>146</v>
      </c>
      <c r="C91" s="20" t="s">
        <v>57</v>
      </c>
      <c r="D91" s="20">
        <v>0</v>
      </c>
      <c r="E91" s="20">
        <v>2.8679000000000001</v>
      </c>
      <c r="F91" s="20">
        <v>0.66</v>
      </c>
      <c r="G91" s="20">
        <v>0.6804</v>
      </c>
      <c r="H91" s="20">
        <v>1.3479000000000001</v>
      </c>
      <c r="I91" s="21">
        <f t="shared" si="25"/>
        <v>2.6882999999999999</v>
      </c>
      <c r="J91" s="20">
        <v>1.7170000000000001</v>
      </c>
      <c r="K91" s="20">
        <v>0</v>
      </c>
      <c r="L91" s="20">
        <v>1.0521608681446699</v>
      </c>
      <c r="M91" s="20">
        <v>492864.96</v>
      </c>
      <c r="N91" s="20">
        <v>547339.52000000002</v>
      </c>
      <c r="O91" s="20">
        <v>0</v>
      </c>
      <c r="Q91" s="19">
        <v>105.21100300000001</v>
      </c>
      <c r="R91" s="19">
        <v>-45.510345000000001</v>
      </c>
      <c r="S91" s="19">
        <v>160</v>
      </c>
      <c r="T91" s="19">
        <v>97.593261999999996</v>
      </c>
      <c r="U91" s="19">
        <v>109.791234</v>
      </c>
      <c r="V91" s="19">
        <v>86.911507</v>
      </c>
      <c r="W91" s="19">
        <v>38.099075999999997</v>
      </c>
      <c r="Y91" t="str">
        <f t="shared" si="26"/>
        <v>SE_FT_High_Diesel_Non_CCS_Herb</v>
      </c>
      <c r="Z91" t="str">
        <f t="shared" si="27"/>
        <v>Biomass_Herb</v>
      </c>
      <c r="AA91" s="18">
        <f t="shared" si="28"/>
        <v>126.02638832792269</v>
      </c>
      <c r="AB91" s="18">
        <f t="shared" si="29"/>
        <v>126.02638832792269</v>
      </c>
      <c r="AC91" s="5">
        <f t="shared" si="30"/>
        <v>0</v>
      </c>
      <c r="AD91" s="1">
        <f t="shared" si="31"/>
        <v>0</v>
      </c>
      <c r="AE91" s="1">
        <f t="shared" si="32"/>
        <v>40.644399829036935</v>
      </c>
      <c r="AF91" s="1">
        <f t="array" ref="AF91">_xlfn.IFS(C91="Biomass_Corn", 1/I91*S91, C91="Biomass_Agri", 1/I91*V91, C91="Biomass_Wood", 1/I91*U91, C91="Biomass_Herb", 1/I91*T91)</f>
        <v>36.302965442844915</v>
      </c>
      <c r="AG91" s="1">
        <f t="shared" si="33"/>
        <v>23.254317386729838</v>
      </c>
      <c r="AH91" s="1">
        <f t="shared" si="34"/>
        <v>25.824531969934245</v>
      </c>
      <c r="AI91" s="1">
        <f t="shared" si="35"/>
        <v>0</v>
      </c>
      <c r="AJ91" s="1">
        <f t="shared" si="36"/>
        <v>1.6509620838367628E-6</v>
      </c>
      <c r="AK91" s="1">
        <f t="shared" si="37"/>
        <v>0</v>
      </c>
      <c r="AL91">
        <f t="shared" si="38"/>
        <v>1.7369937675543591E-4</v>
      </c>
      <c r="AM91" s="1">
        <f t="shared" si="39"/>
        <v>1.6509620838367628E-6</v>
      </c>
      <c r="AN91" s="1">
        <f t="shared" si="40"/>
        <v>0</v>
      </c>
      <c r="AO91">
        <f t="shared" si="41"/>
        <v>1.7369937675543591E-4</v>
      </c>
      <c r="AQ91" s="17">
        <f t="shared" si="42"/>
        <v>1.7170000000000001</v>
      </c>
      <c r="AR91" s="8">
        <v>0.243968185</v>
      </c>
      <c r="AS91" s="8">
        <v>0.24942761299999999</v>
      </c>
      <c r="AT91" s="9">
        <v>0.24635668499999999</v>
      </c>
      <c r="AU91" s="17">
        <v>0.23037490999999999</v>
      </c>
      <c r="AW91" s="9">
        <f t="shared" si="43"/>
        <v>1.7170000000000001</v>
      </c>
      <c r="AY91" s="9">
        <f t="shared" si="44"/>
        <v>0.1610190021</v>
      </c>
      <c r="AZ91" s="9">
        <f t="shared" si="45"/>
        <v>0.33620347956270002</v>
      </c>
      <c r="BA91" s="9">
        <f t="shared" si="46"/>
        <v>0.16762108847400001</v>
      </c>
      <c r="BB91" s="9">
        <f t="shared" si="47"/>
        <v>1.0521608681446699</v>
      </c>
      <c r="BC91" s="9">
        <f t="shared" si="48"/>
        <v>0</v>
      </c>
      <c r="BE91" s="1">
        <f t="shared" si="49"/>
        <v>-4.4382813699783696E-6</v>
      </c>
    </row>
    <row r="92" spans="2:57" x14ac:dyDescent="0.2">
      <c r="B92" s="12" t="s">
        <v>147</v>
      </c>
      <c r="C92" s="20" t="s">
        <v>57</v>
      </c>
      <c r="D92" s="20">
        <v>0</v>
      </c>
      <c r="E92" s="20">
        <v>2.8679000000000001</v>
      </c>
      <c r="F92" s="20">
        <v>0.66359999999999997</v>
      </c>
      <c r="G92" s="20">
        <v>0.68410000000000004</v>
      </c>
      <c r="H92" s="20">
        <v>1.3552999999999999</v>
      </c>
      <c r="I92" s="21">
        <f t="shared" si="25"/>
        <v>2.7030000000000003</v>
      </c>
      <c r="J92" s="20">
        <v>1.736</v>
      </c>
      <c r="K92" s="20">
        <v>0</v>
      </c>
      <c r="L92" s="20">
        <v>1.0675079058817281</v>
      </c>
      <c r="M92" s="20">
        <v>492864.96</v>
      </c>
      <c r="N92" s="20">
        <v>547339.52000000002</v>
      </c>
      <c r="O92" s="20">
        <v>0</v>
      </c>
      <c r="Q92" s="19">
        <v>105.21100300000001</v>
      </c>
      <c r="R92" s="19">
        <v>-50.334515000000003</v>
      </c>
      <c r="S92" s="19">
        <v>160</v>
      </c>
      <c r="T92" s="19">
        <v>98.707491000000005</v>
      </c>
      <c r="U92" s="19">
        <v>106.53195700000001</v>
      </c>
      <c r="V92" s="19">
        <v>87.469328000000004</v>
      </c>
      <c r="W92" s="19">
        <v>39.29871</v>
      </c>
      <c r="Y92" t="str">
        <f t="shared" si="26"/>
        <v>MIDAT_FT_High_Diesel_Non_CCS_Herb</v>
      </c>
      <c r="Z92" t="str">
        <f t="shared" si="27"/>
        <v>Biomass_Herb</v>
      </c>
      <c r="AA92" s="18">
        <f t="shared" si="28"/>
        <v>127.02536780776239</v>
      </c>
      <c r="AB92" s="18">
        <f t="shared" si="29"/>
        <v>127.02536780776239</v>
      </c>
      <c r="AC92" s="5">
        <f t="shared" si="30"/>
        <v>0</v>
      </c>
      <c r="AD92" s="1">
        <f t="shared" si="31"/>
        <v>0</v>
      </c>
      <c r="AE92" s="1">
        <f t="shared" si="32"/>
        <v>41.696178471698111</v>
      </c>
      <c r="AF92" s="1">
        <f t="array" ref="AF92">_xlfn.IFS(C92="Biomass_Corn", 1/I92*S92, C92="Biomass_Agri", 1/I92*V92, C92="Biomass_Wood", 1/I92*U92, C92="Biomass_Herb", 1/I92*T92)</f>
        <v>36.517754716981131</v>
      </c>
      <c r="AG92" s="1">
        <f t="shared" si="33"/>
        <v>23.127851065758716</v>
      </c>
      <c r="AH92" s="1">
        <f t="shared" si="34"/>
        <v>25.684087789409624</v>
      </c>
      <c r="AI92" s="1">
        <f t="shared" si="35"/>
        <v>0</v>
      </c>
      <c r="AJ92" s="1">
        <f t="shared" si="36"/>
        <v>-4.7926174146972025E-6</v>
      </c>
      <c r="AK92" s="1">
        <f t="shared" si="37"/>
        <v>0</v>
      </c>
      <c r="AL92">
        <f t="shared" si="38"/>
        <v>-5.0423608519555962E-4</v>
      </c>
      <c r="AM92" s="1">
        <f t="shared" si="39"/>
        <v>-4.7926174146972025E-6</v>
      </c>
      <c r="AN92" s="1">
        <f t="shared" si="40"/>
        <v>0</v>
      </c>
      <c r="AO92">
        <f t="shared" si="41"/>
        <v>-5.0423608519555962E-4</v>
      </c>
      <c r="AQ92" s="17">
        <f t="shared" si="42"/>
        <v>1.736</v>
      </c>
      <c r="AR92" s="8">
        <v>0.243968185</v>
      </c>
      <c r="AS92" s="8">
        <v>0.24942761299999999</v>
      </c>
      <c r="AT92" s="9">
        <v>0.24635668499999999</v>
      </c>
      <c r="AU92" s="17">
        <v>0.23037490999999999</v>
      </c>
      <c r="AW92" s="9">
        <f t="shared" si="43"/>
        <v>1.736</v>
      </c>
      <c r="AY92" s="9">
        <f t="shared" si="44"/>
        <v>0.161897287566</v>
      </c>
      <c r="AZ92" s="9">
        <f t="shared" si="45"/>
        <v>0.33804924389889995</v>
      </c>
      <c r="BA92" s="9">
        <f t="shared" si="46"/>
        <v>0.1685326082085</v>
      </c>
      <c r="BB92" s="9">
        <f t="shared" si="47"/>
        <v>1.0675079058817281</v>
      </c>
      <c r="BC92" s="9">
        <f t="shared" si="48"/>
        <v>0</v>
      </c>
      <c r="BE92" s="1">
        <f t="shared" si="49"/>
        <v>1.295444487192654E-5</v>
      </c>
    </row>
    <row r="93" spans="2:57" x14ac:dyDescent="0.2">
      <c r="B93" s="12" t="s">
        <v>148</v>
      </c>
      <c r="C93" s="20" t="s">
        <v>57</v>
      </c>
      <c r="D93" s="20">
        <v>0</v>
      </c>
      <c r="E93" s="20">
        <v>2.8679000000000001</v>
      </c>
      <c r="F93" s="20">
        <v>0.66610000000000003</v>
      </c>
      <c r="G93" s="20">
        <v>0.68679999999999997</v>
      </c>
      <c r="H93" s="20">
        <v>1.3605</v>
      </c>
      <c r="I93" s="21">
        <f t="shared" si="25"/>
        <v>2.7134</v>
      </c>
      <c r="J93" s="20">
        <v>1.7450000000000001</v>
      </c>
      <c r="K93" s="20">
        <v>0</v>
      </c>
      <c r="L93" s="20">
        <v>1.073950832297669</v>
      </c>
      <c r="M93" s="20">
        <v>492864.96</v>
      </c>
      <c r="N93" s="20">
        <v>547339.52000000002</v>
      </c>
      <c r="O93" s="20">
        <v>0</v>
      </c>
      <c r="Q93" s="19">
        <v>105.21100300000001</v>
      </c>
      <c r="R93" s="19">
        <v>-58.833413</v>
      </c>
      <c r="S93" s="19">
        <v>160</v>
      </c>
      <c r="T93" s="19">
        <v>99.493746999999999</v>
      </c>
      <c r="U93" s="19">
        <v>105.21395800000001</v>
      </c>
      <c r="V93" s="19">
        <v>89.700445000000002</v>
      </c>
      <c r="W93" s="19">
        <v>47.365060999999997</v>
      </c>
      <c r="Y93" t="str">
        <f t="shared" si="26"/>
        <v>NE_FT_High_Diesel_Non_CCS_Herb</v>
      </c>
      <c r="Z93" t="str">
        <f t="shared" si="27"/>
        <v>Biomass_Herb</v>
      </c>
      <c r="AA93" s="18">
        <f t="shared" si="28"/>
        <v>135.35449801302073</v>
      </c>
      <c r="AB93" s="18">
        <f t="shared" si="29"/>
        <v>135.35449801302073</v>
      </c>
      <c r="AC93" s="5">
        <f t="shared" si="30"/>
        <v>0</v>
      </c>
      <c r="AD93" s="1">
        <f t="shared" si="31"/>
        <v>0</v>
      </c>
      <c r="AE93" s="1">
        <f t="shared" si="32"/>
        <v>50.062010187182132</v>
      </c>
      <c r="AF93" s="1">
        <f t="array" ref="AF93">_xlfn.IFS(C93="Biomass_Corn", 1/I93*S93, C93="Biomass_Agri", 1/I93*V93, C93="Biomass_Wood", 1/I93*U93, C93="Biomass_Herb", 1/I93*T93)</f>
        <v>36.667556202550308</v>
      </c>
      <c r="AG93" s="1">
        <f t="shared" si="33"/>
        <v>23.039205952217074</v>
      </c>
      <c r="AH93" s="1">
        <f t="shared" si="34"/>
        <v>25.585645055935071</v>
      </c>
      <c r="AI93" s="1">
        <f t="shared" si="35"/>
        <v>0</v>
      </c>
      <c r="AJ93" s="1">
        <f t="shared" si="36"/>
        <v>7.6622343515841714E-7</v>
      </c>
      <c r="AK93" s="1">
        <f t="shared" si="37"/>
        <v>0</v>
      </c>
      <c r="AL93">
        <f t="shared" si="38"/>
        <v>8.061513613512253E-5</v>
      </c>
      <c r="AM93" s="1">
        <f t="shared" si="39"/>
        <v>7.6622343515841714E-7</v>
      </c>
      <c r="AN93" s="1">
        <f t="shared" si="40"/>
        <v>0</v>
      </c>
      <c r="AO93">
        <f t="shared" si="41"/>
        <v>8.061513613512253E-5</v>
      </c>
      <c r="AQ93" s="17">
        <f t="shared" si="42"/>
        <v>1.7450000000000001</v>
      </c>
      <c r="AR93" s="8">
        <v>0.243968185</v>
      </c>
      <c r="AS93" s="8">
        <v>0.24942761299999999</v>
      </c>
      <c r="AT93" s="9">
        <v>0.24635668499999999</v>
      </c>
      <c r="AU93" s="17">
        <v>0.23037490999999999</v>
      </c>
      <c r="AW93" s="9">
        <f t="shared" si="43"/>
        <v>1.7450000000000001</v>
      </c>
      <c r="AY93" s="9">
        <f t="shared" si="44"/>
        <v>0.16250720802850002</v>
      </c>
      <c r="AZ93" s="9">
        <f t="shared" si="45"/>
        <v>0.33934626748649999</v>
      </c>
      <c r="BA93" s="9">
        <f t="shared" si="46"/>
        <v>0.16919777125799998</v>
      </c>
      <c r="BB93" s="9">
        <f t="shared" si="47"/>
        <v>1.073950832297669</v>
      </c>
      <c r="BC93" s="9">
        <f t="shared" si="48"/>
        <v>0</v>
      </c>
      <c r="BE93" s="1">
        <f t="shared" si="49"/>
        <v>-2.079070668958849E-6</v>
      </c>
    </row>
    <row r="94" spans="2:57" x14ac:dyDescent="0.2">
      <c r="B94" s="12" t="s">
        <v>149</v>
      </c>
      <c r="C94" s="20" t="s">
        <v>67</v>
      </c>
      <c r="D94" s="20">
        <v>0</v>
      </c>
      <c r="E94" s="20">
        <v>2.8679000000000001</v>
      </c>
      <c r="F94" s="20">
        <v>0.70199999999999996</v>
      </c>
      <c r="G94" s="20">
        <v>0.7238</v>
      </c>
      <c r="H94" s="20">
        <v>1.4338</v>
      </c>
      <c r="I94" s="21">
        <f t="shared" si="25"/>
        <v>2.8595999999999999</v>
      </c>
      <c r="J94" s="20">
        <v>1.843</v>
      </c>
      <c r="K94" s="20">
        <v>0</v>
      </c>
      <c r="L94" s="20">
        <v>1.1357865058945491</v>
      </c>
      <c r="M94" s="20">
        <v>492864.96</v>
      </c>
      <c r="N94" s="20">
        <v>547339.52000000002</v>
      </c>
      <c r="O94" s="20">
        <v>0</v>
      </c>
      <c r="Q94" s="19">
        <v>105.21100300000001</v>
      </c>
      <c r="R94" s="19">
        <v>-6.4122130000000004</v>
      </c>
      <c r="S94" s="19">
        <v>160</v>
      </c>
      <c r="T94" s="19">
        <v>313632.96735400002</v>
      </c>
      <c r="U94" s="19">
        <v>154.036981</v>
      </c>
      <c r="V94" s="19">
        <v>132.85973799999999</v>
      </c>
      <c r="W94" s="19">
        <v>36.488697999999999</v>
      </c>
      <c r="Y94" t="str">
        <f t="shared" si="26"/>
        <v>CA_FT_High_Diesel_Non_CCS_Wood</v>
      </c>
      <c r="Z94" t="str">
        <f t="shared" si="27"/>
        <v>Biomass_Wood</v>
      </c>
      <c r="AA94" s="18">
        <f t="shared" si="28"/>
        <v>136.59987585577744</v>
      </c>
      <c r="AB94" s="18">
        <f t="shared" si="29"/>
        <v>136.59987585577744</v>
      </c>
      <c r="AC94" s="5">
        <f t="shared" si="30"/>
        <v>0</v>
      </c>
      <c r="AD94" s="1">
        <f t="shared" si="31"/>
        <v>0</v>
      </c>
      <c r="AE94" s="1">
        <f t="shared" si="32"/>
        <v>36.59460658630578</v>
      </c>
      <c r="AF94" s="1">
        <f t="array" ref="AF94">_xlfn.IFS(C94="Biomass_Corn", 1/I94*S94, C94="Biomass_Agri", 1/I94*V94, C94="Biomass_Wood", 1/I94*U94, C94="Biomass_Herb", 1/I94*T94)</f>
        <v>53.866618058469712</v>
      </c>
      <c r="AG94" s="1">
        <f t="shared" si="33"/>
        <v>21.861302780369922</v>
      </c>
      <c r="AH94" s="1">
        <f t="shared" si="34"/>
        <v>24.277552557971124</v>
      </c>
      <c r="AI94" s="1">
        <f t="shared" si="35"/>
        <v>0</v>
      </c>
      <c r="AJ94" s="1">
        <f t="shared" si="36"/>
        <v>-1.9401710207649156E-6</v>
      </c>
      <c r="AK94" s="1">
        <f t="shared" si="37"/>
        <v>0</v>
      </c>
      <c r="AL94">
        <f t="shared" si="38"/>
        <v>-2.041273390862106E-4</v>
      </c>
      <c r="AM94" s="1">
        <f t="shared" si="39"/>
        <v>-1.9401710207649156E-6</v>
      </c>
      <c r="AN94" s="1">
        <f t="shared" si="40"/>
        <v>0</v>
      </c>
      <c r="AO94">
        <f t="shared" si="41"/>
        <v>-2.041273390862106E-4</v>
      </c>
      <c r="AQ94" s="17">
        <f t="shared" si="42"/>
        <v>1.843</v>
      </c>
      <c r="AR94" s="8">
        <v>0.243968185</v>
      </c>
      <c r="AS94" s="8">
        <v>0.24942761299999999</v>
      </c>
      <c r="AT94" s="9">
        <v>0.24635668499999999</v>
      </c>
      <c r="AU94" s="17">
        <v>0.23037490999999999</v>
      </c>
      <c r="AW94" s="9">
        <f t="shared" si="43"/>
        <v>1.843</v>
      </c>
      <c r="AY94" s="9">
        <f t="shared" si="44"/>
        <v>0.17126566587</v>
      </c>
      <c r="AZ94" s="9">
        <f t="shared" si="45"/>
        <v>0.35762931151939997</v>
      </c>
      <c r="BA94" s="9">
        <f t="shared" si="46"/>
        <v>0.178312968603</v>
      </c>
      <c r="BB94" s="9">
        <f t="shared" si="47"/>
        <v>1.1357865058945491</v>
      </c>
      <c r="BC94" s="9">
        <f t="shared" si="48"/>
        <v>0</v>
      </c>
      <c r="BE94" s="1">
        <f t="shared" si="49"/>
        <v>5.548113050979353E-6</v>
      </c>
    </row>
    <row r="95" spans="2:57" x14ac:dyDescent="0.2">
      <c r="B95" s="12" t="s">
        <v>150</v>
      </c>
      <c r="C95" s="20" t="s">
        <v>67</v>
      </c>
      <c r="D95" s="20">
        <v>0</v>
      </c>
      <c r="E95" s="20">
        <v>2.8679000000000001</v>
      </c>
      <c r="F95" s="20">
        <v>0.7006</v>
      </c>
      <c r="G95" s="20">
        <v>0.72230000000000005</v>
      </c>
      <c r="H95" s="20">
        <v>1.4309000000000001</v>
      </c>
      <c r="I95" s="21">
        <f t="shared" si="25"/>
        <v>2.8538000000000001</v>
      </c>
      <c r="J95" s="20">
        <v>1.8180000000000001</v>
      </c>
      <c r="K95" s="20">
        <v>0</v>
      </c>
      <c r="L95" s="20">
        <v>1.1122476907997261</v>
      </c>
      <c r="M95" s="20">
        <v>492864.96</v>
      </c>
      <c r="N95" s="20">
        <v>547339.52000000002</v>
      </c>
      <c r="O95" s="20">
        <v>0</v>
      </c>
      <c r="Q95" s="19">
        <v>105.21100300000001</v>
      </c>
      <c r="R95" s="19">
        <v>-7.3796590000000002</v>
      </c>
      <c r="S95" s="19">
        <v>160</v>
      </c>
      <c r="T95" s="19">
        <v>130.996602</v>
      </c>
      <c r="U95" s="19">
        <v>149.05667199999999</v>
      </c>
      <c r="V95" s="19">
        <v>112.26938</v>
      </c>
      <c r="W95" s="19">
        <v>26.787863000000002</v>
      </c>
      <c r="Y95" t="str">
        <f t="shared" si="26"/>
        <v>NW_FT_High_Diesel_Non_CCS_Wood</v>
      </c>
      <c r="Z95" t="str">
        <f t="shared" si="27"/>
        <v>Biomass_Wood</v>
      </c>
      <c r="AA95" s="18">
        <f t="shared" si="28"/>
        <v>125.38457010012264</v>
      </c>
      <c r="AB95" s="18">
        <f t="shared" si="29"/>
        <v>125.38457010012264</v>
      </c>
      <c r="AC95" s="5">
        <f t="shared" si="30"/>
        <v>0</v>
      </c>
      <c r="AD95" s="1">
        <f t="shared" si="31"/>
        <v>0</v>
      </c>
      <c r="AE95" s="1">
        <f t="shared" si="32"/>
        <v>26.920215956864535</v>
      </c>
      <c r="AF95" s="1">
        <f t="array" ref="AF95">_xlfn.IFS(C95="Biomass_Corn", 1/I95*S95, C95="Biomass_Agri", 1/I95*V95, C95="Biomass_Wood", 1/I95*U95, C95="Biomass_Herb", 1/I95*T95)</f>
        <v>52.230945406125166</v>
      </c>
      <c r="AG95" s="1">
        <f t="shared" si="33"/>
        <v>21.905733208615114</v>
      </c>
      <c r="AH95" s="1">
        <f t="shared" si="34"/>
        <v>24.326893718822003</v>
      </c>
      <c r="AI95" s="1">
        <f t="shared" si="35"/>
        <v>0</v>
      </c>
      <c r="AJ95" s="1">
        <f t="shared" si="36"/>
        <v>7.430873896600413E-6</v>
      </c>
      <c r="AK95" s="1">
        <f t="shared" si="37"/>
        <v>0</v>
      </c>
      <c r="AL95">
        <f t="shared" si="38"/>
        <v>7.8180969582784777E-4</v>
      </c>
      <c r="AM95" s="1">
        <f t="shared" si="39"/>
        <v>7.430873896600413E-6</v>
      </c>
      <c r="AN95" s="1">
        <f t="shared" si="40"/>
        <v>0</v>
      </c>
      <c r="AO95">
        <f t="shared" si="41"/>
        <v>7.8180969582784777E-4</v>
      </c>
      <c r="AQ95" s="17">
        <f t="shared" si="42"/>
        <v>1.8180000000000001</v>
      </c>
      <c r="AR95" s="8">
        <v>0.243968185</v>
      </c>
      <c r="AS95" s="8">
        <v>0.24942761299999999</v>
      </c>
      <c r="AT95" s="9">
        <v>0.24635668499999999</v>
      </c>
      <c r="AU95" s="17">
        <v>0.23037490999999999</v>
      </c>
      <c r="AW95" s="9">
        <f t="shared" si="43"/>
        <v>1.8180000000000001</v>
      </c>
      <c r="AY95" s="9">
        <f t="shared" si="44"/>
        <v>0.170924110411</v>
      </c>
      <c r="AZ95" s="9">
        <f t="shared" si="45"/>
        <v>0.3569059714417</v>
      </c>
      <c r="BA95" s="9">
        <f t="shared" si="46"/>
        <v>0.17794343357550002</v>
      </c>
      <c r="BB95" s="9">
        <f t="shared" si="47"/>
        <v>1.1122476907997261</v>
      </c>
      <c r="BC95" s="9">
        <f t="shared" si="48"/>
        <v>0</v>
      </c>
      <c r="BE95" s="1">
        <f t="shared" si="49"/>
        <v>-2.120622792611826E-5</v>
      </c>
    </row>
    <row r="96" spans="2:57" x14ac:dyDescent="0.2">
      <c r="B96" s="12" t="s">
        <v>151</v>
      </c>
      <c r="C96" s="20" t="s">
        <v>67</v>
      </c>
      <c r="D96" s="20">
        <v>0</v>
      </c>
      <c r="E96" s="20">
        <v>2.8679000000000001</v>
      </c>
      <c r="F96" s="20">
        <v>0.69410000000000005</v>
      </c>
      <c r="G96" s="20">
        <v>0.71550000000000002</v>
      </c>
      <c r="H96" s="20">
        <v>1.4175</v>
      </c>
      <c r="I96" s="21">
        <f t="shared" si="25"/>
        <v>2.8271000000000002</v>
      </c>
      <c r="J96" s="20">
        <v>1.798</v>
      </c>
      <c r="K96" s="20">
        <v>0</v>
      </c>
      <c r="L96" s="20">
        <v>1.09882302287302</v>
      </c>
      <c r="M96" s="20">
        <v>492864.96</v>
      </c>
      <c r="N96" s="20">
        <v>547339.52000000002</v>
      </c>
      <c r="O96" s="20">
        <v>0</v>
      </c>
      <c r="Q96" s="19">
        <v>105.21100300000001</v>
      </c>
      <c r="R96" s="19">
        <v>-14.567418</v>
      </c>
      <c r="S96" s="19">
        <v>160</v>
      </c>
      <c r="T96" s="19">
        <v>120.282189</v>
      </c>
      <c r="U96" s="19">
        <v>137.475031</v>
      </c>
      <c r="V96" s="19">
        <v>107.559866</v>
      </c>
      <c r="W96" s="19">
        <v>27.957547000000002</v>
      </c>
      <c r="Y96" t="str">
        <f t="shared" si="26"/>
        <v>SW_FT_High_Diesel_Non_CCS_Wood</v>
      </c>
      <c r="Z96" t="str">
        <f t="shared" si="27"/>
        <v>Biomass_Wood</v>
      </c>
      <c r="AA96" s="18">
        <f t="shared" si="28"/>
        <v>123.65761177199089</v>
      </c>
      <c r="AB96" s="18">
        <f t="shared" si="29"/>
        <v>123.65761177199089</v>
      </c>
      <c r="AC96" s="5">
        <f t="shared" si="30"/>
        <v>0</v>
      </c>
      <c r="AD96" s="1">
        <f t="shared" si="31"/>
        <v>0</v>
      </c>
      <c r="AE96" s="1">
        <f t="shared" si="32"/>
        <v>28.361023324714374</v>
      </c>
      <c r="AF96" s="1">
        <f t="array" ref="AF96">_xlfn.IFS(C96="Biomass_Corn", 1/I96*S96, C96="Biomass_Agri", 1/I96*V96, C96="Biomass_Wood", 1/I96*U96, C96="Biomass_Herb", 1/I96*T96)</f>
        <v>48.62757985214531</v>
      </c>
      <c r="AG96" s="1">
        <f t="shared" si="33"/>
        <v>22.112617675620182</v>
      </c>
      <c r="AH96" s="1">
        <f t="shared" si="34"/>
        <v>24.556644368707943</v>
      </c>
      <c r="AI96" s="1">
        <f t="shared" si="35"/>
        <v>0</v>
      </c>
      <c r="AJ96" s="1">
        <f t="shared" si="36"/>
        <v>-2.4089609423255018E-6</v>
      </c>
      <c r="AK96" s="1">
        <f t="shared" si="37"/>
        <v>0</v>
      </c>
      <c r="AL96">
        <f t="shared" si="38"/>
        <v>-2.5344919692989122E-4</v>
      </c>
      <c r="AM96" s="1">
        <f t="shared" si="39"/>
        <v>-2.4089609423255018E-6</v>
      </c>
      <c r="AN96" s="1">
        <f t="shared" si="40"/>
        <v>0</v>
      </c>
      <c r="AO96">
        <f t="shared" si="41"/>
        <v>-2.5344919692989122E-4</v>
      </c>
      <c r="AQ96" s="17">
        <f t="shared" si="42"/>
        <v>1.798</v>
      </c>
      <c r="AR96" s="8">
        <v>0.243968185</v>
      </c>
      <c r="AS96" s="8">
        <v>0.24942761299999999</v>
      </c>
      <c r="AT96" s="9">
        <v>0.24635668499999999</v>
      </c>
      <c r="AU96" s="17">
        <v>0.23037490999999999</v>
      </c>
      <c r="AW96" s="9">
        <f t="shared" si="43"/>
        <v>1.798</v>
      </c>
      <c r="AY96" s="9">
        <f t="shared" si="44"/>
        <v>0.16933831720850001</v>
      </c>
      <c r="AZ96" s="9">
        <f t="shared" si="45"/>
        <v>0.35356364142749996</v>
      </c>
      <c r="BA96" s="9">
        <f t="shared" si="46"/>
        <v>0.17626820811749999</v>
      </c>
      <c r="BB96" s="9">
        <f t="shared" si="47"/>
        <v>1.09882302287302</v>
      </c>
      <c r="BC96" s="9">
        <f t="shared" si="48"/>
        <v>0</v>
      </c>
      <c r="BE96" s="1">
        <f t="shared" si="49"/>
        <v>6.8103734800484261E-6</v>
      </c>
    </row>
    <row r="97" spans="2:57" x14ac:dyDescent="0.2">
      <c r="B97" s="12" t="s">
        <v>152</v>
      </c>
      <c r="C97" s="20" t="s">
        <v>67</v>
      </c>
      <c r="D97" s="20">
        <v>0</v>
      </c>
      <c r="E97" s="20">
        <v>2.8679000000000001</v>
      </c>
      <c r="F97" s="20">
        <v>0.68859999999999999</v>
      </c>
      <c r="G97" s="20">
        <v>0.70989999999999998</v>
      </c>
      <c r="H97" s="20">
        <v>1.4064000000000001</v>
      </c>
      <c r="I97" s="21">
        <f t="shared" si="25"/>
        <v>2.8048999999999999</v>
      </c>
      <c r="J97" s="20">
        <v>1.821</v>
      </c>
      <c r="K97" s="20">
        <v>0</v>
      </c>
      <c r="L97" s="20">
        <v>1.127302466267432</v>
      </c>
      <c r="M97" s="20">
        <v>492864.96</v>
      </c>
      <c r="N97" s="20">
        <v>547339.52000000002</v>
      </c>
      <c r="O97" s="20">
        <v>0</v>
      </c>
      <c r="Q97" s="19">
        <v>105.21100300000001</v>
      </c>
      <c r="R97" s="19">
        <v>-19.477884</v>
      </c>
      <c r="S97" s="19">
        <v>160</v>
      </c>
      <c r="T97" s="19">
        <v>132.95547999999999</v>
      </c>
      <c r="U97" s="19">
        <v>152.57709199999999</v>
      </c>
      <c r="V97" s="19">
        <v>106.67488899999999</v>
      </c>
      <c r="W97" s="19">
        <v>20.174973000000001</v>
      </c>
      <c r="Y97" t="str">
        <f t="shared" si="26"/>
        <v>TX_FT_High_Diesel_Non_CCS_Wood</v>
      </c>
      <c r="Z97" t="str">
        <f t="shared" si="27"/>
        <v>Biomass_Wood</v>
      </c>
      <c r="AA97" s="18">
        <f t="shared" si="28"/>
        <v>122.06272356940138</v>
      </c>
      <c r="AB97" s="18">
        <f t="shared" si="29"/>
        <v>122.06272356940138</v>
      </c>
      <c r="AC97" s="5">
        <f t="shared" si="30"/>
        <v>0</v>
      </c>
      <c r="AD97" s="1">
        <f t="shared" si="31"/>
        <v>0</v>
      </c>
      <c r="AE97" s="1">
        <f t="shared" si="32"/>
        <v>20.628116890691292</v>
      </c>
      <c r="AF97" s="1">
        <f t="array" ref="AF97">_xlfn.IFS(C97="Biomass_Corn", 1/I97*S97, C97="Biomass_Agri", 1/I97*V97, C97="Biomass_Wood", 1/I97*U97, C97="Biomass_Herb", 1/I97*T97)</f>
        <v>54.396624478591036</v>
      </c>
      <c r="AG97" s="1">
        <f t="shared" si="33"/>
        <v>22.287632867747803</v>
      </c>
      <c r="AH97" s="1">
        <f t="shared" si="34"/>
        <v>24.751003349415036</v>
      </c>
      <c r="AI97" s="1">
        <f t="shared" si="35"/>
        <v>0</v>
      </c>
      <c r="AJ97" s="1">
        <f t="shared" si="36"/>
        <v>-6.2162418866523403E-6</v>
      </c>
      <c r="AK97" s="1">
        <f t="shared" si="37"/>
        <v>0</v>
      </c>
      <c r="AL97">
        <f t="shared" si="38"/>
        <v>-6.5401704378530504E-4</v>
      </c>
      <c r="AM97" s="1">
        <f t="shared" si="39"/>
        <v>-6.2162418866523403E-6</v>
      </c>
      <c r="AN97" s="1">
        <f t="shared" si="40"/>
        <v>0</v>
      </c>
      <c r="AO97">
        <f t="shared" si="41"/>
        <v>-6.5401704378530504E-4</v>
      </c>
      <c r="AQ97" s="17">
        <f t="shared" si="42"/>
        <v>1.821</v>
      </c>
      <c r="AR97" s="8">
        <v>0.243968185</v>
      </c>
      <c r="AS97" s="8">
        <v>0.24942761299999999</v>
      </c>
      <c r="AT97" s="9">
        <v>0.24635668499999999</v>
      </c>
      <c r="AU97" s="17">
        <v>0.23037490999999999</v>
      </c>
      <c r="AW97" s="9">
        <f t="shared" si="43"/>
        <v>1.821</v>
      </c>
      <c r="AY97" s="9">
        <f t="shared" si="44"/>
        <v>0.16799649219099999</v>
      </c>
      <c r="AZ97" s="9">
        <f t="shared" si="45"/>
        <v>0.35079499492319999</v>
      </c>
      <c r="BA97" s="9">
        <f t="shared" si="46"/>
        <v>0.1748886106815</v>
      </c>
      <c r="BB97" s="9">
        <f t="shared" si="47"/>
        <v>1.127302466267432</v>
      </c>
      <c r="BC97" s="9">
        <f t="shared" si="48"/>
        <v>0</v>
      </c>
      <c r="BE97" s="1">
        <f t="shared" si="49"/>
        <v>1.7435936867871149E-5</v>
      </c>
    </row>
    <row r="98" spans="2:57" x14ac:dyDescent="0.2">
      <c r="B98" s="12" t="s">
        <v>153</v>
      </c>
      <c r="C98" s="20" t="s">
        <v>67</v>
      </c>
      <c r="D98" s="20">
        <v>0</v>
      </c>
      <c r="E98" s="20">
        <v>2.8679000000000001</v>
      </c>
      <c r="F98" s="20">
        <v>0.69120000000000004</v>
      </c>
      <c r="G98" s="20">
        <v>0.71260000000000001</v>
      </c>
      <c r="H98" s="20">
        <v>1.4116</v>
      </c>
      <c r="I98" s="21">
        <f t="shared" si="25"/>
        <v>2.8153999999999999</v>
      </c>
      <c r="J98" s="20">
        <v>1.802</v>
      </c>
      <c r="K98" s="20">
        <v>0</v>
      </c>
      <c r="L98" s="20">
        <v>1.1057453926833729</v>
      </c>
      <c r="M98" s="20">
        <v>492864.96</v>
      </c>
      <c r="N98" s="20">
        <v>547339.52000000002</v>
      </c>
      <c r="O98" s="20">
        <v>0</v>
      </c>
      <c r="Q98" s="19">
        <v>105.21100300000001</v>
      </c>
      <c r="R98" s="19">
        <v>-39.686463000000003</v>
      </c>
      <c r="S98" s="19">
        <v>160</v>
      </c>
      <c r="T98" s="19">
        <v>100.757654</v>
      </c>
      <c r="U98" s="19">
        <v>111.990773</v>
      </c>
      <c r="V98" s="19">
        <v>89.243781999999996</v>
      </c>
      <c r="W98" s="19">
        <v>30.713950000000001</v>
      </c>
      <c r="Y98" t="str">
        <f t="shared" si="26"/>
        <v>NCEN_FT_High_Diesel_Non_CCS_Wood</v>
      </c>
      <c r="Z98" t="str">
        <f t="shared" si="27"/>
        <v>Biomass_Wood</v>
      </c>
      <c r="AA98" s="18">
        <f t="shared" si="28"/>
        <v>117.92864068448782</v>
      </c>
      <c r="AB98" s="18">
        <f t="shared" si="29"/>
        <v>117.92864068448782</v>
      </c>
      <c r="AC98" s="5">
        <f t="shared" si="30"/>
        <v>0</v>
      </c>
      <c r="AD98" s="1">
        <f t="shared" si="31"/>
        <v>0</v>
      </c>
      <c r="AE98" s="1">
        <f t="shared" si="32"/>
        <v>31.286686511685733</v>
      </c>
      <c r="AF98" s="1">
        <f t="array" ref="AF98">_xlfn.IFS(C98="Biomass_Corn", 1/I98*S98, C98="Biomass_Agri", 1/I98*V98, C98="Biomass_Wood", 1/I98*U98, C98="Biomass_Herb", 1/I98*T98)</f>
        <v>39.77792604958443</v>
      </c>
      <c r="AG98" s="1">
        <f t="shared" si="33"/>
        <v>22.204511412497627</v>
      </c>
      <c r="AH98" s="1">
        <f t="shared" si="34"/>
        <v>24.658694783964705</v>
      </c>
      <c r="AI98" s="1">
        <f t="shared" si="35"/>
        <v>0</v>
      </c>
      <c r="AJ98" s="1">
        <f t="shared" si="36"/>
        <v>7.8121748855847574E-6</v>
      </c>
      <c r="AK98" s="1">
        <f t="shared" si="37"/>
        <v>0</v>
      </c>
      <c r="AL98">
        <f t="shared" si="38"/>
        <v>8.2192675532378264E-4</v>
      </c>
      <c r="AM98" s="1">
        <f t="shared" si="39"/>
        <v>7.8121748855847574E-6</v>
      </c>
      <c r="AN98" s="1">
        <f t="shared" si="40"/>
        <v>0</v>
      </c>
      <c r="AO98">
        <f t="shared" si="41"/>
        <v>8.2192675532378264E-4</v>
      </c>
      <c r="AQ98" s="17">
        <f t="shared" si="42"/>
        <v>1.802</v>
      </c>
      <c r="AR98" s="8">
        <v>0.243968185</v>
      </c>
      <c r="AS98" s="8">
        <v>0.24942761299999999</v>
      </c>
      <c r="AT98" s="9">
        <v>0.24635668499999999</v>
      </c>
      <c r="AU98" s="17">
        <v>0.23037490999999999</v>
      </c>
      <c r="AW98" s="9">
        <f t="shared" si="43"/>
        <v>1.802</v>
      </c>
      <c r="AY98" s="9">
        <f t="shared" si="44"/>
        <v>0.16863080947200002</v>
      </c>
      <c r="AZ98" s="9">
        <f t="shared" si="45"/>
        <v>0.35209201851079996</v>
      </c>
      <c r="BA98" s="9">
        <f t="shared" si="46"/>
        <v>0.17555377373100001</v>
      </c>
      <c r="BB98" s="9">
        <f t="shared" si="47"/>
        <v>1.1057453926833729</v>
      </c>
      <c r="BC98" s="9">
        <f t="shared" si="48"/>
        <v>0</v>
      </c>
      <c r="BE98" s="1">
        <f t="shared" si="49"/>
        <v>-2.1994397172875324E-5</v>
      </c>
    </row>
    <row r="99" spans="2:57" x14ac:dyDescent="0.2">
      <c r="B99" s="12" t="s">
        <v>154</v>
      </c>
      <c r="C99" s="20" t="s">
        <v>67</v>
      </c>
      <c r="D99" s="20">
        <v>0</v>
      </c>
      <c r="E99" s="20">
        <v>2.8679000000000001</v>
      </c>
      <c r="F99" s="20">
        <v>0.6915</v>
      </c>
      <c r="G99" s="20">
        <v>0.71289999999999998</v>
      </c>
      <c r="H99" s="20">
        <v>1.4123000000000001</v>
      </c>
      <c r="I99" s="21">
        <f t="shared" si="25"/>
        <v>2.8167</v>
      </c>
      <c r="J99" s="20">
        <v>1.802</v>
      </c>
      <c r="K99" s="20">
        <v>0</v>
      </c>
      <c r="L99" s="20">
        <v>1.105380096457079</v>
      </c>
      <c r="M99" s="20">
        <v>492864.96</v>
      </c>
      <c r="N99" s="20">
        <v>547339.52000000002</v>
      </c>
      <c r="O99" s="20">
        <v>0</v>
      </c>
      <c r="Q99" s="19">
        <v>105.21100300000001</v>
      </c>
      <c r="R99" s="19">
        <v>-29.672038000000001</v>
      </c>
      <c r="S99" s="19">
        <v>160</v>
      </c>
      <c r="T99" s="19">
        <v>107.027154</v>
      </c>
      <c r="U99" s="19">
        <v>122.865223</v>
      </c>
      <c r="V99" s="19">
        <v>94.404420999999999</v>
      </c>
      <c r="W99" s="19">
        <v>25.118154000000001</v>
      </c>
      <c r="Y99" t="str">
        <f t="shared" si="26"/>
        <v>CEN_FT_High_Diesel_Non_CCS_Wood</v>
      </c>
      <c r="Z99" t="str">
        <f t="shared" si="27"/>
        <v>Biomass_Wood</v>
      </c>
      <c r="AA99" s="18">
        <f t="shared" si="28"/>
        <v>116.03577750356618</v>
      </c>
      <c r="AB99" s="18">
        <f t="shared" si="29"/>
        <v>116.03577750356618</v>
      </c>
      <c r="AC99" s="5">
        <f t="shared" si="30"/>
        <v>0</v>
      </c>
      <c r="AD99" s="1">
        <f t="shared" si="31"/>
        <v>0</v>
      </c>
      <c r="AE99" s="1">
        <f t="shared" si="32"/>
        <v>25.574734212589203</v>
      </c>
      <c r="AF99" s="1">
        <f t="array" ref="AF99">_xlfn.IFS(C99="Biomass_Corn", 1/I99*S99, C99="Biomass_Agri", 1/I99*V99, C99="Biomass_Wood", 1/I99*U99, C99="Biomass_Herb", 1/I99*T99)</f>
        <v>43.620273014520542</v>
      </c>
      <c r="AG99" s="1">
        <f t="shared" si="33"/>
        <v>22.194263297740555</v>
      </c>
      <c r="AH99" s="1">
        <f t="shared" si="34"/>
        <v>24.647313982594607</v>
      </c>
      <c r="AI99" s="1">
        <f t="shared" si="35"/>
        <v>0</v>
      </c>
      <c r="AJ99" s="1">
        <f t="shared" si="36"/>
        <v>-7.6703372815469344E-6</v>
      </c>
      <c r="AK99" s="1">
        <f t="shared" si="37"/>
        <v>0</v>
      </c>
      <c r="AL99">
        <f t="shared" si="38"/>
        <v>-8.0700387873984644E-4</v>
      </c>
      <c r="AM99" s="1">
        <f t="shared" si="39"/>
        <v>-7.6703372815469344E-6</v>
      </c>
      <c r="AN99" s="1">
        <f t="shared" si="40"/>
        <v>0</v>
      </c>
      <c r="AO99">
        <f t="shared" si="41"/>
        <v>-8.0700387873984644E-4</v>
      </c>
      <c r="AQ99" s="17">
        <f t="shared" si="42"/>
        <v>1.802</v>
      </c>
      <c r="AR99" s="8">
        <v>0.243968185</v>
      </c>
      <c r="AS99" s="8">
        <v>0.24942761299999999</v>
      </c>
      <c r="AT99" s="9">
        <v>0.24635668499999999</v>
      </c>
      <c r="AU99" s="17">
        <v>0.23037490999999999</v>
      </c>
      <c r="AW99" s="9">
        <f t="shared" si="43"/>
        <v>1.802</v>
      </c>
      <c r="AY99" s="9">
        <f t="shared" si="44"/>
        <v>0.16870399992750001</v>
      </c>
      <c r="AZ99" s="9">
        <f t="shared" si="45"/>
        <v>0.35226661783990004</v>
      </c>
      <c r="BA99" s="9">
        <f t="shared" si="46"/>
        <v>0.17562768073649998</v>
      </c>
      <c r="BB99" s="9">
        <f t="shared" si="47"/>
        <v>1.105380096457079</v>
      </c>
      <c r="BC99" s="9">
        <f t="shared" si="48"/>
        <v>0</v>
      </c>
      <c r="BE99" s="1">
        <f t="shared" si="49"/>
        <v>2.1605039020933248E-5</v>
      </c>
    </row>
    <row r="100" spans="2:57" x14ac:dyDescent="0.2">
      <c r="B100" s="12" t="s">
        <v>155</v>
      </c>
      <c r="C100" s="20" t="s">
        <v>67</v>
      </c>
      <c r="D100" s="20">
        <v>0</v>
      </c>
      <c r="E100" s="20">
        <v>2.8679000000000001</v>
      </c>
      <c r="F100" s="20">
        <v>0.69410000000000005</v>
      </c>
      <c r="G100" s="20">
        <v>0.71550000000000002</v>
      </c>
      <c r="H100" s="20">
        <v>1.4175</v>
      </c>
      <c r="I100" s="21">
        <f t="shared" si="25"/>
        <v>2.8271000000000002</v>
      </c>
      <c r="J100" s="20">
        <v>1.821</v>
      </c>
      <c r="K100" s="20">
        <v>0</v>
      </c>
      <c r="L100" s="20">
        <v>1.1218230228730199</v>
      </c>
      <c r="M100" s="20">
        <v>492864.96</v>
      </c>
      <c r="N100" s="20">
        <v>547339.52000000002</v>
      </c>
      <c r="O100" s="20">
        <v>0</v>
      </c>
      <c r="Q100" s="19">
        <v>105.21100300000001</v>
      </c>
      <c r="R100" s="19">
        <v>-45.510345000000001</v>
      </c>
      <c r="S100" s="19">
        <v>160</v>
      </c>
      <c r="T100" s="19">
        <v>97.593261999999996</v>
      </c>
      <c r="U100" s="19">
        <v>109.791234</v>
      </c>
      <c r="V100" s="19">
        <v>86.911507</v>
      </c>
      <c r="W100" s="19">
        <v>38.099075999999997</v>
      </c>
      <c r="Y100" t="str">
        <f t="shared" si="26"/>
        <v>SE_FT_High_Diesel_Non_CCS_Wood</v>
      </c>
      <c r="Z100" t="str">
        <f t="shared" si="27"/>
        <v>Biomass_Wood</v>
      </c>
      <c r="AA100" s="18">
        <f t="shared" si="28"/>
        <v>124.15320585041046</v>
      </c>
      <c r="AB100" s="18">
        <f t="shared" si="29"/>
        <v>124.15320585041046</v>
      </c>
      <c r="AC100" s="5">
        <f t="shared" si="30"/>
        <v>0</v>
      </c>
      <c r="AD100" s="1">
        <f t="shared" si="31"/>
        <v>0</v>
      </c>
      <c r="AE100" s="1">
        <f t="shared" si="32"/>
        <v>38.648912334335535</v>
      </c>
      <c r="AF100" s="1">
        <f t="array" ref="AF100">_xlfn.IFS(C100="Biomass_Corn", 1/I100*S100, C100="Biomass_Agri", 1/I100*V100, C100="Biomass_Wood", 1/I100*U100, C100="Biomass_Herb", 1/I100*T100)</f>
        <v>38.835284920943721</v>
      </c>
      <c r="AG100" s="1">
        <f t="shared" si="33"/>
        <v>22.112617675620182</v>
      </c>
      <c r="AH100" s="1">
        <f t="shared" si="34"/>
        <v>24.556644368707943</v>
      </c>
      <c r="AI100" s="1">
        <f t="shared" si="35"/>
        <v>0</v>
      </c>
      <c r="AJ100" s="1">
        <f t="shared" si="36"/>
        <v>-2.4089609423255018E-6</v>
      </c>
      <c r="AK100" s="1">
        <f t="shared" si="37"/>
        <v>0</v>
      </c>
      <c r="AL100">
        <f t="shared" si="38"/>
        <v>-2.5344919692989122E-4</v>
      </c>
      <c r="AM100" s="1">
        <f t="shared" si="39"/>
        <v>-2.4089609423255018E-6</v>
      </c>
      <c r="AN100" s="1">
        <f t="shared" si="40"/>
        <v>0</v>
      </c>
      <c r="AO100">
        <f t="shared" si="41"/>
        <v>-2.5344919692989122E-4</v>
      </c>
      <c r="AQ100" s="17">
        <f t="shared" si="42"/>
        <v>1.821</v>
      </c>
      <c r="AR100" s="8">
        <v>0.243968185</v>
      </c>
      <c r="AS100" s="8">
        <v>0.24942761299999999</v>
      </c>
      <c r="AT100" s="9">
        <v>0.24635668499999999</v>
      </c>
      <c r="AU100" s="17">
        <v>0.23037490999999999</v>
      </c>
      <c r="AW100" s="9">
        <f t="shared" si="43"/>
        <v>1.821</v>
      </c>
      <c r="AY100" s="9">
        <f t="shared" si="44"/>
        <v>0.16933831720850001</v>
      </c>
      <c r="AZ100" s="9">
        <f t="shared" si="45"/>
        <v>0.35356364142749996</v>
      </c>
      <c r="BA100" s="9">
        <f t="shared" si="46"/>
        <v>0.17626820811749999</v>
      </c>
      <c r="BB100" s="9">
        <f t="shared" si="47"/>
        <v>1.1218230228730199</v>
      </c>
      <c r="BC100" s="9">
        <f t="shared" si="48"/>
        <v>0</v>
      </c>
      <c r="BE100" s="1">
        <f t="shared" si="49"/>
        <v>6.8103734800484261E-6</v>
      </c>
    </row>
    <row r="101" spans="2:57" x14ac:dyDescent="0.2">
      <c r="B101" s="12" t="s">
        <v>156</v>
      </c>
      <c r="C101" s="20" t="s">
        <v>67</v>
      </c>
      <c r="D101" s="20">
        <v>0</v>
      </c>
      <c r="E101" s="20">
        <v>2.8679000000000001</v>
      </c>
      <c r="F101" s="20">
        <v>0.68930000000000002</v>
      </c>
      <c r="G101" s="20">
        <v>0.7107</v>
      </c>
      <c r="H101" s="20">
        <v>1.4078999999999999</v>
      </c>
      <c r="I101" s="21">
        <f t="shared" si="25"/>
        <v>2.8079000000000001</v>
      </c>
      <c r="J101" s="20">
        <v>1.806</v>
      </c>
      <c r="K101" s="20">
        <v>0</v>
      </c>
      <c r="L101" s="20">
        <v>1.1115718738148439</v>
      </c>
      <c r="M101" s="20">
        <v>492864.96</v>
      </c>
      <c r="N101" s="20">
        <v>547339.52000000002</v>
      </c>
      <c r="O101" s="20">
        <v>0</v>
      </c>
      <c r="Q101" s="19">
        <v>105.21100300000001</v>
      </c>
      <c r="R101" s="19">
        <v>-50.334515000000003</v>
      </c>
      <c r="S101" s="19">
        <v>160</v>
      </c>
      <c r="T101" s="19">
        <v>98.707491000000005</v>
      </c>
      <c r="U101" s="19">
        <v>106.53195700000001</v>
      </c>
      <c r="V101" s="19">
        <v>87.469328000000004</v>
      </c>
      <c r="W101" s="19">
        <v>39.29871</v>
      </c>
      <c r="Y101" t="str">
        <f t="shared" si="26"/>
        <v>MIDAT_FT_High_Diesel_Non_CCS_Wood</v>
      </c>
      <c r="Z101" t="str">
        <f t="shared" si="27"/>
        <v>Biomass_Wood</v>
      </c>
      <c r="AA101" s="18">
        <f t="shared" si="28"/>
        <v>125.06669196009571</v>
      </c>
      <c r="AB101" s="18">
        <f t="shared" si="29"/>
        <v>125.06669196009571</v>
      </c>
      <c r="AC101" s="5">
        <f t="shared" si="30"/>
        <v>0</v>
      </c>
      <c r="AD101" s="1">
        <f t="shared" si="31"/>
        <v>0</v>
      </c>
      <c r="AE101" s="1">
        <f t="shared" si="32"/>
        <v>40.138455931122898</v>
      </c>
      <c r="AF101" s="1">
        <f t="array" ref="AF101">_xlfn.IFS(C101="Biomass_Corn", 1/I101*S101, C101="Biomass_Agri", 1/I101*V101, C101="Biomass_Wood", 1/I101*U101, C101="Biomass_Herb", 1/I101*T101)</f>
        <v>37.940082267887036</v>
      </c>
      <c r="AG101" s="1">
        <f t="shared" si="33"/>
        <v>22.263820446150437</v>
      </c>
      <c r="AH101" s="1">
        <f t="shared" si="34"/>
        <v>24.724559028018888</v>
      </c>
      <c r="AI101" s="1">
        <f t="shared" si="35"/>
        <v>0</v>
      </c>
      <c r="AJ101" s="1">
        <f t="shared" si="36"/>
        <v>-2.1453372471192615E-6</v>
      </c>
      <c r="AK101" s="1">
        <f t="shared" si="37"/>
        <v>0</v>
      </c>
      <c r="AL101">
        <f t="shared" si="38"/>
        <v>-2.2571308354267638E-4</v>
      </c>
      <c r="AM101" s="1">
        <f t="shared" si="39"/>
        <v>-2.1453372471192615E-6</v>
      </c>
      <c r="AN101" s="1">
        <f t="shared" si="40"/>
        <v>0</v>
      </c>
      <c r="AO101">
        <f t="shared" si="41"/>
        <v>-2.2571308354267638E-4</v>
      </c>
      <c r="AQ101" s="17">
        <f t="shared" si="42"/>
        <v>1.806</v>
      </c>
      <c r="AR101" s="8">
        <v>0.243968185</v>
      </c>
      <c r="AS101" s="8">
        <v>0.24942761299999999</v>
      </c>
      <c r="AT101" s="9">
        <v>0.24635668499999999</v>
      </c>
      <c r="AU101" s="17">
        <v>0.23037490999999999</v>
      </c>
      <c r="AW101" s="9">
        <f t="shared" si="43"/>
        <v>1.806</v>
      </c>
      <c r="AY101" s="9">
        <f t="shared" si="44"/>
        <v>0.16816726992050002</v>
      </c>
      <c r="AZ101" s="9">
        <f t="shared" si="45"/>
        <v>0.35116913634269997</v>
      </c>
      <c r="BA101" s="9">
        <f t="shared" si="46"/>
        <v>0.1750856960295</v>
      </c>
      <c r="BB101" s="9">
        <f t="shared" si="47"/>
        <v>1.1115718738148439</v>
      </c>
      <c r="BC101" s="9">
        <f t="shared" si="48"/>
        <v>0</v>
      </c>
      <c r="BE101" s="1">
        <f t="shared" si="49"/>
        <v>6.0238924561861751E-6</v>
      </c>
    </row>
    <row r="102" spans="2:57" x14ac:dyDescent="0.2">
      <c r="B102" s="12" t="s">
        <v>157</v>
      </c>
      <c r="C102" s="20" t="s">
        <v>67</v>
      </c>
      <c r="D102" s="20">
        <v>0</v>
      </c>
      <c r="E102" s="20">
        <v>2.8679000000000001</v>
      </c>
      <c r="F102" s="20">
        <v>0.68500000000000005</v>
      </c>
      <c r="G102" s="20">
        <v>0.70620000000000005</v>
      </c>
      <c r="H102" s="20">
        <v>1.399</v>
      </c>
      <c r="I102" s="21">
        <f t="shared" si="25"/>
        <v>2.7902</v>
      </c>
      <c r="J102" s="20">
        <v>1.8260000000000001</v>
      </c>
      <c r="K102" s="20">
        <v>0</v>
      </c>
      <c r="L102" s="20">
        <v>1.1359554285303739</v>
      </c>
      <c r="M102" s="20">
        <v>492864.96</v>
      </c>
      <c r="N102" s="20">
        <v>547339.52000000002</v>
      </c>
      <c r="O102" s="20">
        <v>0</v>
      </c>
      <c r="Q102" s="19">
        <v>105.21100300000001</v>
      </c>
      <c r="R102" s="19">
        <v>-58.833413</v>
      </c>
      <c r="S102" s="19">
        <v>160</v>
      </c>
      <c r="T102" s="19">
        <v>99.493746999999999</v>
      </c>
      <c r="U102" s="19">
        <v>105.21395800000001</v>
      </c>
      <c r="V102" s="19">
        <v>89.700445000000002</v>
      </c>
      <c r="W102" s="19">
        <v>47.365060999999997</v>
      </c>
      <c r="Y102" t="str">
        <f t="shared" si="26"/>
        <v>NE_FT_High_Diesel_Non_CCS_Wood</v>
      </c>
      <c r="Z102" t="str">
        <f t="shared" si="27"/>
        <v>Biomass_Wood</v>
      </c>
      <c r="AA102" s="18">
        <f t="shared" si="28"/>
        <v>133.67890567743771</v>
      </c>
      <c r="AB102" s="18">
        <f t="shared" si="29"/>
        <v>133.67890567743771</v>
      </c>
      <c r="AC102" s="5">
        <f t="shared" si="30"/>
        <v>0</v>
      </c>
      <c r="AD102" s="1">
        <f t="shared" si="31"/>
        <v>0</v>
      </c>
      <c r="AE102" s="1">
        <f t="shared" si="32"/>
        <v>48.684057932012038</v>
      </c>
      <c r="AF102" s="1">
        <f t="array" ref="AF102">_xlfn.IFS(C102="Biomass_Corn", 1/I102*S102, C102="Biomass_Agri", 1/I102*V102, C102="Biomass_Wood", 1/I102*U102, C102="Biomass_Herb", 1/I102*T102)</f>
        <v>37.708392946742173</v>
      </c>
      <c r="AG102" s="1">
        <f t="shared" si="33"/>
        <v>22.40505391396524</v>
      </c>
      <c r="AH102" s="1">
        <f t="shared" si="34"/>
        <v>24.881402514075777</v>
      </c>
      <c r="AI102" s="1">
        <f t="shared" si="35"/>
        <v>0</v>
      </c>
      <c r="AJ102" s="1">
        <f t="shared" si="36"/>
        <v>-1.548656948902718E-8</v>
      </c>
      <c r="AK102" s="1">
        <f t="shared" si="37"/>
        <v>0</v>
      </c>
      <c r="AL102">
        <f t="shared" si="38"/>
        <v>-1.6293575089697471E-6</v>
      </c>
      <c r="AM102" s="1">
        <f t="shared" si="39"/>
        <v>-1.548656948902718E-8</v>
      </c>
      <c r="AN102" s="1">
        <f t="shared" si="40"/>
        <v>0</v>
      </c>
      <c r="AO102">
        <f t="shared" si="41"/>
        <v>-1.6293575089697471E-6</v>
      </c>
      <c r="AQ102" s="17">
        <f t="shared" si="42"/>
        <v>1.8260000000000001</v>
      </c>
      <c r="AR102" s="8">
        <v>0.243968185</v>
      </c>
      <c r="AS102" s="8">
        <v>0.24942761299999999</v>
      </c>
      <c r="AT102" s="9">
        <v>0.24635668499999999</v>
      </c>
      <c r="AU102" s="17">
        <v>0.23037490999999999</v>
      </c>
      <c r="AW102" s="9">
        <f t="shared" si="43"/>
        <v>1.8260000000000001</v>
      </c>
      <c r="AY102" s="9">
        <f t="shared" si="44"/>
        <v>0.16711820672500002</v>
      </c>
      <c r="AZ102" s="9">
        <f t="shared" si="45"/>
        <v>0.348949230587</v>
      </c>
      <c r="BA102" s="9">
        <f t="shared" si="46"/>
        <v>0.17397709094700001</v>
      </c>
      <c r="BB102" s="9">
        <f t="shared" si="47"/>
        <v>1.1359554285303739</v>
      </c>
      <c r="BC102" s="9">
        <f t="shared" si="48"/>
        <v>0</v>
      </c>
      <c r="BE102" s="1">
        <f t="shared" si="49"/>
        <v>4.3210626188283641E-8</v>
      </c>
    </row>
    <row r="103" spans="2:57" x14ac:dyDescent="0.2">
      <c r="B103" s="12" t="s">
        <v>158</v>
      </c>
      <c r="C103" s="20" t="s">
        <v>77</v>
      </c>
      <c r="D103" s="20">
        <v>0</v>
      </c>
      <c r="E103" s="20">
        <v>2.8679000000000001</v>
      </c>
      <c r="F103" s="20">
        <v>0.66320000000000001</v>
      </c>
      <c r="G103" s="20">
        <v>0.68379999999999996</v>
      </c>
      <c r="H103" s="20">
        <v>1.3546</v>
      </c>
      <c r="I103" s="21">
        <f t="shared" si="25"/>
        <v>2.7016</v>
      </c>
      <c r="J103" s="20">
        <v>1.7190000000000001</v>
      </c>
      <c r="K103" s="20">
        <v>0</v>
      </c>
      <c r="L103" s="20">
        <v>1.050873202108022</v>
      </c>
      <c r="M103" s="20">
        <v>492864.96</v>
      </c>
      <c r="N103" s="20">
        <v>547339.52000000002</v>
      </c>
      <c r="O103" s="20">
        <v>0</v>
      </c>
      <c r="Q103" s="19">
        <v>105.21100300000001</v>
      </c>
      <c r="R103" s="19">
        <v>-6.4122130000000004</v>
      </c>
      <c r="S103" s="19">
        <v>160</v>
      </c>
      <c r="T103" s="19">
        <v>313632.96735400002</v>
      </c>
      <c r="U103" s="19">
        <v>154.036981</v>
      </c>
      <c r="V103" s="19">
        <v>132.85973799999999</v>
      </c>
      <c r="W103" s="19">
        <v>36.488697999999999</v>
      </c>
      <c r="Y103" t="str">
        <f t="shared" si="26"/>
        <v>CA_FT_High_Diesel_Agri</v>
      </c>
      <c r="Z103" t="str">
        <f t="shared" si="27"/>
        <v>Biomass_Agri</v>
      </c>
      <c r="AA103" s="18">
        <f t="shared" si="28"/>
        <v>136.7504453273059</v>
      </c>
      <c r="AB103" s="18">
        <f t="shared" si="29"/>
        <v>136.7504453273059</v>
      </c>
      <c r="AC103" s="5">
        <f t="shared" si="30"/>
        <v>0</v>
      </c>
      <c r="AD103" s="1">
        <f t="shared" si="31"/>
        <v>0</v>
      </c>
      <c r="AE103" s="1">
        <f t="shared" si="32"/>
        <v>38.734800486452471</v>
      </c>
      <c r="AF103" s="1">
        <f t="array" ref="AF103">_xlfn.IFS(C103="Biomass_Corn", 1/I103*S103, C103="Biomass_Agri", 1/I103*V103, C103="Biomass_Wood", 1/I103*U103, C103="Biomass_Herb", 1/I103*T103)</f>
        <v>49.178167752442995</v>
      </c>
      <c r="AG103" s="1">
        <f t="shared" si="33"/>
        <v>23.139836182538428</v>
      </c>
      <c r="AH103" s="1">
        <f t="shared" si="34"/>
        <v>25.697397577277997</v>
      </c>
      <c r="AI103" s="1">
        <f t="shared" si="35"/>
        <v>0</v>
      </c>
      <c r="AJ103" s="1">
        <f t="shared" si="36"/>
        <v>2.3127675533095008E-6</v>
      </c>
      <c r="AK103" s="1">
        <f t="shared" si="37"/>
        <v>0</v>
      </c>
      <c r="AL103">
        <f t="shared" si="38"/>
        <v>2.4332859398954856E-4</v>
      </c>
      <c r="AM103" s="1">
        <f t="shared" si="39"/>
        <v>2.3127675533095008E-6</v>
      </c>
      <c r="AN103" s="1">
        <f t="shared" si="40"/>
        <v>0</v>
      </c>
      <c r="AO103">
        <f t="shared" si="41"/>
        <v>2.4332859398954856E-4</v>
      </c>
      <c r="AQ103" s="17">
        <f t="shared" si="42"/>
        <v>1.7190000000000001</v>
      </c>
      <c r="AR103" s="8">
        <v>0.243968185</v>
      </c>
      <c r="AS103" s="8">
        <v>0.24942761299999999</v>
      </c>
      <c r="AT103" s="9">
        <v>0.24635668499999999</v>
      </c>
      <c r="AU103" s="17">
        <v>0.23037490999999999</v>
      </c>
      <c r="AW103" s="9">
        <f t="shared" si="43"/>
        <v>1.7190000000000001</v>
      </c>
      <c r="AY103" s="9">
        <f t="shared" si="44"/>
        <v>0.161799700292</v>
      </c>
      <c r="AZ103" s="9">
        <f t="shared" si="45"/>
        <v>0.33787464456979999</v>
      </c>
      <c r="BA103" s="9">
        <f t="shared" si="46"/>
        <v>0.16845870120299999</v>
      </c>
      <c r="BB103" s="9">
        <f t="shared" si="47"/>
        <v>1.050873202108022</v>
      </c>
      <c r="BC103" s="9">
        <f t="shared" si="48"/>
        <v>0</v>
      </c>
      <c r="BE103" s="1">
        <f t="shared" si="49"/>
        <v>-6.2481728220209476E-6</v>
      </c>
    </row>
    <row r="104" spans="2:57" x14ac:dyDescent="0.2">
      <c r="B104" s="12" t="s">
        <v>159</v>
      </c>
      <c r="C104" s="20" t="s">
        <v>77</v>
      </c>
      <c r="D104" s="20">
        <v>0</v>
      </c>
      <c r="E104" s="20">
        <v>2.8679000000000001</v>
      </c>
      <c r="F104" s="20">
        <v>0.60629999999999995</v>
      </c>
      <c r="G104" s="20">
        <v>0.62509999999999999</v>
      </c>
      <c r="H104" s="20">
        <v>1.2383</v>
      </c>
      <c r="I104" s="21">
        <f t="shared" si="25"/>
        <v>2.4696999999999996</v>
      </c>
      <c r="J104" s="20">
        <v>1.6639999999999999</v>
      </c>
      <c r="K104" s="20">
        <v>0</v>
      </c>
      <c r="L104" s="20">
        <v>1.053224709636202</v>
      </c>
      <c r="M104" s="20">
        <v>492864.96</v>
      </c>
      <c r="N104" s="20">
        <v>547339.52000000002</v>
      </c>
      <c r="O104" s="20">
        <v>0</v>
      </c>
      <c r="Q104" s="19">
        <v>105.21100300000001</v>
      </c>
      <c r="R104" s="19">
        <v>-7.3796590000000002</v>
      </c>
      <c r="S104" s="19">
        <v>160</v>
      </c>
      <c r="T104" s="19">
        <v>130.996602</v>
      </c>
      <c r="U104" s="19">
        <v>149.05667199999999</v>
      </c>
      <c r="V104" s="19">
        <v>112.26938</v>
      </c>
      <c r="W104" s="19">
        <v>26.787863000000002</v>
      </c>
      <c r="Y104" t="str">
        <f t="shared" si="26"/>
        <v>NW_FT_High_Diesel_Agri</v>
      </c>
      <c r="Z104" t="str">
        <f t="shared" si="27"/>
        <v>Biomass_Agri</v>
      </c>
      <c r="AA104" s="18">
        <f t="shared" si="28"/>
        <v>129.98892014261591</v>
      </c>
      <c r="AB104" s="18">
        <f t="shared" si="29"/>
        <v>129.98892014261591</v>
      </c>
      <c r="AC104" s="5">
        <f t="shared" si="30"/>
        <v>0</v>
      </c>
      <c r="AD104" s="1">
        <f t="shared" si="31"/>
        <v>0</v>
      </c>
      <c r="AE104" s="1">
        <f t="shared" si="32"/>
        <v>31.106981535287694</v>
      </c>
      <c r="AF104" s="1">
        <f t="array" ref="AF104">_xlfn.IFS(C104="Biomass_Corn", 1/I104*S104, C104="Biomass_Agri", 1/I104*V104, C104="Biomass_Wood", 1/I104*U104, C104="Biomass_Herb", 1/I104*T104)</f>
        <v>45.45871158440297</v>
      </c>
      <c r="AG104" s="1">
        <f t="shared" si="33"/>
        <v>25.312621545428929</v>
      </c>
      <c r="AH104" s="1">
        <f t="shared" si="34"/>
        <v>28.11033295330374</v>
      </c>
      <c r="AI104" s="1">
        <f t="shared" si="35"/>
        <v>0</v>
      </c>
      <c r="AJ104" s="1">
        <f t="shared" si="36"/>
        <v>2.5902632311264579E-6</v>
      </c>
      <c r="AK104" s="1">
        <f t="shared" si="37"/>
        <v>0</v>
      </c>
      <c r="AL104">
        <f t="shared" si="38"/>
        <v>2.7252419258083546E-4</v>
      </c>
      <c r="AM104" s="1">
        <f t="shared" si="39"/>
        <v>2.5902632311264579E-6</v>
      </c>
      <c r="AN104" s="1">
        <f t="shared" si="40"/>
        <v>0</v>
      </c>
      <c r="AO104">
        <f t="shared" si="41"/>
        <v>2.7252419258083546E-4</v>
      </c>
      <c r="AQ104" s="17">
        <f t="shared" si="42"/>
        <v>1.6639999999999999</v>
      </c>
      <c r="AR104" s="8">
        <v>0.243968185</v>
      </c>
      <c r="AS104" s="8">
        <v>0.24942761299999999</v>
      </c>
      <c r="AT104" s="9">
        <v>0.24635668499999999</v>
      </c>
      <c r="AU104" s="17">
        <v>0.23037490999999999</v>
      </c>
      <c r="AW104" s="9">
        <f t="shared" si="43"/>
        <v>1.6639999999999999</v>
      </c>
      <c r="AY104" s="9">
        <f t="shared" si="44"/>
        <v>0.14791791056549999</v>
      </c>
      <c r="AZ104" s="9">
        <f t="shared" si="45"/>
        <v>0.30886621317789997</v>
      </c>
      <c r="BA104" s="9">
        <f t="shared" si="46"/>
        <v>0.15399756379349999</v>
      </c>
      <c r="BB104" s="9">
        <f t="shared" si="47"/>
        <v>1.053224709636202</v>
      </c>
      <c r="BC104" s="9">
        <f t="shared" si="48"/>
        <v>0</v>
      </c>
      <c r="BE104" s="1">
        <f t="shared" si="49"/>
        <v>-6.3971731019130118E-6</v>
      </c>
    </row>
    <row r="105" spans="2:57" x14ac:dyDescent="0.2">
      <c r="B105" s="12" t="s">
        <v>160</v>
      </c>
      <c r="C105" s="20" t="s">
        <v>77</v>
      </c>
      <c r="D105" s="20">
        <v>0</v>
      </c>
      <c r="E105" s="20">
        <v>2.8679000000000001</v>
      </c>
      <c r="F105" s="20">
        <v>0.61750000000000005</v>
      </c>
      <c r="G105" s="20">
        <v>0.63670000000000004</v>
      </c>
      <c r="H105" s="20">
        <v>1.2613000000000001</v>
      </c>
      <c r="I105" s="21">
        <f t="shared" si="25"/>
        <v>2.5155000000000003</v>
      </c>
      <c r="J105" s="20">
        <v>1.6870000000000001</v>
      </c>
      <c r="K105" s="20">
        <v>0</v>
      </c>
      <c r="L105" s="20">
        <v>1.0649005266210829</v>
      </c>
      <c r="M105" s="20">
        <v>492864.96</v>
      </c>
      <c r="N105" s="20">
        <v>547339.52000000002</v>
      </c>
      <c r="O105" s="20">
        <v>0</v>
      </c>
      <c r="Q105" s="19">
        <v>105.21100300000001</v>
      </c>
      <c r="R105" s="19">
        <v>-14.567418</v>
      </c>
      <c r="S105" s="19">
        <v>160</v>
      </c>
      <c r="T105" s="19">
        <v>120.282189</v>
      </c>
      <c r="U105" s="19">
        <v>137.475031</v>
      </c>
      <c r="V105" s="19">
        <v>107.559866</v>
      </c>
      <c r="W105" s="19">
        <v>27.957547000000002</v>
      </c>
      <c r="Y105" t="str">
        <f t="shared" si="26"/>
        <v>SW_FT_High_Diesel_Agri</v>
      </c>
      <c r="Z105" t="str">
        <f t="shared" si="27"/>
        <v>Biomass_Agri</v>
      </c>
      <c r="AA105" s="18">
        <f t="shared" si="28"/>
        <v>127.08366404863887</v>
      </c>
      <c r="AB105" s="18">
        <f t="shared" si="29"/>
        <v>127.08366404863887</v>
      </c>
      <c r="AC105" s="5">
        <f t="shared" si="30"/>
        <v>0</v>
      </c>
      <c r="AD105" s="1">
        <f t="shared" si="31"/>
        <v>0</v>
      </c>
      <c r="AE105" s="1">
        <f t="shared" si="32"/>
        <v>31.874159825601268</v>
      </c>
      <c r="AF105" s="1">
        <f t="array" ref="AF105">_xlfn.IFS(C105="Biomass_Corn", 1/I105*S105, C105="Biomass_Agri", 1/I105*V105, C105="Biomass_Wood", 1/I105*U105, C105="Biomass_Herb", 1/I105*T105)</f>
        <v>42.758841582190414</v>
      </c>
      <c r="AG105" s="1">
        <f t="shared" si="33"/>
        <v>24.851751711685871</v>
      </c>
      <c r="AH105" s="1">
        <f t="shared" si="34"/>
        <v>27.59852486375441</v>
      </c>
      <c r="AI105" s="1">
        <f t="shared" si="35"/>
        <v>0</v>
      </c>
      <c r="AJ105" s="1">
        <f t="shared" si="36"/>
        <v>3.6694394684166364E-6</v>
      </c>
      <c r="AK105" s="1">
        <f t="shared" si="37"/>
        <v>0</v>
      </c>
      <c r="AL105">
        <f t="shared" si="38"/>
        <v>3.8606540691990115E-4</v>
      </c>
      <c r="AM105" s="1">
        <f t="shared" si="39"/>
        <v>3.6694394684166364E-6</v>
      </c>
      <c r="AN105" s="1">
        <f t="shared" si="40"/>
        <v>0</v>
      </c>
      <c r="AO105">
        <f t="shared" si="41"/>
        <v>3.8606540691990115E-4</v>
      </c>
      <c r="AQ105" s="17">
        <f t="shared" si="42"/>
        <v>1.6870000000000001</v>
      </c>
      <c r="AR105" s="8">
        <v>0.243968185</v>
      </c>
      <c r="AS105" s="8">
        <v>0.24942761299999999</v>
      </c>
      <c r="AT105" s="9">
        <v>0.24635668499999999</v>
      </c>
      <c r="AU105" s="17">
        <v>0.23037490999999999</v>
      </c>
      <c r="AW105" s="9">
        <f t="shared" si="43"/>
        <v>1.6870000000000001</v>
      </c>
      <c r="AY105" s="9">
        <f t="shared" si="44"/>
        <v>0.15065035423750001</v>
      </c>
      <c r="AZ105" s="9">
        <f t="shared" si="45"/>
        <v>0.3146030482769</v>
      </c>
      <c r="BA105" s="9">
        <f t="shared" si="46"/>
        <v>0.15685530133950001</v>
      </c>
      <c r="BB105" s="9">
        <f t="shared" si="47"/>
        <v>1.0649005266210829</v>
      </c>
      <c r="BC105" s="9">
        <f t="shared" si="48"/>
        <v>0</v>
      </c>
      <c r="BE105" s="1">
        <f t="shared" si="49"/>
        <v>-9.2304749828020505E-6</v>
      </c>
    </row>
    <row r="106" spans="2:57" x14ac:dyDescent="0.2">
      <c r="B106" s="12" t="s">
        <v>161</v>
      </c>
      <c r="C106" s="20" t="s">
        <v>77</v>
      </c>
      <c r="D106" s="20">
        <v>0</v>
      </c>
      <c r="E106" s="20">
        <v>2.8679000000000001</v>
      </c>
      <c r="F106" s="20">
        <v>0.60160000000000002</v>
      </c>
      <c r="G106" s="20">
        <v>0.62019999999999997</v>
      </c>
      <c r="H106" s="20">
        <v>1.2286999999999999</v>
      </c>
      <c r="I106" s="21">
        <f t="shared" si="25"/>
        <v>2.4504999999999999</v>
      </c>
      <c r="J106" s="20">
        <v>1.633</v>
      </c>
      <c r="K106" s="20">
        <v>0</v>
      </c>
      <c r="L106" s="20">
        <v>1.0269735605780259</v>
      </c>
      <c r="M106" s="20">
        <v>492864.96</v>
      </c>
      <c r="N106" s="20">
        <v>547339.52000000002</v>
      </c>
      <c r="O106" s="20">
        <v>0</v>
      </c>
      <c r="Q106" s="19">
        <v>105.21100300000001</v>
      </c>
      <c r="R106" s="19">
        <v>-19.477884</v>
      </c>
      <c r="S106" s="19">
        <v>160</v>
      </c>
      <c r="T106" s="19">
        <v>132.95547999999999</v>
      </c>
      <c r="U106" s="19">
        <v>152.57709199999999</v>
      </c>
      <c r="V106" s="19">
        <v>106.67488899999999</v>
      </c>
      <c r="W106" s="19">
        <v>20.174973000000001</v>
      </c>
      <c r="Y106" t="str">
        <f t="shared" si="26"/>
        <v>TX_FT_High_Diesel_Agri</v>
      </c>
      <c r="Z106" t="str">
        <f t="shared" si="27"/>
        <v>Biomass_Agri</v>
      </c>
      <c r="AA106" s="18">
        <f t="shared" si="28"/>
        <v>120.98514403673855</v>
      </c>
      <c r="AB106" s="18">
        <f t="shared" si="29"/>
        <v>120.98514403673855</v>
      </c>
      <c r="AC106" s="5">
        <f t="shared" si="30"/>
        <v>0</v>
      </c>
      <c r="AD106" s="1">
        <f t="shared" si="31"/>
        <v>0</v>
      </c>
      <c r="AE106" s="1">
        <f t="shared" si="32"/>
        <v>23.611428307161805</v>
      </c>
      <c r="AF106" s="1">
        <f t="array" ref="AF106">_xlfn.IFS(C106="Biomass_Corn", 1/I106*S106, C106="Biomass_Agri", 1/I106*V106, C106="Biomass_Wood", 1/I106*U106, C106="Biomass_Herb", 1/I106*T106)</f>
        <v>43.531886961844521</v>
      </c>
      <c r="AG106" s="1">
        <f t="shared" si="33"/>
        <v>25.510949369820782</v>
      </c>
      <c r="AH106" s="1">
        <f t="shared" si="34"/>
        <v>28.330581226188222</v>
      </c>
      <c r="AI106" s="1">
        <f t="shared" si="35"/>
        <v>0</v>
      </c>
      <c r="AJ106" s="1">
        <f t="shared" si="36"/>
        <v>2.8340355543753274E-6</v>
      </c>
      <c r="AK106" s="1">
        <f t="shared" si="37"/>
        <v>0</v>
      </c>
      <c r="AL106">
        <f t="shared" si="38"/>
        <v>2.9817172321348927E-4</v>
      </c>
      <c r="AM106" s="1">
        <f t="shared" si="39"/>
        <v>2.8340355543753274E-6</v>
      </c>
      <c r="AN106" s="1">
        <f t="shared" si="40"/>
        <v>0</v>
      </c>
      <c r="AO106">
        <f t="shared" si="41"/>
        <v>2.9817172321348927E-4</v>
      </c>
      <c r="AQ106" s="17">
        <f t="shared" si="42"/>
        <v>1.633</v>
      </c>
      <c r="AR106" s="8">
        <v>0.243968185</v>
      </c>
      <c r="AS106" s="8">
        <v>0.24942761299999999</v>
      </c>
      <c r="AT106" s="9">
        <v>0.24635668499999999</v>
      </c>
      <c r="AU106" s="17">
        <v>0.23037490999999999</v>
      </c>
      <c r="AW106" s="9">
        <f t="shared" si="43"/>
        <v>1.633</v>
      </c>
      <c r="AY106" s="9">
        <f t="shared" si="44"/>
        <v>0.146771260096</v>
      </c>
      <c r="AZ106" s="9">
        <f t="shared" si="45"/>
        <v>0.30647170809309998</v>
      </c>
      <c r="BA106" s="9">
        <f t="shared" si="46"/>
        <v>0.152790416037</v>
      </c>
      <c r="BB106" s="9">
        <f t="shared" si="47"/>
        <v>1.0269735605780259</v>
      </c>
      <c r="BC106" s="9">
        <f t="shared" si="48"/>
        <v>0</v>
      </c>
      <c r="BE106" s="1">
        <f t="shared" si="49"/>
        <v>-6.9448041259967397E-6</v>
      </c>
    </row>
    <row r="107" spans="2:57" x14ac:dyDescent="0.2">
      <c r="B107" s="12" t="s">
        <v>162</v>
      </c>
      <c r="C107" s="20" t="s">
        <v>77</v>
      </c>
      <c r="D107" s="20">
        <v>0</v>
      </c>
      <c r="E107" s="20">
        <v>2.8679000000000001</v>
      </c>
      <c r="F107" s="20">
        <v>0.62729999999999997</v>
      </c>
      <c r="G107" s="20">
        <v>0.64680000000000004</v>
      </c>
      <c r="H107" s="20">
        <v>1.2811999999999999</v>
      </c>
      <c r="I107" s="21">
        <f t="shared" si="25"/>
        <v>2.5552999999999999</v>
      </c>
      <c r="J107" s="20">
        <v>1.71</v>
      </c>
      <c r="K107" s="20">
        <v>0</v>
      </c>
      <c r="L107" s="20">
        <v>1.0780375285111421</v>
      </c>
      <c r="M107" s="20">
        <v>492864.96</v>
      </c>
      <c r="N107" s="20">
        <v>547339.52000000002</v>
      </c>
      <c r="O107" s="20">
        <v>0</v>
      </c>
      <c r="Q107" s="19">
        <v>105.21100300000001</v>
      </c>
      <c r="R107" s="19">
        <v>-39.686463000000003</v>
      </c>
      <c r="S107" s="19">
        <v>160</v>
      </c>
      <c r="T107" s="19">
        <v>100.757654</v>
      </c>
      <c r="U107" s="19">
        <v>111.990773</v>
      </c>
      <c r="V107" s="19">
        <v>89.243781999999996</v>
      </c>
      <c r="W107" s="19">
        <v>30.713950000000001</v>
      </c>
      <c r="Y107" t="str">
        <f t="shared" si="26"/>
        <v>NCEN_FT_High_Diesel_Agri</v>
      </c>
      <c r="Z107" t="str">
        <f t="shared" si="27"/>
        <v>Biomass_Agri</v>
      </c>
      <c r="AA107" s="18">
        <f t="shared" si="28"/>
        <v>121.02916507563295</v>
      </c>
      <c r="AB107" s="18">
        <f t="shared" si="29"/>
        <v>121.02916507563295</v>
      </c>
      <c r="AC107" s="5">
        <f t="shared" si="30"/>
        <v>0</v>
      </c>
      <c r="AD107" s="1">
        <f t="shared" si="31"/>
        <v>0</v>
      </c>
      <c r="AE107" s="1">
        <f t="shared" si="32"/>
        <v>34.471309515516772</v>
      </c>
      <c r="AF107" s="1">
        <f t="array" ref="AF107">_xlfn.IFS(C107="Biomass_Corn", 1/I107*S107, C107="Biomass_Agri", 1/I107*V107, C107="Biomass_Wood", 1/I107*U107, C107="Biomass_Herb", 1/I107*T107)</f>
        <v>34.924972410284511</v>
      </c>
      <c r="AG107" s="1">
        <f t="shared" si="33"/>
        <v>24.464673983777178</v>
      </c>
      <c r="AH107" s="1">
        <f t="shared" si="34"/>
        <v>27.168664851396795</v>
      </c>
      <c r="AI107" s="1">
        <f t="shared" si="35"/>
        <v>0</v>
      </c>
      <c r="AJ107" s="1">
        <f t="shared" si="36"/>
        <v>-4.3311567166206027E-6</v>
      </c>
      <c r="AK107" s="1">
        <f t="shared" si="37"/>
        <v>0</v>
      </c>
      <c r="AL107">
        <f t="shared" si="38"/>
        <v>-4.5568534230584041E-4</v>
      </c>
      <c r="AM107" s="1">
        <f t="shared" si="39"/>
        <v>-4.3311567166206027E-6</v>
      </c>
      <c r="AN107" s="1">
        <f t="shared" si="40"/>
        <v>0</v>
      </c>
      <c r="AO107">
        <f t="shared" si="41"/>
        <v>-4.5568534230584041E-4</v>
      </c>
      <c r="AQ107" s="17">
        <f t="shared" si="42"/>
        <v>1.71</v>
      </c>
      <c r="AR107" s="8">
        <v>0.243968185</v>
      </c>
      <c r="AS107" s="8">
        <v>0.24942761299999999</v>
      </c>
      <c r="AT107" s="9">
        <v>0.24635668499999999</v>
      </c>
      <c r="AU107" s="17">
        <v>0.23037490999999999</v>
      </c>
      <c r="AW107" s="9">
        <f t="shared" si="43"/>
        <v>1.71</v>
      </c>
      <c r="AY107" s="9">
        <f t="shared" si="44"/>
        <v>0.15304124245049999</v>
      </c>
      <c r="AZ107" s="9">
        <f t="shared" si="45"/>
        <v>0.31956665777559995</v>
      </c>
      <c r="BA107" s="9">
        <f t="shared" si="46"/>
        <v>0.159343503858</v>
      </c>
      <c r="BB107" s="9">
        <f t="shared" si="47"/>
        <v>1.0780375285111421</v>
      </c>
      <c r="BC107" s="9">
        <f t="shared" si="48"/>
        <v>0</v>
      </c>
      <c r="BE107" s="1">
        <f t="shared" si="49"/>
        <v>1.1067404757980626E-5</v>
      </c>
    </row>
    <row r="108" spans="2:57" x14ac:dyDescent="0.2">
      <c r="B108" s="12" t="s">
        <v>163</v>
      </c>
      <c r="C108" s="20" t="s">
        <v>77</v>
      </c>
      <c r="D108" s="20">
        <v>0</v>
      </c>
      <c r="E108" s="20">
        <v>2.8679000000000001</v>
      </c>
      <c r="F108" s="20">
        <v>0.62260000000000004</v>
      </c>
      <c r="G108" s="20">
        <v>0.64190000000000003</v>
      </c>
      <c r="H108" s="20">
        <v>1.2716000000000001</v>
      </c>
      <c r="I108" s="21">
        <f t="shared" si="25"/>
        <v>2.5361000000000002</v>
      </c>
      <c r="J108" s="20">
        <v>1.7</v>
      </c>
      <c r="K108" s="20">
        <v>0</v>
      </c>
      <c r="L108" s="20">
        <v>1.0727863794529651</v>
      </c>
      <c r="M108" s="20">
        <v>492864.96</v>
      </c>
      <c r="N108" s="20">
        <v>547339.52000000002</v>
      </c>
      <c r="O108" s="20">
        <v>0</v>
      </c>
      <c r="Q108" s="19">
        <v>105.21100300000001</v>
      </c>
      <c r="R108" s="19">
        <v>-29.672038000000001</v>
      </c>
      <c r="S108" s="19">
        <v>160</v>
      </c>
      <c r="T108" s="19">
        <v>107.027154</v>
      </c>
      <c r="U108" s="19">
        <v>122.865223</v>
      </c>
      <c r="V108" s="19">
        <v>94.404420999999999</v>
      </c>
      <c r="W108" s="19">
        <v>25.118154000000001</v>
      </c>
      <c r="Y108" t="str">
        <f t="shared" si="26"/>
        <v>CEN_FT_High_Diesel_Agri</v>
      </c>
      <c r="Z108" t="str">
        <f t="shared" si="27"/>
        <v>Biomass_Agri</v>
      </c>
      <c r="AA108" s="18">
        <f t="shared" si="28"/>
        <v>117.65243436227833</v>
      </c>
      <c r="AB108" s="18">
        <f t="shared" si="29"/>
        <v>117.65243436227833</v>
      </c>
      <c r="AC108" s="5">
        <f t="shared" si="30"/>
        <v>0</v>
      </c>
      <c r="AD108" s="1">
        <f t="shared" si="31"/>
        <v>0</v>
      </c>
      <c r="AE108" s="1">
        <f t="shared" si="32"/>
        <v>28.404382262765662</v>
      </c>
      <c r="AF108" s="1">
        <f t="array" ref="AF108">_xlfn.IFS(C108="Biomass_Corn", 1/I108*S108, C108="Biomass_Agri", 1/I108*V108, C108="Biomass_Wood", 1/I108*U108, C108="Biomass_Herb", 1/I108*T108)</f>
        <v>37.22425022672607</v>
      </c>
      <c r="AG108" s="1">
        <f t="shared" si="33"/>
        <v>24.649888186879782</v>
      </c>
      <c r="AH108" s="1">
        <f t="shared" si="34"/>
        <v>27.37435010243059</v>
      </c>
      <c r="AI108" s="1">
        <f t="shared" si="35"/>
        <v>0</v>
      </c>
      <c r="AJ108" s="1">
        <f t="shared" si="36"/>
        <v>-4.1480121977781141E-6</v>
      </c>
      <c r="AK108" s="1">
        <f t="shared" si="37"/>
        <v>0</v>
      </c>
      <c r="AL108">
        <f t="shared" si="38"/>
        <v>-4.3641652378446981E-4</v>
      </c>
      <c r="AM108" s="1">
        <f t="shared" si="39"/>
        <v>-4.1480121977781141E-6</v>
      </c>
      <c r="AN108" s="1">
        <f t="shared" si="40"/>
        <v>0</v>
      </c>
      <c r="AO108">
        <f t="shared" si="41"/>
        <v>-4.3641652378446981E-4</v>
      </c>
      <c r="AQ108" s="17">
        <f t="shared" si="42"/>
        <v>1.7</v>
      </c>
      <c r="AR108" s="8">
        <v>0.243968185</v>
      </c>
      <c r="AS108" s="8">
        <v>0.24942761299999999</v>
      </c>
      <c r="AT108" s="9">
        <v>0.24635668499999999</v>
      </c>
      <c r="AU108" s="17">
        <v>0.23037490999999999</v>
      </c>
      <c r="AW108" s="9">
        <f t="shared" si="43"/>
        <v>1.7</v>
      </c>
      <c r="AY108" s="9">
        <f t="shared" si="44"/>
        <v>0.15189459198100003</v>
      </c>
      <c r="AZ108" s="9">
        <f t="shared" si="45"/>
        <v>0.31717215269080001</v>
      </c>
      <c r="BA108" s="9">
        <f t="shared" si="46"/>
        <v>0.15813635610150001</v>
      </c>
      <c r="BB108" s="9">
        <f t="shared" si="47"/>
        <v>1.0727863794529651</v>
      </c>
      <c r="BC108" s="9">
        <f t="shared" si="48"/>
        <v>0</v>
      </c>
      <c r="BE108" s="1">
        <f t="shared" si="49"/>
        <v>1.0519773734785076E-5</v>
      </c>
    </row>
    <row r="109" spans="2:57" x14ac:dyDescent="0.2">
      <c r="B109" s="12" t="s">
        <v>164</v>
      </c>
      <c r="C109" s="20" t="s">
        <v>77</v>
      </c>
      <c r="D109" s="20">
        <v>0</v>
      </c>
      <c r="E109" s="20">
        <v>2.8679000000000001</v>
      </c>
      <c r="F109" s="20">
        <v>0.62480000000000002</v>
      </c>
      <c r="G109" s="20">
        <v>0.64410000000000001</v>
      </c>
      <c r="H109" s="20">
        <v>1.2761</v>
      </c>
      <c r="I109" s="21">
        <f t="shared" si="25"/>
        <v>2.5449999999999999</v>
      </c>
      <c r="J109" s="20">
        <v>1.6890000000000001</v>
      </c>
      <c r="K109" s="20">
        <v>0</v>
      </c>
      <c r="L109" s="20">
        <v>1.059594602095201</v>
      </c>
      <c r="M109" s="20">
        <v>492864.96</v>
      </c>
      <c r="N109" s="20">
        <v>547339.52000000002</v>
      </c>
      <c r="O109" s="20">
        <v>0</v>
      </c>
      <c r="Q109" s="19">
        <v>105.21100300000001</v>
      </c>
      <c r="R109" s="19">
        <v>-45.510345000000001</v>
      </c>
      <c r="S109" s="19">
        <v>160</v>
      </c>
      <c r="T109" s="19">
        <v>97.593261999999996</v>
      </c>
      <c r="U109" s="19">
        <v>109.791234</v>
      </c>
      <c r="V109" s="19">
        <v>86.911507</v>
      </c>
      <c r="W109" s="19">
        <v>38.099075999999997</v>
      </c>
      <c r="Y109" t="str">
        <f t="shared" si="26"/>
        <v>SE_FT_High_Diesel_Agri</v>
      </c>
      <c r="Z109" t="str">
        <f t="shared" si="27"/>
        <v>Biomass_Agri</v>
      </c>
      <c r="AA109" s="18">
        <f t="shared" si="28"/>
        <v>128.92510645770142</v>
      </c>
      <c r="AB109" s="18">
        <f t="shared" si="29"/>
        <v>128.92510645770142</v>
      </c>
      <c r="AC109" s="5">
        <f t="shared" si="30"/>
        <v>0</v>
      </c>
      <c r="AD109" s="1">
        <f t="shared" si="31"/>
        <v>0</v>
      </c>
      <c r="AE109" s="1">
        <f t="shared" si="32"/>
        <v>42.932943049273085</v>
      </c>
      <c r="AF109" s="1">
        <f t="array" ref="AF109">_xlfn.IFS(C109="Biomass_Corn", 1/I109*S109, C109="Biomass_Agri", 1/I109*V109, C109="Biomass_Wood", 1/I109*U109, C109="Biomass_Herb", 1/I109*T109)</f>
        <v>34.149904518664052</v>
      </c>
      <c r="AG109" s="1">
        <f t="shared" si="33"/>
        <v>24.563686220332347</v>
      </c>
      <c r="AH109" s="1">
        <f t="shared" si="34"/>
        <v>27.278620548044884</v>
      </c>
      <c r="AI109" s="1">
        <f t="shared" si="35"/>
        <v>0</v>
      </c>
      <c r="AJ109" s="1">
        <f t="shared" si="36"/>
        <v>-4.5507229829009209E-7</v>
      </c>
      <c r="AK109" s="1">
        <f t="shared" si="37"/>
        <v>0</v>
      </c>
      <c r="AL109">
        <f t="shared" si="38"/>
        <v>-4.7878612940615775E-5</v>
      </c>
      <c r="AM109" s="1">
        <f t="shared" si="39"/>
        <v>-4.5507229829009209E-7</v>
      </c>
      <c r="AN109" s="1">
        <f t="shared" si="40"/>
        <v>0</v>
      </c>
      <c r="AO109">
        <f t="shared" si="41"/>
        <v>-4.7878612940615775E-5</v>
      </c>
      <c r="AQ109" s="17">
        <f t="shared" si="42"/>
        <v>1.6890000000000001</v>
      </c>
      <c r="AR109" s="8">
        <v>0.243968185</v>
      </c>
      <c r="AS109" s="8">
        <v>0.24942761299999999</v>
      </c>
      <c r="AT109" s="9">
        <v>0.24635668499999999</v>
      </c>
      <c r="AU109" s="17">
        <v>0.23037490999999999</v>
      </c>
      <c r="AW109" s="9">
        <f t="shared" si="43"/>
        <v>1.6890000000000001</v>
      </c>
      <c r="AY109" s="9">
        <f t="shared" si="44"/>
        <v>0.152431321988</v>
      </c>
      <c r="AZ109" s="9">
        <f t="shared" si="45"/>
        <v>0.31829457694929997</v>
      </c>
      <c r="BA109" s="9">
        <f t="shared" si="46"/>
        <v>0.15867834080849999</v>
      </c>
      <c r="BB109" s="9">
        <f t="shared" si="47"/>
        <v>1.059594602095201</v>
      </c>
      <c r="BC109" s="9">
        <f t="shared" si="48"/>
        <v>0</v>
      </c>
      <c r="BE109" s="1">
        <f t="shared" si="49"/>
        <v>1.1581589991482844E-6</v>
      </c>
    </row>
    <row r="110" spans="2:57" x14ac:dyDescent="0.2">
      <c r="B110" s="12" t="s">
        <v>165</v>
      </c>
      <c r="C110" s="20" t="s">
        <v>77</v>
      </c>
      <c r="D110" s="20">
        <v>0</v>
      </c>
      <c r="E110" s="20">
        <v>2.8679000000000001</v>
      </c>
      <c r="F110" s="20">
        <v>0.62660000000000005</v>
      </c>
      <c r="G110" s="20">
        <v>0.64600000000000002</v>
      </c>
      <c r="H110" s="20">
        <v>1.2798</v>
      </c>
      <c r="I110" s="21">
        <f t="shared" si="25"/>
        <v>2.5524000000000004</v>
      </c>
      <c r="J110" s="20">
        <v>1.708</v>
      </c>
      <c r="K110" s="20">
        <v>0</v>
      </c>
      <c r="L110" s="20">
        <v>1.0767681209637301</v>
      </c>
      <c r="M110" s="20">
        <v>492864.96</v>
      </c>
      <c r="N110" s="20">
        <v>547339.52000000002</v>
      </c>
      <c r="O110" s="20">
        <v>0</v>
      </c>
      <c r="Q110" s="19">
        <v>105.21100300000001</v>
      </c>
      <c r="R110" s="19">
        <v>-50.334515000000003</v>
      </c>
      <c r="S110" s="19">
        <v>160</v>
      </c>
      <c r="T110" s="19">
        <v>98.707491000000005</v>
      </c>
      <c r="U110" s="19">
        <v>106.53195700000001</v>
      </c>
      <c r="V110" s="19">
        <v>87.469328000000004</v>
      </c>
      <c r="W110" s="19">
        <v>39.29871</v>
      </c>
      <c r="Y110" t="str">
        <f t="shared" si="26"/>
        <v>MIDAT_FT_High_Diesel_Agri</v>
      </c>
      <c r="Z110" t="str">
        <f t="shared" si="27"/>
        <v>Biomass_Agri</v>
      </c>
      <c r="AA110" s="18">
        <f t="shared" si="28"/>
        <v>130.1179393128271</v>
      </c>
      <c r="AB110" s="18">
        <f t="shared" si="29"/>
        <v>130.1179393128271</v>
      </c>
      <c r="AC110" s="5">
        <f t="shared" si="30"/>
        <v>0</v>
      </c>
      <c r="AD110" s="1">
        <f t="shared" si="31"/>
        <v>0</v>
      </c>
      <c r="AE110" s="1">
        <f t="shared" si="32"/>
        <v>44.156390224494587</v>
      </c>
      <c r="AF110" s="1">
        <f t="array" ref="AF110">_xlfn.IFS(C110="Biomass_Corn", 1/I110*S110, C110="Biomass_Agri", 1/I110*V110, C110="Biomass_Wood", 1/I110*U110, C110="Biomass_Herb", 1/I110*T110)</f>
        <v>34.269443660868198</v>
      </c>
      <c r="AG110" s="1">
        <f t="shared" si="33"/>
        <v>24.492470392863893</v>
      </c>
      <c r="AH110" s="1">
        <f t="shared" si="34"/>
        <v>27.199533495836945</v>
      </c>
      <c r="AI110" s="1">
        <f t="shared" si="35"/>
        <v>0</v>
      </c>
      <c r="AJ110" s="1">
        <f t="shared" si="36"/>
        <v>9.6509643083064207E-7</v>
      </c>
      <c r="AK110" s="1">
        <f t="shared" si="37"/>
        <v>0</v>
      </c>
      <c r="AL110">
        <f t="shared" si="38"/>
        <v>1.0153876347941198E-4</v>
      </c>
      <c r="AM110" s="1">
        <f t="shared" si="39"/>
        <v>9.6509643083064207E-7</v>
      </c>
      <c r="AN110" s="1">
        <f t="shared" si="40"/>
        <v>0</v>
      </c>
      <c r="AO110">
        <f t="shared" si="41"/>
        <v>1.0153876347941198E-4</v>
      </c>
      <c r="AQ110" s="17">
        <f t="shared" si="42"/>
        <v>1.708</v>
      </c>
      <c r="AR110" s="8">
        <v>0.243968185</v>
      </c>
      <c r="AS110" s="8">
        <v>0.24942761299999999</v>
      </c>
      <c r="AT110" s="9">
        <v>0.24635668499999999</v>
      </c>
      <c r="AU110" s="17">
        <v>0.23037490999999999</v>
      </c>
      <c r="AW110" s="9">
        <f t="shared" si="43"/>
        <v>1.708</v>
      </c>
      <c r="AY110" s="9">
        <f t="shared" si="44"/>
        <v>0.15287046472100002</v>
      </c>
      <c r="AZ110" s="9">
        <f t="shared" si="45"/>
        <v>0.31921745911740002</v>
      </c>
      <c r="BA110" s="9">
        <f t="shared" si="46"/>
        <v>0.15914641851</v>
      </c>
      <c r="BB110" s="9">
        <f t="shared" si="47"/>
        <v>1.0767681209637301</v>
      </c>
      <c r="BC110" s="9">
        <f t="shared" si="48"/>
        <v>0</v>
      </c>
      <c r="BE110" s="1">
        <f t="shared" si="49"/>
        <v>-2.463312130052131E-6</v>
      </c>
    </row>
    <row r="111" spans="2:57" x14ac:dyDescent="0.2">
      <c r="B111" s="12" t="s">
        <v>166</v>
      </c>
      <c r="C111" s="20" t="s">
        <v>77</v>
      </c>
      <c r="D111" s="20">
        <v>0</v>
      </c>
      <c r="E111" s="20">
        <v>2.8679000000000001</v>
      </c>
      <c r="F111" s="20">
        <v>0.63390000000000002</v>
      </c>
      <c r="G111" s="20">
        <v>0.65349999999999997</v>
      </c>
      <c r="H111" s="20">
        <v>1.2946</v>
      </c>
      <c r="I111" s="21">
        <f t="shared" si="25"/>
        <v>2.5819999999999999</v>
      </c>
      <c r="J111" s="20">
        <v>1.7150000000000001</v>
      </c>
      <c r="K111" s="20">
        <v>0</v>
      </c>
      <c r="L111" s="20">
        <v>1.0764621964378469</v>
      </c>
      <c r="M111" s="20">
        <v>492864.96</v>
      </c>
      <c r="N111" s="20">
        <v>547339.52000000002</v>
      </c>
      <c r="O111" s="20">
        <v>0</v>
      </c>
      <c r="Q111" s="19">
        <v>105.21100300000001</v>
      </c>
      <c r="R111" s="19">
        <v>-58.833413</v>
      </c>
      <c r="S111" s="19">
        <v>160</v>
      </c>
      <c r="T111" s="19">
        <v>99.493746999999999</v>
      </c>
      <c r="U111" s="19">
        <v>105.21395800000001</v>
      </c>
      <c r="V111" s="19">
        <v>89.700445000000002</v>
      </c>
      <c r="W111" s="19">
        <v>47.365060999999997</v>
      </c>
      <c r="Y111" t="str">
        <f t="shared" si="26"/>
        <v>NE_FT_High_Diesel_Agri</v>
      </c>
      <c r="Z111" t="str">
        <f t="shared" si="27"/>
        <v>Biomass_Agri</v>
      </c>
      <c r="AA111" s="18">
        <f t="shared" si="28"/>
        <v>138.45047725784326</v>
      </c>
      <c r="AB111" s="18">
        <f t="shared" si="29"/>
        <v>138.45047725784326</v>
      </c>
      <c r="AC111" s="5">
        <f t="shared" si="30"/>
        <v>0</v>
      </c>
      <c r="AD111" s="1">
        <f t="shared" si="31"/>
        <v>0</v>
      </c>
      <c r="AE111" s="1">
        <f t="shared" si="32"/>
        <v>52.609705051084433</v>
      </c>
      <c r="AF111" s="1">
        <f t="array" ref="AF111">_xlfn.IFS(C111="Biomass_Corn", 1/I111*S111, C111="Biomass_Agri", 1/I111*V111, C111="Biomass_Wood", 1/I111*U111, C111="Biomass_Herb", 1/I111*T111)</f>
        <v>34.740683578621223</v>
      </c>
      <c r="AG111" s="1">
        <f t="shared" si="33"/>
        <v>24.211689167601016</v>
      </c>
      <c r="AH111" s="1">
        <f t="shared" si="34"/>
        <v>26.887718549486536</v>
      </c>
      <c r="AI111" s="1">
        <f t="shared" si="35"/>
        <v>0</v>
      </c>
      <c r="AJ111" s="1">
        <f t="shared" si="36"/>
        <v>6.471861598230512E-6</v>
      </c>
      <c r="AK111" s="1">
        <f t="shared" si="37"/>
        <v>0</v>
      </c>
      <c r="AL111">
        <f t="shared" si="38"/>
        <v>6.8091105002701527E-4</v>
      </c>
      <c r="AM111" s="1">
        <f t="shared" si="39"/>
        <v>6.471861598230512E-6</v>
      </c>
      <c r="AN111" s="1">
        <f t="shared" si="40"/>
        <v>0</v>
      </c>
      <c r="AO111">
        <f t="shared" si="41"/>
        <v>6.8091105002701527E-4</v>
      </c>
      <c r="AQ111" s="17">
        <f t="shared" si="42"/>
        <v>1.7150000000000001</v>
      </c>
      <c r="AR111" s="8">
        <v>0.243968185</v>
      </c>
      <c r="AS111" s="8">
        <v>0.24942761299999999</v>
      </c>
      <c r="AT111" s="9">
        <v>0.24635668499999999</v>
      </c>
      <c r="AU111" s="17">
        <v>0.23037490999999999</v>
      </c>
      <c r="AW111" s="9">
        <f t="shared" si="43"/>
        <v>1.7150000000000001</v>
      </c>
      <c r="AY111" s="9">
        <f t="shared" si="44"/>
        <v>0.15465143247150001</v>
      </c>
      <c r="AZ111" s="9">
        <f t="shared" si="45"/>
        <v>0.32290898778979998</v>
      </c>
      <c r="BA111" s="9">
        <f t="shared" si="46"/>
        <v>0.16099409364749998</v>
      </c>
      <c r="BB111" s="9">
        <f t="shared" si="47"/>
        <v>1.0764621964378469</v>
      </c>
      <c r="BC111" s="9">
        <f t="shared" si="48"/>
        <v>0</v>
      </c>
      <c r="BE111" s="1">
        <f t="shared" si="49"/>
        <v>-1.671034664663118E-5</v>
      </c>
    </row>
    <row r="112" spans="2:57" x14ac:dyDescent="0.2">
      <c r="B112" s="12" t="s">
        <v>167</v>
      </c>
      <c r="C112" s="20" t="s">
        <v>57</v>
      </c>
      <c r="D112" s="20">
        <v>0</v>
      </c>
      <c r="E112" s="20">
        <v>2.9403000000000001</v>
      </c>
      <c r="F112" s="20">
        <v>0.65959999999999996</v>
      </c>
      <c r="G112" s="20">
        <v>0.68</v>
      </c>
      <c r="H112" s="20">
        <v>1.3472</v>
      </c>
      <c r="I112" s="21">
        <f t="shared" si="25"/>
        <v>2.6867999999999999</v>
      </c>
      <c r="J112" s="20">
        <v>1.7210000000000001</v>
      </c>
      <c r="K112" s="20">
        <v>0.55774016217143174</v>
      </c>
      <c r="L112" s="20">
        <v>0.4987860021995319</v>
      </c>
      <c r="M112" s="20">
        <v>547496.31999999995</v>
      </c>
      <c r="N112" s="20">
        <v>596414.56000000006</v>
      </c>
      <c r="O112" s="20">
        <v>1.0640000000000001</v>
      </c>
      <c r="Q112" s="19">
        <v>105.21100300000001</v>
      </c>
      <c r="R112" s="19">
        <v>-6.4122130000000004</v>
      </c>
      <c r="S112" s="19">
        <v>160</v>
      </c>
      <c r="T112" s="19">
        <v>313632.96735400002</v>
      </c>
      <c r="U112" s="19">
        <v>154.036981</v>
      </c>
      <c r="V112" s="19">
        <v>132.85973799999999</v>
      </c>
      <c r="W112" s="19">
        <v>36.488697999999999</v>
      </c>
      <c r="Y112" t="str">
        <f t="shared" si="26"/>
        <v>CA_FT_High_Diesel_CCS_53_Herb</v>
      </c>
      <c r="Z112" t="str">
        <f t="shared" si="27"/>
        <v>Biomass_Herb</v>
      </c>
      <c r="AA112" s="18">
        <f t="shared" si="28"/>
        <v>116804.86363671388</v>
      </c>
      <c r="AB112" s="18">
        <f t="shared" si="29"/>
        <v>116804.8636367139</v>
      </c>
      <c r="AC112" s="5">
        <f t="shared" si="30"/>
        <v>0</v>
      </c>
      <c r="AD112" s="1">
        <f t="shared" si="31"/>
        <v>0</v>
      </c>
      <c r="AE112" s="1">
        <f t="shared" si="32"/>
        <v>39.931412360205449</v>
      </c>
      <c r="AF112" s="1">
        <f t="array" ref="AF112">_xlfn.IFS(C112="Biomass_Corn", 1/I112*S112, C112="Biomass_Agri", 1/I112*V112, C112="Biomass_Wood", 1/I112*U112, C112="Biomass_Herb", 1/I112*T112)</f>
        <v>116731.04338022928</v>
      </c>
      <c r="AG112" s="1">
        <f t="shared" si="33"/>
        <v>25.84635167348014</v>
      </c>
      <c r="AH112" s="1">
        <f t="shared" si="34"/>
        <v>28.155696938645953</v>
      </c>
      <c r="AI112" s="1">
        <f t="shared" si="35"/>
        <v>0.39601012356706866</v>
      </c>
      <c r="AJ112" s="1">
        <f t="shared" si="36"/>
        <v>-3.7024320246385412E-7</v>
      </c>
      <c r="AK112" s="1">
        <f t="shared" si="37"/>
        <v>-20.509175657637797</v>
      </c>
      <c r="AL112">
        <f t="shared" si="38"/>
        <v>-3.8953658685154168E-5</v>
      </c>
      <c r="AM112" s="1">
        <f t="shared" si="39"/>
        <v>-0.2075856621039408</v>
      </c>
      <c r="AN112" s="1">
        <f t="shared" si="40"/>
        <v>1.3310811070782207</v>
      </c>
      <c r="AO112">
        <f t="shared" si="41"/>
        <v>-21.840295718374705</v>
      </c>
      <c r="AQ112" s="17">
        <f t="shared" si="42"/>
        <v>1.7210000000000001</v>
      </c>
      <c r="AR112" s="8">
        <v>0.243968185</v>
      </c>
      <c r="AS112" s="8">
        <v>0.24942761299999999</v>
      </c>
      <c r="AT112" s="9">
        <v>0.24635668499999999</v>
      </c>
      <c r="AU112" s="17">
        <v>0.23037490999999999</v>
      </c>
      <c r="AW112" s="9">
        <f t="shared" si="43"/>
        <v>1.7210000000000001</v>
      </c>
      <c r="AY112" s="9">
        <f t="shared" si="44"/>
        <v>0.160921414826</v>
      </c>
      <c r="AZ112" s="9">
        <f t="shared" si="45"/>
        <v>0.3360288802336</v>
      </c>
      <c r="BA112" s="9">
        <f t="shared" si="46"/>
        <v>0.16752254580000001</v>
      </c>
      <c r="BB112" s="9">
        <f t="shared" si="47"/>
        <v>0.4987860021995319</v>
      </c>
      <c r="BC112" s="9">
        <f t="shared" si="48"/>
        <v>0.55774016217143174</v>
      </c>
      <c r="BE112" s="1">
        <f t="shared" si="49"/>
        <v>9.9476943637988313E-7</v>
      </c>
    </row>
    <row r="113" spans="2:57" x14ac:dyDescent="0.2">
      <c r="B113" s="12" t="s">
        <v>168</v>
      </c>
      <c r="C113" s="20" t="s">
        <v>57</v>
      </c>
      <c r="D113" s="20">
        <v>0</v>
      </c>
      <c r="E113" s="20">
        <v>2.9403000000000001</v>
      </c>
      <c r="F113" s="20">
        <v>0.66110000000000002</v>
      </c>
      <c r="G113" s="20">
        <v>0.68149999999999999</v>
      </c>
      <c r="H113" s="20">
        <v>1.3501000000000001</v>
      </c>
      <c r="I113" s="21">
        <f t="shared" si="25"/>
        <v>2.6927000000000003</v>
      </c>
      <c r="J113" s="20">
        <v>1.726</v>
      </c>
      <c r="K113" s="20">
        <v>0.55960830265998884</v>
      </c>
      <c r="L113" s="20">
        <v>0.50045667680579797</v>
      </c>
      <c r="M113" s="20">
        <v>547496.31999999995</v>
      </c>
      <c r="N113" s="20">
        <v>596414.56000000006</v>
      </c>
      <c r="O113" s="20">
        <v>1.0640000000000001</v>
      </c>
      <c r="Q113" s="19">
        <v>105.21100300000001</v>
      </c>
      <c r="R113" s="19">
        <v>-7.3796590000000002</v>
      </c>
      <c r="S113" s="19">
        <v>160</v>
      </c>
      <c r="T113" s="19">
        <v>130.996602</v>
      </c>
      <c r="U113" s="19">
        <v>149.05667199999999</v>
      </c>
      <c r="V113" s="19">
        <v>112.26938</v>
      </c>
      <c r="W113" s="19">
        <v>26.787863000000002</v>
      </c>
      <c r="Y113" t="str">
        <f t="shared" si="26"/>
        <v>NW_FT_High_Diesel_CCS_53_Herb</v>
      </c>
      <c r="Z113" t="str">
        <f t="shared" si="27"/>
        <v>Biomass_Herb</v>
      </c>
      <c r="AA113" s="18">
        <f t="shared" si="28"/>
        <v>111.84687292649771</v>
      </c>
      <c r="AB113" s="18">
        <f t="shared" si="29"/>
        <v>111.84687292649771</v>
      </c>
      <c r="AC113" s="5">
        <f t="shared" si="30"/>
        <v>0</v>
      </c>
      <c r="AD113" s="1">
        <f t="shared" si="31"/>
        <v>0</v>
      </c>
      <c r="AE113" s="1">
        <f t="shared" si="32"/>
        <v>29.251069030675527</v>
      </c>
      <c r="AF113" s="1">
        <f t="array" ref="AF113">_xlfn.IFS(C113="Biomass_Corn", 1/I113*S113, C113="Biomass_Agri", 1/I113*V113, C113="Biomass_Wood", 1/I113*U113, C113="Biomass_Herb", 1/I113*T113)</f>
        <v>48.648791918891817</v>
      </c>
      <c r="AG113" s="1">
        <f t="shared" si="33"/>
        <v>25.789719492073541</v>
      </c>
      <c r="AH113" s="1">
        <f t="shared" si="34"/>
        <v>28.094004729362325</v>
      </c>
      <c r="AI113" s="1">
        <f t="shared" si="35"/>
        <v>0.39514242210420764</v>
      </c>
      <c r="AJ113" s="1">
        <f t="shared" si="36"/>
        <v>-1.2449555884243614E-6</v>
      </c>
      <c r="AK113" s="1">
        <f t="shared" si="37"/>
        <v>-20.331723683583569</v>
      </c>
      <c r="AL113">
        <f t="shared" si="38"/>
        <v>-1.3098302614858226E-4</v>
      </c>
      <c r="AM113" s="1">
        <f t="shared" si="39"/>
        <v>-0.20782547441300622</v>
      </c>
      <c r="AN113" s="1">
        <f t="shared" si="40"/>
        <v>1.5336719453334979</v>
      </c>
      <c r="AO113">
        <f t="shared" si="41"/>
        <v>-21.865526611943221</v>
      </c>
      <c r="AQ113" s="17">
        <f t="shared" si="42"/>
        <v>1.726</v>
      </c>
      <c r="AR113" s="8">
        <v>0.243968185</v>
      </c>
      <c r="AS113" s="8">
        <v>0.24942761299999999</v>
      </c>
      <c r="AT113" s="9">
        <v>0.24635668499999999</v>
      </c>
      <c r="AU113" s="17">
        <v>0.23037490999999999</v>
      </c>
      <c r="AW113" s="9">
        <f t="shared" si="43"/>
        <v>1.726</v>
      </c>
      <c r="AY113" s="9">
        <f t="shared" si="44"/>
        <v>0.1612873671035</v>
      </c>
      <c r="AZ113" s="9">
        <f t="shared" si="45"/>
        <v>0.33675222031130003</v>
      </c>
      <c r="BA113" s="9">
        <f t="shared" si="46"/>
        <v>0.16789208082749998</v>
      </c>
      <c r="BB113" s="9">
        <f t="shared" si="47"/>
        <v>0.50045667680579797</v>
      </c>
      <c r="BC113" s="9">
        <f t="shared" si="48"/>
        <v>0.55960830265998884</v>
      </c>
      <c r="BE113" s="1">
        <f t="shared" si="49"/>
        <v>3.3522919129502782E-6</v>
      </c>
    </row>
    <row r="114" spans="2:57" x14ac:dyDescent="0.2">
      <c r="B114" s="12" t="s">
        <v>169</v>
      </c>
      <c r="C114" s="20" t="s">
        <v>57</v>
      </c>
      <c r="D114" s="20">
        <v>0</v>
      </c>
      <c r="E114" s="20">
        <v>2.9403000000000001</v>
      </c>
      <c r="F114" s="20">
        <v>0.65669999999999995</v>
      </c>
      <c r="G114" s="20">
        <v>0.67700000000000005</v>
      </c>
      <c r="H114" s="20">
        <v>1.3411999999999999</v>
      </c>
      <c r="I114" s="21">
        <f t="shared" si="25"/>
        <v>2.6749000000000001</v>
      </c>
      <c r="J114" s="20">
        <v>1.71</v>
      </c>
      <c r="K114" s="20">
        <v>0.55347598119431707</v>
      </c>
      <c r="L114" s="20">
        <v>0.49497255298699949</v>
      </c>
      <c r="M114" s="20">
        <v>547496.31999999995</v>
      </c>
      <c r="N114" s="20">
        <v>596414.56000000006</v>
      </c>
      <c r="O114" s="20">
        <v>1.0640000000000001</v>
      </c>
      <c r="Q114" s="19">
        <v>105.21100300000001</v>
      </c>
      <c r="R114" s="19">
        <v>-14.567418</v>
      </c>
      <c r="S114" s="19">
        <v>160</v>
      </c>
      <c r="T114" s="19">
        <v>120.282189</v>
      </c>
      <c r="U114" s="19">
        <v>137.475031</v>
      </c>
      <c r="V114" s="19">
        <v>107.559866</v>
      </c>
      <c r="W114" s="19">
        <v>27.957547000000002</v>
      </c>
      <c r="Y114" t="str">
        <f t="shared" si="26"/>
        <v>SW_FT_High_Diesel_CCS_53_Herb</v>
      </c>
      <c r="Z114" t="str">
        <f t="shared" si="27"/>
        <v>Biomass_Herb</v>
      </c>
      <c r="AA114" s="18">
        <f t="shared" si="28"/>
        <v>111.58216427907955</v>
      </c>
      <c r="AB114" s="18">
        <f t="shared" si="29"/>
        <v>111.58216427907955</v>
      </c>
      <c r="AC114" s="5">
        <f t="shared" si="30"/>
        <v>0</v>
      </c>
      <c r="AD114" s="1">
        <f t="shared" si="31"/>
        <v>0</v>
      </c>
      <c r="AE114" s="1">
        <f t="shared" si="32"/>
        <v>30.731457416763245</v>
      </c>
      <c r="AF114" s="1">
        <f t="array" ref="AF114">_xlfn.IFS(C114="Biomass_Corn", 1/I114*S114, C114="Biomass_Agri", 1/I114*V114, C114="Biomass_Wood", 1/I114*U114, C114="Biomass_Herb", 1/I114*T114)</f>
        <v>44.966985307861975</v>
      </c>
      <c r="AG114" s="1">
        <f t="shared" si="33"/>
        <v>25.961336003703479</v>
      </c>
      <c r="AH114" s="1">
        <f t="shared" si="34"/>
        <v>28.280955001964163</v>
      </c>
      <c r="AI114" s="1">
        <f t="shared" si="35"/>
        <v>0.3977718793225915</v>
      </c>
      <c r="AJ114" s="1">
        <f t="shared" si="36"/>
        <v>-8.1380345371713345E-6</v>
      </c>
      <c r="AK114" s="1">
        <f t="shared" si="37"/>
        <v>-18.755485119759797</v>
      </c>
      <c r="AL114">
        <f t="shared" si="38"/>
        <v>-8.5621077610443695E-4</v>
      </c>
      <c r="AM114" s="1">
        <f t="shared" si="39"/>
        <v>-0.20692278201910372</v>
      </c>
      <c r="AN114" s="1">
        <f t="shared" si="40"/>
        <v>3.0142121092443666</v>
      </c>
      <c r="AO114">
        <f t="shared" si="41"/>
        <v>-21.770553439780269</v>
      </c>
      <c r="AQ114" s="17">
        <f t="shared" si="42"/>
        <v>1.71</v>
      </c>
      <c r="AR114" s="8">
        <v>0.243968185</v>
      </c>
      <c r="AS114" s="8">
        <v>0.24942761299999999</v>
      </c>
      <c r="AT114" s="9">
        <v>0.24635668499999999</v>
      </c>
      <c r="AU114" s="17">
        <v>0.23037490999999999</v>
      </c>
      <c r="AW114" s="9">
        <f t="shared" si="43"/>
        <v>1.71</v>
      </c>
      <c r="AY114" s="9">
        <f t="shared" si="44"/>
        <v>0.16021390708949998</v>
      </c>
      <c r="AZ114" s="9">
        <f t="shared" si="45"/>
        <v>0.33453231455559995</v>
      </c>
      <c r="BA114" s="9">
        <f t="shared" si="46"/>
        <v>0.16678347574499999</v>
      </c>
      <c r="BB114" s="9">
        <f t="shared" si="47"/>
        <v>0.49497255298699949</v>
      </c>
      <c r="BC114" s="9">
        <f t="shared" si="48"/>
        <v>0.55347598119431707</v>
      </c>
      <c r="BE114" s="1">
        <f t="shared" si="49"/>
        <v>2.1768428583479604E-5</v>
      </c>
    </row>
    <row r="115" spans="2:57" x14ac:dyDescent="0.2">
      <c r="B115" s="12" t="s">
        <v>170</v>
      </c>
      <c r="C115" s="20" t="s">
        <v>57</v>
      </c>
      <c r="D115" s="20">
        <v>0</v>
      </c>
      <c r="E115" s="20">
        <v>2.9403000000000001</v>
      </c>
      <c r="F115" s="20">
        <v>0.65820000000000001</v>
      </c>
      <c r="G115" s="20">
        <v>0.67849999999999999</v>
      </c>
      <c r="H115" s="20">
        <v>1.3442000000000001</v>
      </c>
      <c r="I115" s="21">
        <f t="shared" si="25"/>
        <v>2.6809000000000003</v>
      </c>
      <c r="J115" s="20">
        <v>1.714</v>
      </c>
      <c r="K115" s="20">
        <v>0.55481622168287414</v>
      </c>
      <c r="L115" s="20">
        <v>0.49617112759326548</v>
      </c>
      <c r="M115" s="20">
        <v>547496.31999999995</v>
      </c>
      <c r="N115" s="20">
        <v>596414.56000000006</v>
      </c>
      <c r="O115" s="20">
        <v>1.0640000000000001</v>
      </c>
      <c r="Q115" s="19">
        <v>105.21100300000001</v>
      </c>
      <c r="R115" s="19">
        <v>-19.477884</v>
      </c>
      <c r="S115" s="19">
        <v>160</v>
      </c>
      <c r="T115" s="19">
        <v>132.95547999999999</v>
      </c>
      <c r="U115" s="19">
        <v>152.57709199999999</v>
      </c>
      <c r="V115" s="19">
        <v>106.67488899999999</v>
      </c>
      <c r="W115" s="19">
        <v>20.174973000000001</v>
      </c>
      <c r="Y115" t="str">
        <f t="shared" si="26"/>
        <v>TX_FT_High_Diesel_CCS_53_Herb</v>
      </c>
      <c r="Z115" t="str">
        <f t="shared" si="27"/>
        <v>Biomass_Herb</v>
      </c>
      <c r="AA115" s="18">
        <f t="shared" si="28"/>
        <v>108.49588500269191</v>
      </c>
      <c r="AB115" s="18">
        <f t="shared" si="29"/>
        <v>108.49588500269191</v>
      </c>
      <c r="AC115" s="5">
        <f t="shared" si="30"/>
        <v>0</v>
      </c>
      <c r="AD115" s="1">
        <f t="shared" si="31"/>
        <v>0</v>
      </c>
      <c r="AE115" s="1">
        <f t="shared" si="32"/>
        <v>22.127074158640756</v>
      </c>
      <c r="AF115" s="1">
        <f t="array" ref="AF115">_xlfn.IFS(C115="Biomass_Corn", 1/I115*S115, C115="Biomass_Agri", 1/I115*V115, C115="Biomass_Wood", 1/I115*U115, C115="Biomass_Herb", 1/I115*T115)</f>
        <v>49.59359916445969</v>
      </c>
      <c r="AG115" s="1">
        <f t="shared" si="33"/>
        <v>25.903233121827157</v>
      </c>
      <c r="AH115" s="1">
        <f t="shared" si="34"/>
        <v>28.217660686617901</v>
      </c>
      <c r="AI115" s="1">
        <f t="shared" si="35"/>
        <v>0.39688164422395461</v>
      </c>
      <c r="AJ115" s="1">
        <f t="shared" si="36"/>
        <v>3.0467762314512878E-7</v>
      </c>
      <c r="AK115" s="1">
        <f t="shared" si="37"/>
        <v>-17.742595828515881</v>
      </c>
      <c r="AL115">
        <f t="shared" si="38"/>
        <v>3.2055438322755015E-5</v>
      </c>
      <c r="AM115" s="1">
        <f t="shared" si="39"/>
        <v>-0.20695117493104342</v>
      </c>
      <c r="AN115" s="1">
        <f t="shared" si="40"/>
        <v>4.0309769134459721</v>
      </c>
      <c r="AO115">
        <f t="shared" si="41"/>
        <v>-21.773540686523535</v>
      </c>
      <c r="AQ115" s="17">
        <f t="shared" si="42"/>
        <v>1.714</v>
      </c>
      <c r="AR115" s="8">
        <v>0.243968185</v>
      </c>
      <c r="AS115" s="8">
        <v>0.24942761299999999</v>
      </c>
      <c r="AT115" s="9">
        <v>0.24635668499999999</v>
      </c>
      <c r="AU115" s="17">
        <v>0.23037490999999999</v>
      </c>
      <c r="AW115" s="9">
        <f t="shared" si="43"/>
        <v>1.714</v>
      </c>
      <c r="AY115" s="9">
        <f t="shared" si="44"/>
        <v>0.16057985936700001</v>
      </c>
      <c r="AZ115" s="9">
        <f t="shared" si="45"/>
        <v>0.33528059739460003</v>
      </c>
      <c r="BA115" s="9">
        <f t="shared" si="46"/>
        <v>0.1671530107725</v>
      </c>
      <c r="BB115" s="9">
        <f t="shared" si="47"/>
        <v>0.49617112759326548</v>
      </c>
      <c r="BC115" s="9">
        <f t="shared" si="48"/>
        <v>0.55481622168287414</v>
      </c>
      <c r="BE115" s="1">
        <f t="shared" si="49"/>
        <v>-8.1681023988977586E-7</v>
      </c>
    </row>
    <row r="116" spans="2:57" x14ac:dyDescent="0.2">
      <c r="B116" s="12" t="s">
        <v>171</v>
      </c>
      <c r="C116" s="20" t="s">
        <v>57</v>
      </c>
      <c r="D116" s="20">
        <v>0</v>
      </c>
      <c r="E116" s="20">
        <v>2.9403000000000001</v>
      </c>
      <c r="F116" s="20">
        <v>0.66500000000000004</v>
      </c>
      <c r="G116" s="20">
        <v>0.68559999999999999</v>
      </c>
      <c r="H116" s="20">
        <v>1.3583000000000001</v>
      </c>
      <c r="I116" s="21">
        <f t="shared" si="25"/>
        <v>2.7088999999999999</v>
      </c>
      <c r="J116" s="20">
        <v>1.74</v>
      </c>
      <c r="K116" s="20">
        <v>0.56487766400352157</v>
      </c>
      <c r="L116" s="20">
        <v>0.50516905697302983</v>
      </c>
      <c r="M116" s="20">
        <v>547496.31999999995</v>
      </c>
      <c r="N116" s="20">
        <v>596414.56000000006</v>
      </c>
      <c r="O116" s="20">
        <v>1.0640000000000001</v>
      </c>
      <c r="Q116" s="19">
        <v>105.21100300000001</v>
      </c>
      <c r="R116" s="19">
        <v>-39.686463000000003</v>
      </c>
      <c r="S116" s="19">
        <v>160</v>
      </c>
      <c r="T116" s="19">
        <v>100.757654</v>
      </c>
      <c r="U116" s="19">
        <v>111.990773</v>
      </c>
      <c r="V116" s="19">
        <v>89.243781999999996</v>
      </c>
      <c r="W116" s="19">
        <v>30.713950000000001</v>
      </c>
      <c r="Y116" t="str">
        <f t="shared" si="26"/>
        <v>NCEN_FT_High_Diesel_CCS_53_Herb</v>
      </c>
      <c r="Z116" t="str">
        <f t="shared" si="27"/>
        <v>Biomass_Herb</v>
      </c>
      <c r="AA116" s="18">
        <f t="shared" si="28"/>
        <v>110.82272610938095</v>
      </c>
      <c r="AB116" s="18">
        <f t="shared" si="29"/>
        <v>110.82272610938094</v>
      </c>
      <c r="AC116" s="5">
        <f t="shared" si="30"/>
        <v>0</v>
      </c>
      <c r="AD116" s="1">
        <f t="shared" si="31"/>
        <v>0</v>
      </c>
      <c r="AE116" s="1">
        <f t="shared" si="32"/>
        <v>33.337600939495736</v>
      </c>
      <c r="AF116" s="1">
        <f t="array" ref="AF116">_xlfn.IFS(C116="Biomass_Corn", 1/I116*S116, C116="Biomass_Agri", 1/I116*V116, C116="Biomass_Wood", 1/I116*U116, C116="Biomass_Herb", 1/I116*T116)</f>
        <v>37.195043744693422</v>
      </c>
      <c r="AG116" s="1">
        <f t="shared" si="33"/>
        <v>25.635489562666191</v>
      </c>
      <c r="AH116" s="1">
        <f t="shared" si="34"/>
        <v>27.925994512441928</v>
      </c>
      <c r="AI116" s="1">
        <f t="shared" si="35"/>
        <v>0.39277935693454913</v>
      </c>
      <c r="AJ116" s="1">
        <f t="shared" si="36"/>
        <v>-5.4509301002769723E-6</v>
      </c>
      <c r="AK116" s="1">
        <f t="shared" si="37"/>
        <v>-13.663608509027764</v>
      </c>
      <c r="AL116">
        <f t="shared" si="38"/>
        <v>-5.7349782313303088E-4</v>
      </c>
      <c r="AM116" s="1">
        <f t="shared" si="39"/>
        <v>-0.20853203515377838</v>
      </c>
      <c r="AN116" s="1">
        <f t="shared" si="40"/>
        <v>8.2756825693093852</v>
      </c>
      <c r="AO116">
        <f t="shared" si="41"/>
        <v>-21.939864576160286</v>
      </c>
      <c r="AQ116" s="17">
        <f t="shared" si="42"/>
        <v>1.74</v>
      </c>
      <c r="AR116" s="8">
        <v>0.243968185</v>
      </c>
      <c r="AS116" s="8">
        <v>0.24942761299999999</v>
      </c>
      <c r="AT116" s="9">
        <v>0.24635668499999999</v>
      </c>
      <c r="AU116" s="17">
        <v>0.23037490999999999</v>
      </c>
      <c r="AW116" s="9">
        <f t="shared" si="43"/>
        <v>1.74</v>
      </c>
      <c r="AY116" s="9">
        <f t="shared" si="44"/>
        <v>0.16223884302500002</v>
      </c>
      <c r="AZ116" s="9">
        <f t="shared" si="45"/>
        <v>0.33879752673789998</v>
      </c>
      <c r="BA116" s="9">
        <f t="shared" si="46"/>
        <v>0.168902143236</v>
      </c>
      <c r="BB116" s="9">
        <f t="shared" si="47"/>
        <v>0.50516905697302983</v>
      </c>
      <c r="BC116" s="9">
        <f t="shared" si="48"/>
        <v>0.56487766400352157</v>
      </c>
      <c r="BE116" s="1">
        <f t="shared" si="49"/>
        <v>1.4766024548640289E-5</v>
      </c>
    </row>
    <row r="117" spans="2:57" x14ac:dyDescent="0.2">
      <c r="B117" s="12" t="s">
        <v>172</v>
      </c>
      <c r="C117" s="20" t="s">
        <v>57</v>
      </c>
      <c r="D117" s="20">
        <v>0</v>
      </c>
      <c r="E117" s="20">
        <v>2.9403000000000001</v>
      </c>
      <c r="F117" s="20">
        <v>0.66110000000000002</v>
      </c>
      <c r="G117" s="20">
        <v>0.68149999999999999</v>
      </c>
      <c r="H117" s="20">
        <v>1.3501000000000001</v>
      </c>
      <c r="I117" s="21">
        <f t="shared" si="25"/>
        <v>2.6927000000000003</v>
      </c>
      <c r="J117" s="20">
        <v>1.7230000000000001</v>
      </c>
      <c r="K117" s="20">
        <v>0.55802460265998899</v>
      </c>
      <c r="L117" s="20">
        <v>0.49904037680579799</v>
      </c>
      <c r="M117" s="20">
        <v>547496.31999999995</v>
      </c>
      <c r="N117" s="20">
        <v>596414.56000000006</v>
      </c>
      <c r="O117" s="20">
        <v>1.0640000000000001</v>
      </c>
      <c r="Q117" s="19">
        <v>105.21100300000001</v>
      </c>
      <c r="R117" s="19">
        <v>-29.672038000000001</v>
      </c>
      <c r="S117" s="19">
        <v>160</v>
      </c>
      <c r="T117" s="19">
        <v>107.027154</v>
      </c>
      <c r="U117" s="19">
        <v>122.865223</v>
      </c>
      <c r="V117" s="19">
        <v>94.404420999999999</v>
      </c>
      <c r="W117" s="19">
        <v>25.118154000000001</v>
      </c>
      <c r="Y117" t="str">
        <f t="shared" si="26"/>
        <v>CEN_FT_High_Diesel_CCS_53_Herb</v>
      </c>
      <c r="Z117" t="str">
        <f t="shared" si="27"/>
        <v>Biomass_Herb</v>
      </c>
      <c r="AA117" s="18">
        <f t="shared" si="28"/>
        <v>105.79931399331305</v>
      </c>
      <c r="AB117" s="18">
        <f t="shared" si="29"/>
        <v>105.79931399331304</v>
      </c>
      <c r="AC117" s="5">
        <f t="shared" si="30"/>
        <v>0</v>
      </c>
      <c r="AD117" s="1">
        <f t="shared" si="31"/>
        <v>0</v>
      </c>
      <c r="AE117" s="1">
        <f t="shared" si="32"/>
        <v>27.427826421881377</v>
      </c>
      <c r="AF117" s="1">
        <f t="array" ref="AF117">_xlfn.IFS(C117="Biomass_Corn", 1/I117*S117, C117="Biomass_Agri", 1/I117*V117, C117="Biomass_Wood", 1/I117*U117, C117="Biomass_Herb", 1/I117*T117)</f>
        <v>39.747151186541387</v>
      </c>
      <c r="AG117" s="1">
        <f t="shared" si="33"/>
        <v>25.789719492073541</v>
      </c>
      <c r="AH117" s="1">
        <f t="shared" si="34"/>
        <v>28.094004729362325</v>
      </c>
      <c r="AI117" s="1">
        <f t="shared" si="35"/>
        <v>0.39514242210420764</v>
      </c>
      <c r="AJ117" s="1">
        <f t="shared" si="36"/>
        <v>-1.244955588506823E-6</v>
      </c>
      <c r="AK117" s="1">
        <f t="shared" si="37"/>
        <v>-15.654399275623653</v>
      </c>
      <c r="AL117">
        <f t="shared" si="38"/>
        <v>-1.3098302615725812E-4</v>
      </c>
      <c r="AM117" s="1">
        <f t="shared" si="39"/>
        <v>-0.20723732868566941</v>
      </c>
      <c r="AN117" s="1">
        <f t="shared" si="40"/>
        <v>6.1491169514101429</v>
      </c>
      <c r="AO117">
        <f t="shared" si="41"/>
        <v>-21.80364721005995</v>
      </c>
      <c r="AQ117" s="17">
        <f t="shared" si="42"/>
        <v>1.7230000000000001</v>
      </c>
      <c r="AR117" s="8">
        <v>0.243968185</v>
      </c>
      <c r="AS117" s="8">
        <v>0.24942761299999999</v>
      </c>
      <c r="AT117" s="9">
        <v>0.24635668499999999</v>
      </c>
      <c r="AU117" s="17">
        <v>0.23037490999999999</v>
      </c>
      <c r="AW117" s="9">
        <f t="shared" si="43"/>
        <v>1.7230000000000001</v>
      </c>
      <c r="AY117" s="9">
        <f t="shared" si="44"/>
        <v>0.1612873671035</v>
      </c>
      <c r="AZ117" s="9">
        <f t="shared" si="45"/>
        <v>0.33675222031130003</v>
      </c>
      <c r="BA117" s="9">
        <f t="shared" si="46"/>
        <v>0.16789208082749998</v>
      </c>
      <c r="BB117" s="9">
        <f t="shared" si="47"/>
        <v>0.49904037680579799</v>
      </c>
      <c r="BC117" s="9">
        <f t="shared" si="48"/>
        <v>0.55802460265998899</v>
      </c>
      <c r="BE117" s="1">
        <f t="shared" si="49"/>
        <v>3.3522919131723228E-6</v>
      </c>
    </row>
    <row r="118" spans="2:57" x14ac:dyDescent="0.2">
      <c r="B118" s="12" t="s">
        <v>173</v>
      </c>
      <c r="C118" s="20" t="s">
        <v>57</v>
      </c>
      <c r="D118" s="20">
        <v>0</v>
      </c>
      <c r="E118" s="20">
        <v>2.9403000000000001</v>
      </c>
      <c r="F118" s="20">
        <v>0.66</v>
      </c>
      <c r="G118" s="20">
        <v>0.6804</v>
      </c>
      <c r="H118" s="20">
        <v>1.3479000000000001</v>
      </c>
      <c r="I118" s="21">
        <f t="shared" si="25"/>
        <v>2.6882999999999999</v>
      </c>
      <c r="J118" s="20">
        <v>1.7170000000000001</v>
      </c>
      <c r="K118" s="20">
        <v>0.55543572229357108</v>
      </c>
      <c r="L118" s="20">
        <v>0.49672514585109839</v>
      </c>
      <c r="M118" s="20">
        <v>547496.31999999995</v>
      </c>
      <c r="N118" s="20">
        <v>596414.56000000006</v>
      </c>
      <c r="O118" s="20">
        <v>1.0640000000000001</v>
      </c>
      <c r="Q118" s="19">
        <v>105.21100300000001</v>
      </c>
      <c r="R118" s="19">
        <v>-45.510345000000001</v>
      </c>
      <c r="S118" s="19">
        <v>160</v>
      </c>
      <c r="T118" s="19">
        <v>97.593261999999996</v>
      </c>
      <c r="U118" s="19">
        <v>109.791234</v>
      </c>
      <c r="V118" s="19">
        <v>86.911507</v>
      </c>
      <c r="W118" s="19">
        <v>38.099075999999997</v>
      </c>
      <c r="Y118" t="str">
        <f t="shared" si="26"/>
        <v>SE_FT_High_Diesel_CCS_53_Herb</v>
      </c>
      <c r="Z118" t="str">
        <f t="shared" si="27"/>
        <v>Biomass_Herb</v>
      </c>
      <c r="AA118" s="18">
        <f t="shared" si="28"/>
        <v>120.00642347664446</v>
      </c>
      <c r="AB118" s="18">
        <f t="shared" si="29"/>
        <v>120.00642347664444</v>
      </c>
      <c r="AC118" s="5">
        <f t="shared" si="30"/>
        <v>0</v>
      </c>
      <c r="AD118" s="1">
        <f t="shared" si="31"/>
        <v>0</v>
      </c>
      <c r="AE118" s="1">
        <f t="shared" si="32"/>
        <v>41.670465782390352</v>
      </c>
      <c r="AF118" s="1">
        <f t="array" ref="AF118">_xlfn.IFS(C118="Biomass_Corn", 1/I118*S118, C118="Biomass_Agri", 1/I118*V118, C118="Biomass_Wood", 1/I118*U118, C118="Biomass_Herb", 1/I118*T118)</f>
        <v>36.302965442844915</v>
      </c>
      <c r="AG118" s="1">
        <f t="shared" si="33"/>
        <v>25.831930095713439</v>
      </c>
      <c r="AH118" s="1">
        <f t="shared" si="34"/>
        <v>28.139986807556426</v>
      </c>
      <c r="AI118" s="1">
        <f t="shared" si="35"/>
        <v>0.39578916043596329</v>
      </c>
      <c r="AJ118" s="1">
        <f t="shared" si="36"/>
        <v>1.6509620835889729E-6</v>
      </c>
      <c r="AK118" s="1">
        <f t="shared" si="37"/>
        <v>-12.334887511673349</v>
      </c>
      <c r="AL118">
        <f t="shared" si="38"/>
        <v>1.7369937672936567E-4</v>
      </c>
      <c r="AM118" s="1">
        <f t="shared" si="39"/>
        <v>-0.20661060298783684</v>
      </c>
      <c r="AN118" s="1">
        <f t="shared" si="40"/>
        <v>9.4029949584884918</v>
      </c>
      <c r="AO118">
        <f t="shared" si="41"/>
        <v>-21.737708770785112</v>
      </c>
      <c r="AQ118" s="17">
        <f t="shared" si="42"/>
        <v>1.7170000000000001</v>
      </c>
      <c r="AR118" s="8">
        <v>0.243968185</v>
      </c>
      <c r="AS118" s="8">
        <v>0.24942761299999999</v>
      </c>
      <c r="AT118" s="9">
        <v>0.24635668499999999</v>
      </c>
      <c r="AU118" s="17">
        <v>0.23037490999999999</v>
      </c>
      <c r="AW118" s="9">
        <f t="shared" si="43"/>
        <v>1.7170000000000001</v>
      </c>
      <c r="AY118" s="9">
        <f t="shared" si="44"/>
        <v>0.1610190021</v>
      </c>
      <c r="AZ118" s="9">
        <f t="shared" si="45"/>
        <v>0.33620347956270002</v>
      </c>
      <c r="BA118" s="9">
        <f t="shared" si="46"/>
        <v>0.16762108847400001</v>
      </c>
      <c r="BB118" s="9">
        <f t="shared" si="47"/>
        <v>0.49672514585109839</v>
      </c>
      <c r="BC118" s="9">
        <f t="shared" si="48"/>
        <v>0.55543572229357108</v>
      </c>
      <c r="BE118" s="1">
        <f t="shared" si="49"/>
        <v>-4.4382813693122358E-6</v>
      </c>
    </row>
    <row r="119" spans="2:57" x14ac:dyDescent="0.2">
      <c r="B119" s="12" t="s">
        <v>174</v>
      </c>
      <c r="C119" s="20" t="s">
        <v>57</v>
      </c>
      <c r="D119" s="20">
        <v>0</v>
      </c>
      <c r="E119" s="20">
        <v>2.9403000000000001</v>
      </c>
      <c r="F119" s="20">
        <v>0.66359999999999997</v>
      </c>
      <c r="G119" s="20">
        <v>0.68410000000000004</v>
      </c>
      <c r="H119" s="20">
        <v>1.3552999999999999</v>
      </c>
      <c r="I119" s="21">
        <f t="shared" si="25"/>
        <v>2.7030000000000003</v>
      </c>
      <c r="J119" s="20">
        <v>1.736</v>
      </c>
      <c r="K119" s="20">
        <v>0.56353742351496416</v>
      </c>
      <c r="L119" s="20">
        <v>0.50397048236676367</v>
      </c>
      <c r="M119" s="20">
        <v>547496.31999999995</v>
      </c>
      <c r="N119" s="20">
        <v>596414.56000000006</v>
      </c>
      <c r="O119" s="20">
        <v>1.0640000000000001</v>
      </c>
      <c r="Q119" s="19">
        <v>105.21100300000001</v>
      </c>
      <c r="R119" s="19">
        <v>-50.334515000000003</v>
      </c>
      <c r="S119" s="19">
        <v>160</v>
      </c>
      <c r="T119" s="19">
        <v>98.707491000000005</v>
      </c>
      <c r="U119" s="19">
        <v>106.53195700000001</v>
      </c>
      <c r="V119" s="19">
        <v>87.469328000000004</v>
      </c>
      <c r="W119" s="19">
        <v>39.29871</v>
      </c>
      <c r="Y119" t="str">
        <f t="shared" si="26"/>
        <v>MIDAT_FT_High_Diesel_CCS_53_Herb</v>
      </c>
      <c r="Z119" t="str">
        <f t="shared" si="27"/>
        <v>Biomass_Herb</v>
      </c>
      <c r="AA119" s="18">
        <f t="shared" si="28"/>
        <v>121.89710492595346</v>
      </c>
      <c r="AB119" s="18">
        <f t="shared" si="29"/>
        <v>121.89710492595346</v>
      </c>
      <c r="AC119" s="5">
        <f t="shared" si="30"/>
        <v>0</v>
      </c>
      <c r="AD119" s="1">
        <f t="shared" si="31"/>
        <v>0</v>
      </c>
      <c r="AE119" s="1">
        <f t="shared" si="32"/>
        <v>42.748796527192006</v>
      </c>
      <c r="AF119" s="1">
        <f t="array" ref="AF119">_xlfn.IFS(C119="Biomass_Corn", 1/I119*S119, C119="Biomass_Agri", 1/I119*V119, C119="Biomass_Wood", 1/I119*U119, C119="Biomass_Herb", 1/I119*T119)</f>
        <v>36.517754716981131</v>
      </c>
      <c r="AG119" s="1">
        <f t="shared" si="33"/>
        <v>25.691445681208446</v>
      </c>
      <c r="AH119" s="1">
        <f t="shared" si="34"/>
        <v>27.986950253331088</v>
      </c>
      <c r="AI119" s="1">
        <f t="shared" si="35"/>
        <v>0.39363669996300404</v>
      </c>
      <c r="AJ119" s="1">
        <f t="shared" si="36"/>
        <v>-4.7926174147793503E-6</v>
      </c>
      <c r="AK119" s="1">
        <f t="shared" si="37"/>
        <v>-11.440974716637013</v>
      </c>
      <c r="AL119">
        <f t="shared" si="38"/>
        <v>-5.0423608520420245E-4</v>
      </c>
      <c r="AM119" s="1">
        <f t="shared" si="39"/>
        <v>-0.20849070586749399</v>
      </c>
      <c r="AN119" s="1">
        <f t="shared" si="40"/>
        <v>10.49403732777481</v>
      </c>
      <c r="AO119">
        <f t="shared" si="41"/>
        <v>-21.93551628049703</v>
      </c>
      <c r="AQ119" s="17">
        <f t="shared" si="42"/>
        <v>1.736</v>
      </c>
      <c r="AR119" s="8">
        <v>0.243968185</v>
      </c>
      <c r="AS119" s="8">
        <v>0.24942761299999999</v>
      </c>
      <c r="AT119" s="9">
        <v>0.24635668499999999</v>
      </c>
      <c r="AU119" s="17">
        <v>0.23037490999999999</v>
      </c>
      <c r="AW119" s="9">
        <f t="shared" si="43"/>
        <v>1.736</v>
      </c>
      <c r="AY119" s="9">
        <f t="shared" si="44"/>
        <v>0.161897287566</v>
      </c>
      <c r="AZ119" s="9">
        <f t="shared" si="45"/>
        <v>0.33804924389889995</v>
      </c>
      <c r="BA119" s="9">
        <f t="shared" si="46"/>
        <v>0.1685326082085</v>
      </c>
      <c r="BB119" s="9">
        <f t="shared" si="47"/>
        <v>0.50397048236676367</v>
      </c>
      <c r="BC119" s="9">
        <f t="shared" si="48"/>
        <v>0.56353742351496416</v>
      </c>
      <c r="BE119" s="1">
        <f t="shared" si="49"/>
        <v>1.2954444872148585E-5</v>
      </c>
    </row>
    <row r="120" spans="2:57" x14ac:dyDescent="0.2">
      <c r="B120" s="12" t="s">
        <v>175</v>
      </c>
      <c r="C120" s="20" t="s">
        <v>57</v>
      </c>
      <c r="D120" s="20">
        <v>0</v>
      </c>
      <c r="E120" s="20">
        <v>2.9403000000000001</v>
      </c>
      <c r="F120" s="20">
        <v>0.66610000000000003</v>
      </c>
      <c r="G120" s="20">
        <v>0.68679999999999997</v>
      </c>
      <c r="H120" s="20">
        <v>1.3605</v>
      </c>
      <c r="I120" s="21">
        <f t="shared" si="25"/>
        <v>2.7134</v>
      </c>
      <c r="J120" s="20">
        <v>1.7450000000000001</v>
      </c>
      <c r="K120" s="20">
        <v>0.56693864436993946</v>
      </c>
      <c r="L120" s="20">
        <v>0.50701218792772951</v>
      </c>
      <c r="M120" s="20">
        <v>547496.31999999995</v>
      </c>
      <c r="N120" s="20">
        <v>596414.56000000006</v>
      </c>
      <c r="O120" s="20">
        <v>1.0640000000000001</v>
      </c>
      <c r="Q120" s="19">
        <v>105.21100300000001</v>
      </c>
      <c r="R120" s="19">
        <v>-58.833413</v>
      </c>
      <c r="S120" s="19">
        <v>160</v>
      </c>
      <c r="T120" s="19">
        <v>99.493746999999999</v>
      </c>
      <c r="U120" s="19">
        <v>105.21395800000001</v>
      </c>
      <c r="V120" s="19">
        <v>89.700445000000002</v>
      </c>
      <c r="W120" s="19">
        <v>47.365060999999997</v>
      </c>
      <c r="Y120" t="str">
        <f t="shared" si="26"/>
        <v>NE_FT_High_Diesel_CCS_53_Herb</v>
      </c>
      <c r="Z120" t="str">
        <f t="shared" si="27"/>
        <v>Biomass_Herb</v>
      </c>
      <c r="AA120" s="18">
        <f t="shared" si="28"/>
        <v>132.16809567580376</v>
      </c>
      <c r="AB120" s="18">
        <f t="shared" si="29"/>
        <v>132.16809567580376</v>
      </c>
      <c r="AC120" s="5">
        <f t="shared" si="30"/>
        <v>0</v>
      </c>
      <c r="AD120" s="1">
        <f t="shared" si="31"/>
        <v>0</v>
      </c>
      <c r="AE120" s="1">
        <f t="shared" si="32"/>
        <v>51.325823269072011</v>
      </c>
      <c r="AF120" s="1">
        <f t="array" ref="AF120">_xlfn.IFS(C120="Biomass_Corn", 1/I120*S120, C120="Biomass_Agri", 1/I120*V120, C120="Biomass_Wood", 1/I120*U120, C120="Biomass_Herb", 1/I120*T120)</f>
        <v>36.667556202550308</v>
      </c>
      <c r="AG120" s="1">
        <f t="shared" si="33"/>
        <v>25.59297474618797</v>
      </c>
      <c r="AH120" s="1">
        <f t="shared" si="34"/>
        <v>27.879681040301445</v>
      </c>
      <c r="AI120" s="1">
        <f t="shared" si="35"/>
        <v>0.39212795754404073</v>
      </c>
      <c r="AJ120" s="1">
        <f t="shared" si="36"/>
        <v>7.6622343515841714E-7</v>
      </c>
      <c r="AK120" s="1">
        <f t="shared" si="37"/>
        <v>-9.6901481549881563</v>
      </c>
      <c r="AL120">
        <f t="shared" si="38"/>
        <v>8.061513613512253E-5</v>
      </c>
      <c r="AM120" s="1">
        <f t="shared" si="39"/>
        <v>-0.20893954643593668</v>
      </c>
      <c r="AN120" s="1">
        <f t="shared" si="40"/>
        <v>12.292671707037949</v>
      </c>
      <c r="AO120">
        <f t="shared" si="41"/>
        <v>-21.982739246889974</v>
      </c>
      <c r="AQ120" s="17">
        <f t="shared" si="42"/>
        <v>1.7450000000000001</v>
      </c>
      <c r="AR120" s="8">
        <v>0.243968185</v>
      </c>
      <c r="AS120" s="8">
        <v>0.24942761299999999</v>
      </c>
      <c r="AT120" s="9">
        <v>0.24635668499999999</v>
      </c>
      <c r="AU120" s="17">
        <v>0.23037490999999999</v>
      </c>
      <c r="AW120" s="9">
        <f t="shared" si="43"/>
        <v>1.7450000000000001</v>
      </c>
      <c r="AY120" s="9">
        <f t="shared" si="44"/>
        <v>0.16250720802850002</v>
      </c>
      <c r="AZ120" s="9">
        <f t="shared" si="45"/>
        <v>0.33934626748649999</v>
      </c>
      <c r="BA120" s="9">
        <f t="shared" si="46"/>
        <v>0.16919777125799998</v>
      </c>
      <c r="BB120" s="9">
        <f t="shared" si="47"/>
        <v>0.50701218792772951</v>
      </c>
      <c r="BC120" s="9">
        <f t="shared" si="48"/>
        <v>0.56693864436993946</v>
      </c>
      <c r="BE120" s="1">
        <f t="shared" si="49"/>
        <v>-2.079070668958849E-6</v>
      </c>
    </row>
    <row r="121" spans="2:57" x14ac:dyDescent="0.2">
      <c r="B121" s="12" t="s">
        <v>176</v>
      </c>
      <c r="C121" s="20" t="s">
        <v>67</v>
      </c>
      <c r="D121" s="20">
        <v>0</v>
      </c>
      <c r="E121" s="20">
        <v>2.9403000000000001</v>
      </c>
      <c r="F121" s="20">
        <v>0.70199999999999996</v>
      </c>
      <c r="G121" s="20">
        <v>0.7238</v>
      </c>
      <c r="H121" s="20">
        <v>1.4338</v>
      </c>
      <c r="I121" s="21">
        <f t="shared" si="25"/>
        <v>2.8595999999999999</v>
      </c>
      <c r="J121" s="20">
        <v>1.843</v>
      </c>
      <c r="K121" s="20">
        <v>0.59958169646173265</v>
      </c>
      <c r="L121" s="20">
        <v>0.53620480943281668</v>
      </c>
      <c r="M121" s="20">
        <v>547496.31999999995</v>
      </c>
      <c r="N121" s="20">
        <v>596414.56000000006</v>
      </c>
      <c r="O121" s="20">
        <v>1.0640000000000001</v>
      </c>
      <c r="Q121" s="19">
        <v>105.21100300000001</v>
      </c>
      <c r="R121" s="19">
        <v>-6.4122130000000004</v>
      </c>
      <c r="S121" s="19">
        <v>160</v>
      </c>
      <c r="T121" s="19">
        <v>313632.96735400002</v>
      </c>
      <c r="U121" s="19">
        <v>154.036981</v>
      </c>
      <c r="V121" s="19">
        <v>132.85973799999999</v>
      </c>
      <c r="W121" s="19">
        <v>36.488697999999999</v>
      </c>
      <c r="Y121" t="str">
        <f t="shared" si="26"/>
        <v>CA_FT_High_Diesel_CCS_53_Wood</v>
      </c>
      <c r="Z121" t="str">
        <f t="shared" si="27"/>
        <v>Biomass_Wood</v>
      </c>
      <c r="AA121" s="18">
        <f t="shared" si="28"/>
        <v>121.78027489906107</v>
      </c>
      <c r="AB121" s="18">
        <f t="shared" si="29"/>
        <v>121.78027489906108</v>
      </c>
      <c r="AC121" s="5">
        <f t="shared" si="30"/>
        <v>0</v>
      </c>
      <c r="AD121" s="1">
        <f t="shared" si="31"/>
        <v>0</v>
      </c>
      <c r="AE121" s="1">
        <f t="shared" si="32"/>
        <v>37.518435700587496</v>
      </c>
      <c r="AF121" s="1">
        <f t="array" ref="AF121">_xlfn.IFS(C121="Biomass_Corn", 1/I121*S121, C121="Biomass_Agri", 1/I121*V121, C121="Biomass_Wood", 1/I121*U121, C121="Biomass_Herb", 1/I121*T121)</f>
        <v>53.866618058469712</v>
      </c>
      <c r="AG121" s="1">
        <f t="shared" si="33"/>
        <v>24.284507510248439</v>
      </c>
      <c r="AH121" s="1">
        <f t="shared" si="34"/>
        <v>26.454303586079849</v>
      </c>
      <c r="AI121" s="1">
        <f t="shared" si="35"/>
        <v>0.37208001119037631</v>
      </c>
      <c r="AJ121" s="1">
        <f t="shared" si="36"/>
        <v>-1.9401710206872668E-6</v>
      </c>
      <c r="AK121" s="1">
        <f t="shared" si="37"/>
        <v>-20.715465840175717</v>
      </c>
      <c r="AL121">
        <f t="shared" si="38"/>
        <v>-2.0412733907804111E-4</v>
      </c>
      <c r="AM121" s="1">
        <f t="shared" si="39"/>
        <v>-0.20967521491634614</v>
      </c>
      <c r="AN121" s="1">
        <f t="shared" si="40"/>
        <v>1.3444696980745476</v>
      </c>
      <c r="AO121">
        <f t="shared" si="41"/>
        <v>-22.06013966558934</v>
      </c>
      <c r="AQ121" s="17">
        <f t="shared" si="42"/>
        <v>1.843</v>
      </c>
      <c r="AR121" s="8">
        <v>0.243968185</v>
      </c>
      <c r="AS121" s="8">
        <v>0.24942761299999999</v>
      </c>
      <c r="AT121" s="9">
        <v>0.24635668499999999</v>
      </c>
      <c r="AU121" s="17">
        <v>0.23037490999999999</v>
      </c>
      <c r="AW121" s="9">
        <f t="shared" si="43"/>
        <v>1.843</v>
      </c>
      <c r="AY121" s="9">
        <f t="shared" si="44"/>
        <v>0.17126566587</v>
      </c>
      <c r="AZ121" s="9">
        <f t="shared" si="45"/>
        <v>0.35762931151939997</v>
      </c>
      <c r="BA121" s="9">
        <f t="shared" si="46"/>
        <v>0.178312968603</v>
      </c>
      <c r="BB121" s="9">
        <f t="shared" si="47"/>
        <v>0.53620480943281668</v>
      </c>
      <c r="BC121" s="9">
        <f t="shared" si="48"/>
        <v>0.59958169646173265</v>
      </c>
      <c r="BE121" s="1">
        <f t="shared" si="49"/>
        <v>5.5481130507573084E-6</v>
      </c>
    </row>
    <row r="122" spans="2:57" x14ac:dyDescent="0.2">
      <c r="B122" s="12" t="s">
        <v>177</v>
      </c>
      <c r="C122" s="20" t="s">
        <v>67</v>
      </c>
      <c r="D122" s="20">
        <v>0</v>
      </c>
      <c r="E122" s="20">
        <v>2.9403000000000001</v>
      </c>
      <c r="F122" s="20">
        <v>0.7006</v>
      </c>
      <c r="G122" s="20">
        <v>0.72230000000000005</v>
      </c>
      <c r="H122" s="20">
        <v>1.4309000000000001</v>
      </c>
      <c r="I122" s="21">
        <f t="shared" si="25"/>
        <v>2.8538000000000001</v>
      </c>
      <c r="J122" s="20">
        <v>1.8180000000000001</v>
      </c>
      <c r="K122" s="20">
        <v>0.58715555597317537</v>
      </c>
      <c r="L122" s="20">
        <v>0.52509213482655048</v>
      </c>
      <c r="M122" s="20">
        <v>547496.31999999995</v>
      </c>
      <c r="N122" s="20">
        <v>596414.56000000006</v>
      </c>
      <c r="O122" s="20">
        <v>1.0640000000000001</v>
      </c>
      <c r="Q122" s="19">
        <v>105.21100300000001</v>
      </c>
      <c r="R122" s="19">
        <v>-7.3796590000000002</v>
      </c>
      <c r="S122" s="19">
        <v>160</v>
      </c>
      <c r="T122" s="19">
        <v>130.996602</v>
      </c>
      <c r="U122" s="19">
        <v>149.05667199999999</v>
      </c>
      <c r="V122" s="19">
        <v>112.26938</v>
      </c>
      <c r="W122" s="19">
        <v>26.787863000000002</v>
      </c>
      <c r="Y122" t="str">
        <f t="shared" si="26"/>
        <v>NW_FT_High_Diesel_CCS_53_Wood</v>
      </c>
      <c r="Z122" t="str">
        <f t="shared" si="27"/>
        <v>Biomass_Wood</v>
      </c>
      <c r="AA122" s="18">
        <f t="shared" si="28"/>
        <v>110.91798435088212</v>
      </c>
      <c r="AB122" s="18">
        <f t="shared" si="29"/>
        <v>110.91798435088211</v>
      </c>
      <c r="AC122" s="5">
        <f t="shared" si="30"/>
        <v>0</v>
      </c>
      <c r="AD122" s="1">
        <f t="shared" si="31"/>
        <v>0</v>
      </c>
      <c r="AE122" s="1">
        <f t="shared" si="32"/>
        <v>27.599815536793049</v>
      </c>
      <c r="AF122" s="1">
        <f t="array" ref="AF122">_xlfn.IFS(C122="Biomass_Corn", 1/I122*S122, C122="Biomass_Agri", 1/I122*V122, C122="Biomass_Wood", 1/I122*U122, C122="Biomass_Herb", 1/I122*T122)</f>
        <v>52.230945406125166</v>
      </c>
      <c r="AG122" s="1">
        <f t="shared" si="33"/>
        <v>24.333862806190496</v>
      </c>
      <c r="AH122" s="1">
        <f t="shared" si="34"/>
        <v>26.508068727575139</v>
      </c>
      <c r="AI122" s="1">
        <f t="shared" si="35"/>
        <v>0.37283621837549935</v>
      </c>
      <c r="AJ122" s="1">
        <f t="shared" si="36"/>
        <v>7.4308738965226062E-6</v>
      </c>
      <c r="AK122" s="1">
        <f t="shared" si="37"/>
        <v>-20.128326153873072</v>
      </c>
      <c r="AL122">
        <f t="shared" si="38"/>
        <v>7.8180969581966161E-4</v>
      </c>
      <c r="AM122" s="1">
        <f t="shared" si="39"/>
        <v>-0.2057377355614442</v>
      </c>
      <c r="AN122" s="1">
        <f t="shared" si="40"/>
        <v>1.5183291691910601</v>
      </c>
      <c r="AO122">
        <f t="shared" si="41"/>
        <v>-21.645873513368315</v>
      </c>
      <c r="AQ122" s="17">
        <f t="shared" si="42"/>
        <v>1.8180000000000001</v>
      </c>
      <c r="AR122" s="8">
        <v>0.243968185</v>
      </c>
      <c r="AS122" s="8">
        <v>0.24942761299999999</v>
      </c>
      <c r="AT122" s="9">
        <v>0.24635668499999999</v>
      </c>
      <c r="AU122" s="17">
        <v>0.23037490999999999</v>
      </c>
      <c r="AW122" s="9">
        <f t="shared" si="43"/>
        <v>1.8180000000000001</v>
      </c>
      <c r="AY122" s="9">
        <f t="shared" si="44"/>
        <v>0.170924110411</v>
      </c>
      <c r="AZ122" s="9">
        <f t="shared" si="45"/>
        <v>0.3569059714417</v>
      </c>
      <c r="BA122" s="9">
        <f t="shared" si="46"/>
        <v>0.17794343357550002</v>
      </c>
      <c r="BB122" s="9">
        <f t="shared" si="47"/>
        <v>0.52509213482655048</v>
      </c>
      <c r="BC122" s="9">
        <f t="shared" si="48"/>
        <v>0.58715555597317537</v>
      </c>
      <c r="BE122" s="1">
        <f t="shared" si="49"/>
        <v>-2.1206227925896215E-5</v>
      </c>
    </row>
    <row r="123" spans="2:57" x14ac:dyDescent="0.2">
      <c r="B123" s="12" t="s">
        <v>178</v>
      </c>
      <c r="C123" s="20" t="s">
        <v>67</v>
      </c>
      <c r="D123" s="20">
        <v>0</v>
      </c>
      <c r="E123" s="20">
        <v>2.9403000000000001</v>
      </c>
      <c r="F123" s="20">
        <v>0.69410000000000005</v>
      </c>
      <c r="G123" s="20">
        <v>0.71550000000000002</v>
      </c>
      <c r="H123" s="20">
        <v>1.4175</v>
      </c>
      <c r="I123" s="21">
        <f t="shared" si="25"/>
        <v>2.8271000000000002</v>
      </c>
      <c r="J123" s="20">
        <v>1.798</v>
      </c>
      <c r="K123" s="20">
        <v>0.58006867377466742</v>
      </c>
      <c r="L123" s="20">
        <v>0.51875434909835283</v>
      </c>
      <c r="M123" s="20">
        <v>547496.31999999995</v>
      </c>
      <c r="N123" s="20">
        <v>596414.56000000006</v>
      </c>
      <c r="O123" s="20">
        <v>1.0640000000000001</v>
      </c>
      <c r="Q123" s="19">
        <v>105.21100300000001</v>
      </c>
      <c r="R123" s="19">
        <v>-14.567418</v>
      </c>
      <c r="S123" s="19">
        <v>160</v>
      </c>
      <c r="T123" s="19">
        <v>120.282189</v>
      </c>
      <c r="U123" s="19">
        <v>137.475031</v>
      </c>
      <c r="V123" s="19">
        <v>107.559866</v>
      </c>
      <c r="W123" s="19">
        <v>27.957547000000002</v>
      </c>
      <c r="Y123" t="str">
        <f t="shared" si="26"/>
        <v>SW_FT_High_Diesel_CCS_53_Wood</v>
      </c>
      <c r="Z123" t="str">
        <f t="shared" si="27"/>
        <v>Biomass_Wood</v>
      </c>
      <c r="AA123" s="18">
        <f t="shared" si="28"/>
        <v>110.80438965434701</v>
      </c>
      <c r="AB123" s="18">
        <f t="shared" si="29"/>
        <v>110.80438965434698</v>
      </c>
      <c r="AC123" s="5">
        <f t="shared" si="30"/>
        <v>0</v>
      </c>
      <c r="AD123" s="1">
        <f t="shared" si="31"/>
        <v>0</v>
      </c>
      <c r="AE123" s="1">
        <f t="shared" si="32"/>
        <v>29.076996018570267</v>
      </c>
      <c r="AF123" s="1">
        <f t="array" ref="AF123">_xlfn.IFS(C123="Biomass_Corn", 1/I123*S123, C123="Biomass_Agri", 1/I123*V123, C123="Biomass_Wood", 1/I123*U123, C123="Biomass_Herb", 1/I123*T123)</f>
        <v>48.62757985214531</v>
      </c>
      <c r="AG123" s="1">
        <f t="shared" si="33"/>
        <v>24.563679274276268</v>
      </c>
      <c r="AH123" s="1">
        <f t="shared" si="34"/>
        <v>26.758419063617819</v>
      </c>
      <c r="AI123" s="1">
        <f t="shared" si="35"/>
        <v>0.37635739804039475</v>
      </c>
      <c r="AJ123" s="1">
        <f t="shared" si="36"/>
        <v>-2.4089609422469602E-6</v>
      </c>
      <c r="AK123" s="1">
        <f t="shared" si="37"/>
        <v>-18.598388503106129</v>
      </c>
      <c r="AL123">
        <f t="shared" si="38"/>
        <v>-2.5344919692162776E-4</v>
      </c>
      <c r="AM123" s="1">
        <f t="shared" si="39"/>
        <v>-0.20518392845960426</v>
      </c>
      <c r="AN123" s="1">
        <f t="shared" si="40"/>
        <v>2.9889649604121598</v>
      </c>
      <c r="AO123">
        <f t="shared" si="41"/>
        <v>-21.587606912715209</v>
      </c>
      <c r="AQ123" s="17">
        <f t="shared" si="42"/>
        <v>1.798</v>
      </c>
      <c r="AR123" s="8">
        <v>0.243968185</v>
      </c>
      <c r="AS123" s="8">
        <v>0.24942761299999999</v>
      </c>
      <c r="AT123" s="9">
        <v>0.24635668499999999</v>
      </c>
      <c r="AU123" s="17">
        <v>0.23037490999999999</v>
      </c>
      <c r="AW123" s="9">
        <f t="shared" si="43"/>
        <v>1.798</v>
      </c>
      <c r="AY123" s="9">
        <f t="shared" si="44"/>
        <v>0.16933831720850001</v>
      </c>
      <c r="AZ123" s="9">
        <f t="shared" si="45"/>
        <v>0.35356364142749996</v>
      </c>
      <c r="BA123" s="9">
        <f t="shared" si="46"/>
        <v>0.17626820811749999</v>
      </c>
      <c r="BB123" s="9">
        <f t="shared" si="47"/>
        <v>0.51875434909835283</v>
      </c>
      <c r="BC123" s="9">
        <f t="shared" si="48"/>
        <v>0.58006867377466742</v>
      </c>
      <c r="BE123" s="1">
        <f t="shared" si="49"/>
        <v>6.8103734798263815E-6</v>
      </c>
    </row>
    <row r="124" spans="2:57" x14ac:dyDescent="0.2">
      <c r="B124" s="12" t="s">
        <v>179</v>
      </c>
      <c r="C124" s="20" t="s">
        <v>67</v>
      </c>
      <c r="D124" s="20">
        <v>0</v>
      </c>
      <c r="E124" s="20">
        <v>2.9403000000000001</v>
      </c>
      <c r="F124" s="20">
        <v>0.68859999999999999</v>
      </c>
      <c r="G124" s="20">
        <v>0.70989999999999998</v>
      </c>
      <c r="H124" s="20">
        <v>1.4064000000000001</v>
      </c>
      <c r="I124" s="21">
        <f t="shared" si="25"/>
        <v>2.8048999999999999</v>
      </c>
      <c r="J124" s="20">
        <v>1.821</v>
      </c>
      <c r="K124" s="20">
        <v>0.59510297194257766</v>
      </c>
      <c r="L124" s="20">
        <v>0.5321994943248548</v>
      </c>
      <c r="M124" s="20">
        <v>547496.31999999995</v>
      </c>
      <c r="N124" s="20">
        <v>596414.56000000006</v>
      </c>
      <c r="O124" s="20">
        <v>1.0640000000000001</v>
      </c>
      <c r="Q124" s="19">
        <v>105.21100300000001</v>
      </c>
      <c r="R124" s="19">
        <v>-19.477884</v>
      </c>
      <c r="S124" s="19">
        <v>160</v>
      </c>
      <c r="T124" s="19">
        <v>132.95547999999999</v>
      </c>
      <c r="U124" s="19">
        <v>152.57709199999999</v>
      </c>
      <c r="V124" s="19">
        <v>106.67488899999999</v>
      </c>
      <c r="W124" s="19">
        <v>20.174973000000001</v>
      </c>
      <c r="Y124" t="str">
        <f t="shared" si="26"/>
        <v>TX_FT_High_Diesel_CCS_53_Wood</v>
      </c>
      <c r="Z124" t="str">
        <f t="shared" si="27"/>
        <v>Biomass_Wood</v>
      </c>
      <c r="AA124" s="18">
        <f t="shared" si="28"/>
        <v>109.46286889363174</v>
      </c>
      <c r="AB124" s="18">
        <f t="shared" si="29"/>
        <v>109.46286889363174</v>
      </c>
      <c r="AC124" s="5">
        <f t="shared" si="30"/>
        <v>0</v>
      </c>
      <c r="AD124" s="1">
        <f t="shared" si="31"/>
        <v>0</v>
      </c>
      <c r="AE124" s="1">
        <f t="shared" si="32"/>
        <v>21.148872726977793</v>
      </c>
      <c r="AF124" s="1">
        <f t="array" ref="AF124">_xlfn.IFS(C124="Biomass_Corn", 1/I124*S124, C124="Biomass_Agri", 1/I124*V124, C124="Biomass_Wood", 1/I124*U124, C124="Biomass_Herb", 1/I124*T124)</f>
        <v>54.396624478591036</v>
      </c>
      <c r="AG124" s="1">
        <f t="shared" si="33"/>
        <v>24.758093934295854</v>
      </c>
      <c r="AH124" s="1">
        <f t="shared" si="34"/>
        <v>26.97020447600768</v>
      </c>
      <c r="AI124" s="1">
        <f t="shared" si="35"/>
        <v>0.3793361617169953</v>
      </c>
      <c r="AJ124" s="1">
        <f t="shared" si="36"/>
        <v>-6.2162418864940137E-6</v>
      </c>
      <c r="AK124" s="1">
        <f t="shared" si="37"/>
        <v>-18.189608866913858</v>
      </c>
      <c r="AL124">
        <f t="shared" si="38"/>
        <v>-6.5401704376864735E-4</v>
      </c>
      <c r="AM124" s="1">
        <f t="shared" si="39"/>
        <v>-0.21217170233500132</v>
      </c>
      <c r="AN124" s="1">
        <f t="shared" si="40"/>
        <v>4.1325347269253028</v>
      </c>
      <c r="AO124">
        <f t="shared" si="41"/>
        <v>-22.322797610882933</v>
      </c>
      <c r="AQ124" s="17">
        <f t="shared" si="42"/>
        <v>1.821</v>
      </c>
      <c r="AR124" s="8">
        <v>0.243968185</v>
      </c>
      <c r="AS124" s="8">
        <v>0.24942761299999999</v>
      </c>
      <c r="AT124" s="9">
        <v>0.24635668499999999</v>
      </c>
      <c r="AU124" s="17">
        <v>0.23037490999999999</v>
      </c>
      <c r="AW124" s="9">
        <f t="shared" si="43"/>
        <v>1.821</v>
      </c>
      <c r="AY124" s="9">
        <f t="shared" si="44"/>
        <v>0.16799649219099999</v>
      </c>
      <c r="AZ124" s="9">
        <f t="shared" si="45"/>
        <v>0.35079499492319999</v>
      </c>
      <c r="BA124" s="9">
        <f t="shared" si="46"/>
        <v>0.1748886106815</v>
      </c>
      <c r="BB124" s="9">
        <f t="shared" si="47"/>
        <v>0.5321994943248548</v>
      </c>
      <c r="BC124" s="9">
        <f t="shared" si="48"/>
        <v>0.59510297194257766</v>
      </c>
      <c r="BE124" s="1">
        <f t="shared" si="49"/>
        <v>1.743593686742706E-5</v>
      </c>
    </row>
    <row r="125" spans="2:57" x14ac:dyDescent="0.2">
      <c r="B125" s="12" t="s">
        <v>180</v>
      </c>
      <c r="C125" s="20" t="s">
        <v>67</v>
      </c>
      <c r="D125" s="20">
        <v>0</v>
      </c>
      <c r="E125" s="20">
        <v>2.9403000000000001</v>
      </c>
      <c r="F125" s="20">
        <v>0.69120000000000004</v>
      </c>
      <c r="G125" s="20">
        <v>0.71260000000000001</v>
      </c>
      <c r="H125" s="20">
        <v>1.4116</v>
      </c>
      <c r="I125" s="21">
        <f t="shared" si="25"/>
        <v>2.8153999999999999</v>
      </c>
      <c r="J125" s="20">
        <v>1.802</v>
      </c>
      <c r="K125" s="20">
        <v>0.5837229927975528</v>
      </c>
      <c r="L125" s="20">
        <v>0.52202239988582055</v>
      </c>
      <c r="M125" s="20">
        <v>547496.31999999995</v>
      </c>
      <c r="N125" s="20">
        <v>596414.56000000006</v>
      </c>
      <c r="O125" s="20">
        <v>1.0640000000000001</v>
      </c>
      <c r="Q125" s="19">
        <v>105.21100300000001</v>
      </c>
      <c r="R125" s="19">
        <v>-39.686463000000003</v>
      </c>
      <c r="S125" s="19">
        <v>160</v>
      </c>
      <c r="T125" s="19">
        <v>100.757654</v>
      </c>
      <c r="U125" s="19">
        <v>111.990773</v>
      </c>
      <c r="V125" s="19">
        <v>89.243781999999996</v>
      </c>
      <c r="W125" s="19">
        <v>30.713950000000001</v>
      </c>
      <c r="Y125" t="str">
        <f t="shared" si="26"/>
        <v>NCEN_FT_High_Diesel_CCS_53_Wood</v>
      </c>
      <c r="Z125" t="str">
        <f t="shared" si="27"/>
        <v>Biomass_Wood</v>
      </c>
      <c r="AA125" s="18">
        <f t="shared" si="28"/>
        <v>110.1832200959595</v>
      </c>
      <c r="AB125" s="18">
        <f t="shared" si="29"/>
        <v>110.18322009595948</v>
      </c>
      <c r="AC125" s="5">
        <f t="shared" si="30"/>
        <v>0</v>
      </c>
      <c r="AD125" s="1">
        <f t="shared" si="31"/>
        <v>0</v>
      </c>
      <c r="AE125" s="1">
        <f t="shared" si="32"/>
        <v>32.076517434467576</v>
      </c>
      <c r="AF125" s="1">
        <f t="array" ref="AF125">_xlfn.IFS(C125="Biomass_Corn", 1/I125*S125, C125="Biomass_Agri", 1/I125*V125, C125="Biomass_Wood", 1/I125*U125, C125="Biomass_Herb", 1/I125*T125)</f>
        <v>39.77792604958443</v>
      </c>
      <c r="AG125" s="1">
        <f t="shared" si="33"/>
        <v>24.665758924595597</v>
      </c>
      <c r="AH125" s="1">
        <f t="shared" si="34"/>
        <v>26.869619426992234</v>
      </c>
      <c r="AI125" s="1">
        <f t="shared" si="35"/>
        <v>0.37792143212332174</v>
      </c>
      <c r="AJ125" s="1">
        <f t="shared" si="36"/>
        <v>7.8121748857424919E-6</v>
      </c>
      <c r="AK125" s="1">
        <f t="shared" si="37"/>
        <v>-13.585345098558983</v>
      </c>
      <c r="AL125">
        <f t="shared" si="38"/>
        <v>8.2192675534037798E-4</v>
      </c>
      <c r="AM125" s="1">
        <f t="shared" si="39"/>
        <v>-0.20732435831511672</v>
      </c>
      <c r="AN125" s="1">
        <f t="shared" si="40"/>
        <v>8.2282805128611738</v>
      </c>
      <c r="AO125">
        <f t="shared" si="41"/>
        <v>-21.812803684664821</v>
      </c>
      <c r="AQ125" s="17">
        <f t="shared" si="42"/>
        <v>1.802</v>
      </c>
      <c r="AR125" s="8">
        <v>0.243968185</v>
      </c>
      <c r="AS125" s="8">
        <v>0.24942761299999999</v>
      </c>
      <c r="AT125" s="9">
        <v>0.24635668499999999</v>
      </c>
      <c r="AU125" s="17">
        <v>0.23037490999999999</v>
      </c>
      <c r="AW125" s="9">
        <f t="shared" si="43"/>
        <v>1.802</v>
      </c>
      <c r="AY125" s="9">
        <f t="shared" si="44"/>
        <v>0.16863080947200002</v>
      </c>
      <c r="AZ125" s="9">
        <f t="shared" si="45"/>
        <v>0.35209201851079996</v>
      </c>
      <c r="BA125" s="9">
        <f t="shared" si="46"/>
        <v>0.17555377373100001</v>
      </c>
      <c r="BB125" s="9">
        <f t="shared" si="47"/>
        <v>0.52202239988582055</v>
      </c>
      <c r="BC125" s="9">
        <f t="shared" si="48"/>
        <v>0.5837229927975528</v>
      </c>
      <c r="BE125" s="1">
        <f t="shared" si="49"/>
        <v>-2.1994397173319413E-5</v>
      </c>
    </row>
    <row r="126" spans="2:57" x14ac:dyDescent="0.2">
      <c r="B126" s="12" t="s">
        <v>181</v>
      </c>
      <c r="C126" s="20" t="s">
        <v>67</v>
      </c>
      <c r="D126" s="20">
        <v>0</v>
      </c>
      <c r="E126" s="20">
        <v>2.9403000000000001</v>
      </c>
      <c r="F126" s="20">
        <v>0.6915</v>
      </c>
      <c r="G126" s="20">
        <v>0.71289999999999998</v>
      </c>
      <c r="H126" s="20">
        <v>1.4123000000000001</v>
      </c>
      <c r="I126" s="21">
        <f t="shared" si="25"/>
        <v>2.8167</v>
      </c>
      <c r="J126" s="20">
        <v>1.802</v>
      </c>
      <c r="K126" s="20">
        <v>0.58353015291969212</v>
      </c>
      <c r="L126" s="20">
        <v>0.52184994353738712</v>
      </c>
      <c r="M126" s="20">
        <v>547496.31999999995</v>
      </c>
      <c r="N126" s="20">
        <v>596414.56000000006</v>
      </c>
      <c r="O126" s="20">
        <v>1.0640000000000001</v>
      </c>
      <c r="Q126" s="19">
        <v>105.21100300000001</v>
      </c>
      <c r="R126" s="19">
        <v>-29.672038000000001</v>
      </c>
      <c r="S126" s="19">
        <v>160</v>
      </c>
      <c r="T126" s="19">
        <v>107.027154</v>
      </c>
      <c r="U126" s="19">
        <v>122.865223</v>
      </c>
      <c r="V126" s="19">
        <v>94.404420999999999</v>
      </c>
      <c r="W126" s="19">
        <v>25.118154000000001</v>
      </c>
      <c r="Y126" t="str">
        <f t="shared" si="26"/>
        <v>CEN_FT_High_Diesel_CCS_53_Wood</v>
      </c>
      <c r="Z126" t="str">
        <f t="shared" si="27"/>
        <v>Biomass_Wood</v>
      </c>
      <c r="AA126" s="18">
        <f t="shared" si="28"/>
        <v>106.07991569268646</v>
      </c>
      <c r="AB126" s="18">
        <f t="shared" si="29"/>
        <v>106.07991569268646</v>
      </c>
      <c r="AC126" s="5">
        <f t="shared" si="30"/>
        <v>0</v>
      </c>
      <c r="AD126" s="1">
        <f t="shared" si="31"/>
        <v>0</v>
      </c>
      <c r="AE126" s="1">
        <f t="shared" si="32"/>
        <v>26.22036716945362</v>
      </c>
      <c r="AF126" s="1">
        <f t="array" ref="AF126">_xlfn.IFS(C126="Biomass_Corn", 1/I126*S126, C126="Biomass_Agri", 1/I126*V126, C126="Biomass_Wood", 1/I126*U126, C126="Biomass_Herb", 1/I126*T126)</f>
        <v>43.620273014520542</v>
      </c>
      <c r="AG126" s="1">
        <f t="shared" si="33"/>
        <v>24.654374862891483</v>
      </c>
      <c r="AH126" s="1">
        <f t="shared" si="34"/>
        <v>26.857218210939731</v>
      </c>
      <c r="AI126" s="1">
        <f t="shared" si="35"/>
        <v>0.37774700891113716</v>
      </c>
      <c r="AJ126" s="1">
        <f t="shared" si="36"/>
        <v>-7.6703372814681027E-6</v>
      </c>
      <c r="AK126" s="1">
        <f t="shared" si="37"/>
        <v>-15.649257570151338</v>
      </c>
      <c r="AL126">
        <f t="shared" si="38"/>
        <v>-8.0700387873155241E-4</v>
      </c>
      <c r="AM126" s="1">
        <f t="shared" si="39"/>
        <v>-0.20717568713697335</v>
      </c>
      <c r="AN126" s="1">
        <f t="shared" si="40"/>
        <v>6.1470972668650958</v>
      </c>
      <c r="AO126">
        <f t="shared" si="41"/>
        <v>-21.797161840895164</v>
      </c>
      <c r="AQ126" s="17">
        <f t="shared" si="42"/>
        <v>1.802</v>
      </c>
      <c r="AR126" s="8">
        <v>0.243968185</v>
      </c>
      <c r="AS126" s="8">
        <v>0.24942761299999999</v>
      </c>
      <c r="AT126" s="9">
        <v>0.24635668499999999</v>
      </c>
      <c r="AU126" s="17">
        <v>0.23037490999999999</v>
      </c>
      <c r="AW126" s="9">
        <f t="shared" si="43"/>
        <v>1.802</v>
      </c>
      <c r="AY126" s="9">
        <f t="shared" si="44"/>
        <v>0.16870399992750001</v>
      </c>
      <c r="AZ126" s="9">
        <f t="shared" si="45"/>
        <v>0.35226661783990004</v>
      </c>
      <c r="BA126" s="9">
        <f t="shared" si="46"/>
        <v>0.17562768073649998</v>
      </c>
      <c r="BB126" s="9">
        <f t="shared" si="47"/>
        <v>0.52184994353738712</v>
      </c>
      <c r="BC126" s="9">
        <f t="shared" si="48"/>
        <v>0.58353015291969212</v>
      </c>
      <c r="BE126" s="1">
        <f t="shared" si="49"/>
        <v>2.1605039020711203E-5</v>
      </c>
    </row>
    <row r="127" spans="2:57" x14ac:dyDescent="0.2">
      <c r="B127" s="12" t="s">
        <v>182</v>
      </c>
      <c r="C127" s="20" t="s">
        <v>67</v>
      </c>
      <c r="D127" s="20">
        <v>0</v>
      </c>
      <c r="E127" s="20">
        <v>2.9403000000000001</v>
      </c>
      <c r="F127" s="20">
        <v>0.69410000000000005</v>
      </c>
      <c r="G127" s="20">
        <v>0.71550000000000002</v>
      </c>
      <c r="H127" s="20">
        <v>1.4175</v>
      </c>
      <c r="I127" s="21">
        <f t="shared" si="25"/>
        <v>2.8271000000000002</v>
      </c>
      <c r="J127" s="20">
        <v>1.821</v>
      </c>
      <c r="K127" s="20">
        <v>0.59221037377466723</v>
      </c>
      <c r="L127" s="20">
        <v>0.52961264909835271</v>
      </c>
      <c r="M127" s="20">
        <v>547496.31999999995</v>
      </c>
      <c r="N127" s="20">
        <v>596414.56000000006</v>
      </c>
      <c r="O127" s="20">
        <v>1.0640000000000001</v>
      </c>
      <c r="Q127" s="19">
        <v>105.21100300000001</v>
      </c>
      <c r="R127" s="19">
        <v>-45.510345000000001</v>
      </c>
      <c r="S127" s="19">
        <v>160</v>
      </c>
      <c r="T127" s="19">
        <v>97.593261999999996</v>
      </c>
      <c r="U127" s="19">
        <v>109.791234</v>
      </c>
      <c r="V127" s="19">
        <v>86.911507</v>
      </c>
      <c r="W127" s="19">
        <v>38.099075999999997</v>
      </c>
      <c r="Y127" t="str">
        <f t="shared" si="26"/>
        <v>SE_FT_High_Diesel_CCS_53_Wood</v>
      </c>
      <c r="Z127" t="str">
        <f t="shared" si="27"/>
        <v>Biomass_Wood</v>
      </c>
      <c r="AA127" s="18">
        <f t="shared" si="28"/>
        <v>117.65221812417748</v>
      </c>
      <c r="AB127" s="18">
        <f t="shared" si="29"/>
        <v>117.65221812417747</v>
      </c>
      <c r="AC127" s="5">
        <f t="shared" si="30"/>
        <v>0</v>
      </c>
      <c r="AD127" s="1">
        <f t="shared" si="31"/>
        <v>0</v>
      </c>
      <c r="AE127" s="1">
        <f t="shared" si="32"/>
        <v>39.624602300166245</v>
      </c>
      <c r="AF127" s="1">
        <f t="array" ref="AF127">_xlfn.IFS(C127="Biomass_Corn", 1/I127*S127, C127="Biomass_Agri", 1/I127*V127, C127="Biomass_Wood", 1/I127*U127, C127="Biomass_Herb", 1/I127*T127)</f>
        <v>38.835284920943721</v>
      </c>
      <c r="AG127" s="1">
        <f t="shared" si="33"/>
        <v>24.563679274276268</v>
      </c>
      <c r="AH127" s="1">
        <f t="shared" si="34"/>
        <v>26.758419063617819</v>
      </c>
      <c r="AI127" s="1">
        <f t="shared" si="35"/>
        <v>0.37635739804039475</v>
      </c>
      <c r="AJ127" s="1">
        <f t="shared" si="36"/>
        <v>-2.4089609423255018E-6</v>
      </c>
      <c r="AK127" s="1">
        <f t="shared" si="37"/>
        <v>-12.505871383670042</v>
      </c>
      <c r="AL127">
        <f t="shared" si="38"/>
        <v>-2.5344919692989122E-4</v>
      </c>
      <c r="AM127" s="1">
        <f t="shared" si="39"/>
        <v>-0.20947868280150944</v>
      </c>
      <c r="AN127" s="1">
        <f t="shared" si="40"/>
        <v>9.5333374917986831</v>
      </c>
      <c r="AO127">
        <f t="shared" si="41"/>
        <v>-22.03946232466566</v>
      </c>
      <c r="AQ127" s="17">
        <f t="shared" si="42"/>
        <v>1.821</v>
      </c>
      <c r="AR127" s="8">
        <v>0.243968185</v>
      </c>
      <c r="AS127" s="8">
        <v>0.24942761299999999</v>
      </c>
      <c r="AT127" s="9">
        <v>0.24635668499999999</v>
      </c>
      <c r="AU127" s="17">
        <v>0.23037490999999999</v>
      </c>
      <c r="AW127" s="9">
        <f t="shared" si="43"/>
        <v>1.821</v>
      </c>
      <c r="AY127" s="9">
        <f t="shared" si="44"/>
        <v>0.16933831720850001</v>
      </c>
      <c r="AZ127" s="9">
        <f t="shared" si="45"/>
        <v>0.35356364142749996</v>
      </c>
      <c r="BA127" s="9">
        <f t="shared" si="46"/>
        <v>0.17626820811749999</v>
      </c>
      <c r="BB127" s="9">
        <f t="shared" si="47"/>
        <v>0.52961264909835271</v>
      </c>
      <c r="BC127" s="9">
        <f t="shared" si="48"/>
        <v>0.59221037377466723</v>
      </c>
      <c r="BE127" s="1">
        <f t="shared" si="49"/>
        <v>6.8103734800484261E-6</v>
      </c>
    </row>
    <row r="128" spans="2:57" x14ac:dyDescent="0.2">
      <c r="B128" s="12" t="s">
        <v>183</v>
      </c>
      <c r="C128" s="20" t="s">
        <v>67</v>
      </c>
      <c r="D128" s="20">
        <v>0</v>
      </c>
      <c r="E128" s="20">
        <v>2.9403000000000001</v>
      </c>
      <c r="F128" s="20">
        <v>0.68930000000000002</v>
      </c>
      <c r="G128" s="20">
        <v>0.7107</v>
      </c>
      <c r="H128" s="20">
        <v>1.4078999999999999</v>
      </c>
      <c r="I128" s="21">
        <f t="shared" si="25"/>
        <v>2.8079000000000001</v>
      </c>
      <c r="J128" s="20">
        <v>1.806</v>
      </c>
      <c r="K128" s="20">
        <v>0.58679879218685616</v>
      </c>
      <c r="L128" s="20">
        <v>0.52477308162798775</v>
      </c>
      <c r="M128" s="20">
        <v>547496.31999999995</v>
      </c>
      <c r="N128" s="20">
        <v>596414.56000000006</v>
      </c>
      <c r="O128" s="20">
        <v>1.0640000000000001</v>
      </c>
      <c r="Q128" s="19">
        <v>105.21100300000001</v>
      </c>
      <c r="R128" s="19">
        <v>-50.334515000000003</v>
      </c>
      <c r="S128" s="19">
        <v>160</v>
      </c>
      <c r="T128" s="19">
        <v>98.707491000000005</v>
      </c>
      <c r="U128" s="19">
        <v>106.53195700000001</v>
      </c>
      <c r="V128" s="19">
        <v>87.469328000000004</v>
      </c>
      <c r="W128" s="19">
        <v>39.29871</v>
      </c>
      <c r="Y128" t="str">
        <f t="shared" si="26"/>
        <v>MIDAT_FT_High_Diesel_CCS_53_Wood</v>
      </c>
      <c r="Z128" t="str">
        <f t="shared" si="27"/>
        <v>Biomass_Wood</v>
      </c>
      <c r="AA128" s="18">
        <f t="shared" si="28"/>
        <v>119.67540424033497</v>
      </c>
      <c r="AB128" s="18">
        <f t="shared" si="29"/>
        <v>119.67540424033497</v>
      </c>
      <c r="AC128" s="5">
        <f t="shared" si="30"/>
        <v>0</v>
      </c>
      <c r="AD128" s="1">
        <f t="shared" si="31"/>
        <v>0</v>
      </c>
      <c r="AE128" s="1">
        <f t="shared" si="32"/>
        <v>41.151749354677875</v>
      </c>
      <c r="AF128" s="1">
        <f t="array" ref="AF128">_xlfn.IFS(C128="Biomass_Corn", 1/I128*S128, C128="Biomass_Agri", 1/I128*V128, C128="Biomass_Wood", 1/I128*U128, C128="Biomass_Herb", 1/I128*T128)</f>
        <v>37.940082267887036</v>
      </c>
      <c r="AG128" s="1">
        <f t="shared" si="33"/>
        <v>24.73164203721872</v>
      </c>
      <c r="AH128" s="1">
        <f t="shared" si="34"/>
        <v>26.941389128798722</v>
      </c>
      <c r="AI128" s="1">
        <f t="shared" si="35"/>
        <v>0.37893087360660993</v>
      </c>
      <c r="AJ128" s="1">
        <f t="shared" si="36"/>
        <v>-2.1453372471983401E-6</v>
      </c>
      <c r="AK128" s="1">
        <f t="shared" si="37"/>
        <v>-11.468163708770437</v>
      </c>
      <c r="AL128">
        <f t="shared" si="38"/>
        <v>-2.2571308355099631E-4</v>
      </c>
      <c r="AM128" s="1">
        <f t="shared" si="39"/>
        <v>-0.2089835165352443</v>
      </c>
      <c r="AN128" s="1">
        <f t="shared" si="40"/>
        <v>10.518975963286154</v>
      </c>
      <c r="AO128">
        <f t="shared" si="41"/>
        <v>-21.987365385140137</v>
      </c>
      <c r="AQ128" s="17">
        <f t="shared" si="42"/>
        <v>1.806</v>
      </c>
      <c r="AR128" s="8">
        <v>0.243968185</v>
      </c>
      <c r="AS128" s="8">
        <v>0.24942761299999999</v>
      </c>
      <c r="AT128" s="9">
        <v>0.24635668499999999</v>
      </c>
      <c r="AU128" s="17">
        <v>0.23037490999999999</v>
      </c>
      <c r="AW128" s="9">
        <f t="shared" si="43"/>
        <v>1.806</v>
      </c>
      <c r="AY128" s="9">
        <f t="shared" si="44"/>
        <v>0.16816726992050002</v>
      </c>
      <c r="AZ128" s="9">
        <f t="shared" si="45"/>
        <v>0.35116913634269997</v>
      </c>
      <c r="BA128" s="9">
        <f t="shared" si="46"/>
        <v>0.1750856960295</v>
      </c>
      <c r="BB128" s="9">
        <f t="shared" si="47"/>
        <v>0.52477308162798775</v>
      </c>
      <c r="BC128" s="9">
        <f t="shared" si="48"/>
        <v>0.58679879218685616</v>
      </c>
      <c r="BE128" s="1">
        <f t="shared" si="49"/>
        <v>6.0238924564082197E-6</v>
      </c>
    </row>
    <row r="129" spans="2:57" x14ac:dyDescent="0.2">
      <c r="B129" s="12" t="s">
        <v>184</v>
      </c>
      <c r="C129" s="20" t="s">
        <v>67</v>
      </c>
      <c r="D129" s="20">
        <v>0</v>
      </c>
      <c r="E129" s="20">
        <v>2.9403000000000001</v>
      </c>
      <c r="F129" s="20">
        <v>0.68500000000000005</v>
      </c>
      <c r="G129" s="20">
        <v>0.70620000000000005</v>
      </c>
      <c r="H129" s="20">
        <v>1.399</v>
      </c>
      <c r="I129" s="21">
        <f t="shared" si="25"/>
        <v>2.7902</v>
      </c>
      <c r="J129" s="20">
        <v>1.8260000000000001</v>
      </c>
      <c r="K129" s="20">
        <v>0.59967087072118441</v>
      </c>
      <c r="L129" s="20">
        <v>0.53628455780918949</v>
      </c>
      <c r="M129" s="20">
        <v>547496.31999999995</v>
      </c>
      <c r="N129" s="20">
        <v>596414.56000000006</v>
      </c>
      <c r="O129" s="20">
        <v>1.0640000000000001</v>
      </c>
      <c r="Q129" s="19">
        <v>105.21100300000001</v>
      </c>
      <c r="R129" s="19">
        <v>-58.833413</v>
      </c>
      <c r="S129" s="19">
        <v>160</v>
      </c>
      <c r="T129" s="19">
        <v>99.493746999999999</v>
      </c>
      <c r="U129" s="19">
        <v>105.21395800000001</v>
      </c>
      <c r="V129" s="19">
        <v>89.700445000000002</v>
      </c>
      <c r="W129" s="19">
        <v>47.365060999999997</v>
      </c>
      <c r="Y129" t="str">
        <f t="shared" si="26"/>
        <v>NE_FT_High_Diesel_CCS_53_Wood</v>
      </c>
      <c r="Z129" t="str">
        <f t="shared" si="27"/>
        <v>Biomass_Wood</v>
      </c>
      <c r="AA129" s="18">
        <f t="shared" si="28"/>
        <v>130.03614678011505</v>
      </c>
      <c r="AB129" s="18">
        <f t="shared" si="29"/>
        <v>130.03614678011505</v>
      </c>
      <c r="AC129" s="5">
        <f t="shared" si="30"/>
        <v>0</v>
      </c>
      <c r="AD129" s="1">
        <f t="shared" si="31"/>
        <v>0</v>
      </c>
      <c r="AE129" s="1">
        <f t="shared" si="32"/>
        <v>49.913084674324423</v>
      </c>
      <c r="AF129" s="1">
        <f t="array" ref="AF129">_xlfn.IFS(C129="Biomass_Corn", 1/I129*S129, C129="Biomass_Agri", 1/I129*V129, C129="Biomass_Wood", 1/I129*U129, C129="Biomass_Herb", 1/I129*T129)</f>
        <v>37.708392946742173</v>
      </c>
      <c r="AG129" s="1">
        <f t="shared" si="33"/>
        <v>24.888530455274331</v>
      </c>
      <c r="AH129" s="1">
        <f t="shared" si="34"/>
        <v>27.112295367627389</v>
      </c>
      <c r="AI129" s="1">
        <f t="shared" si="35"/>
        <v>0.38133467134972404</v>
      </c>
      <c r="AJ129" s="1">
        <f t="shared" si="36"/>
        <v>-1.548656948902718E-8</v>
      </c>
      <c r="AK129" s="1">
        <f t="shared" si="37"/>
        <v>-9.9674897058454945</v>
      </c>
      <c r="AL129">
        <f t="shared" si="38"/>
        <v>-1.6293575089697471E-6</v>
      </c>
      <c r="AM129" s="1">
        <f t="shared" si="39"/>
        <v>-0.21492040496445078</v>
      </c>
      <c r="AN129" s="1">
        <f t="shared" si="40"/>
        <v>12.644500036273046</v>
      </c>
      <c r="AO129">
        <f t="shared" si="41"/>
        <v>-22.611991371476048</v>
      </c>
      <c r="AQ129" s="17">
        <f t="shared" si="42"/>
        <v>1.8260000000000001</v>
      </c>
      <c r="AR129" s="8">
        <v>0.243968185</v>
      </c>
      <c r="AS129" s="8">
        <v>0.24942761299999999</v>
      </c>
      <c r="AT129" s="9">
        <v>0.24635668499999999</v>
      </c>
      <c r="AU129" s="17">
        <v>0.23037490999999999</v>
      </c>
      <c r="AW129" s="9">
        <f t="shared" si="43"/>
        <v>1.8260000000000001</v>
      </c>
      <c r="AY129" s="9">
        <f t="shared" si="44"/>
        <v>0.16711820672500002</v>
      </c>
      <c r="AZ129" s="9">
        <f t="shared" si="45"/>
        <v>0.348949230587</v>
      </c>
      <c r="BA129" s="9">
        <f t="shared" si="46"/>
        <v>0.17397709094700001</v>
      </c>
      <c r="BB129" s="9">
        <f t="shared" si="47"/>
        <v>0.53628455780918949</v>
      </c>
      <c r="BC129" s="9">
        <f t="shared" si="48"/>
        <v>0.59967087072118441</v>
      </c>
      <c r="BE129" s="1">
        <f t="shared" si="49"/>
        <v>4.3210626188283641E-8</v>
      </c>
    </row>
    <row r="130" spans="2:57" x14ac:dyDescent="0.2">
      <c r="B130" s="12" t="s">
        <v>185</v>
      </c>
      <c r="C130" s="20" t="s">
        <v>77</v>
      </c>
      <c r="D130" s="20">
        <v>0</v>
      </c>
      <c r="E130" s="20">
        <v>2.9403000000000001</v>
      </c>
      <c r="F130" s="20">
        <v>0.66320000000000001</v>
      </c>
      <c r="G130" s="20">
        <v>0.68379999999999996</v>
      </c>
      <c r="H130" s="20">
        <v>1.3546</v>
      </c>
      <c r="I130" s="21">
        <f t="shared" si="25"/>
        <v>2.7016</v>
      </c>
      <c r="J130" s="20">
        <v>1.7190000000000001</v>
      </c>
      <c r="K130" s="20">
        <v>0.55475596339282474</v>
      </c>
      <c r="L130" s="20">
        <v>0.49611723871519708</v>
      </c>
      <c r="M130" s="20">
        <v>547496.31999999995</v>
      </c>
      <c r="N130" s="20">
        <v>596414.56000000006</v>
      </c>
      <c r="O130" s="20">
        <v>1.0640000000000001</v>
      </c>
      <c r="Q130" s="19">
        <v>105.21100300000001</v>
      </c>
      <c r="R130" s="19">
        <v>-6.4122130000000004</v>
      </c>
      <c r="S130" s="19">
        <v>160</v>
      </c>
      <c r="T130" s="19">
        <v>313632.96735400002</v>
      </c>
      <c r="U130" s="19">
        <v>154.036981</v>
      </c>
      <c r="V130" s="19">
        <v>132.85973799999999</v>
      </c>
      <c r="W130" s="19">
        <v>36.488697999999999</v>
      </c>
      <c r="Y130" t="str">
        <f t="shared" si="26"/>
        <v>CA_FT_High_Diesel_CCS_53_Agri</v>
      </c>
      <c r="Z130" t="str">
        <f t="shared" si="27"/>
        <v>Biomass_Agri</v>
      </c>
      <c r="AA130" s="18">
        <f t="shared" si="28"/>
        <v>122.70343514528226</v>
      </c>
      <c r="AB130" s="18">
        <f t="shared" si="29"/>
        <v>122.70343514528227</v>
      </c>
      <c r="AC130" s="5">
        <f t="shared" si="30"/>
        <v>0</v>
      </c>
      <c r="AD130" s="1">
        <f t="shared" si="31"/>
        <v>0</v>
      </c>
      <c r="AE130" s="1">
        <f t="shared" si="32"/>
        <v>39.712658694625411</v>
      </c>
      <c r="AF130" s="1">
        <f t="array" ref="AF130">_xlfn.IFS(C130="Biomass_Corn", 1/I130*S130, C130="Biomass_Agri", 1/I130*V130, C130="Biomass_Wood", 1/I130*U130, C130="Biomass_Herb", 1/I130*T130)</f>
        <v>49.178167752442995</v>
      </c>
      <c r="AG130" s="1">
        <f t="shared" si="33"/>
        <v>25.704759282020447</v>
      </c>
      <c r="AH130" s="1">
        <f t="shared" si="34"/>
        <v>28.001453410850587</v>
      </c>
      <c r="AI130" s="1">
        <f t="shared" si="35"/>
        <v>0.39384068700029612</v>
      </c>
      <c r="AJ130" s="1">
        <f t="shared" si="36"/>
        <v>2.3127675531451209E-6</v>
      </c>
      <c r="AK130" s="1">
        <f t="shared" si="37"/>
        <v>-20.287688010251475</v>
      </c>
      <c r="AL130">
        <f t="shared" si="38"/>
        <v>2.4332859397225399E-4</v>
      </c>
      <c r="AM130" s="1">
        <f t="shared" si="39"/>
        <v>-0.20534117383032394</v>
      </c>
      <c r="AN130" s="1">
        <f t="shared" si="40"/>
        <v>1.3167061742282333</v>
      </c>
      <c r="AO130">
        <f t="shared" si="41"/>
        <v>-21.604150855885734</v>
      </c>
      <c r="AQ130" s="17">
        <f t="shared" si="42"/>
        <v>1.7190000000000001</v>
      </c>
      <c r="AR130" s="8">
        <v>0.243968185</v>
      </c>
      <c r="AS130" s="8">
        <v>0.24942761299999999</v>
      </c>
      <c r="AT130" s="9">
        <v>0.24635668499999999</v>
      </c>
      <c r="AU130" s="17">
        <v>0.23037490999999999</v>
      </c>
      <c r="AW130" s="9">
        <f t="shared" si="43"/>
        <v>1.7190000000000001</v>
      </c>
      <c r="AY130" s="9">
        <f t="shared" si="44"/>
        <v>0.161799700292</v>
      </c>
      <c r="AZ130" s="9">
        <f t="shared" si="45"/>
        <v>0.33787464456979999</v>
      </c>
      <c r="BA130" s="9">
        <f t="shared" si="46"/>
        <v>0.16845870120299999</v>
      </c>
      <c r="BB130" s="9">
        <f t="shared" si="47"/>
        <v>0.49611723871519708</v>
      </c>
      <c r="BC130" s="9">
        <f t="shared" si="48"/>
        <v>0.55475596339282474</v>
      </c>
      <c r="BE130" s="1">
        <f t="shared" si="49"/>
        <v>-6.2481728215768584E-6</v>
      </c>
    </row>
    <row r="131" spans="2:57" x14ac:dyDescent="0.2">
      <c r="B131" s="12" t="s">
        <v>186</v>
      </c>
      <c r="C131" s="20" t="s">
        <v>77</v>
      </c>
      <c r="D131" s="20">
        <v>0</v>
      </c>
      <c r="E131" s="20">
        <v>2.9403000000000001</v>
      </c>
      <c r="F131" s="20">
        <v>0.60629999999999995</v>
      </c>
      <c r="G131" s="20">
        <v>0.62509999999999999</v>
      </c>
      <c r="H131" s="20">
        <v>1.2383</v>
      </c>
      <c r="I131" s="21">
        <f t="shared" si="25"/>
        <v>2.4696999999999996</v>
      </c>
      <c r="J131" s="20">
        <v>1.6639999999999999</v>
      </c>
      <c r="K131" s="20">
        <v>0.55599732421695092</v>
      </c>
      <c r="L131" s="20">
        <v>0.49722738541925082</v>
      </c>
      <c r="M131" s="20">
        <v>547496.31999999995</v>
      </c>
      <c r="N131" s="20">
        <v>596414.56000000006</v>
      </c>
      <c r="O131" s="20">
        <v>1.0640000000000001</v>
      </c>
      <c r="Q131" s="19">
        <v>105.21100300000001</v>
      </c>
      <c r="R131" s="19">
        <v>-7.3796590000000002</v>
      </c>
      <c r="S131" s="19">
        <v>160</v>
      </c>
      <c r="T131" s="19">
        <v>130.996602</v>
      </c>
      <c r="U131" s="19">
        <v>149.05667199999999</v>
      </c>
      <c r="V131" s="19">
        <v>112.26938</v>
      </c>
      <c r="W131" s="19">
        <v>26.787863000000002</v>
      </c>
      <c r="Y131" t="str">
        <f t="shared" si="26"/>
        <v>NW_FT_High_Diesel_CCS_53_Agri</v>
      </c>
      <c r="Z131" t="str">
        <f t="shared" si="27"/>
        <v>Biomass_Agri</v>
      </c>
      <c r="AA131" s="18">
        <f t="shared" si="28"/>
        <v>114.50667909236375</v>
      </c>
      <c r="AB131" s="18">
        <f t="shared" si="29"/>
        <v>114.50667909236374</v>
      </c>
      <c r="AC131" s="5">
        <f t="shared" si="30"/>
        <v>0</v>
      </c>
      <c r="AD131" s="1">
        <f t="shared" si="31"/>
        <v>0</v>
      </c>
      <c r="AE131" s="1">
        <f t="shared" si="32"/>
        <v>31.89227581443091</v>
      </c>
      <c r="AF131" s="1">
        <f t="array" ref="AF131">_xlfn.IFS(C131="Biomass_Corn", 1/I131*S131, C131="Biomass_Agri", 1/I131*V131, C131="Biomass_Wood", 1/I131*U131, C131="Biomass_Herb", 1/I131*T131)</f>
        <v>45.45871158440297</v>
      </c>
      <c r="AG131" s="1">
        <f t="shared" si="33"/>
        <v>28.118385907724196</v>
      </c>
      <c r="AH131" s="1">
        <f t="shared" si="34"/>
        <v>30.630735123599607</v>
      </c>
      <c r="AI131" s="1">
        <f t="shared" si="35"/>
        <v>0.43082155727416294</v>
      </c>
      <c r="AJ131" s="1">
        <f t="shared" si="36"/>
        <v>2.5902632310365505E-6</v>
      </c>
      <c r="AK131" s="1">
        <f t="shared" si="37"/>
        <v>-22.024523419260664</v>
      </c>
      <c r="AL131">
        <f t="shared" si="38"/>
        <v>2.7252419257137623E-4</v>
      </c>
      <c r="AM131" s="1">
        <f t="shared" si="39"/>
        <v>-0.22512488441666978</v>
      </c>
      <c r="AN131" s="1">
        <f t="shared" si="40"/>
        <v>1.6613639946688021</v>
      </c>
      <c r="AO131">
        <f t="shared" si="41"/>
        <v>-23.6856148897369</v>
      </c>
      <c r="AQ131" s="17">
        <f t="shared" si="42"/>
        <v>1.6639999999999999</v>
      </c>
      <c r="AR131" s="8">
        <v>0.243968185</v>
      </c>
      <c r="AS131" s="8">
        <v>0.24942761299999999</v>
      </c>
      <c r="AT131" s="9">
        <v>0.24635668499999999</v>
      </c>
      <c r="AU131" s="17">
        <v>0.23037490999999999</v>
      </c>
      <c r="AW131" s="9">
        <f t="shared" si="43"/>
        <v>1.6639999999999999</v>
      </c>
      <c r="AY131" s="9">
        <f t="shared" si="44"/>
        <v>0.14791791056549999</v>
      </c>
      <c r="AZ131" s="9">
        <f t="shared" si="45"/>
        <v>0.30886621317789997</v>
      </c>
      <c r="BA131" s="9">
        <f t="shared" si="46"/>
        <v>0.15399756379349999</v>
      </c>
      <c r="BB131" s="9">
        <f t="shared" si="47"/>
        <v>0.49722738541925082</v>
      </c>
      <c r="BC131" s="9">
        <f t="shared" si="48"/>
        <v>0.55599732421695092</v>
      </c>
      <c r="BE131" s="1">
        <f t="shared" si="49"/>
        <v>-6.3971731016909672E-6</v>
      </c>
    </row>
    <row r="132" spans="2:57" x14ac:dyDescent="0.2">
      <c r="B132" s="12" t="s">
        <v>187</v>
      </c>
      <c r="C132" s="20" t="s">
        <v>77</v>
      </c>
      <c r="D132" s="20">
        <v>0</v>
      </c>
      <c r="E132" s="20">
        <v>2.9403000000000001</v>
      </c>
      <c r="F132" s="20">
        <v>0.61750000000000005</v>
      </c>
      <c r="G132" s="20">
        <v>0.63670000000000004</v>
      </c>
      <c r="H132" s="20">
        <v>1.2613000000000001</v>
      </c>
      <c r="I132" s="21">
        <f t="shared" ref="I132:I195" si="50">F132+G132+H132</f>
        <v>2.5155000000000003</v>
      </c>
      <c r="J132" s="20">
        <v>1.6870000000000001</v>
      </c>
      <c r="K132" s="20">
        <v>0.56216098800326997</v>
      </c>
      <c r="L132" s="20">
        <v>0.5027395386178134</v>
      </c>
      <c r="M132" s="20">
        <v>547496.31999999995</v>
      </c>
      <c r="N132" s="20">
        <v>596414.56000000006</v>
      </c>
      <c r="O132" s="20">
        <v>1.0640000000000001</v>
      </c>
      <c r="Q132" s="19">
        <v>105.21100300000001</v>
      </c>
      <c r="R132" s="19">
        <v>-14.567418</v>
      </c>
      <c r="S132" s="19">
        <v>160</v>
      </c>
      <c r="T132" s="19">
        <v>120.282189</v>
      </c>
      <c r="U132" s="19">
        <v>137.475031</v>
      </c>
      <c r="V132" s="19">
        <v>107.559866</v>
      </c>
      <c r="W132" s="19">
        <v>27.957547000000002</v>
      </c>
      <c r="Y132" t="str">
        <f t="shared" ref="Y132:Y195" si="51">B132</f>
        <v>SW_FT_High_Diesel_CCS_53_Agri</v>
      </c>
      <c r="Z132" t="str">
        <f t="shared" ref="Z132:Z195" si="52">C132</f>
        <v>Biomass_Agri</v>
      </c>
      <c r="AA132" s="18">
        <f t="shared" ref="AA132:AA195" si="53">SUM(AD132:AI132)+AK132+AL132</f>
        <v>113.28357364457688</v>
      </c>
      <c r="AB132" s="18">
        <f t="shared" ref="AB132:AB195" si="54">SUM(AD132:AI132)+AN132+AO132</f>
        <v>113.28357364457688</v>
      </c>
      <c r="AC132" s="5">
        <f t="shared" ref="AC132:AC195" si="55">AA132-AB132</f>
        <v>0</v>
      </c>
      <c r="AD132" s="1">
        <f t="shared" ref="AD132:AD195" si="56">D132/I132*W132*-1</f>
        <v>0</v>
      </c>
      <c r="AE132" s="1">
        <f t="shared" ref="AE132:AE195" si="57">E132/I132*W132</f>
        <v>32.67882148443649</v>
      </c>
      <c r="AF132" s="1">
        <f t="array" ref="AF132">_xlfn.IFS(C132="Biomass_Corn", 1/I132*S132, C132="Biomass_Agri", 1/I132*V132, C132="Biomass_Wood", 1/I132*U132, C132="Biomass_Herb", 1/I132*T132)</f>
        <v>42.758841582190414</v>
      </c>
      <c r="AG132" s="1">
        <f t="shared" ref="AG132:AG195" si="58">M132/I132/(0.9*8760)</f>
        <v>27.606431197100548</v>
      </c>
      <c r="AH132" s="1">
        <f t="shared" ref="AH132:AH195" si="59">N132/I132/(0.9*8760)</f>
        <v>30.073037779667633</v>
      </c>
      <c r="AI132" s="1">
        <f t="shared" ref="AI132:AI195" si="60">O132/I132</f>
        <v>0.42297753925660903</v>
      </c>
      <c r="AJ132" s="1">
        <f t="shared" ref="AJ132:AJ195" si="61">(AY132+AZ132+BA132+BB132+BC132-AW132)/I132</f>
        <v>3.6694394685931776E-6</v>
      </c>
      <c r="AK132" s="1">
        <f t="shared" ref="AK132:AK195" si="62">(Q132+R132)*-1*K132/I132</f>
        <v>-20.256922003481762</v>
      </c>
      <c r="AL132">
        <f t="shared" ref="AL132:AL195" si="63">AJ132*Q132</f>
        <v>3.8606540693847521E-4</v>
      </c>
      <c r="AM132" s="1">
        <f t="shared" ref="AM132:AM195" si="64">(SUM(AY132:BB132)-AW132)/I132</f>
        <v>-0.223475157037681</v>
      </c>
      <c r="AN132" s="1">
        <f t="shared" ref="AN132:AN195" si="65">K132/I132*-1*R132</f>
        <v>3.2555094794421064</v>
      </c>
      <c r="AO132">
        <f t="shared" ref="AO132:AO195" si="66">AM132*Q132</f>
        <v>-23.51204541751693</v>
      </c>
      <c r="AQ132" s="17">
        <f t="shared" ref="AQ132:AQ195" si="67">J132</f>
        <v>1.6870000000000001</v>
      </c>
      <c r="AR132" s="8">
        <v>0.243968185</v>
      </c>
      <c r="AS132" s="8">
        <v>0.24942761299999999</v>
      </c>
      <c r="AT132" s="9">
        <v>0.24635668499999999</v>
      </c>
      <c r="AU132" s="17">
        <v>0.23037490999999999</v>
      </c>
      <c r="AW132" s="9">
        <f t="shared" ref="AW132:AW195" si="68">AQ132</f>
        <v>1.6870000000000001</v>
      </c>
      <c r="AY132" s="9">
        <f t="shared" ref="AY132:AY195" si="69">AR132*F132</f>
        <v>0.15065035423750001</v>
      </c>
      <c r="AZ132" s="9">
        <f t="shared" ref="AZ132:AZ195" si="70">AS132*H132</f>
        <v>0.3146030482769</v>
      </c>
      <c r="BA132" s="9">
        <f t="shared" ref="BA132:BA195" si="71">AT132*G132</f>
        <v>0.15685530133950001</v>
      </c>
      <c r="BB132" s="9">
        <f t="shared" ref="BB132:BB195" si="72">L132</f>
        <v>0.5027395386178134</v>
      </c>
      <c r="BC132" s="9">
        <f t="shared" ref="BC132:BC195" si="73">K132</f>
        <v>0.56216098800326997</v>
      </c>
      <c r="BE132" s="1">
        <f t="shared" ref="BE132:BE195" si="74">AW132-SUM(AY132:BC132)</f>
        <v>-9.2304749832461397E-6</v>
      </c>
    </row>
    <row r="133" spans="2:57" x14ac:dyDescent="0.2">
      <c r="B133" s="12" t="s">
        <v>188</v>
      </c>
      <c r="C133" s="20" t="s">
        <v>77</v>
      </c>
      <c r="D133" s="20">
        <v>0</v>
      </c>
      <c r="E133" s="20">
        <v>2.9403000000000001</v>
      </c>
      <c r="F133" s="20">
        <v>0.60160000000000002</v>
      </c>
      <c r="G133" s="20">
        <v>0.62019999999999997</v>
      </c>
      <c r="H133" s="20">
        <v>1.2286999999999999</v>
      </c>
      <c r="I133" s="21">
        <f t="shared" si="50"/>
        <v>2.4504999999999999</v>
      </c>
      <c r="J133" s="20">
        <v>1.633</v>
      </c>
      <c r="K133" s="20">
        <v>0.54213934262913965</v>
      </c>
      <c r="L133" s="20">
        <v>0.4848342179488857</v>
      </c>
      <c r="M133" s="20">
        <v>547496.31999999995</v>
      </c>
      <c r="N133" s="20">
        <v>596414.56000000006</v>
      </c>
      <c r="O133" s="20">
        <v>1.0640000000000001</v>
      </c>
      <c r="Q133" s="19">
        <v>105.21100300000001</v>
      </c>
      <c r="R133" s="19">
        <v>-19.477884</v>
      </c>
      <c r="S133" s="19">
        <v>160</v>
      </c>
      <c r="T133" s="19">
        <v>132.95547999999999</v>
      </c>
      <c r="U133" s="19">
        <v>152.57709199999999</v>
      </c>
      <c r="V133" s="19">
        <v>106.67488899999999</v>
      </c>
      <c r="W133" s="19">
        <v>20.174973000000001</v>
      </c>
      <c r="Y133" t="str">
        <f t="shared" si="51"/>
        <v>TX_FT_High_Diesel_CCS_53_Agri</v>
      </c>
      <c r="Z133" t="str">
        <f t="shared" si="52"/>
        <v>Biomass_Agri</v>
      </c>
      <c r="AA133" s="18">
        <f t="shared" si="53"/>
        <v>108.41603763173322</v>
      </c>
      <c r="AB133" s="18">
        <f t="shared" si="54"/>
        <v>108.41603763173322</v>
      </c>
      <c r="AC133" s="5">
        <f t="shared" si="55"/>
        <v>0</v>
      </c>
      <c r="AD133" s="1">
        <f t="shared" si="56"/>
        <v>0</v>
      </c>
      <c r="AE133" s="1">
        <f t="shared" si="57"/>
        <v>24.207497699204247</v>
      </c>
      <c r="AF133" s="1">
        <f t="array" ref="AF133">_xlfn.IFS(C133="Biomass_Corn", 1/I133*S133, C133="Biomass_Agri", 1/I133*V133, C133="Biomass_Wood", 1/I133*U133, C133="Biomass_Herb", 1/I133*T133)</f>
        <v>43.531886961844521</v>
      </c>
      <c r="AG133" s="1">
        <f t="shared" si="58"/>
        <v>28.338697276599238</v>
      </c>
      <c r="AH133" s="1">
        <f t="shared" si="59"/>
        <v>30.870731089473146</v>
      </c>
      <c r="AI133" s="1">
        <f t="shared" si="60"/>
        <v>0.43419710263211592</v>
      </c>
      <c r="AJ133" s="1">
        <f t="shared" si="61"/>
        <v>2.8340355541034917E-6</v>
      </c>
      <c r="AK133" s="1">
        <f t="shared" si="62"/>
        <v>-18.96727066974324</v>
      </c>
      <c r="AL133">
        <f t="shared" si="63"/>
        <v>2.9817172318488916E-4</v>
      </c>
      <c r="AM133" s="1">
        <f t="shared" si="64"/>
        <v>-0.22123338005509666</v>
      </c>
      <c r="AN133" s="1">
        <f t="shared" si="65"/>
        <v>4.3092133146568603</v>
      </c>
      <c r="AO133">
        <f t="shared" si="66"/>
        <v>-23.276185812676914</v>
      </c>
      <c r="AQ133" s="17">
        <f t="shared" si="67"/>
        <v>1.633</v>
      </c>
      <c r="AR133" s="8">
        <v>0.243968185</v>
      </c>
      <c r="AS133" s="8">
        <v>0.24942761299999999</v>
      </c>
      <c r="AT133" s="9">
        <v>0.24635668499999999</v>
      </c>
      <c r="AU133" s="17">
        <v>0.23037490999999999</v>
      </c>
      <c r="AW133" s="9">
        <f t="shared" si="68"/>
        <v>1.633</v>
      </c>
      <c r="AY133" s="9">
        <f t="shared" si="69"/>
        <v>0.146771260096</v>
      </c>
      <c r="AZ133" s="9">
        <f t="shared" si="70"/>
        <v>0.30647170809309998</v>
      </c>
      <c r="BA133" s="9">
        <f t="shared" si="71"/>
        <v>0.152790416037</v>
      </c>
      <c r="BB133" s="9">
        <f t="shared" si="72"/>
        <v>0.4848342179488857</v>
      </c>
      <c r="BC133" s="9">
        <f t="shared" si="73"/>
        <v>0.54213934262913965</v>
      </c>
      <c r="BE133" s="1">
        <f t="shared" si="74"/>
        <v>-6.9448041253306059E-6</v>
      </c>
    </row>
    <row r="134" spans="2:57" x14ac:dyDescent="0.2">
      <c r="B134" s="12" t="s">
        <v>189</v>
      </c>
      <c r="C134" s="20" t="s">
        <v>77</v>
      </c>
      <c r="D134" s="20">
        <v>0</v>
      </c>
      <c r="E134" s="20">
        <v>2.9403000000000001</v>
      </c>
      <c r="F134" s="20">
        <v>0.62729999999999997</v>
      </c>
      <c r="G134" s="20">
        <v>0.64680000000000004</v>
      </c>
      <c r="H134" s="20">
        <v>1.2811999999999999</v>
      </c>
      <c r="I134" s="21">
        <f t="shared" si="50"/>
        <v>2.5552999999999999</v>
      </c>
      <c r="J134" s="20">
        <v>1.71</v>
      </c>
      <c r="K134" s="20">
        <v>0.56909601130103171</v>
      </c>
      <c r="L134" s="20">
        <v>0.50894151721010994</v>
      </c>
      <c r="M134" s="20">
        <v>547496.31999999995</v>
      </c>
      <c r="N134" s="20">
        <v>596414.56000000006</v>
      </c>
      <c r="O134" s="20">
        <v>1.0640000000000001</v>
      </c>
      <c r="Q134" s="19">
        <v>105.21100300000001</v>
      </c>
      <c r="R134" s="19">
        <v>-39.686463000000003</v>
      </c>
      <c r="S134" s="19">
        <v>160</v>
      </c>
      <c r="T134" s="19">
        <v>100.757654</v>
      </c>
      <c r="U134" s="19">
        <v>111.990773</v>
      </c>
      <c r="V134" s="19">
        <v>89.243781999999996</v>
      </c>
      <c r="W134" s="19">
        <v>30.713950000000001</v>
      </c>
      <c r="Y134" t="str">
        <f t="shared" si="51"/>
        <v>NCEN_FT_High_Diesel_CCS_53_Agri</v>
      </c>
      <c r="Z134" t="str">
        <f t="shared" si="52"/>
        <v>Biomass_Agri</v>
      </c>
      <c r="AA134" s="18">
        <f t="shared" si="53"/>
        <v>112.87042407035192</v>
      </c>
      <c r="AB134" s="18">
        <f t="shared" si="54"/>
        <v>112.87042407035193</v>
      </c>
      <c r="AC134" s="5">
        <f t="shared" si="55"/>
        <v>0</v>
      </c>
      <c r="AD134" s="1">
        <f t="shared" si="56"/>
        <v>0</v>
      </c>
      <c r="AE134" s="1">
        <f t="shared" si="57"/>
        <v>35.341536095566077</v>
      </c>
      <c r="AF134" s="1">
        <f t="array" ref="AF134">_xlfn.IFS(C134="Biomass_Corn", 1/I134*S134, C134="Biomass_Agri", 1/I134*V134, C134="Biomass_Wood", 1/I134*U134, C134="Biomass_Herb", 1/I134*T134)</f>
        <v>34.924972410284511</v>
      </c>
      <c r="AG134" s="1">
        <f t="shared" si="58"/>
        <v>27.17644803988042</v>
      </c>
      <c r="AH134" s="1">
        <f t="shared" si="59"/>
        <v>29.604636064162307</v>
      </c>
      <c r="AI134" s="1">
        <f t="shared" si="60"/>
        <v>0.41638946503345992</v>
      </c>
      <c r="AJ134" s="1">
        <f t="shared" si="61"/>
        <v>-4.3311567167943943E-6</v>
      </c>
      <c r="AK134" s="1">
        <f t="shared" si="62"/>
        <v>-14.593102319232537</v>
      </c>
      <c r="AL134">
        <f t="shared" si="63"/>
        <v>-4.5568534232412521E-4</v>
      </c>
      <c r="AM134" s="1">
        <f t="shared" si="64"/>
        <v>-0.22271634591076983</v>
      </c>
      <c r="AN134" s="1">
        <f t="shared" si="65"/>
        <v>8.8386521331921806</v>
      </c>
      <c r="AO134">
        <f t="shared" si="66"/>
        <v>-23.432210137767044</v>
      </c>
      <c r="AQ134" s="17">
        <f t="shared" si="67"/>
        <v>1.71</v>
      </c>
      <c r="AR134" s="8">
        <v>0.243968185</v>
      </c>
      <c r="AS134" s="8">
        <v>0.24942761299999999</v>
      </c>
      <c r="AT134" s="9">
        <v>0.24635668499999999</v>
      </c>
      <c r="AU134" s="17">
        <v>0.23037490999999999</v>
      </c>
      <c r="AW134" s="9">
        <f t="shared" si="68"/>
        <v>1.71</v>
      </c>
      <c r="AY134" s="9">
        <f t="shared" si="69"/>
        <v>0.15304124245049999</v>
      </c>
      <c r="AZ134" s="9">
        <f t="shared" si="70"/>
        <v>0.31956665777559995</v>
      </c>
      <c r="BA134" s="9">
        <f t="shared" si="71"/>
        <v>0.159343503858</v>
      </c>
      <c r="BB134" s="9">
        <f t="shared" si="72"/>
        <v>0.50894151721010994</v>
      </c>
      <c r="BC134" s="9">
        <f t="shared" si="73"/>
        <v>0.56909601130103171</v>
      </c>
      <c r="BE134" s="1">
        <f t="shared" si="74"/>
        <v>1.1067404758424715E-5</v>
      </c>
    </row>
    <row r="135" spans="2:57" x14ac:dyDescent="0.2">
      <c r="B135" s="12" t="s">
        <v>190</v>
      </c>
      <c r="C135" s="20" t="s">
        <v>77</v>
      </c>
      <c r="D135" s="20">
        <v>0</v>
      </c>
      <c r="E135" s="20">
        <v>2.9403000000000001</v>
      </c>
      <c r="F135" s="20">
        <v>0.62260000000000004</v>
      </c>
      <c r="G135" s="20">
        <v>0.64190000000000003</v>
      </c>
      <c r="H135" s="20">
        <v>1.2716000000000001</v>
      </c>
      <c r="I135" s="21">
        <f t="shared" si="50"/>
        <v>2.5361000000000002</v>
      </c>
      <c r="J135" s="20">
        <v>1.7</v>
      </c>
      <c r="K135" s="20">
        <v>0.56632392971322043</v>
      </c>
      <c r="L135" s="20">
        <v>0.50646244973974486</v>
      </c>
      <c r="M135" s="20">
        <v>547496.31999999995</v>
      </c>
      <c r="N135" s="20">
        <v>596414.56000000006</v>
      </c>
      <c r="O135" s="20">
        <v>1.0640000000000001</v>
      </c>
      <c r="Q135" s="19">
        <v>105.21100300000001</v>
      </c>
      <c r="R135" s="19">
        <v>-29.672038000000001</v>
      </c>
      <c r="S135" s="19">
        <v>160</v>
      </c>
      <c r="T135" s="19">
        <v>107.027154</v>
      </c>
      <c r="U135" s="19">
        <v>122.865223</v>
      </c>
      <c r="V135" s="19">
        <v>94.404420999999999</v>
      </c>
      <c r="W135" s="19">
        <v>25.118154000000001</v>
      </c>
      <c r="Y135" t="str">
        <f t="shared" si="51"/>
        <v>CEN_FT_High_Diesel_CCS_53_Agri</v>
      </c>
      <c r="Z135" t="str">
        <f t="shared" si="52"/>
        <v>Biomass_Agri</v>
      </c>
      <c r="AA135" s="18">
        <f t="shared" si="53"/>
        <v>107.10752853438153</v>
      </c>
      <c r="AB135" s="18">
        <f t="shared" si="54"/>
        <v>107.10752853438152</v>
      </c>
      <c r="AC135" s="5">
        <f t="shared" si="55"/>
        <v>0</v>
      </c>
      <c r="AD135" s="1">
        <f t="shared" si="56"/>
        <v>0</v>
      </c>
      <c r="AE135" s="1">
        <f t="shared" si="57"/>
        <v>29.12144955096408</v>
      </c>
      <c r="AF135" s="1">
        <f t="array" ref="AF135">_xlfn.IFS(C135="Biomass_Corn", 1/I135*S135, C135="Biomass_Agri", 1/I135*V135, C135="Biomass_Wood", 1/I135*U135, C135="Biomass_Herb", 1/I135*T135)</f>
        <v>37.22425022672607</v>
      </c>
      <c r="AG135" s="1">
        <f t="shared" si="58"/>
        <v>27.382192214938854</v>
      </c>
      <c r="AH135" s="1">
        <f t="shared" si="59"/>
        <v>29.828763272250278</v>
      </c>
      <c r="AI135" s="1">
        <f t="shared" si="60"/>
        <v>0.41954181617444103</v>
      </c>
      <c r="AJ135" s="1">
        <f t="shared" si="61"/>
        <v>-4.1480121976905606E-6</v>
      </c>
      <c r="AK135" s="1">
        <f t="shared" si="62"/>
        <v>-16.868232130148424</v>
      </c>
      <c r="AL135">
        <f t="shared" si="63"/>
        <v>-4.3641652377525821E-4</v>
      </c>
      <c r="AM135" s="1">
        <f t="shared" si="64"/>
        <v>-0.22330919501871174</v>
      </c>
      <c r="AN135" s="1">
        <f t="shared" si="65"/>
        <v>6.6259158403690721</v>
      </c>
      <c r="AO135">
        <f t="shared" si="66"/>
        <v>-23.494584387041268</v>
      </c>
      <c r="AQ135" s="17">
        <f t="shared" si="67"/>
        <v>1.7</v>
      </c>
      <c r="AR135" s="8">
        <v>0.243968185</v>
      </c>
      <c r="AS135" s="8">
        <v>0.24942761299999999</v>
      </c>
      <c r="AT135" s="9">
        <v>0.24635668499999999</v>
      </c>
      <c r="AU135" s="17">
        <v>0.23037490999999999</v>
      </c>
      <c r="AW135" s="9">
        <f t="shared" si="68"/>
        <v>1.7</v>
      </c>
      <c r="AY135" s="9">
        <f t="shared" si="69"/>
        <v>0.15189459198100003</v>
      </c>
      <c r="AZ135" s="9">
        <f t="shared" si="70"/>
        <v>0.31717215269080001</v>
      </c>
      <c r="BA135" s="9">
        <f t="shared" si="71"/>
        <v>0.15813635610150001</v>
      </c>
      <c r="BB135" s="9">
        <f t="shared" si="72"/>
        <v>0.50646244973974486</v>
      </c>
      <c r="BC135" s="9">
        <f t="shared" si="73"/>
        <v>0.56632392971322043</v>
      </c>
      <c r="BE135" s="1">
        <f t="shared" si="74"/>
        <v>1.0519773734563032E-5</v>
      </c>
    </row>
    <row r="136" spans="2:57" x14ac:dyDescent="0.2">
      <c r="B136" s="12" t="s">
        <v>191</v>
      </c>
      <c r="C136" s="20" t="s">
        <v>77</v>
      </c>
      <c r="D136" s="20">
        <v>0</v>
      </c>
      <c r="E136" s="20">
        <v>2.9403000000000001</v>
      </c>
      <c r="F136" s="20">
        <v>0.62480000000000002</v>
      </c>
      <c r="G136" s="20">
        <v>0.64410000000000001</v>
      </c>
      <c r="H136" s="20">
        <v>1.2761</v>
      </c>
      <c r="I136" s="21">
        <f t="shared" si="50"/>
        <v>2.5449999999999999</v>
      </c>
      <c r="J136" s="20">
        <v>1.6890000000000001</v>
      </c>
      <c r="K136" s="20">
        <v>0.55935999044605655</v>
      </c>
      <c r="L136" s="20">
        <v>0.50023461164914418</v>
      </c>
      <c r="M136" s="20">
        <v>547496.31999999995</v>
      </c>
      <c r="N136" s="20">
        <v>596414.56000000006</v>
      </c>
      <c r="O136" s="20">
        <v>1.0640000000000001</v>
      </c>
      <c r="Q136" s="19">
        <v>105.21100300000001</v>
      </c>
      <c r="R136" s="19">
        <v>-45.510345000000001</v>
      </c>
      <c r="S136" s="19">
        <v>160</v>
      </c>
      <c r="T136" s="19">
        <v>97.593261999999996</v>
      </c>
      <c r="U136" s="19">
        <v>109.791234</v>
      </c>
      <c r="V136" s="19">
        <v>86.911507</v>
      </c>
      <c r="W136" s="19">
        <v>38.099075999999997</v>
      </c>
      <c r="Y136" t="str">
        <f t="shared" si="51"/>
        <v>SE_FT_High_Diesel_CCS_53_Agri</v>
      </c>
      <c r="Z136" t="str">
        <f t="shared" si="52"/>
        <v>Biomass_Agri</v>
      </c>
      <c r="AA136" s="18">
        <f t="shared" si="53"/>
        <v>122.4741229997199</v>
      </c>
      <c r="AB136" s="18">
        <f t="shared" si="54"/>
        <v>122.4741229997199</v>
      </c>
      <c r="AC136" s="5">
        <f t="shared" si="55"/>
        <v>0</v>
      </c>
      <c r="AD136" s="1">
        <f t="shared" si="56"/>
        <v>0</v>
      </c>
      <c r="AE136" s="1">
        <f t="shared" si="57"/>
        <v>44.0167831680943</v>
      </c>
      <c r="AF136" s="1">
        <f t="array" ref="AF136">_xlfn.IFS(C136="Biomass_Corn", 1/I136*S136, C136="Biomass_Agri", 1/I136*V136, C136="Biomass_Wood", 1/I136*U136, C136="Biomass_Herb", 1/I136*T136)</f>
        <v>34.149904518664052</v>
      </c>
      <c r="AG136" s="1">
        <f t="shared" si="58"/>
        <v>27.286435236269721</v>
      </c>
      <c r="AH136" s="1">
        <f t="shared" si="59"/>
        <v>29.724450504814907</v>
      </c>
      <c r="AI136" s="1">
        <f t="shared" si="60"/>
        <v>0.41807465618860512</v>
      </c>
      <c r="AJ136" s="1">
        <f t="shared" si="61"/>
        <v>-4.550722983773395E-7</v>
      </c>
      <c r="AK136" s="1">
        <f t="shared" si="62"/>
        <v>-13.12147720569874</v>
      </c>
      <c r="AL136">
        <f t="shared" si="63"/>
        <v>-4.7878612949795166E-5</v>
      </c>
      <c r="AM136" s="1">
        <f t="shared" si="64"/>
        <v>-0.21978827057173117</v>
      </c>
      <c r="AN136" s="1">
        <f t="shared" si="65"/>
        <v>10.002619310175536</v>
      </c>
      <c r="AO136">
        <f t="shared" si="66"/>
        <v>-23.124144394487221</v>
      </c>
      <c r="AQ136" s="17">
        <f t="shared" si="67"/>
        <v>1.6890000000000001</v>
      </c>
      <c r="AR136" s="8">
        <v>0.243968185</v>
      </c>
      <c r="AS136" s="8">
        <v>0.24942761299999999</v>
      </c>
      <c r="AT136" s="9">
        <v>0.24635668499999999</v>
      </c>
      <c r="AU136" s="17">
        <v>0.23037490999999999</v>
      </c>
      <c r="AW136" s="9">
        <f t="shared" si="68"/>
        <v>1.6890000000000001</v>
      </c>
      <c r="AY136" s="9">
        <f t="shared" si="69"/>
        <v>0.152431321988</v>
      </c>
      <c r="AZ136" s="9">
        <f t="shared" si="70"/>
        <v>0.31829457694929997</v>
      </c>
      <c r="BA136" s="9">
        <f t="shared" si="71"/>
        <v>0.15867834080849999</v>
      </c>
      <c r="BB136" s="9">
        <f t="shared" si="72"/>
        <v>0.50023461164914418</v>
      </c>
      <c r="BC136" s="9">
        <f t="shared" si="73"/>
        <v>0.55935999044605655</v>
      </c>
      <c r="BE136" s="1">
        <f t="shared" si="74"/>
        <v>1.158158999370329E-6</v>
      </c>
    </row>
    <row r="137" spans="2:57" x14ac:dyDescent="0.2">
      <c r="B137" s="12" t="s">
        <v>192</v>
      </c>
      <c r="C137" s="20" t="s">
        <v>77</v>
      </c>
      <c r="D137" s="20">
        <v>0</v>
      </c>
      <c r="E137" s="20">
        <v>2.9403000000000001</v>
      </c>
      <c r="F137" s="20">
        <v>0.62660000000000005</v>
      </c>
      <c r="G137" s="20">
        <v>0.64600000000000002</v>
      </c>
      <c r="H137" s="20">
        <v>1.2798</v>
      </c>
      <c r="I137" s="21">
        <f t="shared" si="50"/>
        <v>2.5524000000000004</v>
      </c>
      <c r="J137" s="20">
        <v>1.708</v>
      </c>
      <c r="K137" s="20">
        <v>0.56842589105675301</v>
      </c>
      <c r="L137" s="20">
        <v>0.50834222990697686</v>
      </c>
      <c r="M137" s="20">
        <v>547496.31999999995</v>
      </c>
      <c r="N137" s="20">
        <v>596414.56000000006</v>
      </c>
      <c r="O137" s="20">
        <v>1.0640000000000001</v>
      </c>
      <c r="Q137" s="19">
        <v>105.21100300000001</v>
      </c>
      <c r="R137" s="19">
        <v>-50.334515000000003</v>
      </c>
      <c r="S137" s="19">
        <v>160</v>
      </c>
      <c r="T137" s="19">
        <v>98.707491000000005</v>
      </c>
      <c r="U137" s="19">
        <v>106.53195700000001</v>
      </c>
      <c r="V137" s="19">
        <v>87.469328000000004</v>
      </c>
      <c r="W137" s="19">
        <v>39.29871</v>
      </c>
      <c r="Y137" t="str">
        <f t="shared" si="51"/>
        <v>MIDAT_FT_High_Diesel_CCS_53_Agri</v>
      </c>
      <c r="Z137" t="str">
        <f t="shared" si="52"/>
        <v>Biomass_Agri</v>
      </c>
      <c r="AA137" s="18">
        <f t="shared" si="53"/>
        <v>124.58199020613345</v>
      </c>
      <c r="AB137" s="18">
        <f t="shared" si="54"/>
        <v>124.58199020613345</v>
      </c>
      <c r="AC137" s="5">
        <f t="shared" si="55"/>
        <v>0</v>
      </c>
      <c r="AD137" s="1">
        <f t="shared" si="56"/>
        <v>0</v>
      </c>
      <c r="AE137" s="1">
        <f t="shared" si="57"/>
        <v>45.271116209449922</v>
      </c>
      <c r="AF137" s="1">
        <f t="array" ref="AF137">_xlfn.IFS(C137="Biomass_Corn", 1/I137*S137, C137="Biomass_Agri", 1/I137*V137, C137="Biomass_Wood", 1/I137*U137, C137="Biomass_Herb", 1/I137*T137)</f>
        <v>34.269443660868198</v>
      </c>
      <c r="AG137" s="1">
        <f t="shared" si="58"/>
        <v>27.207325527466864</v>
      </c>
      <c r="AH137" s="1">
        <f t="shared" si="59"/>
        <v>29.638272423896698</v>
      </c>
      <c r="AI137" s="1">
        <f t="shared" si="60"/>
        <v>0.41686256072715872</v>
      </c>
      <c r="AJ137" s="1">
        <f t="shared" si="61"/>
        <v>9.6509643074364755E-7</v>
      </c>
      <c r="AK137" s="1">
        <f t="shared" si="62"/>
        <v>-12.221131715038869</v>
      </c>
      <c r="AL137">
        <f t="shared" si="63"/>
        <v>1.015387634702592E-4</v>
      </c>
      <c r="AM137" s="1">
        <f t="shared" si="64"/>
        <v>-0.222701546679448</v>
      </c>
      <c r="AN137" s="1">
        <f t="shared" si="65"/>
        <v>11.209622919520646</v>
      </c>
      <c r="AO137">
        <f t="shared" si="66"/>
        <v>-23.430653095796046</v>
      </c>
      <c r="AQ137" s="17">
        <f t="shared" si="67"/>
        <v>1.708</v>
      </c>
      <c r="AR137" s="8">
        <v>0.243968185</v>
      </c>
      <c r="AS137" s="8">
        <v>0.24942761299999999</v>
      </c>
      <c r="AT137" s="9">
        <v>0.24635668499999999</v>
      </c>
      <c r="AU137" s="17">
        <v>0.23037490999999999</v>
      </c>
      <c r="AW137" s="9">
        <f t="shared" si="68"/>
        <v>1.708</v>
      </c>
      <c r="AY137" s="9">
        <f t="shared" si="69"/>
        <v>0.15287046472100002</v>
      </c>
      <c r="AZ137" s="9">
        <f t="shared" si="70"/>
        <v>0.31921745911740002</v>
      </c>
      <c r="BA137" s="9">
        <f t="shared" si="71"/>
        <v>0.15914641851</v>
      </c>
      <c r="BB137" s="9">
        <f t="shared" si="72"/>
        <v>0.50834222990697686</v>
      </c>
      <c r="BC137" s="9">
        <f t="shared" si="73"/>
        <v>0.56842589105675301</v>
      </c>
      <c r="BE137" s="1">
        <f t="shared" si="74"/>
        <v>-2.4633121298300864E-6</v>
      </c>
    </row>
    <row r="138" spans="2:57" x14ac:dyDescent="0.2">
      <c r="B138" s="12" t="s">
        <v>193</v>
      </c>
      <c r="C138" s="20" t="s">
        <v>77</v>
      </c>
      <c r="D138" s="20">
        <v>0</v>
      </c>
      <c r="E138" s="20">
        <v>2.9403000000000001</v>
      </c>
      <c r="F138" s="20">
        <v>0.63390000000000002</v>
      </c>
      <c r="G138" s="20">
        <v>0.65349999999999997</v>
      </c>
      <c r="H138" s="20">
        <v>1.2946</v>
      </c>
      <c r="I138" s="21">
        <f t="shared" si="50"/>
        <v>2.5819999999999999</v>
      </c>
      <c r="J138" s="20">
        <v>1.7150000000000001</v>
      </c>
      <c r="K138" s="20">
        <v>0.5682643934995395</v>
      </c>
      <c r="L138" s="20">
        <v>0.50819780293830763</v>
      </c>
      <c r="M138" s="20">
        <v>547496.31999999995</v>
      </c>
      <c r="N138" s="20">
        <v>596414.56000000006</v>
      </c>
      <c r="O138" s="20">
        <v>1.0640000000000001</v>
      </c>
      <c r="Q138" s="19">
        <v>105.21100300000001</v>
      </c>
      <c r="R138" s="19">
        <v>-58.833413</v>
      </c>
      <c r="S138" s="19">
        <v>160</v>
      </c>
      <c r="T138" s="19">
        <v>99.493746999999999</v>
      </c>
      <c r="U138" s="19">
        <v>105.21395800000001</v>
      </c>
      <c r="V138" s="19">
        <v>89.700445000000002</v>
      </c>
      <c r="W138" s="19">
        <v>47.365060999999997</v>
      </c>
      <c r="Y138" t="str">
        <f t="shared" si="51"/>
        <v>NE_FT_High_Diesel_CCS_53_Agri</v>
      </c>
      <c r="Z138" t="str">
        <f t="shared" si="52"/>
        <v>Biomass_Agri</v>
      </c>
      <c r="AA138" s="18">
        <f t="shared" si="53"/>
        <v>135.07810345792845</v>
      </c>
      <c r="AB138" s="18">
        <f t="shared" si="54"/>
        <v>135.07810345792845</v>
      </c>
      <c r="AC138" s="5">
        <f t="shared" si="55"/>
        <v>0</v>
      </c>
      <c r="AD138" s="1">
        <f t="shared" si="56"/>
        <v>0</v>
      </c>
      <c r="AE138" s="1">
        <f t="shared" si="57"/>
        <v>53.937834569442295</v>
      </c>
      <c r="AF138" s="1">
        <f t="array" ref="AF138">_xlfn.IFS(C138="Biomass_Corn", 1/I138*S138, C138="Biomass_Agri", 1/I138*V138, C138="Biomass_Wood", 1/I138*U138, C138="Biomass_Herb", 1/I138*T138)</f>
        <v>34.740683578621223</v>
      </c>
      <c r="AG138" s="1">
        <f t="shared" si="58"/>
        <v>26.895421253410703</v>
      </c>
      <c r="AH138" s="1">
        <f t="shared" si="59"/>
        <v>29.298499819811752</v>
      </c>
      <c r="AI138" s="1">
        <f t="shared" si="60"/>
        <v>0.41208365608055775</v>
      </c>
      <c r="AJ138" s="1">
        <f t="shared" si="61"/>
        <v>6.4718615983165087E-6</v>
      </c>
      <c r="AK138" s="1">
        <f t="shared" si="62"/>
        <v>-10.207100330488114</v>
      </c>
      <c r="AL138">
        <f t="shared" si="63"/>
        <v>6.8091105003606305E-4</v>
      </c>
      <c r="AM138" s="1">
        <f t="shared" si="64"/>
        <v>-0.2200804349933744</v>
      </c>
      <c r="AN138" s="1">
        <f t="shared" si="65"/>
        <v>12.94846388689114</v>
      </c>
      <c r="AO138">
        <f t="shared" si="66"/>
        <v>-23.154883306329221</v>
      </c>
      <c r="AQ138" s="17">
        <f t="shared" si="67"/>
        <v>1.7150000000000001</v>
      </c>
      <c r="AR138" s="8">
        <v>0.243968185</v>
      </c>
      <c r="AS138" s="8">
        <v>0.24942761299999999</v>
      </c>
      <c r="AT138" s="9">
        <v>0.24635668499999999</v>
      </c>
      <c r="AU138" s="17">
        <v>0.23037490999999999</v>
      </c>
      <c r="AW138" s="9">
        <f t="shared" si="68"/>
        <v>1.7150000000000001</v>
      </c>
      <c r="AY138" s="9">
        <f t="shared" si="69"/>
        <v>0.15465143247150001</v>
      </c>
      <c r="AZ138" s="9">
        <f t="shared" si="70"/>
        <v>0.32290898778979998</v>
      </c>
      <c r="BA138" s="9">
        <f t="shared" si="71"/>
        <v>0.16099409364749998</v>
      </c>
      <c r="BB138" s="9">
        <f t="shared" si="72"/>
        <v>0.50819780293830763</v>
      </c>
      <c r="BC138" s="9">
        <f t="shared" si="73"/>
        <v>0.5682643934995395</v>
      </c>
      <c r="BE138" s="1">
        <f t="shared" si="74"/>
        <v>-1.6710346646853225E-5</v>
      </c>
    </row>
    <row r="139" spans="2:57" x14ac:dyDescent="0.2">
      <c r="B139" s="12" t="s">
        <v>194</v>
      </c>
      <c r="C139" s="20" t="s">
        <v>57</v>
      </c>
      <c r="D139" s="20">
        <v>0</v>
      </c>
      <c r="E139" s="20">
        <v>3.5964999999999998</v>
      </c>
      <c r="F139" s="20">
        <v>0.65959999999999996</v>
      </c>
      <c r="G139" s="20">
        <v>0.68</v>
      </c>
      <c r="H139" s="20">
        <v>1.3472</v>
      </c>
      <c r="I139" s="21">
        <f t="shared" si="50"/>
        <v>2.6867999999999999</v>
      </c>
      <c r="J139" s="20">
        <v>1.7210000000000001</v>
      </c>
      <c r="K139" s="20">
        <v>1.05156049139842</v>
      </c>
      <c r="L139" s="20">
        <v>4.9656729725434997E-3</v>
      </c>
      <c r="M139" s="20">
        <v>644392</v>
      </c>
      <c r="N139" s="20">
        <v>646477.43999999994</v>
      </c>
      <c r="O139" s="20">
        <v>4.2560000000000002</v>
      </c>
      <c r="Q139" s="19">
        <v>105.21100300000001</v>
      </c>
      <c r="R139" s="19">
        <v>-6.4122130000000004</v>
      </c>
      <c r="S139" s="19">
        <v>160</v>
      </c>
      <c r="T139" s="19">
        <v>313632.96735400002</v>
      </c>
      <c r="U139" s="19">
        <v>154.036981</v>
      </c>
      <c r="V139" s="19">
        <v>132.85973799999999</v>
      </c>
      <c r="W139" s="19">
        <v>36.488697999999999</v>
      </c>
      <c r="Y139" t="str">
        <f t="shared" si="51"/>
        <v>CA_FT_High_Diesel_CCS_99_Herb</v>
      </c>
      <c r="Z139" t="str">
        <f t="shared" si="52"/>
        <v>Biomass_Herb</v>
      </c>
      <c r="AA139" s="18">
        <f t="shared" si="53"/>
        <v>116803.74227825546</v>
      </c>
      <c r="AB139" s="18">
        <f t="shared" si="54"/>
        <v>116803.74227825546</v>
      </c>
      <c r="AC139" s="5">
        <f t="shared" si="55"/>
        <v>0</v>
      </c>
      <c r="AD139" s="1">
        <f t="shared" si="56"/>
        <v>0</v>
      </c>
      <c r="AE139" s="1">
        <f t="shared" si="57"/>
        <v>48.843085587687952</v>
      </c>
      <c r="AF139" s="1">
        <f t="array" ref="AF139">_xlfn.IFS(C139="Biomass_Corn", 1/I139*S139, C139="Biomass_Agri", 1/I139*V139, C139="Biomass_Wood", 1/I139*U139, C139="Biomass_Herb", 1/I139*T139)</f>
        <v>116731.04338022928</v>
      </c>
      <c r="AG139" s="1">
        <f t="shared" si="58"/>
        <v>30.420628667562944</v>
      </c>
      <c r="AH139" s="1">
        <f t="shared" si="59"/>
        <v>30.519078672914471</v>
      </c>
      <c r="AI139" s="1">
        <f t="shared" si="60"/>
        <v>1.5840404942682746</v>
      </c>
      <c r="AJ139" s="1">
        <f t="shared" si="61"/>
        <v>-3.7024320254649685E-7</v>
      </c>
      <c r="AK139" s="1">
        <f t="shared" si="62"/>
        <v>-38.667896442596884</v>
      </c>
      <c r="AL139">
        <f t="shared" si="63"/>
        <v>-3.895365869384909E-5</v>
      </c>
      <c r="AM139" s="1">
        <f t="shared" si="64"/>
        <v>-0.3913806335297963</v>
      </c>
      <c r="AN139" s="1">
        <f t="shared" si="65"/>
        <v>2.5096136121897192</v>
      </c>
      <c r="AO139">
        <f t="shared" si="66"/>
        <v>-41.177549008445304</v>
      </c>
      <c r="AQ139" s="17">
        <f t="shared" si="67"/>
        <v>1.7210000000000001</v>
      </c>
      <c r="AR139" s="8">
        <v>0.243968185</v>
      </c>
      <c r="AS139" s="8">
        <v>0.24942761299999999</v>
      </c>
      <c r="AT139" s="9">
        <v>0.24635668499999999</v>
      </c>
      <c r="AU139" s="17">
        <v>0.23037490999999999</v>
      </c>
      <c r="AW139" s="9">
        <f t="shared" si="68"/>
        <v>1.7210000000000001</v>
      </c>
      <c r="AY139" s="9">
        <f t="shared" si="69"/>
        <v>0.160921414826</v>
      </c>
      <c r="AZ139" s="9">
        <f t="shared" si="70"/>
        <v>0.3360288802336</v>
      </c>
      <c r="BA139" s="9">
        <f t="shared" si="71"/>
        <v>0.16752254580000001</v>
      </c>
      <c r="BB139" s="9">
        <f t="shared" si="72"/>
        <v>4.9656729725434997E-3</v>
      </c>
      <c r="BC139" s="9">
        <f t="shared" si="73"/>
        <v>1.05156049139842</v>
      </c>
      <c r="BE139" s="1">
        <f t="shared" si="74"/>
        <v>9.9476943660192774E-7</v>
      </c>
    </row>
    <row r="140" spans="2:57" x14ac:dyDescent="0.2">
      <c r="B140" s="12" t="s">
        <v>195</v>
      </c>
      <c r="C140" s="20" t="s">
        <v>57</v>
      </c>
      <c r="D140" s="20">
        <v>0</v>
      </c>
      <c r="E140" s="20">
        <v>3.5964999999999998</v>
      </c>
      <c r="F140" s="20">
        <v>0.66110000000000002</v>
      </c>
      <c r="G140" s="20">
        <v>0.68149999999999999</v>
      </c>
      <c r="H140" s="20">
        <v>1.3501000000000001</v>
      </c>
      <c r="I140" s="21">
        <f t="shared" si="50"/>
        <v>2.6927000000000003</v>
      </c>
      <c r="J140" s="20">
        <v>1.726</v>
      </c>
      <c r="K140" s="20">
        <v>1.0550826740622981</v>
      </c>
      <c r="L140" s="20">
        <v>4.9823054034891998E-3</v>
      </c>
      <c r="M140" s="20">
        <v>644392</v>
      </c>
      <c r="N140" s="20">
        <v>646477.43999999994</v>
      </c>
      <c r="O140" s="20">
        <v>4.2560000000000002</v>
      </c>
      <c r="Q140" s="19">
        <v>105.21100300000001</v>
      </c>
      <c r="R140" s="19">
        <v>-7.3796590000000002</v>
      </c>
      <c r="S140" s="19">
        <v>160</v>
      </c>
      <c r="T140" s="19">
        <v>130.996602</v>
      </c>
      <c r="U140" s="19">
        <v>149.05667199999999</v>
      </c>
      <c r="V140" s="19">
        <v>112.26938</v>
      </c>
      <c r="W140" s="19">
        <v>26.787863000000002</v>
      </c>
      <c r="Y140" t="str">
        <f t="shared" si="51"/>
        <v>NW_FT_High_Diesel_CCS_99_Herb</v>
      </c>
      <c r="Z140" t="str">
        <f t="shared" si="52"/>
        <v>Biomass_Herb</v>
      </c>
      <c r="AA140" s="18">
        <f t="shared" si="53"/>
        <v>108.48124493232504</v>
      </c>
      <c r="AB140" s="18">
        <f t="shared" si="54"/>
        <v>108.48124493232504</v>
      </c>
      <c r="AC140" s="5">
        <f t="shared" si="55"/>
        <v>0</v>
      </c>
      <c r="AD140" s="1">
        <f t="shared" si="56"/>
        <v>0</v>
      </c>
      <c r="AE140" s="1">
        <f t="shared" si="57"/>
        <v>35.779161911650014</v>
      </c>
      <c r="AF140" s="1">
        <f t="array" ref="AF140">_xlfn.IFS(C140="Biomass_Corn", 1/I140*S140, C140="Biomass_Agri", 1/I140*V140, C140="Biomass_Wood", 1/I140*U140, C140="Biomass_Herb", 1/I140*T140)</f>
        <v>48.648791918891817</v>
      </c>
      <c r="AG140" s="1">
        <f t="shared" si="58"/>
        <v>30.353973745314406</v>
      </c>
      <c r="AH140" s="1">
        <f t="shared" si="59"/>
        <v>30.452208035944068</v>
      </c>
      <c r="AI140" s="1">
        <f t="shared" si="60"/>
        <v>1.5805696884168305</v>
      </c>
      <c r="AJ140" s="1">
        <f t="shared" si="61"/>
        <v>-1.2449555883418997E-6</v>
      </c>
      <c r="AK140" s="1">
        <f t="shared" si="62"/>
        <v>-38.333329384865948</v>
      </c>
      <c r="AL140">
        <f t="shared" si="63"/>
        <v>-1.3098302613990639E-4</v>
      </c>
      <c r="AM140" s="1">
        <f t="shared" si="64"/>
        <v>-0.39183199998299501</v>
      </c>
      <c r="AN140" s="1">
        <f t="shared" si="65"/>
        <v>2.8915773578147967</v>
      </c>
      <c r="AO140">
        <f t="shared" si="66"/>
        <v>-41.225037725706891</v>
      </c>
      <c r="AQ140" s="17">
        <f t="shared" si="67"/>
        <v>1.726</v>
      </c>
      <c r="AR140" s="8">
        <v>0.243968185</v>
      </c>
      <c r="AS140" s="8">
        <v>0.24942761299999999</v>
      </c>
      <c r="AT140" s="9">
        <v>0.24635668499999999</v>
      </c>
      <c r="AU140" s="17">
        <v>0.23037490999999999</v>
      </c>
      <c r="AW140" s="9">
        <f t="shared" si="68"/>
        <v>1.726</v>
      </c>
      <c r="AY140" s="9">
        <f t="shared" si="69"/>
        <v>0.1612873671035</v>
      </c>
      <c r="AZ140" s="9">
        <f t="shared" si="70"/>
        <v>0.33675222031130003</v>
      </c>
      <c r="BA140" s="9">
        <f t="shared" si="71"/>
        <v>0.16789208082749998</v>
      </c>
      <c r="BB140" s="9">
        <f t="shared" si="72"/>
        <v>4.9823054034891998E-3</v>
      </c>
      <c r="BC140" s="9">
        <f t="shared" si="73"/>
        <v>1.0550826740622981</v>
      </c>
      <c r="BE140" s="1">
        <f t="shared" si="74"/>
        <v>3.3522919127282336E-6</v>
      </c>
    </row>
    <row r="141" spans="2:57" x14ac:dyDescent="0.2">
      <c r="B141" s="12" t="s">
        <v>196</v>
      </c>
      <c r="C141" s="20" t="s">
        <v>57</v>
      </c>
      <c r="D141" s="20">
        <v>0</v>
      </c>
      <c r="E141" s="20">
        <v>3.5964999999999998</v>
      </c>
      <c r="F141" s="20">
        <v>0.65669999999999995</v>
      </c>
      <c r="G141" s="20">
        <v>0.67700000000000005</v>
      </c>
      <c r="H141" s="20">
        <v>1.3411999999999999</v>
      </c>
      <c r="I141" s="21">
        <f t="shared" si="50"/>
        <v>2.6749000000000001</v>
      </c>
      <c r="J141" s="20">
        <v>1.71</v>
      </c>
      <c r="K141" s="20">
        <v>1.0435208260706641</v>
      </c>
      <c r="L141" s="20">
        <v>4.9277081106522003E-3</v>
      </c>
      <c r="M141" s="20">
        <v>644392</v>
      </c>
      <c r="N141" s="20">
        <v>646477.43999999994</v>
      </c>
      <c r="O141" s="20">
        <v>4.2560000000000002</v>
      </c>
      <c r="Q141" s="19">
        <v>105.21100300000001</v>
      </c>
      <c r="R141" s="19">
        <v>-14.567418</v>
      </c>
      <c r="S141" s="19">
        <v>160</v>
      </c>
      <c r="T141" s="19">
        <v>120.282189</v>
      </c>
      <c r="U141" s="19">
        <v>137.475031</v>
      </c>
      <c r="V141" s="19">
        <v>107.559866</v>
      </c>
      <c r="W141" s="19">
        <v>27.957547000000002</v>
      </c>
      <c r="Y141" t="str">
        <f t="shared" si="51"/>
        <v>SW_FT_High_Diesel_CCS_99_Herb</v>
      </c>
      <c r="Z141" t="str">
        <f t="shared" si="52"/>
        <v>Biomass_Herb</v>
      </c>
      <c r="AA141" s="18">
        <f t="shared" si="53"/>
        <v>109.99646846330076</v>
      </c>
      <c r="AB141" s="18">
        <f t="shared" si="54"/>
        <v>109.99646846330077</v>
      </c>
      <c r="AC141" s="5">
        <f t="shared" si="55"/>
        <v>0</v>
      </c>
      <c r="AD141" s="1">
        <f t="shared" si="56"/>
        <v>0</v>
      </c>
      <c r="AE141" s="1">
        <f t="shared" si="57"/>
        <v>37.589935244495116</v>
      </c>
      <c r="AF141" s="1">
        <f t="array" ref="AF141">_xlfn.IFS(C141="Biomass_Corn", 1/I141*S141, C141="Biomass_Agri", 1/I141*V141, C141="Biomass_Wood", 1/I141*U141, C141="Biomass_Herb", 1/I141*T141)</f>
        <v>44.966985307861975</v>
      </c>
      <c r="AG141" s="1">
        <f t="shared" si="58"/>
        <v>30.555962878615318</v>
      </c>
      <c r="AH141" s="1">
        <f t="shared" si="59"/>
        <v>30.654850864849749</v>
      </c>
      <c r="AI141" s="1">
        <f t="shared" si="60"/>
        <v>1.591087517290366</v>
      </c>
      <c r="AJ141" s="1">
        <f t="shared" si="61"/>
        <v>-8.1380345372543454E-6</v>
      </c>
      <c r="AK141" s="1">
        <f t="shared" si="62"/>
        <v>-35.361497139035649</v>
      </c>
      <c r="AL141">
        <f t="shared" si="63"/>
        <v>-8.5621077611317063E-4</v>
      </c>
      <c r="AM141" s="1">
        <f t="shared" si="64"/>
        <v>-0.39012396519467935</v>
      </c>
      <c r="AN141" s="1">
        <f t="shared" si="65"/>
        <v>5.682980322657543</v>
      </c>
      <c r="AO141">
        <f t="shared" si="66"/>
        <v>-41.045333672469305</v>
      </c>
      <c r="AQ141" s="17">
        <f t="shared" si="67"/>
        <v>1.71</v>
      </c>
      <c r="AR141" s="8">
        <v>0.243968185</v>
      </c>
      <c r="AS141" s="8">
        <v>0.24942761299999999</v>
      </c>
      <c r="AT141" s="9">
        <v>0.24635668499999999</v>
      </c>
      <c r="AU141" s="17">
        <v>0.23037490999999999</v>
      </c>
      <c r="AW141" s="9">
        <f t="shared" si="68"/>
        <v>1.71</v>
      </c>
      <c r="AY141" s="9">
        <f t="shared" si="69"/>
        <v>0.16021390708949998</v>
      </c>
      <c r="AZ141" s="9">
        <f t="shared" si="70"/>
        <v>0.33453231455559995</v>
      </c>
      <c r="BA141" s="9">
        <f t="shared" si="71"/>
        <v>0.16678347574499999</v>
      </c>
      <c r="BB141" s="9">
        <f t="shared" si="72"/>
        <v>4.9277081106522003E-3</v>
      </c>
      <c r="BC141" s="9">
        <f t="shared" si="73"/>
        <v>1.0435208260706641</v>
      </c>
      <c r="BE141" s="1">
        <f t="shared" si="74"/>
        <v>2.1768428583701649E-5</v>
      </c>
    </row>
    <row r="142" spans="2:57" x14ac:dyDescent="0.2">
      <c r="B142" s="12" t="s">
        <v>197</v>
      </c>
      <c r="C142" s="20" t="s">
        <v>57</v>
      </c>
      <c r="D142" s="20">
        <v>0</v>
      </c>
      <c r="E142" s="20">
        <v>3.5964999999999998</v>
      </c>
      <c r="F142" s="20">
        <v>0.65820000000000001</v>
      </c>
      <c r="G142" s="20">
        <v>0.67849999999999999</v>
      </c>
      <c r="H142" s="20">
        <v>1.3442000000000001</v>
      </c>
      <c r="I142" s="21">
        <f t="shared" si="50"/>
        <v>2.6809000000000003</v>
      </c>
      <c r="J142" s="20">
        <v>1.714</v>
      </c>
      <c r="K142" s="20">
        <v>1.0460477087345419</v>
      </c>
      <c r="L142" s="20">
        <v>4.9396405415977999E-3</v>
      </c>
      <c r="M142" s="20">
        <v>644392</v>
      </c>
      <c r="N142" s="20">
        <v>646477.43999999994</v>
      </c>
      <c r="O142" s="20">
        <v>4.2560000000000002</v>
      </c>
      <c r="Q142" s="19">
        <v>105.21100300000001</v>
      </c>
      <c r="R142" s="19">
        <v>-19.477884</v>
      </c>
      <c r="S142" s="19">
        <v>160</v>
      </c>
      <c r="T142" s="19">
        <v>132.95547999999999</v>
      </c>
      <c r="U142" s="19">
        <v>152.57709199999999</v>
      </c>
      <c r="V142" s="19">
        <v>106.67488899999999</v>
      </c>
      <c r="W142" s="19">
        <v>20.174973000000001</v>
      </c>
      <c r="Y142" t="str">
        <f t="shared" si="51"/>
        <v>TX_FT_High_Diesel_CCS_99_Herb</v>
      </c>
      <c r="Z142" t="str">
        <f t="shared" si="52"/>
        <v>Biomass_Herb</v>
      </c>
      <c r="AA142" s="18">
        <f t="shared" si="53"/>
        <v>105.86845064034596</v>
      </c>
      <c r="AB142" s="18">
        <f t="shared" si="54"/>
        <v>105.86845064034596</v>
      </c>
      <c r="AC142" s="5">
        <f t="shared" si="55"/>
        <v>0</v>
      </c>
      <c r="AD142" s="1">
        <f t="shared" si="56"/>
        <v>0</v>
      </c>
      <c r="AE142" s="1">
        <f t="shared" si="57"/>
        <v>27.065273003282478</v>
      </c>
      <c r="AF142" s="1">
        <f t="array" ref="AF142">_xlfn.IFS(C142="Biomass_Corn", 1/I142*S142, C142="Biomass_Agri", 1/I142*V142, C142="Biomass_Wood", 1/I142*U142, C142="Biomass_Herb", 1/I142*T142)</f>
        <v>49.59359916445969</v>
      </c>
      <c r="AG142" s="1">
        <f t="shared" si="58"/>
        <v>30.487576971915441</v>
      </c>
      <c r="AH142" s="1">
        <f t="shared" si="59"/>
        <v>30.586243641458687</v>
      </c>
      <c r="AI142" s="1">
        <f t="shared" si="60"/>
        <v>1.5875265768958184</v>
      </c>
      <c r="AJ142" s="1">
        <f t="shared" si="61"/>
        <v>3.0467762314512878E-7</v>
      </c>
      <c r="AK142" s="1">
        <f t="shared" si="62"/>
        <v>-33.451800773104488</v>
      </c>
      <c r="AL142">
        <f t="shared" si="63"/>
        <v>3.2055438322755015E-5</v>
      </c>
      <c r="AM142" s="1">
        <f t="shared" si="64"/>
        <v>-0.39018497218258863</v>
      </c>
      <c r="AN142" s="1">
        <f t="shared" si="65"/>
        <v>7.5999835611910891</v>
      </c>
      <c r="AO142">
        <f t="shared" si="66"/>
        <v>-41.051752278857251</v>
      </c>
      <c r="AQ142" s="17">
        <f t="shared" si="67"/>
        <v>1.714</v>
      </c>
      <c r="AR142" s="8">
        <v>0.243968185</v>
      </c>
      <c r="AS142" s="8">
        <v>0.24942761299999999</v>
      </c>
      <c r="AT142" s="9">
        <v>0.24635668499999999</v>
      </c>
      <c r="AU142" s="17">
        <v>0.23037490999999999</v>
      </c>
      <c r="AW142" s="9">
        <f t="shared" si="68"/>
        <v>1.714</v>
      </c>
      <c r="AY142" s="9">
        <f t="shared" si="69"/>
        <v>0.16057985936700001</v>
      </c>
      <c r="AZ142" s="9">
        <f t="shared" si="70"/>
        <v>0.33528059739460003</v>
      </c>
      <c r="BA142" s="9">
        <f t="shared" si="71"/>
        <v>0.1671530107725</v>
      </c>
      <c r="BB142" s="9">
        <f t="shared" si="72"/>
        <v>4.9396405415977999E-3</v>
      </c>
      <c r="BC142" s="9">
        <f t="shared" si="73"/>
        <v>1.0460477087345419</v>
      </c>
      <c r="BE142" s="1">
        <f t="shared" si="74"/>
        <v>-8.1681023988977586E-7</v>
      </c>
    </row>
    <row r="143" spans="2:57" x14ac:dyDescent="0.2">
      <c r="B143" s="12" t="s">
        <v>198</v>
      </c>
      <c r="C143" s="20" t="s">
        <v>57</v>
      </c>
      <c r="D143" s="20">
        <v>0</v>
      </c>
      <c r="E143" s="20">
        <v>3.5964999999999998</v>
      </c>
      <c r="F143" s="20">
        <v>0.66500000000000004</v>
      </c>
      <c r="G143" s="20">
        <v>0.68559999999999999</v>
      </c>
      <c r="H143" s="20">
        <v>1.3583000000000001</v>
      </c>
      <c r="I143" s="21">
        <f t="shared" si="50"/>
        <v>2.7088999999999999</v>
      </c>
      <c r="J143" s="20">
        <v>1.74</v>
      </c>
      <c r="K143" s="20">
        <v>1.0650175013879619</v>
      </c>
      <c r="L143" s="20">
        <v>5.0292195885897999E-3</v>
      </c>
      <c r="M143" s="20">
        <v>644392</v>
      </c>
      <c r="N143" s="20">
        <v>646477.43999999994</v>
      </c>
      <c r="O143" s="20">
        <v>4.2560000000000002</v>
      </c>
      <c r="Q143" s="19">
        <v>105.21100300000001</v>
      </c>
      <c r="R143" s="19">
        <v>-39.686463000000003</v>
      </c>
      <c r="S143" s="19">
        <v>160</v>
      </c>
      <c r="T143" s="19">
        <v>100.757654</v>
      </c>
      <c r="U143" s="19">
        <v>111.990773</v>
      </c>
      <c r="V143" s="19">
        <v>89.243781999999996</v>
      </c>
      <c r="W143" s="19">
        <v>30.713950000000001</v>
      </c>
      <c r="Y143" t="str">
        <f t="shared" si="51"/>
        <v>NCEN_FT_High_Diesel_CCS_99_Herb</v>
      </c>
      <c r="Z143" t="str">
        <f t="shared" si="52"/>
        <v>Biomass_Herb</v>
      </c>
      <c r="AA143" s="18">
        <f t="shared" si="53"/>
        <v>114.2245359513995</v>
      </c>
      <c r="AB143" s="18">
        <f t="shared" si="54"/>
        <v>114.2245359513995</v>
      </c>
      <c r="AC143" s="5">
        <f t="shared" si="55"/>
        <v>0</v>
      </c>
      <c r="AD143" s="1">
        <f t="shared" si="56"/>
        <v>0</v>
      </c>
      <c r="AE143" s="1">
        <f t="shared" si="57"/>
        <v>40.777703560485804</v>
      </c>
      <c r="AF143" s="1">
        <f t="array" ref="AF143">_xlfn.IFS(C143="Biomass_Corn", 1/I143*S143, C143="Biomass_Agri", 1/I143*V143, C143="Biomass_Wood", 1/I143*U143, C143="Biomass_Herb", 1/I143*T143)</f>
        <v>37.195043744693422</v>
      </c>
      <c r="AG143" s="1">
        <f t="shared" si="58"/>
        <v>30.172448264612246</v>
      </c>
      <c r="AH143" s="1">
        <f t="shared" si="59"/>
        <v>30.270095085970912</v>
      </c>
      <c r="AI143" s="1">
        <f t="shared" si="60"/>
        <v>1.5711174277381965</v>
      </c>
      <c r="AJ143" s="1">
        <f t="shared" si="61"/>
        <v>-5.450930100113035E-6</v>
      </c>
      <c r="AK143" s="1">
        <f t="shared" si="62"/>
        <v>-25.76129863427796</v>
      </c>
      <c r="AL143">
        <f t="shared" si="63"/>
        <v>-5.7349782311578285E-4</v>
      </c>
      <c r="AM143" s="1">
        <f t="shared" si="64"/>
        <v>-0.39316042209476554</v>
      </c>
      <c r="AN143" s="1">
        <f t="shared" si="65"/>
        <v>15.60293021639256</v>
      </c>
      <c r="AO143">
        <f t="shared" si="66"/>
        <v>-41.364802348493647</v>
      </c>
      <c r="AQ143" s="17">
        <f t="shared" si="67"/>
        <v>1.74</v>
      </c>
      <c r="AR143" s="8">
        <v>0.243968185</v>
      </c>
      <c r="AS143" s="8">
        <v>0.24942761299999999</v>
      </c>
      <c r="AT143" s="9">
        <v>0.24635668499999999</v>
      </c>
      <c r="AU143" s="17">
        <v>0.23037490999999999</v>
      </c>
      <c r="AW143" s="9">
        <f t="shared" si="68"/>
        <v>1.74</v>
      </c>
      <c r="AY143" s="9">
        <f t="shared" si="69"/>
        <v>0.16223884302500002</v>
      </c>
      <c r="AZ143" s="9">
        <f t="shared" si="70"/>
        <v>0.33879752673789998</v>
      </c>
      <c r="BA143" s="9">
        <f t="shared" si="71"/>
        <v>0.168902143236</v>
      </c>
      <c r="BB143" s="9">
        <f t="shared" si="72"/>
        <v>5.0292195885897999E-3</v>
      </c>
      <c r="BC143" s="9">
        <f t="shared" si="73"/>
        <v>1.0650175013879619</v>
      </c>
      <c r="BE143" s="1">
        <f t="shared" si="74"/>
        <v>1.4766024548196199E-5</v>
      </c>
    </row>
    <row r="144" spans="2:57" x14ac:dyDescent="0.2">
      <c r="B144" s="12" t="s">
        <v>199</v>
      </c>
      <c r="C144" s="20" t="s">
        <v>57</v>
      </c>
      <c r="D144" s="20">
        <v>0</v>
      </c>
      <c r="E144" s="20">
        <v>3.5964999999999998</v>
      </c>
      <c r="F144" s="20">
        <v>0.66110000000000002</v>
      </c>
      <c r="G144" s="20">
        <v>0.68149999999999999</v>
      </c>
      <c r="H144" s="20">
        <v>1.3501000000000001</v>
      </c>
      <c r="I144" s="21">
        <f t="shared" si="50"/>
        <v>2.6927000000000003</v>
      </c>
      <c r="J144" s="20">
        <v>1.7230000000000001</v>
      </c>
      <c r="K144" s="20">
        <v>1.052096774062298</v>
      </c>
      <c r="L144" s="20">
        <v>4.9682054034892002E-3</v>
      </c>
      <c r="M144" s="20">
        <v>644392</v>
      </c>
      <c r="N144" s="20">
        <v>646477.43999999994</v>
      </c>
      <c r="O144" s="20">
        <v>4.2560000000000002</v>
      </c>
      <c r="Q144" s="19">
        <v>105.21100300000001</v>
      </c>
      <c r="R144" s="19">
        <v>-29.672038000000001</v>
      </c>
      <c r="S144" s="19">
        <v>160</v>
      </c>
      <c r="T144" s="19">
        <v>107.027154</v>
      </c>
      <c r="U144" s="19">
        <v>122.865223</v>
      </c>
      <c r="V144" s="19">
        <v>94.404420999999999</v>
      </c>
      <c r="W144" s="19">
        <v>25.118154000000001</v>
      </c>
      <c r="Y144" t="str">
        <f t="shared" si="51"/>
        <v>CEN_FT_High_Diesel_CCS_99_Herb</v>
      </c>
      <c r="Z144" t="str">
        <f t="shared" si="52"/>
        <v>Biomass_Herb</v>
      </c>
      <c r="AA144" s="18">
        <f t="shared" si="53"/>
        <v>106.16806419315012</v>
      </c>
      <c r="AB144" s="18">
        <f t="shared" si="54"/>
        <v>106.16806419315012</v>
      </c>
      <c r="AC144" s="5">
        <f t="shared" si="55"/>
        <v>0</v>
      </c>
      <c r="AD144" s="1">
        <f t="shared" si="56"/>
        <v>0</v>
      </c>
      <c r="AE144" s="1">
        <f t="shared" si="57"/>
        <v>33.54901803431499</v>
      </c>
      <c r="AF144" s="1">
        <f t="array" ref="AF144">_xlfn.IFS(C144="Biomass_Corn", 1/I144*S144, C144="Biomass_Agri", 1/I144*V144, C144="Biomass_Wood", 1/I144*U144, C144="Biomass_Herb", 1/I144*T144)</f>
        <v>39.747151186541387</v>
      </c>
      <c r="AG144" s="1">
        <f t="shared" si="58"/>
        <v>30.353973745314406</v>
      </c>
      <c r="AH144" s="1">
        <f t="shared" si="59"/>
        <v>30.452208035944068</v>
      </c>
      <c r="AI144" s="1">
        <f t="shared" si="60"/>
        <v>1.5805696884168305</v>
      </c>
      <c r="AJ144" s="1">
        <f t="shared" si="61"/>
        <v>-1.2449555884243614E-6</v>
      </c>
      <c r="AK144" s="1">
        <f t="shared" si="62"/>
        <v>-29.514725514355419</v>
      </c>
      <c r="AL144">
        <f t="shared" si="63"/>
        <v>-1.3098302614858226E-4</v>
      </c>
      <c r="AM144" s="1">
        <f t="shared" si="64"/>
        <v>-0.39072311299224227</v>
      </c>
      <c r="AN144" s="1">
        <f t="shared" si="65"/>
        <v>11.59351411581458</v>
      </c>
      <c r="AO144">
        <f t="shared" si="66"/>
        <v>-41.108370613196143</v>
      </c>
      <c r="AQ144" s="17">
        <f t="shared" si="67"/>
        <v>1.7230000000000001</v>
      </c>
      <c r="AR144" s="8">
        <v>0.243968185</v>
      </c>
      <c r="AS144" s="8">
        <v>0.24942761299999999</v>
      </c>
      <c r="AT144" s="9">
        <v>0.24635668499999999</v>
      </c>
      <c r="AU144" s="17">
        <v>0.23037490999999999</v>
      </c>
      <c r="AW144" s="9">
        <f t="shared" si="68"/>
        <v>1.7230000000000001</v>
      </c>
      <c r="AY144" s="9">
        <f t="shared" si="69"/>
        <v>0.1612873671035</v>
      </c>
      <c r="AZ144" s="9">
        <f t="shared" si="70"/>
        <v>0.33675222031130003</v>
      </c>
      <c r="BA144" s="9">
        <f t="shared" si="71"/>
        <v>0.16789208082749998</v>
      </c>
      <c r="BB144" s="9">
        <f t="shared" si="72"/>
        <v>4.9682054034892002E-3</v>
      </c>
      <c r="BC144" s="9">
        <f t="shared" si="73"/>
        <v>1.052096774062298</v>
      </c>
      <c r="BE144" s="1">
        <f t="shared" si="74"/>
        <v>3.3522919129502782E-6</v>
      </c>
    </row>
    <row r="145" spans="2:57" x14ac:dyDescent="0.2">
      <c r="B145" s="12" t="s">
        <v>200</v>
      </c>
      <c r="C145" s="20" t="s">
        <v>57</v>
      </c>
      <c r="D145" s="20">
        <v>0</v>
      </c>
      <c r="E145" s="20">
        <v>3.5964999999999998</v>
      </c>
      <c r="F145" s="20">
        <v>0.66</v>
      </c>
      <c r="G145" s="20">
        <v>0.6804</v>
      </c>
      <c r="H145" s="20">
        <v>1.3479000000000001</v>
      </c>
      <c r="I145" s="21">
        <f t="shared" si="50"/>
        <v>2.6882999999999999</v>
      </c>
      <c r="J145" s="20">
        <v>1.7170000000000001</v>
      </c>
      <c r="K145" s="20">
        <v>1.0472157120643899</v>
      </c>
      <c r="L145" s="20">
        <v>4.9451560802798999E-3</v>
      </c>
      <c r="M145" s="20">
        <v>644392</v>
      </c>
      <c r="N145" s="20">
        <v>646477.43999999994</v>
      </c>
      <c r="O145" s="20">
        <v>4.2560000000000002</v>
      </c>
      <c r="Q145" s="19">
        <v>105.21100300000001</v>
      </c>
      <c r="R145" s="19">
        <v>-45.510345000000001</v>
      </c>
      <c r="S145" s="19">
        <v>160</v>
      </c>
      <c r="T145" s="19">
        <v>97.593261999999996</v>
      </c>
      <c r="U145" s="19">
        <v>109.791234</v>
      </c>
      <c r="V145" s="19">
        <v>86.911507</v>
      </c>
      <c r="W145" s="19">
        <v>38.099075999999997</v>
      </c>
      <c r="Y145" t="str">
        <f t="shared" si="51"/>
        <v>SE_FT_High_Diesel_CCS_99_Herb</v>
      </c>
      <c r="Z145" t="str">
        <f t="shared" si="52"/>
        <v>Biomass_Herb</v>
      </c>
      <c r="AA145" s="18">
        <f t="shared" si="53"/>
        <v>126.50611702348941</v>
      </c>
      <c r="AB145" s="18">
        <f t="shared" si="54"/>
        <v>126.5061170234894</v>
      </c>
      <c r="AC145" s="5">
        <f t="shared" si="55"/>
        <v>0</v>
      </c>
      <c r="AD145" s="1">
        <f t="shared" si="56"/>
        <v>0</v>
      </c>
      <c r="AE145" s="1">
        <f t="shared" si="57"/>
        <v>50.970251398281434</v>
      </c>
      <c r="AF145" s="1">
        <f t="array" ref="AF145">_xlfn.IFS(C145="Biomass_Corn", 1/I145*S145, C145="Biomass_Agri", 1/I145*V145, C145="Biomass_Wood", 1/I145*U145, C145="Biomass_Herb", 1/I145*T145)</f>
        <v>36.302965442844915</v>
      </c>
      <c r="AG145" s="1">
        <f t="shared" si="58"/>
        <v>30.403654764724223</v>
      </c>
      <c r="AH145" s="1">
        <f t="shared" si="59"/>
        <v>30.502049837587546</v>
      </c>
      <c r="AI145" s="1">
        <f t="shared" si="60"/>
        <v>1.5831566417438532</v>
      </c>
      <c r="AJ145" s="1">
        <f t="shared" si="61"/>
        <v>1.6509620837541663E-6</v>
      </c>
      <c r="AK145" s="1">
        <f t="shared" si="62"/>
        <v>-23.256134761069308</v>
      </c>
      <c r="AL145">
        <f t="shared" si="63"/>
        <v>1.7369937674674584E-4</v>
      </c>
      <c r="AM145" s="1">
        <f t="shared" si="64"/>
        <v>-0.3895440515504297</v>
      </c>
      <c r="AN145" s="1">
        <f t="shared" si="65"/>
        <v>17.728359314611854</v>
      </c>
      <c r="AO145">
        <f t="shared" si="66"/>
        <v>-40.984320376304417</v>
      </c>
      <c r="AQ145" s="17">
        <f t="shared" si="67"/>
        <v>1.7170000000000001</v>
      </c>
      <c r="AR145" s="8">
        <v>0.243968185</v>
      </c>
      <c r="AS145" s="8">
        <v>0.24942761299999999</v>
      </c>
      <c r="AT145" s="9">
        <v>0.24635668499999999</v>
      </c>
      <c r="AU145" s="17">
        <v>0.23037490999999999</v>
      </c>
      <c r="AW145" s="9">
        <f t="shared" si="68"/>
        <v>1.7170000000000001</v>
      </c>
      <c r="AY145" s="9">
        <f t="shared" si="69"/>
        <v>0.1610190021</v>
      </c>
      <c r="AZ145" s="9">
        <f t="shared" si="70"/>
        <v>0.33620347956270002</v>
      </c>
      <c r="BA145" s="9">
        <f t="shared" si="71"/>
        <v>0.16762108847400001</v>
      </c>
      <c r="BB145" s="9">
        <f t="shared" si="72"/>
        <v>4.9451560802798999E-3</v>
      </c>
      <c r="BC145" s="9">
        <f t="shared" si="73"/>
        <v>1.0472157120643899</v>
      </c>
      <c r="BE145" s="1">
        <f t="shared" si="74"/>
        <v>-4.438281369756325E-6</v>
      </c>
    </row>
    <row r="146" spans="2:57" x14ac:dyDescent="0.2">
      <c r="B146" s="12" t="s">
        <v>201</v>
      </c>
      <c r="C146" s="20" t="s">
        <v>57</v>
      </c>
      <c r="D146" s="20">
        <v>0</v>
      </c>
      <c r="E146" s="20">
        <v>3.5964999999999998</v>
      </c>
      <c r="F146" s="20">
        <v>0.66359999999999997</v>
      </c>
      <c r="G146" s="20">
        <v>0.68410000000000004</v>
      </c>
      <c r="H146" s="20">
        <v>1.3552999999999999</v>
      </c>
      <c r="I146" s="21">
        <f t="shared" si="50"/>
        <v>2.7030000000000003</v>
      </c>
      <c r="J146" s="20">
        <v>1.736</v>
      </c>
      <c r="K146" s="20">
        <v>1.0624906187240839</v>
      </c>
      <c r="L146" s="20">
        <v>5.0172871576440996E-3</v>
      </c>
      <c r="M146" s="20">
        <v>644392</v>
      </c>
      <c r="N146" s="20">
        <v>646477.43999999994</v>
      </c>
      <c r="O146" s="20">
        <v>4.2560000000000002</v>
      </c>
      <c r="Q146" s="19">
        <v>105.21100300000001</v>
      </c>
      <c r="R146" s="19">
        <v>-50.334515000000003</v>
      </c>
      <c r="S146" s="19">
        <v>160</v>
      </c>
      <c r="T146" s="19">
        <v>98.707491000000005</v>
      </c>
      <c r="U146" s="19">
        <v>106.53195700000001</v>
      </c>
      <c r="V146" s="19">
        <v>87.469328000000004</v>
      </c>
      <c r="W146" s="19">
        <v>39.29871</v>
      </c>
      <c r="Y146" t="str">
        <f t="shared" si="51"/>
        <v>MIDAT_FT_High_Diesel_CCS_99_Herb</v>
      </c>
      <c r="Z146" t="str">
        <f t="shared" si="52"/>
        <v>Biomass_Herb</v>
      </c>
      <c r="AA146" s="18">
        <f t="shared" si="53"/>
        <v>129.3847541837705</v>
      </c>
      <c r="AB146" s="18">
        <f t="shared" si="54"/>
        <v>129.3847541837705</v>
      </c>
      <c r="AC146" s="5">
        <f t="shared" si="55"/>
        <v>0</v>
      </c>
      <c r="AD146" s="1">
        <f t="shared" si="56"/>
        <v>0</v>
      </c>
      <c r="AE146" s="1">
        <f t="shared" si="57"/>
        <v>52.289238074361819</v>
      </c>
      <c r="AF146" s="1">
        <f t="array" ref="AF146">_xlfn.IFS(C146="Biomass_Corn", 1/I146*S146, C146="Biomass_Agri", 1/I146*V146, C146="Biomass_Wood", 1/I146*U146, C146="Biomass_Herb", 1/I146*T146)</f>
        <v>36.517754716981131</v>
      </c>
      <c r="AG146" s="1">
        <f t="shared" si="58"/>
        <v>30.23830747466079</v>
      </c>
      <c r="AH146" s="1">
        <f t="shared" si="59"/>
        <v>30.336167435585121</v>
      </c>
      <c r="AI146" s="1">
        <f t="shared" si="60"/>
        <v>1.5745467998520162</v>
      </c>
      <c r="AJ146" s="1">
        <f t="shared" si="61"/>
        <v>-4.7926174147793503E-6</v>
      </c>
      <c r="AK146" s="1">
        <f t="shared" si="62"/>
        <v>-21.570756081585188</v>
      </c>
      <c r="AL146">
        <f t="shared" si="63"/>
        <v>-5.0423608520420245E-4</v>
      </c>
      <c r="AM146" s="1">
        <f t="shared" si="64"/>
        <v>-0.39308308293339095</v>
      </c>
      <c r="AN146" s="1">
        <f t="shared" si="65"/>
        <v>19.785405100083864</v>
      </c>
      <c r="AO146">
        <f t="shared" si="66"/>
        <v>-41.356665417754243</v>
      </c>
      <c r="AQ146" s="17">
        <f t="shared" si="67"/>
        <v>1.736</v>
      </c>
      <c r="AR146" s="8">
        <v>0.243968185</v>
      </c>
      <c r="AS146" s="8">
        <v>0.24942761299999999</v>
      </c>
      <c r="AT146" s="9">
        <v>0.24635668499999999</v>
      </c>
      <c r="AU146" s="17">
        <v>0.23037490999999999</v>
      </c>
      <c r="AW146" s="9">
        <f t="shared" si="68"/>
        <v>1.736</v>
      </c>
      <c r="AY146" s="9">
        <f t="shared" si="69"/>
        <v>0.161897287566</v>
      </c>
      <c r="AZ146" s="9">
        <f t="shared" si="70"/>
        <v>0.33804924389889995</v>
      </c>
      <c r="BA146" s="9">
        <f t="shared" si="71"/>
        <v>0.1685326082085</v>
      </c>
      <c r="BB146" s="9">
        <f t="shared" si="72"/>
        <v>5.0172871576440996E-3</v>
      </c>
      <c r="BC146" s="9">
        <f t="shared" si="73"/>
        <v>1.0624906187240839</v>
      </c>
      <c r="BE146" s="1">
        <f t="shared" si="74"/>
        <v>1.2954444872148585E-5</v>
      </c>
    </row>
    <row r="147" spans="2:57" x14ac:dyDescent="0.2">
      <c r="B147" s="12" t="s">
        <v>202</v>
      </c>
      <c r="C147" s="20" t="s">
        <v>57</v>
      </c>
      <c r="D147" s="20">
        <v>0</v>
      </c>
      <c r="E147" s="20">
        <v>3.5964999999999998</v>
      </c>
      <c r="F147" s="20">
        <v>0.66610000000000003</v>
      </c>
      <c r="G147" s="20">
        <v>0.68679999999999997</v>
      </c>
      <c r="H147" s="20">
        <v>1.3605</v>
      </c>
      <c r="I147" s="21">
        <f t="shared" si="50"/>
        <v>2.7134</v>
      </c>
      <c r="J147" s="20">
        <v>1.7450000000000001</v>
      </c>
      <c r="K147" s="20">
        <v>1.0689032633858699</v>
      </c>
      <c r="L147" s="20">
        <v>5.0475689117989997E-3</v>
      </c>
      <c r="M147" s="20">
        <v>644392</v>
      </c>
      <c r="N147" s="20">
        <v>646477.43999999994</v>
      </c>
      <c r="O147" s="20">
        <v>4.2560000000000002</v>
      </c>
      <c r="Q147" s="19">
        <v>105.21100300000001</v>
      </c>
      <c r="R147" s="19">
        <v>-58.833413</v>
      </c>
      <c r="S147" s="19">
        <v>160</v>
      </c>
      <c r="T147" s="19">
        <v>99.493746999999999</v>
      </c>
      <c r="U147" s="19">
        <v>105.21395800000001</v>
      </c>
      <c r="V147" s="19">
        <v>89.700445000000002</v>
      </c>
      <c r="W147" s="19">
        <v>47.365060999999997</v>
      </c>
      <c r="Y147" t="str">
        <f t="shared" si="51"/>
        <v>NE_FT_High_Diesel_CCS_99_Herb</v>
      </c>
      <c r="Z147" t="str">
        <f t="shared" si="52"/>
        <v>Biomass_Herb</v>
      </c>
      <c r="AA147" s="18">
        <f t="shared" si="53"/>
        <v>143.08913393197952</v>
      </c>
      <c r="AB147" s="18">
        <f t="shared" si="54"/>
        <v>143.08913393197952</v>
      </c>
      <c r="AC147" s="5">
        <f t="shared" si="55"/>
        <v>0</v>
      </c>
      <c r="AD147" s="1">
        <f t="shared" si="56"/>
        <v>0</v>
      </c>
      <c r="AE147" s="1">
        <f t="shared" si="57"/>
        <v>62.78043852233359</v>
      </c>
      <c r="AF147" s="1">
        <f t="array" ref="AF147">_xlfn.IFS(C147="Biomass_Corn", 1/I147*S147, C147="Biomass_Agri", 1/I147*V147, C147="Biomass_Wood", 1/I147*U147, C147="Biomass_Herb", 1/I147*T147)</f>
        <v>36.667556202550308</v>
      </c>
      <c r="AG147" s="1">
        <f t="shared" si="58"/>
        <v>30.122409192897514</v>
      </c>
      <c r="AH147" s="1">
        <f t="shared" si="59"/>
        <v>30.219894073261074</v>
      </c>
      <c r="AI147" s="1">
        <f t="shared" si="60"/>
        <v>1.5685118301761629</v>
      </c>
      <c r="AJ147" s="1">
        <f t="shared" si="61"/>
        <v>7.6622343515841714E-7</v>
      </c>
      <c r="AK147" s="1">
        <f t="shared" si="62"/>
        <v>-18.269756504375284</v>
      </c>
      <c r="AL147">
        <f t="shared" si="63"/>
        <v>8.061513613512253E-5</v>
      </c>
      <c r="AM147" s="1">
        <f t="shared" si="64"/>
        <v>-0.39393424644917857</v>
      </c>
      <c r="AN147" s="1">
        <f t="shared" si="65"/>
        <v>23.176541295728114</v>
      </c>
      <c r="AO147">
        <f t="shared" si="66"/>
        <v>-41.446217184967267</v>
      </c>
      <c r="AQ147" s="17">
        <f t="shared" si="67"/>
        <v>1.7450000000000001</v>
      </c>
      <c r="AR147" s="8">
        <v>0.243968185</v>
      </c>
      <c r="AS147" s="8">
        <v>0.24942761299999999</v>
      </c>
      <c r="AT147" s="9">
        <v>0.24635668499999999</v>
      </c>
      <c r="AU147" s="17">
        <v>0.23037490999999999</v>
      </c>
      <c r="AW147" s="9">
        <f t="shared" si="68"/>
        <v>1.7450000000000001</v>
      </c>
      <c r="AY147" s="9">
        <f t="shared" si="69"/>
        <v>0.16250720802850002</v>
      </c>
      <c r="AZ147" s="9">
        <f t="shared" si="70"/>
        <v>0.33934626748649999</v>
      </c>
      <c r="BA147" s="9">
        <f t="shared" si="71"/>
        <v>0.16919777125799998</v>
      </c>
      <c r="BB147" s="9">
        <f t="shared" si="72"/>
        <v>5.0475689117989997E-3</v>
      </c>
      <c r="BC147" s="9">
        <f t="shared" si="73"/>
        <v>1.0689032633858699</v>
      </c>
      <c r="BE147" s="1">
        <f t="shared" si="74"/>
        <v>-2.079070668958849E-6</v>
      </c>
    </row>
    <row r="148" spans="2:57" x14ac:dyDescent="0.2">
      <c r="B148" s="12" t="s">
        <v>203</v>
      </c>
      <c r="C148" s="20" t="s">
        <v>67</v>
      </c>
      <c r="D148" s="20">
        <v>0</v>
      </c>
      <c r="E148" s="20">
        <v>3.5964999999999998</v>
      </c>
      <c r="F148" s="20">
        <v>0.70199999999999996</v>
      </c>
      <c r="G148" s="20">
        <v>0.7238</v>
      </c>
      <c r="H148" s="20">
        <v>1.4338</v>
      </c>
      <c r="I148" s="21">
        <f t="shared" si="50"/>
        <v>2.8595999999999999</v>
      </c>
      <c r="J148" s="20">
        <v>1.843</v>
      </c>
      <c r="K148" s="20">
        <v>1.1304483093168449</v>
      </c>
      <c r="L148" s="20">
        <v>5.3381965777043999E-3</v>
      </c>
      <c r="M148" s="20">
        <v>644392</v>
      </c>
      <c r="N148" s="20">
        <v>646477.43999999994</v>
      </c>
      <c r="O148" s="20">
        <v>4.2560000000000002</v>
      </c>
      <c r="Q148" s="19">
        <v>105.21100300000001</v>
      </c>
      <c r="R148" s="19">
        <v>-6.4122130000000004</v>
      </c>
      <c r="S148" s="19">
        <v>160</v>
      </c>
      <c r="T148" s="19">
        <v>313632.96735400002</v>
      </c>
      <c r="U148" s="19">
        <v>154.036981</v>
      </c>
      <c r="V148" s="19">
        <v>132.85973799999999</v>
      </c>
      <c r="W148" s="19">
        <v>36.488697999999999</v>
      </c>
      <c r="Y148" t="str">
        <f t="shared" si="51"/>
        <v>CA_FT_High_Diesel_CCS_99_Wood</v>
      </c>
      <c r="Z148" t="str">
        <f t="shared" si="52"/>
        <v>Biomass_Wood</v>
      </c>
      <c r="AA148" s="18">
        <f t="shared" si="53"/>
        <v>119.44673387844661</v>
      </c>
      <c r="AB148" s="18">
        <f t="shared" si="54"/>
        <v>119.44673387844659</v>
      </c>
      <c r="AC148" s="5">
        <f t="shared" si="55"/>
        <v>0</v>
      </c>
      <c r="AD148" s="1">
        <f t="shared" si="56"/>
        <v>0</v>
      </c>
      <c r="AE148" s="1">
        <f t="shared" si="57"/>
        <v>45.891594054063503</v>
      </c>
      <c r="AF148" s="1">
        <f t="array" ref="AF148">_xlfn.IFS(C148="Biomass_Corn", 1/I148*S148, C148="Biomass_Agri", 1/I148*V148, C148="Biomass_Wood", 1/I148*U148, C148="Biomass_Herb", 1/I148*T148)</f>
        <v>53.866618058469712</v>
      </c>
      <c r="AG148" s="1">
        <f t="shared" si="58"/>
        <v>28.582369948247351</v>
      </c>
      <c r="AH148" s="1">
        <f t="shared" si="59"/>
        <v>28.674870813535669</v>
      </c>
      <c r="AI148" s="1">
        <f t="shared" si="60"/>
        <v>1.4883200447615053</v>
      </c>
      <c r="AJ148" s="1">
        <f t="shared" si="61"/>
        <v>-1.9401710206872668E-6</v>
      </c>
      <c r="AK148" s="1">
        <f t="shared" si="62"/>
        <v>-39.056834913292072</v>
      </c>
      <c r="AL148">
        <f t="shared" si="63"/>
        <v>-2.0412733907804111E-4</v>
      </c>
      <c r="AM148" s="1">
        <f t="shared" si="64"/>
        <v>-0.3953188758672177</v>
      </c>
      <c r="AN148" s="1">
        <f t="shared" si="65"/>
        <v>2.5348563941913187</v>
      </c>
      <c r="AO148">
        <f t="shared" si="66"/>
        <v>-41.591895434822469</v>
      </c>
      <c r="AQ148" s="17">
        <f t="shared" si="67"/>
        <v>1.843</v>
      </c>
      <c r="AR148" s="8">
        <v>0.243968185</v>
      </c>
      <c r="AS148" s="8">
        <v>0.24942761299999999</v>
      </c>
      <c r="AT148" s="9">
        <v>0.24635668499999999</v>
      </c>
      <c r="AU148" s="17">
        <v>0.23037490999999999</v>
      </c>
      <c r="AW148" s="9">
        <f t="shared" si="68"/>
        <v>1.843</v>
      </c>
      <c r="AY148" s="9">
        <f t="shared" si="69"/>
        <v>0.17126566587</v>
      </c>
      <c r="AZ148" s="9">
        <f t="shared" si="70"/>
        <v>0.35762931151939997</v>
      </c>
      <c r="BA148" s="9">
        <f t="shared" si="71"/>
        <v>0.178312968603</v>
      </c>
      <c r="BB148" s="9">
        <f t="shared" si="72"/>
        <v>5.3381965777043999E-3</v>
      </c>
      <c r="BC148" s="9">
        <f t="shared" si="73"/>
        <v>1.1304483093168449</v>
      </c>
      <c r="BE148" s="1">
        <f t="shared" si="74"/>
        <v>5.5481130507573084E-6</v>
      </c>
    </row>
    <row r="149" spans="2:57" x14ac:dyDescent="0.2">
      <c r="B149" s="12" t="s">
        <v>204</v>
      </c>
      <c r="C149" s="20" t="s">
        <v>67</v>
      </c>
      <c r="D149" s="20">
        <v>0</v>
      </c>
      <c r="E149" s="20">
        <v>3.5964999999999998</v>
      </c>
      <c r="F149" s="20">
        <v>0.7006</v>
      </c>
      <c r="G149" s="20">
        <v>0.72230000000000005</v>
      </c>
      <c r="H149" s="20">
        <v>1.4309000000000001</v>
      </c>
      <c r="I149" s="21">
        <f t="shared" si="50"/>
        <v>2.8538000000000001</v>
      </c>
      <c r="J149" s="20">
        <v>1.8180000000000001</v>
      </c>
      <c r="K149" s="20">
        <v>1.1070201266529669</v>
      </c>
      <c r="L149" s="20">
        <v>5.2275641467587003E-3</v>
      </c>
      <c r="M149" s="20">
        <v>644392</v>
      </c>
      <c r="N149" s="20">
        <v>646477.43999999994</v>
      </c>
      <c r="O149" s="20">
        <v>4.2560000000000002</v>
      </c>
      <c r="Q149" s="19">
        <v>105.21100300000001</v>
      </c>
      <c r="R149" s="19">
        <v>-7.3796590000000002</v>
      </c>
      <c r="S149" s="19">
        <v>160</v>
      </c>
      <c r="T149" s="19">
        <v>130.996602</v>
      </c>
      <c r="U149" s="19">
        <v>149.05667199999999</v>
      </c>
      <c r="V149" s="19">
        <v>112.26938</v>
      </c>
      <c r="W149" s="19">
        <v>26.787863000000002</v>
      </c>
      <c r="Y149" t="str">
        <f t="shared" si="51"/>
        <v>NW_FT_High_Diesel_CCS_99_Wood</v>
      </c>
      <c r="Z149" t="str">
        <f t="shared" si="52"/>
        <v>Biomass_Wood</v>
      </c>
      <c r="AA149" s="18">
        <f t="shared" si="53"/>
        <v>106.90622722857056</v>
      </c>
      <c r="AB149" s="18">
        <f t="shared" si="54"/>
        <v>106.90622722857054</v>
      </c>
      <c r="AC149" s="5">
        <f t="shared" si="55"/>
        <v>0</v>
      </c>
      <c r="AD149" s="1">
        <f t="shared" si="56"/>
        <v>0</v>
      </c>
      <c r="AE149" s="1">
        <f t="shared" si="57"/>
        <v>33.759390734984933</v>
      </c>
      <c r="AF149" s="1">
        <f t="array" ref="AF149">_xlfn.IFS(C149="Biomass_Corn", 1/I149*S149, C149="Biomass_Agri", 1/I149*V149, C149="Biomass_Wood", 1/I149*U149, C149="Biomass_Herb", 1/I149*T149)</f>
        <v>52.230945406125166</v>
      </c>
      <c r="AG149" s="1">
        <f t="shared" si="58"/>
        <v>28.640460124748799</v>
      </c>
      <c r="AH149" s="1">
        <f t="shared" si="59"/>
        <v>28.733148986749804</v>
      </c>
      <c r="AI149" s="1">
        <f t="shared" si="60"/>
        <v>1.4913448735019974</v>
      </c>
      <c r="AJ149" s="1">
        <f t="shared" si="61"/>
        <v>7.4308738964447995E-6</v>
      </c>
      <c r="AK149" s="1">
        <f t="shared" si="62"/>
        <v>-37.949844707235954</v>
      </c>
      <c r="AL149">
        <f t="shared" si="63"/>
        <v>7.8180969581147556E-4</v>
      </c>
      <c r="AM149" s="1">
        <f t="shared" si="64"/>
        <v>-0.38790346920773755</v>
      </c>
      <c r="AN149" s="1">
        <f t="shared" si="65"/>
        <v>2.8626501649855305</v>
      </c>
      <c r="AO149">
        <f t="shared" si="66"/>
        <v>-40.811713062525683</v>
      </c>
      <c r="AQ149" s="17">
        <f t="shared" si="67"/>
        <v>1.8180000000000001</v>
      </c>
      <c r="AR149" s="8">
        <v>0.243968185</v>
      </c>
      <c r="AS149" s="8">
        <v>0.24942761299999999</v>
      </c>
      <c r="AT149" s="9">
        <v>0.24635668499999999</v>
      </c>
      <c r="AU149" s="17">
        <v>0.23037490999999999</v>
      </c>
      <c r="AW149" s="9">
        <f t="shared" si="68"/>
        <v>1.8180000000000001</v>
      </c>
      <c r="AY149" s="9">
        <f t="shared" si="69"/>
        <v>0.170924110411</v>
      </c>
      <c r="AZ149" s="9">
        <f t="shared" si="70"/>
        <v>0.3569059714417</v>
      </c>
      <c r="BA149" s="9">
        <f t="shared" si="71"/>
        <v>0.17794343357550002</v>
      </c>
      <c r="BB149" s="9">
        <f t="shared" si="72"/>
        <v>5.2275641467587003E-3</v>
      </c>
      <c r="BC149" s="9">
        <f t="shared" si="73"/>
        <v>1.1070201266529669</v>
      </c>
      <c r="BE149" s="1">
        <f t="shared" si="74"/>
        <v>-2.120622792567417E-5</v>
      </c>
    </row>
    <row r="150" spans="2:57" x14ac:dyDescent="0.2">
      <c r="B150" s="12" t="s">
        <v>205</v>
      </c>
      <c r="C150" s="20" t="s">
        <v>67</v>
      </c>
      <c r="D150" s="20">
        <v>0</v>
      </c>
      <c r="E150" s="20">
        <v>3.5964999999999998</v>
      </c>
      <c r="F150" s="20">
        <v>0.69410000000000005</v>
      </c>
      <c r="G150" s="20">
        <v>0.71550000000000002</v>
      </c>
      <c r="H150" s="20">
        <v>1.4175</v>
      </c>
      <c r="I150" s="21">
        <f t="shared" si="50"/>
        <v>2.8271000000000002</v>
      </c>
      <c r="J150" s="20">
        <v>1.798</v>
      </c>
      <c r="K150" s="20">
        <v>1.0936585546655171</v>
      </c>
      <c r="L150" s="20">
        <v>5.1644682075031997E-3</v>
      </c>
      <c r="M150" s="20">
        <v>644392</v>
      </c>
      <c r="N150" s="20">
        <v>646477.43999999994</v>
      </c>
      <c r="O150" s="20">
        <v>4.2560000000000002</v>
      </c>
      <c r="Q150" s="19">
        <v>105.21100300000001</v>
      </c>
      <c r="R150" s="19">
        <v>-14.567418</v>
      </c>
      <c r="S150" s="19">
        <v>160</v>
      </c>
      <c r="T150" s="19">
        <v>120.282189</v>
      </c>
      <c r="U150" s="19">
        <v>137.475031</v>
      </c>
      <c r="V150" s="19">
        <v>107.559866</v>
      </c>
      <c r="W150" s="19">
        <v>27.957547000000002</v>
      </c>
      <c r="Y150" t="str">
        <f t="shared" si="51"/>
        <v>SW_FT_High_Diesel_CCS_99_Wood</v>
      </c>
      <c r="Z150" t="str">
        <f t="shared" si="52"/>
        <v>Biomass_Wood</v>
      </c>
      <c r="AA150" s="18">
        <f t="shared" si="53"/>
        <v>108.54915134974681</v>
      </c>
      <c r="AB150" s="18">
        <f t="shared" si="54"/>
        <v>108.54915134974679</v>
      </c>
      <c r="AC150" s="5">
        <f t="shared" si="55"/>
        <v>0</v>
      </c>
      <c r="AD150" s="1">
        <f t="shared" si="56"/>
        <v>0</v>
      </c>
      <c r="AE150" s="1">
        <f t="shared" si="57"/>
        <v>35.566240241059738</v>
      </c>
      <c r="AF150" s="1">
        <f t="array" ref="AF150">_xlfn.IFS(C150="Biomass_Corn", 1/I150*S150, C150="Biomass_Agri", 1/I150*V150, C150="Biomass_Wood", 1/I150*U150, C150="Biomass_Herb", 1/I150*T150)</f>
        <v>48.62757985214531</v>
      </c>
      <c r="AG150" s="1">
        <f t="shared" si="58"/>
        <v>28.9109494195494</v>
      </c>
      <c r="AH150" s="1">
        <f t="shared" si="59"/>
        <v>29.004513663608147</v>
      </c>
      <c r="AI150" s="1">
        <f t="shared" si="60"/>
        <v>1.505429592161579</v>
      </c>
      <c r="AJ150" s="1">
        <f t="shared" si="61"/>
        <v>-2.4089609422469602E-6</v>
      </c>
      <c r="AK150" s="1">
        <f t="shared" si="62"/>
        <v>-35.065307969580466</v>
      </c>
      <c r="AL150">
        <f t="shared" si="63"/>
        <v>-2.5344919692162776E-4</v>
      </c>
      <c r="AM150" s="1">
        <f t="shared" si="64"/>
        <v>-0.38685061194828513</v>
      </c>
      <c r="AN150" s="1">
        <f t="shared" si="65"/>
        <v>5.6353794754654718</v>
      </c>
      <c r="AO150">
        <f t="shared" si="66"/>
        <v>-40.700940894242862</v>
      </c>
      <c r="AQ150" s="17">
        <f t="shared" si="67"/>
        <v>1.798</v>
      </c>
      <c r="AR150" s="8">
        <v>0.243968185</v>
      </c>
      <c r="AS150" s="8">
        <v>0.24942761299999999</v>
      </c>
      <c r="AT150" s="9">
        <v>0.24635668499999999</v>
      </c>
      <c r="AU150" s="17">
        <v>0.23037490999999999</v>
      </c>
      <c r="AW150" s="9">
        <f t="shared" si="68"/>
        <v>1.798</v>
      </c>
      <c r="AY150" s="9">
        <f t="shared" si="69"/>
        <v>0.16933831720850001</v>
      </c>
      <c r="AZ150" s="9">
        <f t="shared" si="70"/>
        <v>0.35356364142749996</v>
      </c>
      <c r="BA150" s="9">
        <f t="shared" si="71"/>
        <v>0.17626820811749999</v>
      </c>
      <c r="BB150" s="9">
        <f t="shared" si="72"/>
        <v>5.1644682075031997E-3</v>
      </c>
      <c r="BC150" s="9">
        <f t="shared" si="73"/>
        <v>1.0936585546655171</v>
      </c>
      <c r="BE150" s="1">
        <f t="shared" si="74"/>
        <v>6.8103734798263815E-6</v>
      </c>
    </row>
    <row r="151" spans="2:57" x14ac:dyDescent="0.2">
      <c r="B151" s="12" t="s">
        <v>206</v>
      </c>
      <c r="C151" s="20" t="s">
        <v>67</v>
      </c>
      <c r="D151" s="20">
        <v>0</v>
      </c>
      <c r="E151" s="20">
        <v>3.5964999999999998</v>
      </c>
      <c r="F151" s="20">
        <v>0.68859999999999999</v>
      </c>
      <c r="G151" s="20">
        <v>0.70989999999999998</v>
      </c>
      <c r="H151" s="20">
        <v>1.4064000000000001</v>
      </c>
      <c r="I151" s="21">
        <f t="shared" si="50"/>
        <v>2.8048999999999999</v>
      </c>
      <c r="J151" s="20">
        <v>1.821</v>
      </c>
      <c r="K151" s="20">
        <v>1.122004144675975</v>
      </c>
      <c r="L151" s="20">
        <v>5.2983215914568999E-3</v>
      </c>
      <c r="M151" s="20">
        <v>644392</v>
      </c>
      <c r="N151" s="20">
        <v>646477.43999999994</v>
      </c>
      <c r="O151" s="20">
        <v>4.2560000000000002</v>
      </c>
      <c r="Q151" s="19">
        <v>105.21100300000001</v>
      </c>
      <c r="R151" s="19">
        <v>-19.477884</v>
      </c>
      <c r="S151" s="19">
        <v>160</v>
      </c>
      <c r="T151" s="19">
        <v>132.95547999999999</v>
      </c>
      <c r="U151" s="19">
        <v>152.57709199999999</v>
      </c>
      <c r="V151" s="19">
        <v>106.67488899999999</v>
      </c>
      <c r="W151" s="19">
        <v>20.174973000000001</v>
      </c>
      <c r="Y151" t="str">
        <f t="shared" si="51"/>
        <v>TX_FT_High_Diesel_CCS_99_Wood</v>
      </c>
      <c r="Z151" t="str">
        <f t="shared" si="52"/>
        <v>Biomass_Wood</v>
      </c>
      <c r="AA151" s="18">
        <f t="shared" si="53"/>
        <v>105.86132795126026</v>
      </c>
      <c r="AB151" s="18">
        <f t="shared" si="54"/>
        <v>105.86132795126028</v>
      </c>
      <c r="AC151" s="5">
        <f t="shared" si="55"/>
        <v>0</v>
      </c>
      <c r="AD151" s="1">
        <f t="shared" si="56"/>
        <v>0</v>
      </c>
      <c r="AE151" s="1">
        <f t="shared" si="57"/>
        <v>25.868761950336911</v>
      </c>
      <c r="AF151" s="1">
        <f t="array" ref="AF151">_xlfn.IFS(C151="Biomass_Corn", 1/I151*S151, C151="Biomass_Agri", 1/I151*V151, C151="Biomass_Wood", 1/I151*U151, C151="Biomass_Herb", 1/I151*T151)</f>
        <v>54.396624478591036</v>
      </c>
      <c r="AG151" s="1">
        <f t="shared" si="58"/>
        <v>29.139771508434571</v>
      </c>
      <c r="AH151" s="1">
        <f t="shared" si="59"/>
        <v>29.234076287349495</v>
      </c>
      <c r="AI151" s="1">
        <f t="shared" si="60"/>
        <v>1.5173446468679812</v>
      </c>
      <c r="AJ151" s="1">
        <f t="shared" si="61"/>
        <v>-6.2162418867315031E-6</v>
      </c>
      <c r="AK151" s="1">
        <f t="shared" si="62"/>
        <v>-34.294596903275909</v>
      </c>
      <c r="AL151">
        <f t="shared" si="63"/>
        <v>-6.5401704379363388E-4</v>
      </c>
      <c r="AM151" s="1">
        <f t="shared" si="64"/>
        <v>-0.40002195465536849</v>
      </c>
      <c r="AN151" s="1">
        <f t="shared" si="65"/>
        <v>7.7914601509921413</v>
      </c>
      <c r="AO151">
        <f t="shared" si="66"/>
        <v>-42.086711071311839</v>
      </c>
      <c r="AQ151" s="17">
        <f t="shared" si="67"/>
        <v>1.821</v>
      </c>
      <c r="AR151" s="8">
        <v>0.243968185</v>
      </c>
      <c r="AS151" s="8">
        <v>0.24942761299999999</v>
      </c>
      <c r="AT151" s="9">
        <v>0.24635668499999999</v>
      </c>
      <c r="AU151" s="17">
        <v>0.23037490999999999</v>
      </c>
      <c r="AW151" s="9">
        <f t="shared" si="68"/>
        <v>1.821</v>
      </c>
      <c r="AY151" s="9">
        <f t="shared" si="69"/>
        <v>0.16799649219099999</v>
      </c>
      <c r="AZ151" s="9">
        <f t="shared" si="70"/>
        <v>0.35079499492319999</v>
      </c>
      <c r="BA151" s="9">
        <f t="shared" si="71"/>
        <v>0.1748886106815</v>
      </c>
      <c r="BB151" s="9">
        <f t="shared" si="72"/>
        <v>5.2983215914568999E-3</v>
      </c>
      <c r="BC151" s="9">
        <f t="shared" si="73"/>
        <v>1.122004144675975</v>
      </c>
      <c r="BE151" s="1">
        <f t="shared" si="74"/>
        <v>1.7435936868093194E-5</v>
      </c>
    </row>
    <row r="152" spans="2:57" x14ac:dyDescent="0.2">
      <c r="B152" s="12" t="s">
        <v>207</v>
      </c>
      <c r="C152" s="20" t="s">
        <v>67</v>
      </c>
      <c r="D152" s="20">
        <v>0</v>
      </c>
      <c r="E152" s="20">
        <v>3.5964999999999998</v>
      </c>
      <c r="F152" s="20">
        <v>0.69120000000000004</v>
      </c>
      <c r="G152" s="20">
        <v>0.71260000000000001</v>
      </c>
      <c r="H152" s="20">
        <v>1.4116</v>
      </c>
      <c r="I152" s="21">
        <f t="shared" si="50"/>
        <v>2.8153999999999999</v>
      </c>
      <c r="J152" s="20">
        <v>1.802</v>
      </c>
      <c r="K152" s="20">
        <v>1.100548389337761</v>
      </c>
      <c r="L152" s="20">
        <v>5.1970033456118E-3</v>
      </c>
      <c r="M152" s="20">
        <v>644392</v>
      </c>
      <c r="N152" s="20">
        <v>646477.43999999994</v>
      </c>
      <c r="O152" s="20">
        <v>4.2560000000000002</v>
      </c>
      <c r="Q152" s="19">
        <v>105.21100300000001</v>
      </c>
      <c r="R152" s="19">
        <v>-39.686463000000003</v>
      </c>
      <c r="S152" s="19">
        <v>160</v>
      </c>
      <c r="T152" s="19">
        <v>100.757654</v>
      </c>
      <c r="U152" s="19">
        <v>111.990773</v>
      </c>
      <c r="V152" s="19">
        <v>89.243781999999996</v>
      </c>
      <c r="W152" s="19">
        <v>30.713950000000001</v>
      </c>
      <c r="Y152" t="str">
        <f t="shared" si="51"/>
        <v>NCEN_FT_High_Diesel_CCS_99_Wood</v>
      </c>
      <c r="Z152" t="str">
        <f t="shared" si="52"/>
        <v>Biomass_Wood</v>
      </c>
      <c r="AA152" s="18">
        <f t="shared" si="53"/>
        <v>113.06801411908927</v>
      </c>
      <c r="AB152" s="18">
        <f t="shared" si="54"/>
        <v>113.06801411908927</v>
      </c>
      <c r="AC152" s="5">
        <f t="shared" si="55"/>
        <v>0</v>
      </c>
      <c r="AD152" s="1">
        <f t="shared" si="56"/>
        <v>0</v>
      </c>
      <c r="AE152" s="1">
        <f t="shared" si="57"/>
        <v>39.235178367194713</v>
      </c>
      <c r="AF152" s="1">
        <f t="array" ref="AF152">_xlfn.IFS(C152="Biomass_Corn", 1/I152*S152, C152="Biomass_Agri", 1/I152*V152, C152="Biomass_Wood", 1/I152*U152, C152="Biomass_Herb", 1/I152*T152)</f>
        <v>39.77792604958443</v>
      </c>
      <c r="AG152" s="1">
        <f t="shared" si="58"/>
        <v>29.031095085603511</v>
      </c>
      <c r="AH152" s="1">
        <f t="shared" si="59"/>
        <v>29.125048155994389</v>
      </c>
      <c r="AI152" s="1">
        <f t="shared" si="60"/>
        <v>1.511685728493287</v>
      </c>
      <c r="AJ152" s="1">
        <f t="shared" si="61"/>
        <v>7.8121748855847574E-6</v>
      </c>
      <c r="AK152" s="1">
        <f t="shared" si="62"/>
        <v>-25.61374119453637</v>
      </c>
      <c r="AL152">
        <f t="shared" si="63"/>
        <v>8.2192675532378264E-4</v>
      </c>
      <c r="AM152" s="1">
        <f t="shared" si="64"/>
        <v>-0.39089521735475891</v>
      </c>
      <c r="AN152" s="1">
        <f t="shared" si="65"/>
        <v>15.513558618016143</v>
      </c>
      <c r="AO152">
        <f t="shared" si="66"/>
        <v>-41.126477885797193</v>
      </c>
      <c r="AQ152" s="17">
        <f t="shared" si="67"/>
        <v>1.802</v>
      </c>
      <c r="AR152" s="8">
        <v>0.243968185</v>
      </c>
      <c r="AS152" s="8">
        <v>0.24942761299999999</v>
      </c>
      <c r="AT152" s="9">
        <v>0.24635668499999999</v>
      </c>
      <c r="AU152" s="17">
        <v>0.23037490999999999</v>
      </c>
      <c r="AW152" s="9">
        <f t="shared" si="68"/>
        <v>1.802</v>
      </c>
      <c r="AY152" s="9">
        <f t="shared" si="69"/>
        <v>0.16863080947200002</v>
      </c>
      <c r="AZ152" s="9">
        <f t="shared" si="70"/>
        <v>0.35209201851079996</v>
      </c>
      <c r="BA152" s="9">
        <f t="shared" si="71"/>
        <v>0.17555377373100001</v>
      </c>
      <c r="BB152" s="9">
        <f t="shared" si="72"/>
        <v>5.1970033456118E-3</v>
      </c>
      <c r="BC152" s="9">
        <f t="shared" si="73"/>
        <v>1.100548389337761</v>
      </c>
      <c r="BE152" s="1">
        <f t="shared" si="74"/>
        <v>-2.1994397172875324E-5</v>
      </c>
    </row>
    <row r="153" spans="2:57" x14ac:dyDescent="0.2">
      <c r="B153" s="12" t="s">
        <v>208</v>
      </c>
      <c r="C153" s="20" t="s">
        <v>67</v>
      </c>
      <c r="D153" s="20">
        <v>0</v>
      </c>
      <c r="E153" s="20">
        <v>3.5964999999999998</v>
      </c>
      <c r="F153" s="20">
        <v>0.6915</v>
      </c>
      <c r="G153" s="20">
        <v>0.71289999999999998</v>
      </c>
      <c r="H153" s="20">
        <v>1.4123000000000001</v>
      </c>
      <c r="I153" s="21">
        <f t="shared" si="50"/>
        <v>2.8167</v>
      </c>
      <c r="J153" s="20">
        <v>1.802</v>
      </c>
      <c r="K153" s="20">
        <v>1.100184810003731</v>
      </c>
      <c r="L153" s="20">
        <v>5.1952864533483002E-3</v>
      </c>
      <c r="M153" s="20">
        <v>644392</v>
      </c>
      <c r="N153" s="20">
        <v>646477.43999999994</v>
      </c>
      <c r="O153" s="20">
        <v>4.2560000000000002</v>
      </c>
      <c r="Q153" s="19">
        <v>105.21100300000001</v>
      </c>
      <c r="R153" s="19">
        <v>-29.672038000000001</v>
      </c>
      <c r="S153" s="19">
        <v>160</v>
      </c>
      <c r="T153" s="19">
        <v>107.027154</v>
      </c>
      <c r="U153" s="19">
        <v>122.865223</v>
      </c>
      <c r="V153" s="19">
        <v>94.404420999999999</v>
      </c>
      <c r="W153" s="19">
        <v>25.118154000000001</v>
      </c>
      <c r="Y153" t="str">
        <f t="shared" si="51"/>
        <v>CEN_FT_High_Diesel_CCS_99_Wood</v>
      </c>
      <c r="Z153" t="str">
        <f t="shared" si="52"/>
        <v>Biomass_Wood</v>
      </c>
      <c r="AA153" s="18">
        <f t="shared" si="53"/>
        <v>105.82680959959032</v>
      </c>
      <c r="AB153" s="18">
        <f t="shared" si="54"/>
        <v>105.82680959959032</v>
      </c>
      <c r="AC153" s="5">
        <f t="shared" si="55"/>
        <v>0</v>
      </c>
      <c r="AD153" s="1">
        <f t="shared" si="56"/>
        <v>0</v>
      </c>
      <c r="AE153" s="1">
        <f t="shared" si="57"/>
        <v>32.072084659708167</v>
      </c>
      <c r="AF153" s="1">
        <f t="array" ref="AF153">_xlfn.IFS(C153="Biomass_Corn", 1/I153*S153, C153="Biomass_Agri", 1/I153*V153, C153="Biomass_Wood", 1/I153*U153, C153="Biomass_Herb", 1/I153*T153)</f>
        <v>43.620273014520542</v>
      </c>
      <c r="AG153" s="1">
        <f t="shared" si="58"/>
        <v>29.017696277206703</v>
      </c>
      <c r="AH153" s="1">
        <f t="shared" si="59"/>
        <v>29.11160598515518</v>
      </c>
      <c r="AI153" s="1">
        <f t="shared" si="60"/>
        <v>1.5109880356445486</v>
      </c>
      <c r="AJ153" s="1">
        <f t="shared" si="61"/>
        <v>-7.670337281389271E-6</v>
      </c>
      <c r="AK153" s="1">
        <f t="shared" si="62"/>
        <v>-29.505031368766108</v>
      </c>
      <c r="AL153">
        <f t="shared" si="63"/>
        <v>-8.0700387872325848E-4</v>
      </c>
      <c r="AM153" s="1">
        <f t="shared" si="64"/>
        <v>-0.39060120532635773</v>
      </c>
      <c r="AN153" s="1">
        <f t="shared" si="65"/>
        <v>11.589706212750199</v>
      </c>
      <c r="AO153">
        <f t="shared" si="66"/>
        <v>-41.095544585395039</v>
      </c>
      <c r="AQ153" s="17">
        <f t="shared" si="67"/>
        <v>1.802</v>
      </c>
      <c r="AR153" s="8">
        <v>0.243968185</v>
      </c>
      <c r="AS153" s="8">
        <v>0.24942761299999999</v>
      </c>
      <c r="AT153" s="9">
        <v>0.24635668499999999</v>
      </c>
      <c r="AU153" s="17">
        <v>0.23037490999999999</v>
      </c>
      <c r="AW153" s="9">
        <f t="shared" si="68"/>
        <v>1.802</v>
      </c>
      <c r="AY153" s="9">
        <f t="shared" si="69"/>
        <v>0.16870399992750001</v>
      </c>
      <c r="AZ153" s="9">
        <f t="shared" si="70"/>
        <v>0.35226661783990004</v>
      </c>
      <c r="BA153" s="9">
        <f t="shared" si="71"/>
        <v>0.17562768073649998</v>
      </c>
      <c r="BB153" s="9">
        <f t="shared" si="72"/>
        <v>5.1952864533483002E-3</v>
      </c>
      <c r="BC153" s="9">
        <f t="shared" si="73"/>
        <v>1.100184810003731</v>
      </c>
      <c r="BE153" s="1">
        <f t="shared" si="74"/>
        <v>2.1605039020489158E-5</v>
      </c>
    </row>
    <row r="154" spans="2:57" x14ac:dyDescent="0.2">
      <c r="B154" s="12" t="s">
        <v>209</v>
      </c>
      <c r="C154" s="20" t="s">
        <v>67</v>
      </c>
      <c r="D154" s="20">
        <v>0</v>
      </c>
      <c r="E154" s="20">
        <v>3.5964999999999998</v>
      </c>
      <c r="F154" s="20">
        <v>0.69410000000000005</v>
      </c>
      <c r="G154" s="20">
        <v>0.71550000000000002</v>
      </c>
      <c r="H154" s="20">
        <v>1.4175</v>
      </c>
      <c r="I154" s="21">
        <f t="shared" si="50"/>
        <v>2.8271000000000002</v>
      </c>
      <c r="J154" s="20">
        <v>1.821</v>
      </c>
      <c r="K154" s="20">
        <v>1.1165504546655169</v>
      </c>
      <c r="L154" s="20">
        <v>5.2725682075032004E-3</v>
      </c>
      <c r="M154" s="20">
        <v>644392</v>
      </c>
      <c r="N154" s="20">
        <v>646477.43999999994</v>
      </c>
      <c r="O154" s="20">
        <v>4.2560000000000002</v>
      </c>
      <c r="Q154" s="19">
        <v>105.21100300000001</v>
      </c>
      <c r="R154" s="19">
        <v>-45.510345000000001</v>
      </c>
      <c r="S154" s="19">
        <v>160</v>
      </c>
      <c r="T154" s="19">
        <v>97.593261999999996</v>
      </c>
      <c r="U154" s="19">
        <v>109.791234</v>
      </c>
      <c r="V154" s="19">
        <v>86.911507</v>
      </c>
      <c r="W154" s="19">
        <v>38.099075999999997</v>
      </c>
      <c r="Y154" t="str">
        <f t="shared" si="51"/>
        <v>SE_FT_High_Diesel_CCS_99_Wood</v>
      </c>
      <c r="Z154" t="str">
        <f t="shared" si="52"/>
        <v>Biomass_Wood</v>
      </c>
      <c r="AA154" s="18">
        <f t="shared" si="53"/>
        <v>123.14522059935605</v>
      </c>
      <c r="AB154" s="18">
        <f t="shared" si="54"/>
        <v>123.14522059935604</v>
      </c>
      <c r="AC154" s="5">
        <f t="shared" si="55"/>
        <v>0</v>
      </c>
      <c r="AD154" s="1">
        <f t="shared" si="56"/>
        <v>0</v>
      </c>
      <c r="AE154" s="1">
        <f t="shared" si="57"/>
        <v>48.467803344062808</v>
      </c>
      <c r="AF154" s="1">
        <f t="array" ref="AF154">_xlfn.IFS(C154="Biomass_Corn", 1/I154*S154, C154="Biomass_Agri", 1/I154*V154, C154="Biomass_Wood", 1/I154*U154, C154="Biomass_Herb", 1/I154*T154)</f>
        <v>38.835284920943721</v>
      </c>
      <c r="AG154" s="1">
        <f t="shared" si="58"/>
        <v>28.9109494195494</v>
      </c>
      <c r="AH154" s="1">
        <f t="shared" si="59"/>
        <v>29.004513663608147</v>
      </c>
      <c r="AI154" s="1">
        <f t="shared" si="60"/>
        <v>1.505429592161579</v>
      </c>
      <c r="AJ154" s="1">
        <f t="shared" si="61"/>
        <v>-2.4089609422469602E-6</v>
      </c>
      <c r="AK154" s="1">
        <f t="shared" si="62"/>
        <v>-23.578506891772676</v>
      </c>
      <c r="AL154">
        <f t="shared" si="63"/>
        <v>-2.5344919692162776E-4</v>
      </c>
      <c r="AM154" s="1">
        <f t="shared" si="64"/>
        <v>-0.39494792014396263</v>
      </c>
      <c r="AN154" s="1">
        <f t="shared" si="65"/>
        <v>17.974106470140615</v>
      </c>
      <c r="AO154">
        <f t="shared" si="66"/>
        <v>-41.552866811110214</v>
      </c>
      <c r="AQ154" s="17">
        <f t="shared" si="67"/>
        <v>1.821</v>
      </c>
      <c r="AR154" s="8">
        <v>0.243968185</v>
      </c>
      <c r="AS154" s="8">
        <v>0.24942761299999999</v>
      </c>
      <c r="AT154" s="9">
        <v>0.24635668499999999</v>
      </c>
      <c r="AU154" s="17">
        <v>0.23037490999999999</v>
      </c>
      <c r="AW154" s="9">
        <f t="shared" si="68"/>
        <v>1.821</v>
      </c>
      <c r="AY154" s="9">
        <f t="shared" si="69"/>
        <v>0.16933831720850001</v>
      </c>
      <c r="AZ154" s="9">
        <f t="shared" si="70"/>
        <v>0.35356364142749996</v>
      </c>
      <c r="BA154" s="9">
        <f t="shared" si="71"/>
        <v>0.17626820811749999</v>
      </c>
      <c r="BB154" s="9">
        <f t="shared" si="72"/>
        <v>5.2725682075032004E-3</v>
      </c>
      <c r="BC154" s="9">
        <f t="shared" si="73"/>
        <v>1.1165504546655169</v>
      </c>
      <c r="BE154" s="1">
        <f t="shared" si="74"/>
        <v>6.8103734798263815E-6</v>
      </c>
    </row>
    <row r="155" spans="2:57" x14ac:dyDescent="0.2">
      <c r="B155" s="12" t="s">
        <v>210</v>
      </c>
      <c r="C155" s="20" t="s">
        <v>67</v>
      </c>
      <c r="D155" s="20">
        <v>0</v>
      </c>
      <c r="E155" s="20">
        <v>3.5964999999999998</v>
      </c>
      <c r="F155" s="20">
        <v>0.68930000000000002</v>
      </c>
      <c r="G155" s="20">
        <v>0.7107</v>
      </c>
      <c r="H155" s="20">
        <v>1.4078999999999999</v>
      </c>
      <c r="I155" s="21">
        <f t="shared" si="50"/>
        <v>2.8079000000000001</v>
      </c>
      <c r="J155" s="20">
        <v>1.806</v>
      </c>
      <c r="K155" s="20">
        <v>1.1063474860079141</v>
      </c>
      <c r="L155" s="20">
        <v>5.2243878069298004E-3</v>
      </c>
      <c r="M155" s="20">
        <v>644392</v>
      </c>
      <c r="N155" s="20">
        <v>646477.43999999994</v>
      </c>
      <c r="O155" s="20">
        <v>4.2560000000000002</v>
      </c>
      <c r="Q155" s="19">
        <v>105.21100300000001</v>
      </c>
      <c r="R155" s="19">
        <v>-50.334515000000003</v>
      </c>
      <c r="S155" s="19">
        <v>160</v>
      </c>
      <c r="T155" s="19">
        <v>98.707491000000005</v>
      </c>
      <c r="U155" s="19">
        <v>106.53195700000001</v>
      </c>
      <c r="V155" s="19">
        <v>87.469328000000004</v>
      </c>
      <c r="W155" s="19">
        <v>39.29871</v>
      </c>
      <c r="Y155" t="str">
        <f t="shared" si="51"/>
        <v>MIDAT_FT_High_Diesel_CCS_99_Wood</v>
      </c>
      <c r="Z155" t="str">
        <f t="shared" si="52"/>
        <v>Biomass_Wood</v>
      </c>
      <c r="AA155" s="18">
        <f t="shared" si="53"/>
        <v>126.48081301965316</v>
      </c>
      <c r="AB155" s="18">
        <f t="shared" si="54"/>
        <v>126.48081301965317</v>
      </c>
      <c r="AC155" s="5">
        <f t="shared" si="55"/>
        <v>0</v>
      </c>
      <c r="AD155" s="1">
        <f t="shared" si="56"/>
        <v>0</v>
      </c>
      <c r="AE155" s="1">
        <f t="shared" si="57"/>
        <v>50.335770688058695</v>
      </c>
      <c r="AF155" s="1">
        <f t="array" ref="AF155">_xlfn.IFS(C155="Biomass_Corn", 1/I155*S155, C155="Biomass_Agri", 1/I155*V155, C155="Biomass_Wood", 1/I155*U155, C155="Biomass_Herb", 1/I155*T155)</f>
        <v>37.940082267887036</v>
      </c>
      <c r="AG155" s="1">
        <f t="shared" si="58"/>
        <v>29.108638165179713</v>
      </c>
      <c r="AH155" s="1">
        <f t="shared" si="59"/>
        <v>29.20284218753752</v>
      </c>
      <c r="AI155" s="1">
        <f t="shared" si="60"/>
        <v>1.5157234944264397</v>
      </c>
      <c r="AJ155" s="1">
        <f t="shared" si="61"/>
        <v>-2.1453372471192615E-6</v>
      </c>
      <c r="AK155" s="1">
        <f t="shared" si="62"/>
        <v>-21.622018070352745</v>
      </c>
      <c r="AL155">
        <f t="shared" si="63"/>
        <v>-2.2571308354267638E-4</v>
      </c>
      <c r="AM155" s="1">
        <f t="shared" si="64"/>
        <v>-0.39401456957169778</v>
      </c>
      <c r="AN155" s="1">
        <f t="shared" si="65"/>
        <v>19.832424277815324</v>
      </c>
      <c r="AO155">
        <f t="shared" si="66"/>
        <v>-41.454668061251603</v>
      </c>
      <c r="AQ155" s="17">
        <f t="shared" si="67"/>
        <v>1.806</v>
      </c>
      <c r="AR155" s="8">
        <v>0.243968185</v>
      </c>
      <c r="AS155" s="8">
        <v>0.24942761299999999</v>
      </c>
      <c r="AT155" s="9">
        <v>0.24635668499999999</v>
      </c>
      <c r="AU155" s="17">
        <v>0.23037490999999999</v>
      </c>
      <c r="AW155" s="9">
        <f t="shared" si="68"/>
        <v>1.806</v>
      </c>
      <c r="AY155" s="9">
        <f t="shared" si="69"/>
        <v>0.16816726992050002</v>
      </c>
      <c r="AZ155" s="9">
        <f t="shared" si="70"/>
        <v>0.35116913634269997</v>
      </c>
      <c r="BA155" s="9">
        <f t="shared" si="71"/>
        <v>0.1750856960295</v>
      </c>
      <c r="BB155" s="9">
        <f t="shared" si="72"/>
        <v>5.2243878069298004E-3</v>
      </c>
      <c r="BC155" s="9">
        <f t="shared" si="73"/>
        <v>1.1063474860079141</v>
      </c>
      <c r="BE155" s="1">
        <f t="shared" si="74"/>
        <v>6.0238924561861751E-6</v>
      </c>
    </row>
    <row r="156" spans="2:57" x14ac:dyDescent="0.2">
      <c r="B156" s="12" t="s">
        <v>211</v>
      </c>
      <c r="C156" s="20" t="s">
        <v>67</v>
      </c>
      <c r="D156" s="20">
        <v>0</v>
      </c>
      <c r="E156" s="20">
        <v>3.5964999999999998</v>
      </c>
      <c r="F156" s="20">
        <v>0.68500000000000005</v>
      </c>
      <c r="G156" s="20">
        <v>0.70620000000000005</v>
      </c>
      <c r="H156" s="20">
        <v>1.399</v>
      </c>
      <c r="I156" s="21">
        <f t="shared" si="50"/>
        <v>2.7902</v>
      </c>
      <c r="J156" s="20">
        <v>1.8260000000000001</v>
      </c>
      <c r="K156" s="20">
        <v>1.1306164380162811</v>
      </c>
      <c r="L156" s="20">
        <v>5.3389905140927996E-3</v>
      </c>
      <c r="M156" s="20">
        <v>644392</v>
      </c>
      <c r="N156" s="20">
        <v>646477.43999999994</v>
      </c>
      <c r="O156" s="20">
        <v>4.2560000000000002</v>
      </c>
      <c r="Q156" s="19">
        <v>105.21100300000001</v>
      </c>
      <c r="R156" s="19">
        <v>-58.833413</v>
      </c>
      <c r="S156" s="19">
        <v>160</v>
      </c>
      <c r="T156" s="19">
        <v>99.493746999999999</v>
      </c>
      <c r="U156" s="19">
        <v>105.21395800000001</v>
      </c>
      <c r="V156" s="19">
        <v>89.700445000000002</v>
      </c>
      <c r="W156" s="19">
        <v>47.365060999999997</v>
      </c>
      <c r="Y156" t="str">
        <f t="shared" si="51"/>
        <v>NE_FT_High_Diesel_CCS_99_Wood</v>
      </c>
      <c r="Z156" t="str">
        <f t="shared" si="52"/>
        <v>Biomass_Wood</v>
      </c>
      <c r="AA156" s="18">
        <f t="shared" si="53"/>
        <v>140.17487470901082</v>
      </c>
      <c r="AB156" s="18">
        <f t="shared" si="54"/>
        <v>140.17487470901082</v>
      </c>
      <c r="AC156" s="5">
        <f t="shared" si="55"/>
        <v>0</v>
      </c>
      <c r="AD156" s="1">
        <f t="shared" si="56"/>
        <v>0</v>
      </c>
      <c r="AE156" s="1">
        <f t="shared" si="57"/>
        <v>61.052412689592131</v>
      </c>
      <c r="AF156" s="1">
        <f t="array" ref="AF156">_xlfn.IFS(C156="Biomass_Corn", 1/I156*S156, C156="Biomass_Agri", 1/I156*V156, C156="Biomass_Wood", 1/I156*U156, C156="Biomass_Herb", 1/I156*T156)</f>
        <v>37.708392946742173</v>
      </c>
      <c r="AG156" s="1">
        <f t="shared" si="58"/>
        <v>29.29329263278909</v>
      </c>
      <c r="AH156" s="1">
        <f t="shared" si="59"/>
        <v>29.38809425072991</v>
      </c>
      <c r="AI156" s="1">
        <f t="shared" si="60"/>
        <v>1.5253386853988962</v>
      </c>
      <c r="AJ156" s="1">
        <f t="shared" si="61"/>
        <v>-1.548656948902718E-8</v>
      </c>
      <c r="AK156" s="1">
        <f t="shared" si="62"/>
        <v>-18.792654866883915</v>
      </c>
      <c r="AL156">
        <f t="shared" si="63"/>
        <v>-1.6293575089697471E-6</v>
      </c>
      <c r="AM156" s="1">
        <f t="shared" si="64"/>
        <v>-0.40520983486019185</v>
      </c>
      <c r="AN156" s="1">
        <f t="shared" si="65"/>
        <v>23.839876654863723</v>
      </c>
      <c r="AO156">
        <f t="shared" si="66"/>
        <v>-42.63253315110515</v>
      </c>
      <c r="AQ156" s="17">
        <f t="shared" si="67"/>
        <v>1.8260000000000001</v>
      </c>
      <c r="AR156" s="8">
        <v>0.243968185</v>
      </c>
      <c r="AS156" s="8">
        <v>0.24942761299999999</v>
      </c>
      <c r="AT156" s="9">
        <v>0.24635668499999999</v>
      </c>
      <c r="AU156" s="17">
        <v>0.23037490999999999</v>
      </c>
      <c r="AW156" s="9">
        <f t="shared" si="68"/>
        <v>1.8260000000000001</v>
      </c>
      <c r="AY156" s="9">
        <f t="shared" si="69"/>
        <v>0.16711820672500002</v>
      </c>
      <c r="AZ156" s="9">
        <f t="shared" si="70"/>
        <v>0.348949230587</v>
      </c>
      <c r="BA156" s="9">
        <f t="shared" si="71"/>
        <v>0.17397709094700001</v>
      </c>
      <c r="BB156" s="9">
        <f t="shared" si="72"/>
        <v>5.3389905140927996E-3</v>
      </c>
      <c r="BC156" s="9">
        <f t="shared" si="73"/>
        <v>1.1306164380162811</v>
      </c>
      <c r="BE156" s="1">
        <f t="shared" si="74"/>
        <v>4.3210626188283641E-8</v>
      </c>
    </row>
    <row r="157" spans="2:57" x14ac:dyDescent="0.2">
      <c r="B157" s="12" t="s">
        <v>212</v>
      </c>
      <c r="C157" s="20" t="s">
        <v>77</v>
      </c>
      <c r="D157" s="20">
        <v>0</v>
      </c>
      <c r="E157" s="20">
        <v>3.5964999999999998</v>
      </c>
      <c r="F157" s="20">
        <v>0.66320000000000001</v>
      </c>
      <c r="G157" s="20">
        <v>0.68379999999999996</v>
      </c>
      <c r="H157" s="20">
        <v>1.3546</v>
      </c>
      <c r="I157" s="21">
        <f t="shared" si="50"/>
        <v>2.7016</v>
      </c>
      <c r="J157" s="20">
        <v>1.7190000000000001</v>
      </c>
      <c r="K157" s="20">
        <v>1.045934098058114</v>
      </c>
      <c r="L157" s="20">
        <v>4.9391040499077001E-3</v>
      </c>
      <c r="M157" s="20">
        <v>644392</v>
      </c>
      <c r="N157" s="20">
        <v>646477.43999999994</v>
      </c>
      <c r="O157" s="20">
        <v>4.2560000000000002</v>
      </c>
      <c r="Q157" s="19">
        <v>105.21100300000001</v>
      </c>
      <c r="R157" s="19">
        <v>-6.4122130000000004</v>
      </c>
      <c r="S157" s="19">
        <v>160</v>
      </c>
      <c r="T157" s="19">
        <v>313632.96735400002</v>
      </c>
      <c r="U157" s="19">
        <v>154.036981</v>
      </c>
      <c r="V157" s="19">
        <v>132.85973799999999</v>
      </c>
      <c r="W157" s="19">
        <v>36.488697999999999</v>
      </c>
      <c r="Y157" t="str">
        <f t="shared" si="51"/>
        <v>CA_FT_High_Diesel_CCS_99_Agri</v>
      </c>
      <c r="Z157" t="str">
        <f t="shared" si="52"/>
        <v>Biomass_Agri</v>
      </c>
      <c r="AA157" s="18">
        <f t="shared" si="53"/>
        <v>121.68484605716655</v>
      </c>
      <c r="AB157" s="18">
        <f t="shared" si="54"/>
        <v>121.68484605716657</v>
      </c>
      <c r="AC157" s="5">
        <f t="shared" si="55"/>
        <v>0</v>
      </c>
      <c r="AD157" s="1">
        <f t="shared" si="56"/>
        <v>0</v>
      </c>
      <c r="AE157" s="1">
        <f t="shared" si="57"/>
        <v>48.575511680855783</v>
      </c>
      <c r="AF157" s="1">
        <f t="array" ref="AF157">_xlfn.IFS(C157="Biomass_Corn", 1/I157*S157, C157="Biomass_Agri", 1/I157*V157, C157="Biomass_Wood", 1/I157*U157, C157="Biomass_Herb", 1/I157*T157)</f>
        <v>49.178167752442995</v>
      </c>
      <c r="AG157" s="1">
        <f t="shared" si="58"/>
        <v>30.253977311225984</v>
      </c>
      <c r="AH157" s="1">
        <f t="shared" si="59"/>
        <v>30.351887984300635</v>
      </c>
      <c r="AI157" s="1">
        <f t="shared" si="60"/>
        <v>1.5753627480011845</v>
      </c>
      <c r="AJ157" s="1">
        <f t="shared" si="61"/>
        <v>2.3127675531451209E-6</v>
      </c>
      <c r="AK157" s="1">
        <f t="shared" si="62"/>
        <v>-38.25030474825401</v>
      </c>
      <c r="AL157">
        <f t="shared" si="63"/>
        <v>2.4332859397225399E-4</v>
      </c>
      <c r="AM157" s="1">
        <f t="shared" si="64"/>
        <v>-0.3871512621725246</v>
      </c>
      <c r="AN157" s="1">
        <f t="shared" si="65"/>
        <v>2.4825111862272409</v>
      </c>
      <c r="AO157">
        <f t="shared" si="66"/>
        <v>-40.732572605887277</v>
      </c>
      <c r="AQ157" s="17">
        <f t="shared" si="67"/>
        <v>1.7190000000000001</v>
      </c>
      <c r="AR157" s="8">
        <v>0.243968185</v>
      </c>
      <c r="AS157" s="8">
        <v>0.24942761299999999</v>
      </c>
      <c r="AT157" s="9">
        <v>0.24635668499999999</v>
      </c>
      <c r="AU157" s="17">
        <v>0.23037490999999999</v>
      </c>
      <c r="AW157" s="9">
        <f t="shared" si="68"/>
        <v>1.7190000000000001</v>
      </c>
      <c r="AY157" s="9">
        <f t="shared" si="69"/>
        <v>0.161799700292</v>
      </c>
      <c r="AZ157" s="9">
        <f t="shared" si="70"/>
        <v>0.33787464456979999</v>
      </c>
      <c r="BA157" s="9">
        <f t="shared" si="71"/>
        <v>0.16845870120299999</v>
      </c>
      <c r="BB157" s="9">
        <f t="shared" si="72"/>
        <v>4.9391040499077001E-3</v>
      </c>
      <c r="BC157" s="9">
        <f t="shared" si="73"/>
        <v>1.045934098058114</v>
      </c>
      <c r="BE157" s="1">
        <f t="shared" si="74"/>
        <v>-6.2481728215768584E-6</v>
      </c>
    </row>
    <row r="158" spans="2:57" x14ac:dyDescent="0.2">
      <c r="B158" s="12" t="s">
        <v>213</v>
      </c>
      <c r="C158" s="20" t="s">
        <v>77</v>
      </c>
      <c r="D158" s="20">
        <v>0</v>
      </c>
      <c r="E158" s="20">
        <v>3.5964999999999998</v>
      </c>
      <c r="F158" s="20">
        <v>0.60629999999999995</v>
      </c>
      <c r="G158" s="20">
        <v>0.62509999999999999</v>
      </c>
      <c r="H158" s="20">
        <v>1.2383</v>
      </c>
      <c r="I158" s="21">
        <f t="shared" si="50"/>
        <v>2.4696999999999996</v>
      </c>
      <c r="J158" s="20">
        <v>1.6639999999999999</v>
      </c>
      <c r="K158" s="20">
        <v>1.0482745535009119</v>
      </c>
      <c r="L158" s="20">
        <v>4.9501561352901001E-3</v>
      </c>
      <c r="M158" s="20">
        <v>644392</v>
      </c>
      <c r="N158" s="20">
        <v>646477.43999999994</v>
      </c>
      <c r="O158" s="20">
        <v>4.2560000000000002</v>
      </c>
      <c r="Q158" s="19">
        <v>105.21100300000001</v>
      </c>
      <c r="R158" s="19">
        <v>-7.3796590000000002</v>
      </c>
      <c r="S158" s="19">
        <v>160</v>
      </c>
      <c r="T158" s="19">
        <v>130.996602</v>
      </c>
      <c r="U158" s="19">
        <v>149.05667199999999</v>
      </c>
      <c r="V158" s="19">
        <v>112.26938</v>
      </c>
      <c r="W158" s="19">
        <v>26.787863000000002</v>
      </c>
      <c r="Y158" t="str">
        <f t="shared" si="51"/>
        <v>NW_FT_High_Diesel_CCS_99_Agri</v>
      </c>
      <c r="Z158" t="str">
        <f t="shared" si="52"/>
        <v>Biomass_Agri</v>
      </c>
      <c r="AA158" s="18">
        <f t="shared" si="53"/>
        <v>110.96380109523385</v>
      </c>
      <c r="AB158" s="18">
        <f t="shared" si="54"/>
        <v>110.96380109523383</v>
      </c>
      <c r="AC158" s="5">
        <f t="shared" si="55"/>
        <v>0</v>
      </c>
      <c r="AD158" s="1">
        <f t="shared" si="56"/>
        <v>0</v>
      </c>
      <c r="AE158" s="1">
        <f t="shared" si="57"/>
        <v>39.009818714621211</v>
      </c>
      <c r="AF158" s="1">
        <f t="array" ref="AF158">_xlfn.IFS(C158="Biomass_Corn", 1/I158*S158, C158="Biomass_Agri", 1/I158*V158, C158="Biomass_Wood", 1/I158*U158, C158="Biomass_Herb", 1/I158*T158)</f>
        <v>45.45871158440297</v>
      </c>
      <c r="AG158" s="1">
        <f t="shared" si="58"/>
        <v>33.094766612952235</v>
      </c>
      <c r="AH158" s="1">
        <f t="shared" si="59"/>
        <v>33.201870906744389</v>
      </c>
      <c r="AI158" s="1">
        <f t="shared" si="60"/>
        <v>1.7232862290966517</v>
      </c>
      <c r="AJ158" s="1">
        <f t="shared" si="61"/>
        <v>2.5902632312163654E-6</v>
      </c>
      <c r="AK158" s="1">
        <f t="shared" si="62"/>
        <v>-41.524925476776183</v>
      </c>
      <c r="AL158">
        <f t="shared" si="63"/>
        <v>2.7252419259029474E-4</v>
      </c>
      <c r="AM158" s="1">
        <f t="shared" si="64"/>
        <v>-0.42445161611848004</v>
      </c>
      <c r="AN158" s="1">
        <f t="shared" si="65"/>
        <v>3.1323273042126525</v>
      </c>
      <c r="AO158">
        <f t="shared" si="66"/>
        <v>-44.656980256796253</v>
      </c>
      <c r="AQ158" s="17">
        <f t="shared" si="67"/>
        <v>1.6639999999999999</v>
      </c>
      <c r="AR158" s="8">
        <v>0.243968185</v>
      </c>
      <c r="AS158" s="8">
        <v>0.24942761299999999</v>
      </c>
      <c r="AT158" s="9">
        <v>0.24635668499999999</v>
      </c>
      <c r="AU158" s="17">
        <v>0.23037490999999999</v>
      </c>
      <c r="AW158" s="9">
        <f t="shared" si="68"/>
        <v>1.6639999999999999</v>
      </c>
      <c r="AY158" s="9">
        <f t="shared" si="69"/>
        <v>0.14791791056549999</v>
      </c>
      <c r="AZ158" s="9">
        <f t="shared" si="70"/>
        <v>0.30886621317789997</v>
      </c>
      <c r="BA158" s="9">
        <f t="shared" si="71"/>
        <v>0.15399756379349999</v>
      </c>
      <c r="BB158" s="9">
        <f t="shared" si="72"/>
        <v>4.9501561352901001E-3</v>
      </c>
      <c r="BC158" s="9">
        <f t="shared" si="73"/>
        <v>1.0482745535009119</v>
      </c>
      <c r="BE158" s="1">
        <f t="shared" si="74"/>
        <v>-6.3971731021350564E-6</v>
      </c>
    </row>
    <row r="159" spans="2:57" x14ac:dyDescent="0.2">
      <c r="B159" s="12" t="s">
        <v>214</v>
      </c>
      <c r="C159" s="20" t="s">
        <v>77</v>
      </c>
      <c r="D159" s="20">
        <v>0</v>
      </c>
      <c r="E159" s="20">
        <v>3.5964999999999998</v>
      </c>
      <c r="F159" s="20">
        <v>0.61750000000000005</v>
      </c>
      <c r="G159" s="20">
        <v>0.63670000000000004</v>
      </c>
      <c r="H159" s="20">
        <v>1.2613000000000001</v>
      </c>
      <c r="I159" s="21">
        <f t="shared" si="50"/>
        <v>2.5155000000000003</v>
      </c>
      <c r="J159" s="20">
        <v>1.6870000000000001</v>
      </c>
      <c r="K159" s="20">
        <v>1.059895494145964</v>
      </c>
      <c r="L159" s="20">
        <v>5.0050324751190998E-3</v>
      </c>
      <c r="M159" s="20">
        <v>644392</v>
      </c>
      <c r="N159" s="20">
        <v>646477.43999999994</v>
      </c>
      <c r="O159" s="20">
        <v>4.2560000000000002</v>
      </c>
      <c r="Q159" s="19">
        <v>105.21100300000001</v>
      </c>
      <c r="R159" s="19">
        <v>-14.567418</v>
      </c>
      <c r="S159" s="19">
        <v>160</v>
      </c>
      <c r="T159" s="19">
        <v>120.282189</v>
      </c>
      <c r="U159" s="19">
        <v>137.475031</v>
      </c>
      <c r="V159" s="19">
        <v>107.559866</v>
      </c>
      <c r="W159" s="19">
        <v>27.957547000000002</v>
      </c>
      <c r="Y159" t="str">
        <f t="shared" si="51"/>
        <v>SW_FT_High_Diesel_CCS_99_Agri</v>
      </c>
      <c r="Z159" t="str">
        <f t="shared" si="52"/>
        <v>Biomass_Agri</v>
      </c>
      <c r="AA159" s="18">
        <f t="shared" si="53"/>
        <v>111.32030741430694</v>
      </c>
      <c r="AB159" s="18">
        <f t="shared" si="54"/>
        <v>111.32030741430694</v>
      </c>
      <c r="AC159" s="5">
        <f t="shared" si="55"/>
        <v>0</v>
      </c>
      <c r="AD159" s="1">
        <f t="shared" si="56"/>
        <v>0</v>
      </c>
      <c r="AE159" s="1">
        <f t="shared" si="57"/>
        <v>39.971901325978926</v>
      </c>
      <c r="AF159" s="1">
        <f t="array" ref="AF159">_xlfn.IFS(C159="Biomass_Corn", 1/I159*S159, C159="Biomass_Agri", 1/I159*V159, C159="Biomass_Wood", 1/I159*U159, C159="Biomass_Herb", 1/I159*T159)</f>
        <v>42.758841582190414</v>
      </c>
      <c r="AG159" s="1">
        <f t="shared" si="58"/>
        <v>32.492206362157866</v>
      </c>
      <c r="AH159" s="1">
        <f t="shared" si="59"/>
        <v>32.597360595661534</v>
      </c>
      <c r="AI159" s="1">
        <f t="shared" si="60"/>
        <v>1.6919101570264361</v>
      </c>
      <c r="AJ159" s="1">
        <f t="shared" si="61"/>
        <v>3.669439468504907E-6</v>
      </c>
      <c r="AK159" s="1">
        <f t="shared" si="62"/>
        <v>-38.192298674115158</v>
      </c>
      <c r="AL159">
        <f t="shared" si="63"/>
        <v>3.8606540692918821E-4</v>
      </c>
      <c r="AM159" s="1">
        <f t="shared" si="64"/>
        <v>-0.42134218392803846</v>
      </c>
      <c r="AN159" s="1">
        <f t="shared" si="65"/>
        <v>6.1379211685711823</v>
      </c>
      <c r="AO159">
        <f t="shared" si="66"/>
        <v>-44.329833777279411</v>
      </c>
      <c r="AQ159" s="17">
        <f t="shared" si="67"/>
        <v>1.6870000000000001</v>
      </c>
      <c r="AR159" s="8">
        <v>0.243968185</v>
      </c>
      <c r="AS159" s="8">
        <v>0.24942761299999999</v>
      </c>
      <c r="AT159" s="9">
        <v>0.24635668499999999</v>
      </c>
      <c r="AU159" s="17">
        <v>0.23037490999999999</v>
      </c>
      <c r="AW159" s="9">
        <f t="shared" si="68"/>
        <v>1.6870000000000001</v>
      </c>
      <c r="AY159" s="9">
        <f t="shared" si="69"/>
        <v>0.15065035423750001</v>
      </c>
      <c r="AZ159" s="9">
        <f t="shared" si="70"/>
        <v>0.3146030482769</v>
      </c>
      <c r="BA159" s="9">
        <f t="shared" si="71"/>
        <v>0.15685530133950001</v>
      </c>
      <c r="BB159" s="9">
        <f t="shared" si="72"/>
        <v>5.0050324751190998E-3</v>
      </c>
      <c r="BC159" s="9">
        <f t="shared" si="73"/>
        <v>1.059895494145964</v>
      </c>
      <c r="BE159" s="1">
        <f t="shared" si="74"/>
        <v>-9.2304749830240951E-6</v>
      </c>
    </row>
    <row r="160" spans="2:57" x14ac:dyDescent="0.2">
      <c r="B160" s="12" t="s">
        <v>215</v>
      </c>
      <c r="C160" s="20" t="s">
        <v>77</v>
      </c>
      <c r="D160" s="20">
        <v>0</v>
      </c>
      <c r="E160" s="20">
        <v>3.5964999999999998</v>
      </c>
      <c r="F160" s="20">
        <v>0.60160000000000002</v>
      </c>
      <c r="G160" s="20">
        <v>0.62019999999999997</v>
      </c>
      <c r="H160" s="20">
        <v>1.2286999999999999</v>
      </c>
      <c r="I160" s="21">
        <f t="shared" si="50"/>
        <v>2.4504999999999999</v>
      </c>
      <c r="J160" s="20">
        <v>1.633</v>
      </c>
      <c r="K160" s="20">
        <v>1.022146784843309</v>
      </c>
      <c r="L160" s="20">
        <v>4.8267757347167E-3</v>
      </c>
      <c r="M160" s="20">
        <v>644392</v>
      </c>
      <c r="N160" s="20">
        <v>646477.43999999994</v>
      </c>
      <c r="O160" s="20">
        <v>4.2560000000000002</v>
      </c>
      <c r="Q160" s="19">
        <v>105.21100300000001</v>
      </c>
      <c r="R160" s="19">
        <v>-19.477884</v>
      </c>
      <c r="S160" s="19">
        <v>160</v>
      </c>
      <c r="T160" s="19">
        <v>132.95547999999999</v>
      </c>
      <c r="U160" s="19">
        <v>152.57709199999999</v>
      </c>
      <c r="V160" s="19">
        <v>106.67488899999999</v>
      </c>
      <c r="W160" s="19">
        <v>20.174973000000001</v>
      </c>
      <c r="Y160" t="str">
        <f t="shared" si="51"/>
        <v>TX_FT_High_Diesel_CCS_99_Agri</v>
      </c>
      <c r="Z160" t="str">
        <f t="shared" si="52"/>
        <v>Biomass_Agri</v>
      </c>
      <c r="AA160" s="18">
        <f t="shared" si="53"/>
        <v>105.93425170629</v>
      </c>
      <c r="AB160" s="18">
        <f t="shared" si="54"/>
        <v>105.93425170629001</v>
      </c>
      <c r="AC160" s="5">
        <f t="shared" si="55"/>
        <v>0</v>
      </c>
      <c r="AD160" s="1">
        <f t="shared" si="56"/>
        <v>0</v>
      </c>
      <c r="AE160" s="1">
        <f t="shared" si="57"/>
        <v>29.6099940397878</v>
      </c>
      <c r="AF160" s="1">
        <f t="array" ref="AF160">_xlfn.IFS(C160="Biomass_Corn", 1/I160*S160, C160="Biomass_Agri", 1/I160*V160, C160="Biomass_Wood", 1/I160*U160, C160="Biomass_Herb", 1/I160*T160)</f>
        <v>43.531886961844521</v>
      </c>
      <c r="AG160" s="1">
        <f t="shared" si="58"/>
        <v>33.35406859988089</v>
      </c>
      <c r="AH160" s="1">
        <f t="shared" si="59"/>
        <v>33.462012070347519</v>
      </c>
      <c r="AI160" s="1">
        <f t="shared" si="60"/>
        <v>1.7367884105284637</v>
      </c>
      <c r="AJ160" s="1">
        <f t="shared" si="61"/>
        <v>2.8340355541941034E-6</v>
      </c>
      <c r="AK160" s="1">
        <f t="shared" si="62"/>
        <v>-35.760796547822409</v>
      </c>
      <c r="AL160">
        <f t="shared" si="63"/>
        <v>2.9817172319442249E-4</v>
      </c>
      <c r="AM160" s="1">
        <f t="shared" si="64"/>
        <v>-0.41711480923859756</v>
      </c>
      <c r="AN160" s="1">
        <f t="shared" si="65"/>
        <v>8.1245690700473094</v>
      </c>
      <c r="AO160">
        <f t="shared" si="66"/>
        <v>-43.885067446146515</v>
      </c>
      <c r="AQ160" s="17">
        <f t="shared" si="67"/>
        <v>1.633</v>
      </c>
      <c r="AR160" s="8">
        <v>0.243968185</v>
      </c>
      <c r="AS160" s="8">
        <v>0.24942761299999999</v>
      </c>
      <c r="AT160" s="9">
        <v>0.24635668499999999</v>
      </c>
      <c r="AU160" s="17">
        <v>0.23037490999999999</v>
      </c>
      <c r="AW160" s="9">
        <f t="shared" si="68"/>
        <v>1.633</v>
      </c>
      <c r="AY160" s="9">
        <f t="shared" si="69"/>
        <v>0.146771260096</v>
      </c>
      <c r="AZ160" s="9">
        <f t="shared" si="70"/>
        <v>0.30647170809309998</v>
      </c>
      <c r="BA160" s="9">
        <f t="shared" si="71"/>
        <v>0.152790416037</v>
      </c>
      <c r="BB160" s="9">
        <f t="shared" si="72"/>
        <v>4.8267757347167E-3</v>
      </c>
      <c r="BC160" s="9">
        <f t="shared" si="73"/>
        <v>1.022146784843309</v>
      </c>
      <c r="BE160" s="1">
        <f t="shared" si="74"/>
        <v>-6.9448041255526505E-6</v>
      </c>
    </row>
    <row r="161" spans="2:57" x14ac:dyDescent="0.2">
      <c r="B161" s="12" t="s">
        <v>216</v>
      </c>
      <c r="C161" s="20" t="s">
        <v>77</v>
      </c>
      <c r="D161" s="20">
        <v>0</v>
      </c>
      <c r="E161" s="20">
        <v>3.5964999999999998</v>
      </c>
      <c r="F161" s="20">
        <v>0.62729999999999997</v>
      </c>
      <c r="G161" s="20">
        <v>0.64680000000000004</v>
      </c>
      <c r="H161" s="20">
        <v>1.2811999999999999</v>
      </c>
      <c r="I161" s="21">
        <f t="shared" si="50"/>
        <v>2.5552999999999999</v>
      </c>
      <c r="J161" s="20">
        <v>1.71</v>
      </c>
      <c r="K161" s="20">
        <v>1.072970752127139</v>
      </c>
      <c r="L161" s="20">
        <v>5.0667763840023996E-3</v>
      </c>
      <c r="M161" s="20">
        <v>644392</v>
      </c>
      <c r="N161" s="20">
        <v>646477.43999999994</v>
      </c>
      <c r="O161" s="20">
        <v>4.2560000000000002</v>
      </c>
      <c r="Q161" s="19">
        <v>105.21100300000001</v>
      </c>
      <c r="R161" s="19">
        <v>-39.686463000000003</v>
      </c>
      <c r="S161" s="19">
        <v>160</v>
      </c>
      <c r="T161" s="19">
        <v>100.757654</v>
      </c>
      <c r="U161" s="19">
        <v>111.990773</v>
      </c>
      <c r="V161" s="19">
        <v>89.243781999999996</v>
      </c>
      <c r="W161" s="19">
        <v>30.713950000000001</v>
      </c>
      <c r="Y161" t="str">
        <f t="shared" si="51"/>
        <v>NCEN_FT_High_Diesel_CCS_99_Agri</v>
      </c>
      <c r="Z161" t="str">
        <f t="shared" si="52"/>
        <v>Biomass_Agri</v>
      </c>
      <c r="AA161" s="18">
        <f t="shared" si="53"/>
        <v>116.38094528159303</v>
      </c>
      <c r="AB161" s="18">
        <f t="shared" si="54"/>
        <v>116.38094528159301</v>
      </c>
      <c r="AC161" s="5">
        <f t="shared" si="55"/>
        <v>0</v>
      </c>
      <c r="AD161" s="1">
        <f t="shared" si="56"/>
        <v>0</v>
      </c>
      <c r="AE161" s="1">
        <f t="shared" si="57"/>
        <v>43.228865955073765</v>
      </c>
      <c r="AF161" s="1">
        <f t="array" ref="AF161">_xlfn.IFS(C161="Biomass_Corn", 1/I161*S161, C161="Biomass_Agri", 1/I161*V161, C161="Biomass_Wood", 1/I161*U161, C161="Biomass_Herb", 1/I161*T161)</f>
        <v>34.924972410284511</v>
      </c>
      <c r="AG161" s="1">
        <f t="shared" si="58"/>
        <v>31.986124957542408</v>
      </c>
      <c r="AH161" s="1">
        <f t="shared" si="59"/>
        <v>32.089641364374671</v>
      </c>
      <c r="AI161" s="1">
        <f t="shared" si="60"/>
        <v>1.6655578601338397</v>
      </c>
      <c r="AJ161" s="1">
        <f t="shared" si="61"/>
        <v>-4.3311567168812898E-6</v>
      </c>
      <c r="AK161" s="1">
        <f t="shared" si="62"/>
        <v>-27.513761580473844</v>
      </c>
      <c r="AL161">
        <f t="shared" si="63"/>
        <v>-4.5568534233326753E-4</v>
      </c>
      <c r="AM161" s="1">
        <f t="shared" si="64"/>
        <v>-0.41990444156533391</v>
      </c>
      <c r="AN161" s="1">
        <f t="shared" si="65"/>
        <v>16.664350195427495</v>
      </c>
      <c r="AO161">
        <f t="shared" si="66"/>
        <v>-44.178567461243674</v>
      </c>
      <c r="AQ161" s="17">
        <f t="shared" si="67"/>
        <v>1.71</v>
      </c>
      <c r="AR161" s="8">
        <v>0.243968185</v>
      </c>
      <c r="AS161" s="8">
        <v>0.24942761299999999</v>
      </c>
      <c r="AT161" s="9">
        <v>0.24635668499999999</v>
      </c>
      <c r="AU161" s="17">
        <v>0.23037490999999999</v>
      </c>
      <c r="AW161" s="9">
        <f t="shared" si="68"/>
        <v>1.71</v>
      </c>
      <c r="AY161" s="9">
        <f t="shared" si="69"/>
        <v>0.15304124245049999</v>
      </c>
      <c r="AZ161" s="9">
        <f t="shared" si="70"/>
        <v>0.31956665777559995</v>
      </c>
      <c r="BA161" s="9">
        <f t="shared" si="71"/>
        <v>0.159343503858</v>
      </c>
      <c r="BB161" s="9">
        <f t="shared" si="72"/>
        <v>5.0667763840023996E-3</v>
      </c>
      <c r="BC161" s="9">
        <f t="shared" si="73"/>
        <v>1.072970752127139</v>
      </c>
      <c r="BE161" s="1">
        <f t="shared" si="74"/>
        <v>1.1067404758646759E-5</v>
      </c>
    </row>
    <row r="162" spans="2:57" x14ac:dyDescent="0.2">
      <c r="B162" s="12" t="s">
        <v>217</v>
      </c>
      <c r="C162" s="20" t="s">
        <v>77</v>
      </c>
      <c r="D162" s="20">
        <v>0</v>
      </c>
      <c r="E162" s="20">
        <v>3.5964999999999998</v>
      </c>
      <c r="F162" s="20">
        <v>0.62260000000000004</v>
      </c>
      <c r="G162" s="20">
        <v>0.64190000000000003</v>
      </c>
      <c r="H162" s="20">
        <v>1.2716000000000001</v>
      </c>
      <c r="I162" s="21">
        <f t="shared" si="50"/>
        <v>2.5361000000000002</v>
      </c>
      <c r="J162" s="20">
        <v>1.7</v>
      </c>
      <c r="K162" s="20">
        <v>1.0677442834695361</v>
      </c>
      <c r="L162" s="20">
        <v>5.0420959834288999E-3</v>
      </c>
      <c r="M162" s="20">
        <v>644392</v>
      </c>
      <c r="N162" s="20">
        <v>646477.43999999994</v>
      </c>
      <c r="O162" s="20">
        <v>4.2560000000000002</v>
      </c>
      <c r="Q162" s="19">
        <v>105.21100300000001</v>
      </c>
      <c r="R162" s="19">
        <v>-29.672038000000001</v>
      </c>
      <c r="S162" s="19">
        <v>160</v>
      </c>
      <c r="T162" s="19">
        <v>107.027154</v>
      </c>
      <c r="U162" s="19">
        <v>122.865223</v>
      </c>
      <c r="V162" s="19">
        <v>94.404420999999999</v>
      </c>
      <c r="W162" s="19">
        <v>25.118154000000001</v>
      </c>
      <c r="Y162" t="str">
        <f t="shared" si="51"/>
        <v>CEN_FT_High_Diesel_CCS_99_Agri</v>
      </c>
      <c r="Z162" t="str">
        <f t="shared" si="52"/>
        <v>Biomass_Agri</v>
      </c>
      <c r="AA162" s="18">
        <f t="shared" si="53"/>
        <v>107.28017928689459</v>
      </c>
      <c r="AB162" s="18">
        <f t="shared" si="54"/>
        <v>107.28017928689459</v>
      </c>
      <c r="AC162" s="5">
        <f t="shared" si="55"/>
        <v>0</v>
      </c>
      <c r="AD162" s="1">
        <f t="shared" si="56"/>
        <v>0</v>
      </c>
      <c r="AE162" s="1">
        <f t="shared" si="57"/>
        <v>35.620614668585624</v>
      </c>
      <c r="AF162" s="1">
        <f t="array" ref="AF162">_xlfn.IFS(C162="Biomass_Corn", 1/I162*S162, C162="Biomass_Agri", 1/I162*V162, C162="Biomass_Wood", 1/I162*U162, C162="Biomass_Herb", 1/I162*T162)</f>
        <v>37.22425022672607</v>
      </c>
      <c r="AG162" s="1">
        <f t="shared" si="58"/>
        <v>32.228281654512088</v>
      </c>
      <c r="AH162" s="1">
        <f t="shared" si="59"/>
        <v>32.332581750872045</v>
      </c>
      <c r="AI162" s="1">
        <f t="shared" si="60"/>
        <v>1.6781672646977641</v>
      </c>
      <c r="AJ162" s="1">
        <f t="shared" si="61"/>
        <v>-4.1480121978656677E-6</v>
      </c>
      <c r="AK162" s="1">
        <f t="shared" si="62"/>
        <v>-31.803279861975223</v>
      </c>
      <c r="AL162">
        <f t="shared" si="63"/>
        <v>-4.3641652379368135E-4</v>
      </c>
      <c r="AM162" s="1">
        <f t="shared" si="64"/>
        <v>-0.42102235844141428</v>
      </c>
      <c r="AN162" s="1">
        <f t="shared" si="65"/>
        <v>12.492468338547708</v>
      </c>
      <c r="AO162">
        <f t="shared" si="66"/>
        <v>-44.296184617046713</v>
      </c>
      <c r="AQ162" s="17">
        <f t="shared" si="67"/>
        <v>1.7</v>
      </c>
      <c r="AR162" s="8">
        <v>0.243968185</v>
      </c>
      <c r="AS162" s="8">
        <v>0.24942761299999999</v>
      </c>
      <c r="AT162" s="9">
        <v>0.24635668499999999</v>
      </c>
      <c r="AU162" s="17">
        <v>0.23037490999999999</v>
      </c>
      <c r="AW162" s="9">
        <f t="shared" si="68"/>
        <v>1.7</v>
      </c>
      <c r="AY162" s="9">
        <f t="shared" si="69"/>
        <v>0.15189459198100003</v>
      </c>
      <c r="AZ162" s="9">
        <f t="shared" si="70"/>
        <v>0.31717215269080001</v>
      </c>
      <c r="BA162" s="9">
        <f t="shared" si="71"/>
        <v>0.15813635610150001</v>
      </c>
      <c r="BB162" s="9">
        <f t="shared" si="72"/>
        <v>5.0420959834288999E-3</v>
      </c>
      <c r="BC162" s="9">
        <f t="shared" si="73"/>
        <v>1.0677442834695361</v>
      </c>
      <c r="BE162" s="1">
        <f t="shared" si="74"/>
        <v>1.0519773735007121E-5</v>
      </c>
    </row>
    <row r="163" spans="2:57" x14ac:dyDescent="0.2">
      <c r="B163" s="12" t="s">
        <v>218</v>
      </c>
      <c r="C163" s="20" t="s">
        <v>77</v>
      </c>
      <c r="D163" s="20">
        <v>0</v>
      </c>
      <c r="E163" s="20">
        <v>3.5964999999999998</v>
      </c>
      <c r="F163" s="20">
        <v>0.62480000000000002</v>
      </c>
      <c r="G163" s="20">
        <v>0.64410000000000001</v>
      </c>
      <c r="H163" s="20">
        <v>1.2761</v>
      </c>
      <c r="I163" s="21">
        <f t="shared" si="50"/>
        <v>2.5449999999999999</v>
      </c>
      <c r="J163" s="20">
        <v>1.6890000000000001</v>
      </c>
      <c r="K163" s="20">
        <v>1.054614507465353</v>
      </c>
      <c r="L163" s="20">
        <v>4.9800946298473999E-3</v>
      </c>
      <c r="M163" s="20">
        <v>644392</v>
      </c>
      <c r="N163" s="20">
        <v>646477.43999999994</v>
      </c>
      <c r="O163" s="20">
        <v>4.2560000000000002</v>
      </c>
      <c r="Q163" s="19">
        <v>105.21100300000001</v>
      </c>
      <c r="R163" s="19">
        <v>-45.510345000000001</v>
      </c>
      <c r="S163" s="19">
        <v>160</v>
      </c>
      <c r="T163" s="19">
        <v>97.593261999999996</v>
      </c>
      <c r="U163" s="19">
        <v>109.791234</v>
      </c>
      <c r="V163" s="19">
        <v>86.911507</v>
      </c>
      <c r="W163" s="19">
        <v>38.099075999999997</v>
      </c>
      <c r="Y163" t="str">
        <f t="shared" si="51"/>
        <v>SE_FT_High_Diesel_CCS_99_Agri</v>
      </c>
      <c r="Z163" t="str">
        <f t="shared" si="52"/>
        <v>Biomass_Agri</v>
      </c>
      <c r="AA163" s="18">
        <f t="shared" si="53"/>
        <v>129.258285906993</v>
      </c>
      <c r="AB163" s="18">
        <f t="shared" si="54"/>
        <v>129.258285906993</v>
      </c>
      <c r="AC163" s="5">
        <f t="shared" si="55"/>
        <v>0</v>
      </c>
      <c r="AD163" s="1">
        <f t="shared" si="56"/>
        <v>0</v>
      </c>
      <c r="AE163" s="1">
        <f t="shared" si="57"/>
        <v>53.840207007465608</v>
      </c>
      <c r="AF163" s="1">
        <f t="array" ref="AF163">_xlfn.IFS(C163="Biomass_Corn", 1/I163*S163, C163="Biomass_Agri", 1/I163*V163, C163="Biomass_Wood", 1/I163*U163, C163="Biomass_Herb", 1/I163*T163)</f>
        <v>34.149904518664052</v>
      </c>
      <c r="AG163" s="1">
        <f t="shared" si="58"/>
        <v>32.115577644011047</v>
      </c>
      <c r="AH163" s="1">
        <f t="shared" si="59"/>
        <v>32.219512997401416</v>
      </c>
      <c r="AI163" s="1">
        <f t="shared" si="60"/>
        <v>1.6722986247544205</v>
      </c>
      <c r="AJ163" s="1">
        <f t="shared" si="61"/>
        <v>-4.5507229855183427E-7</v>
      </c>
      <c r="AK163" s="1">
        <f t="shared" si="62"/>
        <v>-24.739167006690568</v>
      </c>
      <c r="AL163">
        <f t="shared" si="63"/>
        <v>-4.7878612968153934E-5</v>
      </c>
      <c r="AM163" s="1">
        <f t="shared" si="64"/>
        <v>-0.41438729494080656</v>
      </c>
      <c r="AN163" s="1">
        <f t="shared" si="65"/>
        <v>18.858888045875556</v>
      </c>
      <c r="AO163">
        <f t="shared" si="66"/>
        <v>-43.598102931179085</v>
      </c>
      <c r="AQ163" s="17">
        <f t="shared" si="67"/>
        <v>1.6890000000000001</v>
      </c>
      <c r="AR163" s="8">
        <v>0.243968185</v>
      </c>
      <c r="AS163" s="8">
        <v>0.24942761299999999</v>
      </c>
      <c r="AT163" s="9">
        <v>0.24635668499999999</v>
      </c>
      <c r="AU163" s="17">
        <v>0.23037490999999999</v>
      </c>
      <c r="AW163" s="9">
        <f t="shared" si="68"/>
        <v>1.6890000000000001</v>
      </c>
      <c r="AY163" s="9">
        <f t="shared" si="69"/>
        <v>0.152431321988</v>
      </c>
      <c r="AZ163" s="9">
        <f t="shared" si="70"/>
        <v>0.31829457694929997</v>
      </c>
      <c r="BA163" s="9">
        <f t="shared" si="71"/>
        <v>0.15867834080849999</v>
      </c>
      <c r="BB163" s="9">
        <f t="shared" si="72"/>
        <v>4.9800946298473999E-3</v>
      </c>
      <c r="BC163" s="9">
        <f t="shared" si="73"/>
        <v>1.054614507465353</v>
      </c>
      <c r="BE163" s="1">
        <f t="shared" si="74"/>
        <v>1.1581589998144182E-6</v>
      </c>
    </row>
    <row r="164" spans="2:57" x14ac:dyDescent="0.2">
      <c r="B164" s="12" t="s">
        <v>219</v>
      </c>
      <c r="C164" s="20" t="s">
        <v>77</v>
      </c>
      <c r="D164" s="20">
        <v>0</v>
      </c>
      <c r="E164" s="20">
        <v>3.5964999999999998</v>
      </c>
      <c r="F164" s="20">
        <v>0.62660000000000005</v>
      </c>
      <c r="G164" s="20">
        <v>0.64600000000000002</v>
      </c>
      <c r="H164" s="20">
        <v>1.2798</v>
      </c>
      <c r="I164" s="21">
        <f t="shared" si="50"/>
        <v>2.5524000000000004</v>
      </c>
      <c r="J164" s="20">
        <v>1.708</v>
      </c>
      <c r="K164" s="20">
        <v>1.0717073107952</v>
      </c>
      <c r="L164" s="20">
        <v>5.0608101685295E-3</v>
      </c>
      <c r="M164" s="20">
        <v>644392</v>
      </c>
      <c r="N164" s="20">
        <v>646477.43999999994</v>
      </c>
      <c r="O164" s="20">
        <v>4.2560000000000002</v>
      </c>
      <c r="Q164" s="19">
        <v>105.21100300000001</v>
      </c>
      <c r="R164" s="19">
        <v>-50.334515000000003</v>
      </c>
      <c r="S164" s="19">
        <v>160</v>
      </c>
      <c r="T164" s="19">
        <v>98.707491000000005</v>
      </c>
      <c r="U164" s="19">
        <v>106.53195700000001</v>
      </c>
      <c r="V164" s="19">
        <v>87.469328000000004</v>
      </c>
      <c r="W164" s="19">
        <v>39.29871</v>
      </c>
      <c r="Y164" t="str">
        <f t="shared" si="51"/>
        <v>MIDAT_FT_High_Diesel_CCS_99_Agri</v>
      </c>
      <c r="Z164" t="str">
        <f t="shared" si="52"/>
        <v>Biomass_Agri</v>
      </c>
      <c r="AA164" s="18">
        <f t="shared" si="53"/>
        <v>132.41837877470988</v>
      </c>
      <c r="AB164" s="18">
        <f t="shared" si="54"/>
        <v>132.41837877470988</v>
      </c>
      <c r="AC164" s="5">
        <f t="shared" si="55"/>
        <v>0</v>
      </c>
      <c r="AD164" s="1">
        <f t="shared" si="56"/>
        <v>0</v>
      </c>
      <c r="AE164" s="1">
        <f t="shared" si="57"/>
        <v>55.374475205688753</v>
      </c>
      <c r="AF164" s="1">
        <f t="array" ref="AF164">_xlfn.IFS(C164="Biomass_Corn", 1/I164*S164, C164="Biomass_Agri", 1/I164*V164, C164="Biomass_Wood", 1/I164*U164, C164="Biomass_Herb", 1/I164*T164)</f>
        <v>34.269443660868198</v>
      </c>
      <c r="AG164" s="1">
        <f t="shared" si="58"/>
        <v>32.022467130546978</v>
      </c>
      <c r="AH164" s="1">
        <f t="shared" si="59"/>
        <v>32.126101151224958</v>
      </c>
      <c r="AI164" s="1">
        <f t="shared" si="60"/>
        <v>1.6674502429086349</v>
      </c>
      <c r="AJ164" s="1">
        <f t="shared" si="61"/>
        <v>9.6509643065665303E-7</v>
      </c>
      <c r="AK164" s="1">
        <f t="shared" si="62"/>
        <v>-23.041660155291119</v>
      </c>
      <c r="AL164">
        <f t="shared" si="63"/>
        <v>1.0153876346110642E-4</v>
      </c>
      <c r="AM164" s="1">
        <f t="shared" si="64"/>
        <v>-0.41988122844502046</v>
      </c>
      <c r="AN164" s="1">
        <f t="shared" si="65"/>
        <v>21.134566569045077</v>
      </c>
      <c r="AO164">
        <f t="shared" si="66"/>
        <v>-44.176125185572737</v>
      </c>
      <c r="AQ164" s="17">
        <f t="shared" si="67"/>
        <v>1.708</v>
      </c>
      <c r="AR164" s="8">
        <v>0.243968185</v>
      </c>
      <c r="AS164" s="8">
        <v>0.24942761299999999</v>
      </c>
      <c r="AT164" s="9">
        <v>0.24635668499999999</v>
      </c>
      <c r="AU164" s="17">
        <v>0.23037490999999999</v>
      </c>
      <c r="AW164" s="9">
        <f t="shared" si="68"/>
        <v>1.708</v>
      </c>
      <c r="AY164" s="9">
        <f t="shared" si="69"/>
        <v>0.15287046472100002</v>
      </c>
      <c r="AZ164" s="9">
        <f t="shared" si="70"/>
        <v>0.31921745911740002</v>
      </c>
      <c r="BA164" s="9">
        <f t="shared" si="71"/>
        <v>0.15914641851</v>
      </c>
      <c r="BB164" s="9">
        <f t="shared" si="72"/>
        <v>5.0608101685295E-3</v>
      </c>
      <c r="BC164" s="9">
        <f t="shared" si="73"/>
        <v>1.0717073107952</v>
      </c>
      <c r="BE164" s="1">
        <f t="shared" si="74"/>
        <v>-2.4633121296080418E-6</v>
      </c>
    </row>
    <row r="165" spans="2:57" x14ac:dyDescent="0.2">
      <c r="B165" s="12" t="s">
        <v>220</v>
      </c>
      <c r="C165" s="20" t="s">
        <v>77</v>
      </c>
      <c r="D165" s="20">
        <v>0</v>
      </c>
      <c r="E165" s="20">
        <v>3.5964999999999998</v>
      </c>
      <c r="F165" s="20">
        <v>0.63390000000000002</v>
      </c>
      <c r="G165" s="20">
        <v>0.65349999999999997</v>
      </c>
      <c r="H165" s="20">
        <v>1.2946</v>
      </c>
      <c r="I165" s="21">
        <f t="shared" si="50"/>
        <v>2.5819999999999999</v>
      </c>
      <c r="J165" s="20">
        <v>1.7150000000000001</v>
      </c>
      <c r="K165" s="20">
        <v>1.071402824114589</v>
      </c>
      <c r="L165" s="20">
        <v>5.0593723232579E-3</v>
      </c>
      <c r="M165" s="20">
        <v>644392</v>
      </c>
      <c r="N165" s="20">
        <v>646477.43999999994</v>
      </c>
      <c r="O165" s="20">
        <v>4.2560000000000002</v>
      </c>
      <c r="Q165" s="19">
        <v>105.21100300000001</v>
      </c>
      <c r="R165" s="19">
        <v>-58.833413</v>
      </c>
      <c r="S165" s="19">
        <v>160</v>
      </c>
      <c r="T165" s="19">
        <v>99.493746999999999</v>
      </c>
      <c r="U165" s="19">
        <v>105.21395800000001</v>
      </c>
      <c r="V165" s="19">
        <v>89.700445000000002</v>
      </c>
      <c r="W165" s="19">
        <v>47.365060999999997</v>
      </c>
      <c r="Y165" t="str">
        <f t="shared" si="51"/>
        <v>NE_FT_High_Diesel_CCS_99_Agri</v>
      </c>
      <c r="Z165" t="str">
        <f t="shared" si="52"/>
        <v>Biomass_Agri</v>
      </c>
      <c r="AA165" s="18">
        <f t="shared" si="53"/>
        <v>146.53383802463105</v>
      </c>
      <c r="AB165" s="18">
        <f t="shared" si="54"/>
        <v>146.53383802463105</v>
      </c>
      <c r="AC165" s="5">
        <f t="shared" si="55"/>
        <v>0</v>
      </c>
      <c r="AD165" s="1">
        <f t="shared" si="56"/>
        <v>0</v>
      </c>
      <c r="AE165" s="1">
        <f t="shared" si="57"/>
        <v>65.975384154337718</v>
      </c>
      <c r="AF165" s="1">
        <f t="array" ref="AF165">_xlfn.IFS(C165="Biomass_Corn", 1/I165*S165, C165="Biomass_Agri", 1/I165*V165, C165="Biomass_Wood", 1/I165*U165, C165="Biomass_Herb", 1/I165*T165)</f>
        <v>34.740683578621223</v>
      </c>
      <c r="AG165" s="1">
        <f t="shared" si="58"/>
        <v>31.65536216266775</v>
      </c>
      <c r="AH165" s="1">
        <f t="shared" si="59"/>
        <v>31.757808124859256</v>
      </c>
      <c r="AI165" s="1">
        <f t="shared" si="60"/>
        <v>1.648334624322231</v>
      </c>
      <c r="AJ165" s="1">
        <f t="shared" si="61"/>
        <v>6.471861598230512E-6</v>
      </c>
      <c r="AK165" s="1">
        <f t="shared" si="62"/>
        <v>-19.244415531227162</v>
      </c>
      <c r="AL165">
        <f t="shared" si="63"/>
        <v>6.8091105002701527E-4</v>
      </c>
      <c r="AM165" s="1">
        <f t="shared" si="64"/>
        <v>-0.4149442733415733</v>
      </c>
      <c r="AN165" s="1">
        <f t="shared" si="65"/>
        <v>24.412968567195964</v>
      </c>
      <c r="AO165">
        <f t="shared" si="66"/>
        <v>-43.65670318737309</v>
      </c>
      <c r="AQ165" s="17">
        <f t="shared" si="67"/>
        <v>1.7150000000000001</v>
      </c>
      <c r="AR165" s="8">
        <v>0.243968185</v>
      </c>
      <c r="AS165" s="8">
        <v>0.24942761299999999</v>
      </c>
      <c r="AT165" s="9">
        <v>0.24635668499999999</v>
      </c>
      <c r="AU165" s="17">
        <v>0.23037490999999999</v>
      </c>
      <c r="AW165" s="9">
        <f t="shared" si="68"/>
        <v>1.7150000000000001</v>
      </c>
      <c r="AY165" s="9">
        <f t="shared" si="69"/>
        <v>0.15465143247150001</v>
      </c>
      <c r="AZ165" s="9">
        <f t="shared" si="70"/>
        <v>0.32290898778979998</v>
      </c>
      <c r="BA165" s="9">
        <f t="shared" si="71"/>
        <v>0.16099409364749998</v>
      </c>
      <c r="BB165" s="9">
        <f t="shared" si="72"/>
        <v>5.0593723232579E-3</v>
      </c>
      <c r="BC165" s="9">
        <f t="shared" si="73"/>
        <v>1.071402824114589</v>
      </c>
      <c r="BE165" s="1">
        <f t="shared" si="74"/>
        <v>-1.671034664663118E-5</v>
      </c>
    </row>
    <row r="166" spans="2:57" x14ac:dyDescent="0.2">
      <c r="B166" s="12" t="s">
        <v>221</v>
      </c>
      <c r="C166" s="20" t="s">
        <v>57</v>
      </c>
      <c r="D166" s="20">
        <v>0.77439999999999998</v>
      </c>
      <c r="E166" s="20">
        <v>0</v>
      </c>
      <c r="F166" s="20">
        <v>0.31540000000000001</v>
      </c>
      <c r="G166" s="20">
        <v>1.4051</v>
      </c>
      <c r="H166" s="20">
        <v>0</v>
      </c>
      <c r="I166" s="21">
        <f t="shared" si="50"/>
        <v>1.7204999999999999</v>
      </c>
      <c r="J166" s="20">
        <v>1.7210000000000001</v>
      </c>
      <c r="K166" s="20">
        <v>0.97018206466618961</v>
      </c>
      <c r="L166" s="20">
        <v>0.32772036298088669</v>
      </c>
      <c r="M166" s="20">
        <v>756402.08</v>
      </c>
      <c r="N166" s="20">
        <v>344508.64</v>
      </c>
      <c r="O166" s="20">
        <v>49.223999999999997</v>
      </c>
      <c r="Q166" s="19">
        <v>105.21100300000001</v>
      </c>
      <c r="R166" s="19">
        <v>-6.4122130000000004</v>
      </c>
      <c r="S166" s="19">
        <v>160</v>
      </c>
      <c r="T166" s="19">
        <v>313632.96735400002</v>
      </c>
      <c r="U166" s="19">
        <v>154.036981</v>
      </c>
      <c r="V166" s="19">
        <v>132.85973799999999</v>
      </c>
      <c r="W166" s="19">
        <v>36.488697999999999</v>
      </c>
      <c r="Y166" t="str">
        <f t="shared" si="51"/>
        <v>CA_FT_High_Jetfuel_CCS_75_Herb</v>
      </c>
      <c r="Z166" t="str">
        <f t="shared" si="52"/>
        <v>Biomass_Herb</v>
      </c>
      <c r="AA166" s="18">
        <f t="shared" si="53"/>
        <v>182329.39314100487</v>
      </c>
      <c r="AB166" s="18">
        <f t="shared" si="54"/>
        <v>182329.3931410049</v>
      </c>
      <c r="AC166" s="5">
        <f t="shared" si="55"/>
        <v>0</v>
      </c>
      <c r="AD166" s="1">
        <f t="shared" si="56"/>
        <v>-16.423625533972682</v>
      </c>
      <c r="AE166" s="1">
        <f t="shared" si="57"/>
        <v>0</v>
      </c>
      <c r="AF166" s="1">
        <f t="array" ref="AF166">_xlfn.IFS(C166="Biomass_Corn", 1/I166*S166, C166="Biomass_Agri", 1/I166*V166, C166="Biomass_Wood", 1/I166*U166, C166="Biomass_Herb", 1/I166*T166)</f>
        <v>182291.75667189772</v>
      </c>
      <c r="AG166" s="1">
        <f t="shared" si="58"/>
        <v>55.763679425485293</v>
      </c>
      <c r="AH166" s="1">
        <f t="shared" si="59"/>
        <v>25.397959455994513</v>
      </c>
      <c r="AI166" s="1">
        <f t="shared" si="60"/>
        <v>28.6102877070619</v>
      </c>
      <c r="AJ166" s="1">
        <f t="shared" si="61"/>
        <v>3.3544257926414559E-6</v>
      </c>
      <c r="AK166" s="1">
        <f t="shared" si="62"/>
        <v>-55.712184869933921</v>
      </c>
      <c r="AL166">
        <f t="shared" si="63"/>
        <v>3.5292250213287763E-4</v>
      </c>
      <c r="AM166" s="1">
        <f t="shared" si="64"/>
        <v>-0.56389206241012113</v>
      </c>
      <c r="AN166" s="1">
        <f t="shared" si="65"/>
        <v>3.6158175224756657</v>
      </c>
      <c r="AO166">
        <f t="shared" si="66"/>
        <v>-59.327649469907442</v>
      </c>
      <c r="AQ166" s="17">
        <f t="shared" si="67"/>
        <v>1.7210000000000001</v>
      </c>
      <c r="AR166" s="8">
        <v>0.243968185</v>
      </c>
      <c r="AS166" s="8">
        <v>0.24942761299999999</v>
      </c>
      <c r="AT166" s="9">
        <v>0.24635668499999999</v>
      </c>
      <c r="AU166" s="17">
        <v>0.23037490999999999</v>
      </c>
      <c r="AW166" s="9">
        <f t="shared" si="68"/>
        <v>1.7210000000000001</v>
      </c>
      <c r="AY166" s="9">
        <f t="shared" si="69"/>
        <v>7.6947565549000008E-2</v>
      </c>
      <c r="AZ166" s="9">
        <f t="shared" si="70"/>
        <v>0</v>
      </c>
      <c r="BA166" s="9">
        <f t="shared" si="71"/>
        <v>0.34615577809350001</v>
      </c>
      <c r="BB166" s="9">
        <f t="shared" si="72"/>
        <v>0.32772036298088669</v>
      </c>
      <c r="BC166" s="9">
        <f t="shared" si="73"/>
        <v>0.97018206466618961</v>
      </c>
      <c r="BE166" s="1">
        <f t="shared" si="74"/>
        <v>-5.7712895762396244E-6</v>
      </c>
    </row>
    <row r="167" spans="2:57" x14ac:dyDescent="0.2">
      <c r="B167" s="12" t="s">
        <v>222</v>
      </c>
      <c r="C167" s="20" t="s">
        <v>57</v>
      </c>
      <c r="D167" s="20">
        <v>0.77610000000000001</v>
      </c>
      <c r="E167" s="20">
        <v>0</v>
      </c>
      <c r="F167" s="20">
        <v>0.316</v>
      </c>
      <c r="G167" s="20">
        <v>1.4081999999999999</v>
      </c>
      <c r="H167" s="20">
        <v>0</v>
      </c>
      <c r="I167" s="21">
        <f t="shared" si="50"/>
        <v>1.7242</v>
      </c>
      <c r="J167" s="20">
        <v>1.726</v>
      </c>
      <c r="K167" s="20">
        <v>0.97322409367040319</v>
      </c>
      <c r="L167" s="20">
        <v>0.32874793799568791</v>
      </c>
      <c r="M167" s="20">
        <v>756402.08</v>
      </c>
      <c r="N167" s="20">
        <v>344508.64</v>
      </c>
      <c r="O167" s="20">
        <v>49.223999999999997</v>
      </c>
      <c r="Q167" s="19">
        <v>105.21100300000001</v>
      </c>
      <c r="R167" s="19">
        <v>-7.3796590000000002</v>
      </c>
      <c r="S167" s="19">
        <v>160</v>
      </c>
      <c r="T167" s="19">
        <v>130.996602</v>
      </c>
      <c r="U167" s="19">
        <v>149.05667199999999</v>
      </c>
      <c r="V167" s="19">
        <v>112.26938</v>
      </c>
      <c r="W167" s="19">
        <v>26.787863000000002</v>
      </c>
      <c r="Y167" t="str">
        <f t="shared" si="51"/>
        <v>NW_FT_High_Jetfuel_CCS_75_Herb</v>
      </c>
      <c r="Z167" t="str">
        <f t="shared" si="52"/>
        <v>Biomass_Herb</v>
      </c>
      <c r="AA167" s="18">
        <f t="shared" si="53"/>
        <v>118.23210216957399</v>
      </c>
      <c r="AB167" s="18">
        <f t="shared" si="54"/>
        <v>118.23210216957401</v>
      </c>
      <c r="AC167" s="5">
        <f t="shared" si="55"/>
        <v>0</v>
      </c>
      <c r="AD167" s="1">
        <f t="shared" si="56"/>
        <v>-12.057800994258209</v>
      </c>
      <c r="AE167" s="1">
        <f t="shared" si="57"/>
        <v>0</v>
      </c>
      <c r="AF167" s="1">
        <f t="array" ref="AF167">_xlfn.IFS(C167="Biomass_Corn", 1/I167*S167, C167="Biomass_Agri", 1/I167*V167, C167="Biomass_Wood", 1/I167*U167, C167="Biomass_Herb", 1/I167*T167)</f>
        <v>75.975294049414217</v>
      </c>
      <c r="AG167" s="1">
        <f t="shared" si="58"/>
        <v>55.644014877361926</v>
      </c>
      <c r="AH167" s="1">
        <f t="shared" si="59"/>
        <v>25.343457397076072</v>
      </c>
      <c r="AI167" s="1">
        <f t="shared" si="60"/>
        <v>28.548892239879365</v>
      </c>
      <c r="AJ167" s="1">
        <f t="shared" si="61"/>
        <v>-8.4317694635111397E-6</v>
      </c>
      <c r="AK167" s="1">
        <f t="shared" si="62"/>
        <v>-55.220868284977058</v>
      </c>
      <c r="AL167">
        <f t="shared" si="63"/>
        <v>-8.8711492232077893E-4</v>
      </c>
      <c r="AM167" s="1">
        <f t="shared" si="64"/>
        <v>-0.5644580859107482</v>
      </c>
      <c r="AN167" s="1">
        <f t="shared" si="65"/>
        <v>4.1654459702306195</v>
      </c>
      <c r="AO167">
        <f t="shared" si="66"/>
        <v>-59.387201370129986</v>
      </c>
      <c r="AQ167" s="17">
        <f t="shared" si="67"/>
        <v>1.726</v>
      </c>
      <c r="AR167" s="8">
        <v>0.243968185</v>
      </c>
      <c r="AS167" s="8">
        <v>0.24942761299999999</v>
      </c>
      <c r="AT167" s="9">
        <v>0.24635668499999999</v>
      </c>
      <c r="AU167" s="17">
        <v>0.23037490999999999</v>
      </c>
      <c r="AW167" s="9">
        <f t="shared" si="68"/>
        <v>1.726</v>
      </c>
      <c r="AY167" s="9">
        <f t="shared" si="69"/>
        <v>7.7093946460000007E-2</v>
      </c>
      <c r="AZ167" s="9">
        <f t="shared" si="70"/>
        <v>0</v>
      </c>
      <c r="BA167" s="9">
        <f t="shared" si="71"/>
        <v>0.34691948381699994</v>
      </c>
      <c r="BB167" s="9">
        <f t="shared" si="72"/>
        <v>0.32874793799568791</v>
      </c>
      <c r="BC167" s="9">
        <f t="shared" si="73"/>
        <v>0.97322409367040319</v>
      </c>
      <c r="BE167" s="1">
        <f t="shared" si="74"/>
        <v>1.4538056908985908E-5</v>
      </c>
    </row>
    <row r="168" spans="2:57" x14ac:dyDescent="0.2">
      <c r="B168" s="12" t="s">
        <v>223</v>
      </c>
      <c r="C168" s="20" t="s">
        <v>57</v>
      </c>
      <c r="D168" s="20">
        <v>0.77100000000000002</v>
      </c>
      <c r="E168" s="20">
        <v>0</v>
      </c>
      <c r="F168" s="20">
        <v>0.314</v>
      </c>
      <c r="G168" s="20">
        <v>1.3989</v>
      </c>
      <c r="H168" s="20">
        <v>0</v>
      </c>
      <c r="I168" s="21">
        <f t="shared" si="50"/>
        <v>1.7129000000000001</v>
      </c>
      <c r="J168" s="20">
        <v>1.71</v>
      </c>
      <c r="K168" s="20">
        <v>0.96335050665776201</v>
      </c>
      <c r="L168" s="20">
        <v>0.32541271295128399</v>
      </c>
      <c r="M168" s="20">
        <v>756402.08</v>
      </c>
      <c r="N168" s="20">
        <v>344508.64</v>
      </c>
      <c r="O168" s="20">
        <v>49.223999999999997</v>
      </c>
      <c r="Q168" s="19">
        <v>105.21100300000001</v>
      </c>
      <c r="R168" s="19">
        <v>-14.567418</v>
      </c>
      <c r="S168" s="19">
        <v>160</v>
      </c>
      <c r="T168" s="19">
        <v>120.282189</v>
      </c>
      <c r="U168" s="19">
        <v>137.475031</v>
      </c>
      <c r="V168" s="19">
        <v>107.559866</v>
      </c>
      <c r="W168" s="19">
        <v>27.957547000000002</v>
      </c>
      <c r="Y168" t="str">
        <f t="shared" si="51"/>
        <v>SW_FT_High_Jetfuel_CCS_75_Herb</v>
      </c>
      <c r="Z168" t="str">
        <f t="shared" si="52"/>
        <v>Biomass_Herb</v>
      </c>
      <c r="AA168" s="18">
        <f t="shared" si="53"/>
        <v>116.91734691614458</v>
      </c>
      <c r="AB168" s="18">
        <f t="shared" si="54"/>
        <v>116.9173469161446</v>
      </c>
      <c r="AC168" s="5">
        <f t="shared" si="55"/>
        <v>0</v>
      </c>
      <c r="AD168" s="1">
        <f t="shared" si="56"/>
        <v>-12.584078893689066</v>
      </c>
      <c r="AE168" s="1">
        <f t="shared" si="57"/>
        <v>0</v>
      </c>
      <c r="AF168" s="1">
        <f t="array" ref="AF168">_xlfn.IFS(C168="Biomass_Corn", 1/I168*S168, C168="Biomass_Agri", 1/I168*V168, C168="Biomass_Wood", 1/I168*U168, C168="Biomass_Herb", 1/I168*T168)</f>
        <v>70.221372526125279</v>
      </c>
      <c r="AG168" s="1">
        <f t="shared" si="58"/>
        <v>56.011098401277032</v>
      </c>
      <c r="AH168" s="1">
        <f t="shared" si="59"/>
        <v>25.510648166290242</v>
      </c>
      <c r="AI168" s="1">
        <f t="shared" si="60"/>
        <v>28.737229260318752</v>
      </c>
      <c r="AJ168" s="1">
        <f t="shared" si="61"/>
        <v>-1.4032660716572487E-6</v>
      </c>
      <c r="AK168" s="1">
        <f t="shared" si="62"/>
        <v>-50.978774905146778</v>
      </c>
      <c r="AL168">
        <f t="shared" si="63"/>
        <v>-1.4763903087492902E-4</v>
      </c>
      <c r="AM168" s="1">
        <f t="shared" si="64"/>
        <v>-0.56241047948637746</v>
      </c>
      <c r="AN168" s="1">
        <f t="shared" si="65"/>
        <v>8.1928481002950555</v>
      </c>
      <c r="AO168">
        <f t="shared" si="66"/>
        <v>-59.171770644472701</v>
      </c>
      <c r="AQ168" s="17">
        <f t="shared" si="67"/>
        <v>1.71</v>
      </c>
      <c r="AR168" s="8">
        <v>0.243968185</v>
      </c>
      <c r="AS168" s="8">
        <v>0.24942761299999999</v>
      </c>
      <c r="AT168" s="9">
        <v>0.24635668499999999</v>
      </c>
      <c r="AU168" s="17">
        <v>0.23037490999999999</v>
      </c>
      <c r="AW168" s="9">
        <f t="shared" si="68"/>
        <v>1.71</v>
      </c>
      <c r="AY168" s="9">
        <f t="shared" si="69"/>
        <v>7.6606010089999996E-2</v>
      </c>
      <c r="AZ168" s="9">
        <f t="shared" si="70"/>
        <v>0</v>
      </c>
      <c r="BA168" s="9">
        <f t="shared" si="71"/>
        <v>0.34462836664649998</v>
      </c>
      <c r="BB168" s="9">
        <f t="shared" si="72"/>
        <v>0.32541271295128399</v>
      </c>
      <c r="BC168" s="9">
        <f t="shared" si="73"/>
        <v>0.96335050665776201</v>
      </c>
      <c r="BE168" s="1">
        <f t="shared" si="74"/>
        <v>2.4036544541417015E-6</v>
      </c>
    </row>
    <row r="169" spans="2:57" x14ac:dyDescent="0.2">
      <c r="B169" s="12" t="s">
        <v>224</v>
      </c>
      <c r="C169" s="20" t="s">
        <v>57</v>
      </c>
      <c r="D169" s="20">
        <v>0.77270000000000005</v>
      </c>
      <c r="E169" s="20">
        <v>0</v>
      </c>
      <c r="F169" s="20">
        <v>0.31469999999999998</v>
      </c>
      <c r="G169" s="20">
        <v>1.4019999999999999</v>
      </c>
      <c r="H169" s="20">
        <v>0</v>
      </c>
      <c r="I169" s="21">
        <f t="shared" si="50"/>
        <v>1.7166999999999999</v>
      </c>
      <c r="J169" s="20">
        <v>1.714</v>
      </c>
      <c r="K169" s="20">
        <v>0.96564503566197579</v>
      </c>
      <c r="L169" s="20">
        <v>0.32618778796608539</v>
      </c>
      <c r="M169" s="20">
        <v>756402.08</v>
      </c>
      <c r="N169" s="20">
        <v>344508.64</v>
      </c>
      <c r="O169" s="20">
        <v>49.223999999999997</v>
      </c>
      <c r="Q169" s="19">
        <v>105.21100300000001</v>
      </c>
      <c r="R169" s="19">
        <v>-19.477884</v>
      </c>
      <c r="S169" s="19">
        <v>160</v>
      </c>
      <c r="T169" s="19">
        <v>132.95547999999999</v>
      </c>
      <c r="U169" s="19">
        <v>152.57709199999999</v>
      </c>
      <c r="V169" s="19">
        <v>106.67488899999999</v>
      </c>
      <c r="W169" s="19">
        <v>20.174973000000001</v>
      </c>
      <c r="Y169" t="str">
        <f t="shared" si="51"/>
        <v>TX_FT_High_Jetfuel_CCS_75_Herb</v>
      </c>
      <c r="Z169" t="str">
        <f t="shared" si="52"/>
        <v>Biomass_Herb</v>
      </c>
      <c r="AA169" s="18">
        <f t="shared" si="53"/>
        <v>130.15745002647697</v>
      </c>
      <c r="AB169" s="18">
        <f t="shared" si="54"/>
        <v>130.15745002647697</v>
      </c>
      <c r="AC169" s="5">
        <f t="shared" si="55"/>
        <v>0</v>
      </c>
      <c r="AD169" s="1">
        <f t="shared" si="56"/>
        <v>-9.0809120039028386</v>
      </c>
      <c r="AE169" s="1">
        <f t="shared" si="57"/>
        <v>0</v>
      </c>
      <c r="AF169" s="1">
        <f t="array" ref="AF169">_xlfn.IFS(C169="Biomass_Corn", 1/I169*S169, C169="Biomass_Agri", 1/I169*V169, C169="Biomass_Wood", 1/I169*U169, C169="Biomass_Herb", 1/I169*T169)</f>
        <v>77.44829032445972</v>
      </c>
      <c r="AG169" s="1">
        <f t="shared" si="58"/>
        <v>55.887115076336826</v>
      </c>
      <c r="AH169" s="1">
        <f t="shared" si="59"/>
        <v>25.45417909013722</v>
      </c>
      <c r="AI169" s="1">
        <f t="shared" si="60"/>
        <v>28.673617988000231</v>
      </c>
      <c r="AJ169" s="1">
        <f t="shared" si="61"/>
        <v>9.8084555318924893E-7</v>
      </c>
      <c r="AK169" s="1">
        <f t="shared" si="62"/>
        <v>-48.224943644298612</v>
      </c>
      <c r="AL169">
        <f t="shared" si="63"/>
        <v>1.0319574443913073E-4</v>
      </c>
      <c r="AM169" s="1">
        <f t="shared" si="64"/>
        <v>-0.56249976806921109</v>
      </c>
      <c r="AN169" s="1">
        <f t="shared" si="65"/>
        <v>10.956324337274905</v>
      </c>
      <c r="AO169">
        <f t="shared" si="66"/>
        <v>-59.181164785829075</v>
      </c>
      <c r="AQ169" s="17">
        <f t="shared" si="67"/>
        <v>1.714</v>
      </c>
      <c r="AR169" s="8">
        <v>0.243968185</v>
      </c>
      <c r="AS169" s="8">
        <v>0.24942761299999999</v>
      </c>
      <c r="AT169" s="9">
        <v>0.24635668499999999</v>
      </c>
      <c r="AU169" s="17">
        <v>0.23037490999999999</v>
      </c>
      <c r="AW169" s="9">
        <f t="shared" si="68"/>
        <v>1.714</v>
      </c>
      <c r="AY169" s="9">
        <f t="shared" si="69"/>
        <v>7.6776787819499995E-2</v>
      </c>
      <c r="AZ169" s="9">
        <f t="shared" si="70"/>
        <v>0</v>
      </c>
      <c r="BA169" s="9">
        <f t="shared" si="71"/>
        <v>0.34539207236999997</v>
      </c>
      <c r="BB169" s="9">
        <f t="shared" si="72"/>
        <v>0.32618778796608539</v>
      </c>
      <c r="BC169" s="9">
        <f t="shared" si="73"/>
        <v>0.96564503566197579</v>
      </c>
      <c r="BE169" s="1">
        <f t="shared" si="74"/>
        <v>-1.6838175611599837E-6</v>
      </c>
    </row>
    <row r="170" spans="2:57" x14ac:dyDescent="0.2">
      <c r="B170" s="12" t="s">
        <v>225</v>
      </c>
      <c r="C170" s="20" t="s">
        <v>57</v>
      </c>
      <c r="D170" s="20">
        <v>0.78080000000000005</v>
      </c>
      <c r="E170" s="20">
        <v>0</v>
      </c>
      <c r="F170" s="20">
        <v>0.318</v>
      </c>
      <c r="G170" s="20">
        <v>1.4167000000000001</v>
      </c>
      <c r="H170" s="20">
        <v>0</v>
      </c>
      <c r="I170" s="21">
        <f t="shared" si="50"/>
        <v>1.7347000000000001</v>
      </c>
      <c r="J170" s="20">
        <v>1.74</v>
      </c>
      <c r="K170" s="20">
        <v>0.98177654843199103</v>
      </c>
      <c r="L170" s="20">
        <v>0.33163689428639148</v>
      </c>
      <c r="M170" s="20">
        <v>756402.08</v>
      </c>
      <c r="N170" s="20">
        <v>344508.64</v>
      </c>
      <c r="O170" s="20">
        <v>49.223999999999997</v>
      </c>
      <c r="Q170" s="19">
        <v>105.21100300000001</v>
      </c>
      <c r="R170" s="19">
        <v>-39.686463000000003</v>
      </c>
      <c r="S170" s="19">
        <v>160</v>
      </c>
      <c r="T170" s="19">
        <v>100.757654</v>
      </c>
      <c r="U170" s="19">
        <v>111.990773</v>
      </c>
      <c r="V170" s="19">
        <v>89.243781999999996</v>
      </c>
      <c r="W170" s="19">
        <v>30.713950000000001</v>
      </c>
      <c r="Y170" t="str">
        <f t="shared" si="51"/>
        <v>NCEN_FT_High_Jetfuel_CCS_75_Herb</v>
      </c>
      <c r="Z170" t="str">
        <f t="shared" si="52"/>
        <v>Biomass_Herb</v>
      </c>
      <c r="AA170" s="18">
        <f t="shared" si="53"/>
        <v>116.04846659770384</v>
      </c>
      <c r="AB170" s="18">
        <f t="shared" si="54"/>
        <v>116.04846659770385</v>
      </c>
      <c r="AC170" s="5">
        <f t="shared" si="55"/>
        <v>0</v>
      </c>
      <c r="AD170" s="1">
        <f t="shared" si="56"/>
        <v>-13.824553040871621</v>
      </c>
      <c r="AE170" s="1">
        <f t="shared" si="57"/>
        <v>0</v>
      </c>
      <c r="AF170" s="1">
        <f t="array" ref="AF170">_xlfn.IFS(C170="Biomass_Corn", 1/I170*S170, C170="Biomass_Agri", 1/I170*V170, C170="Biomass_Wood", 1/I170*U170, C170="Biomass_Herb", 1/I170*T170)</f>
        <v>58.083619069579747</v>
      </c>
      <c r="AG170" s="1">
        <f t="shared" si="58"/>
        <v>55.307206117223394</v>
      </c>
      <c r="AH170" s="1">
        <f t="shared" si="59"/>
        <v>25.190055481661705</v>
      </c>
      <c r="AI170" s="1">
        <f t="shared" si="60"/>
        <v>28.376088084394993</v>
      </c>
      <c r="AJ170" s="1">
        <f t="shared" si="61"/>
        <v>5.0966667910699338E-6</v>
      </c>
      <c r="AK170" s="1">
        <f t="shared" si="62"/>
        <v>-37.084485339709424</v>
      </c>
      <c r="AL170">
        <f t="shared" si="63"/>
        <v>5.3622542504525917E-4</v>
      </c>
      <c r="AM170" s="1">
        <f t="shared" si="64"/>
        <v>-0.56595821020586179</v>
      </c>
      <c r="AN170" s="1">
        <f t="shared" si="65"/>
        <v>22.461081837559185</v>
      </c>
      <c r="AO170">
        <f t="shared" si="66"/>
        <v>-59.545030951843557</v>
      </c>
      <c r="AQ170" s="17">
        <f t="shared" si="67"/>
        <v>1.74</v>
      </c>
      <c r="AR170" s="8">
        <v>0.243968185</v>
      </c>
      <c r="AS170" s="8">
        <v>0.24942761299999999</v>
      </c>
      <c r="AT170" s="9">
        <v>0.24635668499999999</v>
      </c>
      <c r="AU170" s="17">
        <v>0.23037490999999999</v>
      </c>
      <c r="AW170" s="9">
        <f t="shared" si="68"/>
        <v>1.74</v>
      </c>
      <c r="AY170" s="9">
        <f t="shared" si="69"/>
        <v>7.7581882830000004E-2</v>
      </c>
      <c r="AZ170" s="9">
        <f t="shared" si="70"/>
        <v>0</v>
      </c>
      <c r="BA170" s="9">
        <f t="shared" si="71"/>
        <v>0.3490135156395</v>
      </c>
      <c r="BB170" s="9">
        <f t="shared" si="72"/>
        <v>0.33163689428639148</v>
      </c>
      <c r="BC170" s="9">
        <f t="shared" si="73"/>
        <v>0.98177654843199103</v>
      </c>
      <c r="BE170" s="1">
        <f t="shared" si="74"/>
        <v>-8.8411878824690149E-6</v>
      </c>
    </row>
    <row r="171" spans="2:57" x14ac:dyDescent="0.2">
      <c r="B171" s="12" t="s">
        <v>226</v>
      </c>
      <c r="C171" s="20" t="s">
        <v>57</v>
      </c>
      <c r="D171" s="20">
        <v>0.77610000000000001</v>
      </c>
      <c r="E171" s="20">
        <v>0</v>
      </c>
      <c r="F171" s="20">
        <v>0.316</v>
      </c>
      <c r="G171" s="20">
        <v>1.4081999999999999</v>
      </c>
      <c r="H171" s="20">
        <v>0</v>
      </c>
      <c r="I171" s="21">
        <f t="shared" si="50"/>
        <v>1.7242</v>
      </c>
      <c r="J171" s="20">
        <v>1.7230000000000001</v>
      </c>
      <c r="K171" s="20">
        <v>0.97098159367040315</v>
      </c>
      <c r="L171" s="20">
        <v>0.32799043799568789</v>
      </c>
      <c r="M171" s="20">
        <v>756402.08</v>
      </c>
      <c r="N171" s="20">
        <v>344508.64</v>
      </c>
      <c r="O171" s="20">
        <v>49.223999999999997</v>
      </c>
      <c r="Q171" s="19">
        <v>105.21100300000001</v>
      </c>
      <c r="R171" s="19">
        <v>-29.672038000000001</v>
      </c>
      <c r="S171" s="19">
        <v>160</v>
      </c>
      <c r="T171" s="19">
        <v>107.027154</v>
      </c>
      <c r="U171" s="19">
        <v>122.865223</v>
      </c>
      <c r="V171" s="19">
        <v>94.404420999999999</v>
      </c>
      <c r="W171" s="19">
        <v>25.118154000000001</v>
      </c>
      <c r="Y171" t="str">
        <f t="shared" si="51"/>
        <v>CEN_FT_High_Jetfuel_CCS_75_Herb</v>
      </c>
      <c r="Z171" t="str">
        <f t="shared" si="52"/>
        <v>Biomass_Herb</v>
      </c>
      <c r="AA171" s="18">
        <f t="shared" si="53"/>
        <v>117.76306704136647</v>
      </c>
      <c r="AB171" s="18">
        <f t="shared" si="54"/>
        <v>117.76306704136647</v>
      </c>
      <c r="AC171" s="5">
        <f t="shared" si="55"/>
        <v>0</v>
      </c>
      <c r="AD171" s="1">
        <f t="shared" si="56"/>
        <v>-11.306228581023085</v>
      </c>
      <c r="AE171" s="1">
        <f t="shared" si="57"/>
        <v>0</v>
      </c>
      <c r="AF171" s="1">
        <f t="array" ref="AF171">_xlfn.IFS(C171="Biomass_Corn", 1/I171*S171, C171="Biomass_Agri", 1/I171*V171, C171="Biomass_Wood", 1/I171*U171, C171="Biomass_Herb", 1/I171*T171)</f>
        <v>62.073514673471749</v>
      </c>
      <c r="AG171" s="1">
        <f t="shared" si="58"/>
        <v>55.644014877361926</v>
      </c>
      <c r="AH171" s="1">
        <f t="shared" si="59"/>
        <v>25.343457397076072</v>
      </c>
      <c r="AI171" s="1">
        <f t="shared" si="60"/>
        <v>28.548892239879365</v>
      </c>
      <c r="AJ171" s="1">
        <f t="shared" si="61"/>
        <v>-8.4317694636399209E-6</v>
      </c>
      <c r="AK171" s="1">
        <f t="shared" si="62"/>
        <v>-42.539696450477209</v>
      </c>
      <c r="AL171">
        <f t="shared" si="63"/>
        <v>-8.871149223343281E-4</v>
      </c>
      <c r="AM171" s="1">
        <f t="shared" si="64"/>
        <v>-0.5631574827324628</v>
      </c>
      <c r="AN171" s="1">
        <f t="shared" si="65"/>
        <v>16.709780039838048</v>
      </c>
      <c r="AO171">
        <f t="shared" si="66"/>
        <v>-59.250363605237595</v>
      </c>
      <c r="AQ171" s="17">
        <f t="shared" si="67"/>
        <v>1.7230000000000001</v>
      </c>
      <c r="AR171" s="8">
        <v>0.243968185</v>
      </c>
      <c r="AS171" s="8">
        <v>0.24942761299999999</v>
      </c>
      <c r="AT171" s="9">
        <v>0.24635668499999999</v>
      </c>
      <c r="AU171" s="17">
        <v>0.23037490999999999</v>
      </c>
      <c r="AW171" s="9">
        <f t="shared" si="68"/>
        <v>1.7230000000000001</v>
      </c>
      <c r="AY171" s="9">
        <f t="shared" si="69"/>
        <v>7.7093946460000007E-2</v>
      </c>
      <c r="AZ171" s="9">
        <f t="shared" si="70"/>
        <v>0</v>
      </c>
      <c r="BA171" s="9">
        <f t="shared" si="71"/>
        <v>0.34691948381699994</v>
      </c>
      <c r="BB171" s="9">
        <f t="shared" si="72"/>
        <v>0.32799043799568789</v>
      </c>
      <c r="BC171" s="9">
        <f t="shared" si="73"/>
        <v>0.97098159367040315</v>
      </c>
      <c r="BE171" s="1">
        <f t="shared" si="74"/>
        <v>1.4538056909207953E-5</v>
      </c>
    </row>
    <row r="172" spans="2:57" x14ac:dyDescent="0.2">
      <c r="B172" s="12" t="s">
        <v>227</v>
      </c>
      <c r="C172" s="20" t="s">
        <v>57</v>
      </c>
      <c r="D172" s="20">
        <v>0.77480000000000004</v>
      </c>
      <c r="E172" s="20">
        <v>0</v>
      </c>
      <c r="F172" s="20">
        <v>0.3155</v>
      </c>
      <c r="G172" s="20">
        <v>1.4058999999999999</v>
      </c>
      <c r="H172" s="20">
        <v>0</v>
      </c>
      <c r="I172" s="21">
        <f t="shared" si="50"/>
        <v>1.7214</v>
      </c>
      <c r="J172" s="20">
        <v>1.7170000000000001</v>
      </c>
      <c r="K172" s="20">
        <v>0.967018196917243</v>
      </c>
      <c r="L172" s="20">
        <v>0.326651631734587</v>
      </c>
      <c r="M172" s="20">
        <v>756402.08</v>
      </c>
      <c r="N172" s="20">
        <v>344508.64</v>
      </c>
      <c r="O172" s="20">
        <v>49.223999999999997</v>
      </c>
      <c r="Q172" s="19">
        <v>105.21100300000001</v>
      </c>
      <c r="R172" s="19">
        <v>-45.510345000000001</v>
      </c>
      <c r="S172" s="19">
        <v>160</v>
      </c>
      <c r="T172" s="19">
        <v>97.593261999999996</v>
      </c>
      <c r="U172" s="19">
        <v>109.791234</v>
      </c>
      <c r="V172" s="19">
        <v>86.911507</v>
      </c>
      <c r="W172" s="19">
        <v>38.099075999999997</v>
      </c>
      <c r="Y172" t="str">
        <f t="shared" si="51"/>
        <v>SE_FT_High_Jetfuel_CCS_75_Herb</v>
      </c>
      <c r="Z172" t="str">
        <f t="shared" si="52"/>
        <v>Biomass_Herb</v>
      </c>
      <c r="AA172" s="18">
        <f t="shared" si="53"/>
        <v>115.72238442390807</v>
      </c>
      <c r="AB172" s="18">
        <f t="shared" si="54"/>
        <v>115.72238442390805</v>
      </c>
      <c r="AC172" s="5">
        <f t="shared" si="55"/>
        <v>0</v>
      </c>
      <c r="AD172" s="1">
        <f t="shared" si="56"/>
        <v>-17.148346743813175</v>
      </c>
      <c r="AE172" s="1">
        <f t="shared" si="57"/>
        <v>0</v>
      </c>
      <c r="AF172" s="1">
        <f t="array" ref="AF172">_xlfn.IFS(C172="Biomass_Corn", 1/I172*S172, C172="Biomass_Agri", 1/I172*V172, C172="Biomass_Wood", 1/I172*U172, C172="Biomass_Herb", 1/I172*T172)</f>
        <v>56.694122226095033</v>
      </c>
      <c r="AG172" s="1">
        <f t="shared" si="58"/>
        <v>55.734524486782519</v>
      </c>
      <c r="AH172" s="1">
        <f t="shared" si="59"/>
        <v>25.384680634389778</v>
      </c>
      <c r="AI172" s="1">
        <f t="shared" si="60"/>
        <v>28.595329383060296</v>
      </c>
      <c r="AJ172" s="1">
        <f t="shared" si="61"/>
        <v>-3.1053440048660257E-6</v>
      </c>
      <c r="AK172" s="1">
        <f t="shared" si="62"/>
        <v>-33.537598846248969</v>
      </c>
      <c r="AL172">
        <f t="shared" si="63"/>
        <v>-3.2671635741199145E-4</v>
      </c>
      <c r="AM172" s="1">
        <f t="shared" si="64"/>
        <v>-0.56176573861764445</v>
      </c>
      <c r="AN172" s="1">
        <f t="shared" si="65"/>
        <v>25.566011248391813</v>
      </c>
      <c r="AO172">
        <f t="shared" si="66"/>
        <v>-59.103936810998206</v>
      </c>
      <c r="AQ172" s="17">
        <f t="shared" si="67"/>
        <v>1.7170000000000001</v>
      </c>
      <c r="AR172" s="8">
        <v>0.243968185</v>
      </c>
      <c r="AS172" s="8">
        <v>0.24942761299999999</v>
      </c>
      <c r="AT172" s="9">
        <v>0.24635668499999999</v>
      </c>
      <c r="AU172" s="17">
        <v>0.23037490999999999</v>
      </c>
      <c r="AW172" s="9">
        <f t="shared" si="68"/>
        <v>1.7170000000000001</v>
      </c>
      <c r="AY172" s="9">
        <f t="shared" si="69"/>
        <v>7.6971962367500008E-2</v>
      </c>
      <c r="AZ172" s="9">
        <f t="shared" si="70"/>
        <v>0</v>
      </c>
      <c r="BA172" s="9">
        <f t="shared" si="71"/>
        <v>0.34635286344149996</v>
      </c>
      <c r="BB172" s="9">
        <f t="shared" si="72"/>
        <v>0.326651631734587</v>
      </c>
      <c r="BC172" s="9">
        <f t="shared" si="73"/>
        <v>0.967018196917243</v>
      </c>
      <c r="BE172" s="1">
        <f t="shared" si="74"/>
        <v>5.3455391699763766E-6</v>
      </c>
    </row>
    <row r="173" spans="2:57" x14ac:dyDescent="0.2">
      <c r="B173" s="12" t="s">
        <v>228</v>
      </c>
      <c r="C173" s="20" t="s">
        <v>57</v>
      </c>
      <c r="D173" s="20">
        <v>0.77910000000000001</v>
      </c>
      <c r="E173" s="20">
        <v>0</v>
      </c>
      <c r="F173" s="20">
        <v>0.31730000000000003</v>
      </c>
      <c r="G173" s="20">
        <v>1.4136</v>
      </c>
      <c r="H173" s="20">
        <v>0</v>
      </c>
      <c r="I173" s="21">
        <f t="shared" si="50"/>
        <v>1.7309000000000001</v>
      </c>
      <c r="J173" s="20">
        <v>1.736</v>
      </c>
      <c r="K173" s="20">
        <v>0.97948201942777724</v>
      </c>
      <c r="L173" s="20">
        <v>0.3308618192715902</v>
      </c>
      <c r="M173" s="20">
        <v>756402.08</v>
      </c>
      <c r="N173" s="20">
        <v>344508.64</v>
      </c>
      <c r="O173" s="20">
        <v>49.223999999999997</v>
      </c>
      <c r="Q173" s="19">
        <v>105.21100300000001</v>
      </c>
      <c r="R173" s="19">
        <v>-50.334515000000003</v>
      </c>
      <c r="S173" s="19">
        <v>160</v>
      </c>
      <c r="T173" s="19">
        <v>98.707491000000005</v>
      </c>
      <c r="U173" s="19">
        <v>106.53195700000001</v>
      </c>
      <c r="V173" s="19">
        <v>87.469328000000004</v>
      </c>
      <c r="W173" s="19">
        <v>39.29871</v>
      </c>
      <c r="Y173" t="str">
        <f t="shared" si="51"/>
        <v>MIDAT_FT_High_Jetfuel_CCS_75_Herb</v>
      </c>
      <c r="Z173" t="str">
        <f t="shared" si="52"/>
        <v>Biomass_Herb</v>
      </c>
      <c r="AA173" s="18">
        <f t="shared" si="53"/>
        <v>117.39697994826749</v>
      </c>
      <c r="AB173" s="18">
        <f t="shared" si="54"/>
        <v>117.39697994826747</v>
      </c>
      <c r="AC173" s="5">
        <f t="shared" si="55"/>
        <v>0</v>
      </c>
      <c r="AD173" s="1">
        <f t="shared" si="56"/>
        <v>-17.688846820151365</v>
      </c>
      <c r="AE173" s="1">
        <f t="shared" si="57"/>
        <v>0</v>
      </c>
      <c r="AF173" s="1">
        <f t="array" ref="AF173">_xlfn.IFS(C173="Biomass_Corn", 1/I173*S173, C173="Biomass_Agri", 1/I173*V173, C173="Biomass_Wood", 1/I173*U173, C173="Biomass_Herb", 1/I173*T173)</f>
        <v>57.026686117048932</v>
      </c>
      <c r="AG173" s="1">
        <f t="shared" si="58"/>
        <v>55.428626986855065</v>
      </c>
      <c r="AH173" s="1">
        <f t="shared" si="59"/>
        <v>25.2453574695468</v>
      </c>
      <c r="AI173" s="1">
        <f t="shared" si="60"/>
        <v>28.43838465538159</v>
      </c>
      <c r="AJ173" s="1">
        <f t="shared" si="61"/>
        <v>2.7463838854869571E-6</v>
      </c>
      <c r="AK173" s="1">
        <f t="shared" si="62"/>
        <v>-31.053517410216759</v>
      </c>
      <c r="AL173">
        <f t="shared" si="63"/>
        <v>2.8894980321511989E-4</v>
      </c>
      <c r="AM173" s="1">
        <f t="shared" si="64"/>
        <v>-0.56587744278231544</v>
      </c>
      <c r="AN173" s="1">
        <f t="shared" si="65"/>
        <v>28.483304869788981</v>
      </c>
      <c r="AO173">
        <f t="shared" si="66"/>
        <v>-59.536533330202523</v>
      </c>
      <c r="AQ173" s="17">
        <f t="shared" si="67"/>
        <v>1.736</v>
      </c>
      <c r="AR173" s="8">
        <v>0.243968185</v>
      </c>
      <c r="AS173" s="8">
        <v>0.24942761299999999</v>
      </c>
      <c r="AT173" s="9">
        <v>0.24635668499999999</v>
      </c>
      <c r="AU173" s="17">
        <v>0.23037490999999999</v>
      </c>
      <c r="AW173" s="9">
        <f t="shared" si="68"/>
        <v>1.736</v>
      </c>
      <c r="AY173" s="9">
        <f t="shared" si="69"/>
        <v>7.7411105100500005E-2</v>
      </c>
      <c r="AZ173" s="9">
        <f t="shared" si="70"/>
        <v>0</v>
      </c>
      <c r="BA173" s="9">
        <f t="shared" si="71"/>
        <v>0.34824980991599996</v>
      </c>
      <c r="BB173" s="9">
        <f t="shared" si="72"/>
        <v>0.3308618192715902</v>
      </c>
      <c r="BC173" s="9">
        <f t="shared" si="73"/>
        <v>0.97948201942777724</v>
      </c>
      <c r="BE173" s="1">
        <f t="shared" si="74"/>
        <v>-4.7537158673893742E-6</v>
      </c>
    </row>
    <row r="174" spans="2:57" x14ac:dyDescent="0.2">
      <c r="B174" s="12" t="s">
        <v>229</v>
      </c>
      <c r="C174" s="20" t="s">
        <v>57</v>
      </c>
      <c r="D174" s="20">
        <v>0.78210000000000002</v>
      </c>
      <c r="E174" s="20">
        <v>0</v>
      </c>
      <c r="F174" s="20">
        <v>0.31850000000000001</v>
      </c>
      <c r="G174" s="20">
        <v>1.419</v>
      </c>
      <c r="H174" s="20">
        <v>0</v>
      </c>
      <c r="I174" s="21">
        <f t="shared" si="50"/>
        <v>1.7375</v>
      </c>
      <c r="J174" s="20">
        <v>1.7450000000000001</v>
      </c>
      <c r="K174" s="20">
        <v>0.98499244518515117</v>
      </c>
      <c r="L174" s="20">
        <v>0.33272320054749249</v>
      </c>
      <c r="M174" s="20">
        <v>756402.08</v>
      </c>
      <c r="N174" s="20">
        <v>344508.64</v>
      </c>
      <c r="O174" s="20">
        <v>49.223999999999997</v>
      </c>
      <c r="Q174" s="19">
        <v>105.21100300000001</v>
      </c>
      <c r="R174" s="19">
        <v>-58.833413</v>
      </c>
      <c r="S174" s="19">
        <v>160</v>
      </c>
      <c r="T174" s="19">
        <v>99.493746999999999</v>
      </c>
      <c r="U174" s="19">
        <v>105.21395800000001</v>
      </c>
      <c r="V174" s="19">
        <v>89.700445000000002</v>
      </c>
      <c r="W174" s="19">
        <v>47.365060999999997</v>
      </c>
      <c r="Y174" t="str">
        <f t="shared" si="51"/>
        <v>NE_FT_High_Jetfuel_CCS_75_Herb</v>
      </c>
      <c r="Z174" t="str">
        <f t="shared" si="52"/>
        <v>Biomass_Herb</v>
      </c>
      <c r="AA174" s="18">
        <f t="shared" si="53"/>
        <v>118.34850057428778</v>
      </c>
      <c r="AB174" s="18">
        <f t="shared" si="54"/>
        <v>118.34850057428778</v>
      </c>
      <c r="AC174" s="5">
        <f t="shared" si="55"/>
        <v>0</v>
      </c>
      <c r="AD174" s="1">
        <f t="shared" si="56"/>
        <v>-21.32041105502158</v>
      </c>
      <c r="AE174" s="1">
        <f t="shared" si="57"/>
        <v>0</v>
      </c>
      <c r="AF174" s="1">
        <f t="array" ref="AF174">_xlfn.IFS(C174="Biomass_Corn", 1/I174*S174, C174="Biomass_Agri", 1/I174*V174, C174="Biomass_Wood", 1/I174*U174, C174="Biomass_Herb", 1/I174*T174)</f>
        <v>57.262588201438845</v>
      </c>
      <c r="AG174" s="1">
        <f t="shared" si="58"/>
        <v>55.218077957725143</v>
      </c>
      <c r="AH174" s="1">
        <f t="shared" si="59"/>
        <v>25.149461435417876</v>
      </c>
      <c r="AI174" s="1">
        <f t="shared" si="60"/>
        <v>28.330359712230212</v>
      </c>
      <c r="AJ174" s="1">
        <f t="shared" si="61"/>
        <v>-2.0220423385235793E-7</v>
      </c>
      <c r="AK174" s="1">
        <f t="shared" si="62"/>
        <v>-26.291554403392475</v>
      </c>
      <c r="AL174">
        <f t="shared" si="63"/>
        <v>-2.1274110254453133E-5</v>
      </c>
      <c r="AM174" s="1">
        <f t="shared" si="64"/>
        <v>-0.56690232892950077</v>
      </c>
      <c r="AN174" s="1">
        <f t="shared" si="65"/>
        <v>33.35278695220596</v>
      </c>
      <c r="AO174">
        <f t="shared" si="66"/>
        <v>-59.644362629708695</v>
      </c>
      <c r="AQ174" s="17">
        <f t="shared" si="67"/>
        <v>1.7450000000000001</v>
      </c>
      <c r="AR174" s="8">
        <v>0.243968185</v>
      </c>
      <c r="AS174" s="8">
        <v>0.24942761299999999</v>
      </c>
      <c r="AT174" s="9">
        <v>0.24635668499999999</v>
      </c>
      <c r="AU174" s="17">
        <v>0.23037490999999999</v>
      </c>
      <c r="AW174" s="9">
        <f t="shared" si="68"/>
        <v>1.7450000000000001</v>
      </c>
      <c r="AY174" s="9">
        <f t="shared" si="69"/>
        <v>7.7703866922500003E-2</v>
      </c>
      <c r="AZ174" s="9">
        <f t="shared" si="70"/>
        <v>0</v>
      </c>
      <c r="BA174" s="9">
        <f t="shared" si="71"/>
        <v>0.34958013601499999</v>
      </c>
      <c r="BB174" s="9">
        <f t="shared" si="72"/>
        <v>0.33272320054749249</v>
      </c>
      <c r="BC174" s="9">
        <f t="shared" si="73"/>
        <v>0.98499244518515117</v>
      </c>
      <c r="BE174" s="1">
        <f t="shared" si="74"/>
        <v>3.5132985631847191E-7</v>
      </c>
    </row>
    <row r="175" spans="2:57" x14ac:dyDescent="0.2">
      <c r="B175" s="12" t="s">
        <v>230</v>
      </c>
      <c r="C175" s="20" t="s">
        <v>67</v>
      </c>
      <c r="D175" s="20">
        <v>0.82420000000000004</v>
      </c>
      <c r="E175" s="20">
        <v>0</v>
      </c>
      <c r="F175" s="20">
        <v>0.33560000000000001</v>
      </c>
      <c r="G175" s="20">
        <v>1.4955000000000001</v>
      </c>
      <c r="H175" s="20">
        <v>0</v>
      </c>
      <c r="I175" s="21">
        <f t="shared" si="50"/>
        <v>1.8311000000000002</v>
      </c>
      <c r="J175" s="20">
        <v>1.843</v>
      </c>
      <c r="K175" s="20">
        <v>1.041034538039441</v>
      </c>
      <c r="L175" s="20">
        <v>0.35165380716382438</v>
      </c>
      <c r="M175" s="20">
        <v>756402.08</v>
      </c>
      <c r="N175" s="20">
        <v>344508.64</v>
      </c>
      <c r="O175" s="20">
        <v>49.223999999999997</v>
      </c>
      <c r="Q175" s="19">
        <v>105.21100300000001</v>
      </c>
      <c r="R175" s="19">
        <v>-6.4122130000000004</v>
      </c>
      <c r="S175" s="19">
        <v>160</v>
      </c>
      <c r="T175" s="19">
        <v>313632.96735400002</v>
      </c>
      <c r="U175" s="19">
        <v>154.036981</v>
      </c>
      <c r="V175" s="19">
        <v>132.85973799999999</v>
      </c>
      <c r="W175" s="19">
        <v>36.488697999999999</v>
      </c>
      <c r="Y175" t="str">
        <f t="shared" si="51"/>
        <v>CA_FT_High_Jetfuel_CCS_75_Wood</v>
      </c>
      <c r="Z175" t="str">
        <f t="shared" si="52"/>
        <v>Biomass_Wood</v>
      </c>
      <c r="AA175" s="18">
        <f t="shared" si="53"/>
        <v>114.66967538318985</v>
      </c>
      <c r="AB175" s="18">
        <f t="shared" si="54"/>
        <v>114.66967538318987</v>
      </c>
      <c r="AC175" s="5">
        <f t="shared" si="55"/>
        <v>0</v>
      </c>
      <c r="AD175" s="1">
        <f t="shared" si="56"/>
        <v>-16.423999176232865</v>
      </c>
      <c r="AE175" s="1">
        <f t="shared" si="57"/>
        <v>0</v>
      </c>
      <c r="AF175" s="1">
        <f t="array" ref="AF175">_xlfn.IFS(C175="Biomass_Corn", 1/I175*S175, C175="Biomass_Agri", 1/I175*V175, C175="Biomass_Wood", 1/I175*U175, C175="Biomass_Herb", 1/I175*T175)</f>
        <v>84.122648135000802</v>
      </c>
      <c r="AG175" s="1">
        <f t="shared" si="58"/>
        <v>52.395505680491191</v>
      </c>
      <c r="AH175" s="1">
        <f t="shared" si="59"/>
        <v>23.863901067139182</v>
      </c>
      <c r="AI175" s="1">
        <f t="shared" si="60"/>
        <v>26.882201955108947</v>
      </c>
      <c r="AJ175" s="1">
        <f t="shared" si="61"/>
        <v>-5.1933227211176093E-6</v>
      </c>
      <c r="AK175" s="1">
        <f t="shared" si="62"/>
        <v>-56.170035883625005</v>
      </c>
      <c r="AL175">
        <f t="shared" si="63"/>
        <v>-5.46394692391473E-4</v>
      </c>
      <c r="AM175" s="1">
        <f t="shared" si="64"/>
        <v>-0.56853478648499567</v>
      </c>
      <c r="AN175" s="1">
        <f t="shared" si="65"/>
        <v>3.6455328481598483</v>
      </c>
      <c r="AO175">
        <f t="shared" si="66"/>
        <v>-59.816115126477243</v>
      </c>
      <c r="AQ175" s="17">
        <f t="shared" si="67"/>
        <v>1.843</v>
      </c>
      <c r="AR175" s="8">
        <v>0.243968185</v>
      </c>
      <c r="AS175" s="8">
        <v>0.24942761299999999</v>
      </c>
      <c r="AT175" s="9">
        <v>0.24635668499999999</v>
      </c>
      <c r="AU175" s="17">
        <v>0.23037490999999999</v>
      </c>
      <c r="AW175" s="9">
        <f t="shared" si="68"/>
        <v>1.843</v>
      </c>
      <c r="AY175" s="9">
        <f t="shared" si="69"/>
        <v>8.1875722886000007E-2</v>
      </c>
      <c r="AZ175" s="9">
        <f t="shared" si="70"/>
        <v>0</v>
      </c>
      <c r="BA175" s="9">
        <f t="shared" si="71"/>
        <v>0.36842642241750001</v>
      </c>
      <c r="BB175" s="9">
        <f t="shared" si="72"/>
        <v>0.35165380716382438</v>
      </c>
      <c r="BC175" s="9">
        <f t="shared" si="73"/>
        <v>1.041034538039441</v>
      </c>
      <c r="BE175" s="1">
        <f t="shared" si="74"/>
        <v>9.5094932346384553E-6</v>
      </c>
    </row>
    <row r="176" spans="2:57" x14ac:dyDescent="0.2">
      <c r="B176" s="12" t="s">
        <v>231</v>
      </c>
      <c r="C176" s="20" t="s">
        <v>67</v>
      </c>
      <c r="D176" s="20">
        <v>0.82250000000000001</v>
      </c>
      <c r="E176" s="20">
        <v>0</v>
      </c>
      <c r="F176" s="20">
        <v>0.33489999999999998</v>
      </c>
      <c r="G176" s="20">
        <v>1.4923999999999999</v>
      </c>
      <c r="H176" s="20">
        <v>0</v>
      </c>
      <c r="I176" s="21">
        <f t="shared" si="50"/>
        <v>1.8272999999999999</v>
      </c>
      <c r="J176" s="20">
        <v>1.8180000000000001</v>
      </c>
      <c r="K176" s="20">
        <v>1.0230425090352271</v>
      </c>
      <c r="L176" s="20">
        <v>0.34557623214902311</v>
      </c>
      <c r="M176" s="20">
        <v>756402.08</v>
      </c>
      <c r="N176" s="20">
        <v>344508.64</v>
      </c>
      <c r="O176" s="20">
        <v>49.223999999999997</v>
      </c>
      <c r="Q176" s="19">
        <v>105.21100300000001</v>
      </c>
      <c r="R176" s="19">
        <v>-7.3796590000000002</v>
      </c>
      <c r="S176" s="19">
        <v>160</v>
      </c>
      <c r="T176" s="19">
        <v>130.996602</v>
      </c>
      <c r="U176" s="19">
        <v>149.05667199999999</v>
      </c>
      <c r="V176" s="19">
        <v>112.26938</v>
      </c>
      <c r="W176" s="19">
        <v>26.787863000000002</v>
      </c>
      <c r="Y176" t="str">
        <f t="shared" si="51"/>
        <v>NW_FT_High_Jetfuel_CCS_75_Wood</v>
      </c>
      <c r="Z176" t="str">
        <f t="shared" si="52"/>
        <v>Biomass_Wood</v>
      </c>
      <c r="AA176" s="18">
        <f t="shared" si="53"/>
        <v>118.09730213959715</v>
      </c>
      <c r="AB176" s="18">
        <f t="shared" si="54"/>
        <v>118.09730213959713</v>
      </c>
      <c r="AC176" s="5">
        <f t="shared" si="55"/>
        <v>0</v>
      </c>
      <c r="AD176" s="1">
        <f t="shared" si="56"/>
        <v>-12.057690208230724</v>
      </c>
      <c r="AE176" s="1">
        <f t="shared" si="57"/>
        <v>0</v>
      </c>
      <c r="AF176" s="1">
        <f t="array" ref="AF176">_xlfn.IFS(C176="Biomass_Corn", 1/I176*S176, C176="Biomass_Agri", 1/I176*V176, C176="Biomass_Wood", 1/I176*U176, C176="Biomass_Herb", 1/I176*T176)</f>
        <v>81.572085590762327</v>
      </c>
      <c r="AG176" s="1">
        <f t="shared" si="58"/>
        <v>52.504465852102797</v>
      </c>
      <c r="AH176" s="1">
        <f t="shared" si="59"/>
        <v>23.913527742592109</v>
      </c>
      <c r="AI176" s="1">
        <f t="shared" si="60"/>
        <v>26.938105401411917</v>
      </c>
      <c r="AJ176" s="1">
        <f t="shared" si="61"/>
        <v>-7.4410142012478195E-6</v>
      </c>
      <c r="AK176" s="1">
        <f t="shared" si="62"/>
        <v>-54.772409362473823</v>
      </c>
      <c r="AL176">
        <f t="shared" si="63"/>
        <v>-7.8287656745052695E-4</v>
      </c>
      <c r="AM176" s="1">
        <f t="shared" si="64"/>
        <v>-0.55987309473019053</v>
      </c>
      <c r="AN176" s="1">
        <f t="shared" si="65"/>
        <v>4.1316176102360842</v>
      </c>
      <c r="AO176">
        <f t="shared" si="66"/>
        <v>-58.904809849277363</v>
      </c>
      <c r="AQ176" s="17">
        <f t="shared" si="67"/>
        <v>1.8180000000000001</v>
      </c>
      <c r="AR176" s="8">
        <v>0.243968185</v>
      </c>
      <c r="AS176" s="8">
        <v>0.24942761299999999</v>
      </c>
      <c r="AT176" s="9">
        <v>0.24635668499999999</v>
      </c>
      <c r="AU176" s="17">
        <v>0.23037490999999999</v>
      </c>
      <c r="AW176" s="9">
        <f t="shared" si="68"/>
        <v>1.8180000000000001</v>
      </c>
      <c r="AY176" s="9">
        <f t="shared" si="69"/>
        <v>8.1704945156499995E-2</v>
      </c>
      <c r="AZ176" s="9">
        <f t="shared" si="70"/>
        <v>0</v>
      </c>
      <c r="BA176" s="9">
        <f t="shared" si="71"/>
        <v>0.36766271669399997</v>
      </c>
      <c r="BB176" s="9">
        <f t="shared" si="72"/>
        <v>0.34557623214902311</v>
      </c>
      <c r="BC176" s="9">
        <f t="shared" si="73"/>
        <v>1.0230425090352271</v>
      </c>
      <c r="BE176" s="1">
        <f t="shared" si="74"/>
        <v>1.3596965249940141E-5</v>
      </c>
    </row>
    <row r="177" spans="2:57" x14ac:dyDescent="0.2">
      <c r="B177" s="12" t="s">
        <v>232</v>
      </c>
      <c r="C177" s="20" t="s">
        <v>67</v>
      </c>
      <c r="D177" s="20">
        <v>0.81489999999999996</v>
      </c>
      <c r="E177" s="20">
        <v>0</v>
      </c>
      <c r="F177" s="20">
        <v>0.33179999999999998</v>
      </c>
      <c r="G177" s="20">
        <v>1.4784999999999999</v>
      </c>
      <c r="H177" s="20">
        <v>0</v>
      </c>
      <c r="I177" s="21">
        <f t="shared" si="50"/>
        <v>1.8102999999999998</v>
      </c>
      <c r="J177" s="20">
        <v>1.798</v>
      </c>
      <c r="K177" s="20">
        <v>1.011222128516265</v>
      </c>
      <c r="L177" s="20">
        <v>0.34158339458241721</v>
      </c>
      <c r="M177" s="20">
        <v>756402.08</v>
      </c>
      <c r="N177" s="20">
        <v>344508.64</v>
      </c>
      <c r="O177" s="20">
        <v>49.223999999999997</v>
      </c>
      <c r="Q177" s="19">
        <v>105.21100300000001</v>
      </c>
      <c r="R177" s="19">
        <v>-14.567418</v>
      </c>
      <c r="S177" s="19">
        <v>160</v>
      </c>
      <c r="T177" s="19">
        <v>120.282189</v>
      </c>
      <c r="U177" s="19">
        <v>137.475031</v>
      </c>
      <c r="V177" s="19">
        <v>107.559866</v>
      </c>
      <c r="W177" s="19">
        <v>27.957547000000002</v>
      </c>
      <c r="Y177" t="str">
        <f t="shared" si="51"/>
        <v>SW_FT_High_Jetfuel_CCS_75_Wood</v>
      </c>
      <c r="Z177" t="str">
        <f t="shared" si="52"/>
        <v>Biomass_Wood</v>
      </c>
      <c r="AA177" s="18">
        <f t="shared" si="53"/>
        <v>117.04879870840232</v>
      </c>
      <c r="AB177" s="18">
        <f t="shared" si="54"/>
        <v>117.04879870840232</v>
      </c>
      <c r="AC177" s="5">
        <f t="shared" si="55"/>
        <v>0</v>
      </c>
      <c r="AD177" s="1">
        <f t="shared" si="56"/>
        <v>-12.584988703695522</v>
      </c>
      <c r="AE177" s="1">
        <f t="shared" si="57"/>
        <v>0</v>
      </c>
      <c r="AF177" s="1">
        <f t="array" ref="AF177">_xlfn.IFS(C177="Biomass_Corn", 1/I177*S177, C177="Biomass_Agri", 1/I177*V177, C177="Biomass_Wood", 1/I177*U177, C177="Biomass_Herb", 1/I177*T177)</f>
        <v>75.940468983041484</v>
      </c>
      <c r="AG177" s="1">
        <f t="shared" si="58"/>
        <v>52.997519997540429</v>
      </c>
      <c r="AH177" s="1">
        <f t="shared" si="59"/>
        <v>24.138092716145703</v>
      </c>
      <c r="AI177" s="1">
        <f t="shared" si="60"/>
        <v>27.191073302767499</v>
      </c>
      <c r="AJ177" s="1">
        <f t="shared" si="61"/>
        <v>-4.1287884979429563E-6</v>
      </c>
      <c r="AK177" s="1">
        <f t="shared" si="62"/>
        <v>-50.632933193418225</v>
      </c>
      <c r="AL177">
        <f t="shared" si="63"/>
        <v>-4.343939790434419E-4</v>
      </c>
      <c r="AM177" s="1">
        <f t="shared" si="64"/>
        <v>-0.55859780305036899</v>
      </c>
      <c r="AN177" s="1">
        <f t="shared" si="65"/>
        <v>8.1372675451285161</v>
      </c>
      <c r="AO177">
        <f t="shared" si="66"/>
        <v>-58.770635132525783</v>
      </c>
      <c r="AQ177" s="17">
        <f t="shared" si="67"/>
        <v>1.798</v>
      </c>
      <c r="AR177" s="8">
        <v>0.243968185</v>
      </c>
      <c r="AS177" s="8">
        <v>0.24942761299999999</v>
      </c>
      <c r="AT177" s="9">
        <v>0.24635668499999999</v>
      </c>
      <c r="AU177" s="17">
        <v>0.23037490999999999</v>
      </c>
      <c r="AW177" s="9">
        <f t="shared" si="68"/>
        <v>1.798</v>
      </c>
      <c r="AY177" s="9">
        <f t="shared" si="69"/>
        <v>8.0948643782999999E-2</v>
      </c>
      <c r="AZ177" s="9">
        <f t="shared" si="70"/>
        <v>0</v>
      </c>
      <c r="BA177" s="9">
        <f t="shared" si="71"/>
        <v>0.36423835877249999</v>
      </c>
      <c r="BB177" s="9">
        <f t="shared" si="72"/>
        <v>0.34158339458241721</v>
      </c>
      <c r="BC177" s="9">
        <f t="shared" si="73"/>
        <v>1.011222128516265</v>
      </c>
      <c r="BE177" s="1">
        <f t="shared" si="74"/>
        <v>7.4743458178261335E-6</v>
      </c>
    </row>
    <row r="178" spans="2:57" x14ac:dyDescent="0.2">
      <c r="B178" s="12" t="s">
        <v>233</v>
      </c>
      <c r="C178" s="20" t="s">
        <v>67</v>
      </c>
      <c r="D178" s="20">
        <v>0.8085</v>
      </c>
      <c r="E178" s="20">
        <v>0</v>
      </c>
      <c r="F178" s="20">
        <v>0.32919999999999999</v>
      </c>
      <c r="G178" s="20">
        <v>1.4669000000000001</v>
      </c>
      <c r="H178" s="20">
        <v>0</v>
      </c>
      <c r="I178" s="21">
        <f t="shared" si="50"/>
        <v>1.7961</v>
      </c>
      <c r="J178" s="20">
        <v>1.821</v>
      </c>
      <c r="K178" s="20">
        <v>1.031022644750464</v>
      </c>
      <c r="L178" s="20">
        <v>0.3482718632769124</v>
      </c>
      <c r="M178" s="20">
        <v>756402.08</v>
      </c>
      <c r="N178" s="20">
        <v>344508.64</v>
      </c>
      <c r="O178" s="20">
        <v>49.223999999999997</v>
      </c>
      <c r="Q178" s="19">
        <v>105.21100300000001</v>
      </c>
      <c r="R178" s="19">
        <v>-19.477884</v>
      </c>
      <c r="S178" s="19">
        <v>160</v>
      </c>
      <c r="T178" s="19">
        <v>132.95547999999999</v>
      </c>
      <c r="U178" s="19">
        <v>152.57709199999999</v>
      </c>
      <c r="V178" s="19">
        <v>106.67488899999999</v>
      </c>
      <c r="W178" s="19">
        <v>20.174973000000001</v>
      </c>
      <c r="Y178" t="str">
        <f t="shared" si="51"/>
        <v>TX_FT_High_Jetfuel_CCS_75_Wood</v>
      </c>
      <c r="Z178" t="str">
        <f t="shared" si="52"/>
        <v>Biomass_Wood</v>
      </c>
      <c r="AA178" s="18">
        <f t="shared" si="53"/>
        <v>131.80464871694204</v>
      </c>
      <c r="AB178" s="18">
        <f t="shared" si="54"/>
        <v>131.80464871694201</v>
      </c>
      <c r="AC178" s="5">
        <f t="shared" si="55"/>
        <v>0</v>
      </c>
      <c r="AD178" s="1">
        <f t="shared" si="56"/>
        <v>-9.0816021772173041</v>
      </c>
      <c r="AE178" s="1">
        <f t="shared" si="57"/>
        <v>0</v>
      </c>
      <c r="AF178" s="1">
        <f t="array" ref="AF178">_xlfn.IFS(C178="Biomass_Corn", 1/I178*S178, C178="Biomass_Agri", 1/I178*V178, C178="Biomass_Wood", 1/I178*U178, C178="Biomass_Herb", 1/I178*T178)</f>
        <v>84.949107510717653</v>
      </c>
      <c r="AG178" s="1">
        <f t="shared" si="58"/>
        <v>53.416519376174726</v>
      </c>
      <c r="AH178" s="1">
        <f t="shared" si="59"/>
        <v>24.328928926027817</v>
      </c>
      <c r="AI178" s="1">
        <f t="shared" si="60"/>
        <v>27.406046433940201</v>
      </c>
      <c r="AJ178" s="1">
        <f t="shared" si="61"/>
        <v>-5.8706331070716743E-6</v>
      </c>
      <c r="AK178" s="1">
        <f t="shared" si="62"/>
        <v>-49.213733697503621</v>
      </c>
      <c r="AL178">
        <f t="shared" si="63"/>
        <v>-6.1765519744001729E-4</v>
      </c>
      <c r="AM178" s="1">
        <f t="shared" si="64"/>
        <v>-0.57403996937508361</v>
      </c>
      <c r="AN178" s="1">
        <f t="shared" si="65"/>
        <v>11.180969587340764</v>
      </c>
      <c r="AO178">
        <f t="shared" si="66"/>
        <v>-60.395320940041834</v>
      </c>
      <c r="AQ178" s="17">
        <f t="shared" si="67"/>
        <v>1.821</v>
      </c>
      <c r="AR178" s="8">
        <v>0.243968185</v>
      </c>
      <c r="AS178" s="8">
        <v>0.24942761299999999</v>
      </c>
      <c r="AT178" s="9">
        <v>0.24635668499999999</v>
      </c>
      <c r="AU178" s="17">
        <v>0.23037490999999999</v>
      </c>
      <c r="AW178" s="9">
        <f t="shared" si="68"/>
        <v>1.821</v>
      </c>
      <c r="AY178" s="9">
        <f t="shared" si="69"/>
        <v>8.0314326502000002E-2</v>
      </c>
      <c r="AZ178" s="9">
        <f t="shared" si="70"/>
        <v>0</v>
      </c>
      <c r="BA178" s="9">
        <f t="shared" si="71"/>
        <v>0.3613806212265</v>
      </c>
      <c r="BB178" s="9">
        <f t="shared" si="72"/>
        <v>0.3482718632769124</v>
      </c>
      <c r="BC178" s="9">
        <f t="shared" si="73"/>
        <v>1.031022644750464</v>
      </c>
      <c r="BE178" s="1">
        <f t="shared" si="74"/>
        <v>1.0544244123611435E-5</v>
      </c>
    </row>
    <row r="179" spans="2:57" x14ac:dyDescent="0.2">
      <c r="B179" s="12" t="s">
        <v>234</v>
      </c>
      <c r="C179" s="20" t="s">
        <v>67</v>
      </c>
      <c r="D179" s="20">
        <v>0.8115</v>
      </c>
      <c r="E179" s="20">
        <v>0</v>
      </c>
      <c r="F179" s="20">
        <v>0.33040000000000003</v>
      </c>
      <c r="G179" s="20">
        <v>1.4722999999999999</v>
      </c>
      <c r="H179" s="20">
        <v>0</v>
      </c>
      <c r="I179" s="21">
        <f t="shared" si="50"/>
        <v>1.8027</v>
      </c>
      <c r="J179" s="20">
        <v>1.802</v>
      </c>
      <c r="K179" s="20">
        <v>1.015603070507838</v>
      </c>
      <c r="L179" s="20">
        <v>0.34306324455281478</v>
      </c>
      <c r="M179" s="20">
        <v>756402.08</v>
      </c>
      <c r="N179" s="20">
        <v>344508.64</v>
      </c>
      <c r="O179" s="20">
        <v>49.223999999999997</v>
      </c>
      <c r="Q179" s="19">
        <v>105.21100300000001</v>
      </c>
      <c r="R179" s="19">
        <v>-39.686463000000003</v>
      </c>
      <c r="S179" s="19">
        <v>160</v>
      </c>
      <c r="T179" s="19">
        <v>100.757654</v>
      </c>
      <c r="U179" s="19">
        <v>111.990773</v>
      </c>
      <c r="V179" s="19">
        <v>89.243781999999996</v>
      </c>
      <c r="W179" s="19">
        <v>30.713950000000001</v>
      </c>
      <c r="Y179" t="str">
        <f t="shared" si="51"/>
        <v>NCEN_FT_High_Jetfuel_CCS_75_Wood</v>
      </c>
      <c r="Z179" t="str">
        <f t="shared" si="52"/>
        <v>Biomass_Wood</v>
      </c>
      <c r="AA179" s="18">
        <f t="shared" si="53"/>
        <v>116.14823973788832</v>
      </c>
      <c r="AB179" s="18">
        <f t="shared" si="54"/>
        <v>116.1482397378883</v>
      </c>
      <c r="AC179" s="5">
        <f t="shared" si="55"/>
        <v>0</v>
      </c>
      <c r="AD179" s="1">
        <f t="shared" si="56"/>
        <v>-13.826133258445665</v>
      </c>
      <c r="AE179" s="1">
        <f t="shared" si="57"/>
        <v>0</v>
      </c>
      <c r="AF179" s="1">
        <f t="array" ref="AF179">_xlfn.IFS(C179="Biomass_Corn", 1/I179*S179, C179="Biomass_Agri", 1/I179*V179, C179="Biomass_Wood", 1/I179*U179, C179="Biomass_Herb", 1/I179*T179)</f>
        <v>62.123910245742508</v>
      </c>
      <c r="AG179" s="1">
        <f t="shared" si="58"/>
        <v>53.220952155959075</v>
      </c>
      <c r="AH179" s="1">
        <f t="shared" si="59"/>
        <v>24.239856461995096</v>
      </c>
      <c r="AI179" s="1">
        <f t="shared" si="60"/>
        <v>27.3057081045099</v>
      </c>
      <c r="AJ179" s="1">
        <f t="shared" si="61"/>
        <v>-8.6810283724952767E-6</v>
      </c>
      <c r="AK179" s="1">
        <f t="shared" si="62"/>
        <v>-36.915140632170448</v>
      </c>
      <c r="AL179">
        <f t="shared" si="63"/>
        <v>-9.1333970214168571E-4</v>
      </c>
      <c r="AM179" s="1">
        <f t="shared" si="64"/>
        <v>-0.5633875407986273</v>
      </c>
      <c r="AN179" s="1">
        <f t="shared" si="65"/>
        <v>22.358514273254404</v>
      </c>
      <c r="AO179">
        <f t="shared" si="66"/>
        <v>-59.274568245127</v>
      </c>
      <c r="AQ179" s="17">
        <f t="shared" si="67"/>
        <v>1.802</v>
      </c>
      <c r="AR179" s="8">
        <v>0.243968185</v>
      </c>
      <c r="AS179" s="8">
        <v>0.24942761299999999</v>
      </c>
      <c r="AT179" s="9">
        <v>0.24635668499999999</v>
      </c>
      <c r="AU179" s="17">
        <v>0.23037490999999999</v>
      </c>
      <c r="AW179" s="9">
        <f t="shared" si="68"/>
        <v>1.802</v>
      </c>
      <c r="AY179" s="9">
        <f t="shared" si="69"/>
        <v>8.0607088324000015E-2</v>
      </c>
      <c r="AZ179" s="9">
        <f t="shared" si="70"/>
        <v>0</v>
      </c>
      <c r="BA179" s="9">
        <f t="shared" si="71"/>
        <v>0.36271094732549997</v>
      </c>
      <c r="BB179" s="9">
        <f t="shared" si="72"/>
        <v>0.34306324455281478</v>
      </c>
      <c r="BC179" s="9">
        <f t="shared" si="73"/>
        <v>1.015603070507838</v>
      </c>
      <c r="BE179" s="1">
        <f t="shared" si="74"/>
        <v>1.5649289847097236E-5</v>
      </c>
    </row>
    <row r="180" spans="2:57" x14ac:dyDescent="0.2">
      <c r="B180" s="12" t="s">
        <v>235</v>
      </c>
      <c r="C180" s="20" t="s">
        <v>67</v>
      </c>
      <c r="D180" s="20">
        <v>0.81189999999999996</v>
      </c>
      <c r="E180" s="20">
        <v>0</v>
      </c>
      <c r="F180" s="20">
        <v>0.3306</v>
      </c>
      <c r="G180" s="20">
        <v>1.4731000000000001</v>
      </c>
      <c r="H180" s="20">
        <v>0</v>
      </c>
      <c r="I180" s="21">
        <f t="shared" si="50"/>
        <v>1.8037000000000001</v>
      </c>
      <c r="J180" s="20">
        <v>1.802</v>
      </c>
      <c r="K180" s="20">
        <v>1.0154292027588909</v>
      </c>
      <c r="L180" s="20">
        <v>0.34300451330651499</v>
      </c>
      <c r="M180" s="20">
        <v>756402.08</v>
      </c>
      <c r="N180" s="20">
        <v>344508.64</v>
      </c>
      <c r="O180" s="20">
        <v>49.223999999999997</v>
      </c>
      <c r="Q180" s="19">
        <v>105.21100300000001</v>
      </c>
      <c r="R180" s="19">
        <v>-29.672038000000001</v>
      </c>
      <c r="S180" s="19">
        <v>160</v>
      </c>
      <c r="T180" s="19">
        <v>107.027154</v>
      </c>
      <c r="U180" s="19">
        <v>122.865223</v>
      </c>
      <c r="V180" s="19">
        <v>94.404420999999999</v>
      </c>
      <c r="W180" s="19">
        <v>25.118154000000001</v>
      </c>
      <c r="Y180" t="str">
        <f t="shared" si="51"/>
        <v>CEN_FT_High_Jetfuel_CCS_75_Wood</v>
      </c>
      <c r="Z180" t="str">
        <f t="shared" si="52"/>
        <v>Biomass_Wood</v>
      </c>
      <c r="AA180" s="18">
        <f t="shared" si="53"/>
        <v>118.99410832143087</v>
      </c>
      <c r="AB180" s="18">
        <f t="shared" si="54"/>
        <v>118.99410832143087</v>
      </c>
      <c r="AC180" s="5">
        <f t="shared" si="55"/>
        <v>0</v>
      </c>
      <c r="AD180" s="1">
        <f t="shared" si="56"/>
        <v>-11.30644188756445</v>
      </c>
      <c r="AE180" s="1">
        <f t="shared" si="57"/>
        <v>0</v>
      </c>
      <c r="AF180" s="1">
        <f t="array" ref="AF180">_xlfn.IFS(C180="Biomass_Corn", 1/I180*S180, C180="Biomass_Agri", 1/I180*V180, C180="Biomass_Wood", 1/I180*U180, C180="Biomass_Herb", 1/I180*T180)</f>
        <v>68.118435992681711</v>
      </c>
      <c r="AG180" s="1">
        <f t="shared" si="58"/>
        <v>53.19144561265589</v>
      </c>
      <c r="AH180" s="1">
        <f t="shared" si="59"/>
        <v>24.226417499605564</v>
      </c>
      <c r="AI180" s="1">
        <f t="shared" si="60"/>
        <v>27.29056938515274</v>
      </c>
      <c r="AJ180" s="1">
        <f t="shared" si="61"/>
        <v>-1.3135776981306688E-6</v>
      </c>
      <c r="AK180" s="1">
        <f t="shared" si="62"/>
        <v>-42.52618007827342</v>
      </c>
      <c r="AL180">
        <f t="shared" si="63"/>
        <v>-1.3820282713875891E-4</v>
      </c>
      <c r="AM180" s="1">
        <f t="shared" si="64"/>
        <v>-0.56297143208903089</v>
      </c>
      <c r="AN180" s="1">
        <f t="shared" si="65"/>
        <v>16.704470749332767</v>
      </c>
      <c r="AO180">
        <f t="shared" si="66"/>
        <v>-59.230789030433328</v>
      </c>
      <c r="AQ180" s="17">
        <f t="shared" si="67"/>
        <v>1.802</v>
      </c>
      <c r="AR180" s="8">
        <v>0.243968185</v>
      </c>
      <c r="AS180" s="8">
        <v>0.24942761299999999</v>
      </c>
      <c r="AT180" s="9">
        <v>0.24635668499999999</v>
      </c>
      <c r="AU180" s="17">
        <v>0.23037490999999999</v>
      </c>
      <c r="AW180" s="9">
        <f t="shared" si="68"/>
        <v>1.802</v>
      </c>
      <c r="AY180" s="9">
        <f t="shared" si="69"/>
        <v>8.0655881961000001E-2</v>
      </c>
      <c r="AZ180" s="9">
        <f t="shared" si="70"/>
        <v>0</v>
      </c>
      <c r="BA180" s="9">
        <f t="shared" si="71"/>
        <v>0.36290803267350003</v>
      </c>
      <c r="BB180" s="9">
        <f t="shared" si="72"/>
        <v>0.34300451330651499</v>
      </c>
      <c r="BC180" s="9">
        <f t="shared" si="73"/>
        <v>1.0154292027588909</v>
      </c>
      <c r="BE180" s="1">
        <f t="shared" si="74"/>
        <v>2.3693000941182873E-6</v>
      </c>
    </row>
    <row r="181" spans="2:57" x14ac:dyDescent="0.2">
      <c r="B181" s="12" t="s">
        <v>236</v>
      </c>
      <c r="C181" s="20" t="s">
        <v>67</v>
      </c>
      <c r="D181" s="20">
        <v>0.81489999999999996</v>
      </c>
      <c r="E181" s="20">
        <v>0</v>
      </c>
      <c r="F181" s="20">
        <v>0.33179999999999998</v>
      </c>
      <c r="G181" s="20">
        <v>1.4784999999999999</v>
      </c>
      <c r="H181" s="20">
        <v>0</v>
      </c>
      <c r="I181" s="21">
        <f t="shared" si="50"/>
        <v>1.8102999999999998</v>
      </c>
      <c r="J181" s="20">
        <v>1.821</v>
      </c>
      <c r="K181" s="20">
        <v>1.028414628516265</v>
      </c>
      <c r="L181" s="20">
        <v>0.34739089458241729</v>
      </c>
      <c r="M181" s="20">
        <v>756402.08</v>
      </c>
      <c r="N181" s="20">
        <v>344508.64</v>
      </c>
      <c r="O181" s="20">
        <v>49.223999999999997</v>
      </c>
      <c r="Q181" s="19">
        <v>105.21100300000001</v>
      </c>
      <c r="R181" s="19">
        <v>-45.510345000000001</v>
      </c>
      <c r="S181" s="19">
        <v>160</v>
      </c>
      <c r="T181" s="19">
        <v>97.593261999999996</v>
      </c>
      <c r="U181" s="19">
        <v>109.791234</v>
      </c>
      <c r="V181" s="19">
        <v>86.911507</v>
      </c>
      <c r="W181" s="19">
        <v>38.099075999999997</v>
      </c>
      <c r="Y181" t="str">
        <f t="shared" si="51"/>
        <v>SE_FT_High_Jetfuel_CCS_75_Wood</v>
      </c>
      <c r="Z181" t="str">
        <f t="shared" si="52"/>
        <v>Biomass_Wood</v>
      </c>
      <c r="AA181" s="18">
        <f t="shared" si="53"/>
        <v>113.90878874248422</v>
      </c>
      <c r="AB181" s="18">
        <f t="shared" si="54"/>
        <v>113.90878874248421</v>
      </c>
      <c r="AC181" s="5">
        <f t="shared" si="55"/>
        <v>0</v>
      </c>
      <c r="AD181" s="1">
        <f t="shared" si="56"/>
        <v>-17.150161317129758</v>
      </c>
      <c r="AE181" s="1">
        <f t="shared" si="57"/>
        <v>0</v>
      </c>
      <c r="AF181" s="1">
        <f t="array" ref="AF181">_xlfn.IFS(C181="Biomass_Corn", 1/I181*S181, C181="Biomass_Agri", 1/I181*V181, C181="Biomass_Wood", 1/I181*U181, C181="Biomass_Herb", 1/I181*T181)</f>
        <v>60.648088162183065</v>
      </c>
      <c r="AG181" s="1">
        <f t="shared" si="58"/>
        <v>52.997519997540429</v>
      </c>
      <c r="AH181" s="1">
        <f t="shared" si="59"/>
        <v>24.138092716145703</v>
      </c>
      <c r="AI181" s="1">
        <f t="shared" si="60"/>
        <v>27.191073302767499</v>
      </c>
      <c r="AJ181" s="1">
        <f t="shared" si="61"/>
        <v>-4.1287884978203E-6</v>
      </c>
      <c r="AK181" s="1">
        <f t="shared" si="62"/>
        <v>-33.915389725043688</v>
      </c>
      <c r="AL181">
        <f t="shared" si="63"/>
        <v>-4.3439397903053707E-4</v>
      </c>
      <c r="AM181" s="1">
        <f t="shared" si="64"/>
        <v>-0.56809484773909458</v>
      </c>
      <c r="AN181" s="1">
        <f t="shared" si="65"/>
        <v>25.85400461073969</v>
      </c>
      <c r="AO181">
        <f t="shared" si="66"/>
        <v>-59.769828729762423</v>
      </c>
      <c r="AQ181" s="17">
        <f t="shared" si="67"/>
        <v>1.821</v>
      </c>
      <c r="AR181" s="8">
        <v>0.243968185</v>
      </c>
      <c r="AS181" s="8">
        <v>0.24942761299999999</v>
      </c>
      <c r="AT181" s="9">
        <v>0.24635668499999999</v>
      </c>
      <c r="AU181" s="17">
        <v>0.23037490999999999</v>
      </c>
      <c r="AW181" s="9">
        <f t="shared" si="68"/>
        <v>1.821</v>
      </c>
      <c r="AY181" s="9">
        <f t="shared" si="69"/>
        <v>8.0948643782999999E-2</v>
      </c>
      <c r="AZ181" s="9">
        <f t="shared" si="70"/>
        <v>0</v>
      </c>
      <c r="BA181" s="9">
        <f t="shared" si="71"/>
        <v>0.36423835877249999</v>
      </c>
      <c r="BB181" s="9">
        <f t="shared" si="72"/>
        <v>0.34739089458241729</v>
      </c>
      <c r="BC181" s="9">
        <f t="shared" si="73"/>
        <v>1.028414628516265</v>
      </c>
      <c r="BE181" s="1">
        <f t="shared" si="74"/>
        <v>7.4743458176040889E-6</v>
      </c>
    </row>
    <row r="182" spans="2:57" x14ac:dyDescent="0.2">
      <c r="B182" s="12" t="s">
        <v>237</v>
      </c>
      <c r="C182" s="20" t="s">
        <v>67</v>
      </c>
      <c r="D182" s="20">
        <v>0.80930000000000002</v>
      </c>
      <c r="E182" s="20">
        <v>0</v>
      </c>
      <c r="F182" s="20">
        <v>0.3296</v>
      </c>
      <c r="G182" s="20">
        <v>1.4684999999999999</v>
      </c>
      <c r="H182" s="20">
        <v>0</v>
      </c>
      <c r="I182" s="21">
        <f t="shared" si="50"/>
        <v>1.7980999999999998</v>
      </c>
      <c r="J182" s="20">
        <v>1.806</v>
      </c>
      <c r="K182" s="20">
        <v>1.019462409252571</v>
      </c>
      <c r="L182" s="20">
        <v>0.34436690078431309</v>
      </c>
      <c r="M182" s="20">
        <v>756402.08</v>
      </c>
      <c r="N182" s="20">
        <v>344508.64</v>
      </c>
      <c r="O182" s="20">
        <v>49.223999999999997</v>
      </c>
      <c r="Q182" s="19">
        <v>105.21100300000001</v>
      </c>
      <c r="R182" s="19">
        <v>-50.334515000000003</v>
      </c>
      <c r="S182" s="19">
        <v>160</v>
      </c>
      <c r="T182" s="19">
        <v>98.707491000000005</v>
      </c>
      <c r="U182" s="19">
        <v>106.53195700000001</v>
      </c>
      <c r="V182" s="19">
        <v>87.469328000000004</v>
      </c>
      <c r="W182" s="19">
        <v>39.29871</v>
      </c>
      <c r="Y182" t="str">
        <f t="shared" si="51"/>
        <v>MIDAT_FT_High_Jetfuel_CCS_75_Wood</v>
      </c>
      <c r="Z182" t="str">
        <f t="shared" si="52"/>
        <v>Biomass_Wood</v>
      </c>
      <c r="AA182" s="18">
        <f t="shared" si="53"/>
        <v>115.48149661107267</v>
      </c>
      <c r="AB182" s="18">
        <f t="shared" si="54"/>
        <v>115.48149661107264</v>
      </c>
      <c r="AC182" s="5">
        <f t="shared" si="55"/>
        <v>0</v>
      </c>
      <c r="AD182" s="1">
        <f t="shared" si="56"/>
        <v>-17.687807131416498</v>
      </c>
      <c r="AE182" s="1">
        <f t="shared" si="57"/>
        <v>0</v>
      </c>
      <c r="AF182" s="1">
        <f t="array" ref="AF182">_xlfn.IFS(C182="Biomass_Corn", 1/I182*S182, C182="Biomass_Agri", 1/I182*V182, C182="Biomass_Wood", 1/I182*U182, C182="Biomass_Herb", 1/I182*T182)</f>
        <v>59.246959012290759</v>
      </c>
      <c r="AG182" s="1">
        <f t="shared" si="58"/>
        <v>53.357104972775396</v>
      </c>
      <c r="AH182" s="1">
        <f t="shared" si="59"/>
        <v>24.301868218696715</v>
      </c>
      <c r="AI182" s="1">
        <f t="shared" si="60"/>
        <v>27.375563094377398</v>
      </c>
      <c r="AJ182" s="1">
        <f t="shared" si="61"/>
        <v>8.907032636740349E-6</v>
      </c>
      <c r="AK182" s="1">
        <f t="shared" si="62"/>
        <v>-31.113128673488575</v>
      </c>
      <c r="AL182">
        <f t="shared" si="63"/>
        <v>9.3711783746518683E-4</v>
      </c>
      <c r="AM182" s="1">
        <f t="shared" si="64"/>
        <v>-0.56695756271463615</v>
      </c>
      <c r="AN182" s="1">
        <f t="shared" si="65"/>
        <v>28.537982275991148</v>
      </c>
      <c r="AO182">
        <f t="shared" si="66"/>
        <v>-59.650173831642277</v>
      </c>
      <c r="AQ182" s="17">
        <f t="shared" si="67"/>
        <v>1.806</v>
      </c>
      <c r="AR182" s="8">
        <v>0.243968185</v>
      </c>
      <c r="AS182" s="8">
        <v>0.24942761299999999</v>
      </c>
      <c r="AT182" s="9">
        <v>0.24635668499999999</v>
      </c>
      <c r="AU182" s="17">
        <v>0.23037490999999999</v>
      </c>
      <c r="AW182" s="9">
        <f t="shared" si="68"/>
        <v>1.806</v>
      </c>
      <c r="AY182" s="9">
        <f t="shared" si="69"/>
        <v>8.0411913776000002E-2</v>
      </c>
      <c r="AZ182" s="9">
        <f t="shared" si="70"/>
        <v>0</v>
      </c>
      <c r="BA182" s="9">
        <f t="shared" si="71"/>
        <v>0.36177479192249995</v>
      </c>
      <c r="BB182" s="9">
        <f t="shared" si="72"/>
        <v>0.34436690078431309</v>
      </c>
      <c r="BC182" s="9">
        <f t="shared" si="73"/>
        <v>1.019462409252571</v>
      </c>
      <c r="BE182" s="1">
        <f t="shared" si="74"/>
        <v>-1.601573538412282E-5</v>
      </c>
    </row>
    <row r="183" spans="2:57" x14ac:dyDescent="0.2">
      <c r="B183" s="12" t="s">
        <v>238</v>
      </c>
      <c r="C183" s="20" t="s">
        <v>67</v>
      </c>
      <c r="D183" s="20">
        <v>0.80420000000000003</v>
      </c>
      <c r="E183" s="20">
        <v>0</v>
      </c>
      <c r="F183" s="20">
        <v>0.32750000000000001</v>
      </c>
      <c r="G183" s="20">
        <v>1.4592000000000001</v>
      </c>
      <c r="H183" s="20">
        <v>0</v>
      </c>
      <c r="I183" s="21">
        <f t="shared" si="50"/>
        <v>1.7867000000000002</v>
      </c>
      <c r="J183" s="20">
        <v>1.8260000000000001</v>
      </c>
      <c r="K183" s="20">
        <v>1.0364988222399301</v>
      </c>
      <c r="L183" s="20">
        <v>0.35012167573990921</v>
      </c>
      <c r="M183" s="20">
        <v>756402.08</v>
      </c>
      <c r="N183" s="20">
        <v>344508.64</v>
      </c>
      <c r="O183" s="20">
        <v>49.223999999999997</v>
      </c>
      <c r="Q183" s="19">
        <v>105.21100300000001</v>
      </c>
      <c r="R183" s="19">
        <v>-58.833413</v>
      </c>
      <c r="S183" s="19">
        <v>160</v>
      </c>
      <c r="T183" s="19">
        <v>99.493746999999999</v>
      </c>
      <c r="U183" s="19">
        <v>105.21395800000001</v>
      </c>
      <c r="V183" s="19">
        <v>89.700445000000002</v>
      </c>
      <c r="W183" s="19">
        <v>47.365060999999997</v>
      </c>
      <c r="Y183" t="str">
        <f t="shared" si="51"/>
        <v>NE_FT_High_Jetfuel_CCS_75_Wood</v>
      </c>
      <c r="Z183" t="str">
        <f t="shared" si="52"/>
        <v>Biomass_Wood</v>
      </c>
      <c r="AA183" s="18">
        <f t="shared" si="53"/>
        <v>116.36853031653435</v>
      </c>
      <c r="AB183" s="18">
        <f t="shared" si="54"/>
        <v>116.36853031653433</v>
      </c>
      <c r="AC183" s="5">
        <f t="shared" si="55"/>
        <v>0</v>
      </c>
      <c r="AD183" s="1">
        <f t="shared" si="56"/>
        <v>-21.319181763138744</v>
      </c>
      <c r="AE183" s="1">
        <f t="shared" si="57"/>
        <v>0</v>
      </c>
      <c r="AF183" s="1">
        <f t="array" ref="AF183">_xlfn.IFS(C183="Biomass_Corn", 1/I183*S183, C183="Biomass_Agri", 1/I183*V183, C183="Biomass_Wood", 1/I183*U183, C183="Biomass_Herb", 1/I183*T183)</f>
        <v>58.887310684502154</v>
      </c>
      <c r="AG183" s="1">
        <f t="shared" si="58"/>
        <v>53.697548805925685</v>
      </c>
      <c r="AH183" s="1">
        <f t="shared" si="59"/>
        <v>24.456925753645578</v>
      </c>
      <c r="AI183" s="1">
        <f t="shared" si="60"/>
        <v>27.550232271785969</v>
      </c>
      <c r="AJ183" s="1">
        <f t="shared" si="61"/>
        <v>2.100699244040962E-6</v>
      </c>
      <c r="AK183" s="1">
        <f t="shared" si="62"/>
        <v>-26.904526452860782</v>
      </c>
      <c r="AL183">
        <f t="shared" si="63"/>
        <v>2.2101667446689139E-4</v>
      </c>
      <c r="AM183" s="1">
        <f t="shared" si="64"/>
        <v>-0.58011701400380078</v>
      </c>
      <c r="AN183" s="1">
        <f t="shared" si="65"/>
        <v>34.130387464518599</v>
      </c>
      <c r="AO183">
        <f t="shared" si="66"/>
        <v>-61.034692900704925</v>
      </c>
      <c r="AQ183" s="17">
        <f t="shared" si="67"/>
        <v>1.8260000000000001</v>
      </c>
      <c r="AR183" s="8">
        <v>0.243968185</v>
      </c>
      <c r="AS183" s="8">
        <v>0.24942761299999999</v>
      </c>
      <c r="AT183" s="9">
        <v>0.24635668499999999</v>
      </c>
      <c r="AU183" s="17">
        <v>0.23037490999999999</v>
      </c>
      <c r="AW183" s="9">
        <f t="shared" si="68"/>
        <v>1.8260000000000001</v>
      </c>
      <c r="AY183" s="9">
        <f t="shared" si="69"/>
        <v>7.9899580587500005E-2</v>
      </c>
      <c r="AZ183" s="9">
        <f t="shared" si="70"/>
        <v>0</v>
      </c>
      <c r="BA183" s="9">
        <f t="shared" si="71"/>
        <v>0.35948367475199999</v>
      </c>
      <c r="BB183" s="9">
        <f t="shared" si="72"/>
        <v>0.35012167573990921</v>
      </c>
      <c r="BC183" s="9">
        <f t="shared" si="73"/>
        <v>1.0364988222399301</v>
      </c>
      <c r="BE183" s="1">
        <f t="shared" si="74"/>
        <v>-3.7533193393279873E-6</v>
      </c>
    </row>
    <row r="184" spans="2:57" x14ac:dyDescent="0.2">
      <c r="B184" s="12" t="s">
        <v>239</v>
      </c>
      <c r="C184" s="20" t="s">
        <v>77</v>
      </c>
      <c r="D184" s="20">
        <v>0.77869999999999995</v>
      </c>
      <c r="E184" s="20">
        <v>0</v>
      </c>
      <c r="F184" s="20">
        <v>0.31709999999999999</v>
      </c>
      <c r="G184" s="20">
        <v>1.4128000000000001</v>
      </c>
      <c r="H184" s="20">
        <v>0</v>
      </c>
      <c r="I184" s="21">
        <f t="shared" si="50"/>
        <v>1.7299</v>
      </c>
      <c r="J184" s="20">
        <v>1.7190000000000001</v>
      </c>
      <c r="K184" s="20">
        <v>0.96694838717672382</v>
      </c>
      <c r="L184" s="20">
        <v>0.3266280505178899</v>
      </c>
      <c r="M184" s="20">
        <v>756402.08</v>
      </c>
      <c r="N184" s="20">
        <v>344508.64</v>
      </c>
      <c r="O184" s="20">
        <v>49.223999999999997</v>
      </c>
      <c r="Q184" s="19">
        <v>105.21100300000001</v>
      </c>
      <c r="R184" s="19">
        <v>-6.4122130000000004</v>
      </c>
      <c r="S184" s="19">
        <v>160</v>
      </c>
      <c r="T184" s="19">
        <v>313632.96735400002</v>
      </c>
      <c r="U184" s="19">
        <v>154.036981</v>
      </c>
      <c r="V184" s="19">
        <v>132.85973799999999</v>
      </c>
      <c r="W184" s="19">
        <v>36.488697999999999</v>
      </c>
      <c r="Y184" t="str">
        <f t="shared" si="51"/>
        <v>CA_FT_High_Jetfuel_CCS_75_Agri</v>
      </c>
      <c r="Z184" t="str">
        <f t="shared" si="52"/>
        <v>Biomass_Agri</v>
      </c>
      <c r="AA184" s="18">
        <f t="shared" si="53"/>
        <v>114.32704830316594</v>
      </c>
      <c r="AB184" s="18">
        <f t="shared" si="54"/>
        <v>114.32704830316592</v>
      </c>
      <c r="AC184" s="5">
        <f t="shared" si="55"/>
        <v>0</v>
      </c>
      <c r="AD184" s="1">
        <f t="shared" si="56"/>
        <v>-16.425081873287471</v>
      </c>
      <c r="AE184" s="1">
        <f t="shared" si="57"/>
        <v>0</v>
      </c>
      <c r="AF184" s="1">
        <f t="array" ref="AF184">_xlfn.IFS(C184="Biomass_Corn", 1/I184*S184, C184="Biomass_Agri", 1/I184*V184, C184="Biomass_Wood", 1/I184*U184, C184="Biomass_Herb", 1/I184*T184)</f>
        <v>76.80197583675357</v>
      </c>
      <c r="AG184" s="1">
        <f t="shared" si="58"/>
        <v>55.460668507744629</v>
      </c>
      <c r="AH184" s="1">
        <f t="shared" si="59"/>
        <v>25.259951005282712</v>
      </c>
      <c r="AI184" s="1">
        <f t="shared" si="60"/>
        <v>28.454823978264638</v>
      </c>
      <c r="AJ184" s="1">
        <f t="shared" si="61"/>
        <v>-4.9287669149983861E-6</v>
      </c>
      <c r="AK184" s="1">
        <f t="shared" si="62"/>
        <v>-55.224770591081473</v>
      </c>
      <c r="AL184">
        <f t="shared" si="63"/>
        <v>-5.1856051068019599E-4</v>
      </c>
      <c r="AM184" s="1">
        <f t="shared" si="64"/>
        <v>-0.55896694228025334</v>
      </c>
      <c r="AN184" s="1">
        <f t="shared" si="65"/>
        <v>3.5841834895564038</v>
      </c>
      <c r="AO184">
        <f t="shared" si="66"/>
        <v>-58.809472641148567</v>
      </c>
      <c r="AQ184" s="17">
        <f t="shared" si="67"/>
        <v>1.7190000000000001</v>
      </c>
      <c r="AR184" s="8">
        <v>0.243968185</v>
      </c>
      <c r="AS184" s="8">
        <v>0.24942761299999999</v>
      </c>
      <c r="AT184" s="9">
        <v>0.24635668499999999</v>
      </c>
      <c r="AU184" s="17">
        <v>0.23037490999999999</v>
      </c>
      <c r="AW184" s="9">
        <f t="shared" si="68"/>
        <v>1.7190000000000001</v>
      </c>
      <c r="AY184" s="9">
        <f t="shared" si="69"/>
        <v>7.7362311463500005E-2</v>
      </c>
      <c r="AZ184" s="9">
        <f t="shared" si="70"/>
        <v>0</v>
      </c>
      <c r="BA184" s="9">
        <f t="shared" si="71"/>
        <v>0.34805272456800002</v>
      </c>
      <c r="BB184" s="9">
        <f t="shared" si="72"/>
        <v>0.3266280505178899</v>
      </c>
      <c r="BC184" s="9">
        <f t="shared" si="73"/>
        <v>0.96694838717672382</v>
      </c>
      <c r="BE184" s="1">
        <f t="shared" si="74"/>
        <v>8.5262738862557086E-6</v>
      </c>
    </row>
    <row r="185" spans="2:57" x14ac:dyDescent="0.2">
      <c r="B185" s="12" t="s">
        <v>240</v>
      </c>
      <c r="C185" s="20" t="s">
        <v>77</v>
      </c>
      <c r="D185" s="20">
        <v>0.71179999999999999</v>
      </c>
      <c r="E185" s="20">
        <v>0</v>
      </c>
      <c r="F185" s="20">
        <v>0.28989999999999999</v>
      </c>
      <c r="G185" s="20">
        <v>1.2916000000000001</v>
      </c>
      <c r="H185" s="20">
        <v>0</v>
      </c>
      <c r="I185" s="21">
        <f t="shared" si="50"/>
        <v>1.5815000000000001</v>
      </c>
      <c r="J185" s="20">
        <v>1.6639999999999999</v>
      </c>
      <c r="K185" s="20">
        <v>0.95313312376133519</v>
      </c>
      <c r="L185" s="20">
        <v>0.32196135618693927</v>
      </c>
      <c r="M185" s="20">
        <v>756402.08</v>
      </c>
      <c r="N185" s="20">
        <v>344508.64</v>
      </c>
      <c r="O185" s="20">
        <v>49.223999999999997</v>
      </c>
      <c r="Q185" s="19">
        <v>105.21100300000001</v>
      </c>
      <c r="R185" s="19">
        <v>-7.3796590000000002</v>
      </c>
      <c r="S185" s="19">
        <v>160</v>
      </c>
      <c r="T185" s="19">
        <v>130.996602</v>
      </c>
      <c r="U185" s="19">
        <v>149.05667199999999</v>
      </c>
      <c r="V185" s="19">
        <v>112.26938</v>
      </c>
      <c r="W185" s="19">
        <v>26.787863000000002</v>
      </c>
      <c r="Y185" t="str">
        <f t="shared" si="51"/>
        <v>NW_FT_High_Jetfuel_CCS_75_Agri</v>
      </c>
      <c r="Z185" t="str">
        <f t="shared" si="52"/>
        <v>Biomass_Agri</v>
      </c>
      <c r="AA185" s="18">
        <f t="shared" si="53"/>
        <v>119.39277797586819</v>
      </c>
      <c r="AB185" s="18">
        <f t="shared" si="54"/>
        <v>119.39277797586817</v>
      </c>
      <c r="AC185" s="5">
        <f t="shared" si="55"/>
        <v>0</v>
      </c>
      <c r="AD185" s="1">
        <f t="shared" si="56"/>
        <v>-12.056655632880176</v>
      </c>
      <c r="AE185" s="1">
        <f t="shared" si="57"/>
        <v>0</v>
      </c>
      <c r="AF185" s="1">
        <f t="array" ref="AF185">_xlfn.IFS(C185="Biomass_Corn", 1/I185*S185, C185="Biomass_Agri", 1/I185*V185, C185="Biomass_Wood", 1/I185*U185, C185="Biomass_Herb", 1/I185*T185)</f>
        <v>70.989174834018328</v>
      </c>
      <c r="AG185" s="1">
        <f t="shared" si="58"/>
        <v>60.664818496078041</v>
      </c>
      <c r="AH185" s="1">
        <f t="shared" si="59"/>
        <v>27.630217669325678</v>
      </c>
      <c r="AI185" s="1">
        <f t="shared" si="60"/>
        <v>31.124881441669295</v>
      </c>
      <c r="AJ185" s="1">
        <f t="shared" si="61"/>
        <v>9.5802249602652476E-6</v>
      </c>
      <c r="AK185" s="1">
        <f t="shared" si="62"/>
        <v>-58.960666777420009</v>
      </c>
      <c r="AL185">
        <f t="shared" si="63"/>
        <v>1.0079450770351418E-3</v>
      </c>
      <c r="AM185" s="1">
        <f t="shared" si="64"/>
        <v>-0.60266707090455929</v>
      </c>
      <c r="AN185" s="1">
        <f t="shared" si="65"/>
        <v>4.447548172597819</v>
      </c>
      <c r="AO185">
        <f t="shared" si="66"/>
        <v>-63.407207004940801</v>
      </c>
      <c r="AQ185" s="17">
        <f t="shared" si="67"/>
        <v>1.6639999999999999</v>
      </c>
      <c r="AR185" s="8">
        <v>0.243968185</v>
      </c>
      <c r="AS185" s="8">
        <v>0.24942761299999999</v>
      </c>
      <c r="AT185" s="9">
        <v>0.24635668499999999</v>
      </c>
      <c r="AU185" s="17">
        <v>0.23037490999999999</v>
      </c>
      <c r="AW185" s="9">
        <f t="shared" si="68"/>
        <v>1.6639999999999999</v>
      </c>
      <c r="AY185" s="9">
        <f t="shared" si="69"/>
        <v>7.0726376831500001E-2</v>
      </c>
      <c r="AZ185" s="9">
        <f t="shared" si="70"/>
        <v>0</v>
      </c>
      <c r="BA185" s="9">
        <f t="shared" si="71"/>
        <v>0.318194294346</v>
      </c>
      <c r="BB185" s="9">
        <f t="shared" si="72"/>
        <v>0.32196135618693927</v>
      </c>
      <c r="BC185" s="9">
        <f t="shared" si="73"/>
        <v>0.95313312376133519</v>
      </c>
      <c r="BE185" s="1">
        <f t="shared" si="74"/>
        <v>-1.5151125774659491E-5</v>
      </c>
    </row>
    <row r="186" spans="2:57" x14ac:dyDescent="0.2">
      <c r="B186" s="12" t="s">
        <v>241</v>
      </c>
      <c r="C186" s="20" t="s">
        <v>77</v>
      </c>
      <c r="D186" s="20">
        <v>0.72499999999999998</v>
      </c>
      <c r="E186" s="20">
        <v>0</v>
      </c>
      <c r="F186" s="20">
        <v>0.29520000000000002</v>
      </c>
      <c r="G186" s="20">
        <v>1.3154999999999999</v>
      </c>
      <c r="H186" s="20">
        <v>0</v>
      </c>
      <c r="I186" s="21">
        <f t="shared" si="50"/>
        <v>1.6107</v>
      </c>
      <c r="J186" s="20">
        <v>1.6870000000000001</v>
      </c>
      <c r="K186" s="20">
        <v>0.9649357235439916</v>
      </c>
      <c r="L186" s="20">
        <v>0.32594818755164928</v>
      </c>
      <c r="M186" s="20">
        <v>756402.08</v>
      </c>
      <c r="N186" s="20">
        <v>344508.64</v>
      </c>
      <c r="O186" s="20">
        <v>49.223999999999997</v>
      </c>
      <c r="Q186" s="19">
        <v>105.21100300000001</v>
      </c>
      <c r="R186" s="19">
        <v>-14.567418</v>
      </c>
      <c r="S186" s="19">
        <v>160</v>
      </c>
      <c r="T186" s="19">
        <v>120.282189</v>
      </c>
      <c r="U186" s="19">
        <v>137.475031</v>
      </c>
      <c r="V186" s="19">
        <v>107.559866</v>
      </c>
      <c r="W186" s="19">
        <v>27.957547000000002</v>
      </c>
      <c r="Y186" t="str">
        <f t="shared" si="51"/>
        <v>SW_FT_High_Jetfuel_CCS_75_Agri</v>
      </c>
      <c r="Z186" t="str">
        <f t="shared" si="52"/>
        <v>Biomass_Agri</v>
      </c>
      <c r="AA186" s="18">
        <f t="shared" si="53"/>
        <v>117.14564433301904</v>
      </c>
      <c r="AB186" s="18">
        <f t="shared" si="54"/>
        <v>117.14564433301905</v>
      </c>
      <c r="AC186" s="5">
        <f t="shared" si="55"/>
        <v>0</v>
      </c>
      <c r="AD186" s="1">
        <f t="shared" si="56"/>
        <v>-12.584107267026759</v>
      </c>
      <c r="AE186" s="1">
        <f t="shared" si="57"/>
        <v>0</v>
      </c>
      <c r="AF186" s="1">
        <f t="array" ref="AF186">_xlfn.IFS(C186="Biomass_Corn", 1/I186*S186, C186="Biomass_Agri", 1/I186*V186, C186="Biomass_Wood", 1/I186*U186, C186="Biomass_Herb", 1/I186*T186)</f>
        <v>66.778336127149686</v>
      </c>
      <c r="AG186" s="1">
        <f t="shared" si="58"/>
        <v>59.56504032504342</v>
      </c>
      <c r="AH186" s="1">
        <f t="shared" si="59"/>
        <v>27.129315976928392</v>
      </c>
      <c r="AI186" s="1">
        <f t="shared" si="60"/>
        <v>30.560625814863101</v>
      </c>
      <c r="AJ186" s="1">
        <f t="shared" si="61"/>
        <v>-8.9784409630480072E-6</v>
      </c>
      <c r="AK186" s="1">
        <f t="shared" si="62"/>
        <v>-54.302622013159684</v>
      </c>
      <c r="AL186">
        <f t="shared" si="63"/>
        <v>-9.4463077909856682E-4</v>
      </c>
      <c r="AM186" s="1">
        <f t="shared" si="64"/>
        <v>-0.59908746825532433</v>
      </c>
      <c r="AN186" s="1">
        <f t="shared" si="65"/>
        <v>8.7270267759345419</v>
      </c>
      <c r="AO186">
        <f t="shared" si="66"/>
        <v>-63.030593419873334</v>
      </c>
      <c r="AQ186" s="17">
        <f t="shared" si="67"/>
        <v>1.6870000000000001</v>
      </c>
      <c r="AR186" s="8">
        <v>0.243968185</v>
      </c>
      <c r="AS186" s="8">
        <v>0.24942761299999999</v>
      </c>
      <c r="AT186" s="9">
        <v>0.24635668499999999</v>
      </c>
      <c r="AU186" s="17">
        <v>0.23037490999999999</v>
      </c>
      <c r="AW186" s="9">
        <f t="shared" si="68"/>
        <v>1.6870000000000001</v>
      </c>
      <c r="AY186" s="9">
        <f t="shared" si="69"/>
        <v>7.2019408212000008E-2</v>
      </c>
      <c r="AZ186" s="9">
        <f t="shared" si="70"/>
        <v>0</v>
      </c>
      <c r="BA186" s="9">
        <f t="shared" si="71"/>
        <v>0.32408221911749996</v>
      </c>
      <c r="BB186" s="9">
        <f t="shared" si="72"/>
        <v>0.32594818755164928</v>
      </c>
      <c r="BC186" s="9">
        <f t="shared" si="73"/>
        <v>0.9649357235439916</v>
      </c>
      <c r="BE186" s="1">
        <f t="shared" si="74"/>
        <v>1.4461574859181425E-5</v>
      </c>
    </row>
    <row r="187" spans="2:57" x14ac:dyDescent="0.2">
      <c r="B187" s="12" t="s">
        <v>242</v>
      </c>
      <c r="C187" s="20" t="s">
        <v>77</v>
      </c>
      <c r="D187" s="20">
        <v>0.70630000000000004</v>
      </c>
      <c r="E187" s="20">
        <v>0</v>
      </c>
      <c r="F187" s="20">
        <v>0.28760000000000002</v>
      </c>
      <c r="G187" s="20">
        <v>1.2815000000000001</v>
      </c>
      <c r="H187" s="20">
        <v>0</v>
      </c>
      <c r="I187" s="21">
        <f t="shared" si="50"/>
        <v>1.5691000000000002</v>
      </c>
      <c r="J187" s="20">
        <v>1.633</v>
      </c>
      <c r="K187" s="20">
        <v>0.93222090449764083</v>
      </c>
      <c r="L187" s="20">
        <v>0.31489736238883509</v>
      </c>
      <c r="M187" s="20">
        <v>756402.08</v>
      </c>
      <c r="N187" s="20">
        <v>344508.64</v>
      </c>
      <c r="O187" s="20">
        <v>49.223999999999997</v>
      </c>
      <c r="Q187" s="19">
        <v>105.21100300000001</v>
      </c>
      <c r="R187" s="19">
        <v>-19.477884</v>
      </c>
      <c r="S187" s="19">
        <v>160</v>
      </c>
      <c r="T187" s="19">
        <v>132.95547999999999</v>
      </c>
      <c r="U187" s="19">
        <v>152.57709199999999</v>
      </c>
      <c r="V187" s="19">
        <v>106.67488899999999</v>
      </c>
      <c r="W187" s="19">
        <v>20.174973000000001</v>
      </c>
      <c r="Y187" t="str">
        <f t="shared" si="51"/>
        <v>TX_FT_High_Jetfuel_CCS_75_Agri</v>
      </c>
      <c r="Z187" t="str">
        <f t="shared" si="52"/>
        <v>Biomass_Agri</v>
      </c>
      <c r="AA187" s="18">
        <f t="shared" si="53"/>
        <v>128.33127668670471</v>
      </c>
      <c r="AB187" s="18">
        <f t="shared" si="54"/>
        <v>128.33127668670471</v>
      </c>
      <c r="AC187" s="5">
        <f t="shared" si="55"/>
        <v>0</v>
      </c>
      <c r="AD187" s="1">
        <f t="shared" si="56"/>
        <v>-9.0813736727423358</v>
      </c>
      <c r="AE187" s="1">
        <f t="shared" si="57"/>
        <v>0</v>
      </c>
      <c r="AF187" s="1">
        <f t="array" ref="AF187">_xlfn.IFS(C187="Biomass_Corn", 1/I187*S187, C187="Biomass_Agri", 1/I187*V187, C187="Biomass_Wood", 1/I187*U187, C187="Biomass_Herb", 1/I187*T187)</f>
        <v>67.984761328149887</v>
      </c>
      <c r="AG187" s="1">
        <f t="shared" si="58"/>
        <v>61.144229463735527</v>
      </c>
      <c r="AH187" s="1">
        <f t="shared" si="59"/>
        <v>27.848568761735109</v>
      </c>
      <c r="AI187" s="1">
        <f t="shared" si="60"/>
        <v>31.370849531578607</v>
      </c>
      <c r="AJ187" s="1">
        <f t="shared" si="61"/>
        <v>-6.6224460034430359E-6</v>
      </c>
      <c r="AK187" s="1">
        <f t="shared" si="62"/>
        <v>-50.93506197156578</v>
      </c>
      <c r="AL187">
        <f t="shared" si="63"/>
        <v>-6.9675418633558331E-4</v>
      </c>
      <c r="AM187" s="1">
        <f t="shared" si="64"/>
        <v>-0.59411847286830965</v>
      </c>
      <c r="AN187" s="1">
        <f t="shared" si="65"/>
        <v>11.572041705551033</v>
      </c>
      <c r="AO187">
        <f t="shared" si="66"/>
        <v>-62.507800431303146</v>
      </c>
      <c r="AQ187" s="17">
        <f t="shared" si="67"/>
        <v>1.633</v>
      </c>
      <c r="AR187" s="8">
        <v>0.243968185</v>
      </c>
      <c r="AS187" s="8">
        <v>0.24942761299999999</v>
      </c>
      <c r="AT187" s="9">
        <v>0.24635668499999999</v>
      </c>
      <c r="AU187" s="17">
        <v>0.23037490999999999</v>
      </c>
      <c r="AW187" s="9">
        <f t="shared" si="68"/>
        <v>1.633</v>
      </c>
      <c r="AY187" s="9">
        <f t="shared" si="69"/>
        <v>7.0165250006000005E-2</v>
      </c>
      <c r="AZ187" s="9">
        <f t="shared" si="70"/>
        <v>0</v>
      </c>
      <c r="BA187" s="9">
        <f t="shared" si="71"/>
        <v>0.31570609182750003</v>
      </c>
      <c r="BB187" s="9">
        <f t="shared" si="72"/>
        <v>0.31489736238883509</v>
      </c>
      <c r="BC187" s="9">
        <f t="shared" si="73"/>
        <v>0.93222090449764083</v>
      </c>
      <c r="BE187" s="1">
        <f t="shared" si="74"/>
        <v>1.0391280024002469E-5</v>
      </c>
    </row>
    <row r="188" spans="2:57" x14ac:dyDescent="0.2">
      <c r="B188" s="12" t="s">
        <v>243</v>
      </c>
      <c r="C188" s="20" t="s">
        <v>77</v>
      </c>
      <c r="D188" s="20">
        <v>0.73650000000000004</v>
      </c>
      <c r="E188" s="20">
        <v>0</v>
      </c>
      <c r="F188" s="20">
        <v>0.2999</v>
      </c>
      <c r="G188" s="20">
        <v>1.3364</v>
      </c>
      <c r="H188" s="20">
        <v>0</v>
      </c>
      <c r="I188" s="21">
        <f t="shared" si="50"/>
        <v>1.6363000000000001</v>
      </c>
      <c r="J188" s="20">
        <v>1.71</v>
      </c>
      <c r="K188" s="20">
        <v>0.97743379432243405</v>
      </c>
      <c r="L188" s="20">
        <v>0.33016994390155791</v>
      </c>
      <c r="M188" s="20">
        <v>756402.08</v>
      </c>
      <c r="N188" s="20">
        <v>344508.64</v>
      </c>
      <c r="O188" s="20">
        <v>49.223999999999997</v>
      </c>
      <c r="Q188" s="19">
        <v>105.21100300000001</v>
      </c>
      <c r="R188" s="19">
        <v>-39.686463000000003</v>
      </c>
      <c r="S188" s="19">
        <v>160</v>
      </c>
      <c r="T188" s="19">
        <v>100.757654</v>
      </c>
      <c r="U188" s="19">
        <v>111.990773</v>
      </c>
      <c r="V188" s="19">
        <v>89.243781999999996</v>
      </c>
      <c r="W188" s="19">
        <v>30.713950000000001</v>
      </c>
      <c r="Y188" t="str">
        <f t="shared" si="51"/>
        <v>NCEN_FT_High_Jetfuel_CCS_75_Agri</v>
      </c>
      <c r="Z188" t="str">
        <f t="shared" si="52"/>
        <v>Biomass_Agri</v>
      </c>
      <c r="AA188" s="18">
        <f t="shared" si="53"/>
        <v>116.99550777884812</v>
      </c>
      <c r="AB188" s="18">
        <f t="shared" si="54"/>
        <v>116.99550777884812</v>
      </c>
      <c r="AC188" s="5">
        <f t="shared" si="55"/>
        <v>0</v>
      </c>
      <c r="AD188" s="1">
        <f t="shared" si="56"/>
        <v>-13.824374610401515</v>
      </c>
      <c r="AE188" s="1">
        <f t="shared" si="57"/>
        <v>0</v>
      </c>
      <c r="AF188" s="1">
        <f t="array" ref="AF188">_xlfn.IFS(C188="Biomass_Corn", 1/I188*S188, C188="Biomass_Agri", 1/I188*V188, C188="Biomass_Wood", 1/I188*U188, C188="Biomass_Herb", 1/I188*T188)</f>
        <v>54.539987777302443</v>
      </c>
      <c r="AG188" s="1">
        <f t="shared" si="58"/>
        <v>58.633142120361448</v>
      </c>
      <c r="AH188" s="1">
        <f t="shared" si="59"/>
        <v>26.704876394327787</v>
      </c>
      <c r="AI188" s="1">
        <f t="shared" si="60"/>
        <v>30.082503208458103</v>
      </c>
      <c r="AJ188" s="1">
        <f t="shared" si="61"/>
        <v>5.3213927278912332E-7</v>
      </c>
      <c r="AK188" s="1">
        <f t="shared" si="62"/>
        <v>-39.14068309810677</v>
      </c>
      <c r="AL188">
        <f t="shared" si="63"/>
        <v>5.5986906625834278E-5</v>
      </c>
      <c r="AM188" s="1">
        <f t="shared" si="64"/>
        <v>-0.5973433499865195</v>
      </c>
      <c r="AN188" s="1">
        <f t="shared" si="65"/>
        <v>23.706465876261621</v>
      </c>
      <c r="AO188">
        <f t="shared" si="66"/>
        <v>-62.847092987461757</v>
      </c>
      <c r="AQ188" s="17">
        <f t="shared" si="67"/>
        <v>1.71</v>
      </c>
      <c r="AR188" s="8">
        <v>0.243968185</v>
      </c>
      <c r="AS188" s="8">
        <v>0.24942761299999999</v>
      </c>
      <c r="AT188" s="9">
        <v>0.24635668499999999</v>
      </c>
      <c r="AU188" s="17">
        <v>0.23037490999999999</v>
      </c>
      <c r="AW188" s="9">
        <f t="shared" si="68"/>
        <v>1.71</v>
      </c>
      <c r="AY188" s="9">
        <f t="shared" si="69"/>
        <v>7.3166058681500001E-2</v>
      </c>
      <c r="AZ188" s="9">
        <f t="shared" si="70"/>
        <v>0</v>
      </c>
      <c r="BA188" s="9">
        <f t="shared" si="71"/>
        <v>0.32923107383400002</v>
      </c>
      <c r="BB188" s="9">
        <f t="shared" si="72"/>
        <v>0.33016994390155791</v>
      </c>
      <c r="BC188" s="9">
        <f t="shared" si="73"/>
        <v>0.97743379432243405</v>
      </c>
      <c r="BE188" s="1">
        <f t="shared" si="74"/>
        <v>-8.7073949206484258E-7</v>
      </c>
    </row>
    <row r="189" spans="2:57" x14ac:dyDescent="0.2">
      <c r="B189" s="12" t="s">
        <v>244</v>
      </c>
      <c r="C189" s="20" t="s">
        <v>77</v>
      </c>
      <c r="D189" s="20">
        <v>0.73099999999999998</v>
      </c>
      <c r="E189" s="20">
        <v>0</v>
      </c>
      <c r="F189" s="20">
        <v>0.29770000000000002</v>
      </c>
      <c r="G189" s="20">
        <v>1.3263</v>
      </c>
      <c r="H189" s="20">
        <v>0</v>
      </c>
      <c r="I189" s="21">
        <f t="shared" si="50"/>
        <v>1.6240000000000001</v>
      </c>
      <c r="J189" s="20">
        <v>1.7</v>
      </c>
      <c r="K189" s="20">
        <v>0.97221907505873961</v>
      </c>
      <c r="L189" s="20">
        <v>0.32840845010345371</v>
      </c>
      <c r="M189" s="20">
        <v>756402.08</v>
      </c>
      <c r="N189" s="20">
        <v>344508.64</v>
      </c>
      <c r="O189" s="20">
        <v>49.223999999999997</v>
      </c>
      <c r="Q189" s="19">
        <v>105.21100300000001</v>
      </c>
      <c r="R189" s="19">
        <v>-29.672038000000001</v>
      </c>
      <c r="S189" s="19">
        <v>160</v>
      </c>
      <c r="T189" s="19">
        <v>107.027154</v>
      </c>
      <c r="U189" s="19">
        <v>122.865223</v>
      </c>
      <c r="V189" s="19">
        <v>94.404420999999999</v>
      </c>
      <c r="W189" s="19">
        <v>25.118154000000001</v>
      </c>
      <c r="Y189" t="str">
        <f t="shared" si="51"/>
        <v>CEN_FT_High_Jetfuel_CCS_75_Agri</v>
      </c>
      <c r="Z189" t="str">
        <f t="shared" si="52"/>
        <v>Biomass_Agri</v>
      </c>
      <c r="AA189" s="18">
        <f t="shared" si="53"/>
        <v>117.89728972991259</v>
      </c>
      <c r="AB189" s="18">
        <f t="shared" si="54"/>
        <v>117.89728972991259</v>
      </c>
      <c r="AC189" s="5">
        <f t="shared" si="55"/>
        <v>0</v>
      </c>
      <c r="AD189" s="1">
        <f t="shared" si="56"/>
        <v>-11.30626266871921</v>
      </c>
      <c r="AE189" s="1">
        <f t="shared" si="57"/>
        <v>0</v>
      </c>
      <c r="AF189" s="1">
        <f t="array" ref="AF189">_xlfn.IFS(C189="Biomass_Corn", 1/I189*S189, C189="Biomass_Agri", 1/I189*V189, C189="Biomass_Wood", 1/I189*U189, C189="Biomass_Herb", 1/I189*T189)</f>
        <v>58.130801108374378</v>
      </c>
      <c r="AG189" s="1">
        <f t="shared" si="58"/>
        <v>59.077223184450382</v>
      </c>
      <c r="AH189" s="1">
        <f t="shared" si="59"/>
        <v>26.90713623401389</v>
      </c>
      <c r="AI189" s="1">
        <f t="shared" si="60"/>
        <v>30.310344827586203</v>
      </c>
      <c r="AJ189" s="1">
        <f t="shared" si="61"/>
        <v>-1.6924126016871257E-7</v>
      </c>
      <c r="AK189" s="1">
        <f t="shared" si="62"/>
        <v>-45.221935149750315</v>
      </c>
      <c r="AL189">
        <f t="shared" si="63"/>
        <v>-1.78060427313342E-5</v>
      </c>
      <c r="AM189" s="1">
        <f t="shared" si="64"/>
        <v>-0.59865723516412939</v>
      </c>
      <c r="AN189" s="1">
        <f t="shared" si="65"/>
        <v>17.763375209031878</v>
      </c>
      <c r="AO189">
        <f t="shared" si="66"/>
        <v>-62.985328164824928</v>
      </c>
      <c r="AQ189" s="17">
        <f t="shared" si="67"/>
        <v>1.7</v>
      </c>
      <c r="AR189" s="8">
        <v>0.243968185</v>
      </c>
      <c r="AS189" s="8">
        <v>0.24942761299999999</v>
      </c>
      <c r="AT189" s="9">
        <v>0.24635668499999999</v>
      </c>
      <c r="AU189" s="17">
        <v>0.23037490999999999</v>
      </c>
      <c r="AW189" s="9">
        <f t="shared" si="68"/>
        <v>1.7</v>
      </c>
      <c r="AY189" s="9">
        <f t="shared" si="69"/>
        <v>7.2629328674500004E-2</v>
      </c>
      <c r="AZ189" s="9">
        <f t="shared" si="70"/>
        <v>0</v>
      </c>
      <c r="BA189" s="9">
        <f t="shared" si="71"/>
        <v>0.32674287131550001</v>
      </c>
      <c r="BB189" s="9">
        <f t="shared" si="72"/>
        <v>0.32840845010345371</v>
      </c>
      <c r="BC189" s="9">
        <f t="shared" si="73"/>
        <v>0.97221907505873961</v>
      </c>
      <c r="BE189" s="1">
        <f t="shared" si="74"/>
        <v>2.7484780651398921E-7</v>
      </c>
    </row>
    <row r="190" spans="2:57" x14ac:dyDescent="0.2">
      <c r="B190" s="12" t="s">
        <v>245</v>
      </c>
      <c r="C190" s="20" t="s">
        <v>77</v>
      </c>
      <c r="D190" s="20">
        <v>0.73350000000000004</v>
      </c>
      <c r="E190" s="20">
        <v>0</v>
      </c>
      <c r="F190" s="20">
        <v>0.29870000000000002</v>
      </c>
      <c r="G190" s="20">
        <v>1.331</v>
      </c>
      <c r="H190" s="20">
        <v>0</v>
      </c>
      <c r="I190" s="21">
        <f t="shared" si="50"/>
        <v>1.6296999999999999</v>
      </c>
      <c r="J190" s="20">
        <v>1.6890000000000001</v>
      </c>
      <c r="K190" s="20">
        <v>0.96295336856505998</v>
      </c>
      <c r="L190" s="20">
        <v>0.32527856262565569</v>
      </c>
      <c r="M190" s="20">
        <v>756402.08</v>
      </c>
      <c r="N190" s="20">
        <v>344508.64</v>
      </c>
      <c r="O190" s="20">
        <v>49.223999999999997</v>
      </c>
      <c r="Q190" s="19">
        <v>105.21100300000001</v>
      </c>
      <c r="R190" s="19">
        <v>-45.510345000000001</v>
      </c>
      <c r="S190" s="19">
        <v>160</v>
      </c>
      <c r="T190" s="19">
        <v>97.593261999999996</v>
      </c>
      <c r="U190" s="19">
        <v>109.791234</v>
      </c>
      <c r="V190" s="19">
        <v>86.911507</v>
      </c>
      <c r="W190" s="19">
        <v>38.099075999999997</v>
      </c>
      <c r="Y190" t="str">
        <f t="shared" si="51"/>
        <v>SE_FT_High_Jetfuel_CCS_75_Agri</v>
      </c>
      <c r="Z190" t="str">
        <f t="shared" si="52"/>
        <v>Biomass_Agri</v>
      </c>
      <c r="AA190" s="18">
        <f t="shared" si="53"/>
        <v>116.79457166428888</v>
      </c>
      <c r="AB190" s="18">
        <f t="shared" si="54"/>
        <v>116.7945716642889</v>
      </c>
      <c r="AC190" s="5">
        <f t="shared" si="55"/>
        <v>0</v>
      </c>
      <c r="AD190" s="1">
        <f t="shared" si="56"/>
        <v>-17.14774022580843</v>
      </c>
      <c r="AE190" s="1">
        <f t="shared" si="57"/>
        <v>0</v>
      </c>
      <c r="AF190" s="1">
        <f t="array" ref="AF190">_xlfn.IFS(C190="Biomass_Corn", 1/I190*S190, C190="Biomass_Agri", 1/I190*V190, C190="Biomass_Wood", 1/I190*U190, C190="Biomass_Herb", 1/I190*T190)</f>
        <v>53.329758237712468</v>
      </c>
      <c r="AG190" s="1">
        <f t="shared" si="58"/>
        <v>58.870596092254665</v>
      </c>
      <c r="AH190" s="1">
        <f t="shared" si="59"/>
        <v>26.813026473607756</v>
      </c>
      <c r="AI190" s="1">
        <f t="shared" si="60"/>
        <v>30.204332085659935</v>
      </c>
      <c r="AJ190" s="1">
        <f t="shared" si="61"/>
        <v>3.6668007704182638E-6</v>
      </c>
      <c r="AK190" s="1">
        <f t="shared" si="62"/>
        <v>-35.275786786924343</v>
      </c>
      <c r="AL190">
        <f t="shared" si="63"/>
        <v>3.8578778685687828E-4</v>
      </c>
      <c r="AM190" s="1">
        <f t="shared" si="64"/>
        <v>-0.59087402146397772</v>
      </c>
      <c r="AN190" s="1">
        <f t="shared" si="65"/>
        <v>26.891047445731143</v>
      </c>
      <c r="AO190">
        <f t="shared" si="66"/>
        <v>-62.166448444868628</v>
      </c>
      <c r="AQ190" s="17">
        <f t="shared" si="67"/>
        <v>1.6890000000000001</v>
      </c>
      <c r="AR190" s="8">
        <v>0.243968185</v>
      </c>
      <c r="AS190" s="8">
        <v>0.24942761299999999</v>
      </c>
      <c r="AT190" s="9">
        <v>0.24635668499999999</v>
      </c>
      <c r="AU190" s="17">
        <v>0.23037490999999999</v>
      </c>
      <c r="AW190" s="9">
        <f t="shared" si="68"/>
        <v>1.6890000000000001</v>
      </c>
      <c r="AY190" s="9">
        <f t="shared" si="69"/>
        <v>7.2873296859500003E-2</v>
      </c>
      <c r="AZ190" s="9">
        <f t="shared" si="70"/>
        <v>0</v>
      </c>
      <c r="BA190" s="9">
        <f t="shared" si="71"/>
        <v>0.327900747735</v>
      </c>
      <c r="BB190" s="9">
        <f t="shared" si="72"/>
        <v>0.32527856262565569</v>
      </c>
      <c r="BC190" s="9">
        <f t="shared" si="73"/>
        <v>0.96295336856505998</v>
      </c>
      <c r="BE190" s="1">
        <f t="shared" si="74"/>
        <v>-5.9757852155506441E-6</v>
      </c>
    </row>
    <row r="191" spans="2:57" x14ac:dyDescent="0.2">
      <c r="B191" s="12" t="s">
        <v>246</v>
      </c>
      <c r="C191" s="20" t="s">
        <v>77</v>
      </c>
      <c r="D191" s="20">
        <v>0.73570000000000002</v>
      </c>
      <c r="E191" s="20">
        <v>0</v>
      </c>
      <c r="F191" s="20">
        <v>0.29959999999999998</v>
      </c>
      <c r="G191" s="20">
        <v>1.3348</v>
      </c>
      <c r="H191" s="20">
        <v>0</v>
      </c>
      <c r="I191" s="21">
        <f t="shared" si="50"/>
        <v>1.6343999999999999</v>
      </c>
      <c r="J191" s="20">
        <v>1.708</v>
      </c>
      <c r="K191" s="20">
        <v>0.9762865298203276</v>
      </c>
      <c r="L191" s="20">
        <v>0.32978240639415729</v>
      </c>
      <c r="M191" s="20">
        <v>756402.08</v>
      </c>
      <c r="N191" s="20">
        <v>344508.64</v>
      </c>
      <c r="O191" s="20">
        <v>49.223999999999997</v>
      </c>
      <c r="Q191" s="19">
        <v>105.21100300000001</v>
      </c>
      <c r="R191" s="19">
        <v>-50.334515000000003</v>
      </c>
      <c r="S191" s="19">
        <v>160</v>
      </c>
      <c r="T191" s="19">
        <v>98.707491000000005</v>
      </c>
      <c r="U191" s="19">
        <v>106.53195700000001</v>
      </c>
      <c r="V191" s="19">
        <v>87.469328000000004</v>
      </c>
      <c r="W191" s="19">
        <v>39.29871</v>
      </c>
      <c r="Y191" t="str">
        <f t="shared" si="51"/>
        <v>MIDAT_FT_High_Jetfuel_CCS_75_Agri</v>
      </c>
      <c r="Z191" t="str">
        <f t="shared" si="52"/>
        <v>Biomass_Agri</v>
      </c>
      <c r="AA191" s="18">
        <f t="shared" si="53"/>
        <v>118.60288468757662</v>
      </c>
      <c r="AB191" s="18">
        <f t="shared" si="54"/>
        <v>118.60288468757662</v>
      </c>
      <c r="AC191" s="5">
        <f t="shared" si="55"/>
        <v>0</v>
      </c>
      <c r="AD191" s="1">
        <f t="shared" si="56"/>
        <v>-17.689709341042587</v>
      </c>
      <c r="AE191" s="1">
        <f t="shared" si="57"/>
        <v>0</v>
      </c>
      <c r="AF191" s="1">
        <f t="array" ref="AF191">_xlfn.IFS(C191="Biomass_Corn", 1/I191*S191, C191="Biomass_Agri", 1/I191*V191, C191="Biomass_Wood", 1/I191*U191, C191="Biomass_Herb", 1/I191*T191)</f>
        <v>53.517699461576122</v>
      </c>
      <c r="AG191" s="1">
        <f t="shared" si="58"/>
        <v>58.701303506820508</v>
      </c>
      <c r="AH191" s="1">
        <f t="shared" si="59"/>
        <v>26.735920976528735</v>
      </c>
      <c r="AI191" s="1">
        <f t="shared" si="60"/>
        <v>30.11747430249633</v>
      </c>
      <c r="AJ191" s="1">
        <f t="shared" si="61"/>
        <v>-7.9076206261759346E-7</v>
      </c>
      <c r="AK191" s="1">
        <f t="shared" si="62"/>
        <v>-32.77972102193273</v>
      </c>
      <c r="AL191">
        <f t="shared" si="63"/>
        <v>-8.3196869742345819E-5</v>
      </c>
      <c r="AM191" s="1">
        <f t="shared" si="64"/>
        <v>-0.59733714038291896</v>
      </c>
      <c r="AN191" s="1">
        <f t="shared" si="65"/>
        <v>30.066635450036241</v>
      </c>
      <c r="AO191">
        <f t="shared" si="66"/>
        <v>-62.846439668838713</v>
      </c>
      <c r="AQ191" s="17">
        <f t="shared" si="67"/>
        <v>1.708</v>
      </c>
      <c r="AR191" s="8">
        <v>0.243968185</v>
      </c>
      <c r="AS191" s="8">
        <v>0.24942761299999999</v>
      </c>
      <c r="AT191" s="9">
        <v>0.24635668499999999</v>
      </c>
      <c r="AU191" s="17">
        <v>0.23037490999999999</v>
      </c>
      <c r="AW191" s="9">
        <f t="shared" si="68"/>
        <v>1.708</v>
      </c>
      <c r="AY191" s="9">
        <f t="shared" si="69"/>
        <v>7.3092868226000002E-2</v>
      </c>
      <c r="AZ191" s="9">
        <f t="shared" si="70"/>
        <v>0</v>
      </c>
      <c r="BA191" s="9">
        <f t="shared" si="71"/>
        <v>0.32883690313799996</v>
      </c>
      <c r="BB191" s="9">
        <f t="shared" si="72"/>
        <v>0.32978240639415729</v>
      </c>
      <c r="BC191" s="9">
        <f t="shared" si="73"/>
        <v>0.9762865298203276</v>
      </c>
      <c r="BE191" s="1">
        <f t="shared" si="74"/>
        <v>1.2924215151421947E-6</v>
      </c>
    </row>
    <row r="192" spans="2:57" x14ac:dyDescent="0.2">
      <c r="B192" s="12" t="s">
        <v>247</v>
      </c>
      <c r="C192" s="20" t="s">
        <v>77</v>
      </c>
      <c r="D192" s="20">
        <v>0.74419999999999997</v>
      </c>
      <c r="E192" s="20">
        <v>0</v>
      </c>
      <c r="F192" s="20">
        <v>0.30299999999999999</v>
      </c>
      <c r="G192" s="20">
        <v>1.3503000000000001</v>
      </c>
      <c r="H192" s="20">
        <v>0</v>
      </c>
      <c r="I192" s="21">
        <f t="shared" si="50"/>
        <v>1.6533</v>
      </c>
      <c r="J192" s="20">
        <v>1.7150000000000001</v>
      </c>
      <c r="K192" s="20">
        <v>0.97804167484139604</v>
      </c>
      <c r="L192" s="20">
        <v>0.3303752814681637</v>
      </c>
      <c r="M192" s="20">
        <v>756402.08</v>
      </c>
      <c r="N192" s="20">
        <v>344508.64</v>
      </c>
      <c r="O192" s="20">
        <v>49.223999999999997</v>
      </c>
      <c r="Q192" s="19">
        <v>105.21100300000001</v>
      </c>
      <c r="R192" s="19">
        <v>-58.833413</v>
      </c>
      <c r="S192" s="19">
        <v>160</v>
      </c>
      <c r="T192" s="19">
        <v>99.493746999999999</v>
      </c>
      <c r="U192" s="19">
        <v>105.21395800000001</v>
      </c>
      <c r="V192" s="19">
        <v>89.700445000000002</v>
      </c>
      <c r="W192" s="19">
        <v>47.365060999999997</v>
      </c>
      <c r="Y192" t="str">
        <f t="shared" si="51"/>
        <v>NE_FT_High_Jetfuel_CCS_75_Agri</v>
      </c>
      <c r="Z192" t="str">
        <f t="shared" si="52"/>
        <v>Biomass_Agri</v>
      </c>
      <c r="AA192" s="18">
        <f t="shared" si="53"/>
        <v>119.73277562760676</v>
      </c>
      <c r="AB192" s="18">
        <f t="shared" si="54"/>
        <v>119.73277562760677</v>
      </c>
      <c r="AC192" s="5">
        <f t="shared" si="55"/>
        <v>0</v>
      </c>
      <c r="AD192" s="1">
        <f t="shared" si="56"/>
        <v>-21.320436941994796</v>
      </c>
      <c r="AE192" s="1">
        <f t="shared" si="57"/>
        <v>0</v>
      </c>
      <c r="AF192" s="1">
        <f t="array" ref="AF192">_xlfn.IFS(C192="Biomass_Corn", 1/I192*S192, C192="Biomass_Agri", 1/I192*V192, C192="Biomass_Wood", 1/I192*U192, C192="Biomass_Herb", 1/I192*T192)</f>
        <v>54.255395270065932</v>
      </c>
      <c r="AG192" s="1">
        <f t="shared" si="58"/>
        <v>58.030248866840523</v>
      </c>
      <c r="AH192" s="1">
        <f t="shared" si="59"/>
        <v>26.430284427531941</v>
      </c>
      <c r="AI192" s="1">
        <f t="shared" si="60"/>
        <v>29.773180910905459</v>
      </c>
      <c r="AJ192" s="1">
        <f t="shared" si="61"/>
        <v>-3.1766043308965154E-6</v>
      </c>
      <c r="AK192" s="1">
        <f t="shared" si="62"/>
        <v>-27.435562692014511</v>
      </c>
      <c r="AL192">
        <f t="shared" si="63"/>
        <v>-3.3421372778776628E-4</v>
      </c>
      <c r="AM192" s="1">
        <f t="shared" si="64"/>
        <v>-0.59157256802838942</v>
      </c>
      <c r="AN192" s="1">
        <f t="shared" si="65"/>
        <v>34.804046323810297</v>
      </c>
      <c r="AO192">
        <f t="shared" si="66"/>
        <v>-62.239943229552587</v>
      </c>
      <c r="AQ192" s="17">
        <f t="shared" si="67"/>
        <v>1.7150000000000001</v>
      </c>
      <c r="AR192" s="8">
        <v>0.243968185</v>
      </c>
      <c r="AS192" s="8">
        <v>0.24942761299999999</v>
      </c>
      <c r="AT192" s="9">
        <v>0.24635668499999999</v>
      </c>
      <c r="AU192" s="17">
        <v>0.23037490999999999</v>
      </c>
      <c r="AW192" s="9">
        <f t="shared" si="68"/>
        <v>1.7150000000000001</v>
      </c>
      <c r="AY192" s="9">
        <f t="shared" si="69"/>
        <v>7.3922360054999997E-2</v>
      </c>
      <c r="AZ192" s="9">
        <f t="shared" si="70"/>
        <v>0</v>
      </c>
      <c r="BA192" s="9">
        <f t="shared" si="71"/>
        <v>0.3326554317555</v>
      </c>
      <c r="BB192" s="9">
        <f t="shared" si="72"/>
        <v>0.3303752814681637</v>
      </c>
      <c r="BC192" s="9">
        <f t="shared" si="73"/>
        <v>0.97804167484139604</v>
      </c>
      <c r="BE192" s="1">
        <f t="shared" si="74"/>
        <v>5.2518799402712091E-6</v>
      </c>
    </row>
    <row r="193" spans="2:57" x14ac:dyDescent="0.2">
      <c r="B193" s="12" t="s">
        <v>248</v>
      </c>
      <c r="C193" s="20" t="s">
        <v>57</v>
      </c>
      <c r="D193" s="20">
        <v>0.24679999999999999</v>
      </c>
      <c r="E193" s="20">
        <v>0</v>
      </c>
      <c r="F193" s="20">
        <v>0.4143</v>
      </c>
      <c r="G193" s="20">
        <v>1.8498000000000001</v>
      </c>
      <c r="H193" s="20">
        <v>0</v>
      </c>
      <c r="I193" s="21">
        <f t="shared" si="50"/>
        <v>2.2641</v>
      </c>
      <c r="J193" s="20">
        <v>1.7210000000000001</v>
      </c>
      <c r="K193" s="20">
        <v>0.97654980872638564</v>
      </c>
      <c r="L193" s="20">
        <v>0.18767266233511359</v>
      </c>
      <c r="M193" s="20">
        <v>784258.72</v>
      </c>
      <c r="N193" s="20">
        <v>351016.96000000002</v>
      </c>
      <c r="O193" s="20">
        <v>50.287999999999997</v>
      </c>
      <c r="Q193" s="19">
        <v>105.21100300000001</v>
      </c>
      <c r="R193" s="19">
        <v>-6.4122130000000004</v>
      </c>
      <c r="S193" s="19">
        <v>160</v>
      </c>
      <c r="T193" s="19">
        <v>313632.96735400002</v>
      </c>
      <c r="U193" s="19">
        <v>154.036981</v>
      </c>
      <c r="V193" s="19">
        <v>132.85973799999999</v>
      </c>
      <c r="W193" s="19">
        <v>36.488697999999999</v>
      </c>
      <c r="Y193" t="str">
        <f t="shared" si="51"/>
        <v>CA_FT_High_Jetfuel_CCS_84_Herb</v>
      </c>
      <c r="Z193" t="str">
        <f t="shared" si="52"/>
        <v>Biomass_Herb</v>
      </c>
      <c r="AA193" s="18">
        <f t="shared" si="53"/>
        <v>138563.56449910966</v>
      </c>
      <c r="AB193" s="18">
        <f t="shared" si="54"/>
        <v>138563.56449910963</v>
      </c>
      <c r="AC193" s="5">
        <f t="shared" si="55"/>
        <v>0</v>
      </c>
      <c r="AD193" s="1">
        <f t="shared" si="56"/>
        <v>-3.9774792042754292</v>
      </c>
      <c r="AE193" s="1">
        <f t="shared" si="57"/>
        <v>0</v>
      </c>
      <c r="AF193" s="1">
        <f t="array" ref="AF193">_xlfn.IFS(C193="Biomass_Corn", 1/I193*S193, C193="Biomass_Agri", 1/I193*V193, C193="Biomass_Wood", 1/I193*U193, C193="Biomass_Herb", 1/I193*T193)</f>
        <v>138524.34404575772</v>
      </c>
      <c r="AG193" s="1">
        <f t="shared" si="58"/>
        <v>43.935658093994917</v>
      </c>
      <c r="AH193" s="1">
        <f t="shared" si="59"/>
        <v>19.664634573337601</v>
      </c>
      <c r="AI193" s="1">
        <f t="shared" si="60"/>
        <v>22.211033081577668</v>
      </c>
      <c r="AJ193" s="1">
        <f t="shared" si="61"/>
        <v>4.0130824606022058E-6</v>
      </c>
      <c r="AK193" s="1">
        <f t="shared" si="62"/>
        <v>-42.613815413143563</v>
      </c>
      <c r="AL193">
        <f t="shared" si="63"/>
        <v>4.2222043080166605E-4</v>
      </c>
      <c r="AM193" s="1">
        <f t="shared" si="64"/>
        <v>-0.43131519045377259</v>
      </c>
      <c r="AN193" s="1">
        <f t="shared" si="65"/>
        <v>2.7657106040646808</v>
      </c>
      <c r="AO193">
        <f t="shared" si="66"/>
        <v>-45.379103796777443</v>
      </c>
      <c r="AQ193" s="17">
        <f t="shared" si="67"/>
        <v>1.7210000000000001</v>
      </c>
      <c r="AR193" s="8">
        <v>0.243968185</v>
      </c>
      <c r="AS193" s="8">
        <v>0.24942761299999999</v>
      </c>
      <c r="AT193" s="9">
        <v>0.24635668499999999</v>
      </c>
      <c r="AU193" s="17">
        <v>0.23037490999999999</v>
      </c>
      <c r="AW193" s="9">
        <f t="shared" si="68"/>
        <v>1.7210000000000001</v>
      </c>
      <c r="AY193" s="9">
        <f t="shared" si="69"/>
        <v>0.1010760190455</v>
      </c>
      <c r="AZ193" s="9">
        <f t="shared" si="70"/>
        <v>0</v>
      </c>
      <c r="BA193" s="9">
        <f t="shared" si="71"/>
        <v>0.45571059591300001</v>
      </c>
      <c r="BB193" s="9">
        <f t="shared" si="72"/>
        <v>0.18767266233511359</v>
      </c>
      <c r="BC193" s="9">
        <f t="shared" si="73"/>
        <v>0.97654980872638564</v>
      </c>
      <c r="BE193" s="1">
        <f t="shared" si="74"/>
        <v>-9.086019999049455E-6</v>
      </c>
    </row>
    <row r="194" spans="2:57" x14ac:dyDescent="0.2">
      <c r="B194" s="12" t="s">
        <v>249</v>
      </c>
      <c r="C194" s="20" t="s">
        <v>57</v>
      </c>
      <c r="D194" s="20">
        <v>0.24740000000000001</v>
      </c>
      <c r="E194" s="20">
        <v>0</v>
      </c>
      <c r="F194" s="20">
        <v>0.41520000000000001</v>
      </c>
      <c r="G194" s="20">
        <v>1.8537999999999999</v>
      </c>
      <c r="H194" s="20">
        <v>0</v>
      </c>
      <c r="I194" s="21">
        <f t="shared" si="50"/>
        <v>2.2690000000000001</v>
      </c>
      <c r="J194" s="20">
        <v>1.726</v>
      </c>
      <c r="K194" s="20">
        <v>0.97971681589235882</v>
      </c>
      <c r="L194" s="20">
        <v>0.18828129556729639</v>
      </c>
      <c r="M194" s="20">
        <v>784258.72</v>
      </c>
      <c r="N194" s="20">
        <v>351016.96000000002</v>
      </c>
      <c r="O194" s="20">
        <v>50.287999999999997</v>
      </c>
      <c r="Q194" s="19">
        <v>105.21100300000001</v>
      </c>
      <c r="R194" s="19">
        <v>-7.3796590000000002</v>
      </c>
      <c r="S194" s="19">
        <v>160</v>
      </c>
      <c r="T194" s="19">
        <v>130.996602</v>
      </c>
      <c r="U194" s="19">
        <v>149.05667199999999</v>
      </c>
      <c r="V194" s="19">
        <v>112.26938</v>
      </c>
      <c r="W194" s="19">
        <v>26.787863000000002</v>
      </c>
      <c r="Y194" t="str">
        <f t="shared" si="51"/>
        <v>NW_FT_High_Jetfuel_CCS_84_Herb</v>
      </c>
      <c r="Z194" t="str">
        <f t="shared" si="52"/>
        <v>Biomass_Herb</v>
      </c>
      <c r="AA194" s="18">
        <f t="shared" si="53"/>
        <v>98.195951251956899</v>
      </c>
      <c r="AB194" s="18">
        <f t="shared" si="54"/>
        <v>98.195951251956913</v>
      </c>
      <c r="AC194" s="5">
        <f t="shared" si="55"/>
        <v>0</v>
      </c>
      <c r="AD194" s="1">
        <f t="shared" si="56"/>
        <v>-2.9208097427060382</v>
      </c>
      <c r="AE194" s="1">
        <f t="shared" si="57"/>
        <v>0</v>
      </c>
      <c r="AF194" s="1">
        <f t="array" ref="AF194">_xlfn.IFS(C194="Biomass_Corn", 1/I194*S194, C194="Biomass_Agri", 1/I194*V194, C194="Biomass_Wood", 1/I194*U194, C194="Biomass_Herb", 1/I194*T194)</f>
        <v>57.733187307183776</v>
      </c>
      <c r="AG194" s="1">
        <f t="shared" si="58"/>
        <v>43.840777210495325</v>
      </c>
      <c r="AH194" s="1">
        <f t="shared" si="59"/>
        <v>19.622167975977813</v>
      </c>
      <c r="AI194" s="1">
        <f t="shared" si="60"/>
        <v>22.16306743058616</v>
      </c>
      <c r="AJ194" s="1">
        <f t="shared" si="61"/>
        <v>-4.5286361149506798E-6</v>
      </c>
      <c r="AK194" s="1">
        <f t="shared" si="62"/>
        <v>-42.24196246723227</v>
      </c>
      <c r="AL194">
        <f t="shared" si="63"/>
        <v>-4.7646234787598435E-4</v>
      </c>
      <c r="AM194" s="1">
        <f t="shared" si="64"/>
        <v>-0.4317880526080668</v>
      </c>
      <c r="AN194" s="1">
        <f t="shared" si="65"/>
        <v>3.1864151687313305</v>
      </c>
      <c r="AO194">
        <f t="shared" si="66"/>
        <v>-45.428854098311476</v>
      </c>
      <c r="AQ194" s="17">
        <f t="shared" si="67"/>
        <v>1.726</v>
      </c>
      <c r="AR194" s="8">
        <v>0.243968185</v>
      </c>
      <c r="AS194" s="8">
        <v>0.24942761299999999</v>
      </c>
      <c r="AT194" s="9">
        <v>0.24635668499999999</v>
      </c>
      <c r="AU194" s="17">
        <v>0.23037490999999999</v>
      </c>
      <c r="AW194" s="9">
        <f t="shared" si="68"/>
        <v>1.726</v>
      </c>
      <c r="AY194" s="9">
        <f t="shared" si="69"/>
        <v>0.10129559041200001</v>
      </c>
      <c r="AZ194" s="9">
        <f t="shared" si="70"/>
        <v>0</v>
      </c>
      <c r="BA194" s="9">
        <f t="shared" si="71"/>
        <v>0.45669602265299997</v>
      </c>
      <c r="BB194" s="9">
        <f t="shared" si="72"/>
        <v>0.18828129556729639</v>
      </c>
      <c r="BC194" s="9">
        <f t="shared" si="73"/>
        <v>0.97971681589235882</v>
      </c>
      <c r="BE194" s="1">
        <f t="shared" si="74"/>
        <v>1.0275475344823093E-5</v>
      </c>
    </row>
    <row r="195" spans="2:57" x14ac:dyDescent="0.2">
      <c r="B195" s="12" t="s">
        <v>250</v>
      </c>
      <c r="C195" s="20" t="s">
        <v>57</v>
      </c>
      <c r="D195" s="20">
        <v>0.2457</v>
      </c>
      <c r="E195" s="20">
        <v>0</v>
      </c>
      <c r="F195" s="20">
        <v>0.41249999999999998</v>
      </c>
      <c r="G195" s="20">
        <v>1.8415999999999999</v>
      </c>
      <c r="H195" s="20">
        <v>0</v>
      </c>
      <c r="I195" s="21">
        <f t="shared" si="50"/>
        <v>2.2540999999999998</v>
      </c>
      <c r="J195" s="20">
        <v>1.71</v>
      </c>
      <c r="K195" s="20">
        <v>0.96937699439443881</v>
      </c>
      <c r="L195" s="20">
        <v>0.18629419587074811</v>
      </c>
      <c r="M195" s="20">
        <v>784258.72</v>
      </c>
      <c r="N195" s="20">
        <v>351016.96000000002</v>
      </c>
      <c r="O195" s="20">
        <v>50.287999999999997</v>
      </c>
      <c r="Q195" s="19">
        <v>105.21100300000001</v>
      </c>
      <c r="R195" s="19">
        <v>-14.567418</v>
      </c>
      <c r="S195" s="19">
        <v>160</v>
      </c>
      <c r="T195" s="19">
        <v>120.282189</v>
      </c>
      <c r="U195" s="19">
        <v>137.475031</v>
      </c>
      <c r="V195" s="19">
        <v>107.559866</v>
      </c>
      <c r="W195" s="19">
        <v>27.957547000000002</v>
      </c>
      <c r="Y195" t="str">
        <f t="shared" si="51"/>
        <v>SW_FT_High_Jetfuel_CCS_84_Herb</v>
      </c>
      <c r="Z195" t="str">
        <f t="shared" si="52"/>
        <v>Biomass_Herb</v>
      </c>
      <c r="AA195" s="18">
        <f t="shared" si="53"/>
        <v>97.524724940753558</v>
      </c>
      <c r="AB195" s="18">
        <f t="shared" si="54"/>
        <v>97.524724940753572</v>
      </c>
      <c r="AC195" s="5">
        <f t="shared" si="55"/>
        <v>0</v>
      </c>
      <c r="AD195" s="1">
        <f t="shared" si="56"/>
        <v>-3.047411072223948</v>
      </c>
      <c r="AE195" s="1">
        <f t="shared" si="57"/>
        <v>0</v>
      </c>
      <c r="AF195" s="1">
        <f t="array" ref="AF195">_xlfn.IFS(C195="Biomass_Corn", 1/I195*S195, C195="Biomass_Agri", 1/I195*V195, C195="Biomass_Wood", 1/I195*U195, C195="Biomass_Herb", 1/I195*T195)</f>
        <v>53.361514129807915</v>
      </c>
      <c r="AG195" s="1">
        <f t="shared" si="58"/>
        <v>44.130572508146891</v>
      </c>
      <c r="AH195" s="1">
        <f t="shared" si="59"/>
        <v>19.751873979634297</v>
      </c>
      <c r="AI195" s="1">
        <f t="shared" si="60"/>
        <v>22.309569229404197</v>
      </c>
      <c r="AJ195" s="1">
        <f t="shared" si="61"/>
        <v>-6.4874065610609662E-7</v>
      </c>
      <c r="AK195" s="1">
        <f t="shared" si="62"/>
        <v>-38.981325579360657</v>
      </c>
      <c r="AL195">
        <f t="shared" si="63"/>
        <v>-6.8254655115800503E-5</v>
      </c>
      <c r="AM195" s="1">
        <f t="shared" si="64"/>
        <v>-0.4300512207625003</v>
      </c>
      <c r="AN195" s="1">
        <f t="shared" si="65"/>
        <v>6.2647264437813091</v>
      </c>
      <c r="AO195">
        <f t="shared" si="66"/>
        <v>-45.246120277797083</v>
      </c>
      <c r="AQ195" s="17">
        <f t="shared" si="67"/>
        <v>1.71</v>
      </c>
      <c r="AR195" s="8">
        <v>0.243968185</v>
      </c>
      <c r="AS195" s="8">
        <v>0.24942761299999999</v>
      </c>
      <c r="AT195" s="9">
        <v>0.24635668499999999</v>
      </c>
      <c r="AU195" s="17">
        <v>0.23037490999999999</v>
      </c>
      <c r="AW195" s="9">
        <f t="shared" si="68"/>
        <v>1.71</v>
      </c>
      <c r="AY195" s="9">
        <f t="shared" si="69"/>
        <v>0.1006368763125</v>
      </c>
      <c r="AZ195" s="9">
        <f t="shared" si="70"/>
        <v>0</v>
      </c>
      <c r="BA195" s="9">
        <f t="shared" si="71"/>
        <v>0.45369047109599997</v>
      </c>
      <c r="BB195" s="9">
        <f t="shared" si="72"/>
        <v>0.18629419587074811</v>
      </c>
      <c r="BC195" s="9">
        <f t="shared" si="73"/>
        <v>0.96937699439443881</v>
      </c>
      <c r="BE195" s="1">
        <f t="shared" si="74"/>
        <v>1.4623263129287523E-6</v>
      </c>
    </row>
    <row r="196" spans="2:57" x14ac:dyDescent="0.2">
      <c r="B196" s="12" t="s">
        <v>251</v>
      </c>
      <c r="C196" s="20" t="s">
        <v>57</v>
      </c>
      <c r="D196" s="20">
        <v>0.24629999999999999</v>
      </c>
      <c r="E196" s="20">
        <v>0</v>
      </c>
      <c r="F196" s="20">
        <v>0.41339999999999999</v>
      </c>
      <c r="G196" s="20">
        <v>1.8456999999999999</v>
      </c>
      <c r="H196" s="20">
        <v>0</v>
      </c>
      <c r="I196" s="21">
        <f t="shared" ref="I196:I259" si="75">F196+G196+H196</f>
        <v>2.2591000000000001</v>
      </c>
      <c r="J196" s="20">
        <v>1.714</v>
      </c>
      <c r="K196" s="20">
        <v>0.97170520156041218</v>
      </c>
      <c r="L196" s="20">
        <v>0.18674162910293091</v>
      </c>
      <c r="M196" s="20">
        <v>784258.72</v>
      </c>
      <c r="N196" s="20">
        <v>351016.96000000002</v>
      </c>
      <c r="O196" s="20">
        <v>50.287999999999997</v>
      </c>
      <c r="Q196" s="19">
        <v>105.21100300000001</v>
      </c>
      <c r="R196" s="19">
        <v>-19.477884</v>
      </c>
      <c r="S196" s="19">
        <v>160</v>
      </c>
      <c r="T196" s="19">
        <v>132.95547999999999</v>
      </c>
      <c r="U196" s="19">
        <v>152.57709199999999</v>
      </c>
      <c r="V196" s="19">
        <v>106.67488899999999</v>
      </c>
      <c r="W196" s="19">
        <v>20.174973000000001</v>
      </c>
      <c r="Y196" t="str">
        <f t="shared" ref="Y196:Y259" si="76">B196</f>
        <v>TX_FT_High_Jetfuel_CCS_84_Herb</v>
      </c>
      <c r="Z196" t="str">
        <f t="shared" ref="Z196:Z259" si="77">C196</f>
        <v>Biomass_Herb</v>
      </c>
      <c r="AA196" s="18">
        <f t="shared" ref="AA196:AA259" si="78">SUM(AD196:AI196)+AK196+AL196</f>
        <v>105.77880135812461</v>
      </c>
      <c r="AB196" s="18">
        <f t="shared" ref="AB196:AB259" si="79">SUM(AD196:AI196)+AN196+AO196</f>
        <v>105.77880135812462</v>
      </c>
      <c r="AC196" s="5">
        <f t="shared" ref="AC196:AC259" si="80">AA196-AB196</f>
        <v>0</v>
      </c>
      <c r="AD196" s="1">
        <f t="shared" ref="AD196:AD259" si="81">D196/I196*W196*-1</f>
        <v>-2.1995909211190297</v>
      </c>
      <c r="AE196" s="1">
        <f t="shared" ref="AE196:AE259" si="82">E196/I196*W196</f>
        <v>0</v>
      </c>
      <c r="AF196" s="1">
        <f t="array" ref="AF196">_xlfn.IFS(C196="Biomass_Corn", 1/I196*S196, C196="Biomass_Agri", 1/I196*V196, C196="Biomass_Wood", 1/I196*U196, C196="Biomass_Herb", 1/I196*T196)</f>
        <v>58.853295560178822</v>
      </c>
      <c r="AG196" s="1">
        <f t="shared" ref="AG196:AG259" si="83">M196/I196/(0.9*8760)</f>
        <v>44.032899601883003</v>
      </c>
      <c r="AH196" s="1">
        <f t="shared" ref="AH196:AH259" si="84">N196/I196/(0.9*8760)</f>
        <v>19.708157734271904</v>
      </c>
      <c r="AI196" s="1">
        <f t="shared" ref="AI196:AI259" si="85">O196/I196</f>
        <v>22.260192111902967</v>
      </c>
      <c r="AJ196" s="1">
        <f t="shared" ref="AJ196:AJ259" si="86">(AY196+AZ196+BA196+BB196+BC196-AW196)/I196</f>
        <v>1.6873298406712191E-6</v>
      </c>
      <c r="AK196" s="1">
        <f t="shared" ref="AK196:AK259" si="87">(Q196+R196)*-1*K196/I196</f>
        <v>-36.876330254657965</v>
      </c>
      <c r="AL196">
        <f t="shared" ref="AL196:AL259" si="88">AJ196*Q196</f>
        <v>1.7752566492884917E-4</v>
      </c>
      <c r="AM196" s="1">
        <f t="shared" ref="AM196:AM259" si="89">(SUM(AY196:BB196)-AW196)/I196</f>
        <v>-0.43012765690477139</v>
      </c>
      <c r="AN196" s="1">
        <f t="shared" ref="AN196:AN259" si="90">K196/I196*-1*R196</f>
        <v>8.3780094719978422</v>
      </c>
      <c r="AO196">
        <f t="shared" ref="AO196:AO259" si="91">AM196*Q196</f>
        <v>-45.254162200990876</v>
      </c>
      <c r="AQ196" s="17">
        <f t="shared" ref="AQ196:AQ259" si="92">J196</f>
        <v>1.714</v>
      </c>
      <c r="AR196" s="8">
        <v>0.243968185</v>
      </c>
      <c r="AS196" s="8">
        <v>0.24942761299999999</v>
      </c>
      <c r="AT196" s="9">
        <v>0.24635668499999999</v>
      </c>
      <c r="AU196" s="17">
        <v>0.23037490999999999</v>
      </c>
      <c r="AW196" s="9">
        <f t="shared" ref="AW196:AW259" si="93">AQ196</f>
        <v>1.714</v>
      </c>
      <c r="AY196" s="9">
        <f t="shared" ref="AY196:AY259" si="94">AR196*F196</f>
        <v>0.100856447679</v>
      </c>
      <c r="AZ196" s="9">
        <f t="shared" ref="AZ196:AZ259" si="95">AS196*H196</f>
        <v>0</v>
      </c>
      <c r="BA196" s="9">
        <f t="shared" ref="BA196:BA259" si="96">AT196*G196</f>
        <v>0.45470053350449996</v>
      </c>
      <c r="BB196" s="9">
        <f t="shared" ref="BB196:BB259" si="97">L196</f>
        <v>0.18674162910293091</v>
      </c>
      <c r="BC196" s="9">
        <f t="shared" ref="BC196:BC259" si="98">K196</f>
        <v>0.97170520156041218</v>
      </c>
      <c r="BE196" s="1">
        <f t="shared" ref="BE196:BE259" si="99">AW196-SUM(AY196:BC196)</f>
        <v>-3.8118468430603514E-6</v>
      </c>
    </row>
    <row r="197" spans="2:57" x14ac:dyDescent="0.2">
      <c r="B197" s="12" t="s">
        <v>252</v>
      </c>
      <c r="C197" s="20" t="s">
        <v>57</v>
      </c>
      <c r="D197" s="20">
        <v>0.24890000000000001</v>
      </c>
      <c r="E197" s="20">
        <v>0</v>
      </c>
      <c r="F197" s="20">
        <v>0.41770000000000002</v>
      </c>
      <c r="G197" s="20">
        <v>1.865</v>
      </c>
      <c r="H197" s="20">
        <v>0</v>
      </c>
      <c r="I197" s="21">
        <f t="shared" si="75"/>
        <v>2.2827000000000002</v>
      </c>
      <c r="J197" s="20">
        <v>1.74</v>
      </c>
      <c r="K197" s="20">
        <v>0.9886357855987854</v>
      </c>
      <c r="L197" s="20">
        <v>0.18999533695579901</v>
      </c>
      <c r="M197" s="20">
        <v>784258.72</v>
      </c>
      <c r="N197" s="20">
        <v>351016.96000000002</v>
      </c>
      <c r="O197" s="20">
        <v>50.287999999999997</v>
      </c>
      <c r="Q197" s="19">
        <v>105.21100300000001</v>
      </c>
      <c r="R197" s="19">
        <v>-39.686463000000003</v>
      </c>
      <c r="S197" s="19">
        <v>160</v>
      </c>
      <c r="T197" s="19">
        <v>100.757654</v>
      </c>
      <c r="U197" s="19">
        <v>111.990773</v>
      </c>
      <c r="V197" s="19">
        <v>89.243781999999996</v>
      </c>
      <c r="W197" s="19">
        <v>30.713950000000001</v>
      </c>
      <c r="Y197" t="str">
        <f t="shared" si="76"/>
        <v>NCEN_FT_High_Jetfuel_CCS_84_Herb</v>
      </c>
      <c r="Z197" t="str">
        <f t="shared" si="77"/>
        <v>Biomass_Herb</v>
      </c>
      <c r="AA197" s="18">
        <f t="shared" si="78"/>
        <v>97.523814791656477</v>
      </c>
      <c r="AB197" s="18">
        <f t="shared" si="79"/>
        <v>97.523814791656491</v>
      </c>
      <c r="AC197" s="5">
        <f t="shared" si="80"/>
        <v>0</v>
      </c>
      <c r="AD197" s="1">
        <f t="shared" si="81"/>
        <v>-3.3489736518158324</v>
      </c>
      <c r="AE197" s="1">
        <f t="shared" si="82"/>
        <v>0</v>
      </c>
      <c r="AF197" s="1">
        <f t="array" ref="AF197">_xlfn.IFS(C197="Biomass_Corn", 1/I197*S197, C197="Biomass_Agri", 1/I197*V197, C197="Biomass_Wood", 1/I197*U197, C197="Biomass_Herb", 1/I197*T197)</f>
        <v>44.139682831734348</v>
      </c>
      <c r="AG197" s="1">
        <f t="shared" si="83"/>
        <v>43.577659565695839</v>
      </c>
      <c r="AH197" s="1">
        <f t="shared" si="84"/>
        <v>19.504402303190808</v>
      </c>
      <c r="AI197" s="1">
        <f t="shared" si="85"/>
        <v>22.03005213124808</v>
      </c>
      <c r="AJ197" s="1">
        <f t="shared" si="86"/>
        <v>-3.569915414034911E-6</v>
      </c>
      <c r="AK197" s="1">
        <f t="shared" si="87"/>
        <v>-28.378632794015434</v>
      </c>
      <c r="AL197">
        <f t="shared" si="88"/>
        <v>-3.7559438133577327E-4</v>
      </c>
      <c r="AM197" s="1">
        <f t="shared" si="89"/>
        <v>-0.43310287582455032</v>
      </c>
      <c r="AN197" s="1">
        <f t="shared" si="90"/>
        <v>17.188179579288619</v>
      </c>
      <c r="AO197">
        <f t="shared" si="91"/>
        <v>-45.567187967685392</v>
      </c>
      <c r="AQ197" s="17">
        <f t="shared" si="92"/>
        <v>1.74</v>
      </c>
      <c r="AR197" s="8">
        <v>0.243968185</v>
      </c>
      <c r="AS197" s="8">
        <v>0.24942761299999999</v>
      </c>
      <c r="AT197" s="9">
        <v>0.24635668499999999</v>
      </c>
      <c r="AU197" s="17">
        <v>0.23037490999999999</v>
      </c>
      <c r="AW197" s="9">
        <f t="shared" si="93"/>
        <v>1.74</v>
      </c>
      <c r="AY197" s="9">
        <f t="shared" si="94"/>
        <v>0.1019055108745</v>
      </c>
      <c r="AZ197" s="9">
        <f t="shared" si="95"/>
        <v>0</v>
      </c>
      <c r="BA197" s="9">
        <f t="shared" si="96"/>
        <v>0.45945521752499996</v>
      </c>
      <c r="BB197" s="9">
        <f t="shared" si="97"/>
        <v>0.18999533695579901</v>
      </c>
      <c r="BC197" s="9">
        <f t="shared" si="98"/>
        <v>0.9886357855987854</v>
      </c>
      <c r="BE197" s="1">
        <f t="shared" si="99"/>
        <v>8.1490459156174921E-6</v>
      </c>
    </row>
    <row r="198" spans="2:57" x14ac:dyDescent="0.2">
      <c r="B198" s="12" t="s">
        <v>253</v>
      </c>
      <c r="C198" s="20" t="s">
        <v>57</v>
      </c>
      <c r="D198" s="20">
        <v>0.24740000000000001</v>
      </c>
      <c r="E198" s="20">
        <v>0</v>
      </c>
      <c r="F198" s="20">
        <v>0.41520000000000001</v>
      </c>
      <c r="G198" s="20">
        <v>1.8537999999999999</v>
      </c>
      <c r="H198" s="20">
        <v>0</v>
      </c>
      <c r="I198" s="21">
        <f t="shared" si="75"/>
        <v>2.2690000000000001</v>
      </c>
      <c r="J198" s="20">
        <v>1.7230000000000001</v>
      </c>
      <c r="K198" s="20">
        <v>0.97720041589235895</v>
      </c>
      <c r="L198" s="20">
        <v>0.18779769556729639</v>
      </c>
      <c r="M198" s="20">
        <v>784258.72</v>
      </c>
      <c r="N198" s="20">
        <v>351016.96000000002</v>
      </c>
      <c r="O198" s="20">
        <v>50.287999999999997</v>
      </c>
      <c r="Q198" s="19">
        <v>105.21100300000001</v>
      </c>
      <c r="R198" s="19">
        <v>-29.672038000000001</v>
      </c>
      <c r="S198" s="19">
        <v>160</v>
      </c>
      <c r="T198" s="19">
        <v>107.027154</v>
      </c>
      <c r="U198" s="19">
        <v>122.865223</v>
      </c>
      <c r="V198" s="19">
        <v>94.404420999999999</v>
      </c>
      <c r="W198" s="19">
        <v>25.118154000000001</v>
      </c>
      <c r="Y198" t="str">
        <f t="shared" si="76"/>
        <v>CEN_FT_High_Jetfuel_CCS_84_Herb</v>
      </c>
      <c r="Z198" t="str">
        <f t="shared" si="77"/>
        <v>Biomass_Herb</v>
      </c>
      <c r="AA198" s="18">
        <f t="shared" si="78"/>
        <v>97.523383085659717</v>
      </c>
      <c r="AB198" s="18">
        <f t="shared" si="79"/>
        <v>97.523383085659702</v>
      </c>
      <c r="AC198" s="5">
        <f t="shared" si="80"/>
        <v>0</v>
      </c>
      <c r="AD198" s="1">
        <f t="shared" si="81"/>
        <v>-2.7387533272807407</v>
      </c>
      <c r="AE198" s="1">
        <f t="shared" si="82"/>
        <v>0</v>
      </c>
      <c r="AF198" s="1">
        <f t="array" ref="AF198">_xlfn.IFS(C198="Biomass_Corn", 1/I198*S198, C198="Biomass_Agri", 1/I198*V198, C198="Biomass_Wood", 1/I198*U198, C198="Biomass_Herb", 1/I198*T198)</f>
        <v>47.169305420890261</v>
      </c>
      <c r="AG198" s="1">
        <f t="shared" si="83"/>
        <v>43.840777210495325</v>
      </c>
      <c r="AH198" s="1">
        <f t="shared" si="84"/>
        <v>19.622167975977813</v>
      </c>
      <c r="AI198" s="1">
        <f t="shared" si="85"/>
        <v>22.16306743058616</v>
      </c>
      <c r="AJ198" s="1">
        <f t="shared" si="86"/>
        <v>-4.5286361148528195E-6</v>
      </c>
      <c r="AK198" s="1">
        <f t="shared" si="87"/>
        <v>-32.532705162661237</v>
      </c>
      <c r="AL198">
        <f t="shared" si="88"/>
        <v>-4.7646234786568838E-4</v>
      </c>
      <c r="AM198" s="1">
        <f t="shared" si="89"/>
        <v>-0.43067901779096679</v>
      </c>
      <c r="AN198" s="1">
        <f t="shared" si="90"/>
        <v>12.778989807833351</v>
      </c>
      <c r="AO198">
        <f t="shared" si="91"/>
        <v>-45.312171432842462</v>
      </c>
      <c r="AQ198" s="17">
        <f t="shared" si="92"/>
        <v>1.7230000000000001</v>
      </c>
      <c r="AR198" s="8">
        <v>0.243968185</v>
      </c>
      <c r="AS198" s="8">
        <v>0.24942761299999999</v>
      </c>
      <c r="AT198" s="9">
        <v>0.24635668499999999</v>
      </c>
      <c r="AU198" s="17">
        <v>0.23037490999999999</v>
      </c>
      <c r="AW198" s="9">
        <f t="shared" si="93"/>
        <v>1.7230000000000001</v>
      </c>
      <c r="AY198" s="9">
        <f t="shared" si="94"/>
        <v>0.10129559041200001</v>
      </c>
      <c r="AZ198" s="9">
        <f t="shared" si="95"/>
        <v>0</v>
      </c>
      <c r="BA198" s="9">
        <f t="shared" si="96"/>
        <v>0.45669602265299997</v>
      </c>
      <c r="BB198" s="9">
        <f t="shared" si="97"/>
        <v>0.18779769556729639</v>
      </c>
      <c r="BC198" s="9">
        <f t="shared" si="98"/>
        <v>0.97720041589235895</v>
      </c>
      <c r="BE198" s="1">
        <f t="shared" si="99"/>
        <v>1.0275475344601048E-5</v>
      </c>
    </row>
    <row r="199" spans="2:57" x14ac:dyDescent="0.2">
      <c r="B199" s="12" t="s">
        <v>254</v>
      </c>
      <c r="C199" s="20" t="s">
        <v>57</v>
      </c>
      <c r="D199" s="20">
        <v>0.247</v>
      </c>
      <c r="E199" s="20">
        <v>0</v>
      </c>
      <c r="F199" s="20">
        <v>0.41449999999999998</v>
      </c>
      <c r="G199" s="20">
        <v>1.8508</v>
      </c>
      <c r="H199" s="20">
        <v>0</v>
      </c>
      <c r="I199" s="21">
        <f t="shared" si="75"/>
        <v>2.2652999999999999</v>
      </c>
      <c r="J199" s="20">
        <v>1.7170000000000001</v>
      </c>
      <c r="K199" s="20">
        <v>0.97293786051787878</v>
      </c>
      <c r="L199" s="20">
        <v>0.18697852064315931</v>
      </c>
      <c r="M199" s="20">
        <v>784258.72</v>
      </c>
      <c r="N199" s="20">
        <v>351016.96000000002</v>
      </c>
      <c r="O199" s="20">
        <v>50.287999999999997</v>
      </c>
      <c r="Q199" s="19">
        <v>105.21100300000001</v>
      </c>
      <c r="R199" s="19">
        <v>-45.510345000000001</v>
      </c>
      <c r="S199" s="19">
        <v>160</v>
      </c>
      <c r="T199" s="19">
        <v>97.593261999999996</v>
      </c>
      <c r="U199" s="19">
        <v>109.791234</v>
      </c>
      <c r="V199" s="19">
        <v>86.911507</v>
      </c>
      <c r="W199" s="19">
        <v>38.099075999999997</v>
      </c>
      <c r="Y199" t="str">
        <f t="shared" si="76"/>
        <v>SE_FT_High_Jetfuel_CCS_84_Herb</v>
      </c>
      <c r="Z199" t="str">
        <f t="shared" si="77"/>
        <v>Biomass_Herb</v>
      </c>
      <c r="AA199" s="18">
        <f t="shared" si="78"/>
        <v>99.052217090598631</v>
      </c>
      <c r="AB199" s="18">
        <f t="shared" si="79"/>
        <v>99.052217090598631</v>
      </c>
      <c r="AC199" s="5">
        <f t="shared" si="80"/>
        <v>0</v>
      </c>
      <c r="AD199" s="1">
        <f t="shared" si="81"/>
        <v>-4.1541834511985165</v>
      </c>
      <c r="AE199" s="1">
        <f t="shared" si="82"/>
        <v>0</v>
      </c>
      <c r="AF199" s="1">
        <f t="array" ref="AF199">_xlfn.IFS(C199="Biomass_Corn", 1/I199*S199, C199="Biomass_Agri", 1/I199*V199, C199="Biomass_Wood", 1/I199*U199, C199="Biomass_Herb", 1/I199*T199)</f>
        <v>43.081826689621685</v>
      </c>
      <c r="AG199" s="1">
        <f t="shared" si="83"/>
        <v>43.912384006804359</v>
      </c>
      <c r="AH199" s="1">
        <f t="shared" si="84"/>
        <v>19.65421760362586</v>
      </c>
      <c r="AI199" s="1">
        <f t="shared" si="85"/>
        <v>22.199267205226679</v>
      </c>
      <c r="AJ199" s="1">
        <f t="shared" si="86"/>
        <v>-8.182397306442599E-7</v>
      </c>
      <c r="AK199" s="1">
        <f t="shared" si="87"/>
        <v>-25.641208875658673</v>
      </c>
      <c r="AL199">
        <f t="shared" si="88"/>
        <v>-8.6087822755532423E-5</v>
      </c>
      <c r="AM199" s="1">
        <f t="shared" si="89"/>
        <v>-0.42949707062037734</v>
      </c>
      <c r="AN199" s="1">
        <f t="shared" si="90"/>
        <v>19.546522622050301</v>
      </c>
      <c r="AO199">
        <f t="shared" si="91"/>
        <v>-45.187817585531732</v>
      </c>
      <c r="AQ199" s="17">
        <f t="shared" si="92"/>
        <v>1.7170000000000001</v>
      </c>
      <c r="AR199" s="8">
        <v>0.243968185</v>
      </c>
      <c r="AS199" s="8">
        <v>0.24942761299999999</v>
      </c>
      <c r="AT199" s="9">
        <v>0.24635668499999999</v>
      </c>
      <c r="AU199" s="17">
        <v>0.23037490999999999</v>
      </c>
      <c r="AW199" s="9">
        <f t="shared" si="93"/>
        <v>1.7170000000000001</v>
      </c>
      <c r="AY199" s="9">
        <f t="shared" si="94"/>
        <v>0.1011248126825</v>
      </c>
      <c r="AZ199" s="9">
        <f t="shared" si="95"/>
        <v>0</v>
      </c>
      <c r="BA199" s="9">
        <f t="shared" si="96"/>
        <v>0.45595695259800001</v>
      </c>
      <c r="BB199" s="9">
        <f t="shared" si="97"/>
        <v>0.18697852064315931</v>
      </c>
      <c r="BC199" s="9">
        <f t="shared" si="98"/>
        <v>0.97293786051787878</v>
      </c>
      <c r="BE199" s="1">
        <f t="shared" si="99"/>
        <v>1.8535584618284418E-6</v>
      </c>
    </row>
    <row r="200" spans="2:57" x14ac:dyDescent="0.2">
      <c r="B200" s="12" t="s">
        <v>255</v>
      </c>
      <c r="C200" s="20" t="s">
        <v>57</v>
      </c>
      <c r="D200" s="20">
        <v>0.24829999999999999</v>
      </c>
      <c r="E200" s="20">
        <v>0</v>
      </c>
      <c r="F200" s="20">
        <v>0.4168</v>
      </c>
      <c r="G200" s="20">
        <v>1.861</v>
      </c>
      <c r="H200" s="20">
        <v>0</v>
      </c>
      <c r="I200" s="21">
        <f t="shared" si="75"/>
        <v>2.2778</v>
      </c>
      <c r="J200" s="20">
        <v>1.736</v>
      </c>
      <c r="K200" s="20">
        <v>0.98630757843281203</v>
      </c>
      <c r="L200" s="20">
        <v>0.18954790372361621</v>
      </c>
      <c r="M200" s="20">
        <v>784258.72</v>
      </c>
      <c r="N200" s="20">
        <v>351016.96000000002</v>
      </c>
      <c r="O200" s="20">
        <v>50.287999999999997</v>
      </c>
      <c r="Q200" s="19">
        <v>105.21100300000001</v>
      </c>
      <c r="R200" s="19">
        <v>-50.334515000000003</v>
      </c>
      <c r="S200" s="19">
        <v>160</v>
      </c>
      <c r="T200" s="19">
        <v>98.707491000000005</v>
      </c>
      <c r="U200" s="19">
        <v>106.53195700000001</v>
      </c>
      <c r="V200" s="19">
        <v>87.469328000000004</v>
      </c>
      <c r="W200" s="19">
        <v>39.29871</v>
      </c>
      <c r="Y200" t="str">
        <f t="shared" si="76"/>
        <v>MIDAT_FT_High_Jetfuel_CCS_84_Herb</v>
      </c>
      <c r="Z200" t="str">
        <f t="shared" si="77"/>
        <v>Biomass_Herb</v>
      </c>
      <c r="AA200" s="18">
        <f t="shared" si="78"/>
        <v>100.58439178855946</v>
      </c>
      <c r="AB200" s="18">
        <f t="shared" si="79"/>
        <v>100.58439178855946</v>
      </c>
      <c r="AC200" s="5">
        <f t="shared" si="80"/>
        <v>0</v>
      </c>
      <c r="AD200" s="1">
        <f t="shared" si="81"/>
        <v>-4.2839009978927036</v>
      </c>
      <c r="AE200" s="1">
        <f t="shared" si="82"/>
        <v>0</v>
      </c>
      <c r="AF200" s="1">
        <f t="array" ref="AF200">_xlfn.IFS(C200="Biomass_Corn", 1/I200*S200, C200="Biomass_Agri", 1/I200*V200, C200="Biomass_Wood", 1/I200*U200, C200="Biomass_Herb", 1/I200*T200)</f>
        <v>43.334573272455877</v>
      </c>
      <c r="AG200" s="1">
        <f t="shared" si="83"/>
        <v>43.671403762671829</v>
      </c>
      <c r="AH200" s="1">
        <f t="shared" si="84"/>
        <v>19.546360144654344</v>
      </c>
      <c r="AI200" s="1">
        <f t="shared" si="85"/>
        <v>22.077443146896126</v>
      </c>
      <c r="AJ200" s="1">
        <f t="shared" si="86"/>
        <v>4.9224907490802776E-6</v>
      </c>
      <c r="AK200" s="1">
        <f t="shared" si="87"/>
        <v>-23.762005440414992</v>
      </c>
      <c r="AL200">
        <f t="shared" si="88"/>
        <v>5.1790018896895741E-4</v>
      </c>
      <c r="AM200" s="1">
        <f t="shared" si="89"/>
        <v>-0.43300393624698558</v>
      </c>
      <c r="AN200" s="1">
        <f t="shared" si="90"/>
        <v>21.795290895267389</v>
      </c>
      <c r="AO200">
        <f t="shared" si="91"/>
        <v>-45.556778435493413</v>
      </c>
      <c r="AQ200" s="17">
        <f t="shared" si="92"/>
        <v>1.736</v>
      </c>
      <c r="AR200" s="8">
        <v>0.243968185</v>
      </c>
      <c r="AS200" s="8">
        <v>0.24942761299999999</v>
      </c>
      <c r="AT200" s="9">
        <v>0.24635668499999999</v>
      </c>
      <c r="AU200" s="17">
        <v>0.23037490999999999</v>
      </c>
      <c r="AW200" s="9">
        <f t="shared" si="93"/>
        <v>1.736</v>
      </c>
      <c r="AY200" s="9">
        <f t="shared" si="94"/>
        <v>0.10168593950800001</v>
      </c>
      <c r="AZ200" s="9">
        <f t="shared" si="95"/>
        <v>0</v>
      </c>
      <c r="BA200" s="9">
        <f t="shared" si="96"/>
        <v>0.458469790785</v>
      </c>
      <c r="BB200" s="9">
        <f t="shared" si="97"/>
        <v>0.18954790372361621</v>
      </c>
      <c r="BC200" s="9">
        <f t="shared" si="98"/>
        <v>0.98630757843281203</v>
      </c>
      <c r="BE200" s="1">
        <f t="shared" si="99"/>
        <v>-1.1212449428255056E-5</v>
      </c>
    </row>
    <row r="201" spans="2:57" x14ac:dyDescent="0.2">
      <c r="B201" s="12" t="s">
        <v>256</v>
      </c>
      <c r="C201" s="20" t="s">
        <v>57</v>
      </c>
      <c r="D201" s="20">
        <v>0.24929999999999999</v>
      </c>
      <c r="E201" s="20">
        <v>0</v>
      </c>
      <c r="F201" s="20">
        <v>0.41839999999999999</v>
      </c>
      <c r="G201" s="20">
        <v>1.8681000000000001</v>
      </c>
      <c r="H201" s="20">
        <v>0</v>
      </c>
      <c r="I201" s="21">
        <f t="shared" si="75"/>
        <v>2.2865000000000002</v>
      </c>
      <c r="J201" s="20">
        <v>1.7450000000000001</v>
      </c>
      <c r="K201" s="20">
        <v>0.99205954097326565</v>
      </c>
      <c r="L201" s="20">
        <v>0.19065331187993609</v>
      </c>
      <c r="M201" s="20">
        <v>784258.72</v>
      </c>
      <c r="N201" s="20">
        <v>351016.96000000002</v>
      </c>
      <c r="O201" s="20">
        <v>50.287999999999997</v>
      </c>
      <c r="Q201" s="19">
        <v>105.21100300000001</v>
      </c>
      <c r="R201" s="19">
        <v>-58.833413</v>
      </c>
      <c r="S201" s="19">
        <v>160</v>
      </c>
      <c r="T201" s="19">
        <v>99.493746999999999</v>
      </c>
      <c r="U201" s="19">
        <v>105.21395800000001</v>
      </c>
      <c r="V201" s="19">
        <v>89.700445000000002</v>
      </c>
      <c r="W201" s="19">
        <v>47.365060999999997</v>
      </c>
      <c r="Y201" t="str">
        <f t="shared" si="76"/>
        <v>NE_FT_High_Jetfuel_CCS_84_Herb</v>
      </c>
      <c r="Z201" t="str">
        <f t="shared" si="77"/>
        <v>Biomass_Herb</v>
      </c>
      <c r="AA201" s="18">
        <f t="shared" si="78"/>
        <v>103.19815340902555</v>
      </c>
      <c r="AB201" s="18">
        <f t="shared" si="79"/>
        <v>103.19815340902556</v>
      </c>
      <c r="AC201" s="5">
        <f t="shared" si="80"/>
        <v>0</v>
      </c>
      <c r="AD201" s="1">
        <f t="shared" si="81"/>
        <v>-5.164272778176251</v>
      </c>
      <c r="AE201" s="1">
        <f t="shared" si="82"/>
        <v>0</v>
      </c>
      <c r="AF201" s="1">
        <f t="array" ref="AF201">_xlfn.IFS(C201="Biomass_Corn", 1/I201*S201, C201="Biomass_Agri", 1/I201*V201, C201="Biomass_Wood", 1/I201*U201, C201="Biomass_Herb", 1/I201*T201)</f>
        <v>43.513556527443683</v>
      </c>
      <c r="AG201" s="1">
        <f t="shared" si="83"/>
        <v>43.505236602061615</v>
      </c>
      <c r="AH201" s="1">
        <f t="shared" si="84"/>
        <v>19.471987376992633</v>
      </c>
      <c r="AI201" s="1">
        <f t="shared" si="85"/>
        <v>21.993439755084186</v>
      </c>
      <c r="AJ201" s="1">
        <f t="shared" si="86"/>
        <v>3.5270963050389471E-6</v>
      </c>
      <c r="AK201" s="1">
        <f t="shared" si="87"/>
        <v>-20.122165163720236</v>
      </c>
      <c r="AL201">
        <f t="shared" si="88"/>
        <v>3.7108933993074161E-4</v>
      </c>
      <c r="AM201" s="1">
        <f t="shared" si="89"/>
        <v>-0.43387337689375199</v>
      </c>
      <c r="AN201" s="1">
        <f t="shared" si="90"/>
        <v>25.52645908360838</v>
      </c>
      <c r="AO201">
        <f t="shared" si="91"/>
        <v>-45.648253157988677</v>
      </c>
      <c r="AQ201" s="17">
        <f t="shared" si="92"/>
        <v>1.7450000000000001</v>
      </c>
      <c r="AR201" s="8">
        <v>0.243968185</v>
      </c>
      <c r="AS201" s="8">
        <v>0.24942761299999999</v>
      </c>
      <c r="AT201" s="9">
        <v>0.24635668499999999</v>
      </c>
      <c r="AU201" s="17">
        <v>0.23037490999999999</v>
      </c>
      <c r="AW201" s="9">
        <f t="shared" si="93"/>
        <v>1.7450000000000001</v>
      </c>
      <c r="AY201" s="9">
        <f t="shared" si="94"/>
        <v>0.102076288604</v>
      </c>
      <c r="AZ201" s="9">
        <f t="shared" si="95"/>
        <v>0</v>
      </c>
      <c r="BA201" s="9">
        <f t="shared" si="96"/>
        <v>0.4602189232485</v>
      </c>
      <c r="BB201" s="9">
        <f t="shared" si="97"/>
        <v>0.19065331187993609</v>
      </c>
      <c r="BC201" s="9">
        <f t="shared" si="98"/>
        <v>0.99205954097326565</v>
      </c>
      <c r="BE201" s="1">
        <f t="shared" si="99"/>
        <v>-8.0647057014715529E-6</v>
      </c>
    </row>
    <row r="202" spans="2:57" x14ac:dyDescent="0.2">
      <c r="B202" s="12" t="s">
        <v>257</v>
      </c>
      <c r="C202" s="20" t="s">
        <v>67</v>
      </c>
      <c r="D202" s="20">
        <v>0.26269999999999999</v>
      </c>
      <c r="E202" s="20">
        <v>0</v>
      </c>
      <c r="F202" s="20">
        <v>0.44090000000000001</v>
      </c>
      <c r="G202" s="20">
        <v>1.9686999999999999</v>
      </c>
      <c r="H202" s="20">
        <v>0</v>
      </c>
      <c r="I202" s="21">
        <f t="shared" si="75"/>
        <v>2.4095999999999997</v>
      </c>
      <c r="J202" s="20">
        <v>1.843</v>
      </c>
      <c r="K202" s="20">
        <v>1.0488438683311061</v>
      </c>
      <c r="L202" s="20">
        <v>0.20156608437645959</v>
      </c>
      <c r="M202" s="20">
        <v>784258.72</v>
      </c>
      <c r="N202" s="20">
        <v>351016.96000000002</v>
      </c>
      <c r="O202" s="20">
        <v>50.287999999999997</v>
      </c>
      <c r="Q202" s="19">
        <v>105.21100300000001</v>
      </c>
      <c r="R202" s="19">
        <v>-6.4122130000000004</v>
      </c>
      <c r="S202" s="19">
        <v>160</v>
      </c>
      <c r="T202" s="19">
        <v>313632.96735400002</v>
      </c>
      <c r="U202" s="19">
        <v>154.036981</v>
      </c>
      <c r="V202" s="19">
        <v>132.85973799999999</v>
      </c>
      <c r="W202" s="19">
        <v>36.488697999999999</v>
      </c>
      <c r="Y202" t="str">
        <f t="shared" si="76"/>
        <v>CA_FT_High_Jetfuel_CCS_84_Wood</v>
      </c>
      <c r="Z202" t="str">
        <f t="shared" si="77"/>
        <v>Biomass_Wood</v>
      </c>
      <c r="AA202" s="18">
        <f t="shared" si="78"/>
        <v>97.572209369365652</v>
      </c>
      <c r="AB202" s="18">
        <f t="shared" si="79"/>
        <v>97.572209369365652</v>
      </c>
      <c r="AC202" s="5">
        <f t="shared" si="80"/>
        <v>0</v>
      </c>
      <c r="AD202" s="1">
        <f t="shared" si="81"/>
        <v>-3.9780797495849933</v>
      </c>
      <c r="AE202" s="1">
        <f t="shared" si="82"/>
        <v>0</v>
      </c>
      <c r="AF202" s="1">
        <f t="array" ref="AF202">_xlfn.IFS(C202="Biomass_Corn", 1/I202*S202, C202="Biomass_Agri", 1/I202*V202, C202="Biomass_Wood", 1/I202*U202, C202="Biomass_Herb", 1/I202*T202)</f>
        <v>63.926369936918995</v>
      </c>
      <c r="AG202" s="1">
        <f t="shared" si="83"/>
        <v>41.282670771337109</v>
      </c>
      <c r="AH202" s="1">
        <f t="shared" si="84"/>
        <v>18.477215777512313</v>
      </c>
      <c r="AI202" s="1">
        <f t="shared" si="85"/>
        <v>20.869853917662684</v>
      </c>
      <c r="AJ202" s="1">
        <f t="shared" si="86"/>
        <v>-9.158684609184563E-6</v>
      </c>
      <c r="AK202" s="1">
        <f t="shared" si="87"/>
        <v>-43.004857690086581</v>
      </c>
      <c r="AL202">
        <f t="shared" si="88"/>
        <v>-9.6359439389297088E-4</v>
      </c>
      <c r="AM202" s="1">
        <f t="shared" si="89"/>
        <v>-0.43528632847673493</v>
      </c>
      <c r="AN202" s="1">
        <f t="shared" si="90"/>
        <v>2.7910899267442764</v>
      </c>
      <c r="AO202">
        <f t="shared" si="91"/>
        <v>-45.796911211224746</v>
      </c>
      <c r="AQ202" s="17">
        <f t="shared" si="92"/>
        <v>1.843</v>
      </c>
      <c r="AR202" s="8">
        <v>0.243968185</v>
      </c>
      <c r="AS202" s="8">
        <v>0.24942761299999999</v>
      </c>
      <c r="AT202" s="9">
        <v>0.24635668499999999</v>
      </c>
      <c r="AU202" s="17">
        <v>0.23037490999999999</v>
      </c>
      <c r="AW202" s="9">
        <f t="shared" si="93"/>
        <v>1.843</v>
      </c>
      <c r="AY202" s="9">
        <f t="shared" si="94"/>
        <v>0.1075655727665</v>
      </c>
      <c r="AZ202" s="9">
        <f t="shared" si="95"/>
        <v>0</v>
      </c>
      <c r="BA202" s="9">
        <f t="shared" si="96"/>
        <v>0.48500240575949993</v>
      </c>
      <c r="BB202" s="9">
        <f t="shared" si="97"/>
        <v>0.20156608437645959</v>
      </c>
      <c r="BC202" s="9">
        <f t="shared" si="98"/>
        <v>1.0488438683311061</v>
      </c>
      <c r="BE202" s="1">
        <f t="shared" si="99"/>
        <v>2.2068766434291121E-5</v>
      </c>
    </row>
    <row r="203" spans="2:57" x14ac:dyDescent="0.2">
      <c r="B203" s="12" t="s">
        <v>258</v>
      </c>
      <c r="C203" s="20" t="s">
        <v>67</v>
      </c>
      <c r="D203" s="20">
        <v>0.26219999999999999</v>
      </c>
      <c r="E203" s="20">
        <v>0</v>
      </c>
      <c r="F203" s="20">
        <v>0.44</v>
      </c>
      <c r="G203" s="20">
        <v>1.9646999999999999</v>
      </c>
      <c r="H203" s="20">
        <v>0</v>
      </c>
      <c r="I203" s="21">
        <f t="shared" si="75"/>
        <v>2.4047000000000001</v>
      </c>
      <c r="J203" s="20">
        <v>1.8180000000000001</v>
      </c>
      <c r="K203" s="20">
        <v>1.0289008611651329</v>
      </c>
      <c r="L203" s="20">
        <v>0.19773345114427679</v>
      </c>
      <c r="M203" s="20">
        <v>784258.72</v>
      </c>
      <c r="N203" s="20">
        <v>351016.96000000002</v>
      </c>
      <c r="O203" s="20">
        <v>50.287999999999997</v>
      </c>
      <c r="Q203" s="19">
        <v>105.21100300000001</v>
      </c>
      <c r="R203" s="19">
        <v>-7.3796590000000002</v>
      </c>
      <c r="S203" s="19">
        <v>160</v>
      </c>
      <c r="T203" s="19">
        <v>130.996602</v>
      </c>
      <c r="U203" s="19">
        <v>149.05667199999999</v>
      </c>
      <c r="V203" s="19">
        <v>112.26938</v>
      </c>
      <c r="W203" s="19">
        <v>26.787863000000002</v>
      </c>
      <c r="Y203" t="str">
        <f t="shared" si="76"/>
        <v>NW_FT_High_Jetfuel_CCS_84_Wood</v>
      </c>
      <c r="Z203" t="str">
        <f t="shared" si="77"/>
        <v>Biomass_Wood</v>
      </c>
      <c r="AA203" s="18">
        <f t="shared" si="78"/>
        <v>97.999450253361488</v>
      </c>
      <c r="AB203" s="18">
        <f t="shared" si="79"/>
        <v>97.999450253361474</v>
      </c>
      <c r="AC203" s="5">
        <f t="shared" si="80"/>
        <v>0</v>
      </c>
      <c r="AD203" s="1">
        <f t="shared" si="81"/>
        <v>-2.9208540269472283</v>
      </c>
      <c r="AE203" s="1">
        <f t="shared" si="82"/>
        <v>0</v>
      </c>
      <c r="AF203" s="1">
        <f t="array" ref="AF203">_xlfn.IFS(C203="Biomass_Corn", 1/I203*S203, C203="Biomass_Agri", 1/I203*V203, C203="Biomass_Wood", 1/I203*U203, C203="Biomass_Herb", 1/I203*T203)</f>
        <v>61.985558281698339</v>
      </c>
      <c r="AG203" s="1">
        <f t="shared" si="83"/>
        <v>41.366791487758931</v>
      </c>
      <c r="AH203" s="1">
        <f t="shared" si="84"/>
        <v>18.514866360666055</v>
      </c>
      <c r="AI203" s="1">
        <f t="shared" si="85"/>
        <v>20.912379922651471</v>
      </c>
      <c r="AJ203" s="1">
        <f t="shared" si="86"/>
        <v>-1.1258248806165313E-6</v>
      </c>
      <c r="AK203" s="1">
        <f t="shared" si="87"/>
        <v>-41.859173323301185</v>
      </c>
      <c r="AL203">
        <f t="shared" si="88"/>
        <v>-1.1844916489202052E-4</v>
      </c>
      <c r="AM203" s="1">
        <f t="shared" si="89"/>
        <v>-0.42787190436903699</v>
      </c>
      <c r="AN203" s="1">
        <f t="shared" si="90"/>
        <v>3.1575404417203905</v>
      </c>
      <c r="AO203">
        <f t="shared" si="91"/>
        <v>-45.016832214186465</v>
      </c>
      <c r="AQ203" s="17">
        <f t="shared" si="92"/>
        <v>1.8180000000000001</v>
      </c>
      <c r="AR203" s="8">
        <v>0.243968185</v>
      </c>
      <c r="AS203" s="8">
        <v>0.24942761299999999</v>
      </c>
      <c r="AT203" s="9">
        <v>0.24635668499999999</v>
      </c>
      <c r="AU203" s="17">
        <v>0.23037490999999999</v>
      </c>
      <c r="AW203" s="9">
        <f t="shared" si="93"/>
        <v>1.8180000000000001</v>
      </c>
      <c r="AY203" s="9">
        <f t="shared" si="94"/>
        <v>0.1073460014</v>
      </c>
      <c r="AZ203" s="9">
        <f t="shared" si="95"/>
        <v>0</v>
      </c>
      <c r="BA203" s="9">
        <f t="shared" si="96"/>
        <v>0.48401697901949997</v>
      </c>
      <c r="BB203" s="9">
        <f t="shared" si="97"/>
        <v>0.19773345114427679</v>
      </c>
      <c r="BC203" s="9">
        <f t="shared" si="98"/>
        <v>1.0289008611651329</v>
      </c>
      <c r="BE203" s="1">
        <f t="shared" si="99"/>
        <v>2.7072710904185726E-6</v>
      </c>
    </row>
    <row r="204" spans="2:57" x14ac:dyDescent="0.2">
      <c r="B204" s="12" t="s">
        <v>259</v>
      </c>
      <c r="C204" s="20" t="s">
        <v>67</v>
      </c>
      <c r="D204" s="20">
        <v>0.25969999999999999</v>
      </c>
      <c r="E204" s="20">
        <v>0</v>
      </c>
      <c r="F204" s="20">
        <v>0.43590000000000001</v>
      </c>
      <c r="G204" s="20">
        <v>1.9463999999999999</v>
      </c>
      <c r="H204" s="20">
        <v>0</v>
      </c>
      <c r="I204" s="21">
        <f t="shared" si="75"/>
        <v>2.3822999999999999</v>
      </c>
      <c r="J204" s="20">
        <v>1.798</v>
      </c>
      <c r="K204" s="20">
        <v>1.016746328918253</v>
      </c>
      <c r="L204" s="20">
        <v>0.19539760159945441</v>
      </c>
      <c r="M204" s="20">
        <v>784258.72</v>
      </c>
      <c r="N204" s="20">
        <v>351016.96000000002</v>
      </c>
      <c r="O204" s="20">
        <v>50.287999999999997</v>
      </c>
      <c r="Q204" s="19">
        <v>105.21100300000001</v>
      </c>
      <c r="R204" s="19">
        <v>-14.567418</v>
      </c>
      <c r="S204" s="19">
        <v>160</v>
      </c>
      <c r="T204" s="19">
        <v>120.282189</v>
      </c>
      <c r="U204" s="19">
        <v>137.475031</v>
      </c>
      <c r="V204" s="19">
        <v>107.559866</v>
      </c>
      <c r="W204" s="19">
        <v>27.957547000000002</v>
      </c>
      <c r="Y204" t="str">
        <f t="shared" si="76"/>
        <v>SW_FT_High_Jetfuel_CCS_84_Wood</v>
      </c>
      <c r="Z204" t="str">
        <f t="shared" si="77"/>
        <v>Biomass_Wood</v>
      </c>
      <c r="AA204" s="18">
        <f t="shared" si="78"/>
        <v>97.526830794720539</v>
      </c>
      <c r="AB204" s="18">
        <f t="shared" si="79"/>
        <v>97.526830794720553</v>
      </c>
      <c r="AC204" s="5">
        <f t="shared" si="80"/>
        <v>0</v>
      </c>
      <c r="AD204" s="1">
        <f t="shared" si="81"/>
        <v>-3.0477164739537423</v>
      </c>
      <c r="AE204" s="1">
        <f t="shared" si="82"/>
        <v>0</v>
      </c>
      <c r="AF204" s="1">
        <f t="array" ref="AF204">_xlfn.IFS(C204="Biomass_Corn", 1/I204*S204, C204="Biomass_Agri", 1/I204*V204, C204="Biomass_Wood", 1/I204*U204, C204="Biomass_Herb", 1/I204*T204)</f>
        <v>57.706850942366621</v>
      </c>
      <c r="AG204" s="1">
        <f t="shared" si="83"/>
        <v>41.755750111494734</v>
      </c>
      <c r="AH204" s="1">
        <f t="shared" si="84"/>
        <v>18.688955688827463</v>
      </c>
      <c r="AI204" s="1">
        <f t="shared" si="85"/>
        <v>21.109012299038746</v>
      </c>
      <c r="AJ204" s="1">
        <f t="shared" si="86"/>
        <v>-7.0770129396743735E-7</v>
      </c>
      <c r="AK204" s="1">
        <f t="shared" si="87"/>
        <v>-38.685947315090303</v>
      </c>
      <c r="AL204">
        <f t="shared" si="88"/>
        <v>-7.4457962962711939E-5</v>
      </c>
      <c r="AM204" s="1">
        <f t="shared" si="89"/>
        <v>-0.42679260163499377</v>
      </c>
      <c r="AN204" s="1">
        <f t="shared" si="90"/>
        <v>6.2172559179438691</v>
      </c>
      <c r="AO204">
        <f t="shared" si="91"/>
        <v>-44.903277690997136</v>
      </c>
      <c r="AQ204" s="17">
        <f t="shared" si="92"/>
        <v>1.798</v>
      </c>
      <c r="AR204" s="8">
        <v>0.243968185</v>
      </c>
      <c r="AS204" s="8">
        <v>0.24942761299999999</v>
      </c>
      <c r="AT204" s="9">
        <v>0.24635668499999999</v>
      </c>
      <c r="AU204" s="17">
        <v>0.23037490999999999</v>
      </c>
      <c r="AW204" s="9">
        <f t="shared" si="93"/>
        <v>1.798</v>
      </c>
      <c r="AY204" s="9">
        <f t="shared" si="94"/>
        <v>0.10634573184150001</v>
      </c>
      <c r="AZ204" s="9">
        <f t="shared" si="95"/>
        <v>0</v>
      </c>
      <c r="BA204" s="9">
        <f t="shared" si="96"/>
        <v>0.47950865168399998</v>
      </c>
      <c r="BB204" s="9">
        <f t="shared" si="97"/>
        <v>0.19539760159945441</v>
      </c>
      <c r="BC204" s="9">
        <f t="shared" si="98"/>
        <v>1.016746328918253</v>
      </c>
      <c r="BE204" s="1">
        <f t="shared" si="99"/>
        <v>1.6859567926186259E-6</v>
      </c>
    </row>
    <row r="205" spans="2:57" x14ac:dyDescent="0.2">
      <c r="B205" s="12" t="s">
        <v>260</v>
      </c>
      <c r="C205" s="20" t="s">
        <v>67</v>
      </c>
      <c r="D205" s="20">
        <v>0.25769999999999998</v>
      </c>
      <c r="E205" s="20">
        <v>0</v>
      </c>
      <c r="F205" s="20">
        <v>0.4325</v>
      </c>
      <c r="G205" s="20">
        <v>1.9311</v>
      </c>
      <c r="H205" s="20">
        <v>0</v>
      </c>
      <c r="I205" s="21">
        <f t="shared" si="75"/>
        <v>2.3635999999999999</v>
      </c>
      <c r="J205" s="20">
        <v>1.821</v>
      </c>
      <c r="K205" s="20">
        <v>1.0398899520458531</v>
      </c>
      <c r="L205" s="20">
        <v>0.199845326978769</v>
      </c>
      <c r="M205" s="20">
        <v>784258.72</v>
      </c>
      <c r="N205" s="20">
        <v>351016.96000000002</v>
      </c>
      <c r="O205" s="20">
        <v>50.287999999999997</v>
      </c>
      <c r="Q205" s="19">
        <v>105.21100300000001</v>
      </c>
      <c r="R205" s="19">
        <v>-19.477884</v>
      </c>
      <c r="S205" s="19">
        <v>160</v>
      </c>
      <c r="T205" s="19">
        <v>132.95547999999999</v>
      </c>
      <c r="U205" s="19">
        <v>152.57709199999999</v>
      </c>
      <c r="V205" s="19">
        <v>106.67488899999999</v>
      </c>
      <c r="W205" s="19">
        <v>20.174973000000001</v>
      </c>
      <c r="Y205" t="str">
        <f t="shared" si="76"/>
        <v>TX_FT_High_Jetfuel_CCS_84_Wood</v>
      </c>
      <c r="Z205" t="str">
        <f t="shared" si="77"/>
        <v>Biomass_Wood</v>
      </c>
      <c r="AA205" s="18">
        <f t="shared" si="78"/>
        <v>106.83256857096386</v>
      </c>
      <c r="AB205" s="18">
        <f t="shared" si="79"/>
        <v>106.83256857096387</v>
      </c>
      <c r="AC205" s="5">
        <f t="shared" si="80"/>
        <v>0</v>
      </c>
      <c r="AD205" s="1">
        <f t="shared" si="81"/>
        <v>-2.1996490701049249</v>
      </c>
      <c r="AE205" s="1">
        <f t="shared" si="82"/>
        <v>0</v>
      </c>
      <c r="AF205" s="1">
        <f t="array" ref="AF205">_xlfn.IFS(C205="Biomass_Corn", 1/I205*S205, C205="Biomass_Agri", 1/I205*V205, C205="Biomass_Wood", 1/I205*U205, C205="Biomass_Herb", 1/I205*T205)</f>
        <v>64.552839735995931</v>
      </c>
      <c r="AG205" s="1">
        <f t="shared" si="83"/>
        <v>42.086107416912292</v>
      </c>
      <c r="AH205" s="1">
        <f t="shared" si="84"/>
        <v>18.836816355345093</v>
      </c>
      <c r="AI205" s="1">
        <f t="shared" si="85"/>
        <v>21.276019631071247</v>
      </c>
      <c r="AJ205" s="1">
        <f t="shared" si="86"/>
        <v>-3.844372727116826E-6</v>
      </c>
      <c r="AK205" s="1">
        <f t="shared" si="87"/>
        <v>-37.719161027945269</v>
      </c>
      <c r="AL205">
        <f t="shared" si="88"/>
        <v>-4.044703105258066E-4</v>
      </c>
      <c r="AM205" s="1">
        <f t="shared" si="89"/>
        <v>-0.43996405424150914</v>
      </c>
      <c r="AN205" s="1">
        <f t="shared" si="90"/>
        <v>8.5694939324397907</v>
      </c>
      <c r="AO205">
        <f t="shared" si="91"/>
        <v>-46.28905943069558</v>
      </c>
      <c r="AQ205" s="17">
        <f t="shared" si="92"/>
        <v>1.821</v>
      </c>
      <c r="AR205" s="8">
        <v>0.243968185</v>
      </c>
      <c r="AS205" s="8">
        <v>0.24942761299999999</v>
      </c>
      <c r="AT205" s="9">
        <v>0.24635668499999999</v>
      </c>
      <c r="AU205" s="17">
        <v>0.23037490999999999</v>
      </c>
      <c r="AW205" s="9">
        <f t="shared" si="93"/>
        <v>1.821</v>
      </c>
      <c r="AY205" s="9">
        <f t="shared" si="94"/>
        <v>0.1055162400125</v>
      </c>
      <c r="AZ205" s="9">
        <f t="shared" si="95"/>
        <v>0</v>
      </c>
      <c r="BA205" s="9">
        <f t="shared" si="96"/>
        <v>0.47573939440349999</v>
      </c>
      <c r="BB205" s="9">
        <f t="shared" si="97"/>
        <v>0.199845326978769</v>
      </c>
      <c r="BC205" s="9">
        <f t="shared" si="98"/>
        <v>1.0398899520458531</v>
      </c>
      <c r="BE205" s="1">
        <f t="shared" si="99"/>
        <v>9.0865593778133302E-6</v>
      </c>
    </row>
    <row r="206" spans="2:57" x14ac:dyDescent="0.2">
      <c r="B206" s="12" t="s">
        <v>261</v>
      </c>
      <c r="C206" s="20" t="s">
        <v>67</v>
      </c>
      <c r="D206" s="20">
        <v>0.2586</v>
      </c>
      <c r="E206" s="20">
        <v>0</v>
      </c>
      <c r="F206" s="20">
        <v>0.43409999999999999</v>
      </c>
      <c r="G206" s="20">
        <v>1.9381999999999999</v>
      </c>
      <c r="H206" s="20">
        <v>0</v>
      </c>
      <c r="I206" s="21">
        <f t="shared" si="75"/>
        <v>2.3723000000000001</v>
      </c>
      <c r="J206" s="20">
        <v>1.802</v>
      </c>
      <c r="K206" s="20">
        <v>1.0221555145863059</v>
      </c>
      <c r="L206" s="20">
        <v>0.1964371351350889</v>
      </c>
      <c r="M206" s="20">
        <v>784258.72</v>
      </c>
      <c r="N206" s="20">
        <v>351016.96000000002</v>
      </c>
      <c r="O206" s="20">
        <v>50.287999999999997</v>
      </c>
      <c r="Q206" s="19">
        <v>105.21100300000001</v>
      </c>
      <c r="R206" s="19">
        <v>-39.686463000000003</v>
      </c>
      <c r="S206" s="19">
        <v>160</v>
      </c>
      <c r="T206" s="19">
        <v>100.757654</v>
      </c>
      <c r="U206" s="19">
        <v>111.990773</v>
      </c>
      <c r="V206" s="19">
        <v>89.243781999999996</v>
      </c>
      <c r="W206" s="19">
        <v>30.713950000000001</v>
      </c>
      <c r="Y206" t="str">
        <f t="shared" si="76"/>
        <v>NCEN_FT_High_Jetfuel_CCS_84_Wood</v>
      </c>
      <c r="Z206" t="str">
        <f t="shared" si="77"/>
        <v>Biomass_Wood</v>
      </c>
      <c r="AA206" s="18">
        <f t="shared" si="78"/>
        <v>97.523926599956084</v>
      </c>
      <c r="AB206" s="18">
        <f t="shared" si="79"/>
        <v>97.52392659995607</v>
      </c>
      <c r="AC206" s="5">
        <f t="shared" si="80"/>
        <v>0</v>
      </c>
      <c r="AD206" s="1">
        <f t="shared" si="81"/>
        <v>-3.3480704253256333</v>
      </c>
      <c r="AE206" s="1">
        <f t="shared" si="82"/>
        <v>0</v>
      </c>
      <c r="AF206" s="1">
        <f t="array" ref="AF206">_xlfn.IFS(C206="Biomass_Corn", 1/I206*S206, C206="Biomass_Agri", 1/I206*V206, C206="Biomass_Wood", 1/I206*U206, C206="Biomass_Herb", 1/I206*T206)</f>
        <v>47.20767735952451</v>
      </c>
      <c r="AG206" s="1">
        <f t="shared" si="83"/>
        <v>41.931763896056104</v>
      </c>
      <c r="AH206" s="1">
        <f t="shared" si="84"/>
        <v>18.767735588877315</v>
      </c>
      <c r="AI206" s="1">
        <f t="shared" si="85"/>
        <v>21.197993508409557</v>
      </c>
      <c r="AJ206" s="1">
        <f t="shared" si="86"/>
        <v>-5.1571483814285574E-6</v>
      </c>
      <c r="AK206" s="1">
        <f t="shared" si="87"/>
        <v>-28.232630738831929</v>
      </c>
      <c r="AL206">
        <f t="shared" si="88"/>
        <v>-5.4258875382992512E-4</v>
      </c>
      <c r="AM206" s="1">
        <f t="shared" si="89"/>
        <v>-0.43087625885824354</v>
      </c>
      <c r="AN206" s="1">
        <f t="shared" si="90"/>
        <v>17.099750035777681</v>
      </c>
      <c r="AO206">
        <f t="shared" si="91"/>
        <v>-45.332923363363442</v>
      </c>
      <c r="AQ206" s="17">
        <f t="shared" si="92"/>
        <v>1.802</v>
      </c>
      <c r="AR206" s="8">
        <v>0.243968185</v>
      </c>
      <c r="AS206" s="8">
        <v>0.24942761299999999</v>
      </c>
      <c r="AT206" s="9">
        <v>0.24635668499999999</v>
      </c>
      <c r="AU206" s="17">
        <v>0.23037490999999999</v>
      </c>
      <c r="AW206" s="9">
        <f t="shared" si="93"/>
        <v>1.802</v>
      </c>
      <c r="AY206" s="9">
        <f t="shared" si="94"/>
        <v>0.1059065891085</v>
      </c>
      <c r="AZ206" s="9">
        <f t="shared" si="95"/>
        <v>0</v>
      </c>
      <c r="BA206" s="9">
        <f t="shared" si="96"/>
        <v>0.47748852686699994</v>
      </c>
      <c r="BB206" s="9">
        <f t="shared" si="97"/>
        <v>0.1964371351350889</v>
      </c>
      <c r="BC206" s="9">
        <f t="shared" si="98"/>
        <v>1.0221555145863059</v>
      </c>
      <c r="BE206" s="1">
        <f t="shared" si="99"/>
        <v>1.2234303105262967E-5</v>
      </c>
    </row>
    <row r="207" spans="2:57" x14ac:dyDescent="0.2">
      <c r="B207" s="12" t="s">
        <v>262</v>
      </c>
      <c r="C207" s="20" t="s">
        <v>67</v>
      </c>
      <c r="D207" s="20">
        <v>0.25879999999999997</v>
      </c>
      <c r="E207" s="20">
        <v>0</v>
      </c>
      <c r="F207" s="20">
        <v>0.43430000000000002</v>
      </c>
      <c r="G207" s="20">
        <v>1.9393</v>
      </c>
      <c r="H207" s="20">
        <v>0</v>
      </c>
      <c r="I207" s="21">
        <f t="shared" si="75"/>
        <v>2.3736000000000002</v>
      </c>
      <c r="J207" s="20">
        <v>1.802</v>
      </c>
      <c r="K207" s="20">
        <v>1.021898766377799</v>
      </c>
      <c r="L207" s="20">
        <v>0.19638779344313459</v>
      </c>
      <c r="M207" s="20">
        <v>784258.72</v>
      </c>
      <c r="N207" s="20">
        <v>351016.96000000002</v>
      </c>
      <c r="O207" s="20">
        <v>50.287999999999997</v>
      </c>
      <c r="Q207" s="19">
        <v>105.21100300000001</v>
      </c>
      <c r="R207" s="19">
        <v>-29.672038000000001</v>
      </c>
      <c r="S207" s="19">
        <v>160</v>
      </c>
      <c r="T207" s="19">
        <v>107.027154</v>
      </c>
      <c r="U207" s="19">
        <v>122.865223</v>
      </c>
      <c r="V207" s="19">
        <v>94.404420999999999</v>
      </c>
      <c r="W207" s="19">
        <v>25.118154000000001</v>
      </c>
      <c r="Y207" t="str">
        <f t="shared" si="76"/>
        <v>CEN_FT_High_Jetfuel_CCS_84_Wood</v>
      </c>
      <c r="Z207" t="str">
        <f t="shared" si="77"/>
        <v>Biomass_Wood</v>
      </c>
      <c r="AA207" s="18">
        <f t="shared" si="78"/>
        <v>98.355681674259031</v>
      </c>
      <c r="AB207" s="18">
        <f t="shared" si="79"/>
        <v>98.355681674259046</v>
      </c>
      <c r="AC207" s="5">
        <f t="shared" si="80"/>
        <v>0</v>
      </c>
      <c r="AD207" s="1">
        <f t="shared" si="81"/>
        <v>-2.7386999726996963</v>
      </c>
      <c r="AE207" s="1">
        <f t="shared" si="82"/>
        <v>0</v>
      </c>
      <c r="AF207" s="1">
        <f t="array" ref="AF207">_xlfn.IFS(C207="Biomass_Corn", 1/I207*S207, C207="Biomass_Agri", 1/I207*V207, C207="Biomass_Wood", 1/I207*U207, C207="Biomass_Herb", 1/I207*T207)</f>
        <v>51.763238540613415</v>
      </c>
      <c r="AG207" s="1">
        <f t="shared" si="83"/>
        <v>41.908798235007531</v>
      </c>
      <c r="AH207" s="1">
        <f t="shared" si="84"/>
        <v>18.757456663925542</v>
      </c>
      <c r="AI207" s="1">
        <f t="shared" si="85"/>
        <v>21.18638355240984</v>
      </c>
      <c r="AJ207" s="1">
        <f t="shared" si="86"/>
        <v>6.1585226386027266E-7</v>
      </c>
      <c r="AK207" s="1">
        <f t="shared" si="87"/>
        <v>-32.521560139431976</v>
      </c>
      <c r="AL207">
        <f t="shared" si="88"/>
        <v>6.479443438055994E-5</v>
      </c>
      <c r="AM207" s="1">
        <f t="shared" si="89"/>
        <v>-0.43052633324522471</v>
      </c>
      <c r="AN207" s="1">
        <f t="shared" si="90"/>
        <v>12.774611993644747</v>
      </c>
      <c r="AO207">
        <f t="shared" si="91"/>
        <v>-45.296107338642337</v>
      </c>
      <c r="AQ207" s="17">
        <f t="shared" si="92"/>
        <v>1.802</v>
      </c>
      <c r="AR207" s="8">
        <v>0.243968185</v>
      </c>
      <c r="AS207" s="8">
        <v>0.24942761299999999</v>
      </c>
      <c r="AT207" s="9">
        <v>0.24635668499999999</v>
      </c>
      <c r="AU207" s="17">
        <v>0.23037490999999999</v>
      </c>
      <c r="AW207" s="9">
        <f t="shared" si="93"/>
        <v>1.802</v>
      </c>
      <c r="AY207" s="9">
        <f t="shared" si="94"/>
        <v>0.10595538274550001</v>
      </c>
      <c r="AZ207" s="9">
        <f t="shared" si="95"/>
        <v>0</v>
      </c>
      <c r="BA207" s="9">
        <f t="shared" si="96"/>
        <v>0.47775951922049997</v>
      </c>
      <c r="BB207" s="9">
        <f t="shared" si="97"/>
        <v>0.19638779344313459</v>
      </c>
      <c r="BC207" s="9">
        <f t="shared" si="98"/>
        <v>1.021898766377799</v>
      </c>
      <c r="BE207" s="1">
        <f t="shared" si="99"/>
        <v>-1.4617869334987432E-6</v>
      </c>
    </row>
    <row r="208" spans="2:57" x14ac:dyDescent="0.2">
      <c r="B208" s="12" t="s">
        <v>263</v>
      </c>
      <c r="C208" s="20" t="s">
        <v>67</v>
      </c>
      <c r="D208" s="20">
        <v>0.25969999999999999</v>
      </c>
      <c r="E208" s="20">
        <v>0</v>
      </c>
      <c r="F208" s="20">
        <v>0.43590000000000001</v>
      </c>
      <c r="G208" s="20">
        <v>1.9463999999999999</v>
      </c>
      <c r="H208" s="20">
        <v>0</v>
      </c>
      <c r="I208" s="21">
        <f t="shared" si="75"/>
        <v>2.3822999999999999</v>
      </c>
      <c r="J208" s="20">
        <v>1.821</v>
      </c>
      <c r="K208" s="20">
        <v>1.0360387289182531</v>
      </c>
      <c r="L208" s="20">
        <v>0.19910520159945441</v>
      </c>
      <c r="M208" s="20">
        <v>784258.72</v>
      </c>
      <c r="N208" s="20">
        <v>351016.96000000002</v>
      </c>
      <c r="O208" s="20">
        <v>50.287999999999997</v>
      </c>
      <c r="Q208" s="19">
        <v>105.21100300000001</v>
      </c>
      <c r="R208" s="19">
        <v>-45.510345000000001</v>
      </c>
      <c r="S208" s="19">
        <v>160</v>
      </c>
      <c r="T208" s="19">
        <v>97.593261999999996</v>
      </c>
      <c r="U208" s="19">
        <v>109.791234</v>
      </c>
      <c r="V208" s="19">
        <v>86.911507</v>
      </c>
      <c r="W208" s="19">
        <v>38.099075999999997</v>
      </c>
      <c r="Y208" t="str">
        <f t="shared" si="76"/>
        <v>SE_FT_High_Jetfuel_CCS_84_Wood</v>
      </c>
      <c r="Z208" t="str">
        <f t="shared" si="77"/>
        <v>Biomass_Wood</v>
      </c>
      <c r="AA208" s="18">
        <f t="shared" si="78"/>
        <v>97.523383024723614</v>
      </c>
      <c r="AB208" s="18">
        <f t="shared" si="79"/>
        <v>97.523383024723614</v>
      </c>
      <c r="AC208" s="5">
        <f t="shared" si="80"/>
        <v>0</v>
      </c>
      <c r="AD208" s="1">
        <f t="shared" si="81"/>
        <v>-4.153267866011837</v>
      </c>
      <c r="AE208" s="1">
        <f t="shared" si="82"/>
        <v>0</v>
      </c>
      <c r="AF208" s="1">
        <f t="array" ref="AF208">_xlfn.IFS(C208="Biomass_Corn", 1/I208*S208, C208="Biomass_Agri", 1/I208*V208, C208="Biomass_Wood", 1/I208*U208, C208="Biomass_Herb", 1/I208*T208)</f>
        <v>46.086233471854932</v>
      </c>
      <c r="AG208" s="1">
        <f t="shared" si="83"/>
        <v>41.755750111494734</v>
      </c>
      <c r="AH208" s="1">
        <f t="shared" si="84"/>
        <v>18.688955688827463</v>
      </c>
      <c r="AI208" s="1">
        <f t="shared" si="85"/>
        <v>21.109012299038746</v>
      </c>
      <c r="AJ208" s="1">
        <f t="shared" si="86"/>
        <v>-7.0770129387423133E-7</v>
      </c>
      <c r="AK208" s="1">
        <f t="shared" si="87"/>
        <v>-25.963226222517459</v>
      </c>
      <c r="AL208">
        <f t="shared" si="88"/>
        <v>-7.4457962952905642E-5</v>
      </c>
      <c r="AM208" s="1">
        <f t="shared" si="89"/>
        <v>-0.43489082603998053</v>
      </c>
      <c r="AN208" s="1">
        <f t="shared" si="90"/>
        <v>19.791999322684454</v>
      </c>
      <c r="AO208">
        <f t="shared" si="91"/>
        <v>-45.755300003164869</v>
      </c>
      <c r="AQ208" s="17">
        <f t="shared" si="92"/>
        <v>1.821</v>
      </c>
      <c r="AR208" s="8">
        <v>0.243968185</v>
      </c>
      <c r="AS208" s="8">
        <v>0.24942761299999999</v>
      </c>
      <c r="AT208" s="9">
        <v>0.24635668499999999</v>
      </c>
      <c r="AU208" s="17">
        <v>0.23037490999999999</v>
      </c>
      <c r="AW208" s="9">
        <f t="shared" si="93"/>
        <v>1.821</v>
      </c>
      <c r="AY208" s="9">
        <f t="shared" si="94"/>
        <v>0.10634573184150001</v>
      </c>
      <c r="AZ208" s="9">
        <f t="shared" si="95"/>
        <v>0</v>
      </c>
      <c r="BA208" s="9">
        <f t="shared" si="96"/>
        <v>0.47950865168399998</v>
      </c>
      <c r="BB208" s="9">
        <f t="shared" si="97"/>
        <v>0.19910520159945441</v>
      </c>
      <c r="BC208" s="9">
        <f t="shared" si="98"/>
        <v>1.0360387289182531</v>
      </c>
      <c r="BE208" s="1">
        <f t="shared" si="99"/>
        <v>1.6859567923965812E-6</v>
      </c>
    </row>
    <row r="209" spans="2:57" x14ac:dyDescent="0.2">
      <c r="B209" s="12" t="s">
        <v>264</v>
      </c>
      <c r="C209" s="20" t="s">
        <v>67</v>
      </c>
      <c r="D209" s="20">
        <v>0.25790000000000002</v>
      </c>
      <c r="E209" s="20">
        <v>0</v>
      </c>
      <c r="F209" s="20">
        <v>0.433</v>
      </c>
      <c r="G209" s="20">
        <v>1.9332</v>
      </c>
      <c r="H209" s="20">
        <v>0</v>
      </c>
      <c r="I209" s="21">
        <f t="shared" si="75"/>
        <v>2.3662000000000001</v>
      </c>
      <c r="J209" s="20">
        <v>1.806</v>
      </c>
      <c r="K209" s="20">
        <v>1.02679445562884</v>
      </c>
      <c r="L209" s="20">
        <v>0.19732864359486041</v>
      </c>
      <c r="M209" s="20">
        <v>784258.72</v>
      </c>
      <c r="N209" s="20">
        <v>351016.96000000002</v>
      </c>
      <c r="O209" s="20">
        <v>50.287999999999997</v>
      </c>
      <c r="Q209" s="19">
        <v>105.21100300000001</v>
      </c>
      <c r="R209" s="19">
        <v>-50.334515000000003</v>
      </c>
      <c r="S209" s="19">
        <v>160</v>
      </c>
      <c r="T209" s="19">
        <v>98.707491000000005</v>
      </c>
      <c r="U209" s="19">
        <v>106.53195700000001</v>
      </c>
      <c r="V209" s="19">
        <v>87.469328000000004</v>
      </c>
      <c r="W209" s="19">
        <v>39.29871</v>
      </c>
      <c r="Y209" t="str">
        <f t="shared" si="76"/>
        <v>MIDAT_FT_High_Jetfuel_CCS_84_Wood</v>
      </c>
      <c r="Z209" t="str">
        <f t="shared" si="77"/>
        <v>Biomass_Wood</v>
      </c>
      <c r="AA209" s="18">
        <f t="shared" si="78"/>
        <v>99.035275766795408</v>
      </c>
      <c r="AB209" s="18">
        <f t="shared" si="79"/>
        <v>99.035275766795408</v>
      </c>
      <c r="AC209" s="5">
        <f t="shared" si="80"/>
        <v>0</v>
      </c>
      <c r="AD209" s="1">
        <f t="shared" si="81"/>
        <v>-4.2832969778547882</v>
      </c>
      <c r="AE209" s="1">
        <f t="shared" si="82"/>
        <v>0</v>
      </c>
      <c r="AF209" s="1">
        <f t="array" ref="AF209">_xlfn.IFS(C209="Biomass_Corn", 1/I209*S209, C209="Biomass_Agri", 1/I209*V209, C209="Biomass_Wood", 1/I209*U209, C209="Biomass_Herb", 1/I209*T209)</f>
        <v>45.022380610261173</v>
      </c>
      <c r="AG209" s="1">
        <f t="shared" si="83"/>
        <v>42.039862856315565</v>
      </c>
      <c r="AH209" s="1">
        <f t="shared" si="84"/>
        <v>18.816118306776122</v>
      </c>
      <c r="AI209" s="1">
        <f t="shared" si="85"/>
        <v>21.252641365903134</v>
      </c>
      <c r="AJ209" s="1">
        <f t="shared" si="86"/>
        <v>7.6353523372393105E-6</v>
      </c>
      <c r="AK209" s="1">
        <f t="shared" si="87"/>
        <v>-23.813233717683445</v>
      </c>
      <c r="AL209">
        <f t="shared" si="88"/>
        <v>8.0332307765934217E-4</v>
      </c>
      <c r="AM209" s="1">
        <f t="shared" si="89"/>
        <v>-0.43393474298797208</v>
      </c>
      <c r="AN209" s="1">
        <f t="shared" si="90"/>
        <v>21.842279151705977</v>
      </c>
      <c r="AO209">
        <f t="shared" si="91"/>
        <v>-45.654709546311764</v>
      </c>
      <c r="AQ209" s="17">
        <f t="shared" si="92"/>
        <v>1.806</v>
      </c>
      <c r="AR209" s="8">
        <v>0.243968185</v>
      </c>
      <c r="AS209" s="8">
        <v>0.24942761299999999</v>
      </c>
      <c r="AT209" s="9">
        <v>0.24635668499999999</v>
      </c>
      <c r="AU209" s="17">
        <v>0.23037490999999999</v>
      </c>
      <c r="AW209" s="9">
        <f t="shared" si="93"/>
        <v>1.806</v>
      </c>
      <c r="AY209" s="9">
        <f t="shared" si="94"/>
        <v>0.105638224105</v>
      </c>
      <c r="AZ209" s="9">
        <f t="shared" si="95"/>
        <v>0</v>
      </c>
      <c r="BA209" s="9">
        <f t="shared" si="96"/>
        <v>0.47625674344199997</v>
      </c>
      <c r="BB209" s="9">
        <f t="shared" si="97"/>
        <v>0.19732864359486041</v>
      </c>
      <c r="BC209" s="9">
        <f t="shared" si="98"/>
        <v>1.02679445562884</v>
      </c>
      <c r="BE209" s="1">
        <f t="shared" si="99"/>
        <v>-1.8066770700375656E-5</v>
      </c>
    </row>
    <row r="210" spans="2:57" x14ac:dyDescent="0.2">
      <c r="B210" s="12" t="s">
        <v>265</v>
      </c>
      <c r="C210" s="20" t="s">
        <v>67</v>
      </c>
      <c r="D210" s="20">
        <v>0.25629999999999997</v>
      </c>
      <c r="E210" s="20">
        <v>0</v>
      </c>
      <c r="F210" s="20">
        <v>0.43020000000000003</v>
      </c>
      <c r="G210" s="20">
        <v>1.921</v>
      </c>
      <c r="H210" s="20">
        <v>0</v>
      </c>
      <c r="I210" s="21">
        <f t="shared" si="75"/>
        <v>2.3512</v>
      </c>
      <c r="J210" s="20">
        <v>1.8260000000000001</v>
      </c>
      <c r="K210" s="20">
        <v>1.046651434130919</v>
      </c>
      <c r="L210" s="20">
        <v>0.20114474389831211</v>
      </c>
      <c r="M210" s="20">
        <v>784258.72</v>
      </c>
      <c r="N210" s="20">
        <v>351016.96000000002</v>
      </c>
      <c r="O210" s="20">
        <v>50.287999999999997</v>
      </c>
      <c r="Q210" s="19">
        <v>105.21100300000001</v>
      </c>
      <c r="R210" s="19">
        <v>-58.833413</v>
      </c>
      <c r="S210" s="19">
        <v>160</v>
      </c>
      <c r="T210" s="19">
        <v>99.493746999999999</v>
      </c>
      <c r="U210" s="19">
        <v>105.21395800000001</v>
      </c>
      <c r="V210" s="19">
        <v>89.700445000000002</v>
      </c>
      <c r="W210" s="19">
        <v>47.365060999999997</v>
      </c>
      <c r="Y210" t="str">
        <f t="shared" si="76"/>
        <v>NE_FT_High_Jetfuel_CCS_84_Wood</v>
      </c>
      <c r="Z210" t="str">
        <f t="shared" si="77"/>
        <v>Biomass_Wood</v>
      </c>
      <c r="AA210" s="18">
        <f t="shared" si="78"/>
        <v>101.57315654063578</v>
      </c>
      <c r="AB210" s="18">
        <f t="shared" si="79"/>
        <v>101.57315654063579</v>
      </c>
      <c r="AC210" s="5">
        <f t="shared" si="80"/>
        <v>0</v>
      </c>
      <c r="AD210" s="1">
        <f t="shared" si="81"/>
        <v>-5.1631784341187466</v>
      </c>
      <c r="AE210" s="1">
        <f t="shared" si="82"/>
        <v>0</v>
      </c>
      <c r="AF210" s="1">
        <f t="array" ref="AF210">_xlfn.IFS(C210="Biomass_Corn", 1/I210*S210, C210="Biomass_Agri", 1/I210*V210, C210="Biomass_Wood", 1/I210*U210, C210="Biomass_Herb", 1/I210*T210)</f>
        <v>44.749046444368837</v>
      </c>
      <c r="AG210" s="1">
        <f t="shared" si="83"/>
        <v>42.308065451945353</v>
      </c>
      <c r="AH210" s="1">
        <f t="shared" si="84"/>
        <v>18.936159891754706</v>
      </c>
      <c r="AI210" s="1">
        <f t="shared" si="85"/>
        <v>21.388227288193264</v>
      </c>
      <c r="AJ210" s="1">
        <f t="shared" si="86"/>
        <v>1.0560995368648543E-6</v>
      </c>
      <c r="AK210" s="1">
        <f t="shared" si="87"/>
        <v>-20.645275214799156</v>
      </c>
      <c r="AL210">
        <f t="shared" si="88"/>
        <v>1.1111329154138679E-4</v>
      </c>
      <c r="AM210" s="1">
        <f t="shared" si="89"/>
        <v>-0.44515521904971417</v>
      </c>
      <c r="AN210" s="1">
        <f t="shared" si="90"/>
        <v>26.190062985397525</v>
      </c>
      <c r="AO210">
        <f t="shared" si="91"/>
        <v>-46.835227086905135</v>
      </c>
      <c r="AQ210" s="17">
        <f t="shared" si="92"/>
        <v>1.8260000000000001</v>
      </c>
      <c r="AR210" s="8">
        <v>0.243968185</v>
      </c>
      <c r="AS210" s="8">
        <v>0.24942761299999999</v>
      </c>
      <c r="AT210" s="9">
        <v>0.24635668499999999</v>
      </c>
      <c r="AU210" s="17">
        <v>0.23037490999999999</v>
      </c>
      <c r="AW210" s="9">
        <f t="shared" si="93"/>
        <v>1.8260000000000001</v>
      </c>
      <c r="AY210" s="9">
        <f t="shared" si="94"/>
        <v>0.104955113187</v>
      </c>
      <c r="AZ210" s="9">
        <f t="shared" si="95"/>
        <v>0</v>
      </c>
      <c r="BA210" s="9">
        <f t="shared" si="96"/>
        <v>0.47325119188499998</v>
      </c>
      <c r="BB210" s="9">
        <f t="shared" si="97"/>
        <v>0.20114474389831211</v>
      </c>
      <c r="BC210" s="9">
        <f t="shared" si="98"/>
        <v>1.046651434130919</v>
      </c>
      <c r="BE210" s="1">
        <f t="shared" si="99"/>
        <v>-2.4831012310766454E-6</v>
      </c>
    </row>
    <row r="211" spans="2:57" x14ac:dyDescent="0.2">
      <c r="B211" s="12" t="s">
        <v>266</v>
      </c>
      <c r="C211" s="20" t="s">
        <v>77</v>
      </c>
      <c r="D211" s="20">
        <v>0.2482</v>
      </c>
      <c r="E211" s="20">
        <v>0</v>
      </c>
      <c r="F211" s="20">
        <v>0.41660000000000003</v>
      </c>
      <c r="G211" s="20">
        <v>1.8599000000000001</v>
      </c>
      <c r="H211" s="20">
        <v>0</v>
      </c>
      <c r="I211" s="21">
        <f t="shared" si="75"/>
        <v>2.2765</v>
      </c>
      <c r="J211" s="20">
        <v>1.7190000000000001</v>
      </c>
      <c r="K211" s="20">
        <v>0.97230472664131895</v>
      </c>
      <c r="L211" s="20">
        <v>0.1868568454155706</v>
      </c>
      <c r="M211" s="20">
        <v>784258.72</v>
      </c>
      <c r="N211" s="20">
        <v>351016.96000000002</v>
      </c>
      <c r="O211" s="20">
        <v>50.287999999999997</v>
      </c>
      <c r="Q211" s="19">
        <v>105.21100300000001</v>
      </c>
      <c r="R211" s="19">
        <v>-6.4122130000000004</v>
      </c>
      <c r="S211" s="19">
        <v>160</v>
      </c>
      <c r="T211" s="19">
        <v>313632.96735400002</v>
      </c>
      <c r="U211" s="19">
        <v>154.036981</v>
      </c>
      <c r="V211" s="19">
        <v>132.85973799999999</v>
      </c>
      <c r="W211" s="19">
        <v>36.488697999999999</v>
      </c>
      <c r="Y211" t="str">
        <f t="shared" si="76"/>
        <v>CA_FT_High_Jetfuel_CCS_84_Agri</v>
      </c>
      <c r="Z211" t="str">
        <f t="shared" si="77"/>
        <v>Biomass_Agri</v>
      </c>
      <c r="AA211" s="18">
        <f t="shared" si="78"/>
        <v>97.529485602787062</v>
      </c>
      <c r="AB211" s="18">
        <f t="shared" si="79"/>
        <v>97.529485602787076</v>
      </c>
      <c r="AC211" s="5">
        <f t="shared" si="80"/>
        <v>0</v>
      </c>
      <c r="AD211" s="1">
        <f t="shared" si="81"/>
        <v>-3.978253829826488</v>
      </c>
      <c r="AE211" s="1">
        <f t="shared" si="82"/>
        <v>0</v>
      </c>
      <c r="AF211" s="1">
        <f t="array" ref="AF211">_xlfn.IFS(C211="Biomass_Corn", 1/I211*S211, C211="Biomass_Agri", 1/I211*V211, C211="Biomass_Wood", 1/I211*U211, C211="Biomass_Herb", 1/I211*T211)</f>
        <v>58.361404788051829</v>
      </c>
      <c r="AG211" s="1">
        <f t="shared" si="83"/>
        <v>43.696342407473708</v>
      </c>
      <c r="AH211" s="1">
        <f t="shared" si="84"/>
        <v>19.557522133755178</v>
      </c>
      <c r="AI211" s="1">
        <f t="shared" si="85"/>
        <v>22.090050516143201</v>
      </c>
      <c r="AJ211" s="1">
        <f t="shared" si="86"/>
        <v>-1.090990823855328E-6</v>
      </c>
      <c r="AK211" s="1">
        <f t="shared" si="87"/>
        <v>-42.197465628571528</v>
      </c>
      <c r="AL211">
        <f t="shared" si="88"/>
        <v>-1.1478423884161539E-4</v>
      </c>
      <c r="AM211" s="1">
        <f t="shared" si="89"/>
        <v>-0.42710617627143838</v>
      </c>
      <c r="AN211" s="1">
        <f t="shared" si="90"/>
        <v>2.7386887802024651</v>
      </c>
      <c r="AO211">
        <f t="shared" si="91"/>
        <v>-44.936269193012834</v>
      </c>
      <c r="AQ211" s="17">
        <f t="shared" si="92"/>
        <v>1.7190000000000001</v>
      </c>
      <c r="AR211" s="8">
        <v>0.243968185</v>
      </c>
      <c r="AS211" s="8">
        <v>0.24942761299999999</v>
      </c>
      <c r="AT211" s="9">
        <v>0.24635668499999999</v>
      </c>
      <c r="AU211" s="17">
        <v>0.23037490999999999</v>
      </c>
      <c r="AW211" s="9">
        <f t="shared" si="93"/>
        <v>1.7190000000000001</v>
      </c>
      <c r="AY211" s="9">
        <f t="shared" si="94"/>
        <v>0.10163714587100001</v>
      </c>
      <c r="AZ211" s="9">
        <f t="shared" si="95"/>
        <v>0</v>
      </c>
      <c r="BA211" s="9">
        <f t="shared" si="96"/>
        <v>0.45819879843150002</v>
      </c>
      <c r="BB211" s="9">
        <f t="shared" si="97"/>
        <v>0.1868568454155706</v>
      </c>
      <c r="BC211" s="9">
        <f t="shared" si="98"/>
        <v>0.97230472664131895</v>
      </c>
      <c r="BE211" s="1">
        <f t="shared" si="99"/>
        <v>2.4836406105066544E-6</v>
      </c>
    </row>
    <row r="212" spans="2:57" x14ac:dyDescent="0.2">
      <c r="B212" s="12" t="s">
        <v>267</v>
      </c>
      <c r="C212" s="20" t="s">
        <v>77</v>
      </c>
      <c r="D212" s="20">
        <v>0.22689999999999999</v>
      </c>
      <c r="E212" s="20">
        <v>0</v>
      </c>
      <c r="F212" s="20">
        <v>0.38080000000000003</v>
      </c>
      <c r="G212" s="20">
        <v>1.7002999999999999</v>
      </c>
      <c r="H212" s="20">
        <v>0</v>
      </c>
      <c r="I212" s="21">
        <f t="shared" si="75"/>
        <v>2.0811000000000002</v>
      </c>
      <c r="J212" s="20">
        <v>1.6639999999999999</v>
      </c>
      <c r="K212" s="20">
        <v>0.96648019537686436</v>
      </c>
      <c r="L212" s="20">
        <v>0.1857374910523969</v>
      </c>
      <c r="M212" s="20">
        <v>784258.72</v>
      </c>
      <c r="N212" s="20">
        <v>351016.96000000002</v>
      </c>
      <c r="O212" s="20">
        <v>50.287999999999997</v>
      </c>
      <c r="Q212" s="19">
        <v>105.21100300000001</v>
      </c>
      <c r="R212" s="19">
        <v>-7.3796590000000002</v>
      </c>
      <c r="S212" s="19">
        <v>160</v>
      </c>
      <c r="T212" s="19">
        <v>130.996602</v>
      </c>
      <c r="U212" s="19">
        <v>149.05667199999999</v>
      </c>
      <c r="V212" s="19">
        <v>112.26938</v>
      </c>
      <c r="W212" s="19">
        <v>26.787863000000002</v>
      </c>
      <c r="Y212" t="str">
        <f t="shared" si="76"/>
        <v>NW_FT_High_Jetfuel_CCS_84_Agri</v>
      </c>
      <c r="Z212" t="str">
        <f t="shared" si="77"/>
        <v>Biomass_Agri</v>
      </c>
      <c r="AA212" s="18">
        <f t="shared" si="78"/>
        <v>98.94992540604801</v>
      </c>
      <c r="AB212" s="18">
        <f t="shared" si="79"/>
        <v>98.94992540604801</v>
      </c>
      <c r="AC212" s="5">
        <f t="shared" si="80"/>
        <v>0</v>
      </c>
      <c r="AD212" s="1">
        <f t="shared" si="81"/>
        <v>-2.9206506725770023</v>
      </c>
      <c r="AE212" s="1">
        <f t="shared" si="82"/>
        <v>0</v>
      </c>
      <c r="AF212" s="1">
        <f t="array" ref="AF212">_xlfn.IFS(C212="Biomass_Corn", 1/I212*S212, C212="Biomass_Agri", 1/I212*V212, C212="Biomass_Wood", 1/I212*U212, C212="Biomass_Herb", 1/I212*T212)</f>
        <v>53.94713372735572</v>
      </c>
      <c r="AG212" s="1">
        <f t="shared" si="83"/>
        <v>47.799107919184031</v>
      </c>
      <c r="AH212" s="1">
        <f t="shared" si="84"/>
        <v>21.393829771512017</v>
      </c>
      <c r="AI212" s="1">
        <f t="shared" si="85"/>
        <v>24.164143962327611</v>
      </c>
      <c r="AJ212" s="1">
        <f t="shared" si="86"/>
        <v>5.0107287552321344E-7</v>
      </c>
      <c r="AK212" s="1">
        <f t="shared" si="87"/>
        <v>-45.433692020134167</v>
      </c>
      <c r="AL212">
        <f t="shared" si="88"/>
        <v>5.2718379809891436E-5</v>
      </c>
      <c r="AM212" s="1">
        <f t="shared" si="89"/>
        <v>-0.46440783844798572</v>
      </c>
      <c r="AN212" s="1">
        <f t="shared" si="90"/>
        <v>3.427175182420179</v>
      </c>
      <c r="AO212">
        <f t="shared" si="91"/>
        <v>-48.86081448417454</v>
      </c>
      <c r="AQ212" s="17">
        <f t="shared" si="92"/>
        <v>1.6639999999999999</v>
      </c>
      <c r="AR212" s="8">
        <v>0.243968185</v>
      </c>
      <c r="AS212" s="8">
        <v>0.24942761299999999</v>
      </c>
      <c r="AT212" s="9">
        <v>0.24635668499999999</v>
      </c>
      <c r="AU212" s="17">
        <v>0.23037490999999999</v>
      </c>
      <c r="AW212" s="9">
        <f t="shared" si="93"/>
        <v>1.6639999999999999</v>
      </c>
      <c r="AY212" s="9">
        <f t="shared" si="94"/>
        <v>9.2903084848000014E-2</v>
      </c>
      <c r="AZ212" s="9">
        <f t="shared" si="95"/>
        <v>0</v>
      </c>
      <c r="BA212" s="9">
        <f t="shared" si="96"/>
        <v>0.41888027150549995</v>
      </c>
      <c r="BB212" s="9">
        <f t="shared" si="97"/>
        <v>0.1857374910523969</v>
      </c>
      <c r="BC212" s="9">
        <f t="shared" si="98"/>
        <v>0.96648019537686436</v>
      </c>
      <c r="BE212" s="1">
        <f t="shared" si="99"/>
        <v>-1.0427827612513596E-6</v>
      </c>
    </row>
    <row r="213" spans="2:57" x14ac:dyDescent="0.2">
      <c r="B213" s="12" t="s">
        <v>268</v>
      </c>
      <c r="C213" s="20" t="s">
        <v>77</v>
      </c>
      <c r="D213" s="20">
        <v>0.2311</v>
      </c>
      <c r="E213" s="20">
        <v>0</v>
      </c>
      <c r="F213" s="20">
        <v>0.38790000000000002</v>
      </c>
      <c r="G213" s="20">
        <v>1.7318</v>
      </c>
      <c r="H213" s="20">
        <v>0</v>
      </c>
      <c r="I213" s="21">
        <f t="shared" si="75"/>
        <v>2.1196999999999999</v>
      </c>
      <c r="J213" s="20">
        <v>1.6870000000000001</v>
      </c>
      <c r="K213" s="20">
        <v>0.97781340091315805</v>
      </c>
      <c r="L213" s="20">
        <v>0.18791549860181339</v>
      </c>
      <c r="M213" s="20">
        <v>784258.72</v>
      </c>
      <c r="N213" s="20">
        <v>351016.96000000002</v>
      </c>
      <c r="O213" s="20">
        <v>50.287999999999997</v>
      </c>
      <c r="Q213" s="19">
        <v>105.21100300000001</v>
      </c>
      <c r="R213" s="19">
        <v>-14.567418</v>
      </c>
      <c r="S213" s="19">
        <v>160</v>
      </c>
      <c r="T213" s="19">
        <v>120.282189</v>
      </c>
      <c r="U213" s="19">
        <v>137.475031</v>
      </c>
      <c r="V213" s="19">
        <v>107.559866</v>
      </c>
      <c r="W213" s="19">
        <v>27.957547000000002</v>
      </c>
      <c r="Y213" t="str">
        <f t="shared" si="76"/>
        <v>SW_FT_High_Jetfuel_CCS_84_Agri</v>
      </c>
      <c r="Z213" t="str">
        <f t="shared" si="77"/>
        <v>Biomass_Agri</v>
      </c>
      <c r="AA213" s="18">
        <f t="shared" si="78"/>
        <v>97.538462171433778</v>
      </c>
      <c r="AB213" s="18">
        <f t="shared" si="79"/>
        <v>97.538462171433764</v>
      </c>
      <c r="AC213" s="5">
        <f t="shared" si="80"/>
        <v>0</v>
      </c>
      <c r="AD213" s="1">
        <f t="shared" si="81"/>
        <v>-3.0480677037788371</v>
      </c>
      <c r="AE213" s="1">
        <f t="shared" si="82"/>
        <v>0</v>
      </c>
      <c r="AF213" s="1">
        <f t="array" ref="AF213">_xlfn.IFS(C213="Biomass_Corn", 1/I213*S213, C213="Biomass_Agri", 1/I213*V213, C213="Biomass_Wood", 1/I213*U213, C213="Biomass_Herb", 1/I213*T213)</f>
        <v>50.742966457517575</v>
      </c>
      <c r="AG213" s="1">
        <f t="shared" si="83"/>
        <v>46.92868023334146</v>
      </c>
      <c r="AH213" s="1">
        <f t="shared" si="84"/>
        <v>21.004245476951297</v>
      </c>
      <c r="AI213" s="1">
        <f t="shared" si="85"/>
        <v>23.72411190262773</v>
      </c>
      <c r="AJ213" s="1">
        <f t="shared" si="86"/>
        <v>2.2010470686552048E-6</v>
      </c>
      <c r="AK213" s="1">
        <f t="shared" si="87"/>
        <v>-41.813705769595195</v>
      </c>
      <c r="AL213">
        <f t="shared" si="88"/>
        <v>2.3157436974342396E-4</v>
      </c>
      <c r="AM213" s="1">
        <f t="shared" si="89"/>
        <v>-0.46129581325361452</v>
      </c>
      <c r="AN213" s="1">
        <f t="shared" si="90"/>
        <v>6.7199209968880291</v>
      </c>
      <c r="AO213">
        <f t="shared" si="91"/>
        <v>-48.533395192113481</v>
      </c>
      <c r="AQ213" s="17">
        <f t="shared" si="92"/>
        <v>1.6870000000000001</v>
      </c>
      <c r="AR213" s="8">
        <v>0.243968185</v>
      </c>
      <c r="AS213" s="8">
        <v>0.24942761299999999</v>
      </c>
      <c r="AT213" s="9">
        <v>0.24635668499999999</v>
      </c>
      <c r="AU213" s="17">
        <v>0.23037490999999999</v>
      </c>
      <c r="AW213" s="9">
        <f t="shared" si="93"/>
        <v>1.6870000000000001</v>
      </c>
      <c r="AY213" s="9">
        <f t="shared" si="94"/>
        <v>9.4635258961500004E-2</v>
      </c>
      <c r="AZ213" s="9">
        <f t="shared" si="95"/>
        <v>0</v>
      </c>
      <c r="BA213" s="9">
        <f t="shared" si="96"/>
        <v>0.426640507083</v>
      </c>
      <c r="BB213" s="9">
        <f t="shared" si="97"/>
        <v>0.18791549860181339</v>
      </c>
      <c r="BC213" s="9">
        <f t="shared" si="98"/>
        <v>0.97781340091315805</v>
      </c>
      <c r="BE213" s="1">
        <f t="shared" si="99"/>
        <v>-4.6655594714284376E-6</v>
      </c>
    </row>
    <row r="214" spans="2:57" x14ac:dyDescent="0.2">
      <c r="B214" s="12" t="s">
        <v>269</v>
      </c>
      <c r="C214" s="20" t="s">
        <v>77</v>
      </c>
      <c r="D214" s="20">
        <v>0.22509999999999999</v>
      </c>
      <c r="E214" s="20">
        <v>0</v>
      </c>
      <c r="F214" s="20">
        <v>0.37790000000000001</v>
      </c>
      <c r="G214" s="20">
        <v>1.6871</v>
      </c>
      <c r="H214" s="20">
        <v>0</v>
      </c>
      <c r="I214" s="21">
        <f t="shared" si="75"/>
        <v>2.0649999999999999</v>
      </c>
      <c r="J214" s="20">
        <v>1.633</v>
      </c>
      <c r="K214" s="20">
        <v>0.94381512208745122</v>
      </c>
      <c r="L214" s="20">
        <v>0.18138173304780289</v>
      </c>
      <c r="M214" s="20">
        <v>784258.72</v>
      </c>
      <c r="N214" s="20">
        <v>351016.96000000002</v>
      </c>
      <c r="O214" s="20">
        <v>50.287999999999997</v>
      </c>
      <c r="Q214" s="19">
        <v>105.21100300000001</v>
      </c>
      <c r="R214" s="19">
        <v>-19.477884</v>
      </c>
      <c r="S214" s="19">
        <v>160</v>
      </c>
      <c r="T214" s="19">
        <v>132.95547999999999</v>
      </c>
      <c r="U214" s="19">
        <v>152.57709199999999</v>
      </c>
      <c r="V214" s="19">
        <v>106.67488899999999</v>
      </c>
      <c r="W214" s="19">
        <v>20.174973000000001</v>
      </c>
      <c r="Y214" t="str">
        <f t="shared" si="76"/>
        <v>TX_FT_High_Jetfuel_CCS_84_Agri</v>
      </c>
      <c r="Z214" t="str">
        <f t="shared" si="77"/>
        <v>Biomass_Agri</v>
      </c>
      <c r="AA214" s="18">
        <f t="shared" si="78"/>
        <v>104.36072588202242</v>
      </c>
      <c r="AB214" s="18">
        <f t="shared" si="79"/>
        <v>104.36072588202242</v>
      </c>
      <c r="AC214" s="5">
        <f t="shared" si="80"/>
        <v>0</v>
      </c>
      <c r="AD214" s="1">
        <f t="shared" si="81"/>
        <v>-2.1992186064406782</v>
      </c>
      <c r="AE214" s="1">
        <f t="shared" si="82"/>
        <v>0</v>
      </c>
      <c r="AF214" s="1">
        <f t="array" ref="AF214">_xlfn.IFS(C214="Biomass_Corn", 1/I214*S214, C214="Biomass_Agri", 1/I214*V214, C214="Biomass_Wood", 1/I214*U214, C214="Biomass_Herb", 1/I214*T214)</f>
        <v>51.658541888619851</v>
      </c>
      <c r="AG214" s="1">
        <f t="shared" si="83"/>
        <v>48.17177893007937</v>
      </c>
      <c r="AH214" s="1">
        <f t="shared" si="84"/>
        <v>21.560629122272957</v>
      </c>
      <c r="AI214" s="1">
        <f t="shared" si="85"/>
        <v>24.352542372881356</v>
      </c>
      <c r="AJ214" s="1">
        <f t="shared" si="86"/>
        <v>1.0070465014162539E-5</v>
      </c>
      <c r="AK214" s="1">
        <f t="shared" si="87"/>
        <v>-39.184607349115247</v>
      </c>
      <c r="AL214">
        <f t="shared" si="88"/>
        <v>1.0595237248164501E-3</v>
      </c>
      <c r="AM214" s="1">
        <f t="shared" si="89"/>
        <v>-0.45704325742237151</v>
      </c>
      <c r="AN214" s="1">
        <f t="shared" si="90"/>
        <v>8.9024317024044617</v>
      </c>
      <c r="AO214">
        <f t="shared" si="91"/>
        <v>-48.085979527794905</v>
      </c>
      <c r="AQ214" s="17">
        <f t="shared" si="92"/>
        <v>1.633</v>
      </c>
      <c r="AR214" s="8">
        <v>0.243968185</v>
      </c>
      <c r="AS214" s="8">
        <v>0.24942761299999999</v>
      </c>
      <c r="AT214" s="9">
        <v>0.24635668499999999</v>
      </c>
      <c r="AU214" s="17">
        <v>0.23037490999999999</v>
      </c>
      <c r="AW214" s="9">
        <f t="shared" si="93"/>
        <v>1.633</v>
      </c>
      <c r="AY214" s="9">
        <f t="shared" si="94"/>
        <v>9.2195577111500004E-2</v>
      </c>
      <c r="AZ214" s="9">
        <f t="shared" si="95"/>
        <v>0</v>
      </c>
      <c r="BA214" s="9">
        <f t="shared" si="96"/>
        <v>0.4156283632635</v>
      </c>
      <c r="BB214" s="9">
        <f t="shared" si="97"/>
        <v>0.18138173304780289</v>
      </c>
      <c r="BC214" s="9">
        <f t="shared" si="98"/>
        <v>0.94381512208745122</v>
      </c>
      <c r="BE214" s="1">
        <f t="shared" si="99"/>
        <v>-2.0795510254245642E-5</v>
      </c>
    </row>
    <row r="215" spans="2:57" x14ac:dyDescent="0.2">
      <c r="B215" s="12" t="s">
        <v>270</v>
      </c>
      <c r="C215" s="20" t="s">
        <v>77</v>
      </c>
      <c r="D215" s="20">
        <v>0.23469999999999999</v>
      </c>
      <c r="E215" s="20">
        <v>0</v>
      </c>
      <c r="F215" s="20">
        <v>0.39400000000000002</v>
      </c>
      <c r="G215" s="20">
        <v>1.7593000000000001</v>
      </c>
      <c r="H215" s="20">
        <v>0</v>
      </c>
      <c r="I215" s="21">
        <f t="shared" si="75"/>
        <v>2.1533000000000002</v>
      </c>
      <c r="J215" s="20">
        <v>1.71</v>
      </c>
      <c r="K215" s="20">
        <v>0.99017359928347803</v>
      </c>
      <c r="L215" s="20">
        <v>0.19029087291904709</v>
      </c>
      <c r="M215" s="20">
        <v>784258.72</v>
      </c>
      <c r="N215" s="20">
        <v>351016.96000000002</v>
      </c>
      <c r="O215" s="20">
        <v>50.287999999999997</v>
      </c>
      <c r="Q215" s="19">
        <v>105.21100300000001</v>
      </c>
      <c r="R215" s="19">
        <v>-39.686463000000003</v>
      </c>
      <c r="S215" s="19">
        <v>160</v>
      </c>
      <c r="T215" s="19">
        <v>100.757654</v>
      </c>
      <c r="U215" s="19">
        <v>111.990773</v>
      </c>
      <c r="V215" s="19">
        <v>89.243781999999996</v>
      </c>
      <c r="W215" s="19">
        <v>30.713950000000001</v>
      </c>
      <c r="Y215" t="str">
        <f t="shared" si="76"/>
        <v>NCEN_FT_High_Jetfuel_CCS_84_Agri</v>
      </c>
      <c r="Z215" t="str">
        <f t="shared" si="77"/>
        <v>Biomass_Agri</v>
      </c>
      <c r="AA215" s="18">
        <f t="shared" si="78"/>
        <v>98.193615939570151</v>
      </c>
      <c r="AB215" s="18">
        <f t="shared" si="79"/>
        <v>98.193615939570151</v>
      </c>
      <c r="AC215" s="5">
        <f t="shared" si="80"/>
        <v>0</v>
      </c>
      <c r="AD215" s="1">
        <f t="shared" si="81"/>
        <v>-3.3476821924487989</v>
      </c>
      <c r="AE215" s="1">
        <f t="shared" si="82"/>
        <v>0</v>
      </c>
      <c r="AF215" s="1">
        <f t="array" ref="AF215">_xlfn.IFS(C215="Biomass_Corn", 1/I215*S215, C215="Biomass_Agri", 1/I215*V215, C215="Biomass_Wood", 1/I215*U215, C215="Biomass_Herb", 1/I215*T215)</f>
        <v>41.445122370315325</v>
      </c>
      <c r="AG215" s="1">
        <f t="shared" si="83"/>
        <v>46.196407138166478</v>
      </c>
      <c r="AH215" s="1">
        <f t="shared" si="84"/>
        <v>20.676496139643177</v>
      </c>
      <c r="AI215" s="1">
        <f t="shared" si="85"/>
        <v>23.353921887335712</v>
      </c>
      <c r="AJ215" s="1">
        <f t="shared" si="86"/>
        <v>1.5107105490051968E-6</v>
      </c>
      <c r="AK215" s="1">
        <f t="shared" si="87"/>
        <v>-30.130808346813833</v>
      </c>
      <c r="AL215">
        <f t="shared" si="88"/>
        <v>1.5894337210351742E-4</v>
      </c>
      <c r="AM215" s="1">
        <f t="shared" si="89"/>
        <v>-0.45983854840034022</v>
      </c>
      <c r="AN215" s="1">
        <f t="shared" si="90"/>
        <v>18.249425491822123</v>
      </c>
      <c r="AO215">
        <f t="shared" si="91"/>
        <v>-48.380074895263846</v>
      </c>
      <c r="AQ215" s="17">
        <f t="shared" si="92"/>
        <v>1.71</v>
      </c>
      <c r="AR215" s="8">
        <v>0.243968185</v>
      </c>
      <c r="AS215" s="8">
        <v>0.24942761299999999</v>
      </c>
      <c r="AT215" s="9">
        <v>0.24635668499999999</v>
      </c>
      <c r="AU215" s="17">
        <v>0.23037490999999999</v>
      </c>
      <c r="AW215" s="9">
        <f t="shared" si="93"/>
        <v>1.71</v>
      </c>
      <c r="AY215" s="9">
        <f t="shared" si="94"/>
        <v>9.612346489000001E-2</v>
      </c>
      <c r="AZ215" s="9">
        <f t="shared" si="95"/>
        <v>0</v>
      </c>
      <c r="BA215" s="9">
        <f t="shared" si="96"/>
        <v>0.43341531592050003</v>
      </c>
      <c r="BB215" s="9">
        <f t="shared" si="97"/>
        <v>0.19029087291904709</v>
      </c>
      <c r="BC215" s="9">
        <f t="shared" si="98"/>
        <v>0.99017359928347803</v>
      </c>
      <c r="BE215" s="1">
        <f t="shared" si="99"/>
        <v>-3.2530130251728906E-6</v>
      </c>
    </row>
    <row r="216" spans="2:57" x14ac:dyDescent="0.2">
      <c r="B216" s="12" t="s">
        <v>271</v>
      </c>
      <c r="C216" s="20" t="s">
        <v>77</v>
      </c>
      <c r="D216" s="20">
        <v>0.23300000000000001</v>
      </c>
      <c r="E216" s="20">
        <v>0</v>
      </c>
      <c r="F216" s="20">
        <v>0.3911</v>
      </c>
      <c r="G216" s="20">
        <v>1.746</v>
      </c>
      <c r="H216" s="20">
        <v>0</v>
      </c>
      <c r="I216" s="21">
        <f t="shared" si="75"/>
        <v>2.1371000000000002</v>
      </c>
      <c r="J216" s="20">
        <v>1.7</v>
      </c>
      <c r="K216" s="20">
        <v>0.98512332599406482</v>
      </c>
      <c r="L216" s="20">
        <v>0.18932031491445309</v>
      </c>
      <c r="M216" s="20">
        <v>784258.72</v>
      </c>
      <c r="N216" s="20">
        <v>351016.96000000002</v>
      </c>
      <c r="O216" s="20">
        <v>50.287999999999997</v>
      </c>
      <c r="Q216" s="19">
        <v>105.21100300000001</v>
      </c>
      <c r="R216" s="19">
        <v>-29.672038000000001</v>
      </c>
      <c r="S216" s="19">
        <v>160</v>
      </c>
      <c r="T216" s="19">
        <v>107.027154</v>
      </c>
      <c r="U216" s="19">
        <v>122.865223</v>
      </c>
      <c r="V216" s="19">
        <v>94.404420999999999</v>
      </c>
      <c r="W216" s="19">
        <v>25.118154000000001</v>
      </c>
      <c r="Y216" t="str">
        <f t="shared" si="76"/>
        <v>CEN_FT_High_Jetfuel_CCS_84_Agri</v>
      </c>
      <c r="Z216" t="str">
        <f t="shared" si="77"/>
        <v>Biomass_Agri</v>
      </c>
      <c r="AA216" s="18">
        <f t="shared" si="78"/>
        <v>97.525593475644769</v>
      </c>
      <c r="AB216" s="18">
        <f t="shared" si="79"/>
        <v>97.525593475644769</v>
      </c>
      <c r="AC216" s="5">
        <f t="shared" si="80"/>
        <v>0</v>
      </c>
      <c r="AD216" s="1">
        <f t="shared" si="81"/>
        <v>-2.7385381507650552</v>
      </c>
      <c r="AE216" s="1">
        <f t="shared" si="82"/>
        <v>0</v>
      </c>
      <c r="AF216" s="1">
        <f t="array" ref="AF216">_xlfn.IFS(C216="Biomass_Corn", 1/I216*S216, C216="Biomass_Agri", 1/I216*V216, C216="Biomass_Wood", 1/I216*U216, C216="Biomass_Herb", 1/I216*T216)</f>
        <v>44.174077488184921</v>
      </c>
      <c r="AG216" s="1">
        <f t="shared" si="83"/>
        <v>46.546592808298108</v>
      </c>
      <c r="AH216" s="1">
        <f t="shared" si="84"/>
        <v>20.833231546251302</v>
      </c>
      <c r="AI216" s="1">
        <f t="shared" si="85"/>
        <v>23.530953160825412</v>
      </c>
      <c r="AJ216" s="1">
        <f t="shared" si="86"/>
        <v>-7.6268213098992465E-7</v>
      </c>
      <c r="AK216" s="1">
        <f t="shared" si="87"/>
        <v>-34.820643134597937</v>
      </c>
      <c r="AL216">
        <f t="shared" si="88"/>
        <v>-8.0242551971627363E-5</v>
      </c>
      <c r="AM216" s="1">
        <f t="shared" si="89"/>
        <v>-0.46096343452437732</v>
      </c>
      <c r="AN216" s="1">
        <f t="shared" si="90"/>
        <v>13.677701915484665</v>
      </c>
      <c r="AO216">
        <f t="shared" si="91"/>
        <v>-48.498425292634572</v>
      </c>
      <c r="AQ216" s="17">
        <f t="shared" si="92"/>
        <v>1.7</v>
      </c>
      <c r="AR216" s="8">
        <v>0.243968185</v>
      </c>
      <c r="AS216" s="8">
        <v>0.24942761299999999</v>
      </c>
      <c r="AT216" s="9">
        <v>0.24635668499999999</v>
      </c>
      <c r="AU216" s="17">
        <v>0.23037490999999999</v>
      </c>
      <c r="AW216" s="9">
        <f t="shared" si="93"/>
        <v>1.7</v>
      </c>
      <c r="AY216" s="9">
        <f t="shared" si="94"/>
        <v>9.54159571535E-2</v>
      </c>
      <c r="AZ216" s="9">
        <f t="shared" si="95"/>
        <v>0</v>
      </c>
      <c r="BA216" s="9">
        <f t="shared" si="96"/>
        <v>0.43013877201</v>
      </c>
      <c r="BB216" s="9">
        <f t="shared" si="97"/>
        <v>0.18932031491445309</v>
      </c>
      <c r="BC216" s="9">
        <f t="shared" si="98"/>
        <v>0.98512332599406482</v>
      </c>
      <c r="BE216" s="1">
        <f t="shared" si="99"/>
        <v>1.6299279821385682E-6</v>
      </c>
    </row>
    <row r="217" spans="2:57" x14ac:dyDescent="0.2">
      <c r="B217" s="12" t="s">
        <v>272</v>
      </c>
      <c r="C217" s="20" t="s">
        <v>77</v>
      </c>
      <c r="D217" s="20">
        <v>0.23380000000000001</v>
      </c>
      <c r="E217" s="20">
        <v>0</v>
      </c>
      <c r="F217" s="20">
        <v>0.39240000000000003</v>
      </c>
      <c r="G217" s="20">
        <v>1.7521</v>
      </c>
      <c r="H217" s="20">
        <v>0</v>
      </c>
      <c r="I217" s="21">
        <f t="shared" si="75"/>
        <v>2.1444999999999999</v>
      </c>
      <c r="J217" s="20">
        <v>1.6890000000000001</v>
      </c>
      <c r="K217" s="20">
        <v>0.97435603674302484</v>
      </c>
      <c r="L217" s="20">
        <v>0.18725106476272721</v>
      </c>
      <c r="M217" s="20">
        <v>784258.72</v>
      </c>
      <c r="N217" s="20">
        <v>351016.96000000002</v>
      </c>
      <c r="O217" s="20">
        <v>50.287999999999997</v>
      </c>
      <c r="Q217" s="19">
        <v>105.21100300000001</v>
      </c>
      <c r="R217" s="19">
        <v>-45.510345000000001</v>
      </c>
      <c r="S217" s="19">
        <v>160</v>
      </c>
      <c r="T217" s="19">
        <v>97.593261999999996</v>
      </c>
      <c r="U217" s="19">
        <v>109.791234</v>
      </c>
      <c r="V217" s="19">
        <v>86.911507</v>
      </c>
      <c r="W217" s="19">
        <v>38.099075999999997</v>
      </c>
      <c r="Y217" t="str">
        <f t="shared" si="76"/>
        <v>SE_FT_High_Jetfuel_CCS_84_Agri</v>
      </c>
      <c r="Z217" t="str">
        <f t="shared" si="77"/>
        <v>Biomass_Agri</v>
      </c>
      <c r="AA217" s="18">
        <f t="shared" si="78"/>
        <v>99.845069072568052</v>
      </c>
      <c r="AB217" s="18">
        <f t="shared" si="79"/>
        <v>99.845069072568052</v>
      </c>
      <c r="AC217" s="5">
        <f t="shared" si="80"/>
        <v>0</v>
      </c>
      <c r="AD217" s="1">
        <f t="shared" si="81"/>
        <v>-4.1536786984378642</v>
      </c>
      <c r="AE217" s="1">
        <f t="shared" si="82"/>
        <v>0</v>
      </c>
      <c r="AF217" s="1">
        <f t="array" ref="AF217">_xlfn.IFS(C217="Biomass_Corn", 1/I217*S217, C217="Biomass_Agri", 1/I217*V217, C217="Biomass_Wood", 1/I217*U217, C217="Biomass_Herb", 1/I217*T217)</f>
        <v>40.527632082070411</v>
      </c>
      <c r="AG217" s="1">
        <f t="shared" si="83"/>
        <v>46.385975048082962</v>
      </c>
      <c r="AH217" s="1">
        <f t="shared" si="84"/>
        <v>20.761342568194763</v>
      </c>
      <c r="AI217" s="1">
        <f t="shared" si="85"/>
        <v>23.449755187689437</v>
      </c>
      <c r="AJ217" s="1">
        <f t="shared" si="86"/>
        <v>-8.5031064340896519E-6</v>
      </c>
      <c r="AK217" s="1">
        <f t="shared" si="87"/>
        <v>-27.12506249467511</v>
      </c>
      <c r="AL217">
        <f t="shared" si="88"/>
        <v>-8.9462035654632572E-4</v>
      </c>
      <c r="AM217" s="1">
        <f t="shared" si="89"/>
        <v>-0.4543596510397635</v>
      </c>
      <c r="AN217" s="1">
        <f t="shared" si="90"/>
        <v>20.677677493591858</v>
      </c>
      <c r="AO217">
        <f t="shared" si="91"/>
        <v>-47.803634608623511</v>
      </c>
      <c r="AQ217" s="17">
        <f t="shared" si="92"/>
        <v>1.6890000000000001</v>
      </c>
      <c r="AR217" s="8">
        <v>0.243968185</v>
      </c>
      <c r="AS217" s="8">
        <v>0.24942761299999999</v>
      </c>
      <c r="AT217" s="9">
        <v>0.24635668499999999</v>
      </c>
      <c r="AU217" s="17">
        <v>0.23037490999999999</v>
      </c>
      <c r="AW217" s="9">
        <f t="shared" si="93"/>
        <v>1.6890000000000001</v>
      </c>
      <c r="AY217" s="9">
        <f t="shared" si="94"/>
        <v>9.5733115794000012E-2</v>
      </c>
      <c r="AZ217" s="9">
        <f t="shared" si="95"/>
        <v>0</v>
      </c>
      <c r="BA217" s="9">
        <f t="shared" si="96"/>
        <v>0.4316415477885</v>
      </c>
      <c r="BB217" s="9">
        <f t="shared" si="97"/>
        <v>0.18725106476272721</v>
      </c>
      <c r="BC217" s="9">
        <f t="shared" si="98"/>
        <v>0.97435603674302484</v>
      </c>
      <c r="BE217" s="1">
        <f t="shared" si="99"/>
        <v>1.8234911747905258E-5</v>
      </c>
    </row>
    <row r="218" spans="2:57" x14ac:dyDescent="0.2">
      <c r="B218" s="12" t="s">
        <v>273</v>
      </c>
      <c r="C218" s="20" t="s">
        <v>77</v>
      </c>
      <c r="D218" s="20">
        <v>0.23449999999999999</v>
      </c>
      <c r="E218" s="20">
        <v>0</v>
      </c>
      <c r="F218" s="20">
        <v>0.39360000000000001</v>
      </c>
      <c r="G218" s="20">
        <v>1.7572000000000001</v>
      </c>
      <c r="H218" s="20">
        <v>0</v>
      </c>
      <c r="I218" s="21">
        <f t="shared" si="75"/>
        <v>2.1508000000000003</v>
      </c>
      <c r="J218" s="20">
        <v>1.708</v>
      </c>
      <c r="K218" s="20">
        <v>0.98900949570049124</v>
      </c>
      <c r="L218" s="20">
        <v>0.19006715630295559</v>
      </c>
      <c r="M218" s="20">
        <v>784258.72</v>
      </c>
      <c r="N218" s="20">
        <v>351016.96000000002</v>
      </c>
      <c r="O218" s="20">
        <v>50.287999999999997</v>
      </c>
      <c r="Q218" s="19">
        <v>105.21100300000001</v>
      </c>
      <c r="R218" s="19">
        <v>-50.334515000000003</v>
      </c>
      <c r="S218" s="19">
        <v>160</v>
      </c>
      <c r="T218" s="19">
        <v>98.707491000000005</v>
      </c>
      <c r="U218" s="19">
        <v>106.53195700000001</v>
      </c>
      <c r="V218" s="19">
        <v>87.469328000000004</v>
      </c>
      <c r="W218" s="19">
        <v>39.29871</v>
      </c>
      <c r="Y218" t="str">
        <f t="shared" si="76"/>
        <v>MIDAT_FT_High_Jetfuel_CCS_84_Agri</v>
      </c>
      <c r="Z218" t="str">
        <f t="shared" si="77"/>
        <v>Biomass_Agri</v>
      </c>
      <c r="AA218" s="18">
        <f t="shared" si="78"/>
        <v>101.48125704288111</v>
      </c>
      <c r="AB218" s="18">
        <f t="shared" si="79"/>
        <v>101.48125704288114</v>
      </c>
      <c r="AC218" s="5">
        <f t="shared" si="80"/>
        <v>0</v>
      </c>
      <c r="AD218" s="1">
        <f t="shared" si="81"/>
        <v>-4.2847068509391848</v>
      </c>
      <c r="AE218" s="1">
        <f t="shared" si="82"/>
        <v>0</v>
      </c>
      <c r="AF218" s="1">
        <f t="array" ref="AF218">_xlfn.IFS(C218="Biomass_Corn", 1/I218*S218, C218="Biomass_Agri", 1/I218*V218, C218="Biomass_Wood", 1/I218*U218, C218="Biomass_Herb", 1/I218*T218)</f>
        <v>40.668275990329178</v>
      </c>
      <c r="AG218" s="1">
        <f t="shared" si="83"/>
        <v>46.250103910458378</v>
      </c>
      <c r="AH218" s="1">
        <f t="shared" si="84"/>
        <v>20.700529634319164</v>
      </c>
      <c r="AI218" s="1">
        <f t="shared" si="85"/>
        <v>23.381067509763806</v>
      </c>
      <c r="AJ218" s="1">
        <f t="shared" si="86"/>
        <v>2.3084500969173698E-7</v>
      </c>
      <c r="AK218" s="1">
        <f t="shared" si="87"/>
        <v>-25.234037438485242</v>
      </c>
      <c r="AL218">
        <f t="shared" si="88"/>
        <v>2.428743500721237E-5</v>
      </c>
      <c r="AM218" s="1">
        <f t="shared" si="89"/>
        <v>-0.45983308499118664</v>
      </c>
      <c r="AN218" s="1">
        <f t="shared" si="90"/>
        <v>23.145486933456766</v>
      </c>
      <c r="AO218">
        <f t="shared" si="91"/>
        <v>-48.379500084506994</v>
      </c>
      <c r="AQ218" s="17">
        <f t="shared" si="92"/>
        <v>1.708</v>
      </c>
      <c r="AR218" s="8">
        <v>0.243968185</v>
      </c>
      <c r="AS218" s="8">
        <v>0.24942761299999999</v>
      </c>
      <c r="AT218" s="9">
        <v>0.24635668499999999</v>
      </c>
      <c r="AU218" s="17">
        <v>0.23037490999999999</v>
      </c>
      <c r="AW218" s="9">
        <f t="shared" si="93"/>
        <v>1.708</v>
      </c>
      <c r="AY218" s="9">
        <f t="shared" si="94"/>
        <v>9.6025877615999997E-2</v>
      </c>
      <c r="AZ218" s="9">
        <f t="shared" si="95"/>
        <v>0</v>
      </c>
      <c r="BA218" s="9">
        <f t="shared" si="96"/>
        <v>0.432897966882</v>
      </c>
      <c r="BB218" s="9">
        <f t="shared" si="97"/>
        <v>0.19006715630295559</v>
      </c>
      <c r="BC218" s="9">
        <f t="shared" si="98"/>
        <v>0.98900949570049124</v>
      </c>
      <c r="BE218" s="1">
        <f t="shared" si="99"/>
        <v>-4.9650144684498798E-7</v>
      </c>
    </row>
    <row r="219" spans="2:57" x14ac:dyDescent="0.2">
      <c r="B219" s="12" t="s">
        <v>274</v>
      </c>
      <c r="C219" s="20" t="s">
        <v>77</v>
      </c>
      <c r="D219" s="20">
        <v>0.23719999999999999</v>
      </c>
      <c r="E219" s="20">
        <v>0</v>
      </c>
      <c r="F219" s="20">
        <v>0.39810000000000001</v>
      </c>
      <c r="G219" s="20">
        <v>1.7776000000000001</v>
      </c>
      <c r="H219" s="20">
        <v>0</v>
      </c>
      <c r="I219" s="21">
        <f t="shared" si="75"/>
        <v>2.1757</v>
      </c>
      <c r="J219" s="20">
        <v>1.7150000000000001</v>
      </c>
      <c r="K219" s="20">
        <v>0.9897461315303584</v>
      </c>
      <c r="L219" s="20">
        <v>0.1902087224638695</v>
      </c>
      <c r="M219" s="20">
        <v>784258.72</v>
      </c>
      <c r="N219" s="20">
        <v>351016.96000000002</v>
      </c>
      <c r="O219" s="20">
        <v>50.287999999999997</v>
      </c>
      <c r="Q219" s="19">
        <v>105.21100300000001</v>
      </c>
      <c r="R219" s="19">
        <v>-58.833413</v>
      </c>
      <c r="S219" s="19">
        <v>160</v>
      </c>
      <c r="T219" s="19">
        <v>99.493746999999999</v>
      </c>
      <c r="U219" s="19">
        <v>105.21395800000001</v>
      </c>
      <c r="V219" s="19">
        <v>89.700445000000002</v>
      </c>
      <c r="W219" s="19">
        <v>47.365060999999997</v>
      </c>
      <c r="Y219" t="str">
        <f t="shared" si="76"/>
        <v>NE_FT_High_Jetfuel_CCS_84_Agri</v>
      </c>
      <c r="Z219" t="str">
        <f t="shared" si="77"/>
        <v>Biomass_Agri</v>
      </c>
      <c r="AA219" s="18">
        <f t="shared" si="78"/>
        <v>104.26486632622516</v>
      </c>
      <c r="AB219" s="18">
        <f t="shared" si="79"/>
        <v>104.26486632622516</v>
      </c>
      <c r="AC219" s="5">
        <f t="shared" si="80"/>
        <v>0</v>
      </c>
      <c r="AD219" s="1">
        <f t="shared" si="81"/>
        <v>-5.1638518496116186</v>
      </c>
      <c r="AE219" s="1">
        <f t="shared" si="82"/>
        <v>0</v>
      </c>
      <c r="AF219" s="1">
        <f t="array" ref="AF219">_xlfn.IFS(C219="Biomass_Corn", 1/I219*S219, C219="Biomass_Agri", 1/I219*V219, C219="Biomass_Wood", 1/I219*U219, C219="Biomass_Herb", 1/I219*T219)</f>
        <v>41.228315025049412</v>
      </c>
      <c r="AG219" s="1">
        <f t="shared" si="83"/>
        <v>45.720790316042603</v>
      </c>
      <c r="AH219" s="1">
        <f t="shared" si="84"/>
        <v>20.463620507190175</v>
      </c>
      <c r="AI219" s="1">
        <f t="shared" si="85"/>
        <v>23.113480718849104</v>
      </c>
      <c r="AJ219" s="1">
        <f t="shared" si="86"/>
        <v>1.0257382579478021E-6</v>
      </c>
      <c r="AK219" s="1">
        <f t="shared" si="87"/>
        <v>-21.097596310245454</v>
      </c>
      <c r="AL219">
        <f t="shared" si="88"/>
        <v>1.0791895093416098E-4</v>
      </c>
      <c r="AM219" s="1">
        <f t="shared" si="89"/>
        <v>-0.45490825933337803</v>
      </c>
      <c r="AN219" s="1">
        <f t="shared" si="90"/>
        <v>26.763865846154292</v>
      </c>
      <c r="AO219">
        <f t="shared" si="91"/>
        <v>-47.861354237448815</v>
      </c>
      <c r="AQ219" s="17">
        <f t="shared" si="92"/>
        <v>1.7150000000000001</v>
      </c>
      <c r="AR219" s="8">
        <v>0.243968185</v>
      </c>
      <c r="AS219" s="8">
        <v>0.24942761299999999</v>
      </c>
      <c r="AT219" s="9">
        <v>0.24635668499999999</v>
      </c>
      <c r="AU219" s="17">
        <v>0.23037490999999999</v>
      </c>
      <c r="AW219" s="9">
        <f t="shared" si="93"/>
        <v>1.7150000000000001</v>
      </c>
      <c r="AY219" s="9">
        <f t="shared" si="94"/>
        <v>9.7123734448500004E-2</v>
      </c>
      <c r="AZ219" s="9">
        <f t="shared" si="95"/>
        <v>0</v>
      </c>
      <c r="BA219" s="9">
        <f t="shared" si="96"/>
        <v>0.43792364325600003</v>
      </c>
      <c r="BB219" s="9">
        <f t="shared" si="97"/>
        <v>0.1902087224638695</v>
      </c>
      <c r="BC219" s="9">
        <f t="shared" si="98"/>
        <v>0.9897461315303584</v>
      </c>
      <c r="BE219" s="1">
        <f t="shared" si="99"/>
        <v>-2.231698727817033E-6</v>
      </c>
    </row>
    <row r="220" spans="2:57" x14ac:dyDescent="0.2">
      <c r="B220" s="12" t="s">
        <v>275</v>
      </c>
      <c r="C220" s="20" t="s">
        <v>57</v>
      </c>
      <c r="D220" s="20">
        <v>0.50849999999999995</v>
      </c>
      <c r="E220" s="20">
        <v>0</v>
      </c>
      <c r="F220" s="20">
        <v>0.31509999999999999</v>
      </c>
      <c r="G220" s="20">
        <v>1.4047000000000001</v>
      </c>
      <c r="H220" s="20">
        <v>0</v>
      </c>
      <c r="I220" s="21">
        <f t="shared" si="75"/>
        <v>1.7198</v>
      </c>
      <c r="J220" s="20">
        <v>1.7210000000000001</v>
      </c>
      <c r="K220" s="20">
        <v>1.285468733313768</v>
      </c>
      <c r="L220" s="20">
        <v>1.2591181170497401E-2</v>
      </c>
      <c r="M220" s="20">
        <v>818543.04</v>
      </c>
      <c r="N220" s="20">
        <v>359028.32</v>
      </c>
      <c r="O220" s="20">
        <v>52.08</v>
      </c>
      <c r="Q220" s="19">
        <v>105.21100300000001</v>
      </c>
      <c r="R220" s="19">
        <v>-6.4122130000000004</v>
      </c>
      <c r="S220" s="19">
        <v>160</v>
      </c>
      <c r="T220" s="19">
        <v>313632.96735400002</v>
      </c>
      <c r="U220" s="19">
        <v>154.036981</v>
      </c>
      <c r="V220" s="19">
        <v>132.85973799999999</v>
      </c>
      <c r="W220" s="19">
        <v>36.488697999999999</v>
      </c>
      <c r="Y220" t="str">
        <f t="shared" si="76"/>
        <v>CA_FT_High_Jetfuel_CCS_99_Herb</v>
      </c>
      <c r="Z220" t="str">
        <f t="shared" si="77"/>
        <v>Biomass_Herb</v>
      </c>
      <c r="AA220" s="18">
        <f t="shared" si="78"/>
        <v>182398.44829367122</v>
      </c>
      <c r="AB220" s="18">
        <f t="shared" si="79"/>
        <v>182398.44829367122</v>
      </c>
      <c r="AC220" s="5">
        <f t="shared" si="80"/>
        <v>0</v>
      </c>
      <c r="AD220" s="1">
        <f t="shared" si="81"/>
        <v>-10.78875621176881</v>
      </c>
      <c r="AE220" s="1">
        <f t="shared" si="82"/>
        <v>0</v>
      </c>
      <c r="AF220" s="1">
        <f t="array" ref="AF220">_xlfn.IFS(C220="Biomass_Corn", 1/I220*S220, C220="Biomass_Agri", 1/I220*V220, C220="Biomass_Wood", 1/I220*U220, C220="Biomass_Herb", 1/I220*T220)</f>
        <v>182365.95380509362</v>
      </c>
      <c r="AG220" s="1">
        <f t="shared" si="83"/>
        <v>60.369413950827528</v>
      </c>
      <c r="AH220" s="1">
        <f t="shared" si="84"/>
        <v>26.479156514665579</v>
      </c>
      <c r="AI220" s="1">
        <f t="shared" si="85"/>
        <v>30.282590998953367</v>
      </c>
      <c r="AJ220" s="1">
        <f t="shared" si="86"/>
        <v>-4.9279001829917061E-6</v>
      </c>
      <c r="AK220" s="1">
        <f t="shared" si="87"/>
        <v>-73.847398205740774</v>
      </c>
      <c r="AL220">
        <f t="shared" si="88"/>
        <v>-5.1846932093644097E-4</v>
      </c>
      <c r="AM220" s="1">
        <f t="shared" si="89"/>
        <v>-0.7474573836007109</v>
      </c>
      <c r="AN220" s="1">
        <f t="shared" si="90"/>
        <v>4.7928243533248498</v>
      </c>
      <c r="AO220">
        <f t="shared" si="91"/>
        <v>-78.640741028386543</v>
      </c>
      <c r="AQ220" s="17">
        <f t="shared" si="92"/>
        <v>1.7210000000000001</v>
      </c>
      <c r="AR220" s="8">
        <v>0.243968185</v>
      </c>
      <c r="AS220" s="8">
        <v>0.24942761299999999</v>
      </c>
      <c r="AT220" s="9">
        <v>0.24635668499999999</v>
      </c>
      <c r="AU220" s="17">
        <v>0.23037490999999999</v>
      </c>
      <c r="AW220" s="9">
        <f t="shared" si="93"/>
        <v>1.7210000000000001</v>
      </c>
      <c r="AY220" s="9">
        <f t="shared" si="94"/>
        <v>7.6874375093499994E-2</v>
      </c>
      <c r="AZ220" s="9">
        <f t="shared" si="95"/>
        <v>0</v>
      </c>
      <c r="BA220" s="9">
        <f t="shared" si="96"/>
        <v>0.34605723541950001</v>
      </c>
      <c r="BB220" s="9">
        <f t="shared" si="97"/>
        <v>1.2591181170497401E-2</v>
      </c>
      <c r="BC220" s="9">
        <f t="shared" si="98"/>
        <v>1.285468733313768</v>
      </c>
      <c r="BE220" s="1">
        <f t="shared" si="99"/>
        <v>8.4750027347091361E-6</v>
      </c>
    </row>
    <row r="221" spans="2:57" x14ac:dyDescent="0.2">
      <c r="B221" s="12" t="s">
        <v>276</v>
      </c>
      <c r="C221" s="20" t="s">
        <v>57</v>
      </c>
      <c r="D221" s="20">
        <v>0.50960000000000005</v>
      </c>
      <c r="E221" s="20">
        <v>0</v>
      </c>
      <c r="F221" s="20">
        <v>0.31580000000000003</v>
      </c>
      <c r="G221" s="20">
        <v>1.4077999999999999</v>
      </c>
      <c r="H221" s="20">
        <v>0</v>
      </c>
      <c r="I221" s="21">
        <f t="shared" si="75"/>
        <v>1.7236</v>
      </c>
      <c r="J221" s="20">
        <v>1.726</v>
      </c>
      <c r="K221" s="20">
        <v>1.2894992051297409</v>
      </c>
      <c r="L221" s="20">
        <v>1.2630659688739301E-2</v>
      </c>
      <c r="M221" s="20">
        <v>818543.04</v>
      </c>
      <c r="N221" s="20">
        <v>359028.32</v>
      </c>
      <c r="O221" s="20">
        <v>52.08</v>
      </c>
      <c r="Q221" s="19">
        <v>105.21100300000001</v>
      </c>
      <c r="R221" s="19">
        <v>-7.3796590000000002</v>
      </c>
      <c r="S221" s="19">
        <v>160</v>
      </c>
      <c r="T221" s="19">
        <v>130.996602</v>
      </c>
      <c r="U221" s="19">
        <v>149.05667199999999</v>
      </c>
      <c r="V221" s="19">
        <v>112.26938</v>
      </c>
      <c r="W221" s="19">
        <v>26.787863000000002</v>
      </c>
      <c r="Y221" t="str">
        <f t="shared" si="76"/>
        <v>NW_FT_High_Jetfuel_CCS_99_Herb</v>
      </c>
      <c r="Z221" t="str">
        <f t="shared" si="77"/>
        <v>Biomass_Herb</v>
      </c>
      <c r="AA221" s="18">
        <f t="shared" si="78"/>
        <v>111.76248143225958</v>
      </c>
      <c r="AB221" s="18">
        <f t="shared" si="79"/>
        <v>111.76248143225956</v>
      </c>
      <c r="AC221" s="5">
        <f t="shared" si="80"/>
        <v>0</v>
      </c>
      <c r="AD221" s="1">
        <f t="shared" si="81"/>
        <v>-7.9201061643072652</v>
      </c>
      <c r="AE221" s="1">
        <f t="shared" si="82"/>
        <v>0</v>
      </c>
      <c r="AF221" s="1">
        <f t="array" ref="AF221">_xlfn.IFS(C221="Biomass_Corn", 1/I221*S221, C221="Biomass_Agri", 1/I221*V221, C221="Biomass_Wood", 1/I221*U221, C221="Biomass_Herb", 1/I221*T221)</f>
        <v>76.001741703411454</v>
      </c>
      <c r="AG221" s="1">
        <f t="shared" si="83"/>
        <v>60.236318236617066</v>
      </c>
      <c r="AH221" s="1">
        <f t="shared" si="84"/>
        <v>26.420778239685465</v>
      </c>
      <c r="AI221" s="1">
        <f t="shared" si="85"/>
        <v>30.215827338129493</v>
      </c>
      <c r="AJ221" s="1">
        <f t="shared" si="86"/>
        <v>-2.3446365280685041E-6</v>
      </c>
      <c r="AK221" s="1">
        <f t="shared" si="87"/>
        <v>-73.191831239715853</v>
      </c>
      <c r="AL221">
        <f t="shared" si="88"/>
        <v>-2.46681560788525E-4</v>
      </c>
      <c r="AM221" s="1">
        <f t="shared" si="89"/>
        <v>-0.74814530421516634</v>
      </c>
      <c r="AN221" s="1">
        <f t="shared" si="90"/>
        <v>5.5210399249411344</v>
      </c>
      <c r="AO221">
        <f t="shared" si="91"/>
        <v>-78.713117846217784</v>
      </c>
      <c r="AQ221" s="17">
        <f t="shared" si="92"/>
        <v>1.726</v>
      </c>
      <c r="AR221" s="8">
        <v>0.243968185</v>
      </c>
      <c r="AS221" s="8">
        <v>0.24942761299999999</v>
      </c>
      <c r="AT221" s="9">
        <v>0.24635668499999999</v>
      </c>
      <c r="AU221" s="17">
        <v>0.23037490999999999</v>
      </c>
      <c r="AW221" s="9">
        <f t="shared" si="93"/>
        <v>1.726</v>
      </c>
      <c r="AY221" s="9">
        <f t="shared" si="94"/>
        <v>7.7045152823000007E-2</v>
      </c>
      <c r="AZ221" s="9">
        <f t="shared" si="95"/>
        <v>0</v>
      </c>
      <c r="BA221" s="9">
        <f t="shared" si="96"/>
        <v>0.34682094114299999</v>
      </c>
      <c r="BB221" s="9">
        <f t="shared" si="97"/>
        <v>1.2630659688739301E-2</v>
      </c>
      <c r="BC221" s="9">
        <f t="shared" si="98"/>
        <v>1.2894992051297409</v>
      </c>
      <c r="BE221" s="1">
        <f t="shared" si="99"/>
        <v>4.0412155197788735E-6</v>
      </c>
    </row>
    <row r="222" spans="2:57" x14ac:dyDescent="0.2">
      <c r="B222" s="12" t="s">
        <v>277</v>
      </c>
      <c r="C222" s="20" t="s">
        <v>57</v>
      </c>
      <c r="D222" s="20">
        <v>0.50629999999999997</v>
      </c>
      <c r="E222" s="20">
        <v>0</v>
      </c>
      <c r="F222" s="20">
        <v>0.31369999999999998</v>
      </c>
      <c r="G222" s="20">
        <v>1.3986000000000001</v>
      </c>
      <c r="H222" s="20">
        <v>0</v>
      </c>
      <c r="I222" s="21">
        <f t="shared" si="75"/>
        <v>1.7122999999999999</v>
      </c>
      <c r="J222" s="20">
        <v>1.71</v>
      </c>
      <c r="K222" s="20">
        <v>1.276417489681821</v>
      </c>
      <c r="L222" s="20">
        <v>1.25025241340136E-2</v>
      </c>
      <c r="M222" s="20">
        <v>818543.04</v>
      </c>
      <c r="N222" s="20">
        <v>359028.32</v>
      </c>
      <c r="O222" s="20">
        <v>52.08</v>
      </c>
      <c r="Q222" s="19">
        <v>105.21100300000001</v>
      </c>
      <c r="R222" s="19">
        <v>-14.567418</v>
      </c>
      <c r="S222" s="19">
        <v>160</v>
      </c>
      <c r="T222" s="19">
        <v>120.282189</v>
      </c>
      <c r="U222" s="19">
        <v>137.475031</v>
      </c>
      <c r="V222" s="19">
        <v>107.559866</v>
      </c>
      <c r="W222" s="19">
        <v>27.957547000000002</v>
      </c>
      <c r="Y222" t="str">
        <f t="shared" si="76"/>
        <v>SW_FT_High_Jetfuel_CCS_99_Herb</v>
      </c>
      <c r="Z222" t="str">
        <f t="shared" si="77"/>
        <v>Biomass_Herb</v>
      </c>
      <c r="AA222" s="18">
        <f t="shared" si="78"/>
        <v>112.05464260494574</v>
      </c>
      <c r="AB222" s="18">
        <f t="shared" si="79"/>
        <v>112.05464260494574</v>
      </c>
      <c r="AC222" s="5">
        <f t="shared" si="80"/>
        <v>0</v>
      </c>
      <c r="AD222" s="1">
        <f t="shared" si="81"/>
        <v>-8.2666040098697664</v>
      </c>
      <c r="AE222" s="1">
        <f t="shared" si="82"/>
        <v>0</v>
      </c>
      <c r="AF222" s="1">
        <f t="array" ref="AF222">_xlfn.IFS(C222="Biomass_Corn", 1/I222*S222, C222="Biomass_Agri", 1/I222*V222, C222="Biomass_Wood", 1/I222*U222, C222="Biomass_Herb", 1/I222*T222)</f>
        <v>70.245978508438952</v>
      </c>
      <c r="AG222" s="1">
        <f t="shared" si="83"/>
        <v>60.633836426229742</v>
      </c>
      <c r="AH222" s="1">
        <f t="shared" si="84"/>
        <v>26.595137168674803</v>
      </c>
      <c r="AI222" s="1">
        <f t="shared" si="85"/>
        <v>30.415230975880394</v>
      </c>
      <c r="AJ222" s="1">
        <f t="shared" si="86"/>
        <v>4.2592368946013299E-6</v>
      </c>
      <c r="AK222" s="1">
        <f t="shared" si="87"/>
        <v>-67.569384582994076</v>
      </c>
      <c r="AL222">
        <f t="shared" si="88"/>
        <v>4.4811858569561121E-4</v>
      </c>
      <c r="AM222" s="1">
        <f t="shared" si="89"/>
        <v>-0.74543607813495671</v>
      </c>
      <c r="AN222" s="1">
        <f t="shared" si="90"/>
        <v>10.85914098855678</v>
      </c>
      <c r="AO222">
        <f t="shared" si="91"/>
        <v>-78.428077452965169</v>
      </c>
      <c r="AQ222" s="17">
        <f t="shared" si="92"/>
        <v>1.71</v>
      </c>
      <c r="AR222" s="8">
        <v>0.243968185</v>
      </c>
      <c r="AS222" s="8">
        <v>0.24942761299999999</v>
      </c>
      <c r="AT222" s="9">
        <v>0.24635668499999999</v>
      </c>
      <c r="AU222" s="17">
        <v>0.23037490999999999</v>
      </c>
      <c r="AW222" s="9">
        <f t="shared" si="93"/>
        <v>1.71</v>
      </c>
      <c r="AY222" s="9">
        <f t="shared" si="94"/>
        <v>7.6532819634499996E-2</v>
      </c>
      <c r="AZ222" s="9">
        <f t="shared" si="95"/>
        <v>0</v>
      </c>
      <c r="BA222" s="9">
        <f t="shared" si="96"/>
        <v>0.34455445964100001</v>
      </c>
      <c r="BB222" s="9">
        <f t="shared" si="97"/>
        <v>1.25025241340136E-2</v>
      </c>
      <c r="BC222" s="9">
        <f t="shared" si="98"/>
        <v>1.276417489681821</v>
      </c>
      <c r="BE222" s="1">
        <f t="shared" si="99"/>
        <v>-7.2930913346258563E-6</v>
      </c>
    </row>
    <row r="223" spans="2:57" x14ac:dyDescent="0.2">
      <c r="B223" s="12" t="s">
        <v>278</v>
      </c>
      <c r="C223" s="20" t="s">
        <v>57</v>
      </c>
      <c r="D223" s="20">
        <v>0.50739999999999996</v>
      </c>
      <c r="E223" s="20">
        <v>0</v>
      </c>
      <c r="F223" s="20">
        <v>0.31440000000000001</v>
      </c>
      <c r="G223" s="20">
        <v>1.4016999999999999</v>
      </c>
      <c r="H223" s="20">
        <v>0</v>
      </c>
      <c r="I223" s="21">
        <f t="shared" si="75"/>
        <v>1.7161</v>
      </c>
      <c r="J223" s="20">
        <v>1.714</v>
      </c>
      <c r="K223" s="20">
        <v>1.2794576614977951</v>
      </c>
      <c r="L223" s="20">
        <v>1.25323026522555E-2</v>
      </c>
      <c r="M223" s="20">
        <v>818543.04</v>
      </c>
      <c r="N223" s="20">
        <v>359028.32</v>
      </c>
      <c r="O223" s="20">
        <v>52.08</v>
      </c>
      <c r="Q223" s="19">
        <v>105.21100300000001</v>
      </c>
      <c r="R223" s="19">
        <v>-19.477884</v>
      </c>
      <c r="S223" s="19">
        <v>160</v>
      </c>
      <c r="T223" s="19">
        <v>132.95547999999999</v>
      </c>
      <c r="U223" s="19">
        <v>152.57709199999999</v>
      </c>
      <c r="V223" s="19">
        <v>106.67488899999999</v>
      </c>
      <c r="W223" s="19">
        <v>20.174973000000001</v>
      </c>
      <c r="Y223" t="str">
        <f t="shared" si="76"/>
        <v>TX_FT_High_Jetfuel_CCS_99_Herb</v>
      </c>
      <c r="Z223" t="str">
        <f t="shared" si="77"/>
        <v>Biomass_Herb</v>
      </c>
      <c r="AA223" s="18">
        <f t="shared" si="78"/>
        <v>124.97535576852003</v>
      </c>
      <c r="AB223" s="18">
        <f t="shared" si="79"/>
        <v>124.97535576852003</v>
      </c>
      <c r="AC223" s="5">
        <f t="shared" si="80"/>
        <v>0</v>
      </c>
      <c r="AD223" s="1">
        <f t="shared" si="81"/>
        <v>-5.9651426491463209</v>
      </c>
      <c r="AE223" s="1">
        <f t="shared" si="82"/>
        <v>0</v>
      </c>
      <c r="AF223" s="1">
        <f t="array" ref="AF223">_xlfn.IFS(C223="Biomass_Corn", 1/I223*S223, C223="Biomass_Agri", 1/I223*V223, C223="Biomass_Wood", 1/I223*U223, C223="Biomass_Herb", 1/I223*T223)</f>
        <v>77.475368568265239</v>
      </c>
      <c r="AG223" s="1">
        <f t="shared" si="83"/>
        <v>60.499573517063801</v>
      </c>
      <c r="AH223" s="1">
        <f t="shared" si="84"/>
        <v>26.536246940109475</v>
      </c>
      <c r="AI223" s="1">
        <f t="shared" si="85"/>
        <v>30.34788182506847</v>
      </c>
      <c r="AJ223" s="1">
        <f t="shared" si="86"/>
        <v>6.833447089718747E-6</v>
      </c>
      <c r="AK223" s="1">
        <f t="shared" si="87"/>
        <v>-63.919291386662891</v>
      </c>
      <c r="AL223">
        <f t="shared" si="88"/>
        <v>7.1895382225674038E-4</v>
      </c>
      <c r="AM223" s="1">
        <f t="shared" si="89"/>
        <v>-0.74555441677014422</v>
      </c>
      <c r="AN223" s="1">
        <f t="shared" si="90"/>
        <v>14.521955546626256</v>
      </c>
      <c r="AO223">
        <f t="shared" si="91"/>
        <v>-78.440527979466893</v>
      </c>
      <c r="AQ223" s="17">
        <f t="shared" si="92"/>
        <v>1.714</v>
      </c>
      <c r="AR223" s="8">
        <v>0.243968185</v>
      </c>
      <c r="AS223" s="8">
        <v>0.24942761299999999</v>
      </c>
      <c r="AT223" s="9">
        <v>0.24635668499999999</v>
      </c>
      <c r="AU223" s="17">
        <v>0.23037490999999999</v>
      </c>
      <c r="AW223" s="9">
        <f t="shared" si="93"/>
        <v>1.714</v>
      </c>
      <c r="AY223" s="9">
        <f t="shared" si="94"/>
        <v>7.6703597364000009E-2</v>
      </c>
      <c r="AZ223" s="9">
        <f t="shared" si="95"/>
        <v>0</v>
      </c>
      <c r="BA223" s="9">
        <f t="shared" si="96"/>
        <v>0.3453181653645</v>
      </c>
      <c r="BB223" s="9">
        <f t="shared" si="97"/>
        <v>1.25323026522555E-2</v>
      </c>
      <c r="BC223" s="9">
        <f t="shared" si="98"/>
        <v>1.2794576614977951</v>
      </c>
      <c r="BE223" s="1">
        <f t="shared" si="99"/>
        <v>-1.1726878550666342E-5</v>
      </c>
    </row>
    <row r="224" spans="2:57" x14ac:dyDescent="0.2">
      <c r="B224" s="12" t="s">
        <v>279</v>
      </c>
      <c r="C224" s="20" t="s">
        <v>57</v>
      </c>
      <c r="D224" s="20">
        <v>0.51270000000000004</v>
      </c>
      <c r="E224" s="20">
        <v>0</v>
      </c>
      <c r="F224" s="20">
        <v>0.31769999999999998</v>
      </c>
      <c r="G224" s="20">
        <v>1.4162999999999999</v>
      </c>
      <c r="H224" s="20">
        <v>0</v>
      </c>
      <c r="I224" s="21">
        <f t="shared" si="75"/>
        <v>1.734</v>
      </c>
      <c r="J224" s="20">
        <v>1.74</v>
      </c>
      <c r="K224" s="20">
        <v>1.3008305776236671</v>
      </c>
      <c r="L224" s="20">
        <v>1.27416506139044E-2</v>
      </c>
      <c r="M224" s="20">
        <v>818543.04</v>
      </c>
      <c r="N224" s="20">
        <v>359028.32</v>
      </c>
      <c r="O224" s="20">
        <v>52.08</v>
      </c>
      <c r="Q224" s="19">
        <v>105.21100300000001</v>
      </c>
      <c r="R224" s="19">
        <v>-39.686463000000003</v>
      </c>
      <c r="S224" s="19">
        <v>160</v>
      </c>
      <c r="T224" s="19">
        <v>100.757654</v>
      </c>
      <c r="U224" s="19">
        <v>111.990773</v>
      </c>
      <c r="V224" s="19">
        <v>89.243781999999996</v>
      </c>
      <c r="W224" s="19">
        <v>30.713950000000001</v>
      </c>
      <c r="Y224" t="str">
        <f t="shared" si="76"/>
        <v>NCEN_FT_High_Jetfuel_CCS_99_Herb</v>
      </c>
      <c r="Z224" t="str">
        <f t="shared" si="77"/>
        <v>Biomass_Herb</v>
      </c>
      <c r="AA224" s="18">
        <f t="shared" si="78"/>
        <v>116.04153752249572</v>
      </c>
      <c r="AB224" s="18">
        <f t="shared" si="79"/>
        <v>116.04153752249572</v>
      </c>
      <c r="AC224" s="5">
        <f t="shared" si="80"/>
        <v>0</v>
      </c>
      <c r="AD224" s="1">
        <f t="shared" si="81"/>
        <v>-9.081339195501732</v>
      </c>
      <c r="AE224" s="1">
        <f t="shared" si="82"/>
        <v>0</v>
      </c>
      <c r="AF224" s="1">
        <f t="array" ref="AF224">_xlfn.IFS(C224="Biomass_Corn", 1/I224*S224, C224="Biomass_Agri", 1/I224*V224, C224="Biomass_Wood", 1/I224*U224, C224="Biomass_Herb", 1/I224*T224)</f>
        <v>58.107066897347181</v>
      </c>
      <c r="AG224" s="1">
        <f t="shared" si="83"/>
        <v>59.875039280641978</v>
      </c>
      <c r="AH224" s="1">
        <f t="shared" si="84"/>
        <v>26.262314517832682</v>
      </c>
      <c r="AI224" s="1">
        <f t="shared" si="85"/>
        <v>30.034602076124568</v>
      </c>
      <c r="AJ224" s="1">
        <f t="shared" si="86"/>
        <v>-2.3681790245330524E-6</v>
      </c>
      <c r="AK224" s="1">
        <f t="shared" si="87"/>
        <v>-49.155896895458525</v>
      </c>
      <c r="AL224">
        <f t="shared" si="88"/>
        <v>-2.4915849045468406E-4</v>
      </c>
      <c r="AM224" s="1">
        <f t="shared" si="89"/>
        <v>-0.75019301271401129</v>
      </c>
      <c r="AN224" s="1">
        <f t="shared" si="90"/>
        <v>29.772413257283905</v>
      </c>
      <c r="AO224">
        <f t="shared" si="91"/>
        <v>-78.928559311232888</v>
      </c>
      <c r="AQ224" s="17">
        <f t="shared" si="92"/>
        <v>1.74</v>
      </c>
      <c r="AR224" s="8">
        <v>0.243968185</v>
      </c>
      <c r="AS224" s="8">
        <v>0.24942761299999999</v>
      </c>
      <c r="AT224" s="9">
        <v>0.24635668499999999</v>
      </c>
      <c r="AU224" s="17">
        <v>0.23037490999999999</v>
      </c>
      <c r="AW224" s="9">
        <f t="shared" si="93"/>
        <v>1.74</v>
      </c>
      <c r="AY224" s="9">
        <f t="shared" si="94"/>
        <v>7.7508692374499991E-2</v>
      </c>
      <c r="AZ224" s="9">
        <f t="shared" si="95"/>
        <v>0</v>
      </c>
      <c r="BA224" s="9">
        <f t="shared" si="96"/>
        <v>0.34891497296549995</v>
      </c>
      <c r="BB224" s="9">
        <f t="shared" si="97"/>
        <v>1.27416506139044E-2</v>
      </c>
      <c r="BC224" s="9">
        <f t="shared" si="98"/>
        <v>1.3008305776236671</v>
      </c>
      <c r="BE224" s="1">
        <f t="shared" si="99"/>
        <v>4.1064224285403128E-6</v>
      </c>
    </row>
    <row r="225" spans="2:57" x14ac:dyDescent="0.2">
      <c r="B225" s="12" t="s">
        <v>280</v>
      </c>
      <c r="C225" s="20" t="s">
        <v>57</v>
      </c>
      <c r="D225" s="20">
        <v>0.50960000000000005</v>
      </c>
      <c r="E225" s="20">
        <v>0</v>
      </c>
      <c r="F225" s="20">
        <v>0.31580000000000003</v>
      </c>
      <c r="G225" s="20">
        <v>1.4077999999999999</v>
      </c>
      <c r="H225" s="20">
        <v>0</v>
      </c>
      <c r="I225" s="21">
        <f t="shared" si="75"/>
        <v>1.7236</v>
      </c>
      <c r="J225" s="20">
        <v>1.7230000000000001</v>
      </c>
      <c r="K225" s="20">
        <v>1.2865283051297409</v>
      </c>
      <c r="L225" s="20">
        <v>1.26015596887393E-2</v>
      </c>
      <c r="M225" s="20">
        <v>818543.04</v>
      </c>
      <c r="N225" s="20">
        <v>359028.32</v>
      </c>
      <c r="O225" s="20">
        <v>52.08</v>
      </c>
      <c r="Q225" s="19">
        <v>105.21100300000001</v>
      </c>
      <c r="R225" s="19">
        <v>-29.672038000000001</v>
      </c>
      <c r="S225" s="19">
        <v>160</v>
      </c>
      <c r="T225" s="19">
        <v>107.027154</v>
      </c>
      <c r="U225" s="19">
        <v>122.865223</v>
      </c>
      <c r="V225" s="19">
        <v>94.404420999999999</v>
      </c>
      <c r="W225" s="19">
        <v>25.118154000000001</v>
      </c>
      <c r="Y225" t="str">
        <f t="shared" si="76"/>
        <v>CEN_FT_High_Jetfuel_CCS_99_Herb</v>
      </c>
      <c r="Z225" t="str">
        <f t="shared" si="77"/>
        <v>Biomass_Herb</v>
      </c>
      <c r="AA225" s="18">
        <f t="shared" si="78"/>
        <v>115.15761917794848</v>
      </c>
      <c r="AB225" s="18">
        <f t="shared" si="79"/>
        <v>115.15761917794846</v>
      </c>
      <c r="AC225" s="5">
        <f t="shared" si="80"/>
        <v>0</v>
      </c>
      <c r="AD225" s="1">
        <f t="shared" si="81"/>
        <v>-7.4264395906242751</v>
      </c>
      <c r="AE225" s="1">
        <f t="shared" si="82"/>
        <v>0</v>
      </c>
      <c r="AF225" s="1">
        <f t="array" ref="AF225">_xlfn.IFS(C225="Biomass_Corn", 1/I225*S225, C225="Biomass_Agri", 1/I225*V225, C225="Biomass_Wood", 1/I225*U225, C225="Biomass_Herb", 1/I225*T225)</f>
        <v>62.095122998375487</v>
      </c>
      <c r="AG225" s="1">
        <f t="shared" si="83"/>
        <v>60.236318236617066</v>
      </c>
      <c r="AH225" s="1">
        <f t="shared" si="84"/>
        <v>26.420778239685465</v>
      </c>
      <c r="AI225" s="1">
        <f t="shared" si="85"/>
        <v>30.215827338129493</v>
      </c>
      <c r="AJ225" s="1">
        <f t="shared" si="86"/>
        <v>-2.3446365280685041E-6</v>
      </c>
      <c r="AK225" s="1">
        <f t="shared" si="87"/>
        <v>-56.383741362673959</v>
      </c>
      <c r="AL225">
        <f t="shared" si="88"/>
        <v>-2.46681560788525E-4</v>
      </c>
      <c r="AM225" s="1">
        <f t="shared" si="89"/>
        <v>-0.74642164443331438</v>
      </c>
      <c r="AN225" s="1">
        <f t="shared" si="90"/>
        <v>22.147781827503636</v>
      </c>
      <c r="AO225">
        <f t="shared" si="91"/>
        <v>-78.531769871738376</v>
      </c>
      <c r="AQ225" s="17">
        <f t="shared" si="92"/>
        <v>1.7230000000000001</v>
      </c>
      <c r="AR225" s="8">
        <v>0.243968185</v>
      </c>
      <c r="AS225" s="8">
        <v>0.24942761299999999</v>
      </c>
      <c r="AT225" s="9">
        <v>0.24635668499999999</v>
      </c>
      <c r="AU225" s="17">
        <v>0.23037490999999999</v>
      </c>
      <c r="AW225" s="9">
        <f t="shared" si="93"/>
        <v>1.7230000000000001</v>
      </c>
      <c r="AY225" s="9">
        <f t="shared" si="94"/>
        <v>7.7045152823000007E-2</v>
      </c>
      <c r="AZ225" s="9">
        <f t="shared" si="95"/>
        <v>0</v>
      </c>
      <c r="BA225" s="9">
        <f t="shared" si="96"/>
        <v>0.34682094114299999</v>
      </c>
      <c r="BB225" s="9">
        <f t="shared" si="97"/>
        <v>1.26015596887393E-2</v>
      </c>
      <c r="BC225" s="9">
        <f t="shared" si="98"/>
        <v>1.2865283051297409</v>
      </c>
      <c r="BE225" s="1">
        <f t="shared" si="99"/>
        <v>4.0412155197788735E-6</v>
      </c>
    </row>
    <row r="226" spans="2:57" x14ac:dyDescent="0.2">
      <c r="B226" s="12" t="s">
        <v>281</v>
      </c>
      <c r="C226" s="20" t="s">
        <v>57</v>
      </c>
      <c r="D226" s="20">
        <v>0.50880000000000003</v>
      </c>
      <c r="E226" s="20">
        <v>0</v>
      </c>
      <c r="F226" s="20">
        <v>0.31530000000000002</v>
      </c>
      <c r="G226" s="20">
        <v>1.4055</v>
      </c>
      <c r="H226" s="20">
        <v>0</v>
      </c>
      <c r="I226" s="21">
        <f t="shared" si="75"/>
        <v>1.7208000000000001</v>
      </c>
      <c r="J226" s="20">
        <v>1.7170000000000001</v>
      </c>
      <c r="K226" s="20">
        <v>1.2812772762677609</v>
      </c>
      <c r="L226" s="20">
        <v>1.25501258000578E-2</v>
      </c>
      <c r="M226" s="20">
        <v>818543.04</v>
      </c>
      <c r="N226" s="20">
        <v>359028.32</v>
      </c>
      <c r="O226" s="20">
        <v>52.08</v>
      </c>
      <c r="Q226" s="19">
        <v>105.21100300000001</v>
      </c>
      <c r="R226" s="19">
        <v>-45.510345000000001</v>
      </c>
      <c r="S226" s="19">
        <v>160</v>
      </c>
      <c r="T226" s="19">
        <v>97.593261999999996</v>
      </c>
      <c r="U226" s="19">
        <v>109.791234</v>
      </c>
      <c r="V226" s="19">
        <v>86.911507</v>
      </c>
      <c r="W226" s="19">
        <v>38.099075999999997</v>
      </c>
      <c r="Y226" t="str">
        <f t="shared" si="76"/>
        <v>SE_FT_High_Jetfuel_CCS_99_Herb</v>
      </c>
      <c r="Z226" t="str">
        <f t="shared" si="77"/>
        <v>Biomass_Herb</v>
      </c>
      <c r="AA226" s="18">
        <f t="shared" si="78"/>
        <v>118.06022884162481</v>
      </c>
      <c r="AB226" s="18">
        <f t="shared" si="79"/>
        <v>118.06022884162481</v>
      </c>
      <c r="AC226" s="5">
        <f t="shared" si="80"/>
        <v>0</v>
      </c>
      <c r="AD226" s="1">
        <f t="shared" si="81"/>
        <v>-11.264998761506275</v>
      </c>
      <c r="AE226" s="1">
        <f t="shared" si="82"/>
        <v>0</v>
      </c>
      <c r="AF226" s="1">
        <f t="array" ref="AF226">_xlfn.IFS(C226="Biomass_Corn", 1/I226*S226, C226="Biomass_Agri", 1/I226*V226, C226="Biomass_Wood", 1/I226*U226, C226="Biomass_Herb", 1/I226*T226)</f>
        <v>56.713890051139003</v>
      </c>
      <c r="AG226" s="1">
        <f t="shared" si="83"/>
        <v>60.334331771637139</v>
      </c>
      <c r="AH226" s="1">
        <f t="shared" si="84"/>
        <v>26.463768813297225</v>
      </c>
      <c r="AI226" s="1">
        <f t="shared" si="85"/>
        <v>30.264993026499301</v>
      </c>
      <c r="AJ226" s="1">
        <f t="shared" si="86"/>
        <v>2.8426114706073023E-6</v>
      </c>
      <c r="AK226" s="1">
        <f t="shared" si="87"/>
        <v>-44.452055133445555</v>
      </c>
      <c r="AL226">
        <f t="shared" si="88"/>
        <v>2.9907400396189931E-4</v>
      </c>
      <c r="AM226" s="1">
        <f t="shared" si="89"/>
        <v>-0.74457948901786508</v>
      </c>
      <c r="AN226" s="1">
        <f t="shared" si="90"/>
        <v>33.886198793355476</v>
      </c>
      <c r="AO226">
        <f t="shared" si="91"/>
        <v>-78.337954852797068</v>
      </c>
      <c r="AQ226" s="17">
        <f t="shared" si="92"/>
        <v>1.7170000000000001</v>
      </c>
      <c r="AR226" s="8">
        <v>0.243968185</v>
      </c>
      <c r="AS226" s="8">
        <v>0.24942761299999999</v>
      </c>
      <c r="AT226" s="9">
        <v>0.24635668499999999</v>
      </c>
      <c r="AU226" s="17">
        <v>0.23037490999999999</v>
      </c>
      <c r="AW226" s="9">
        <f t="shared" si="93"/>
        <v>1.7170000000000001</v>
      </c>
      <c r="AY226" s="9">
        <f t="shared" si="94"/>
        <v>7.6923168730500008E-2</v>
      </c>
      <c r="AZ226" s="9">
        <f t="shared" si="95"/>
        <v>0</v>
      </c>
      <c r="BA226" s="9">
        <f t="shared" si="96"/>
        <v>0.34625432076749996</v>
      </c>
      <c r="BB226" s="9">
        <f t="shared" si="97"/>
        <v>1.25501258000578E-2</v>
      </c>
      <c r="BC226" s="9">
        <f t="shared" si="98"/>
        <v>1.2812772762677609</v>
      </c>
      <c r="BE226" s="1">
        <f t="shared" si="99"/>
        <v>-4.8915658186210464E-6</v>
      </c>
    </row>
    <row r="227" spans="2:57" x14ac:dyDescent="0.2">
      <c r="B227" s="12" t="s">
        <v>282</v>
      </c>
      <c r="C227" s="20" t="s">
        <v>57</v>
      </c>
      <c r="D227" s="20">
        <v>0.51160000000000005</v>
      </c>
      <c r="E227" s="20">
        <v>0</v>
      </c>
      <c r="F227" s="20">
        <v>0.317</v>
      </c>
      <c r="G227" s="20">
        <v>1.4132</v>
      </c>
      <c r="H227" s="20">
        <v>0</v>
      </c>
      <c r="I227" s="21">
        <f t="shared" si="75"/>
        <v>1.7302</v>
      </c>
      <c r="J227" s="20">
        <v>1.736</v>
      </c>
      <c r="K227" s="20">
        <v>1.2977904058076939</v>
      </c>
      <c r="L227" s="20">
        <v>1.27118720956626E-2</v>
      </c>
      <c r="M227" s="20">
        <v>818543.04</v>
      </c>
      <c r="N227" s="20">
        <v>359028.32</v>
      </c>
      <c r="O227" s="20">
        <v>52.08</v>
      </c>
      <c r="Q227" s="19">
        <v>105.21100300000001</v>
      </c>
      <c r="R227" s="19">
        <v>-50.334515000000003</v>
      </c>
      <c r="S227" s="19">
        <v>160</v>
      </c>
      <c r="T227" s="19">
        <v>98.707491000000005</v>
      </c>
      <c r="U227" s="19">
        <v>106.53195700000001</v>
      </c>
      <c r="V227" s="19">
        <v>87.469328000000004</v>
      </c>
      <c r="W227" s="19">
        <v>39.29871</v>
      </c>
      <c r="Y227" t="str">
        <f t="shared" si="76"/>
        <v>MIDAT_FT_High_Jetfuel_CCS_99_Herb</v>
      </c>
      <c r="Z227" t="str">
        <f t="shared" si="77"/>
        <v>Biomass_Herb</v>
      </c>
      <c r="AA227" s="18">
        <f t="shared" si="78"/>
        <v>120.69434995706371</v>
      </c>
      <c r="AB227" s="18">
        <f t="shared" si="79"/>
        <v>120.69434995706372</v>
      </c>
      <c r="AC227" s="5">
        <f t="shared" si="80"/>
        <v>0</v>
      </c>
      <c r="AD227" s="1">
        <f t="shared" si="81"/>
        <v>-11.620171099294881</v>
      </c>
      <c r="AE227" s="1">
        <f t="shared" si="82"/>
        <v>0</v>
      </c>
      <c r="AF227" s="1">
        <f t="array" ref="AF227">_xlfn.IFS(C227="Biomass_Corn", 1/I227*S227, C227="Biomass_Agri", 1/I227*V227, C227="Biomass_Wood", 1/I227*U227, C227="Biomass_Herb", 1/I227*T227)</f>
        <v>57.049757831464568</v>
      </c>
      <c r="AG227" s="1">
        <f t="shared" si="83"/>
        <v>60.006541505394289</v>
      </c>
      <c r="AH227" s="1">
        <f t="shared" si="84"/>
        <v>26.319993858468308</v>
      </c>
      <c r="AI227" s="1">
        <f t="shared" si="85"/>
        <v>30.100566408507685</v>
      </c>
      <c r="AJ227" s="1">
        <f t="shared" si="86"/>
        <v>-4.9359667341755726E-6</v>
      </c>
      <c r="AK227" s="1">
        <f t="shared" si="87"/>
        <v>-41.161819229465401</v>
      </c>
      <c r="AL227">
        <f t="shared" si="88"/>
        <v>-5.1931801087724643E-4</v>
      </c>
      <c r="AM227" s="1">
        <f t="shared" si="89"/>
        <v>-0.75008608601163873</v>
      </c>
      <c r="AN227" s="1">
        <f t="shared" si="90"/>
        <v>37.754970898152507</v>
      </c>
      <c r="AO227">
        <f t="shared" si="91"/>
        <v>-78.917309445628788</v>
      </c>
      <c r="AQ227" s="17">
        <f t="shared" si="92"/>
        <v>1.736</v>
      </c>
      <c r="AR227" s="8">
        <v>0.243968185</v>
      </c>
      <c r="AS227" s="8">
        <v>0.24942761299999999</v>
      </c>
      <c r="AT227" s="9">
        <v>0.24635668499999999</v>
      </c>
      <c r="AU227" s="17">
        <v>0.23037490999999999</v>
      </c>
      <c r="AW227" s="9">
        <f t="shared" si="93"/>
        <v>1.736</v>
      </c>
      <c r="AY227" s="9">
        <f t="shared" si="94"/>
        <v>7.7337914645000005E-2</v>
      </c>
      <c r="AZ227" s="9">
        <f t="shared" si="95"/>
        <v>0</v>
      </c>
      <c r="BA227" s="9">
        <f t="shared" si="96"/>
        <v>0.34815126724200002</v>
      </c>
      <c r="BB227" s="9">
        <f t="shared" si="97"/>
        <v>1.27118720956626E-2</v>
      </c>
      <c r="BC227" s="9">
        <f t="shared" si="98"/>
        <v>1.2977904058076939</v>
      </c>
      <c r="BE227" s="1">
        <f t="shared" si="99"/>
        <v>8.5402096434705754E-6</v>
      </c>
    </row>
    <row r="228" spans="2:57" x14ac:dyDescent="0.2">
      <c r="B228" s="12" t="s">
        <v>283</v>
      </c>
      <c r="C228" s="20" t="s">
        <v>57</v>
      </c>
      <c r="D228" s="20">
        <v>0.51349999999999996</v>
      </c>
      <c r="E228" s="20">
        <v>0</v>
      </c>
      <c r="F228" s="20">
        <v>0.31819999999999998</v>
      </c>
      <c r="G228" s="20">
        <v>1.4186000000000001</v>
      </c>
      <c r="H228" s="20">
        <v>0</v>
      </c>
      <c r="I228" s="21">
        <f t="shared" si="75"/>
        <v>1.7368000000000001</v>
      </c>
      <c r="J228" s="20">
        <v>1.7450000000000001</v>
      </c>
      <c r="K228" s="20">
        <v>1.3050913064856471</v>
      </c>
      <c r="L228" s="20">
        <v>1.27833845025859E-2</v>
      </c>
      <c r="M228" s="20">
        <v>818543.04</v>
      </c>
      <c r="N228" s="20">
        <v>359028.32</v>
      </c>
      <c r="O228" s="20">
        <v>52.08</v>
      </c>
      <c r="Q228" s="19">
        <v>105.21100300000001</v>
      </c>
      <c r="R228" s="19">
        <v>-58.833413</v>
      </c>
      <c r="S228" s="19">
        <v>160</v>
      </c>
      <c r="T228" s="19">
        <v>99.493746999999999</v>
      </c>
      <c r="U228" s="19">
        <v>105.21395800000001</v>
      </c>
      <c r="V228" s="19">
        <v>89.700445000000002</v>
      </c>
      <c r="W228" s="19">
        <v>47.365060999999997</v>
      </c>
      <c r="Y228" t="str">
        <f t="shared" si="76"/>
        <v>NE_FT_High_Jetfuel_CCS_99_Herb</v>
      </c>
      <c r="Z228" t="str">
        <f t="shared" si="77"/>
        <v>Biomass_Herb</v>
      </c>
      <c r="AA228" s="18">
        <f t="shared" si="78"/>
        <v>124.41593636031362</v>
      </c>
      <c r="AB228" s="18">
        <f t="shared" si="79"/>
        <v>124.41593636031361</v>
      </c>
      <c r="AC228" s="5">
        <f t="shared" si="80"/>
        <v>0</v>
      </c>
      <c r="AD228" s="1">
        <f t="shared" si="81"/>
        <v>-14.003891538173649</v>
      </c>
      <c r="AE228" s="1">
        <f t="shared" si="82"/>
        <v>0</v>
      </c>
      <c r="AF228" s="1">
        <f t="array" ref="AF228">_xlfn.IFS(C228="Biomass_Corn", 1/I228*S228, C228="Biomass_Agri", 1/I228*V228, C228="Biomass_Wood", 1/I228*U228, C228="Biomass_Herb", 1/I228*T228)</f>
        <v>57.285667319207732</v>
      </c>
      <c r="AG228" s="1">
        <f t="shared" si="83"/>
        <v>59.778511119664429</v>
      </c>
      <c r="AH228" s="1">
        <f t="shared" si="84"/>
        <v>26.219975457117609</v>
      </c>
      <c r="AI228" s="1">
        <f t="shared" si="85"/>
        <v>29.986181483187469</v>
      </c>
      <c r="AJ228" s="1">
        <f t="shared" si="86"/>
        <v>-7.5076023532716929E-6</v>
      </c>
      <c r="AK228" s="1">
        <f t="shared" si="87"/>
        <v>-34.849717598316261</v>
      </c>
      <c r="AL228">
        <f t="shared" si="88"/>
        <v>-7.898823737128752E-4</v>
      </c>
      <c r="AM228" s="1">
        <f t="shared" si="89"/>
        <v>-0.75144193095889811</v>
      </c>
      <c r="AN228" s="1">
        <f t="shared" si="90"/>
        <v>44.209451771752441</v>
      </c>
      <c r="AO228">
        <f t="shared" si="91"/>
        <v>-79.059959252442425</v>
      </c>
      <c r="AQ228" s="17">
        <f t="shared" si="92"/>
        <v>1.7450000000000001</v>
      </c>
      <c r="AR228" s="8">
        <v>0.243968185</v>
      </c>
      <c r="AS228" s="8">
        <v>0.24942761299999999</v>
      </c>
      <c r="AT228" s="9">
        <v>0.24635668499999999</v>
      </c>
      <c r="AU228" s="17">
        <v>0.23037490999999999</v>
      </c>
      <c r="AW228" s="9">
        <f t="shared" si="93"/>
        <v>1.7450000000000001</v>
      </c>
      <c r="AY228" s="9">
        <f t="shared" si="94"/>
        <v>7.7630676467000004E-2</v>
      </c>
      <c r="AZ228" s="9">
        <f t="shared" si="95"/>
        <v>0</v>
      </c>
      <c r="BA228" s="9">
        <f t="shared" si="96"/>
        <v>0.34948159334099999</v>
      </c>
      <c r="BB228" s="9">
        <f t="shared" si="97"/>
        <v>1.27833845025859E-2</v>
      </c>
      <c r="BC228" s="9">
        <f t="shared" si="98"/>
        <v>1.3050913064856471</v>
      </c>
      <c r="BE228" s="1">
        <f t="shared" si="99"/>
        <v>1.3039203767162277E-5</v>
      </c>
    </row>
    <row r="229" spans="2:57" x14ac:dyDescent="0.2">
      <c r="B229" s="12" t="s">
        <v>284</v>
      </c>
      <c r="C229" s="20" t="s">
        <v>67</v>
      </c>
      <c r="D229" s="20">
        <v>0.54120000000000001</v>
      </c>
      <c r="E229" s="20">
        <v>0</v>
      </c>
      <c r="F229" s="20">
        <v>0.33539999999999998</v>
      </c>
      <c r="G229" s="20">
        <v>1.4951000000000001</v>
      </c>
      <c r="H229" s="20">
        <v>0</v>
      </c>
      <c r="I229" s="21">
        <f t="shared" si="75"/>
        <v>1.8305</v>
      </c>
      <c r="J229" s="20">
        <v>1.843</v>
      </c>
      <c r="K229" s="20">
        <v>1.3793452589309809</v>
      </c>
      <c r="L229" s="20">
        <v>1.3510702829072499E-2</v>
      </c>
      <c r="M229" s="20">
        <v>818543.04</v>
      </c>
      <c r="N229" s="20">
        <v>359028.32</v>
      </c>
      <c r="O229" s="20">
        <v>52.08</v>
      </c>
      <c r="Q229" s="19">
        <v>105.21100300000001</v>
      </c>
      <c r="R229" s="19">
        <v>-6.4122130000000004</v>
      </c>
      <c r="S229" s="19">
        <v>160</v>
      </c>
      <c r="T229" s="19">
        <v>313632.96735400002</v>
      </c>
      <c r="U229" s="19">
        <v>154.036981</v>
      </c>
      <c r="V229" s="19">
        <v>132.85973799999999</v>
      </c>
      <c r="W229" s="19">
        <v>36.488697999999999</v>
      </c>
      <c r="Y229" t="str">
        <f t="shared" si="76"/>
        <v>CA_FT_High_Jetfuel_CCS_99_Wood</v>
      </c>
      <c r="Z229" t="str">
        <f t="shared" si="77"/>
        <v>Biomass_Wood</v>
      </c>
      <c r="AA229" s="18">
        <f t="shared" si="78"/>
        <v>108.96201024638988</v>
      </c>
      <c r="AB229" s="18">
        <f t="shared" si="79"/>
        <v>108.96201024638991</v>
      </c>
      <c r="AC229" s="5">
        <f t="shared" si="80"/>
        <v>0</v>
      </c>
      <c r="AD229" s="1">
        <f t="shared" si="81"/>
        <v>-10.788136223763999</v>
      </c>
      <c r="AE229" s="1">
        <f t="shared" si="82"/>
        <v>0</v>
      </c>
      <c r="AF229" s="1">
        <f t="array" ref="AF229">_xlfn.IFS(C229="Biomass_Corn", 1/I229*S229, C229="Biomass_Agri", 1/I229*V229, C229="Biomass_Wood", 1/I229*U229, C229="Biomass_Herb", 1/I229*T229)</f>
        <v>84.150221797323141</v>
      </c>
      <c r="AG229" s="1">
        <f t="shared" si="83"/>
        <v>56.718556740034515</v>
      </c>
      <c r="AH229" s="1">
        <f t="shared" si="84"/>
        <v>24.877822110855977</v>
      </c>
      <c r="AI229" s="1">
        <f t="shared" si="85"/>
        <v>28.451242829827915</v>
      </c>
      <c r="AJ229" s="1">
        <f t="shared" si="86"/>
        <v>5.8840494692170248E-6</v>
      </c>
      <c r="AK229" s="1">
        <f t="shared" si="87"/>
        <v>-74.44831607463405</v>
      </c>
      <c r="AL229">
        <f t="shared" si="88"/>
        <v>6.1906674635794088E-4</v>
      </c>
      <c r="AM229" s="1">
        <f t="shared" si="89"/>
        <v>-0.75352881080493173</v>
      </c>
      <c r="AN229" s="1">
        <f t="shared" si="90"/>
        <v>4.8318249662964234</v>
      </c>
      <c r="AO229">
        <f t="shared" si="91"/>
        <v>-79.279521974184107</v>
      </c>
      <c r="AQ229" s="17">
        <f t="shared" si="92"/>
        <v>1.843</v>
      </c>
      <c r="AR229" s="8">
        <v>0.243968185</v>
      </c>
      <c r="AS229" s="8">
        <v>0.24942761299999999</v>
      </c>
      <c r="AT229" s="9">
        <v>0.24635668499999999</v>
      </c>
      <c r="AU229" s="17">
        <v>0.23037490999999999</v>
      </c>
      <c r="AW229" s="9">
        <f t="shared" si="93"/>
        <v>1.843</v>
      </c>
      <c r="AY229" s="9">
        <f t="shared" si="94"/>
        <v>8.1826929248999994E-2</v>
      </c>
      <c r="AZ229" s="9">
        <f t="shared" si="95"/>
        <v>0</v>
      </c>
      <c r="BA229" s="9">
        <f t="shared" si="96"/>
        <v>0.36832787974350001</v>
      </c>
      <c r="BB229" s="9">
        <f t="shared" si="97"/>
        <v>1.3510702829072499E-2</v>
      </c>
      <c r="BC229" s="9">
        <f t="shared" si="98"/>
        <v>1.3793452589309809</v>
      </c>
      <c r="BE229" s="1">
        <f t="shared" si="99"/>
        <v>-1.0770752553401763E-5</v>
      </c>
    </row>
    <row r="230" spans="2:57" x14ac:dyDescent="0.2">
      <c r="B230" s="12" t="s">
        <v>285</v>
      </c>
      <c r="C230" s="20" t="s">
        <v>67</v>
      </c>
      <c r="D230" s="20">
        <v>0.54010000000000002</v>
      </c>
      <c r="E230" s="20">
        <v>0</v>
      </c>
      <c r="F230" s="20">
        <v>0.3347</v>
      </c>
      <c r="G230" s="20">
        <v>1.492</v>
      </c>
      <c r="H230" s="20">
        <v>0</v>
      </c>
      <c r="I230" s="21">
        <f t="shared" si="75"/>
        <v>1.8267</v>
      </c>
      <c r="J230" s="20">
        <v>1.8180000000000001</v>
      </c>
      <c r="K230" s="20">
        <v>1.355508787115008</v>
      </c>
      <c r="L230" s="20">
        <v>1.32772243108306E-2</v>
      </c>
      <c r="M230" s="20">
        <v>818543.04</v>
      </c>
      <c r="N230" s="20">
        <v>359028.32</v>
      </c>
      <c r="O230" s="20">
        <v>52.08</v>
      </c>
      <c r="Q230" s="19">
        <v>105.21100300000001</v>
      </c>
      <c r="R230" s="19">
        <v>-7.3796590000000002</v>
      </c>
      <c r="S230" s="19">
        <v>160</v>
      </c>
      <c r="T230" s="19">
        <v>130.996602</v>
      </c>
      <c r="U230" s="19">
        <v>149.05667199999999</v>
      </c>
      <c r="V230" s="19">
        <v>112.26938</v>
      </c>
      <c r="W230" s="19">
        <v>26.787863000000002</v>
      </c>
      <c r="Y230" t="str">
        <f t="shared" si="76"/>
        <v>NW_FT_High_Jetfuel_CCS_99_Wood</v>
      </c>
      <c r="Z230" t="str">
        <f t="shared" si="77"/>
        <v>Biomass_Wood</v>
      </c>
      <c r="AA230" s="18">
        <f t="shared" si="78"/>
        <v>111.35935783186243</v>
      </c>
      <c r="AB230" s="18">
        <f t="shared" si="79"/>
        <v>111.35935783186243</v>
      </c>
      <c r="AC230" s="5">
        <f t="shared" si="80"/>
        <v>0</v>
      </c>
      <c r="AD230" s="1">
        <f t="shared" si="81"/>
        <v>-7.9203617486724713</v>
      </c>
      <c r="AE230" s="1">
        <f t="shared" si="82"/>
        <v>0</v>
      </c>
      <c r="AF230" s="1">
        <f t="array" ref="AF230">_xlfn.IFS(C230="Biomass_Corn", 1/I230*S230, C230="Biomass_Agri", 1/I230*V230, C230="Biomass_Wood", 1/I230*U230, C230="Biomass_Herb", 1/I230*T230)</f>
        <v>81.598878852575666</v>
      </c>
      <c r="AG230" s="1">
        <f t="shared" si="83"/>
        <v>56.836545745132305</v>
      </c>
      <c r="AH230" s="1">
        <f t="shared" si="84"/>
        <v>24.92957430006124</v>
      </c>
      <c r="AI230" s="1">
        <f t="shared" si="85"/>
        <v>28.510428641813103</v>
      </c>
      <c r="AJ230" s="1">
        <f t="shared" si="86"/>
        <v>3.4690783043036626E-6</v>
      </c>
      <c r="AK230" s="1">
        <f t="shared" si="87"/>
        <v>-72.596072944255283</v>
      </c>
      <c r="AL230">
        <f t="shared" si="88"/>
        <v>3.6498520788132757E-4</v>
      </c>
      <c r="AM230" s="1">
        <f t="shared" si="89"/>
        <v>-0.74204984406288366</v>
      </c>
      <c r="AN230" s="1">
        <f t="shared" si="90"/>
        <v>5.4761004108021858</v>
      </c>
      <c r="AO230">
        <f t="shared" si="91"/>
        <v>-78.071808369849592</v>
      </c>
      <c r="AQ230" s="17">
        <f t="shared" si="92"/>
        <v>1.8180000000000001</v>
      </c>
      <c r="AR230" s="8">
        <v>0.243968185</v>
      </c>
      <c r="AS230" s="8">
        <v>0.24942761299999999</v>
      </c>
      <c r="AT230" s="9">
        <v>0.24635668499999999</v>
      </c>
      <c r="AU230" s="17">
        <v>0.23037490999999999</v>
      </c>
      <c r="AW230" s="9">
        <f t="shared" si="93"/>
        <v>1.8180000000000001</v>
      </c>
      <c r="AY230" s="9">
        <f t="shared" si="94"/>
        <v>8.1656151519499995E-2</v>
      </c>
      <c r="AZ230" s="9">
        <f t="shared" si="95"/>
        <v>0</v>
      </c>
      <c r="BA230" s="9">
        <f t="shared" si="96"/>
        <v>0.36756417401999997</v>
      </c>
      <c r="BB230" s="9">
        <f t="shared" si="97"/>
        <v>1.32772243108306E-2</v>
      </c>
      <c r="BC230" s="9">
        <f t="shared" si="98"/>
        <v>1.355508787115008</v>
      </c>
      <c r="BE230" s="1">
        <f t="shared" si="99"/>
        <v>-6.3369653384715008E-6</v>
      </c>
    </row>
    <row r="231" spans="2:57" x14ac:dyDescent="0.2">
      <c r="B231" s="12" t="s">
        <v>286</v>
      </c>
      <c r="C231" s="20" t="s">
        <v>67</v>
      </c>
      <c r="D231" s="20">
        <v>0.53510000000000002</v>
      </c>
      <c r="E231" s="20">
        <v>0</v>
      </c>
      <c r="F231" s="20">
        <v>0.33150000000000002</v>
      </c>
      <c r="G231" s="20">
        <v>1.4781</v>
      </c>
      <c r="H231" s="20">
        <v>0</v>
      </c>
      <c r="I231" s="21">
        <f t="shared" si="75"/>
        <v>1.8096000000000001</v>
      </c>
      <c r="J231" s="20">
        <v>1.798</v>
      </c>
      <c r="K231" s="20">
        <v>1.3398474139431289</v>
      </c>
      <c r="L231" s="20">
        <v>1.31238209787422E-2</v>
      </c>
      <c r="M231" s="20">
        <v>818543.04</v>
      </c>
      <c r="N231" s="20">
        <v>359028.32</v>
      </c>
      <c r="O231" s="20">
        <v>52.08</v>
      </c>
      <c r="Q231" s="19">
        <v>105.21100300000001</v>
      </c>
      <c r="R231" s="19">
        <v>-14.567418</v>
      </c>
      <c r="S231" s="19">
        <v>160</v>
      </c>
      <c r="T231" s="19">
        <v>120.282189</v>
      </c>
      <c r="U231" s="19">
        <v>137.475031</v>
      </c>
      <c r="V231" s="19">
        <v>107.559866</v>
      </c>
      <c r="W231" s="19">
        <v>27.957547000000002</v>
      </c>
      <c r="Y231" t="str">
        <f t="shared" si="76"/>
        <v>SW_FT_High_Jetfuel_CCS_99_Wood</v>
      </c>
      <c r="Z231" t="str">
        <f t="shared" si="77"/>
        <v>Biomass_Wood</v>
      </c>
      <c r="AA231" s="18">
        <f t="shared" si="78"/>
        <v>111.90712104496809</v>
      </c>
      <c r="AB231" s="18">
        <f t="shared" si="79"/>
        <v>111.90712104496809</v>
      </c>
      <c r="AC231" s="5">
        <f t="shared" si="80"/>
        <v>0</v>
      </c>
      <c r="AD231" s="1">
        <f t="shared" si="81"/>
        <v>-8.2670664233532278</v>
      </c>
      <c r="AE231" s="1">
        <f t="shared" si="82"/>
        <v>0</v>
      </c>
      <c r="AF231" s="1">
        <f t="array" ref="AF231">_xlfn.IFS(C231="Biomass_Corn", 1/I231*S231, C231="Biomass_Agri", 1/I231*V231, C231="Biomass_Wood", 1/I231*U231, C231="Biomass_Herb", 1/I231*T231)</f>
        <v>75.969844717064547</v>
      </c>
      <c r="AG231" s="1">
        <f t="shared" si="83"/>
        <v>57.373628488413559</v>
      </c>
      <c r="AH231" s="1">
        <f t="shared" si="84"/>
        <v>25.165148858268051</v>
      </c>
      <c r="AI231" s="1">
        <f t="shared" si="85"/>
        <v>28.779840848806362</v>
      </c>
      <c r="AJ231" s="1">
        <f t="shared" si="86"/>
        <v>-7.4578095319056374E-6</v>
      </c>
      <c r="AK231" s="1">
        <f t="shared" si="87"/>
        <v>-67.11349080061018</v>
      </c>
      <c r="AL231">
        <f t="shared" si="88"/>
        <v>-7.8464362103475261E-4</v>
      </c>
      <c r="AM231" s="1">
        <f t="shared" si="89"/>
        <v>-0.74041827453318843</v>
      </c>
      <c r="AN231" s="1">
        <f t="shared" si="90"/>
        <v>10.785873858934895</v>
      </c>
      <c r="AO231">
        <f t="shared" si="91"/>
        <v>-77.900149303166117</v>
      </c>
      <c r="AQ231" s="17">
        <f t="shared" si="92"/>
        <v>1.798</v>
      </c>
      <c r="AR231" s="8">
        <v>0.243968185</v>
      </c>
      <c r="AS231" s="8">
        <v>0.24942761299999999</v>
      </c>
      <c r="AT231" s="9">
        <v>0.24635668499999999</v>
      </c>
      <c r="AU231" s="17">
        <v>0.23037490999999999</v>
      </c>
      <c r="AW231" s="9">
        <f t="shared" si="93"/>
        <v>1.798</v>
      </c>
      <c r="AY231" s="9">
        <f t="shared" si="94"/>
        <v>8.0875453327499999E-2</v>
      </c>
      <c r="AZ231" s="9">
        <f t="shared" si="95"/>
        <v>0</v>
      </c>
      <c r="BA231" s="9">
        <f t="shared" si="96"/>
        <v>0.36413981609849999</v>
      </c>
      <c r="BB231" s="9">
        <f t="shared" si="97"/>
        <v>1.31238209787422E-2</v>
      </c>
      <c r="BC231" s="9">
        <f t="shared" si="98"/>
        <v>1.3398474139431289</v>
      </c>
      <c r="BE231" s="1">
        <f t="shared" si="99"/>
        <v>1.3495652128936442E-5</v>
      </c>
    </row>
    <row r="232" spans="2:57" x14ac:dyDescent="0.2">
      <c r="B232" s="12" t="s">
        <v>287</v>
      </c>
      <c r="C232" s="20" t="s">
        <v>67</v>
      </c>
      <c r="D232" s="20">
        <v>0.53090000000000004</v>
      </c>
      <c r="E232" s="20">
        <v>0</v>
      </c>
      <c r="F232" s="20">
        <v>0.32890000000000003</v>
      </c>
      <c r="G232" s="20">
        <v>1.4664999999999999</v>
      </c>
      <c r="H232" s="20">
        <v>0</v>
      </c>
      <c r="I232" s="21">
        <f t="shared" si="75"/>
        <v>1.7953999999999999</v>
      </c>
      <c r="J232" s="20">
        <v>1.821</v>
      </c>
      <c r="K232" s="20">
        <v>1.36607816963323</v>
      </c>
      <c r="L232" s="20">
        <v>1.3380751535335101E-2</v>
      </c>
      <c r="M232" s="20">
        <v>818543.04</v>
      </c>
      <c r="N232" s="20">
        <v>359028.32</v>
      </c>
      <c r="O232" s="20">
        <v>52.08</v>
      </c>
      <c r="Q232" s="19">
        <v>105.21100300000001</v>
      </c>
      <c r="R232" s="19">
        <v>-19.477884</v>
      </c>
      <c r="S232" s="19">
        <v>160</v>
      </c>
      <c r="T232" s="19">
        <v>132.95547999999999</v>
      </c>
      <c r="U232" s="19">
        <v>152.57709199999999</v>
      </c>
      <c r="V232" s="19">
        <v>106.67488899999999</v>
      </c>
      <c r="W232" s="19">
        <v>20.174973000000001</v>
      </c>
      <c r="Y232" t="str">
        <f t="shared" si="76"/>
        <v>TX_FT_High_Jetfuel_CCS_99_Wood</v>
      </c>
      <c r="Z232" t="str">
        <f t="shared" si="77"/>
        <v>Biomass_Wood</v>
      </c>
      <c r="AA232" s="18">
        <f t="shared" si="78"/>
        <v>125.98214800410763</v>
      </c>
      <c r="AB232" s="18">
        <f t="shared" si="79"/>
        <v>125.98214800410761</v>
      </c>
      <c r="AC232" s="5">
        <f t="shared" si="80"/>
        <v>0</v>
      </c>
      <c r="AD232" s="1">
        <f t="shared" si="81"/>
        <v>-5.9657419882477454</v>
      </c>
      <c r="AE232" s="1">
        <f t="shared" si="82"/>
        <v>0</v>
      </c>
      <c r="AF232" s="1">
        <f t="array" ref="AF232">_xlfn.IFS(C232="Biomass_Corn", 1/I232*S232, C232="Biomass_Agri", 1/I232*V232, C232="Biomass_Wood", 1/I232*U232, C232="Biomass_Herb", 1/I232*T232)</f>
        <v>84.98222791578479</v>
      </c>
      <c r="AG232" s="1">
        <f t="shared" si="83"/>
        <v>57.827402312929259</v>
      </c>
      <c r="AH232" s="1">
        <f t="shared" si="84"/>
        <v>25.364182563173593</v>
      </c>
      <c r="AI232" s="1">
        <f t="shared" si="85"/>
        <v>29.007463517879025</v>
      </c>
      <c r="AJ232" s="1">
        <f t="shared" si="86"/>
        <v>-9.9500013561786916E-6</v>
      </c>
      <c r="AK232" s="1">
        <f t="shared" si="87"/>
        <v>-65.232339467788734</v>
      </c>
      <c r="AL232">
        <f t="shared" si="88"/>
        <v>-1.0468496225349204E-3</v>
      </c>
      <c r="AM232" s="1">
        <f t="shared" si="89"/>
        <v>-0.76088672934480617</v>
      </c>
      <c r="AN232" s="1">
        <f t="shared" si="90"/>
        <v>14.820269646345315</v>
      </c>
      <c r="AO232">
        <f t="shared" si="91"/>
        <v>-80.053655963756597</v>
      </c>
      <c r="AQ232" s="17">
        <f t="shared" si="92"/>
        <v>1.821</v>
      </c>
      <c r="AR232" s="8">
        <v>0.243968185</v>
      </c>
      <c r="AS232" s="8">
        <v>0.24942761299999999</v>
      </c>
      <c r="AT232" s="9">
        <v>0.24635668499999999</v>
      </c>
      <c r="AU232" s="17">
        <v>0.23037490999999999</v>
      </c>
      <c r="AW232" s="9">
        <f t="shared" si="93"/>
        <v>1.821</v>
      </c>
      <c r="AY232" s="9">
        <f t="shared" si="94"/>
        <v>8.0241136046500003E-2</v>
      </c>
      <c r="AZ232" s="9">
        <f t="shared" si="95"/>
        <v>0</v>
      </c>
      <c r="BA232" s="9">
        <f t="shared" si="96"/>
        <v>0.36128207855249994</v>
      </c>
      <c r="BB232" s="9">
        <f t="shared" si="97"/>
        <v>1.3380751535335101E-2</v>
      </c>
      <c r="BC232" s="9">
        <f t="shared" si="98"/>
        <v>1.36607816963323</v>
      </c>
      <c r="BE232" s="1">
        <f t="shared" si="99"/>
        <v>1.786423243488322E-5</v>
      </c>
    </row>
    <row r="233" spans="2:57" x14ac:dyDescent="0.2">
      <c r="B233" s="12" t="s">
        <v>288</v>
      </c>
      <c r="C233" s="20" t="s">
        <v>67</v>
      </c>
      <c r="D233" s="20">
        <v>0.53280000000000005</v>
      </c>
      <c r="E233" s="20">
        <v>0</v>
      </c>
      <c r="F233" s="20">
        <v>0.33019999999999999</v>
      </c>
      <c r="G233" s="20">
        <v>1.4719</v>
      </c>
      <c r="H233" s="20">
        <v>0</v>
      </c>
      <c r="I233" s="21">
        <f t="shared" si="75"/>
        <v>1.8021</v>
      </c>
      <c r="J233" s="20">
        <v>1.802</v>
      </c>
      <c r="K233" s="20">
        <v>1.345650670311183</v>
      </c>
      <c r="L233" s="20">
        <v>1.31806639422584E-2</v>
      </c>
      <c r="M233" s="20">
        <v>818543.04</v>
      </c>
      <c r="N233" s="20">
        <v>359028.32</v>
      </c>
      <c r="O233" s="20">
        <v>52.08</v>
      </c>
      <c r="Q233" s="19">
        <v>105.21100300000001</v>
      </c>
      <c r="R233" s="19">
        <v>-39.686463000000003</v>
      </c>
      <c r="S233" s="19">
        <v>160</v>
      </c>
      <c r="T233" s="19">
        <v>100.757654</v>
      </c>
      <c r="U233" s="19">
        <v>111.990773</v>
      </c>
      <c r="V233" s="19">
        <v>89.243781999999996</v>
      </c>
      <c r="W233" s="19">
        <v>30.713950000000001</v>
      </c>
      <c r="Y233" t="str">
        <f t="shared" si="76"/>
        <v>NCEN_FT_High_Jetfuel_CCS_99_Wood</v>
      </c>
      <c r="Z233" t="str">
        <f t="shared" si="77"/>
        <v>Biomass_Wood</v>
      </c>
      <c r="AA233" s="18">
        <f t="shared" si="78"/>
        <v>115.91788730368511</v>
      </c>
      <c r="AB233" s="18">
        <f t="shared" si="79"/>
        <v>115.91788730368511</v>
      </c>
      <c r="AC233" s="5">
        <f t="shared" si="80"/>
        <v>0</v>
      </c>
      <c r="AD233" s="1">
        <f t="shared" si="81"/>
        <v>-9.0807350091559851</v>
      </c>
      <c r="AE233" s="1">
        <f t="shared" si="82"/>
        <v>0</v>
      </c>
      <c r="AF233" s="1">
        <f t="array" ref="AF233">_xlfn.IFS(C233="Biomass_Corn", 1/I233*S233, C233="Biomass_Agri", 1/I233*V233, C233="Biomass_Wood", 1/I233*U233, C233="Biomass_Herb", 1/I233*T233)</f>
        <v>62.144594084678985</v>
      </c>
      <c r="AG233" s="1">
        <f t="shared" si="83"/>
        <v>57.612406699202701</v>
      </c>
      <c r="AH233" s="1">
        <f t="shared" si="84"/>
        <v>25.269881457145477</v>
      </c>
      <c r="AI233" s="1">
        <f t="shared" si="85"/>
        <v>28.899617113367736</v>
      </c>
      <c r="AJ233" s="1">
        <f t="shared" si="86"/>
        <v>1.1284567678187455E-6</v>
      </c>
      <c r="AK233" s="1">
        <f t="shared" si="87"/>
        <v>-48.927995767622178</v>
      </c>
      <c r="AL233">
        <f t="shared" si="88"/>
        <v>1.1872606838434834E-4</v>
      </c>
      <c r="AM233" s="1">
        <f t="shared" si="89"/>
        <v>-0.74671141264038721</v>
      </c>
      <c r="AN233" s="1">
        <f t="shared" si="90"/>
        <v>29.634379633888223</v>
      </c>
      <c r="AO233">
        <f t="shared" si="91"/>
        <v>-78.562256675442015</v>
      </c>
      <c r="AQ233" s="17">
        <f t="shared" si="92"/>
        <v>1.802</v>
      </c>
      <c r="AR233" s="8">
        <v>0.243968185</v>
      </c>
      <c r="AS233" s="8">
        <v>0.24942761299999999</v>
      </c>
      <c r="AT233" s="9">
        <v>0.24635668499999999</v>
      </c>
      <c r="AU233" s="17">
        <v>0.23037490999999999</v>
      </c>
      <c r="AW233" s="9">
        <f t="shared" si="93"/>
        <v>1.802</v>
      </c>
      <c r="AY233" s="9">
        <f t="shared" si="94"/>
        <v>8.0558294687000001E-2</v>
      </c>
      <c r="AZ233" s="9">
        <f t="shared" si="95"/>
        <v>0</v>
      </c>
      <c r="BA233" s="9">
        <f t="shared" si="96"/>
        <v>0.36261240465149996</v>
      </c>
      <c r="BB233" s="9">
        <f t="shared" si="97"/>
        <v>1.31806639422584E-2</v>
      </c>
      <c r="BC233" s="9">
        <f t="shared" si="98"/>
        <v>1.345650670311183</v>
      </c>
      <c r="BE233" s="1">
        <f t="shared" si="99"/>
        <v>-2.0335919412861614E-6</v>
      </c>
    </row>
    <row r="234" spans="2:57" x14ac:dyDescent="0.2">
      <c r="B234" s="12" t="s">
        <v>289</v>
      </c>
      <c r="C234" s="20" t="s">
        <v>67</v>
      </c>
      <c r="D234" s="20">
        <v>0.53310000000000002</v>
      </c>
      <c r="E234" s="20">
        <v>0</v>
      </c>
      <c r="F234" s="20">
        <v>0.33029999999999998</v>
      </c>
      <c r="G234" s="20">
        <v>1.4726999999999999</v>
      </c>
      <c r="H234" s="20">
        <v>0</v>
      </c>
      <c r="I234" s="21">
        <f t="shared" si="75"/>
        <v>1.8029999999999999</v>
      </c>
      <c r="J234" s="20">
        <v>1.802</v>
      </c>
      <c r="K234" s="20">
        <v>1.3454204132651759</v>
      </c>
      <c r="L234" s="20">
        <v>1.31784085718189E-2</v>
      </c>
      <c r="M234" s="20">
        <v>818543.04</v>
      </c>
      <c r="N234" s="20">
        <v>359028.32</v>
      </c>
      <c r="O234" s="20">
        <v>52.08</v>
      </c>
      <c r="Q234" s="19">
        <v>105.21100300000001</v>
      </c>
      <c r="R234" s="19">
        <v>-29.672038000000001</v>
      </c>
      <c r="S234" s="19">
        <v>160</v>
      </c>
      <c r="T234" s="19">
        <v>107.027154</v>
      </c>
      <c r="U234" s="19">
        <v>122.865223</v>
      </c>
      <c r="V234" s="19">
        <v>94.404420999999999</v>
      </c>
      <c r="W234" s="19">
        <v>25.118154000000001</v>
      </c>
      <c r="Y234" t="str">
        <f t="shared" si="76"/>
        <v>CEN_FT_High_Jetfuel_CCS_99_Wood</v>
      </c>
      <c r="Z234" t="str">
        <f t="shared" si="77"/>
        <v>Biomass_Wood</v>
      </c>
      <c r="AA234" s="18">
        <f t="shared" si="78"/>
        <v>116.07559319679369</v>
      </c>
      <c r="AB234" s="18">
        <f t="shared" si="79"/>
        <v>116.0755931967937</v>
      </c>
      <c r="AC234" s="5">
        <f t="shared" si="80"/>
        <v>0</v>
      </c>
      <c r="AD234" s="1">
        <f t="shared" si="81"/>
        <v>-7.4267819730449265</v>
      </c>
      <c r="AE234" s="1">
        <f t="shared" si="82"/>
        <v>0</v>
      </c>
      <c r="AF234" s="1">
        <f t="array" ref="AF234">_xlfn.IFS(C234="Biomass_Corn", 1/I234*S234, C234="Biomass_Agri", 1/I234*V234, C234="Biomass_Wood", 1/I234*U234, C234="Biomass_Herb", 1/I234*T234)</f>
        <v>68.144882418191912</v>
      </c>
      <c r="AG234" s="1">
        <f t="shared" si="83"/>
        <v>57.583648426307931</v>
      </c>
      <c r="AH234" s="1">
        <f t="shared" si="84"/>
        <v>25.257267539612794</v>
      </c>
      <c r="AI234" s="1">
        <f t="shared" si="85"/>
        <v>28.885191347753743</v>
      </c>
      <c r="AJ234" s="1">
        <f t="shared" si="86"/>
        <v>-4.9898269579837715E-6</v>
      </c>
      <c r="AK234" s="1">
        <f t="shared" si="87"/>
        <v>-56.368089577328718</v>
      </c>
      <c r="AL234">
        <f t="shared" si="88"/>
        <v>-5.2498469904591148E-4</v>
      </c>
      <c r="AM234" s="1">
        <f t="shared" si="89"/>
        <v>-0.74621708814374998</v>
      </c>
      <c r="AN234" s="1">
        <f t="shared" si="90"/>
        <v>22.14163373731559</v>
      </c>
      <c r="AO234">
        <f t="shared" si="91"/>
        <v>-78.510248299343345</v>
      </c>
      <c r="AQ234" s="17">
        <f t="shared" si="92"/>
        <v>1.802</v>
      </c>
      <c r="AR234" s="8">
        <v>0.243968185</v>
      </c>
      <c r="AS234" s="8">
        <v>0.24942761299999999</v>
      </c>
      <c r="AT234" s="9">
        <v>0.24635668499999999</v>
      </c>
      <c r="AU234" s="17">
        <v>0.23037490999999999</v>
      </c>
      <c r="AW234" s="9">
        <f t="shared" si="93"/>
        <v>1.802</v>
      </c>
      <c r="AY234" s="9">
        <f t="shared" si="94"/>
        <v>8.0582691505500001E-2</v>
      </c>
      <c r="AZ234" s="9">
        <f t="shared" si="95"/>
        <v>0</v>
      </c>
      <c r="BA234" s="9">
        <f t="shared" si="96"/>
        <v>0.36280948999949997</v>
      </c>
      <c r="BB234" s="9">
        <f t="shared" si="97"/>
        <v>1.31784085718189E-2</v>
      </c>
      <c r="BC234" s="9">
        <f t="shared" si="98"/>
        <v>1.3454204132651759</v>
      </c>
      <c r="BE234" s="1">
        <f t="shared" si="99"/>
        <v>8.9966580052447398E-6</v>
      </c>
    </row>
    <row r="235" spans="2:57" x14ac:dyDescent="0.2">
      <c r="B235" s="12" t="s">
        <v>290</v>
      </c>
      <c r="C235" s="20" t="s">
        <v>67</v>
      </c>
      <c r="D235" s="20">
        <v>0.53510000000000002</v>
      </c>
      <c r="E235" s="20">
        <v>0</v>
      </c>
      <c r="F235" s="20">
        <v>0.33150000000000002</v>
      </c>
      <c r="G235" s="20">
        <v>1.4781</v>
      </c>
      <c r="H235" s="20">
        <v>0</v>
      </c>
      <c r="I235" s="21">
        <f t="shared" si="75"/>
        <v>1.8096000000000001</v>
      </c>
      <c r="J235" s="20">
        <v>1.821</v>
      </c>
      <c r="K235" s="20">
        <v>1.3626243139431291</v>
      </c>
      <c r="L235" s="20">
        <v>1.33469209787422E-2</v>
      </c>
      <c r="M235" s="20">
        <v>818543.04</v>
      </c>
      <c r="N235" s="20">
        <v>359028.32</v>
      </c>
      <c r="O235" s="20">
        <v>52.08</v>
      </c>
      <c r="Q235" s="19">
        <v>105.21100300000001</v>
      </c>
      <c r="R235" s="19">
        <v>-45.510345000000001</v>
      </c>
      <c r="S235" s="19">
        <v>160</v>
      </c>
      <c r="T235" s="19">
        <v>97.593261999999996</v>
      </c>
      <c r="U235" s="19">
        <v>109.791234</v>
      </c>
      <c r="V235" s="19">
        <v>86.911507</v>
      </c>
      <c r="W235" s="19">
        <v>38.099075999999997</v>
      </c>
      <c r="Y235" t="str">
        <f t="shared" si="76"/>
        <v>SE_FT_High_Jetfuel_CCS_99_Wood</v>
      </c>
      <c r="Z235" t="str">
        <f t="shared" si="77"/>
        <v>Biomass_Wood</v>
      </c>
      <c r="AA235" s="18">
        <f t="shared" si="78"/>
        <v>115.76901076406668</v>
      </c>
      <c r="AB235" s="18">
        <f t="shared" si="79"/>
        <v>115.76901076406668</v>
      </c>
      <c r="AC235" s="5">
        <f t="shared" si="80"/>
        <v>0</v>
      </c>
      <c r="AD235" s="1">
        <f t="shared" si="81"/>
        <v>-11.265923722148539</v>
      </c>
      <c r="AE235" s="1">
        <f t="shared" si="82"/>
        <v>0</v>
      </c>
      <c r="AF235" s="1">
        <f t="array" ref="AF235">_xlfn.IFS(C235="Biomass_Corn", 1/I235*S235, C235="Biomass_Agri", 1/I235*V235, C235="Biomass_Wood", 1/I235*U235, C235="Biomass_Herb", 1/I235*T235)</f>
        <v>60.671548408488064</v>
      </c>
      <c r="AG235" s="1">
        <f t="shared" si="83"/>
        <v>57.373628488413559</v>
      </c>
      <c r="AH235" s="1">
        <f t="shared" si="84"/>
        <v>25.165148858268051</v>
      </c>
      <c r="AI235" s="1">
        <f t="shared" si="85"/>
        <v>28.779840848806362</v>
      </c>
      <c r="AJ235" s="1">
        <f t="shared" si="86"/>
        <v>-7.4578095317829337E-6</v>
      </c>
      <c r="AK235" s="1">
        <f t="shared" si="87"/>
        <v>-44.954447474139805</v>
      </c>
      <c r="AL235">
        <f t="shared" si="88"/>
        <v>-7.8464362102184291E-4</v>
      </c>
      <c r="AM235" s="1">
        <f t="shared" si="89"/>
        <v>-0.75300497877722028</v>
      </c>
      <c r="AN235" s="1">
        <f t="shared" si="90"/>
        <v>34.26917696338424</v>
      </c>
      <c r="AO235">
        <f t="shared" si="91"/>
        <v>-79.224409081145069</v>
      </c>
      <c r="AQ235" s="17">
        <f t="shared" si="92"/>
        <v>1.821</v>
      </c>
      <c r="AR235" s="8">
        <v>0.243968185</v>
      </c>
      <c r="AS235" s="8">
        <v>0.24942761299999999</v>
      </c>
      <c r="AT235" s="9">
        <v>0.24635668499999999</v>
      </c>
      <c r="AU235" s="17">
        <v>0.23037490999999999</v>
      </c>
      <c r="AW235" s="9">
        <f t="shared" si="93"/>
        <v>1.821</v>
      </c>
      <c r="AY235" s="9">
        <f t="shared" si="94"/>
        <v>8.0875453327499999E-2</v>
      </c>
      <c r="AZ235" s="9">
        <f t="shared" si="95"/>
        <v>0</v>
      </c>
      <c r="BA235" s="9">
        <f t="shared" si="96"/>
        <v>0.36413981609849999</v>
      </c>
      <c r="BB235" s="9">
        <f t="shared" si="97"/>
        <v>1.33469209787422E-2</v>
      </c>
      <c r="BC235" s="9">
        <f t="shared" si="98"/>
        <v>1.3626243139431291</v>
      </c>
      <c r="BE235" s="1">
        <f t="shared" si="99"/>
        <v>1.3495652128714397E-5</v>
      </c>
    </row>
    <row r="236" spans="2:57" x14ac:dyDescent="0.2">
      <c r="B236" s="12" t="s">
        <v>291</v>
      </c>
      <c r="C236" s="20" t="s">
        <v>67</v>
      </c>
      <c r="D236" s="20">
        <v>0.53139999999999998</v>
      </c>
      <c r="E236" s="20">
        <v>0</v>
      </c>
      <c r="F236" s="20">
        <v>0.32929999999999998</v>
      </c>
      <c r="G236" s="20">
        <v>1.4681</v>
      </c>
      <c r="H236" s="20">
        <v>0</v>
      </c>
      <c r="I236" s="21">
        <f t="shared" si="75"/>
        <v>1.7973999999999999</v>
      </c>
      <c r="J236" s="20">
        <v>1.806</v>
      </c>
      <c r="K236" s="20">
        <v>1.350763155541217</v>
      </c>
      <c r="L236" s="20">
        <v>1.3230740794456001E-2</v>
      </c>
      <c r="M236" s="20">
        <v>818543.04</v>
      </c>
      <c r="N236" s="20">
        <v>359028.32</v>
      </c>
      <c r="O236" s="20">
        <v>52.08</v>
      </c>
      <c r="Q236" s="19">
        <v>105.21100300000001</v>
      </c>
      <c r="R236" s="19">
        <v>-50.334515000000003</v>
      </c>
      <c r="S236" s="19">
        <v>160</v>
      </c>
      <c r="T236" s="19">
        <v>98.707491000000005</v>
      </c>
      <c r="U236" s="19">
        <v>106.53195700000001</v>
      </c>
      <c r="V236" s="19">
        <v>87.469328000000004</v>
      </c>
      <c r="W236" s="19">
        <v>39.29871</v>
      </c>
      <c r="Y236" t="str">
        <f t="shared" si="76"/>
        <v>MIDAT_FT_High_Jetfuel_CCS_99_Wood</v>
      </c>
      <c r="Z236" t="str">
        <f t="shared" si="77"/>
        <v>Biomass_Wood</v>
      </c>
      <c r="AA236" s="18">
        <f t="shared" si="78"/>
        <v>118.48591799433152</v>
      </c>
      <c r="AB236" s="18">
        <f t="shared" si="79"/>
        <v>118.48591799433153</v>
      </c>
      <c r="AC236" s="5">
        <f t="shared" si="80"/>
        <v>0</v>
      </c>
      <c r="AD236" s="1">
        <f t="shared" si="81"/>
        <v>-11.618634969400246</v>
      </c>
      <c r="AE236" s="1">
        <f t="shared" si="82"/>
        <v>0</v>
      </c>
      <c r="AF236" s="1">
        <f t="array" ref="AF236">_xlfn.IFS(C236="Biomass_Corn", 1/I236*S236, C236="Biomass_Agri", 1/I236*V236, C236="Biomass_Wood", 1/I236*U236, C236="Biomass_Herb", 1/I236*T236)</f>
        <v>59.270032825191954</v>
      </c>
      <c r="AG236" s="1">
        <f t="shared" si="83"/>
        <v>57.763056700029594</v>
      </c>
      <c r="AH236" s="1">
        <f t="shared" si="84"/>
        <v>25.335959371270651</v>
      </c>
      <c r="AI236" s="1">
        <f t="shared" si="85"/>
        <v>28.975186380327141</v>
      </c>
      <c r="AJ236" s="1">
        <f t="shared" si="86"/>
        <v>4.9342965799974227E-6</v>
      </c>
      <c r="AK236" s="1">
        <f t="shared" si="87"/>
        <v>-41.240201455379847</v>
      </c>
      <c r="AL236">
        <f t="shared" si="88"/>
        <v>5.1914229228099856E-4</v>
      </c>
      <c r="AM236" s="1">
        <f t="shared" si="89"/>
        <v>-0.75150455471043964</v>
      </c>
      <c r="AN236" s="1">
        <f t="shared" si="90"/>
        <v>37.826865647066164</v>
      </c>
      <c r="AO236">
        <f t="shared" si="91"/>
        <v>-79.066547960153727</v>
      </c>
      <c r="AQ236" s="17">
        <f t="shared" si="92"/>
        <v>1.806</v>
      </c>
      <c r="AR236" s="8">
        <v>0.243968185</v>
      </c>
      <c r="AS236" s="8">
        <v>0.24942761299999999</v>
      </c>
      <c r="AT236" s="9">
        <v>0.24635668499999999</v>
      </c>
      <c r="AU236" s="17">
        <v>0.23037490999999999</v>
      </c>
      <c r="AW236" s="9">
        <f t="shared" si="93"/>
        <v>1.806</v>
      </c>
      <c r="AY236" s="9">
        <f t="shared" si="94"/>
        <v>8.0338723320500002E-2</v>
      </c>
      <c r="AZ236" s="9">
        <f t="shared" si="95"/>
        <v>0</v>
      </c>
      <c r="BA236" s="9">
        <f t="shared" si="96"/>
        <v>0.3616762492485</v>
      </c>
      <c r="BB236" s="9">
        <f t="shared" si="97"/>
        <v>1.3230740794456001E-2</v>
      </c>
      <c r="BC236" s="9">
        <f t="shared" si="98"/>
        <v>1.350763155541217</v>
      </c>
      <c r="BE236" s="1">
        <f t="shared" si="99"/>
        <v>-8.8689046728873677E-6</v>
      </c>
    </row>
    <row r="237" spans="2:57" x14ac:dyDescent="0.2">
      <c r="B237" s="12" t="s">
        <v>292</v>
      </c>
      <c r="C237" s="20" t="s">
        <v>67</v>
      </c>
      <c r="D237" s="20">
        <v>0.52810000000000001</v>
      </c>
      <c r="E237" s="20">
        <v>0</v>
      </c>
      <c r="F237" s="20">
        <v>0.32719999999999999</v>
      </c>
      <c r="G237" s="20">
        <v>1.4588000000000001</v>
      </c>
      <c r="H237" s="20">
        <v>0</v>
      </c>
      <c r="I237" s="21">
        <f t="shared" si="75"/>
        <v>1.786</v>
      </c>
      <c r="J237" s="20">
        <v>1.8260000000000001</v>
      </c>
      <c r="K237" s="20">
        <v>1.373332240093297</v>
      </c>
      <c r="L237" s="20">
        <v>1.3451805239730399E-2</v>
      </c>
      <c r="M237" s="20">
        <v>818543.04</v>
      </c>
      <c r="N237" s="20">
        <v>359028.32</v>
      </c>
      <c r="O237" s="20">
        <v>52.08</v>
      </c>
      <c r="Q237" s="19">
        <v>105.21100300000001</v>
      </c>
      <c r="R237" s="19">
        <v>-58.833413</v>
      </c>
      <c r="S237" s="19">
        <v>160</v>
      </c>
      <c r="T237" s="19">
        <v>99.493746999999999</v>
      </c>
      <c r="U237" s="19">
        <v>105.21395800000001</v>
      </c>
      <c r="V237" s="19">
        <v>89.700445000000002</v>
      </c>
      <c r="W237" s="19">
        <v>47.365060999999997</v>
      </c>
      <c r="Y237" t="str">
        <f t="shared" si="76"/>
        <v>NE_FT_High_Jetfuel_CCS_99_Wood</v>
      </c>
      <c r="Z237" t="str">
        <f t="shared" si="77"/>
        <v>Biomass_Wood</v>
      </c>
      <c r="AA237" s="18">
        <f t="shared" si="78"/>
        <v>122.03266229808662</v>
      </c>
      <c r="AB237" s="18">
        <f t="shared" si="79"/>
        <v>122.03266229808661</v>
      </c>
      <c r="AC237" s="5">
        <f t="shared" si="80"/>
        <v>0</v>
      </c>
      <c r="AD237" s="1">
        <f t="shared" si="81"/>
        <v>-14.005312829843225</v>
      </c>
      <c r="AE237" s="1">
        <f t="shared" si="82"/>
        <v>0</v>
      </c>
      <c r="AF237" s="1">
        <f t="array" ref="AF237">_xlfn.IFS(C237="Biomass_Corn", 1/I237*S237, C237="Biomass_Agri", 1/I237*V237, C237="Biomass_Wood", 1/I237*U237, C237="Biomass_Herb", 1/I237*T237)</f>
        <v>58.910390817469207</v>
      </c>
      <c r="AG237" s="1">
        <f t="shared" si="83"/>
        <v>58.131757061944676</v>
      </c>
      <c r="AH237" s="1">
        <f t="shared" si="84"/>
        <v>25.497678260874508</v>
      </c>
      <c r="AI237" s="1">
        <f t="shared" si="85"/>
        <v>29.160134378499439</v>
      </c>
      <c r="AJ237" s="1">
        <f t="shared" si="86"/>
        <v>-2.4817788200277458E-6</v>
      </c>
      <c r="AK237" s="1">
        <f t="shared" si="87"/>
        <v>-35.661724280419094</v>
      </c>
      <c r="AL237">
        <f t="shared" si="88"/>
        <v>-2.6111043887927564E-4</v>
      </c>
      <c r="AM237" s="1">
        <f t="shared" si="89"/>
        <v>-0.76894550534729555</v>
      </c>
      <c r="AN237" s="1">
        <f t="shared" si="90"/>
        <v>45.239542479072846</v>
      </c>
      <c r="AO237">
        <f t="shared" si="91"/>
        <v>-80.901527869930831</v>
      </c>
      <c r="AQ237" s="17">
        <f t="shared" si="92"/>
        <v>1.8260000000000001</v>
      </c>
      <c r="AR237" s="8">
        <v>0.243968185</v>
      </c>
      <c r="AS237" s="8">
        <v>0.24942761299999999</v>
      </c>
      <c r="AT237" s="9">
        <v>0.24635668499999999</v>
      </c>
      <c r="AU237" s="17">
        <v>0.23037490999999999</v>
      </c>
      <c r="AW237" s="9">
        <f t="shared" si="93"/>
        <v>1.8260000000000001</v>
      </c>
      <c r="AY237" s="9">
        <f t="shared" si="94"/>
        <v>7.9826390132000005E-2</v>
      </c>
      <c r="AZ237" s="9">
        <f t="shared" si="95"/>
        <v>0</v>
      </c>
      <c r="BA237" s="9">
        <f t="shared" si="96"/>
        <v>0.35938513207799999</v>
      </c>
      <c r="BB237" s="9">
        <f t="shared" si="97"/>
        <v>1.3451805239730399E-2</v>
      </c>
      <c r="BC237" s="9">
        <f t="shared" si="98"/>
        <v>1.373332240093297</v>
      </c>
      <c r="BE237" s="1">
        <f t="shared" si="99"/>
        <v>4.432456972569554E-6</v>
      </c>
    </row>
    <row r="238" spans="2:57" x14ac:dyDescent="0.2">
      <c r="B238" s="12" t="s">
        <v>293</v>
      </c>
      <c r="C238" s="20" t="s">
        <v>77</v>
      </c>
      <c r="D238" s="20">
        <v>0.51129999999999998</v>
      </c>
      <c r="E238" s="20">
        <v>0</v>
      </c>
      <c r="F238" s="20">
        <v>0.31680000000000003</v>
      </c>
      <c r="G238" s="20">
        <v>1.4125000000000001</v>
      </c>
      <c r="H238" s="20">
        <v>0</v>
      </c>
      <c r="I238" s="21">
        <f t="shared" si="75"/>
        <v>1.7293000000000001</v>
      </c>
      <c r="J238" s="20">
        <v>1.7190000000000001</v>
      </c>
      <c r="K238" s="20">
        <v>1.281185562853701</v>
      </c>
      <c r="L238" s="20">
        <v>1.2549227466102099E-2</v>
      </c>
      <c r="M238" s="20">
        <v>818543.04</v>
      </c>
      <c r="N238" s="20">
        <v>359028.32</v>
      </c>
      <c r="O238" s="20">
        <v>52.08</v>
      </c>
      <c r="Q238" s="19">
        <v>105.21100300000001</v>
      </c>
      <c r="R238" s="19">
        <v>-6.4122130000000004</v>
      </c>
      <c r="S238" s="19">
        <v>160</v>
      </c>
      <c r="T238" s="19">
        <v>313632.96735400002</v>
      </c>
      <c r="U238" s="19">
        <v>154.036981</v>
      </c>
      <c r="V238" s="19">
        <v>132.85973799999999</v>
      </c>
      <c r="W238" s="19">
        <v>36.488697999999999</v>
      </c>
      <c r="Y238" t="str">
        <f t="shared" si="76"/>
        <v>CA_FT_High_Jetfuel_CCS_99_Agri</v>
      </c>
      <c r="Z238" t="str">
        <f t="shared" si="77"/>
        <v>Biomass_Agri</v>
      </c>
      <c r="AA238" s="18">
        <f t="shared" si="78"/>
        <v>109.33090957787908</v>
      </c>
      <c r="AB238" s="18">
        <f t="shared" si="79"/>
        <v>109.3309095778791</v>
      </c>
      <c r="AC238" s="5">
        <f t="shared" si="80"/>
        <v>0</v>
      </c>
      <c r="AD238" s="1">
        <f t="shared" si="81"/>
        <v>-10.788568372983287</v>
      </c>
      <c r="AE238" s="1">
        <f t="shared" si="82"/>
        <v>0</v>
      </c>
      <c r="AF238" s="1">
        <f t="array" ref="AF238">_xlfn.IFS(C238="Biomass_Corn", 1/I238*S238, C238="Biomass_Agri", 1/I238*V238, C238="Biomass_Wood", 1/I238*U238, C238="Biomass_Herb", 1/I238*T238)</f>
        <v>76.828623142311912</v>
      </c>
      <c r="AG238" s="1">
        <f t="shared" si="83"/>
        <v>60.037771417702643</v>
      </c>
      <c r="AH238" s="1">
        <f t="shared" si="84"/>
        <v>26.333691883375852</v>
      </c>
      <c r="AI238" s="1">
        <f t="shared" si="85"/>
        <v>30.116232001387843</v>
      </c>
      <c r="AJ238" s="1">
        <f t="shared" si="86"/>
        <v>1.5780317487196516E-6</v>
      </c>
      <c r="AK238" s="1">
        <f t="shared" si="87"/>
        <v>-73.197006520218935</v>
      </c>
      <c r="AL238">
        <f t="shared" si="88"/>
        <v>1.6602630304863851E-4</v>
      </c>
      <c r="AM238" s="1">
        <f t="shared" si="89"/>
        <v>-0.74086788525033132</v>
      </c>
      <c r="AN238" s="1">
        <f t="shared" si="90"/>
        <v>4.7506128037603768</v>
      </c>
      <c r="AO238">
        <f t="shared" si="91"/>
        <v>-77.947453297676262</v>
      </c>
      <c r="AQ238" s="17">
        <f t="shared" si="92"/>
        <v>1.7190000000000001</v>
      </c>
      <c r="AR238" s="8">
        <v>0.243968185</v>
      </c>
      <c r="AS238" s="8">
        <v>0.24942761299999999</v>
      </c>
      <c r="AT238" s="9">
        <v>0.24635668499999999</v>
      </c>
      <c r="AU238" s="17">
        <v>0.23037490999999999</v>
      </c>
      <c r="AW238" s="9">
        <f t="shared" si="93"/>
        <v>1.7190000000000001</v>
      </c>
      <c r="AY238" s="9">
        <f t="shared" si="94"/>
        <v>7.7289121008000006E-2</v>
      </c>
      <c r="AZ238" s="9">
        <f t="shared" si="95"/>
        <v>0</v>
      </c>
      <c r="BA238" s="9">
        <f t="shared" si="96"/>
        <v>0.34797881756249999</v>
      </c>
      <c r="BB238" s="9">
        <f t="shared" si="97"/>
        <v>1.2549227466102099E-2</v>
      </c>
      <c r="BC238" s="9">
        <f t="shared" si="98"/>
        <v>1.281185562853701</v>
      </c>
      <c r="BE238" s="1">
        <f t="shared" si="99"/>
        <v>-2.7288903030608935E-6</v>
      </c>
    </row>
    <row r="239" spans="2:57" x14ac:dyDescent="0.2">
      <c r="B239" s="12" t="s">
        <v>294</v>
      </c>
      <c r="C239" s="20" t="s">
        <v>77</v>
      </c>
      <c r="D239" s="20">
        <v>0.46739999999999998</v>
      </c>
      <c r="E239" s="20">
        <v>0</v>
      </c>
      <c r="F239" s="20">
        <v>0.28960000000000002</v>
      </c>
      <c r="G239" s="20">
        <v>1.2911999999999999</v>
      </c>
      <c r="H239" s="20">
        <v>0</v>
      </c>
      <c r="I239" s="21">
        <f t="shared" si="75"/>
        <v>1.5808</v>
      </c>
      <c r="J239" s="20">
        <v>1.6639999999999999</v>
      </c>
      <c r="K239" s="20">
        <v>1.262869419076756</v>
      </c>
      <c r="L239" s="20">
        <v>1.2369820625108101E-2</v>
      </c>
      <c r="M239" s="20">
        <v>818543.04</v>
      </c>
      <c r="N239" s="20">
        <v>359028.32</v>
      </c>
      <c r="O239" s="20">
        <v>52.08</v>
      </c>
      <c r="Q239" s="19">
        <v>105.21100300000001</v>
      </c>
      <c r="R239" s="19">
        <v>-7.3796590000000002</v>
      </c>
      <c r="S239" s="19">
        <v>160</v>
      </c>
      <c r="T239" s="19">
        <v>130.996602</v>
      </c>
      <c r="U239" s="19">
        <v>149.05667199999999</v>
      </c>
      <c r="V239" s="19">
        <v>112.26938</v>
      </c>
      <c r="W239" s="19">
        <v>26.787863000000002</v>
      </c>
      <c r="Y239" t="str">
        <f t="shared" si="76"/>
        <v>NW_FT_High_Jetfuel_CCS_99_Agri</v>
      </c>
      <c r="Z239" t="str">
        <f t="shared" si="77"/>
        <v>Biomass_Agri</v>
      </c>
      <c r="AA239" s="18">
        <f t="shared" si="78"/>
        <v>112.37439772569726</v>
      </c>
      <c r="AB239" s="18">
        <f t="shared" si="79"/>
        <v>112.37439772569726</v>
      </c>
      <c r="AC239" s="5">
        <f t="shared" si="80"/>
        <v>0</v>
      </c>
      <c r="AD239" s="1">
        <f t="shared" si="81"/>
        <v>-7.920449877403847</v>
      </c>
      <c r="AE239" s="1">
        <f t="shared" si="82"/>
        <v>0</v>
      </c>
      <c r="AF239" s="1">
        <f t="array" ref="AF239">_xlfn.IFS(C239="Biomass_Corn", 1/I239*S239, C239="Biomass_Agri", 1/I239*V239, C239="Biomass_Wood", 1/I239*U239, C239="Biomass_Herb", 1/I239*T239)</f>
        <v>71.020609817813764</v>
      </c>
      <c r="AG239" s="1">
        <f t="shared" si="83"/>
        <v>65.677706295947104</v>
      </c>
      <c r="AH239" s="1">
        <f t="shared" si="84"/>
        <v>28.807473035122641</v>
      </c>
      <c r="AI239" s="1">
        <f t="shared" si="85"/>
        <v>32.945344129554655</v>
      </c>
      <c r="AJ239" s="1">
        <f t="shared" si="86"/>
        <v>-7.4786501366157417E-6</v>
      </c>
      <c r="AK239" s="1">
        <f t="shared" si="87"/>
        <v>-78.155498839055085</v>
      </c>
      <c r="AL239">
        <f t="shared" si="88"/>
        <v>-7.8683628195942929E-4</v>
      </c>
      <c r="AM239" s="1">
        <f t="shared" si="89"/>
        <v>-0.79888742492844889</v>
      </c>
      <c r="AN239" s="1">
        <f t="shared" si="90"/>
        <v>5.8954615854722636</v>
      </c>
      <c r="AO239">
        <f t="shared" si="91"/>
        <v>-84.051747260809321</v>
      </c>
      <c r="AQ239" s="17">
        <f t="shared" si="92"/>
        <v>1.6639999999999999</v>
      </c>
      <c r="AR239" s="8">
        <v>0.243968185</v>
      </c>
      <c r="AS239" s="8">
        <v>0.24942761299999999</v>
      </c>
      <c r="AT239" s="9">
        <v>0.24635668499999999</v>
      </c>
      <c r="AU239" s="17">
        <v>0.23037490999999999</v>
      </c>
      <c r="AW239" s="9">
        <f t="shared" si="93"/>
        <v>1.6639999999999999</v>
      </c>
      <c r="AY239" s="9">
        <f t="shared" si="94"/>
        <v>7.0653186376000002E-2</v>
      </c>
      <c r="AZ239" s="9">
        <f t="shared" si="95"/>
        <v>0</v>
      </c>
      <c r="BA239" s="9">
        <f t="shared" si="96"/>
        <v>0.31809575167199999</v>
      </c>
      <c r="BB239" s="9">
        <f t="shared" si="97"/>
        <v>1.2369820625108101E-2</v>
      </c>
      <c r="BC239" s="9">
        <f t="shared" si="98"/>
        <v>1.262869419076756</v>
      </c>
      <c r="BE239" s="1">
        <f t="shared" si="99"/>
        <v>1.1822250135962165E-5</v>
      </c>
    </row>
    <row r="240" spans="2:57" x14ac:dyDescent="0.2">
      <c r="B240" s="12" t="s">
        <v>295</v>
      </c>
      <c r="C240" s="20" t="s">
        <v>77</v>
      </c>
      <c r="D240" s="20">
        <v>0.47610000000000002</v>
      </c>
      <c r="E240" s="20">
        <v>0</v>
      </c>
      <c r="F240" s="20">
        <v>0.29499999999999998</v>
      </c>
      <c r="G240" s="20">
        <v>1.3151999999999999</v>
      </c>
      <c r="H240" s="20">
        <v>0</v>
      </c>
      <c r="I240" s="21">
        <f t="shared" si="75"/>
        <v>1.6101999999999999</v>
      </c>
      <c r="J240" s="20">
        <v>1.6870000000000001</v>
      </c>
      <c r="K240" s="20">
        <v>1.2785083506505479</v>
      </c>
      <c r="L240" s="20">
        <v>1.25230041414827E-2</v>
      </c>
      <c r="M240" s="20">
        <v>818543.04</v>
      </c>
      <c r="N240" s="20">
        <v>359028.32</v>
      </c>
      <c r="O240" s="20">
        <v>52.08</v>
      </c>
      <c r="Q240" s="19">
        <v>105.21100300000001</v>
      </c>
      <c r="R240" s="19">
        <v>-14.567418</v>
      </c>
      <c r="S240" s="19">
        <v>160</v>
      </c>
      <c r="T240" s="19">
        <v>120.282189</v>
      </c>
      <c r="U240" s="19">
        <v>137.475031</v>
      </c>
      <c r="V240" s="19">
        <v>107.559866</v>
      </c>
      <c r="W240" s="19">
        <v>27.957547000000002</v>
      </c>
      <c r="Y240" t="str">
        <f t="shared" si="76"/>
        <v>SW_FT_High_Jetfuel_CCS_99_Agri</v>
      </c>
      <c r="Z240" t="str">
        <f t="shared" si="77"/>
        <v>Biomass_Agri</v>
      </c>
      <c r="AA240" s="18">
        <f t="shared" si="78"/>
        <v>111.66560099936247</v>
      </c>
      <c r="AB240" s="18">
        <f t="shared" si="79"/>
        <v>111.66560099936248</v>
      </c>
      <c r="AC240" s="5">
        <f t="shared" si="80"/>
        <v>0</v>
      </c>
      <c r="AD240" s="1">
        <f t="shared" si="81"/>
        <v>-8.266419157061236</v>
      </c>
      <c r="AE240" s="1">
        <f t="shared" si="82"/>
        <v>0</v>
      </c>
      <c r="AF240" s="1">
        <f t="array" ref="AF240">_xlfn.IFS(C240="Biomass_Corn", 1/I240*S240, C240="Biomass_Agri", 1/I240*V240, C240="Biomass_Wood", 1/I240*U240, C240="Biomass_Herb", 1/I240*T240)</f>
        <v>66.799072164948456</v>
      </c>
      <c r="AG240" s="1">
        <f t="shared" si="83"/>
        <v>64.478523234774059</v>
      </c>
      <c r="AH240" s="1">
        <f t="shared" si="84"/>
        <v>28.281488867172943</v>
      </c>
      <c r="AI240" s="1">
        <f t="shared" si="85"/>
        <v>32.343808222581046</v>
      </c>
      <c r="AJ240" s="1">
        <f t="shared" si="86"/>
        <v>6.3852186253843272E-6</v>
      </c>
      <c r="AK240" s="1">
        <f t="shared" si="87"/>
        <v>-71.971544128308764</v>
      </c>
      <c r="AL240">
        <f t="shared" si="88"/>
        <v>6.7179525595096636E-4</v>
      </c>
      <c r="AM240" s="1">
        <f t="shared" si="89"/>
        <v>-0.79399954612564738</v>
      </c>
      <c r="AN240" s="1">
        <f t="shared" si="90"/>
        <v>11.566616296371324</v>
      </c>
      <c r="AO240">
        <f t="shared" si="91"/>
        <v>-83.537488629424132</v>
      </c>
      <c r="AQ240" s="17">
        <f t="shared" si="92"/>
        <v>1.6870000000000001</v>
      </c>
      <c r="AR240" s="8">
        <v>0.243968185</v>
      </c>
      <c r="AS240" s="8">
        <v>0.24942761299999999</v>
      </c>
      <c r="AT240" s="9">
        <v>0.24635668499999999</v>
      </c>
      <c r="AU240" s="17">
        <v>0.23037490999999999</v>
      </c>
      <c r="AW240" s="9">
        <f t="shared" si="93"/>
        <v>1.6870000000000001</v>
      </c>
      <c r="AY240" s="9">
        <f t="shared" si="94"/>
        <v>7.1970614574999994E-2</v>
      </c>
      <c r="AZ240" s="9">
        <f t="shared" si="95"/>
        <v>0</v>
      </c>
      <c r="BA240" s="9">
        <f t="shared" si="96"/>
        <v>0.32400831211199999</v>
      </c>
      <c r="BB240" s="9">
        <f t="shared" si="97"/>
        <v>1.25230041414827E-2</v>
      </c>
      <c r="BC240" s="9">
        <f t="shared" si="98"/>
        <v>1.2785083506505479</v>
      </c>
      <c r="BE240" s="1">
        <f t="shared" si="99"/>
        <v>-1.0281479030593843E-5</v>
      </c>
    </row>
    <row r="241" spans="2:57" x14ac:dyDescent="0.2">
      <c r="B241" s="12" t="s">
        <v>296</v>
      </c>
      <c r="C241" s="20" t="s">
        <v>77</v>
      </c>
      <c r="D241" s="20">
        <v>0.46379999999999999</v>
      </c>
      <c r="E241" s="20">
        <v>0</v>
      </c>
      <c r="F241" s="20">
        <v>0.28739999999999999</v>
      </c>
      <c r="G241" s="20">
        <v>1.2811999999999999</v>
      </c>
      <c r="H241" s="20">
        <v>0</v>
      </c>
      <c r="I241" s="21">
        <f t="shared" si="75"/>
        <v>1.5686</v>
      </c>
      <c r="J241" s="20">
        <v>1.633</v>
      </c>
      <c r="K241" s="20">
        <v>1.2351634606748441</v>
      </c>
      <c r="L241" s="20">
        <v>1.2098440440822001E-2</v>
      </c>
      <c r="M241" s="20">
        <v>818543.04</v>
      </c>
      <c r="N241" s="20">
        <v>359028.32</v>
      </c>
      <c r="O241" s="20">
        <v>52.08</v>
      </c>
      <c r="Q241" s="19">
        <v>105.21100300000001</v>
      </c>
      <c r="R241" s="19">
        <v>-19.477884</v>
      </c>
      <c r="S241" s="19">
        <v>160</v>
      </c>
      <c r="T241" s="19">
        <v>132.95547999999999</v>
      </c>
      <c r="U241" s="19">
        <v>152.57709199999999</v>
      </c>
      <c r="V241" s="19">
        <v>106.67488899999999</v>
      </c>
      <c r="W241" s="19">
        <v>20.174973000000001</v>
      </c>
      <c r="Y241" t="str">
        <f t="shared" si="76"/>
        <v>TX_FT_High_Jetfuel_CCS_99_Agri</v>
      </c>
      <c r="Z241" t="str">
        <f t="shared" si="77"/>
        <v>Biomass_Agri</v>
      </c>
      <c r="AA241" s="18">
        <f t="shared" si="78"/>
        <v>122.95460998171944</v>
      </c>
      <c r="AB241" s="18">
        <f t="shared" si="79"/>
        <v>122.95460998171944</v>
      </c>
      <c r="AC241" s="5">
        <f t="shared" si="80"/>
        <v>0</v>
      </c>
      <c r="AD241" s="1">
        <f t="shared" si="81"/>
        <v>-5.9652890969016958</v>
      </c>
      <c r="AE241" s="1">
        <f t="shared" si="82"/>
        <v>0</v>
      </c>
      <c r="AF241" s="1">
        <f t="array" ref="AF241">_xlfn.IFS(C241="Biomass_Corn", 1/I241*S241, C241="Biomass_Agri", 1/I241*V241, C241="Biomass_Wood", 1/I241*U241, C241="Biomass_Herb", 1/I241*T241)</f>
        <v>68.006431850057368</v>
      </c>
      <c r="AG241" s="1">
        <f t="shared" si="83"/>
        <v>66.188523595966586</v>
      </c>
      <c r="AH241" s="1">
        <f t="shared" si="84"/>
        <v>29.031527077599051</v>
      </c>
      <c r="AI241" s="1">
        <f t="shared" si="85"/>
        <v>33.201581027667984</v>
      </c>
      <c r="AJ241" s="1">
        <f t="shared" si="86"/>
        <v>6.7208381141537967E-6</v>
      </c>
      <c r="AK241" s="1">
        <f t="shared" si="87"/>
        <v>-67.50887157878887</v>
      </c>
      <c r="AL241">
        <f t="shared" si="88"/>
        <v>7.0710611899074953E-4</v>
      </c>
      <c r="AM241" s="1">
        <f t="shared" si="89"/>
        <v>-0.78742376537560765</v>
      </c>
      <c r="AN241" s="1">
        <f t="shared" si="90"/>
        <v>15.337479668534472</v>
      </c>
      <c r="AO241">
        <f t="shared" si="91"/>
        <v>-82.84564414120436</v>
      </c>
      <c r="AQ241" s="17">
        <f t="shared" si="92"/>
        <v>1.633</v>
      </c>
      <c r="AR241" s="8">
        <v>0.243968185</v>
      </c>
      <c r="AS241" s="8">
        <v>0.24942761299999999</v>
      </c>
      <c r="AT241" s="9">
        <v>0.24635668499999999</v>
      </c>
      <c r="AU241" s="17">
        <v>0.23037490999999999</v>
      </c>
      <c r="AW241" s="9">
        <f t="shared" si="93"/>
        <v>1.633</v>
      </c>
      <c r="AY241" s="9">
        <f t="shared" si="94"/>
        <v>7.0116456369000005E-2</v>
      </c>
      <c r="AZ241" s="9">
        <f t="shared" si="95"/>
        <v>0</v>
      </c>
      <c r="BA241" s="9">
        <f t="shared" si="96"/>
        <v>0.31563218482199995</v>
      </c>
      <c r="BB241" s="9">
        <f t="shared" si="97"/>
        <v>1.2098440440822001E-2</v>
      </c>
      <c r="BC241" s="9">
        <f t="shared" si="98"/>
        <v>1.2351634606748441</v>
      </c>
      <c r="BE241" s="1">
        <f t="shared" si="99"/>
        <v>-1.0542306665861645E-5</v>
      </c>
    </row>
    <row r="242" spans="2:57" x14ac:dyDescent="0.2">
      <c r="B242" s="12" t="s">
        <v>297</v>
      </c>
      <c r="C242" s="20" t="s">
        <v>77</v>
      </c>
      <c r="D242" s="20">
        <v>0.48359999999999997</v>
      </c>
      <c r="E242" s="20">
        <v>0</v>
      </c>
      <c r="F242" s="20">
        <v>0.29970000000000002</v>
      </c>
      <c r="G242" s="20">
        <v>1.3360000000000001</v>
      </c>
      <c r="H242" s="20">
        <v>0</v>
      </c>
      <c r="I242" s="21">
        <f t="shared" si="75"/>
        <v>1.6357000000000002</v>
      </c>
      <c r="J242" s="20">
        <v>1.71</v>
      </c>
      <c r="K242" s="20">
        <v>1.295068310408366</v>
      </c>
      <c r="L242" s="20">
        <v>1.26852091396154E-2</v>
      </c>
      <c r="M242" s="20">
        <v>818543.04</v>
      </c>
      <c r="N242" s="20">
        <v>359028.32</v>
      </c>
      <c r="O242" s="20">
        <v>52.08</v>
      </c>
      <c r="Q242" s="19">
        <v>105.21100300000001</v>
      </c>
      <c r="R242" s="19">
        <v>-39.686463000000003</v>
      </c>
      <c r="S242" s="19">
        <v>160</v>
      </c>
      <c r="T242" s="19">
        <v>100.757654</v>
      </c>
      <c r="U242" s="19">
        <v>111.990773</v>
      </c>
      <c r="V242" s="19">
        <v>89.243781999999996</v>
      </c>
      <c r="W242" s="19">
        <v>30.713950000000001</v>
      </c>
      <c r="Y242" t="str">
        <f t="shared" si="76"/>
        <v>NCEN_FT_High_Jetfuel_CCS_99_Agri</v>
      </c>
      <c r="Z242" t="str">
        <f t="shared" si="77"/>
        <v>Biomass_Agri</v>
      </c>
      <c r="AA242" s="18">
        <f t="shared" si="78"/>
        <v>116.75385511531078</v>
      </c>
      <c r="AB242" s="18">
        <f t="shared" si="79"/>
        <v>116.75385511531078</v>
      </c>
      <c r="AC242" s="5">
        <f t="shared" si="80"/>
        <v>0</v>
      </c>
      <c r="AD242" s="1">
        <f t="shared" si="81"/>
        <v>-9.0806787430457891</v>
      </c>
      <c r="AE242" s="1">
        <f t="shared" si="82"/>
        <v>0</v>
      </c>
      <c r="AF242" s="1">
        <f t="array" ref="AF242">_xlfn.IFS(C242="Biomass_Corn", 1/I242*S242, C242="Biomass_Agri", 1/I242*V242, C242="Biomass_Wood", 1/I242*U242, C242="Biomass_Herb", 1/I242*T242)</f>
        <v>54.55999388640948</v>
      </c>
      <c r="AG242" s="1">
        <f t="shared" si="83"/>
        <v>63.473325250738625</v>
      </c>
      <c r="AH242" s="1">
        <f t="shared" si="84"/>
        <v>27.840590190084896</v>
      </c>
      <c r="AI242" s="1">
        <f t="shared" si="85"/>
        <v>31.83957938497279</v>
      </c>
      <c r="AJ242" s="1">
        <f t="shared" si="86"/>
        <v>2.0271152909884195E-6</v>
      </c>
      <c r="AK242" s="1">
        <f t="shared" si="87"/>
        <v>-51.879168128682146</v>
      </c>
      <c r="AL242">
        <f t="shared" si="88"/>
        <v>2.1327483296152848E-4</v>
      </c>
      <c r="AM242" s="1">
        <f t="shared" si="89"/>
        <v>-0.79174970633727726</v>
      </c>
      <c r="AN242" s="1">
        <f t="shared" si="90"/>
        <v>31.421825874851212</v>
      </c>
      <c r="AO242">
        <f t="shared" si="91"/>
        <v>-83.300780728700403</v>
      </c>
      <c r="AQ242" s="17">
        <f t="shared" si="92"/>
        <v>1.71</v>
      </c>
      <c r="AR242" s="8">
        <v>0.243968185</v>
      </c>
      <c r="AS242" s="8">
        <v>0.24942761299999999</v>
      </c>
      <c r="AT242" s="9">
        <v>0.24635668499999999</v>
      </c>
      <c r="AU242" s="17">
        <v>0.23037490999999999</v>
      </c>
      <c r="AW242" s="9">
        <f t="shared" si="93"/>
        <v>1.71</v>
      </c>
      <c r="AY242" s="9">
        <f t="shared" si="94"/>
        <v>7.3117265044500002E-2</v>
      </c>
      <c r="AZ242" s="9">
        <f t="shared" si="95"/>
        <v>0</v>
      </c>
      <c r="BA242" s="9">
        <f t="shared" si="96"/>
        <v>0.32913253116000002</v>
      </c>
      <c r="BB242" s="9">
        <f t="shared" si="97"/>
        <v>1.26852091396154E-2</v>
      </c>
      <c r="BC242" s="9">
        <f t="shared" si="98"/>
        <v>1.295068310408366</v>
      </c>
      <c r="BE242" s="1">
        <f t="shared" si="99"/>
        <v>-3.3157524814697581E-6</v>
      </c>
    </row>
    <row r="243" spans="2:57" x14ac:dyDescent="0.2">
      <c r="B243" s="12" t="s">
        <v>298</v>
      </c>
      <c r="C243" s="20" t="s">
        <v>77</v>
      </c>
      <c r="D243" s="20">
        <v>0.48</v>
      </c>
      <c r="E243" s="20">
        <v>0</v>
      </c>
      <c r="F243" s="20">
        <v>0.2974</v>
      </c>
      <c r="G243" s="20">
        <v>1.3260000000000001</v>
      </c>
      <c r="H243" s="20">
        <v>0</v>
      </c>
      <c r="I243" s="21">
        <f t="shared" si="75"/>
        <v>1.6234000000000002</v>
      </c>
      <c r="J243" s="20">
        <v>1.7</v>
      </c>
      <c r="K243" s="20">
        <v>1.2881586520064541</v>
      </c>
      <c r="L243" s="20">
        <v>1.2617528955329299E-2</v>
      </c>
      <c r="M243" s="20">
        <v>818543.04</v>
      </c>
      <c r="N243" s="20">
        <v>359028.32</v>
      </c>
      <c r="O243" s="20">
        <v>52.08</v>
      </c>
      <c r="Q243" s="19">
        <v>105.21100300000001</v>
      </c>
      <c r="R243" s="19">
        <v>-29.672038000000001</v>
      </c>
      <c r="S243" s="19">
        <v>160</v>
      </c>
      <c r="T243" s="19">
        <v>107.027154</v>
      </c>
      <c r="U243" s="19">
        <v>122.865223</v>
      </c>
      <c r="V243" s="19">
        <v>94.404420999999999</v>
      </c>
      <c r="W243" s="19">
        <v>25.118154000000001</v>
      </c>
      <c r="Y243" t="str">
        <f t="shared" si="76"/>
        <v>CEN_FT_High_Jetfuel_CCS_99_Agri</v>
      </c>
      <c r="Z243" t="str">
        <f t="shared" si="77"/>
        <v>Biomass_Agri</v>
      </c>
      <c r="AA243" s="18">
        <f t="shared" si="78"/>
        <v>114.87239267928111</v>
      </c>
      <c r="AB243" s="18">
        <f t="shared" si="79"/>
        <v>114.87239267928112</v>
      </c>
      <c r="AC243" s="5">
        <f t="shared" si="80"/>
        <v>0</v>
      </c>
      <c r="AD243" s="1">
        <f t="shared" si="81"/>
        <v>-7.4268288283848696</v>
      </c>
      <c r="AE243" s="1">
        <f t="shared" si="82"/>
        <v>0</v>
      </c>
      <c r="AF243" s="1">
        <f t="array" ref="AF243">_xlfn.IFS(C243="Biomass_Corn", 1/I243*S243, C243="Biomass_Agri", 1/I243*V243, C243="Biomass_Wood", 1/I243*U243, C243="Biomass_Herb", 1/I243*T243)</f>
        <v>58.152285943082411</v>
      </c>
      <c r="AG243" s="1">
        <f t="shared" si="83"/>
        <v>63.954243016282604</v>
      </c>
      <c r="AH243" s="1">
        <f t="shared" si="84"/>
        <v>28.051529736307668</v>
      </c>
      <c r="AI243" s="1">
        <f t="shared" si="85"/>
        <v>32.080818036220272</v>
      </c>
      <c r="AJ243" s="1">
        <f t="shared" si="86"/>
        <v>7.9061893768170734E-7</v>
      </c>
      <c r="AK243" s="1">
        <f t="shared" si="87"/>
        <v>-59.939738406038387</v>
      </c>
      <c r="AL243">
        <f t="shared" si="88"/>
        <v>8.3181811424286922E-5</v>
      </c>
      <c r="AM243" s="1">
        <f t="shared" si="89"/>
        <v>-0.7934935126990702</v>
      </c>
      <c r="AN243" s="1">
        <f t="shared" si="90"/>
        <v>23.544593120835454</v>
      </c>
      <c r="AO243">
        <f t="shared" si="91"/>
        <v>-83.484248345062412</v>
      </c>
      <c r="AQ243" s="17">
        <f t="shared" si="92"/>
        <v>1.7</v>
      </c>
      <c r="AR243" s="8">
        <v>0.243968185</v>
      </c>
      <c r="AS243" s="8">
        <v>0.24942761299999999</v>
      </c>
      <c r="AT243" s="9">
        <v>0.24635668499999999</v>
      </c>
      <c r="AU243" s="17">
        <v>0.23037490999999999</v>
      </c>
      <c r="AW243" s="9">
        <f t="shared" si="93"/>
        <v>1.7</v>
      </c>
      <c r="AY243" s="9">
        <f t="shared" si="94"/>
        <v>7.2556138219000005E-2</v>
      </c>
      <c r="AZ243" s="9">
        <f t="shared" si="95"/>
        <v>0</v>
      </c>
      <c r="BA243" s="9">
        <f t="shared" si="96"/>
        <v>0.32666896431000003</v>
      </c>
      <c r="BB243" s="9">
        <f t="shared" si="97"/>
        <v>1.2617528955329299E-2</v>
      </c>
      <c r="BC243" s="9">
        <f t="shared" si="98"/>
        <v>1.2881586520064541</v>
      </c>
      <c r="BE243" s="1">
        <f t="shared" si="99"/>
        <v>-1.2834907834324838E-6</v>
      </c>
    </row>
    <row r="244" spans="2:57" x14ac:dyDescent="0.2">
      <c r="B244" s="12" t="s">
        <v>299</v>
      </c>
      <c r="C244" s="20" t="s">
        <v>77</v>
      </c>
      <c r="D244" s="20">
        <v>0.48170000000000002</v>
      </c>
      <c r="E244" s="20">
        <v>0</v>
      </c>
      <c r="F244" s="20">
        <v>0.29849999999999999</v>
      </c>
      <c r="G244" s="20">
        <v>1.3306</v>
      </c>
      <c r="H244" s="20">
        <v>0</v>
      </c>
      <c r="I244" s="21">
        <f t="shared" si="75"/>
        <v>1.6291</v>
      </c>
      <c r="J244" s="20">
        <v>1.6890000000000001</v>
      </c>
      <c r="K244" s="20">
        <v>1.2758838097304139</v>
      </c>
      <c r="L244" s="20">
        <v>1.2497296732692099E-2</v>
      </c>
      <c r="M244" s="20">
        <v>818543.04</v>
      </c>
      <c r="N244" s="20">
        <v>359028.32</v>
      </c>
      <c r="O244" s="20">
        <v>52.08</v>
      </c>
      <c r="Q244" s="19">
        <v>105.21100300000001</v>
      </c>
      <c r="R244" s="19">
        <v>-45.510345000000001</v>
      </c>
      <c r="S244" s="19">
        <v>160</v>
      </c>
      <c r="T244" s="19">
        <v>97.593261999999996</v>
      </c>
      <c r="U244" s="19">
        <v>109.791234</v>
      </c>
      <c r="V244" s="19">
        <v>86.911507</v>
      </c>
      <c r="W244" s="19">
        <v>38.099075999999997</v>
      </c>
      <c r="Y244" t="str">
        <f t="shared" si="76"/>
        <v>SE_FT_High_Jetfuel_CCS_99_Agri</v>
      </c>
      <c r="Z244" t="str">
        <f t="shared" si="77"/>
        <v>Biomass_Agri</v>
      </c>
      <c r="AA244" s="18">
        <f t="shared" si="78"/>
        <v>118.9804633246769</v>
      </c>
      <c r="AB244" s="18">
        <f t="shared" si="79"/>
        <v>118.9804633246769</v>
      </c>
      <c r="AC244" s="5">
        <f t="shared" si="80"/>
        <v>0</v>
      </c>
      <c r="AD244" s="1">
        <f t="shared" si="81"/>
        <v>-11.265315148977962</v>
      </c>
      <c r="AE244" s="1">
        <f t="shared" si="82"/>
        <v>0</v>
      </c>
      <c r="AF244" s="1">
        <f t="array" ref="AF244">_xlfn.IFS(C244="Biomass_Corn", 1/I244*S244, C244="Biomass_Agri", 1/I244*V244, C244="Biomass_Wood", 1/I244*U244, C244="Biomass_Herb", 1/I244*T244)</f>
        <v>53.349399668528633</v>
      </c>
      <c r="AG244" s="1">
        <f t="shared" si="83"/>
        <v>63.730475791930012</v>
      </c>
      <c r="AH244" s="1">
        <f t="shared" si="84"/>
        <v>27.953381237445132</v>
      </c>
      <c r="AI244" s="1">
        <f t="shared" si="85"/>
        <v>31.968571603953102</v>
      </c>
      <c r="AJ244" s="1">
        <f t="shared" si="86"/>
        <v>4.7969717058803257E-6</v>
      </c>
      <c r="AK244" s="1">
        <f t="shared" si="87"/>
        <v>-46.756554522406553</v>
      </c>
      <c r="AL244">
        <f t="shared" si="88"/>
        <v>5.0469420453829014E-4</v>
      </c>
      <c r="AM244" s="1">
        <f t="shared" si="89"/>
        <v>-0.78317843900546802</v>
      </c>
      <c r="AN244" s="1">
        <f t="shared" si="90"/>
        <v>35.642939267537599</v>
      </c>
      <c r="AO244">
        <f t="shared" si="91"/>
        <v>-82.398989095739623</v>
      </c>
      <c r="AQ244" s="17">
        <f t="shared" si="92"/>
        <v>1.6890000000000001</v>
      </c>
      <c r="AR244" s="8">
        <v>0.243968185</v>
      </c>
      <c r="AS244" s="8">
        <v>0.24942761299999999</v>
      </c>
      <c r="AT244" s="9">
        <v>0.24635668499999999</v>
      </c>
      <c r="AU244" s="17">
        <v>0.23037490999999999</v>
      </c>
      <c r="AW244" s="9">
        <f t="shared" si="93"/>
        <v>1.6890000000000001</v>
      </c>
      <c r="AY244" s="9">
        <f t="shared" si="94"/>
        <v>7.2824503222500003E-2</v>
      </c>
      <c r="AZ244" s="9">
        <f t="shared" si="95"/>
        <v>0</v>
      </c>
      <c r="BA244" s="9">
        <f t="shared" si="96"/>
        <v>0.327802205061</v>
      </c>
      <c r="BB244" s="9">
        <f t="shared" si="97"/>
        <v>1.2497296732692099E-2</v>
      </c>
      <c r="BC244" s="9">
        <f t="shared" si="98"/>
        <v>1.2758838097304139</v>
      </c>
      <c r="BE244" s="1">
        <f t="shared" si="99"/>
        <v>-7.8147466060496384E-6</v>
      </c>
    </row>
    <row r="245" spans="2:57" x14ac:dyDescent="0.2">
      <c r="B245" s="12" t="s">
        <v>300</v>
      </c>
      <c r="C245" s="20" t="s">
        <v>77</v>
      </c>
      <c r="D245" s="20">
        <v>0.48309999999999997</v>
      </c>
      <c r="E245" s="20">
        <v>0</v>
      </c>
      <c r="F245" s="20">
        <v>0.29930000000000001</v>
      </c>
      <c r="G245" s="20">
        <v>1.3345</v>
      </c>
      <c r="H245" s="20">
        <v>0</v>
      </c>
      <c r="I245" s="21">
        <f t="shared" si="75"/>
        <v>1.6337999999999999</v>
      </c>
      <c r="J245" s="20">
        <v>1.708</v>
      </c>
      <c r="K245" s="20">
        <v>1.29354822450038</v>
      </c>
      <c r="L245" s="20">
        <v>1.26703198804945E-2</v>
      </c>
      <c r="M245" s="20">
        <v>818543.04</v>
      </c>
      <c r="N245" s="20">
        <v>359028.32</v>
      </c>
      <c r="O245" s="20">
        <v>52.08</v>
      </c>
      <c r="Q245" s="19">
        <v>105.21100300000001</v>
      </c>
      <c r="R245" s="19">
        <v>-50.334515000000003</v>
      </c>
      <c r="S245" s="19">
        <v>160</v>
      </c>
      <c r="T245" s="19">
        <v>98.707491000000005</v>
      </c>
      <c r="U245" s="19">
        <v>106.53195700000001</v>
      </c>
      <c r="V245" s="19">
        <v>87.469328000000004</v>
      </c>
      <c r="W245" s="19">
        <v>39.29871</v>
      </c>
      <c r="Y245" t="str">
        <f t="shared" si="76"/>
        <v>MIDAT_FT_High_Jetfuel_CCS_99_Agri</v>
      </c>
      <c r="Z245" t="str">
        <f t="shared" si="77"/>
        <v>Biomass_Agri</v>
      </c>
      <c r="AA245" s="18">
        <f t="shared" si="78"/>
        <v>121.76584480548844</v>
      </c>
      <c r="AB245" s="18">
        <f t="shared" si="79"/>
        <v>121.76584480548846</v>
      </c>
      <c r="AC245" s="5">
        <f t="shared" si="80"/>
        <v>0</v>
      </c>
      <c r="AD245" s="1">
        <f t="shared" si="81"/>
        <v>-11.620275921777452</v>
      </c>
      <c r="AE245" s="1">
        <f t="shared" si="82"/>
        <v>0</v>
      </c>
      <c r="AF245" s="1">
        <f t="array" ref="AF245">_xlfn.IFS(C245="Biomass_Corn", 1/I245*S245, C245="Biomass_Agri", 1/I245*V245, C245="Biomass_Wood", 1/I245*U245, C245="Biomass_Herb", 1/I245*T245)</f>
        <v>53.537353409230022</v>
      </c>
      <c r="AG245" s="1">
        <f t="shared" si="83"/>
        <v>63.547140477802174</v>
      </c>
      <c r="AH245" s="1">
        <f t="shared" si="84"/>
        <v>27.872966932257235</v>
      </c>
      <c r="AI245" s="1">
        <f t="shared" si="85"/>
        <v>31.876606683804628</v>
      </c>
      <c r="AJ245" s="1">
        <f t="shared" si="86"/>
        <v>7.4567503638695068E-7</v>
      </c>
      <c r="AK245" s="1">
        <f t="shared" si="87"/>
        <v>-43.44802522904665</v>
      </c>
      <c r="AL245">
        <f t="shared" si="88"/>
        <v>7.8453218490332586E-5</v>
      </c>
      <c r="AM245" s="1">
        <f t="shared" si="89"/>
        <v>-0.79174134301414223</v>
      </c>
      <c r="AN245" s="1">
        <f t="shared" si="90"/>
        <v>39.851954039256796</v>
      </c>
      <c r="AO245">
        <f t="shared" si="91"/>
        <v>-83.299900815084953</v>
      </c>
      <c r="AQ245" s="17">
        <f t="shared" si="92"/>
        <v>1.708</v>
      </c>
      <c r="AR245" s="8">
        <v>0.243968185</v>
      </c>
      <c r="AS245" s="8">
        <v>0.24942761299999999</v>
      </c>
      <c r="AT245" s="9">
        <v>0.24635668499999999</v>
      </c>
      <c r="AU245" s="17">
        <v>0.23037490999999999</v>
      </c>
      <c r="AW245" s="9">
        <f t="shared" si="93"/>
        <v>1.708</v>
      </c>
      <c r="AY245" s="9">
        <f t="shared" si="94"/>
        <v>7.3019677770500002E-2</v>
      </c>
      <c r="AZ245" s="9">
        <f t="shared" si="95"/>
        <v>0</v>
      </c>
      <c r="BA245" s="9">
        <f t="shared" si="96"/>
        <v>0.32876299613249998</v>
      </c>
      <c r="BB245" s="9">
        <f t="shared" si="97"/>
        <v>1.26703198804945E-2</v>
      </c>
      <c r="BC245" s="9">
        <f t="shared" si="98"/>
        <v>1.29354822450038</v>
      </c>
      <c r="BE245" s="1">
        <f t="shared" si="99"/>
        <v>-1.2182838744489999E-6</v>
      </c>
    </row>
    <row r="246" spans="2:57" x14ac:dyDescent="0.2">
      <c r="B246" s="12" t="s">
        <v>301</v>
      </c>
      <c r="C246" s="20" t="s">
        <v>77</v>
      </c>
      <c r="D246" s="20">
        <v>0.48870000000000002</v>
      </c>
      <c r="E246" s="20">
        <v>0</v>
      </c>
      <c r="F246" s="20">
        <v>0.30280000000000001</v>
      </c>
      <c r="G246" s="20">
        <v>1.3499000000000001</v>
      </c>
      <c r="H246" s="20">
        <v>0</v>
      </c>
      <c r="I246" s="21">
        <f t="shared" si="75"/>
        <v>1.6527000000000001</v>
      </c>
      <c r="J246" s="20">
        <v>1.7150000000000001</v>
      </c>
      <c r="K246" s="20">
        <v>1.2958751835802449</v>
      </c>
      <c r="L246" s="20">
        <v>1.2693112471703899E-2</v>
      </c>
      <c r="M246" s="20">
        <v>818543.04</v>
      </c>
      <c r="N246" s="20">
        <v>359028.32</v>
      </c>
      <c r="O246" s="20">
        <v>52.08</v>
      </c>
      <c r="Q246" s="19">
        <v>105.21100300000001</v>
      </c>
      <c r="R246" s="19">
        <v>-58.833413</v>
      </c>
      <c r="S246" s="19">
        <v>160</v>
      </c>
      <c r="T246" s="19">
        <v>99.493746999999999</v>
      </c>
      <c r="U246" s="19">
        <v>105.21395800000001</v>
      </c>
      <c r="V246" s="19">
        <v>89.700445000000002</v>
      </c>
      <c r="W246" s="19">
        <v>47.365060999999997</v>
      </c>
      <c r="Y246" t="str">
        <f t="shared" si="76"/>
        <v>NE_FT_High_Jetfuel_CCS_99_Agri</v>
      </c>
      <c r="Z246" t="str">
        <f t="shared" si="77"/>
        <v>Biomass_Agri</v>
      </c>
      <c r="AA246" s="18">
        <f t="shared" si="78"/>
        <v>125.7914998911305</v>
      </c>
      <c r="AB246" s="18">
        <f t="shared" si="79"/>
        <v>125.79149989113053</v>
      </c>
      <c r="AC246" s="5">
        <f t="shared" si="80"/>
        <v>0</v>
      </c>
      <c r="AD246" s="1">
        <f t="shared" si="81"/>
        <v>-14.005751383009621</v>
      </c>
      <c r="AE246" s="1">
        <f t="shared" si="82"/>
        <v>0</v>
      </c>
      <c r="AF246" s="1">
        <f t="array" ref="AF246">_xlfn.IFS(C246="Biomass_Corn", 1/I246*S246, C246="Biomass_Agri", 1/I246*V246, C246="Biomass_Wood", 1/I246*U246, C246="Biomass_Herb", 1/I246*T246)</f>
        <v>54.275092273249825</v>
      </c>
      <c r="AG246" s="1">
        <f t="shared" si="83"/>
        <v>62.820426037776471</v>
      </c>
      <c r="AH246" s="1">
        <f t="shared" si="84"/>
        <v>27.554216357428366</v>
      </c>
      <c r="AI246" s="1">
        <f t="shared" si="85"/>
        <v>31.512071156289707</v>
      </c>
      <c r="AJ246" s="1">
        <f t="shared" si="86"/>
        <v>-7.5539937750676326E-7</v>
      </c>
      <c r="AK246" s="1">
        <f t="shared" si="87"/>
        <v>-36.364475074278054</v>
      </c>
      <c r="AL246">
        <f t="shared" si="88"/>
        <v>-7.9476326173062202E-5</v>
      </c>
      <c r="AM246" s="1">
        <f t="shared" si="89"/>
        <v>-0.78409658862999698</v>
      </c>
      <c r="AN246" s="1">
        <f t="shared" si="90"/>
        <v>46.131033988036158</v>
      </c>
      <c r="AO246">
        <f t="shared" si="91"/>
        <v>-82.495588538640376</v>
      </c>
      <c r="AQ246" s="17">
        <f t="shared" si="92"/>
        <v>1.7150000000000001</v>
      </c>
      <c r="AR246" s="8">
        <v>0.243968185</v>
      </c>
      <c r="AS246" s="8">
        <v>0.24942761299999999</v>
      </c>
      <c r="AT246" s="9">
        <v>0.24635668499999999</v>
      </c>
      <c r="AU246" s="17">
        <v>0.23037490999999999</v>
      </c>
      <c r="AW246" s="9">
        <f t="shared" si="93"/>
        <v>1.7150000000000001</v>
      </c>
      <c r="AY246" s="9">
        <f t="shared" si="94"/>
        <v>7.3873566418000011E-2</v>
      </c>
      <c r="AZ246" s="9">
        <f t="shared" si="95"/>
        <v>0</v>
      </c>
      <c r="BA246" s="9">
        <f t="shared" si="96"/>
        <v>0.3325568890815</v>
      </c>
      <c r="BB246" s="9">
        <f t="shared" si="97"/>
        <v>1.2693112471703899E-2</v>
      </c>
      <c r="BC246" s="9">
        <f t="shared" si="98"/>
        <v>1.2958751835802449</v>
      </c>
      <c r="BE246" s="1">
        <f t="shared" si="99"/>
        <v>1.2484485512054277E-6</v>
      </c>
    </row>
    <row r="247" spans="2:57" x14ac:dyDescent="0.2">
      <c r="B247" s="12"/>
      <c r="C247" s="20"/>
      <c r="D247" s="20"/>
      <c r="E247" s="20"/>
      <c r="F247" s="20"/>
      <c r="G247" s="20"/>
      <c r="H247" s="20"/>
      <c r="I247" s="21">
        <f t="shared" si="75"/>
        <v>0</v>
      </c>
      <c r="J247" s="20"/>
      <c r="K247" s="20"/>
      <c r="L247" s="20"/>
      <c r="M247" s="20"/>
      <c r="N247" s="20"/>
      <c r="O247" s="20"/>
      <c r="Q247" s="19"/>
      <c r="R247" s="19"/>
      <c r="S247" s="19"/>
      <c r="T247" s="19"/>
      <c r="U247" s="19"/>
      <c r="V247" s="19"/>
      <c r="W247" s="19"/>
      <c r="Y247">
        <f t="shared" si="76"/>
        <v>0</v>
      </c>
      <c r="Z247">
        <f t="shared" si="77"/>
        <v>0</v>
      </c>
      <c r="AA247" s="18" t="e">
        <f t="shared" si="78"/>
        <v>#DIV/0!</v>
      </c>
      <c r="AB247" s="18" t="e">
        <f t="shared" si="79"/>
        <v>#DIV/0!</v>
      </c>
      <c r="AC247" s="5" t="e">
        <f t="shared" si="80"/>
        <v>#DIV/0!</v>
      </c>
      <c r="AD247" s="1" t="e">
        <f t="shared" si="81"/>
        <v>#DIV/0!</v>
      </c>
      <c r="AE247" s="1" t="e">
        <f t="shared" si="82"/>
        <v>#DIV/0!</v>
      </c>
      <c r="AF247" s="1" t="e">
        <f t="array" ref="AF247">_xlfn.IFS(C247="Biomass_Corn", 1/I247*S247, C247="Biomass_Agri", 1/I247*V247, C247="Biomass_Wood", 1/I247*U247, C247="Biomass_Herb", 1/I247*T247)</f>
        <v>#N/A</v>
      </c>
      <c r="AG247" s="1" t="e">
        <f t="shared" si="83"/>
        <v>#DIV/0!</v>
      </c>
      <c r="AH247" s="1" t="e">
        <f t="shared" si="84"/>
        <v>#DIV/0!</v>
      </c>
      <c r="AI247" s="1" t="e">
        <f t="shared" si="85"/>
        <v>#DIV/0!</v>
      </c>
      <c r="AJ247" s="1" t="e">
        <f t="shared" si="86"/>
        <v>#DIV/0!</v>
      </c>
      <c r="AK247" s="1" t="e">
        <f t="shared" si="87"/>
        <v>#DIV/0!</v>
      </c>
      <c r="AL247" t="e">
        <f t="shared" si="88"/>
        <v>#DIV/0!</v>
      </c>
      <c r="AM247" s="1" t="e">
        <f t="shared" si="89"/>
        <v>#DIV/0!</v>
      </c>
      <c r="AN247" s="1" t="e">
        <f t="shared" si="90"/>
        <v>#DIV/0!</v>
      </c>
      <c r="AO247" t="e">
        <f t="shared" si="91"/>
        <v>#DIV/0!</v>
      </c>
      <c r="AQ247" s="17">
        <f t="shared" si="92"/>
        <v>0</v>
      </c>
      <c r="AR247" s="8">
        <v>0.243968185</v>
      </c>
      <c r="AS247" s="8">
        <v>0.24942761299999999</v>
      </c>
      <c r="AT247" s="9">
        <v>0.24635668499999999</v>
      </c>
      <c r="AU247" s="17">
        <v>0.23037490999999999</v>
      </c>
      <c r="AW247" s="9">
        <f t="shared" si="93"/>
        <v>0</v>
      </c>
      <c r="AY247" s="9">
        <f t="shared" si="94"/>
        <v>0</v>
      </c>
      <c r="AZ247" s="9">
        <f t="shared" si="95"/>
        <v>0</v>
      </c>
      <c r="BA247" s="9">
        <f t="shared" si="96"/>
        <v>0</v>
      </c>
      <c r="BB247" s="9">
        <f t="shared" si="97"/>
        <v>0</v>
      </c>
      <c r="BC247" s="9">
        <f t="shared" si="98"/>
        <v>0</v>
      </c>
      <c r="BE247" s="1">
        <f t="shared" si="99"/>
        <v>0</v>
      </c>
    </row>
    <row r="248" spans="2:57" x14ac:dyDescent="0.2">
      <c r="B248" s="12"/>
      <c r="C248" s="20"/>
      <c r="D248" s="20"/>
      <c r="E248" s="20"/>
      <c r="F248" s="20"/>
      <c r="G248" s="20"/>
      <c r="H248" s="20"/>
      <c r="I248" s="21">
        <f t="shared" si="75"/>
        <v>0</v>
      </c>
      <c r="J248" s="20"/>
      <c r="K248" s="20"/>
      <c r="L248" s="20"/>
      <c r="M248" s="20"/>
      <c r="N248" s="20"/>
      <c r="O248" s="20"/>
      <c r="Q248" s="19"/>
      <c r="R248" s="19"/>
      <c r="S248" s="19"/>
      <c r="T248" s="19"/>
      <c r="U248" s="19"/>
      <c r="V248" s="19"/>
      <c r="W248" s="19"/>
      <c r="Y248">
        <f t="shared" si="76"/>
        <v>0</v>
      </c>
      <c r="Z248">
        <f t="shared" si="77"/>
        <v>0</v>
      </c>
      <c r="AA248" s="18" t="e">
        <f t="shared" si="78"/>
        <v>#DIV/0!</v>
      </c>
      <c r="AB248" s="18" t="e">
        <f t="shared" si="79"/>
        <v>#DIV/0!</v>
      </c>
      <c r="AC248" s="5" t="e">
        <f t="shared" si="80"/>
        <v>#DIV/0!</v>
      </c>
      <c r="AD248" s="1" t="e">
        <f t="shared" si="81"/>
        <v>#DIV/0!</v>
      </c>
      <c r="AE248" s="1" t="e">
        <f t="shared" si="82"/>
        <v>#DIV/0!</v>
      </c>
      <c r="AF248" s="1" t="e">
        <f t="array" ref="AF248">_xlfn.IFS(C248="Biomass_Corn", 1/I248*S248, C248="Biomass_Agri", 1/I248*V248, C248="Biomass_Wood", 1/I248*U248, C248="Biomass_Herb", 1/I248*T248)</f>
        <v>#N/A</v>
      </c>
      <c r="AG248" s="1" t="e">
        <f t="shared" si="83"/>
        <v>#DIV/0!</v>
      </c>
      <c r="AH248" s="1" t="e">
        <f t="shared" si="84"/>
        <v>#DIV/0!</v>
      </c>
      <c r="AI248" s="1" t="e">
        <f t="shared" si="85"/>
        <v>#DIV/0!</v>
      </c>
      <c r="AJ248" s="1" t="e">
        <f t="shared" si="86"/>
        <v>#DIV/0!</v>
      </c>
      <c r="AK248" s="1" t="e">
        <f t="shared" si="87"/>
        <v>#DIV/0!</v>
      </c>
      <c r="AL248" t="e">
        <f t="shared" si="88"/>
        <v>#DIV/0!</v>
      </c>
      <c r="AM248" s="1" t="e">
        <f t="shared" si="89"/>
        <v>#DIV/0!</v>
      </c>
      <c r="AN248" s="1" t="e">
        <f t="shared" si="90"/>
        <v>#DIV/0!</v>
      </c>
      <c r="AO248" t="e">
        <f t="shared" si="91"/>
        <v>#DIV/0!</v>
      </c>
      <c r="AQ248" s="17">
        <f t="shared" si="92"/>
        <v>0</v>
      </c>
      <c r="AR248" s="8">
        <v>0.243968185</v>
      </c>
      <c r="AS248" s="8">
        <v>0.24942761299999999</v>
      </c>
      <c r="AT248" s="9">
        <v>0.24635668499999999</v>
      </c>
      <c r="AU248" s="17">
        <v>0.23037490999999999</v>
      </c>
      <c r="AW248" s="9">
        <f t="shared" si="93"/>
        <v>0</v>
      </c>
      <c r="AY248" s="9">
        <f t="shared" si="94"/>
        <v>0</v>
      </c>
      <c r="AZ248" s="9">
        <f t="shared" si="95"/>
        <v>0</v>
      </c>
      <c r="BA248" s="9">
        <f t="shared" si="96"/>
        <v>0</v>
      </c>
      <c r="BB248" s="9">
        <f t="shared" si="97"/>
        <v>0</v>
      </c>
      <c r="BC248" s="9">
        <f t="shared" si="98"/>
        <v>0</v>
      </c>
      <c r="BE248" s="1">
        <f t="shared" si="99"/>
        <v>0</v>
      </c>
    </row>
    <row r="249" spans="2:57" x14ac:dyDescent="0.2">
      <c r="B249" s="12"/>
      <c r="C249" s="20"/>
      <c r="D249" s="20"/>
      <c r="E249" s="20"/>
      <c r="F249" s="20"/>
      <c r="G249" s="20"/>
      <c r="H249" s="20"/>
      <c r="I249" s="21">
        <f t="shared" si="75"/>
        <v>0</v>
      </c>
      <c r="J249" s="20"/>
      <c r="K249" s="20"/>
      <c r="L249" s="20"/>
      <c r="M249" s="20"/>
      <c r="N249" s="20"/>
      <c r="O249" s="20"/>
      <c r="Q249" s="19"/>
      <c r="R249" s="19"/>
      <c r="S249" s="19"/>
      <c r="T249" s="19"/>
      <c r="U249" s="19"/>
      <c r="V249" s="19"/>
      <c r="W249" s="19"/>
      <c r="Y249">
        <f t="shared" si="76"/>
        <v>0</v>
      </c>
      <c r="Z249">
        <f t="shared" si="77"/>
        <v>0</v>
      </c>
      <c r="AA249" s="18" t="e">
        <f t="shared" si="78"/>
        <v>#DIV/0!</v>
      </c>
      <c r="AB249" s="18" t="e">
        <f t="shared" si="79"/>
        <v>#DIV/0!</v>
      </c>
      <c r="AC249" s="5" t="e">
        <f t="shared" si="80"/>
        <v>#DIV/0!</v>
      </c>
      <c r="AD249" s="1" t="e">
        <f t="shared" si="81"/>
        <v>#DIV/0!</v>
      </c>
      <c r="AE249" s="1" t="e">
        <f t="shared" si="82"/>
        <v>#DIV/0!</v>
      </c>
      <c r="AF249" s="1" t="e">
        <f t="array" ref="AF249">_xlfn.IFS(C249="Biomass_Corn", 1/I249*S249, C249="Biomass_Agri", 1/I249*V249, C249="Biomass_Wood", 1/I249*U249, C249="Biomass_Herb", 1/I249*T249)</f>
        <v>#N/A</v>
      </c>
      <c r="AG249" s="1" t="e">
        <f t="shared" si="83"/>
        <v>#DIV/0!</v>
      </c>
      <c r="AH249" s="1" t="e">
        <f t="shared" si="84"/>
        <v>#DIV/0!</v>
      </c>
      <c r="AI249" s="1" t="e">
        <f t="shared" si="85"/>
        <v>#DIV/0!</v>
      </c>
      <c r="AJ249" s="1" t="e">
        <f t="shared" si="86"/>
        <v>#DIV/0!</v>
      </c>
      <c r="AK249" s="1" t="e">
        <f t="shared" si="87"/>
        <v>#DIV/0!</v>
      </c>
      <c r="AL249" t="e">
        <f t="shared" si="88"/>
        <v>#DIV/0!</v>
      </c>
      <c r="AM249" s="1" t="e">
        <f t="shared" si="89"/>
        <v>#DIV/0!</v>
      </c>
      <c r="AN249" s="1" t="e">
        <f t="shared" si="90"/>
        <v>#DIV/0!</v>
      </c>
      <c r="AO249" t="e">
        <f t="shared" si="91"/>
        <v>#DIV/0!</v>
      </c>
      <c r="AQ249" s="17">
        <f t="shared" si="92"/>
        <v>0</v>
      </c>
      <c r="AR249" s="8">
        <v>0.243968185</v>
      </c>
      <c r="AS249" s="8">
        <v>0.24942761299999999</v>
      </c>
      <c r="AT249" s="9">
        <v>0.24635668499999999</v>
      </c>
      <c r="AU249" s="17">
        <v>0.23037490999999999</v>
      </c>
      <c r="AW249" s="9">
        <f t="shared" si="93"/>
        <v>0</v>
      </c>
      <c r="AY249" s="9">
        <f t="shared" si="94"/>
        <v>0</v>
      </c>
      <c r="AZ249" s="9">
        <f t="shared" si="95"/>
        <v>0</v>
      </c>
      <c r="BA249" s="9">
        <f t="shared" si="96"/>
        <v>0</v>
      </c>
      <c r="BB249" s="9">
        <f t="shared" si="97"/>
        <v>0</v>
      </c>
      <c r="BC249" s="9">
        <f t="shared" si="98"/>
        <v>0</v>
      </c>
      <c r="BE249" s="1">
        <f t="shared" si="99"/>
        <v>0</v>
      </c>
    </row>
    <row r="250" spans="2:57" x14ac:dyDescent="0.2">
      <c r="B250" s="12"/>
      <c r="C250" s="20"/>
      <c r="D250" s="20"/>
      <c r="E250" s="20"/>
      <c r="F250" s="20"/>
      <c r="G250" s="20"/>
      <c r="H250" s="20"/>
      <c r="I250" s="21">
        <f t="shared" si="75"/>
        <v>0</v>
      </c>
      <c r="J250" s="20"/>
      <c r="K250" s="20"/>
      <c r="L250" s="20"/>
      <c r="M250" s="20"/>
      <c r="N250" s="20"/>
      <c r="O250" s="20"/>
      <c r="Q250" s="19"/>
      <c r="R250" s="19"/>
      <c r="S250" s="19"/>
      <c r="T250" s="19"/>
      <c r="U250" s="19"/>
      <c r="V250" s="19"/>
      <c r="W250" s="19"/>
      <c r="Y250">
        <f t="shared" si="76"/>
        <v>0</v>
      </c>
      <c r="Z250">
        <f t="shared" si="77"/>
        <v>0</v>
      </c>
      <c r="AA250" s="18" t="e">
        <f t="shared" si="78"/>
        <v>#DIV/0!</v>
      </c>
      <c r="AB250" s="18" t="e">
        <f t="shared" si="79"/>
        <v>#DIV/0!</v>
      </c>
      <c r="AC250" s="5" t="e">
        <f t="shared" si="80"/>
        <v>#DIV/0!</v>
      </c>
      <c r="AD250" s="1" t="e">
        <f t="shared" si="81"/>
        <v>#DIV/0!</v>
      </c>
      <c r="AE250" s="1" t="e">
        <f t="shared" si="82"/>
        <v>#DIV/0!</v>
      </c>
      <c r="AF250" s="1" t="e">
        <f t="array" ref="AF250">_xlfn.IFS(C250="Biomass_Corn", 1/I250*S250, C250="Biomass_Agri", 1/I250*V250, C250="Biomass_Wood", 1/I250*U250, C250="Biomass_Herb", 1/I250*T250)</f>
        <v>#N/A</v>
      </c>
      <c r="AG250" s="1" t="e">
        <f t="shared" si="83"/>
        <v>#DIV/0!</v>
      </c>
      <c r="AH250" s="1" t="e">
        <f t="shared" si="84"/>
        <v>#DIV/0!</v>
      </c>
      <c r="AI250" s="1" t="e">
        <f t="shared" si="85"/>
        <v>#DIV/0!</v>
      </c>
      <c r="AJ250" s="1" t="e">
        <f t="shared" si="86"/>
        <v>#DIV/0!</v>
      </c>
      <c r="AK250" s="1" t="e">
        <f t="shared" si="87"/>
        <v>#DIV/0!</v>
      </c>
      <c r="AL250" t="e">
        <f t="shared" si="88"/>
        <v>#DIV/0!</v>
      </c>
      <c r="AM250" s="1" t="e">
        <f t="shared" si="89"/>
        <v>#DIV/0!</v>
      </c>
      <c r="AN250" s="1" t="e">
        <f t="shared" si="90"/>
        <v>#DIV/0!</v>
      </c>
      <c r="AO250" t="e">
        <f t="shared" si="91"/>
        <v>#DIV/0!</v>
      </c>
      <c r="AQ250" s="17">
        <f t="shared" si="92"/>
        <v>0</v>
      </c>
      <c r="AR250" s="8">
        <v>0.243968185</v>
      </c>
      <c r="AS250" s="8">
        <v>0.24942761299999999</v>
      </c>
      <c r="AT250" s="9">
        <v>0.24635668499999999</v>
      </c>
      <c r="AU250" s="17">
        <v>0.23037490999999999</v>
      </c>
      <c r="AW250" s="9">
        <f t="shared" si="93"/>
        <v>0</v>
      </c>
      <c r="AY250" s="9">
        <f t="shared" si="94"/>
        <v>0</v>
      </c>
      <c r="AZ250" s="9">
        <f t="shared" si="95"/>
        <v>0</v>
      </c>
      <c r="BA250" s="9">
        <f t="shared" si="96"/>
        <v>0</v>
      </c>
      <c r="BB250" s="9">
        <f t="shared" si="97"/>
        <v>0</v>
      </c>
      <c r="BC250" s="9">
        <f t="shared" si="98"/>
        <v>0</v>
      </c>
      <c r="BE250" s="1">
        <f t="shared" si="99"/>
        <v>0</v>
      </c>
    </row>
    <row r="251" spans="2:57" x14ac:dyDescent="0.2">
      <c r="B251" s="12"/>
      <c r="C251" s="20"/>
      <c r="D251" s="20"/>
      <c r="E251" s="20"/>
      <c r="F251" s="20"/>
      <c r="G251" s="20"/>
      <c r="H251" s="20"/>
      <c r="I251" s="21">
        <f t="shared" si="75"/>
        <v>0</v>
      </c>
      <c r="J251" s="20"/>
      <c r="K251" s="20"/>
      <c r="L251" s="20"/>
      <c r="M251" s="20"/>
      <c r="N251" s="20"/>
      <c r="O251" s="20"/>
      <c r="Q251" s="19"/>
      <c r="R251" s="19"/>
      <c r="S251" s="19"/>
      <c r="T251" s="19"/>
      <c r="U251" s="19"/>
      <c r="V251" s="19"/>
      <c r="W251" s="19"/>
      <c r="Y251">
        <f t="shared" si="76"/>
        <v>0</v>
      </c>
      <c r="Z251">
        <f t="shared" si="77"/>
        <v>0</v>
      </c>
      <c r="AA251" s="18" t="e">
        <f t="shared" si="78"/>
        <v>#DIV/0!</v>
      </c>
      <c r="AB251" s="18" t="e">
        <f t="shared" si="79"/>
        <v>#DIV/0!</v>
      </c>
      <c r="AC251" s="5" t="e">
        <f t="shared" si="80"/>
        <v>#DIV/0!</v>
      </c>
      <c r="AD251" s="1" t="e">
        <f t="shared" si="81"/>
        <v>#DIV/0!</v>
      </c>
      <c r="AE251" s="1" t="e">
        <f t="shared" si="82"/>
        <v>#DIV/0!</v>
      </c>
      <c r="AF251" s="1" t="e">
        <f t="array" ref="AF251">_xlfn.IFS(C251="Biomass_Corn", 1/I251*S251, C251="Biomass_Agri", 1/I251*V251, C251="Biomass_Wood", 1/I251*U251, C251="Biomass_Herb", 1/I251*T251)</f>
        <v>#N/A</v>
      </c>
      <c r="AG251" s="1" t="e">
        <f t="shared" si="83"/>
        <v>#DIV/0!</v>
      </c>
      <c r="AH251" s="1" t="e">
        <f t="shared" si="84"/>
        <v>#DIV/0!</v>
      </c>
      <c r="AI251" s="1" t="e">
        <f t="shared" si="85"/>
        <v>#DIV/0!</v>
      </c>
      <c r="AJ251" s="1" t="e">
        <f t="shared" si="86"/>
        <v>#DIV/0!</v>
      </c>
      <c r="AK251" s="1" t="e">
        <f t="shared" si="87"/>
        <v>#DIV/0!</v>
      </c>
      <c r="AL251" t="e">
        <f t="shared" si="88"/>
        <v>#DIV/0!</v>
      </c>
      <c r="AM251" s="1" t="e">
        <f t="shared" si="89"/>
        <v>#DIV/0!</v>
      </c>
      <c r="AN251" s="1" t="e">
        <f t="shared" si="90"/>
        <v>#DIV/0!</v>
      </c>
      <c r="AO251" t="e">
        <f t="shared" si="91"/>
        <v>#DIV/0!</v>
      </c>
      <c r="AQ251" s="17">
        <f t="shared" si="92"/>
        <v>0</v>
      </c>
      <c r="AR251" s="8">
        <v>0.243968185</v>
      </c>
      <c r="AS251" s="8">
        <v>0.24942761299999999</v>
      </c>
      <c r="AT251" s="9">
        <v>0.24635668499999999</v>
      </c>
      <c r="AU251" s="17">
        <v>0.23037490999999999</v>
      </c>
      <c r="AW251" s="9">
        <f t="shared" si="93"/>
        <v>0</v>
      </c>
      <c r="AY251" s="9">
        <f t="shared" si="94"/>
        <v>0</v>
      </c>
      <c r="AZ251" s="9">
        <f t="shared" si="95"/>
        <v>0</v>
      </c>
      <c r="BA251" s="9">
        <f t="shared" si="96"/>
        <v>0</v>
      </c>
      <c r="BB251" s="9">
        <f t="shared" si="97"/>
        <v>0</v>
      </c>
      <c r="BC251" s="9">
        <f t="shared" si="98"/>
        <v>0</v>
      </c>
      <c r="BE251" s="1">
        <f t="shared" si="99"/>
        <v>0</v>
      </c>
    </row>
    <row r="252" spans="2:57" x14ac:dyDescent="0.2">
      <c r="B252" s="12"/>
      <c r="C252" s="20"/>
      <c r="D252" s="20"/>
      <c r="E252" s="20"/>
      <c r="F252" s="20"/>
      <c r="G252" s="20"/>
      <c r="H252" s="20"/>
      <c r="I252" s="21">
        <f t="shared" si="75"/>
        <v>0</v>
      </c>
      <c r="J252" s="20"/>
      <c r="K252" s="20"/>
      <c r="L252" s="20"/>
      <c r="M252" s="20"/>
      <c r="N252" s="20"/>
      <c r="O252" s="20"/>
      <c r="Q252" s="19"/>
      <c r="R252" s="19"/>
      <c r="S252" s="19"/>
      <c r="T252" s="19"/>
      <c r="U252" s="19"/>
      <c r="V252" s="19"/>
      <c r="W252" s="19"/>
      <c r="Y252">
        <f t="shared" si="76"/>
        <v>0</v>
      </c>
      <c r="Z252">
        <f t="shared" si="77"/>
        <v>0</v>
      </c>
      <c r="AA252" s="18" t="e">
        <f t="shared" si="78"/>
        <v>#DIV/0!</v>
      </c>
      <c r="AB252" s="18" t="e">
        <f t="shared" si="79"/>
        <v>#DIV/0!</v>
      </c>
      <c r="AC252" s="5" t="e">
        <f t="shared" si="80"/>
        <v>#DIV/0!</v>
      </c>
      <c r="AD252" s="1" t="e">
        <f t="shared" si="81"/>
        <v>#DIV/0!</v>
      </c>
      <c r="AE252" s="1" t="e">
        <f t="shared" si="82"/>
        <v>#DIV/0!</v>
      </c>
      <c r="AF252" s="1" t="e">
        <f t="array" ref="AF252">_xlfn.IFS(C252="Biomass_Corn", 1/I252*S252, C252="Biomass_Agri", 1/I252*V252, C252="Biomass_Wood", 1/I252*U252, C252="Biomass_Herb", 1/I252*T252)</f>
        <v>#N/A</v>
      </c>
      <c r="AG252" s="1" t="e">
        <f t="shared" si="83"/>
        <v>#DIV/0!</v>
      </c>
      <c r="AH252" s="1" t="e">
        <f t="shared" si="84"/>
        <v>#DIV/0!</v>
      </c>
      <c r="AI252" s="1" t="e">
        <f t="shared" si="85"/>
        <v>#DIV/0!</v>
      </c>
      <c r="AJ252" s="1" t="e">
        <f t="shared" si="86"/>
        <v>#DIV/0!</v>
      </c>
      <c r="AK252" s="1" t="e">
        <f t="shared" si="87"/>
        <v>#DIV/0!</v>
      </c>
      <c r="AL252" t="e">
        <f t="shared" si="88"/>
        <v>#DIV/0!</v>
      </c>
      <c r="AM252" s="1" t="e">
        <f t="shared" si="89"/>
        <v>#DIV/0!</v>
      </c>
      <c r="AN252" s="1" t="e">
        <f t="shared" si="90"/>
        <v>#DIV/0!</v>
      </c>
      <c r="AO252" t="e">
        <f t="shared" si="91"/>
        <v>#DIV/0!</v>
      </c>
      <c r="AQ252" s="17">
        <f t="shared" si="92"/>
        <v>0</v>
      </c>
      <c r="AR252" s="8">
        <v>0.243968185</v>
      </c>
      <c r="AS252" s="8">
        <v>0.24942761299999999</v>
      </c>
      <c r="AT252" s="9">
        <v>0.24635668499999999</v>
      </c>
      <c r="AU252" s="17">
        <v>0.23037490999999999</v>
      </c>
      <c r="AW252" s="9">
        <f t="shared" si="93"/>
        <v>0</v>
      </c>
      <c r="AY252" s="9">
        <f t="shared" si="94"/>
        <v>0</v>
      </c>
      <c r="AZ252" s="9">
        <f t="shared" si="95"/>
        <v>0</v>
      </c>
      <c r="BA252" s="9">
        <f t="shared" si="96"/>
        <v>0</v>
      </c>
      <c r="BB252" s="9">
        <f t="shared" si="97"/>
        <v>0</v>
      </c>
      <c r="BC252" s="9">
        <f t="shared" si="98"/>
        <v>0</v>
      </c>
      <c r="BE252" s="1">
        <f t="shared" si="99"/>
        <v>0</v>
      </c>
    </row>
    <row r="253" spans="2:57" x14ac:dyDescent="0.2">
      <c r="B253" s="12"/>
      <c r="C253" s="20"/>
      <c r="D253" s="20"/>
      <c r="E253" s="20"/>
      <c r="F253" s="20"/>
      <c r="G253" s="20"/>
      <c r="H253" s="20"/>
      <c r="I253" s="21">
        <f t="shared" si="75"/>
        <v>0</v>
      </c>
      <c r="J253" s="20"/>
      <c r="K253" s="20"/>
      <c r="L253" s="20"/>
      <c r="M253" s="20"/>
      <c r="N253" s="20"/>
      <c r="O253" s="20"/>
      <c r="Q253" s="19"/>
      <c r="R253" s="19"/>
      <c r="S253" s="19"/>
      <c r="T253" s="19"/>
      <c r="U253" s="19"/>
      <c r="V253" s="19"/>
      <c r="W253" s="19"/>
      <c r="Y253">
        <f t="shared" si="76"/>
        <v>0</v>
      </c>
      <c r="Z253">
        <f t="shared" si="77"/>
        <v>0</v>
      </c>
      <c r="AA253" s="18" t="e">
        <f t="shared" si="78"/>
        <v>#DIV/0!</v>
      </c>
      <c r="AB253" s="18" t="e">
        <f t="shared" si="79"/>
        <v>#DIV/0!</v>
      </c>
      <c r="AC253" s="5" t="e">
        <f t="shared" si="80"/>
        <v>#DIV/0!</v>
      </c>
      <c r="AD253" s="1" t="e">
        <f t="shared" si="81"/>
        <v>#DIV/0!</v>
      </c>
      <c r="AE253" s="1" t="e">
        <f t="shared" si="82"/>
        <v>#DIV/0!</v>
      </c>
      <c r="AF253" s="1" t="e">
        <f t="array" ref="AF253">_xlfn.IFS(C253="Biomass_Corn", 1/I253*S253, C253="Biomass_Agri", 1/I253*V253, C253="Biomass_Wood", 1/I253*U253, C253="Biomass_Herb", 1/I253*T253)</f>
        <v>#N/A</v>
      </c>
      <c r="AG253" s="1" t="e">
        <f t="shared" si="83"/>
        <v>#DIV/0!</v>
      </c>
      <c r="AH253" s="1" t="e">
        <f t="shared" si="84"/>
        <v>#DIV/0!</v>
      </c>
      <c r="AI253" s="1" t="e">
        <f t="shared" si="85"/>
        <v>#DIV/0!</v>
      </c>
      <c r="AJ253" s="1" t="e">
        <f t="shared" si="86"/>
        <v>#DIV/0!</v>
      </c>
      <c r="AK253" s="1" t="e">
        <f t="shared" si="87"/>
        <v>#DIV/0!</v>
      </c>
      <c r="AL253" t="e">
        <f t="shared" si="88"/>
        <v>#DIV/0!</v>
      </c>
      <c r="AM253" s="1" t="e">
        <f t="shared" si="89"/>
        <v>#DIV/0!</v>
      </c>
      <c r="AN253" s="1" t="e">
        <f t="shared" si="90"/>
        <v>#DIV/0!</v>
      </c>
      <c r="AO253" t="e">
        <f t="shared" si="91"/>
        <v>#DIV/0!</v>
      </c>
      <c r="AQ253" s="17">
        <f t="shared" si="92"/>
        <v>0</v>
      </c>
      <c r="AR253" s="8">
        <v>0.243968185</v>
      </c>
      <c r="AS253" s="8">
        <v>0.24942761299999999</v>
      </c>
      <c r="AT253" s="9">
        <v>0.24635668499999999</v>
      </c>
      <c r="AU253" s="17">
        <v>0.23037490999999999</v>
      </c>
      <c r="AW253" s="9">
        <f t="shared" si="93"/>
        <v>0</v>
      </c>
      <c r="AY253" s="9">
        <f t="shared" si="94"/>
        <v>0</v>
      </c>
      <c r="AZ253" s="9">
        <f t="shared" si="95"/>
        <v>0</v>
      </c>
      <c r="BA253" s="9">
        <f t="shared" si="96"/>
        <v>0</v>
      </c>
      <c r="BB253" s="9">
        <f t="shared" si="97"/>
        <v>0</v>
      </c>
      <c r="BC253" s="9">
        <f t="shared" si="98"/>
        <v>0</v>
      </c>
      <c r="BE253" s="1">
        <f t="shared" si="99"/>
        <v>0</v>
      </c>
    </row>
    <row r="254" spans="2:57" x14ac:dyDescent="0.2">
      <c r="B254" s="12"/>
      <c r="C254" s="20"/>
      <c r="D254" s="20"/>
      <c r="E254" s="20"/>
      <c r="F254" s="20"/>
      <c r="G254" s="20"/>
      <c r="H254" s="20"/>
      <c r="I254" s="21">
        <f t="shared" si="75"/>
        <v>0</v>
      </c>
      <c r="J254" s="20"/>
      <c r="K254" s="20"/>
      <c r="L254" s="20"/>
      <c r="M254" s="20"/>
      <c r="N254" s="20"/>
      <c r="O254" s="20"/>
      <c r="Q254" s="19"/>
      <c r="R254" s="19"/>
      <c r="S254" s="19"/>
      <c r="T254" s="19"/>
      <c r="U254" s="19"/>
      <c r="V254" s="19"/>
      <c r="W254" s="19"/>
      <c r="Y254">
        <f t="shared" si="76"/>
        <v>0</v>
      </c>
      <c r="Z254">
        <f t="shared" si="77"/>
        <v>0</v>
      </c>
      <c r="AA254" s="18" t="e">
        <f t="shared" si="78"/>
        <v>#DIV/0!</v>
      </c>
      <c r="AB254" s="18" t="e">
        <f t="shared" si="79"/>
        <v>#DIV/0!</v>
      </c>
      <c r="AC254" s="5" t="e">
        <f t="shared" si="80"/>
        <v>#DIV/0!</v>
      </c>
      <c r="AD254" s="1" t="e">
        <f t="shared" si="81"/>
        <v>#DIV/0!</v>
      </c>
      <c r="AE254" s="1" t="e">
        <f t="shared" si="82"/>
        <v>#DIV/0!</v>
      </c>
      <c r="AF254" s="1" t="e">
        <f t="array" ref="AF254">_xlfn.IFS(C254="Biomass_Corn", 1/I254*S254, C254="Biomass_Agri", 1/I254*V254, C254="Biomass_Wood", 1/I254*U254, C254="Biomass_Herb", 1/I254*T254)</f>
        <v>#N/A</v>
      </c>
      <c r="AG254" s="1" t="e">
        <f t="shared" si="83"/>
        <v>#DIV/0!</v>
      </c>
      <c r="AH254" s="1" t="e">
        <f t="shared" si="84"/>
        <v>#DIV/0!</v>
      </c>
      <c r="AI254" s="1" t="e">
        <f t="shared" si="85"/>
        <v>#DIV/0!</v>
      </c>
      <c r="AJ254" s="1" t="e">
        <f t="shared" si="86"/>
        <v>#DIV/0!</v>
      </c>
      <c r="AK254" s="1" t="e">
        <f t="shared" si="87"/>
        <v>#DIV/0!</v>
      </c>
      <c r="AL254" t="e">
        <f t="shared" si="88"/>
        <v>#DIV/0!</v>
      </c>
      <c r="AM254" s="1" t="e">
        <f t="shared" si="89"/>
        <v>#DIV/0!</v>
      </c>
      <c r="AN254" s="1" t="e">
        <f t="shared" si="90"/>
        <v>#DIV/0!</v>
      </c>
      <c r="AO254" t="e">
        <f t="shared" si="91"/>
        <v>#DIV/0!</v>
      </c>
      <c r="AQ254" s="17">
        <f t="shared" si="92"/>
        <v>0</v>
      </c>
      <c r="AR254" s="8">
        <v>0.243968185</v>
      </c>
      <c r="AS254" s="8">
        <v>0.24942761299999999</v>
      </c>
      <c r="AT254" s="9">
        <v>0.24635668499999999</v>
      </c>
      <c r="AU254" s="17">
        <v>0.23037490999999999</v>
      </c>
      <c r="AW254" s="9">
        <f t="shared" si="93"/>
        <v>0</v>
      </c>
      <c r="AY254" s="9">
        <f t="shared" si="94"/>
        <v>0</v>
      </c>
      <c r="AZ254" s="9">
        <f t="shared" si="95"/>
        <v>0</v>
      </c>
      <c r="BA254" s="9">
        <f t="shared" si="96"/>
        <v>0</v>
      </c>
      <c r="BB254" s="9">
        <f t="shared" si="97"/>
        <v>0</v>
      </c>
      <c r="BC254" s="9">
        <f t="shared" si="98"/>
        <v>0</v>
      </c>
      <c r="BE254" s="1">
        <f t="shared" si="99"/>
        <v>0</v>
      </c>
    </row>
    <row r="255" spans="2:57" x14ac:dyDescent="0.2">
      <c r="B255" s="12"/>
      <c r="C255" s="20"/>
      <c r="D255" s="20"/>
      <c r="E255" s="20"/>
      <c r="F255" s="20"/>
      <c r="G255" s="20"/>
      <c r="H255" s="20"/>
      <c r="I255" s="21">
        <f t="shared" si="75"/>
        <v>0</v>
      </c>
      <c r="J255" s="20"/>
      <c r="K255" s="20"/>
      <c r="L255" s="20"/>
      <c r="M255" s="20"/>
      <c r="N255" s="20"/>
      <c r="O255" s="20"/>
      <c r="Q255" s="19"/>
      <c r="R255" s="19"/>
      <c r="S255" s="19"/>
      <c r="T255" s="19"/>
      <c r="U255" s="19"/>
      <c r="V255" s="19"/>
      <c r="W255" s="19"/>
      <c r="Y255">
        <f t="shared" si="76"/>
        <v>0</v>
      </c>
      <c r="Z255">
        <f t="shared" si="77"/>
        <v>0</v>
      </c>
      <c r="AA255" s="18" t="e">
        <f t="shared" si="78"/>
        <v>#DIV/0!</v>
      </c>
      <c r="AB255" s="18" t="e">
        <f t="shared" si="79"/>
        <v>#DIV/0!</v>
      </c>
      <c r="AC255" s="5" t="e">
        <f t="shared" si="80"/>
        <v>#DIV/0!</v>
      </c>
      <c r="AD255" s="1" t="e">
        <f t="shared" si="81"/>
        <v>#DIV/0!</v>
      </c>
      <c r="AE255" s="1" t="e">
        <f t="shared" si="82"/>
        <v>#DIV/0!</v>
      </c>
      <c r="AF255" s="1" t="e">
        <f t="array" ref="AF255">_xlfn.IFS(C255="Biomass_Corn", 1/I255*S255, C255="Biomass_Agri", 1/I255*V255, C255="Biomass_Wood", 1/I255*U255, C255="Biomass_Herb", 1/I255*T255)</f>
        <v>#N/A</v>
      </c>
      <c r="AG255" s="1" t="e">
        <f t="shared" si="83"/>
        <v>#DIV/0!</v>
      </c>
      <c r="AH255" s="1" t="e">
        <f t="shared" si="84"/>
        <v>#DIV/0!</v>
      </c>
      <c r="AI255" s="1" t="e">
        <f t="shared" si="85"/>
        <v>#DIV/0!</v>
      </c>
      <c r="AJ255" s="1" t="e">
        <f t="shared" si="86"/>
        <v>#DIV/0!</v>
      </c>
      <c r="AK255" s="1" t="e">
        <f t="shared" si="87"/>
        <v>#DIV/0!</v>
      </c>
      <c r="AL255" t="e">
        <f t="shared" si="88"/>
        <v>#DIV/0!</v>
      </c>
      <c r="AM255" s="1" t="e">
        <f t="shared" si="89"/>
        <v>#DIV/0!</v>
      </c>
      <c r="AN255" s="1" t="e">
        <f t="shared" si="90"/>
        <v>#DIV/0!</v>
      </c>
      <c r="AO255" t="e">
        <f t="shared" si="91"/>
        <v>#DIV/0!</v>
      </c>
      <c r="AQ255" s="17">
        <f t="shared" si="92"/>
        <v>0</v>
      </c>
      <c r="AR255" s="8">
        <v>0.243968185</v>
      </c>
      <c r="AS255" s="8">
        <v>0.24942761299999999</v>
      </c>
      <c r="AT255" s="9">
        <v>0.24635668499999999</v>
      </c>
      <c r="AU255" s="17">
        <v>0.23037490999999999</v>
      </c>
      <c r="AW255" s="9">
        <f t="shared" si="93"/>
        <v>0</v>
      </c>
      <c r="AY255" s="9">
        <f t="shared" si="94"/>
        <v>0</v>
      </c>
      <c r="AZ255" s="9">
        <f t="shared" si="95"/>
        <v>0</v>
      </c>
      <c r="BA255" s="9">
        <f t="shared" si="96"/>
        <v>0</v>
      </c>
      <c r="BB255" s="9">
        <f t="shared" si="97"/>
        <v>0</v>
      </c>
      <c r="BC255" s="9">
        <f t="shared" si="98"/>
        <v>0</v>
      </c>
      <c r="BE255" s="1">
        <f t="shared" si="99"/>
        <v>0</v>
      </c>
    </row>
    <row r="256" spans="2:57" x14ac:dyDescent="0.2">
      <c r="B256" s="12"/>
      <c r="C256" s="20"/>
      <c r="D256" s="20"/>
      <c r="E256" s="20"/>
      <c r="F256" s="20"/>
      <c r="G256" s="20"/>
      <c r="H256" s="20"/>
      <c r="I256" s="21">
        <f t="shared" si="75"/>
        <v>0</v>
      </c>
      <c r="J256" s="20"/>
      <c r="K256" s="20"/>
      <c r="L256" s="20"/>
      <c r="M256" s="20"/>
      <c r="N256" s="20"/>
      <c r="O256" s="20"/>
      <c r="Q256" s="19"/>
      <c r="R256" s="19"/>
      <c r="S256" s="19"/>
      <c r="T256" s="19"/>
      <c r="U256" s="19"/>
      <c r="V256" s="19"/>
      <c r="W256" s="19"/>
      <c r="Y256">
        <f t="shared" si="76"/>
        <v>0</v>
      </c>
      <c r="Z256">
        <f t="shared" si="77"/>
        <v>0</v>
      </c>
      <c r="AA256" s="18" t="e">
        <f t="shared" si="78"/>
        <v>#DIV/0!</v>
      </c>
      <c r="AB256" s="18" t="e">
        <f t="shared" si="79"/>
        <v>#DIV/0!</v>
      </c>
      <c r="AC256" s="5" t="e">
        <f t="shared" si="80"/>
        <v>#DIV/0!</v>
      </c>
      <c r="AD256" s="1" t="e">
        <f t="shared" si="81"/>
        <v>#DIV/0!</v>
      </c>
      <c r="AE256" s="1" t="e">
        <f t="shared" si="82"/>
        <v>#DIV/0!</v>
      </c>
      <c r="AF256" s="1" t="e">
        <f t="array" ref="AF256">_xlfn.IFS(C256="Biomass_Corn", 1/I256*S256, C256="Biomass_Agri", 1/I256*V256, C256="Biomass_Wood", 1/I256*U256, C256="Biomass_Herb", 1/I256*T256)</f>
        <v>#N/A</v>
      </c>
      <c r="AG256" s="1" t="e">
        <f t="shared" si="83"/>
        <v>#DIV/0!</v>
      </c>
      <c r="AH256" s="1" t="e">
        <f t="shared" si="84"/>
        <v>#DIV/0!</v>
      </c>
      <c r="AI256" s="1" t="e">
        <f t="shared" si="85"/>
        <v>#DIV/0!</v>
      </c>
      <c r="AJ256" s="1" t="e">
        <f t="shared" si="86"/>
        <v>#DIV/0!</v>
      </c>
      <c r="AK256" s="1" t="e">
        <f t="shared" si="87"/>
        <v>#DIV/0!</v>
      </c>
      <c r="AL256" t="e">
        <f t="shared" si="88"/>
        <v>#DIV/0!</v>
      </c>
      <c r="AM256" s="1" t="e">
        <f t="shared" si="89"/>
        <v>#DIV/0!</v>
      </c>
      <c r="AN256" s="1" t="e">
        <f t="shared" si="90"/>
        <v>#DIV/0!</v>
      </c>
      <c r="AO256" t="e">
        <f t="shared" si="91"/>
        <v>#DIV/0!</v>
      </c>
      <c r="AQ256" s="17">
        <f t="shared" si="92"/>
        <v>0</v>
      </c>
      <c r="AR256" s="8">
        <v>0.243968185</v>
      </c>
      <c r="AS256" s="8">
        <v>0.24942761299999999</v>
      </c>
      <c r="AT256" s="9">
        <v>0.24635668499999999</v>
      </c>
      <c r="AU256" s="17">
        <v>0.23037490999999999</v>
      </c>
      <c r="AW256" s="9">
        <f t="shared" si="93"/>
        <v>0</v>
      </c>
      <c r="AY256" s="9">
        <f t="shared" si="94"/>
        <v>0</v>
      </c>
      <c r="AZ256" s="9">
        <f t="shared" si="95"/>
        <v>0</v>
      </c>
      <c r="BA256" s="9">
        <f t="shared" si="96"/>
        <v>0</v>
      </c>
      <c r="BB256" s="9">
        <f t="shared" si="97"/>
        <v>0</v>
      </c>
      <c r="BC256" s="9">
        <f t="shared" si="98"/>
        <v>0</v>
      </c>
      <c r="BE256" s="1">
        <f t="shared" si="99"/>
        <v>0</v>
      </c>
    </row>
    <row r="257" spans="2:57" x14ac:dyDescent="0.2">
      <c r="B257" s="12"/>
      <c r="C257" s="20"/>
      <c r="D257" s="20"/>
      <c r="E257" s="20"/>
      <c r="F257" s="20"/>
      <c r="G257" s="20"/>
      <c r="H257" s="20"/>
      <c r="I257" s="21">
        <f t="shared" si="75"/>
        <v>0</v>
      </c>
      <c r="J257" s="20"/>
      <c r="K257" s="20"/>
      <c r="L257" s="20"/>
      <c r="M257" s="20"/>
      <c r="N257" s="20"/>
      <c r="O257" s="20"/>
      <c r="Q257" s="19"/>
      <c r="R257" s="19"/>
      <c r="S257" s="19"/>
      <c r="T257" s="19"/>
      <c r="U257" s="19"/>
      <c r="V257" s="19"/>
      <c r="W257" s="19"/>
      <c r="Y257">
        <f t="shared" si="76"/>
        <v>0</v>
      </c>
      <c r="Z257">
        <f t="shared" si="77"/>
        <v>0</v>
      </c>
      <c r="AA257" s="18" t="e">
        <f t="shared" si="78"/>
        <v>#DIV/0!</v>
      </c>
      <c r="AB257" s="18" t="e">
        <f t="shared" si="79"/>
        <v>#DIV/0!</v>
      </c>
      <c r="AC257" s="5" t="e">
        <f t="shared" si="80"/>
        <v>#DIV/0!</v>
      </c>
      <c r="AD257" s="1" t="e">
        <f t="shared" si="81"/>
        <v>#DIV/0!</v>
      </c>
      <c r="AE257" s="1" t="e">
        <f t="shared" si="82"/>
        <v>#DIV/0!</v>
      </c>
      <c r="AF257" s="1" t="e">
        <f t="array" ref="AF257">_xlfn.IFS(C257="Biomass_Corn", 1/I257*S257, C257="Biomass_Agri", 1/I257*V257, C257="Biomass_Wood", 1/I257*U257, C257="Biomass_Herb", 1/I257*T257)</f>
        <v>#N/A</v>
      </c>
      <c r="AG257" s="1" t="e">
        <f t="shared" si="83"/>
        <v>#DIV/0!</v>
      </c>
      <c r="AH257" s="1" t="e">
        <f t="shared" si="84"/>
        <v>#DIV/0!</v>
      </c>
      <c r="AI257" s="1" t="e">
        <f t="shared" si="85"/>
        <v>#DIV/0!</v>
      </c>
      <c r="AJ257" s="1" t="e">
        <f t="shared" si="86"/>
        <v>#DIV/0!</v>
      </c>
      <c r="AK257" s="1" t="e">
        <f t="shared" si="87"/>
        <v>#DIV/0!</v>
      </c>
      <c r="AL257" t="e">
        <f t="shared" si="88"/>
        <v>#DIV/0!</v>
      </c>
      <c r="AM257" s="1" t="e">
        <f t="shared" si="89"/>
        <v>#DIV/0!</v>
      </c>
      <c r="AN257" s="1" t="e">
        <f t="shared" si="90"/>
        <v>#DIV/0!</v>
      </c>
      <c r="AO257" t="e">
        <f t="shared" si="91"/>
        <v>#DIV/0!</v>
      </c>
      <c r="AQ257" s="17">
        <f t="shared" si="92"/>
        <v>0</v>
      </c>
      <c r="AR257" s="8">
        <v>0.243968185</v>
      </c>
      <c r="AS257" s="8">
        <v>0.24942761299999999</v>
      </c>
      <c r="AT257" s="9">
        <v>0.24635668499999999</v>
      </c>
      <c r="AU257" s="17">
        <v>0.23037490999999999</v>
      </c>
      <c r="AW257" s="9">
        <f t="shared" si="93"/>
        <v>0</v>
      </c>
      <c r="AY257" s="9">
        <f t="shared" si="94"/>
        <v>0</v>
      </c>
      <c r="AZ257" s="9">
        <f t="shared" si="95"/>
        <v>0</v>
      </c>
      <c r="BA257" s="9">
        <f t="shared" si="96"/>
        <v>0</v>
      </c>
      <c r="BB257" s="9">
        <f t="shared" si="97"/>
        <v>0</v>
      </c>
      <c r="BC257" s="9">
        <f t="shared" si="98"/>
        <v>0</v>
      </c>
      <c r="BE257" s="1">
        <f t="shared" si="99"/>
        <v>0</v>
      </c>
    </row>
    <row r="258" spans="2:57" x14ac:dyDescent="0.2">
      <c r="B258" s="12"/>
      <c r="C258" s="20"/>
      <c r="D258" s="20"/>
      <c r="E258" s="20"/>
      <c r="F258" s="20"/>
      <c r="G258" s="20"/>
      <c r="H258" s="20"/>
      <c r="I258" s="21">
        <f t="shared" si="75"/>
        <v>0</v>
      </c>
      <c r="J258" s="20"/>
      <c r="K258" s="20"/>
      <c r="L258" s="20"/>
      <c r="M258" s="20"/>
      <c r="N258" s="20"/>
      <c r="O258" s="20"/>
      <c r="Q258" s="19"/>
      <c r="R258" s="19"/>
      <c r="S258" s="19"/>
      <c r="T258" s="19"/>
      <c r="U258" s="19"/>
      <c r="V258" s="19"/>
      <c r="W258" s="19"/>
      <c r="Y258">
        <f t="shared" si="76"/>
        <v>0</v>
      </c>
      <c r="Z258">
        <f t="shared" si="77"/>
        <v>0</v>
      </c>
      <c r="AA258" s="18" t="e">
        <f t="shared" si="78"/>
        <v>#DIV/0!</v>
      </c>
      <c r="AB258" s="18" t="e">
        <f t="shared" si="79"/>
        <v>#DIV/0!</v>
      </c>
      <c r="AC258" s="5" t="e">
        <f t="shared" si="80"/>
        <v>#DIV/0!</v>
      </c>
      <c r="AD258" s="1" t="e">
        <f t="shared" si="81"/>
        <v>#DIV/0!</v>
      </c>
      <c r="AE258" s="1" t="e">
        <f t="shared" si="82"/>
        <v>#DIV/0!</v>
      </c>
      <c r="AF258" s="1" t="e">
        <f t="array" ref="AF258">_xlfn.IFS(C258="Biomass_Corn", 1/I258*S258, C258="Biomass_Agri", 1/I258*V258, C258="Biomass_Wood", 1/I258*U258, C258="Biomass_Herb", 1/I258*T258)</f>
        <v>#N/A</v>
      </c>
      <c r="AG258" s="1" t="e">
        <f t="shared" si="83"/>
        <v>#DIV/0!</v>
      </c>
      <c r="AH258" s="1" t="e">
        <f t="shared" si="84"/>
        <v>#DIV/0!</v>
      </c>
      <c r="AI258" s="1" t="e">
        <f t="shared" si="85"/>
        <v>#DIV/0!</v>
      </c>
      <c r="AJ258" s="1" t="e">
        <f t="shared" si="86"/>
        <v>#DIV/0!</v>
      </c>
      <c r="AK258" s="1" t="e">
        <f t="shared" si="87"/>
        <v>#DIV/0!</v>
      </c>
      <c r="AL258" t="e">
        <f t="shared" si="88"/>
        <v>#DIV/0!</v>
      </c>
      <c r="AM258" s="1" t="e">
        <f t="shared" si="89"/>
        <v>#DIV/0!</v>
      </c>
      <c r="AN258" s="1" t="e">
        <f t="shared" si="90"/>
        <v>#DIV/0!</v>
      </c>
      <c r="AO258" t="e">
        <f t="shared" si="91"/>
        <v>#DIV/0!</v>
      </c>
      <c r="AQ258" s="17">
        <f t="shared" si="92"/>
        <v>0</v>
      </c>
      <c r="AR258" s="8">
        <v>0.243968185</v>
      </c>
      <c r="AS258" s="8">
        <v>0.24942761299999999</v>
      </c>
      <c r="AT258" s="9">
        <v>0.24635668499999999</v>
      </c>
      <c r="AU258" s="17">
        <v>0.23037490999999999</v>
      </c>
      <c r="AW258" s="9">
        <f t="shared" si="93"/>
        <v>0</v>
      </c>
      <c r="AY258" s="9">
        <f t="shared" si="94"/>
        <v>0</v>
      </c>
      <c r="AZ258" s="9">
        <f t="shared" si="95"/>
        <v>0</v>
      </c>
      <c r="BA258" s="9">
        <f t="shared" si="96"/>
        <v>0</v>
      </c>
      <c r="BB258" s="9">
        <f t="shared" si="97"/>
        <v>0</v>
      </c>
      <c r="BC258" s="9">
        <f t="shared" si="98"/>
        <v>0</v>
      </c>
      <c r="BE258" s="1">
        <f t="shared" si="99"/>
        <v>0</v>
      </c>
    </row>
    <row r="259" spans="2:57" x14ac:dyDescent="0.2">
      <c r="B259" s="12"/>
      <c r="C259" s="20"/>
      <c r="D259" s="20"/>
      <c r="E259" s="20"/>
      <c r="F259" s="20"/>
      <c r="G259" s="20"/>
      <c r="H259" s="20"/>
      <c r="I259" s="21">
        <f t="shared" si="75"/>
        <v>0</v>
      </c>
      <c r="J259" s="20"/>
      <c r="K259" s="20"/>
      <c r="L259" s="20"/>
      <c r="M259" s="20"/>
      <c r="N259" s="20"/>
      <c r="O259" s="20"/>
      <c r="Q259" s="19"/>
      <c r="R259" s="19"/>
      <c r="S259" s="19"/>
      <c r="T259" s="19"/>
      <c r="U259" s="19"/>
      <c r="V259" s="19"/>
      <c r="W259" s="19"/>
      <c r="Y259">
        <f t="shared" si="76"/>
        <v>0</v>
      </c>
      <c r="Z259">
        <f t="shared" si="77"/>
        <v>0</v>
      </c>
      <c r="AA259" s="18" t="e">
        <f t="shared" si="78"/>
        <v>#DIV/0!</v>
      </c>
      <c r="AB259" s="18" t="e">
        <f t="shared" si="79"/>
        <v>#DIV/0!</v>
      </c>
      <c r="AC259" s="5" t="e">
        <f t="shared" si="80"/>
        <v>#DIV/0!</v>
      </c>
      <c r="AD259" s="1" t="e">
        <f t="shared" si="81"/>
        <v>#DIV/0!</v>
      </c>
      <c r="AE259" s="1" t="e">
        <f t="shared" si="82"/>
        <v>#DIV/0!</v>
      </c>
      <c r="AF259" s="1" t="e">
        <f t="array" ref="AF259">_xlfn.IFS(C259="Biomass_Corn", 1/I259*S259, C259="Biomass_Agri", 1/I259*V259, C259="Biomass_Wood", 1/I259*U259, C259="Biomass_Herb", 1/I259*T259)</f>
        <v>#N/A</v>
      </c>
      <c r="AG259" s="1" t="e">
        <f t="shared" si="83"/>
        <v>#DIV/0!</v>
      </c>
      <c r="AH259" s="1" t="e">
        <f t="shared" si="84"/>
        <v>#DIV/0!</v>
      </c>
      <c r="AI259" s="1" t="e">
        <f t="shared" si="85"/>
        <v>#DIV/0!</v>
      </c>
      <c r="AJ259" s="1" t="e">
        <f t="shared" si="86"/>
        <v>#DIV/0!</v>
      </c>
      <c r="AK259" s="1" t="e">
        <f t="shared" si="87"/>
        <v>#DIV/0!</v>
      </c>
      <c r="AL259" t="e">
        <f t="shared" si="88"/>
        <v>#DIV/0!</v>
      </c>
      <c r="AM259" s="1" t="e">
        <f t="shared" si="89"/>
        <v>#DIV/0!</v>
      </c>
      <c r="AN259" s="1" t="e">
        <f t="shared" si="90"/>
        <v>#DIV/0!</v>
      </c>
      <c r="AO259" t="e">
        <f t="shared" si="91"/>
        <v>#DIV/0!</v>
      </c>
      <c r="AQ259" s="17">
        <f t="shared" si="92"/>
        <v>0</v>
      </c>
      <c r="AR259" s="8">
        <v>0.243968185</v>
      </c>
      <c r="AS259" s="8">
        <v>0.24942761299999999</v>
      </c>
      <c r="AT259" s="9">
        <v>0.24635668499999999</v>
      </c>
      <c r="AU259" s="17">
        <v>0.23037490999999999</v>
      </c>
      <c r="AW259" s="9">
        <f t="shared" si="93"/>
        <v>0</v>
      </c>
      <c r="AY259" s="9">
        <f t="shared" si="94"/>
        <v>0</v>
      </c>
      <c r="AZ259" s="9">
        <f t="shared" si="95"/>
        <v>0</v>
      </c>
      <c r="BA259" s="9">
        <f t="shared" si="96"/>
        <v>0</v>
      </c>
      <c r="BB259" s="9">
        <f t="shared" si="97"/>
        <v>0</v>
      </c>
      <c r="BC259" s="9">
        <f t="shared" si="98"/>
        <v>0</v>
      </c>
      <c r="BE259" s="1">
        <f t="shared" si="99"/>
        <v>0</v>
      </c>
    </row>
    <row r="260" spans="2:57" x14ac:dyDescent="0.2">
      <c r="B260" s="12"/>
      <c r="C260" s="20"/>
      <c r="D260" s="20"/>
      <c r="E260" s="20"/>
      <c r="F260" s="20"/>
      <c r="G260" s="20"/>
      <c r="H260" s="20"/>
      <c r="I260" s="21">
        <f t="shared" ref="I260:I323" si="100">F260+G260+H260</f>
        <v>0</v>
      </c>
      <c r="J260" s="20"/>
      <c r="K260" s="20"/>
      <c r="L260" s="20"/>
      <c r="M260" s="20"/>
      <c r="N260" s="20"/>
      <c r="O260" s="20"/>
      <c r="Q260" s="19"/>
      <c r="R260" s="19"/>
      <c r="S260" s="19"/>
      <c r="T260" s="19"/>
      <c r="U260" s="19"/>
      <c r="V260" s="19"/>
      <c r="W260" s="19"/>
      <c r="Y260">
        <f t="shared" ref="Y260:Y326" si="101">B260</f>
        <v>0</v>
      </c>
      <c r="Z260">
        <f t="shared" ref="Z260:Z326" si="102">C260</f>
        <v>0</v>
      </c>
      <c r="AA260" s="18" t="e">
        <f t="shared" ref="AA260:AA326" si="103">SUM(AD260:AI260)+AK260+AL260</f>
        <v>#DIV/0!</v>
      </c>
      <c r="AB260" s="18" t="e">
        <f t="shared" ref="AB260:AB326" si="104">SUM(AD260:AI260)+AN260+AO260</f>
        <v>#DIV/0!</v>
      </c>
      <c r="AC260" s="5" t="e">
        <f t="shared" ref="AC260:AC323" si="105">AA260-AB260</f>
        <v>#DIV/0!</v>
      </c>
      <c r="AD260" s="1" t="e">
        <f t="shared" ref="AD260:AD326" si="106">D260/I260*W260*-1</f>
        <v>#DIV/0!</v>
      </c>
      <c r="AE260" s="1" t="e">
        <f t="shared" ref="AE260:AE326" si="107">E260/I260*W260</f>
        <v>#DIV/0!</v>
      </c>
      <c r="AF260" s="1" t="e">
        <f t="array" ref="AF260">_xlfn.IFS(C260="Biomass_Corn", 1/I260*S260, C260="Biomass_Agri", 1/I260*V260, C260="Biomass_Wood", 1/I260*U260, C260="Biomass_Herb", 1/I260*T260)</f>
        <v>#N/A</v>
      </c>
      <c r="AG260" s="1" t="e">
        <f t="shared" ref="AG260:AG326" si="108">M260/I260/(0.9*8760)</f>
        <v>#DIV/0!</v>
      </c>
      <c r="AH260" s="1" t="e">
        <f t="shared" ref="AH260:AH326" si="109">N260/I260/(0.9*8760)</f>
        <v>#DIV/0!</v>
      </c>
      <c r="AI260" s="1" t="e">
        <f t="shared" ref="AI260:AI326" si="110">O260/I260</f>
        <v>#DIV/0!</v>
      </c>
      <c r="AJ260" s="1" t="e">
        <f t="shared" ref="AJ260:AJ326" si="111">(AY260+AZ260+BA260+BB260+BC260-AW260)/I260</f>
        <v>#DIV/0!</v>
      </c>
      <c r="AK260" s="1" t="e">
        <f t="shared" ref="AK260:AK326" si="112">(Q260+R260)*-1*K260/I260</f>
        <v>#DIV/0!</v>
      </c>
      <c r="AL260" t="e">
        <f t="shared" ref="AL260:AL326" si="113">AJ260*Q260</f>
        <v>#DIV/0!</v>
      </c>
      <c r="AM260" s="1" t="e">
        <f t="shared" ref="AM260:AM326" si="114">(SUM(AY260:BB260)-AW260)/I260</f>
        <v>#DIV/0!</v>
      </c>
      <c r="AN260" s="1" t="e">
        <f t="shared" ref="AN260:AN326" si="115">K260/I260*-1*R260</f>
        <v>#DIV/0!</v>
      </c>
      <c r="AO260" t="e">
        <f t="shared" ref="AO260:AO326" si="116">AM260*Q260</f>
        <v>#DIV/0!</v>
      </c>
      <c r="AQ260" s="17">
        <f t="shared" ref="AQ260:AQ326" si="117">J260</f>
        <v>0</v>
      </c>
      <c r="AR260" s="8">
        <v>0.243968185</v>
      </c>
      <c r="AS260" s="8">
        <v>0.24942761299999999</v>
      </c>
      <c r="AT260" s="9">
        <v>0.24635668499999999</v>
      </c>
      <c r="AU260" s="17">
        <v>0.23037490999999999</v>
      </c>
      <c r="AW260" s="9">
        <f t="shared" ref="AW260:AW326" si="118">AQ260</f>
        <v>0</v>
      </c>
      <c r="AY260" s="9">
        <f t="shared" ref="AY260:AY326" si="119">AR260*F260</f>
        <v>0</v>
      </c>
      <c r="AZ260" s="9">
        <f t="shared" ref="AZ260:AZ326" si="120">AS260*H260</f>
        <v>0</v>
      </c>
      <c r="BA260" s="9">
        <f t="shared" ref="BA260:BA326" si="121">AT260*G260</f>
        <v>0</v>
      </c>
      <c r="BB260" s="9">
        <f t="shared" ref="BB260:BB326" si="122">L260</f>
        <v>0</v>
      </c>
      <c r="BC260" s="9">
        <f t="shared" ref="BC260:BC326" si="123">K260</f>
        <v>0</v>
      </c>
      <c r="BE260" s="1">
        <f t="shared" ref="BE260:BE326" si="124">AW260-SUM(AY260:BC260)</f>
        <v>0</v>
      </c>
    </row>
    <row r="261" spans="2:57" x14ac:dyDescent="0.2">
      <c r="B261" s="12"/>
      <c r="C261" s="20"/>
      <c r="D261" s="20"/>
      <c r="E261" s="20"/>
      <c r="F261" s="20"/>
      <c r="G261" s="20"/>
      <c r="H261" s="20"/>
      <c r="I261" s="21">
        <f t="shared" si="100"/>
        <v>0</v>
      </c>
      <c r="J261" s="20"/>
      <c r="K261" s="20"/>
      <c r="L261" s="20"/>
      <c r="M261" s="20"/>
      <c r="N261" s="20"/>
      <c r="O261" s="20"/>
      <c r="Q261" s="19"/>
      <c r="R261" s="19"/>
      <c r="S261" s="19"/>
      <c r="T261" s="19"/>
      <c r="U261" s="19"/>
      <c r="V261" s="19"/>
      <c r="W261" s="19"/>
      <c r="Y261">
        <f t="shared" si="101"/>
        <v>0</v>
      </c>
      <c r="Z261">
        <f t="shared" si="102"/>
        <v>0</v>
      </c>
      <c r="AA261" s="18" t="e">
        <f t="shared" si="103"/>
        <v>#DIV/0!</v>
      </c>
      <c r="AB261" s="18" t="e">
        <f t="shared" si="104"/>
        <v>#DIV/0!</v>
      </c>
      <c r="AC261" s="5" t="e">
        <f t="shared" si="105"/>
        <v>#DIV/0!</v>
      </c>
      <c r="AD261" s="1" t="e">
        <f t="shared" si="106"/>
        <v>#DIV/0!</v>
      </c>
      <c r="AE261" s="1" t="e">
        <f t="shared" si="107"/>
        <v>#DIV/0!</v>
      </c>
      <c r="AF261" s="1" t="e">
        <f t="array" ref="AF261">_xlfn.IFS(C261="Biomass_Corn", 1/I261*S261, C261="Biomass_Agri", 1/I261*V261, C261="Biomass_Wood", 1/I261*U261, C261="Biomass_Herb", 1/I261*T261)</f>
        <v>#N/A</v>
      </c>
      <c r="AG261" s="1" t="e">
        <f t="shared" si="108"/>
        <v>#DIV/0!</v>
      </c>
      <c r="AH261" s="1" t="e">
        <f t="shared" si="109"/>
        <v>#DIV/0!</v>
      </c>
      <c r="AI261" s="1" t="e">
        <f t="shared" si="110"/>
        <v>#DIV/0!</v>
      </c>
      <c r="AJ261" s="1" t="e">
        <f t="shared" si="111"/>
        <v>#DIV/0!</v>
      </c>
      <c r="AK261" s="1" t="e">
        <f t="shared" si="112"/>
        <v>#DIV/0!</v>
      </c>
      <c r="AL261" t="e">
        <f t="shared" si="113"/>
        <v>#DIV/0!</v>
      </c>
      <c r="AM261" s="1" t="e">
        <f t="shared" si="114"/>
        <v>#DIV/0!</v>
      </c>
      <c r="AN261" s="1" t="e">
        <f t="shared" si="115"/>
        <v>#DIV/0!</v>
      </c>
      <c r="AO261" t="e">
        <f t="shared" si="116"/>
        <v>#DIV/0!</v>
      </c>
      <c r="AQ261" s="17">
        <f t="shared" si="117"/>
        <v>0</v>
      </c>
      <c r="AR261" s="8">
        <v>0.243968185</v>
      </c>
      <c r="AS261" s="8">
        <v>0.24942761299999999</v>
      </c>
      <c r="AT261" s="9">
        <v>0.24635668499999999</v>
      </c>
      <c r="AU261" s="17">
        <v>0.23037490999999999</v>
      </c>
      <c r="AW261" s="9">
        <f t="shared" si="118"/>
        <v>0</v>
      </c>
      <c r="AY261" s="9">
        <f t="shared" si="119"/>
        <v>0</v>
      </c>
      <c r="AZ261" s="9">
        <f t="shared" si="120"/>
        <v>0</v>
      </c>
      <c r="BA261" s="9">
        <f t="shared" si="121"/>
        <v>0</v>
      </c>
      <c r="BB261" s="9">
        <f t="shared" si="122"/>
        <v>0</v>
      </c>
      <c r="BC261" s="9">
        <f t="shared" si="123"/>
        <v>0</v>
      </c>
      <c r="BE261" s="1">
        <f t="shared" si="124"/>
        <v>0</v>
      </c>
    </row>
    <row r="262" spans="2:57" x14ac:dyDescent="0.2">
      <c r="B262" s="12"/>
      <c r="C262" s="20"/>
      <c r="D262" s="20"/>
      <c r="E262" s="20"/>
      <c r="F262" s="20"/>
      <c r="G262" s="20"/>
      <c r="H262" s="20"/>
      <c r="I262" s="21">
        <f t="shared" si="100"/>
        <v>0</v>
      </c>
      <c r="J262" s="20"/>
      <c r="K262" s="20"/>
      <c r="L262" s="20"/>
      <c r="M262" s="20"/>
      <c r="N262" s="20"/>
      <c r="O262" s="20"/>
      <c r="Q262" s="19"/>
      <c r="R262" s="19"/>
      <c r="S262" s="19"/>
      <c r="T262" s="19"/>
      <c r="U262" s="19"/>
      <c r="V262" s="19"/>
      <c r="W262" s="19"/>
      <c r="Y262">
        <f t="shared" si="101"/>
        <v>0</v>
      </c>
      <c r="Z262">
        <f t="shared" si="102"/>
        <v>0</v>
      </c>
      <c r="AA262" s="18" t="e">
        <f t="shared" si="103"/>
        <v>#DIV/0!</v>
      </c>
      <c r="AB262" s="18" t="e">
        <f t="shared" si="104"/>
        <v>#DIV/0!</v>
      </c>
      <c r="AC262" s="5" t="e">
        <f t="shared" si="105"/>
        <v>#DIV/0!</v>
      </c>
      <c r="AD262" s="1" t="e">
        <f t="shared" si="106"/>
        <v>#DIV/0!</v>
      </c>
      <c r="AE262" s="1" t="e">
        <f t="shared" si="107"/>
        <v>#DIV/0!</v>
      </c>
      <c r="AF262" s="1" t="e">
        <f t="array" ref="AF262">_xlfn.IFS(C262="Biomass_Corn", 1/I262*S262, C262="Biomass_Agri", 1/I262*V262, C262="Biomass_Wood", 1/I262*U262, C262="Biomass_Herb", 1/I262*T262)</f>
        <v>#N/A</v>
      </c>
      <c r="AG262" s="1" t="e">
        <f t="shared" si="108"/>
        <v>#DIV/0!</v>
      </c>
      <c r="AH262" s="1" t="e">
        <f t="shared" si="109"/>
        <v>#DIV/0!</v>
      </c>
      <c r="AI262" s="1" t="e">
        <f t="shared" si="110"/>
        <v>#DIV/0!</v>
      </c>
      <c r="AJ262" s="1" t="e">
        <f t="shared" si="111"/>
        <v>#DIV/0!</v>
      </c>
      <c r="AK262" s="1" t="e">
        <f t="shared" si="112"/>
        <v>#DIV/0!</v>
      </c>
      <c r="AL262" t="e">
        <f t="shared" si="113"/>
        <v>#DIV/0!</v>
      </c>
      <c r="AM262" s="1" t="e">
        <f t="shared" si="114"/>
        <v>#DIV/0!</v>
      </c>
      <c r="AN262" s="1" t="e">
        <f t="shared" si="115"/>
        <v>#DIV/0!</v>
      </c>
      <c r="AO262" t="e">
        <f t="shared" si="116"/>
        <v>#DIV/0!</v>
      </c>
      <c r="AQ262" s="17">
        <f t="shared" si="117"/>
        <v>0</v>
      </c>
      <c r="AR262" s="8">
        <v>0.243968185</v>
      </c>
      <c r="AS262" s="8">
        <v>0.24942761299999999</v>
      </c>
      <c r="AT262" s="9">
        <v>0.24635668499999999</v>
      </c>
      <c r="AU262" s="17">
        <v>0.23037490999999999</v>
      </c>
      <c r="AW262" s="9">
        <f t="shared" si="118"/>
        <v>0</v>
      </c>
      <c r="AY262" s="9">
        <f t="shared" si="119"/>
        <v>0</v>
      </c>
      <c r="AZ262" s="9">
        <f t="shared" si="120"/>
        <v>0</v>
      </c>
      <c r="BA262" s="9">
        <f t="shared" si="121"/>
        <v>0</v>
      </c>
      <c r="BB262" s="9">
        <f t="shared" si="122"/>
        <v>0</v>
      </c>
      <c r="BC262" s="9">
        <f t="shared" si="123"/>
        <v>0</v>
      </c>
      <c r="BE262" s="1">
        <f t="shared" si="124"/>
        <v>0</v>
      </c>
    </row>
    <row r="263" spans="2:57" x14ac:dyDescent="0.2">
      <c r="B263" s="12"/>
      <c r="C263" s="20"/>
      <c r="D263" s="20"/>
      <c r="E263" s="20"/>
      <c r="F263" s="20"/>
      <c r="G263" s="20"/>
      <c r="H263" s="20"/>
      <c r="I263" s="21">
        <f t="shared" si="100"/>
        <v>0</v>
      </c>
      <c r="J263" s="20"/>
      <c r="K263" s="20"/>
      <c r="L263" s="20"/>
      <c r="M263" s="20"/>
      <c r="N263" s="20"/>
      <c r="O263" s="20"/>
      <c r="Q263" s="19"/>
      <c r="R263" s="19"/>
      <c r="S263" s="19"/>
      <c r="T263" s="19"/>
      <c r="U263" s="19"/>
      <c r="V263" s="19"/>
      <c r="W263" s="19"/>
      <c r="Y263">
        <f t="shared" si="101"/>
        <v>0</v>
      </c>
      <c r="Z263">
        <f t="shared" si="102"/>
        <v>0</v>
      </c>
      <c r="AA263" s="18" t="e">
        <f t="shared" si="103"/>
        <v>#DIV/0!</v>
      </c>
      <c r="AB263" s="18" t="e">
        <f t="shared" si="104"/>
        <v>#DIV/0!</v>
      </c>
      <c r="AC263" s="5" t="e">
        <f t="shared" si="105"/>
        <v>#DIV/0!</v>
      </c>
      <c r="AD263" s="1" t="e">
        <f t="shared" si="106"/>
        <v>#DIV/0!</v>
      </c>
      <c r="AE263" s="1" t="e">
        <f t="shared" si="107"/>
        <v>#DIV/0!</v>
      </c>
      <c r="AF263" s="1" t="e">
        <f t="array" ref="AF263">_xlfn.IFS(C263="Biomass_Corn", 1/I263*S263, C263="Biomass_Agri", 1/I263*V263, C263="Biomass_Wood", 1/I263*U263, C263="Biomass_Herb", 1/I263*T263)</f>
        <v>#N/A</v>
      </c>
      <c r="AG263" s="1" t="e">
        <f t="shared" si="108"/>
        <v>#DIV/0!</v>
      </c>
      <c r="AH263" s="1" t="e">
        <f t="shared" si="109"/>
        <v>#DIV/0!</v>
      </c>
      <c r="AI263" s="1" t="e">
        <f t="shared" si="110"/>
        <v>#DIV/0!</v>
      </c>
      <c r="AJ263" s="1" t="e">
        <f t="shared" si="111"/>
        <v>#DIV/0!</v>
      </c>
      <c r="AK263" s="1" t="e">
        <f t="shared" si="112"/>
        <v>#DIV/0!</v>
      </c>
      <c r="AL263" t="e">
        <f t="shared" si="113"/>
        <v>#DIV/0!</v>
      </c>
      <c r="AM263" s="1" t="e">
        <f t="shared" si="114"/>
        <v>#DIV/0!</v>
      </c>
      <c r="AN263" s="1" t="e">
        <f t="shared" si="115"/>
        <v>#DIV/0!</v>
      </c>
      <c r="AO263" t="e">
        <f t="shared" si="116"/>
        <v>#DIV/0!</v>
      </c>
      <c r="AQ263" s="17">
        <f t="shared" si="117"/>
        <v>0</v>
      </c>
      <c r="AR263" s="8">
        <v>0.243968185</v>
      </c>
      <c r="AS263" s="8">
        <v>0.24942761299999999</v>
      </c>
      <c r="AT263" s="9">
        <v>0.24635668499999999</v>
      </c>
      <c r="AU263" s="17">
        <v>0.23037490999999999</v>
      </c>
      <c r="AW263" s="9">
        <f t="shared" si="118"/>
        <v>0</v>
      </c>
      <c r="AY263" s="9">
        <f t="shared" si="119"/>
        <v>0</v>
      </c>
      <c r="AZ263" s="9">
        <f t="shared" si="120"/>
        <v>0</v>
      </c>
      <c r="BA263" s="9">
        <f t="shared" si="121"/>
        <v>0</v>
      </c>
      <c r="BB263" s="9">
        <f t="shared" si="122"/>
        <v>0</v>
      </c>
      <c r="BC263" s="9">
        <f t="shared" si="123"/>
        <v>0</v>
      </c>
      <c r="BE263" s="1">
        <f t="shared" si="124"/>
        <v>0</v>
      </c>
    </row>
    <row r="264" spans="2:57" x14ac:dyDescent="0.2">
      <c r="B264" s="12"/>
      <c r="C264" s="20"/>
      <c r="D264" s="20"/>
      <c r="E264" s="20"/>
      <c r="F264" s="20"/>
      <c r="G264" s="20"/>
      <c r="H264" s="20"/>
      <c r="I264" s="21">
        <f t="shared" si="100"/>
        <v>0</v>
      </c>
      <c r="J264" s="20"/>
      <c r="K264" s="20"/>
      <c r="L264" s="20"/>
      <c r="M264" s="20"/>
      <c r="N264" s="20"/>
      <c r="O264" s="20"/>
      <c r="Q264" s="19"/>
      <c r="R264" s="19"/>
      <c r="S264" s="19"/>
      <c r="T264" s="19"/>
      <c r="U264" s="19"/>
      <c r="V264" s="19"/>
      <c r="W264" s="19"/>
      <c r="Y264">
        <f t="shared" si="101"/>
        <v>0</v>
      </c>
      <c r="Z264">
        <f t="shared" si="102"/>
        <v>0</v>
      </c>
      <c r="AA264" s="18" t="e">
        <f t="shared" si="103"/>
        <v>#DIV/0!</v>
      </c>
      <c r="AB264" s="18" t="e">
        <f t="shared" si="104"/>
        <v>#DIV/0!</v>
      </c>
      <c r="AC264" s="5" t="e">
        <f t="shared" si="105"/>
        <v>#DIV/0!</v>
      </c>
      <c r="AD264" s="1" t="e">
        <f t="shared" si="106"/>
        <v>#DIV/0!</v>
      </c>
      <c r="AE264" s="1" t="e">
        <f t="shared" si="107"/>
        <v>#DIV/0!</v>
      </c>
      <c r="AF264" s="1" t="e">
        <f t="array" ref="AF264">_xlfn.IFS(C264="Biomass_Corn", 1/I264*S264, C264="Biomass_Agri", 1/I264*V264, C264="Biomass_Wood", 1/I264*U264, C264="Biomass_Herb", 1/I264*T264)</f>
        <v>#N/A</v>
      </c>
      <c r="AG264" s="1" t="e">
        <f t="shared" si="108"/>
        <v>#DIV/0!</v>
      </c>
      <c r="AH264" s="1" t="e">
        <f t="shared" si="109"/>
        <v>#DIV/0!</v>
      </c>
      <c r="AI264" s="1" t="e">
        <f t="shared" si="110"/>
        <v>#DIV/0!</v>
      </c>
      <c r="AJ264" s="1" t="e">
        <f t="shared" si="111"/>
        <v>#DIV/0!</v>
      </c>
      <c r="AK264" s="1" t="e">
        <f t="shared" si="112"/>
        <v>#DIV/0!</v>
      </c>
      <c r="AL264" t="e">
        <f t="shared" si="113"/>
        <v>#DIV/0!</v>
      </c>
      <c r="AM264" s="1" t="e">
        <f t="shared" si="114"/>
        <v>#DIV/0!</v>
      </c>
      <c r="AN264" s="1" t="e">
        <f t="shared" si="115"/>
        <v>#DIV/0!</v>
      </c>
      <c r="AO264" t="e">
        <f t="shared" si="116"/>
        <v>#DIV/0!</v>
      </c>
      <c r="AQ264" s="17">
        <f t="shared" si="117"/>
        <v>0</v>
      </c>
      <c r="AR264" s="8">
        <v>0.243968185</v>
      </c>
      <c r="AS264" s="8">
        <v>0.24942761299999999</v>
      </c>
      <c r="AT264" s="9">
        <v>0.24635668499999999</v>
      </c>
      <c r="AU264" s="17">
        <v>0.23037490999999999</v>
      </c>
      <c r="AW264" s="9">
        <f t="shared" si="118"/>
        <v>0</v>
      </c>
      <c r="AY264" s="9">
        <f t="shared" si="119"/>
        <v>0</v>
      </c>
      <c r="AZ264" s="9">
        <f t="shared" si="120"/>
        <v>0</v>
      </c>
      <c r="BA264" s="9">
        <f t="shared" si="121"/>
        <v>0</v>
      </c>
      <c r="BB264" s="9">
        <f t="shared" si="122"/>
        <v>0</v>
      </c>
      <c r="BC264" s="9">
        <f t="shared" si="123"/>
        <v>0</v>
      </c>
      <c r="BE264" s="1">
        <f t="shared" si="124"/>
        <v>0</v>
      </c>
    </row>
    <row r="265" spans="2:57" x14ac:dyDescent="0.2">
      <c r="B265" s="12"/>
      <c r="C265" s="20"/>
      <c r="D265" s="20"/>
      <c r="E265" s="20"/>
      <c r="F265" s="20"/>
      <c r="G265" s="20"/>
      <c r="H265" s="20"/>
      <c r="I265" s="21">
        <f t="shared" si="100"/>
        <v>0</v>
      </c>
      <c r="J265" s="20"/>
      <c r="K265" s="20"/>
      <c r="L265" s="20"/>
      <c r="M265" s="20"/>
      <c r="N265" s="20"/>
      <c r="O265" s="20"/>
      <c r="Q265" s="19"/>
      <c r="R265" s="19"/>
      <c r="S265" s="19"/>
      <c r="T265" s="19"/>
      <c r="U265" s="19"/>
      <c r="V265" s="19"/>
      <c r="W265" s="19"/>
      <c r="Y265">
        <f t="shared" si="101"/>
        <v>0</v>
      </c>
      <c r="Z265">
        <f t="shared" si="102"/>
        <v>0</v>
      </c>
      <c r="AA265" s="18" t="e">
        <f t="shared" si="103"/>
        <v>#DIV/0!</v>
      </c>
      <c r="AB265" s="18" t="e">
        <f t="shared" si="104"/>
        <v>#DIV/0!</v>
      </c>
      <c r="AC265" s="5" t="e">
        <f t="shared" si="105"/>
        <v>#DIV/0!</v>
      </c>
      <c r="AD265" s="1" t="e">
        <f t="shared" si="106"/>
        <v>#DIV/0!</v>
      </c>
      <c r="AE265" s="1" t="e">
        <f t="shared" si="107"/>
        <v>#DIV/0!</v>
      </c>
      <c r="AF265" s="1" t="e">
        <f t="array" ref="AF265">_xlfn.IFS(C265="Biomass_Corn", 1/I265*S265, C265="Biomass_Agri", 1/I265*V265, C265="Biomass_Wood", 1/I265*U265, C265="Biomass_Herb", 1/I265*T265)</f>
        <v>#N/A</v>
      </c>
      <c r="AG265" s="1" t="e">
        <f t="shared" si="108"/>
        <v>#DIV/0!</v>
      </c>
      <c r="AH265" s="1" t="e">
        <f t="shared" si="109"/>
        <v>#DIV/0!</v>
      </c>
      <c r="AI265" s="1" t="e">
        <f t="shared" si="110"/>
        <v>#DIV/0!</v>
      </c>
      <c r="AJ265" s="1" t="e">
        <f t="shared" si="111"/>
        <v>#DIV/0!</v>
      </c>
      <c r="AK265" s="1" t="e">
        <f t="shared" si="112"/>
        <v>#DIV/0!</v>
      </c>
      <c r="AL265" t="e">
        <f t="shared" si="113"/>
        <v>#DIV/0!</v>
      </c>
      <c r="AM265" s="1" t="e">
        <f t="shared" si="114"/>
        <v>#DIV/0!</v>
      </c>
      <c r="AN265" s="1" t="e">
        <f t="shared" si="115"/>
        <v>#DIV/0!</v>
      </c>
      <c r="AO265" t="e">
        <f t="shared" si="116"/>
        <v>#DIV/0!</v>
      </c>
      <c r="AQ265" s="17">
        <f t="shared" si="117"/>
        <v>0</v>
      </c>
      <c r="AR265" s="8">
        <v>0.243968185</v>
      </c>
      <c r="AS265" s="8">
        <v>0.24942761299999999</v>
      </c>
      <c r="AT265" s="9">
        <v>0.24635668499999999</v>
      </c>
      <c r="AU265" s="17">
        <v>0.23037490999999999</v>
      </c>
      <c r="AW265" s="9">
        <f t="shared" si="118"/>
        <v>0</v>
      </c>
      <c r="AY265" s="9">
        <f t="shared" si="119"/>
        <v>0</v>
      </c>
      <c r="AZ265" s="9">
        <f t="shared" si="120"/>
        <v>0</v>
      </c>
      <c r="BA265" s="9">
        <f t="shared" si="121"/>
        <v>0</v>
      </c>
      <c r="BB265" s="9">
        <f t="shared" si="122"/>
        <v>0</v>
      </c>
      <c r="BC265" s="9">
        <f t="shared" si="123"/>
        <v>0</v>
      </c>
      <c r="BE265" s="1">
        <f t="shared" si="124"/>
        <v>0</v>
      </c>
    </row>
    <row r="266" spans="2:57" x14ac:dyDescent="0.2">
      <c r="B266" s="12"/>
      <c r="C266" s="20"/>
      <c r="D266" s="20"/>
      <c r="E266" s="20"/>
      <c r="F266" s="20"/>
      <c r="G266" s="20"/>
      <c r="H266" s="20"/>
      <c r="I266" s="21">
        <f t="shared" si="100"/>
        <v>0</v>
      </c>
      <c r="J266" s="20"/>
      <c r="K266" s="20"/>
      <c r="L266" s="20"/>
      <c r="M266" s="20"/>
      <c r="N266" s="20"/>
      <c r="O266" s="20"/>
      <c r="Q266" s="19"/>
      <c r="R266" s="19"/>
      <c r="S266" s="19"/>
      <c r="T266" s="19"/>
      <c r="U266" s="19"/>
      <c r="V266" s="19"/>
      <c r="W266" s="19"/>
      <c r="Y266">
        <f t="shared" si="101"/>
        <v>0</v>
      </c>
      <c r="Z266">
        <f t="shared" si="102"/>
        <v>0</v>
      </c>
      <c r="AA266" s="18" t="e">
        <f t="shared" si="103"/>
        <v>#DIV/0!</v>
      </c>
      <c r="AB266" s="18" t="e">
        <f t="shared" si="104"/>
        <v>#DIV/0!</v>
      </c>
      <c r="AC266" s="5" t="e">
        <f t="shared" si="105"/>
        <v>#DIV/0!</v>
      </c>
      <c r="AD266" s="1" t="e">
        <f t="shared" si="106"/>
        <v>#DIV/0!</v>
      </c>
      <c r="AE266" s="1" t="e">
        <f t="shared" si="107"/>
        <v>#DIV/0!</v>
      </c>
      <c r="AF266" s="1" t="e">
        <f t="array" ref="AF266">_xlfn.IFS(C266="Biomass_Corn", 1/I266*S266, C266="Biomass_Agri", 1/I266*V266, C266="Biomass_Wood", 1/I266*U266, C266="Biomass_Herb", 1/I266*T266)</f>
        <v>#N/A</v>
      </c>
      <c r="AG266" s="1" t="e">
        <f t="shared" si="108"/>
        <v>#DIV/0!</v>
      </c>
      <c r="AH266" s="1" t="e">
        <f t="shared" si="109"/>
        <v>#DIV/0!</v>
      </c>
      <c r="AI266" s="1" t="e">
        <f t="shared" si="110"/>
        <v>#DIV/0!</v>
      </c>
      <c r="AJ266" s="1" t="e">
        <f t="shared" si="111"/>
        <v>#DIV/0!</v>
      </c>
      <c r="AK266" s="1" t="e">
        <f t="shared" si="112"/>
        <v>#DIV/0!</v>
      </c>
      <c r="AL266" t="e">
        <f t="shared" si="113"/>
        <v>#DIV/0!</v>
      </c>
      <c r="AM266" s="1" t="e">
        <f t="shared" si="114"/>
        <v>#DIV/0!</v>
      </c>
      <c r="AN266" s="1" t="e">
        <f t="shared" si="115"/>
        <v>#DIV/0!</v>
      </c>
      <c r="AO266" t="e">
        <f t="shared" si="116"/>
        <v>#DIV/0!</v>
      </c>
      <c r="AQ266" s="17">
        <f t="shared" si="117"/>
        <v>0</v>
      </c>
      <c r="AR266" s="8">
        <v>0.243968185</v>
      </c>
      <c r="AS266" s="8">
        <v>0.24942761299999999</v>
      </c>
      <c r="AT266" s="9">
        <v>0.24635668499999999</v>
      </c>
      <c r="AU266" s="17">
        <v>0.23037490999999999</v>
      </c>
      <c r="AW266" s="9">
        <f t="shared" si="118"/>
        <v>0</v>
      </c>
      <c r="AY266" s="9">
        <f t="shared" si="119"/>
        <v>0</v>
      </c>
      <c r="AZ266" s="9">
        <f t="shared" si="120"/>
        <v>0</v>
      </c>
      <c r="BA266" s="9">
        <f t="shared" si="121"/>
        <v>0</v>
      </c>
      <c r="BB266" s="9">
        <f t="shared" si="122"/>
        <v>0</v>
      </c>
      <c r="BC266" s="9">
        <f t="shared" si="123"/>
        <v>0</v>
      </c>
      <c r="BE266" s="1">
        <f t="shared" si="124"/>
        <v>0</v>
      </c>
    </row>
    <row r="267" spans="2:57" x14ac:dyDescent="0.2">
      <c r="B267" s="12"/>
      <c r="C267" s="20"/>
      <c r="D267" s="20"/>
      <c r="E267" s="20"/>
      <c r="F267" s="20"/>
      <c r="G267" s="20"/>
      <c r="H267" s="20"/>
      <c r="I267" s="21">
        <f t="shared" si="100"/>
        <v>0</v>
      </c>
      <c r="J267" s="20"/>
      <c r="K267" s="20"/>
      <c r="L267" s="20"/>
      <c r="M267" s="20"/>
      <c r="N267" s="20"/>
      <c r="O267" s="20"/>
      <c r="Q267" s="19"/>
      <c r="R267" s="19"/>
      <c r="S267" s="19"/>
      <c r="T267" s="19"/>
      <c r="U267" s="19"/>
      <c r="V267" s="19"/>
      <c r="W267" s="19"/>
      <c r="Y267">
        <f t="shared" si="101"/>
        <v>0</v>
      </c>
      <c r="Z267">
        <f t="shared" si="102"/>
        <v>0</v>
      </c>
      <c r="AA267" s="18" t="e">
        <f t="shared" si="103"/>
        <v>#DIV/0!</v>
      </c>
      <c r="AB267" s="18" t="e">
        <f t="shared" si="104"/>
        <v>#DIV/0!</v>
      </c>
      <c r="AC267" s="5" t="e">
        <f t="shared" si="105"/>
        <v>#DIV/0!</v>
      </c>
      <c r="AD267" s="1" t="e">
        <f t="shared" si="106"/>
        <v>#DIV/0!</v>
      </c>
      <c r="AE267" s="1" t="e">
        <f t="shared" si="107"/>
        <v>#DIV/0!</v>
      </c>
      <c r="AF267" s="1" t="e">
        <f t="array" ref="AF267">_xlfn.IFS(C267="Biomass_Corn", 1/I267*S267, C267="Biomass_Agri", 1/I267*V267, C267="Biomass_Wood", 1/I267*U267, C267="Biomass_Herb", 1/I267*T267)</f>
        <v>#N/A</v>
      </c>
      <c r="AG267" s="1" t="e">
        <f t="shared" si="108"/>
        <v>#DIV/0!</v>
      </c>
      <c r="AH267" s="1" t="e">
        <f t="shared" si="109"/>
        <v>#DIV/0!</v>
      </c>
      <c r="AI267" s="1" t="e">
        <f t="shared" si="110"/>
        <v>#DIV/0!</v>
      </c>
      <c r="AJ267" s="1" t="e">
        <f t="shared" si="111"/>
        <v>#DIV/0!</v>
      </c>
      <c r="AK267" s="1" t="e">
        <f t="shared" si="112"/>
        <v>#DIV/0!</v>
      </c>
      <c r="AL267" t="e">
        <f t="shared" si="113"/>
        <v>#DIV/0!</v>
      </c>
      <c r="AM267" s="1" t="e">
        <f t="shared" si="114"/>
        <v>#DIV/0!</v>
      </c>
      <c r="AN267" s="1" t="e">
        <f t="shared" si="115"/>
        <v>#DIV/0!</v>
      </c>
      <c r="AO267" t="e">
        <f t="shared" si="116"/>
        <v>#DIV/0!</v>
      </c>
      <c r="AQ267" s="17">
        <f t="shared" si="117"/>
        <v>0</v>
      </c>
      <c r="AR267" s="8">
        <v>0.243968185</v>
      </c>
      <c r="AS267" s="8">
        <v>0.24942761299999999</v>
      </c>
      <c r="AT267" s="9">
        <v>0.24635668499999999</v>
      </c>
      <c r="AU267" s="17">
        <v>0.23037490999999999</v>
      </c>
      <c r="AW267" s="9">
        <f t="shared" si="118"/>
        <v>0</v>
      </c>
      <c r="AY267" s="9">
        <f t="shared" si="119"/>
        <v>0</v>
      </c>
      <c r="AZ267" s="9">
        <f t="shared" si="120"/>
        <v>0</v>
      </c>
      <c r="BA267" s="9">
        <f t="shared" si="121"/>
        <v>0</v>
      </c>
      <c r="BB267" s="9">
        <f t="shared" si="122"/>
        <v>0</v>
      </c>
      <c r="BC267" s="9">
        <f t="shared" si="123"/>
        <v>0</v>
      </c>
      <c r="BE267" s="1">
        <f t="shared" si="124"/>
        <v>0</v>
      </c>
    </row>
    <row r="268" spans="2:57" x14ac:dyDescent="0.2">
      <c r="B268" s="12"/>
      <c r="C268" s="20"/>
      <c r="D268" s="20"/>
      <c r="E268" s="20"/>
      <c r="F268" s="20"/>
      <c r="G268" s="20"/>
      <c r="H268" s="20"/>
      <c r="I268" s="21">
        <f t="shared" si="100"/>
        <v>0</v>
      </c>
      <c r="J268" s="20"/>
      <c r="K268" s="20"/>
      <c r="L268" s="20"/>
      <c r="M268" s="20"/>
      <c r="N268" s="20"/>
      <c r="O268" s="20"/>
      <c r="Q268" s="19"/>
      <c r="R268" s="19"/>
      <c r="S268" s="19"/>
      <c r="T268" s="19"/>
      <c r="U268" s="19"/>
      <c r="V268" s="19"/>
      <c r="W268" s="19"/>
      <c r="Y268">
        <f t="shared" si="101"/>
        <v>0</v>
      </c>
      <c r="Z268">
        <f t="shared" si="102"/>
        <v>0</v>
      </c>
      <c r="AA268" s="18" t="e">
        <f t="shared" si="103"/>
        <v>#DIV/0!</v>
      </c>
      <c r="AB268" s="18" t="e">
        <f t="shared" si="104"/>
        <v>#DIV/0!</v>
      </c>
      <c r="AC268" s="5" t="e">
        <f t="shared" si="105"/>
        <v>#DIV/0!</v>
      </c>
      <c r="AD268" s="1" t="e">
        <f t="shared" si="106"/>
        <v>#DIV/0!</v>
      </c>
      <c r="AE268" s="1" t="e">
        <f t="shared" si="107"/>
        <v>#DIV/0!</v>
      </c>
      <c r="AF268" s="1" t="e">
        <f t="array" ref="AF268">_xlfn.IFS(C268="Biomass_Corn", 1/I268*S268, C268="Biomass_Agri", 1/I268*V268, C268="Biomass_Wood", 1/I268*U268, C268="Biomass_Herb", 1/I268*T268)</f>
        <v>#N/A</v>
      </c>
      <c r="AG268" s="1" t="e">
        <f t="shared" si="108"/>
        <v>#DIV/0!</v>
      </c>
      <c r="AH268" s="1" t="e">
        <f t="shared" si="109"/>
        <v>#DIV/0!</v>
      </c>
      <c r="AI268" s="1" t="e">
        <f t="shared" si="110"/>
        <v>#DIV/0!</v>
      </c>
      <c r="AJ268" s="1" t="e">
        <f t="shared" si="111"/>
        <v>#DIV/0!</v>
      </c>
      <c r="AK268" s="1" t="e">
        <f t="shared" si="112"/>
        <v>#DIV/0!</v>
      </c>
      <c r="AL268" t="e">
        <f t="shared" si="113"/>
        <v>#DIV/0!</v>
      </c>
      <c r="AM268" s="1" t="e">
        <f t="shared" si="114"/>
        <v>#DIV/0!</v>
      </c>
      <c r="AN268" s="1" t="e">
        <f t="shared" si="115"/>
        <v>#DIV/0!</v>
      </c>
      <c r="AO268" t="e">
        <f t="shared" si="116"/>
        <v>#DIV/0!</v>
      </c>
      <c r="AQ268" s="17">
        <f t="shared" si="117"/>
        <v>0</v>
      </c>
      <c r="AR268" s="8">
        <v>0.243968185</v>
      </c>
      <c r="AS268" s="8">
        <v>0.24942761299999999</v>
      </c>
      <c r="AT268" s="9">
        <v>0.24635668499999999</v>
      </c>
      <c r="AU268" s="17">
        <v>0.23037490999999999</v>
      </c>
      <c r="AW268" s="9">
        <f t="shared" si="118"/>
        <v>0</v>
      </c>
      <c r="AY268" s="9">
        <f t="shared" si="119"/>
        <v>0</v>
      </c>
      <c r="AZ268" s="9">
        <f t="shared" si="120"/>
        <v>0</v>
      </c>
      <c r="BA268" s="9">
        <f t="shared" si="121"/>
        <v>0</v>
      </c>
      <c r="BB268" s="9">
        <f t="shared" si="122"/>
        <v>0</v>
      </c>
      <c r="BC268" s="9">
        <f t="shared" si="123"/>
        <v>0</v>
      </c>
      <c r="BE268" s="1">
        <f t="shared" si="124"/>
        <v>0</v>
      </c>
    </row>
    <row r="269" spans="2:57" x14ac:dyDescent="0.2">
      <c r="B269" s="12"/>
      <c r="C269" s="20"/>
      <c r="D269" s="20"/>
      <c r="E269" s="20"/>
      <c r="F269" s="20"/>
      <c r="G269" s="20"/>
      <c r="H269" s="20"/>
      <c r="I269" s="21">
        <f t="shared" si="100"/>
        <v>0</v>
      </c>
      <c r="J269" s="20"/>
      <c r="K269" s="20"/>
      <c r="L269" s="20"/>
      <c r="M269" s="20"/>
      <c r="N269" s="20"/>
      <c r="O269" s="20"/>
      <c r="Q269" s="19"/>
      <c r="R269" s="19"/>
      <c r="S269" s="19"/>
      <c r="T269" s="19"/>
      <c r="U269" s="19"/>
      <c r="V269" s="19"/>
      <c r="W269" s="19"/>
      <c r="Y269">
        <f t="shared" si="101"/>
        <v>0</v>
      </c>
      <c r="Z269">
        <f t="shared" si="102"/>
        <v>0</v>
      </c>
      <c r="AA269" s="18" t="e">
        <f t="shared" si="103"/>
        <v>#DIV/0!</v>
      </c>
      <c r="AB269" s="18" t="e">
        <f t="shared" si="104"/>
        <v>#DIV/0!</v>
      </c>
      <c r="AC269" s="5" t="e">
        <f t="shared" si="105"/>
        <v>#DIV/0!</v>
      </c>
      <c r="AD269" s="1" t="e">
        <f t="shared" si="106"/>
        <v>#DIV/0!</v>
      </c>
      <c r="AE269" s="1" t="e">
        <f t="shared" si="107"/>
        <v>#DIV/0!</v>
      </c>
      <c r="AF269" s="1" t="e">
        <f t="array" ref="AF269">_xlfn.IFS(C269="Biomass_Corn", 1/I269*S269, C269="Biomass_Agri", 1/I269*V269, C269="Biomass_Wood", 1/I269*U269, C269="Biomass_Herb", 1/I269*T269)</f>
        <v>#N/A</v>
      </c>
      <c r="AG269" s="1" t="e">
        <f t="shared" si="108"/>
        <v>#DIV/0!</v>
      </c>
      <c r="AH269" s="1" t="e">
        <f t="shared" si="109"/>
        <v>#DIV/0!</v>
      </c>
      <c r="AI269" s="1" t="e">
        <f t="shared" si="110"/>
        <v>#DIV/0!</v>
      </c>
      <c r="AJ269" s="1" t="e">
        <f t="shared" si="111"/>
        <v>#DIV/0!</v>
      </c>
      <c r="AK269" s="1" t="e">
        <f t="shared" si="112"/>
        <v>#DIV/0!</v>
      </c>
      <c r="AL269" t="e">
        <f t="shared" si="113"/>
        <v>#DIV/0!</v>
      </c>
      <c r="AM269" s="1" t="e">
        <f t="shared" si="114"/>
        <v>#DIV/0!</v>
      </c>
      <c r="AN269" s="1" t="e">
        <f t="shared" si="115"/>
        <v>#DIV/0!</v>
      </c>
      <c r="AO269" t="e">
        <f t="shared" si="116"/>
        <v>#DIV/0!</v>
      </c>
      <c r="AQ269" s="17">
        <f t="shared" si="117"/>
        <v>0</v>
      </c>
      <c r="AR269" s="8">
        <v>0.243968185</v>
      </c>
      <c r="AS269" s="8">
        <v>0.24942761299999999</v>
      </c>
      <c r="AT269" s="9">
        <v>0.24635668499999999</v>
      </c>
      <c r="AU269" s="17">
        <v>0.23037490999999999</v>
      </c>
      <c r="AW269" s="9">
        <f t="shared" si="118"/>
        <v>0</v>
      </c>
      <c r="AY269" s="9">
        <f t="shared" si="119"/>
        <v>0</v>
      </c>
      <c r="AZ269" s="9">
        <f t="shared" si="120"/>
        <v>0</v>
      </c>
      <c r="BA269" s="9">
        <f t="shared" si="121"/>
        <v>0</v>
      </c>
      <c r="BB269" s="9">
        <f t="shared" si="122"/>
        <v>0</v>
      </c>
      <c r="BC269" s="9">
        <f t="shared" si="123"/>
        <v>0</v>
      </c>
      <c r="BE269" s="1">
        <f t="shared" si="124"/>
        <v>0</v>
      </c>
    </row>
    <row r="270" spans="2:57" x14ac:dyDescent="0.2">
      <c r="B270" s="12"/>
      <c r="C270" s="20"/>
      <c r="D270" s="20"/>
      <c r="E270" s="20"/>
      <c r="F270" s="20"/>
      <c r="G270" s="20"/>
      <c r="H270" s="20"/>
      <c r="I270" s="21">
        <f t="shared" si="100"/>
        <v>0</v>
      </c>
      <c r="J270" s="20"/>
      <c r="K270" s="20"/>
      <c r="L270" s="20"/>
      <c r="M270" s="20"/>
      <c r="N270" s="20"/>
      <c r="O270" s="20"/>
      <c r="Q270" s="19"/>
      <c r="R270" s="19"/>
      <c r="S270" s="19"/>
      <c r="T270" s="19"/>
      <c r="U270" s="19"/>
      <c r="V270" s="19"/>
      <c r="W270" s="19"/>
      <c r="Y270">
        <f t="shared" si="101"/>
        <v>0</v>
      </c>
      <c r="Z270">
        <f t="shared" si="102"/>
        <v>0</v>
      </c>
      <c r="AA270" s="18" t="e">
        <f t="shared" si="103"/>
        <v>#DIV/0!</v>
      </c>
      <c r="AB270" s="18" t="e">
        <f t="shared" si="104"/>
        <v>#DIV/0!</v>
      </c>
      <c r="AC270" s="5" t="e">
        <f t="shared" si="105"/>
        <v>#DIV/0!</v>
      </c>
      <c r="AD270" s="1" t="e">
        <f t="shared" si="106"/>
        <v>#DIV/0!</v>
      </c>
      <c r="AE270" s="1" t="e">
        <f t="shared" si="107"/>
        <v>#DIV/0!</v>
      </c>
      <c r="AF270" s="1" t="e">
        <f t="array" ref="AF270">_xlfn.IFS(C270="Biomass_Corn", 1/I270*S270, C270="Biomass_Agri", 1/I270*V270, C270="Biomass_Wood", 1/I270*U270, C270="Biomass_Herb", 1/I270*T270)</f>
        <v>#N/A</v>
      </c>
      <c r="AG270" s="1" t="e">
        <f t="shared" si="108"/>
        <v>#DIV/0!</v>
      </c>
      <c r="AH270" s="1" t="e">
        <f t="shared" si="109"/>
        <v>#DIV/0!</v>
      </c>
      <c r="AI270" s="1" t="e">
        <f t="shared" si="110"/>
        <v>#DIV/0!</v>
      </c>
      <c r="AJ270" s="1" t="e">
        <f t="shared" si="111"/>
        <v>#DIV/0!</v>
      </c>
      <c r="AK270" s="1" t="e">
        <f t="shared" si="112"/>
        <v>#DIV/0!</v>
      </c>
      <c r="AL270" t="e">
        <f t="shared" si="113"/>
        <v>#DIV/0!</v>
      </c>
      <c r="AM270" s="1" t="e">
        <f t="shared" si="114"/>
        <v>#DIV/0!</v>
      </c>
      <c r="AN270" s="1" t="e">
        <f t="shared" si="115"/>
        <v>#DIV/0!</v>
      </c>
      <c r="AO270" t="e">
        <f t="shared" si="116"/>
        <v>#DIV/0!</v>
      </c>
      <c r="AQ270" s="17">
        <f t="shared" si="117"/>
        <v>0</v>
      </c>
      <c r="AR270" s="8">
        <v>0.243968185</v>
      </c>
      <c r="AS270" s="8">
        <v>0.24942761299999999</v>
      </c>
      <c r="AT270" s="9">
        <v>0.24635668499999999</v>
      </c>
      <c r="AU270" s="17">
        <v>0.23037490999999999</v>
      </c>
      <c r="AW270" s="9">
        <f t="shared" si="118"/>
        <v>0</v>
      </c>
      <c r="AY270" s="9">
        <f t="shared" si="119"/>
        <v>0</v>
      </c>
      <c r="AZ270" s="9">
        <f t="shared" si="120"/>
        <v>0</v>
      </c>
      <c r="BA270" s="9">
        <f t="shared" si="121"/>
        <v>0</v>
      </c>
      <c r="BB270" s="9">
        <f t="shared" si="122"/>
        <v>0</v>
      </c>
      <c r="BC270" s="9">
        <f t="shared" si="123"/>
        <v>0</v>
      </c>
      <c r="BE270" s="1">
        <f t="shared" si="124"/>
        <v>0</v>
      </c>
    </row>
    <row r="271" spans="2:57" x14ac:dyDescent="0.2">
      <c r="B271" s="12"/>
      <c r="C271" s="20"/>
      <c r="D271" s="20"/>
      <c r="E271" s="20"/>
      <c r="F271" s="20"/>
      <c r="G271" s="20"/>
      <c r="H271" s="20"/>
      <c r="I271" s="21">
        <f t="shared" si="100"/>
        <v>0</v>
      </c>
      <c r="J271" s="20"/>
      <c r="K271" s="20"/>
      <c r="L271" s="20"/>
      <c r="M271" s="20"/>
      <c r="N271" s="20"/>
      <c r="O271" s="20"/>
      <c r="Q271" s="19"/>
      <c r="R271" s="19"/>
      <c r="S271" s="19"/>
      <c r="T271" s="19"/>
      <c r="U271" s="19"/>
      <c r="V271" s="19"/>
      <c r="W271" s="19"/>
      <c r="Y271">
        <f t="shared" si="101"/>
        <v>0</v>
      </c>
      <c r="Z271">
        <f t="shared" si="102"/>
        <v>0</v>
      </c>
      <c r="AA271" s="18" t="e">
        <f t="shared" si="103"/>
        <v>#DIV/0!</v>
      </c>
      <c r="AB271" s="18" t="e">
        <f t="shared" si="104"/>
        <v>#DIV/0!</v>
      </c>
      <c r="AC271" s="5" t="e">
        <f t="shared" si="105"/>
        <v>#DIV/0!</v>
      </c>
      <c r="AD271" s="1" t="e">
        <f t="shared" si="106"/>
        <v>#DIV/0!</v>
      </c>
      <c r="AE271" s="1" t="e">
        <f t="shared" si="107"/>
        <v>#DIV/0!</v>
      </c>
      <c r="AF271" s="1" t="e">
        <f t="array" ref="AF271">_xlfn.IFS(C271="Biomass_Corn", 1/I271*S271, C271="Biomass_Agri", 1/I271*V271, C271="Biomass_Wood", 1/I271*U271, C271="Biomass_Herb", 1/I271*T271)</f>
        <v>#N/A</v>
      </c>
      <c r="AG271" s="1" t="e">
        <f t="shared" si="108"/>
        <v>#DIV/0!</v>
      </c>
      <c r="AH271" s="1" t="e">
        <f t="shared" si="109"/>
        <v>#DIV/0!</v>
      </c>
      <c r="AI271" s="1" t="e">
        <f t="shared" si="110"/>
        <v>#DIV/0!</v>
      </c>
      <c r="AJ271" s="1" t="e">
        <f t="shared" si="111"/>
        <v>#DIV/0!</v>
      </c>
      <c r="AK271" s="1" t="e">
        <f t="shared" si="112"/>
        <v>#DIV/0!</v>
      </c>
      <c r="AL271" t="e">
        <f t="shared" si="113"/>
        <v>#DIV/0!</v>
      </c>
      <c r="AM271" s="1" t="e">
        <f t="shared" si="114"/>
        <v>#DIV/0!</v>
      </c>
      <c r="AN271" s="1" t="e">
        <f t="shared" si="115"/>
        <v>#DIV/0!</v>
      </c>
      <c r="AO271" t="e">
        <f t="shared" si="116"/>
        <v>#DIV/0!</v>
      </c>
      <c r="AQ271" s="17">
        <f t="shared" si="117"/>
        <v>0</v>
      </c>
      <c r="AR271" s="8">
        <v>0.243968185</v>
      </c>
      <c r="AS271" s="8">
        <v>0.24942761299999999</v>
      </c>
      <c r="AT271" s="9">
        <v>0.24635668499999999</v>
      </c>
      <c r="AU271" s="17">
        <v>0.23037490999999999</v>
      </c>
      <c r="AW271" s="9">
        <f t="shared" si="118"/>
        <v>0</v>
      </c>
      <c r="AY271" s="9">
        <f t="shared" si="119"/>
        <v>0</v>
      </c>
      <c r="AZ271" s="9">
        <f t="shared" si="120"/>
        <v>0</v>
      </c>
      <c r="BA271" s="9">
        <f t="shared" si="121"/>
        <v>0</v>
      </c>
      <c r="BB271" s="9">
        <f t="shared" si="122"/>
        <v>0</v>
      </c>
      <c r="BC271" s="9">
        <f t="shared" si="123"/>
        <v>0</v>
      </c>
      <c r="BE271" s="1">
        <f t="shared" si="124"/>
        <v>0</v>
      </c>
    </row>
    <row r="272" spans="2:57" x14ac:dyDescent="0.2">
      <c r="B272" s="12"/>
      <c r="C272" s="20"/>
      <c r="D272" s="20"/>
      <c r="E272" s="20"/>
      <c r="F272" s="20"/>
      <c r="G272" s="20"/>
      <c r="H272" s="20"/>
      <c r="I272" s="21">
        <f t="shared" si="100"/>
        <v>0</v>
      </c>
      <c r="J272" s="20"/>
      <c r="K272" s="20"/>
      <c r="L272" s="20"/>
      <c r="M272" s="20"/>
      <c r="N272" s="20"/>
      <c r="O272" s="20"/>
      <c r="Q272" s="19"/>
      <c r="R272" s="19"/>
      <c r="S272" s="19"/>
      <c r="T272" s="19"/>
      <c r="U272" s="19"/>
      <c r="V272" s="19"/>
      <c r="W272" s="19"/>
      <c r="Y272">
        <f t="shared" si="101"/>
        <v>0</v>
      </c>
      <c r="Z272">
        <f t="shared" si="102"/>
        <v>0</v>
      </c>
      <c r="AA272" s="18" t="e">
        <f t="shared" si="103"/>
        <v>#DIV/0!</v>
      </c>
      <c r="AB272" s="18" t="e">
        <f t="shared" si="104"/>
        <v>#DIV/0!</v>
      </c>
      <c r="AC272" s="5" t="e">
        <f t="shared" si="105"/>
        <v>#DIV/0!</v>
      </c>
      <c r="AD272" s="1" t="e">
        <f t="shared" si="106"/>
        <v>#DIV/0!</v>
      </c>
      <c r="AE272" s="1" t="e">
        <f t="shared" si="107"/>
        <v>#DIV/0!</v>
      </c>
      <c r="AF272" s="1" t="e">
        <f t="array" ref="AF272">_xlfn.IFS(C272="Biomass_Corn", 1/I272*S272, C272="Biomass_Agri", 1/I272*V272, C272="Biomass_Wood", 1/I272*U272, C272="Biomass_Herb", 1/I272*T272)</f>
        <v>#N/A</v>
      </c>
      <c r="AG272" s="1" t="e">
        <f t="shared" si="108"/>
        <v>#DIV/0!</v>
      </c>
      <c r="AH272" s="1" t="e">
        <f t="shared" si="109"/>
        <v>#DIV/0!</v>
      </c>
      <c r="AI272" s="1" t="e">
        <f t="shared" si="110"/>
        <v>#DIV/0!</v>
      </c>
      <c r="AJ272" s="1" t="e">
        <f t="shared" si="111"/>
        <v>#DIV/0!</v>
      </c>
      <c r="AK272" s="1" t="e">
        <f t="shared" si="112"/>
        <v>#DIV/0!</v>
      </c>
      <c r="AL272" t="e">
        <f t="shared" si="113"/>
        <v>#DIV/0!</v>
      </c>
      <c r="AM272" s="1" t="e">
        <f t="shared" si="114"/>
        <v>#DIV/0!</v>
      </c>
      <c r="AN272" s="1" t="e">
        <f t="shared" si="115"/>
        <v>#DIV/0!</v>
      </c>
      <c r="AO272" t="e">
        <f t="shared" si="116"/>
        <v>#DIV/0!</v>
      </c>
      <c r="AQ272" s="17">
        <f t="shared" si="117"/>
        <v>0</v>
      </c>
      <c r="AR272" s="8">
        <v>0.243968185</v>
      </c>
      <c r="AS272" s="8">
        <v>0.24942761299999999</v>
      </c>
      <c r="AT272" s="9">
        <v>0.24635668499999999</v>
      </c>
      <c r="AU272" s="17">
        <v>0.23037490999999999</v>
      </c>
      <c r="AW272" s="9">
        <f t="shared" si="118"/>
        <v>0</v>
      </c>
      <c r="AY272" s="9">
        <f t="shared" si="119"/>
        <v>0</v>
      </c>
      <c r="AZ272" s="9">
        <f t="shared" si="120"/>
        <v>0</v>
      </c>
      <c r="BA272" s="9">
        <f t="shared" si="121"/>
        <v>0</v>
      </c>
      <c r="BB272" s="9">
        <f t="shared" si="122"/>
        <v>0</v>
      </c>
      <c r="BC272" s="9">
        <f t="shared" si="123"/>
        <v>0</v>
      </c>
      <c r="BE272" s="1">
        <f t="shared" si="124"/>
        <v>0</v>
      </c>
    </row>
    <row r="273" spans="2:57" x14ac:dyDescent="0.2">
      <c r="B273" s="12"/>
      <c r="C273" s="20"/>
      <c r="D273" s="20"/>
      <c r="E273" s="20"/>
      <c r="F273" s="20"/>
      <c r="G273" s="20"/>
      <c r="H273" s="20"/>
      <c r="I273" s="21">
        <f t="shared" si="100"/>
        <v>0</v>
      </c>
      <c r="J273" s="20"/>
      <c r="K273" s="20"/>
      <c r="L273" s="20"/>
      <c r="M273" s="20"/>
      <c r="N273" s="20"/>
      <c r="O273" s="20"/>
      <c r="Q273" s="19"/>
      <c r="R273" s="19"/>
      <c r="S273" s="19"/>
      <c r="T273" s="19"/>
      <c r="U273" s="19"/>
      <c r="V273" s="19"/>
      <c r="W273" s="19"/>
      <c r="Y273">
        <f t="shared" si="101"/>
        <v>0</v>
      </c>
      <c r="Z273">
        <f t="shared" si="102"/>
        <v>0</v>
      </c>
      <c r="AA273" s="18" t="e">
        <f t="shared" si="103"/>
        <v>#DIV/0!</v>
      </c>
      <c r="AB273" s="18" t="e">
        <f t="shared" si="104"/>
        <v>#DIV/0!</v>
      </c>
      <c r="AC273" s="5" t="e">
        <f t="shared" si="105"/>
        <v>#DIV/0!</v>
      </c>
      <c r="AD273" s="1" t="e">
        <f t="shared" si="106"/>
        <v>#DIV/0!</v>
      </c>
      <c r="AE273" s="1" t="e">
        <f t="shared" si="107"/>
        <v>#DIV/0!</v>
      </c>
      <c r="AF273" s="1" t="e">
        <f t="array" ref="AF273">_xlfn.IFS(C273="Biomass_Corn", 1/I273*S273, C273="Biomass_Agri", 1/I273*V273, C273="Biomass_Wood", 1/I273*U273, C273="Biomass_Herb", 1/I273*T273)</f>
        <v>#N/A</v>
      </c>
      <c r="AG273" s="1" t="e">
        <f t="shared" si="108"/>
        <v>#DIV/0!</v>
      </c>
      <c r="AH273" s="1" t="e">
        <f t="shared" si="109"/>
        <v>#DIV/0!</v>
      </c>
      <c r="AI273" s="1" t="e">
        <f t="shared" si="110"/>
        <v>#DIV/0!</v>
      </c>
      <c r="AJ273" s="1" t="e">
        <f t="shared" si="111"/>
        <v>#DIV/0!</v>
      </c>
      <c r="AK273" s="1" t="e">
        <f t="shared" si="112"/>
        <v>#DIV/0!</v>
      </c>
      <c r="AL273" t="e">
        <f t="shared" si="113"/>
        <v>#DIV/0!</v>
      </c>
      <c r="AM273" s="1" t="e">
        <f t="shared" si="114"/>
        <v>#DIV/0!</v>
      </c>
      <c r="AN273" s="1" t="e">
        <f t="shared" si="115"/>
        <v>#DIV/0!</v>
      </c>
      <c r="AO273" t="e">
        <f t="shared" si="116"/>
        <v>#DIV/0!</v>
      </c>
      <c r="AQ273" s="17">
        <f t="shared" si="117"/>
        <v>0</v>
      </c>
      <c r="AR273" s="8">
        <v>0.243968185</v>
      </c>
      <c r="AS273" s="8">
        <v>0.24942761299999999</v>
      </c>
      <c r="AT273" s="9">
        <v>0.24635668499999999</v>
      </c>
      <c r="AU273" s="17">
        <v>0.23037490999999999</v>
      </c>
      <c r="AW273" s="9">
        <f t="shared" si="118"/>
        <v>0</v>
      </c>
      <c r="AY273" s="9">
        <f t="shared" si="119"/>
        <v>0</v>
      </c>
      <c r="AZ273" s="9">
        <f t="shared" si="120"/>
        <v>0</v>
      </c>
      <c r="BA273" s="9">
        <f t="shared" si="121"/>
        <v>0</v>
      </c>
      <c r="BB273" s="9">
        <f t="shared" si="122"/>
        <v>0</v>
      </c>
      <c r="BC273" s="9">
        <f t="shared" si="123"/>
        <v>0</v>
      </c>
      <c r="BE273" s="1">
        <f t="shared" si="124"/>
        <v>0</v>
      </c>
    </row>
    <row r="274" spans="2:57" x14ac:dyDescent="0.2">
      <c r="B274" s="12"/>
      <c r="C274" s="20"/>
      <c r="D274" s="20"/>
      <c r="E274" s="20"/>
      <c r="F274" s="20"/>
      <c r="G274" s="20"/>
      <c r="H274" s="20"/>
      <c r="I274" s="21">
        <f t="shared" si="100"/>
        <v>0</v>
      </c>
      <c r="J274" s="20"/>
      <c r="K274" s="20"/>
      <c r="L274" s="20"/>
      <c r="M274" s="20"/>
      <c r="N274" s="20"/>
      <c r="O274" s="20"/>
      <c r="Q274" s="19"/>
      <c r="R274" s="19"/>
      <c r="S274" s="19"/>
      <c r="T274" s="19"/>
      <c r="U274" s="19"/>
      <c r="V274" s="19"/>
      <c r="W274" s="19"/>
      <c r="Y274">
        <f t="shared" si="101"/>
        <v>0</v>
      </c>
      <c r="Z274">
        <f t="shared" si="102"/>
        <v>0</v>
      </c>
      <c r="AA274" s="18" t="e">
        <f t="shared" si="103"/>
        <v>#DIV/0!</v>
      </c>
      <c r="AB274" s="18" t="e">
        <f t="shared" si="104"/>
        <v>#DIV/0!</v>
      </c>
      <c r="AC274" s="5" t="e">
        <f t="shared" si="105"/>
        <v>#DIV/0!</v>
      </c>
      <c r="AD274" s="1" t="e">
        <f t="shared" si="106"/>
        <v>#DIV/0!</v>
      </c>
      <c r="AE274" s="1" t="e">
        <f t="shared" si="107"/>
        <v>#DIV/0!</v>
      </c>
      <c r="AF274" s="1" t="e">
        <f t="array" ref="AF274">_xlfn.IFS(C274="Biomass_Corn", 1/I274*S274, C274="Biomass_Agri", 1/I274*V274, C274="Biomass_Wood", 1/I274*U274, C274="Biomass_Herb", 1/I274*T274)</f>
        <v>#N/A</v>
      </c>
      <c r="AG274" s="1" t="e">
        <f t="shared" si="108"/>
        <v>#DIV/0!</v>
      </c>
      <c r="AH274" s="1" t="e">
        <f t="shared" si="109"/>
        <v>#DIV/0!</v>
      </c>
      <c r="AI274" s="1" t="e">
        <f t="shared" si="110"/>
        <v>#DIV/0!</v>
      </c>
      <c r="AJ274" s="1" t="e">
        <f t="shared" si="111"/>
        <v>#DIV/0!</v>
      </c>
      <c r="AK274" s="1" t="e">
        <f t="shared" si="112"/>
        <v>#DIV/0!</v>
      </c>
      <c r="AL274" t="e">
        <f t="shared" si="113"/>
        <v>#DIV/0!</v>
      </c>
      <c r="AM274" s="1" t="e">
        <f t="shared" si="114"/>
        <v>#DIV/0!</v>
      </c>
      <c r="AN274" s="1" t="e">
        <f t="shared" si="115"/>
        <v>#DIV/0!</v>
      </c>
      <c r="AO274" t="e">
        <f t="shared" si="116"/>
        <v>#DIV/0!</v>
      </c>
      <c r="AQ274" s="17">
        <f t="shared" si="117"/>
        <v>0</v>
      </c>
      <c r="AR274" s="8">
        <v>0.243968185</v>
      </c>
      <c r="AS274" s="8">
        <v>0.24942761299999999</v>
      </c>
      <c r="AT274" s="9">
        <v>0.24635668499999999</v>
      </c>
      <c r="AU274" s="17">
        <v>0.23037490999999999</v>
      </c>
      <c r="AW274" s="9">
        <f t="shared" si="118"/>
        <v>0</v>
      </c>
      <c r="AY274" s="9">
        <f t="shared" si="119"/>
        <v>0</v>
      </c>
      <c r="AZ274" s="9">
        <f t="shared" si="120"/>
        <v>0</v>
      </c>
      <c r="BA274" s="9">
        <f t="shared" si="121"/>
        <v>0</v>
      </c>
      <c r="BB274" s="9">
        <f t="shared" si="122"/>
        <v>0</v>
      </c>
      <c r="BC274" s="9">
        <f t="shared" si="123"/>
        <v>0</v>
      </c>
      <c r="BE274" s="1">
        <f t="shared" si="124"/>
        <v>0</v>
      </c>
    </row>
    <row r="275" spans="2:57" x14ac:dyDescent="0.2">
      <c r="B275" s="12"/>
      <c r="C275" s="20"/>
      <c r="D275" s="20"/>
      <c r="E275" s="20"/>
      <c r="F275" s="20"/>
      <c r="G275" s="20"/>
      <c r="H275" s="20"/>
      <c r="I275" s="21">
        <f t="shared" si="100"/>
        <v>0</v>
      </c>
      <c r="J275" s="20"/>
      <c r="K275" s="20"/>
      <c r="L275" s="20"/>
      <c r="M275" s="20"/>
      <c r="N275" s="20"/>
      <c r="O275" s="20"/>
      <c r="Q275" s="19"/>
      <c r="R275" s="19"/>
      <c r="S275" s="19"/>
      <c r="T275" s="19"/>
      <c r="U275" s="19"/>
      <c r="V275" s="19"/>
      <c r="W275" s="19"/>
      <c r="Y275">
        <f t="shared" si="101"/>
        <v>0</v>
      </c>
      <c r="Z275">
        <f t="shared" si="102"/>
        <v>0</v>
      </c>
      <c r="AA275" s="18" t="e">
        <f t="shared" si="103"/>
        <v>#DIV/0!</v>
      </c>
      <c r="AB275" s="18" t="e">
        <f t="shared" si="104"/>
        <v>#DIV/0!</v>
      </c>
      <c r="AC275" s="5" t="e">
        <f t="shared" si="105"/>
        <v>#DIV/0!</v>
      </c>
      <c r="AD275" s="1" t="e">
        <f t="shared" si="106"/>
        <v>#DIV/0!</v>
      </c>
      <c r="AE275" s="1" t="e">
        <f t="shared" si="107"/>
        <v>#DIV/0!</v>
      </c>
      <c r="AF275" s="1" t="e">
        <f t="array" ref="AF275">_xlfn.IFS(C275="Biomass_Corn", 1/I275*S275, C275="Biomass_Agri", 1/I275*V275, C275="Biomass_Wood", 1/I275*U275, C275="Biomass_Herb", 1/I275*T275)</f>
        <v>#N/A</v>
      </c>
      <c r="AG275" s="1" t="e">
        <f t="shared" si="108"/>
        <v>#DIV/0!</v>
      </c>
      <c r="AH275" s="1" t="e">
        <f t="shared" si="109"/>
        <v>#DIV/0!</v>
      </c>
      <c r="AI275" s="1" t="e">
        <f t="shared" si="110"/>
        <v>#DIV/0!</v>
      </c>
      <c r="AJ275" s="1" t="e">
        <f t="shared" si="111"/>
        <v>#DIV/0!</v>
      </c>
      <c r="AK275" s="1" t="e">
        <f t="shared" si="112"/>
        <v>#DIV/0!</v>
      </c>
      <c r="AL275" t="e">
        <f t="shared" si="113"/>
        <v>#DIV/0!</v>
      </c>
      <c r="AM275" s="1" t="e">
        <f t="shared" si="114"/>
        <v>#DIV/0!</v>
      </c>
      <c r="AN275" s="1" t="e">
        <f t="shared" si="115"/>
        <v>#DIV/0!</v>
      </c>
      <c r="AO275" t="e">
        <f t="shared" si="116"/>
        <v>#DIV/0!</v>
      </c>
      <c r="AQ275" s="17">
        <f t="shared" si="117"/>
        <v>0</v>
      </c>
      <c r="AR275" s="8">
        <v>0.243968185</v>
      </c>
      <c r="AS275" s="8">
        <v>0.24942761299999999</v>
      </c>
      <c r="AT275" s="9">
        <v>0.24635668499999999</v>
      </c>
      <c r="AU275" s="17">
        <v>0.23037490999999999</v>
      </c>
      <c r="AW275" s="9">
        <f t="shared" si="118"/>
        <v>0</v>
      </c>
      <c r="AY275" s="9">
        <f t="shared" si="119"/>
        <v>0</v>
      </c>
      <c r="AZ275" s="9">
        <f t="shared" si="120"/>
        <v>0</v>
      </c>
      <c r="BA275" s="9">
        <f t="shared" si="121"/>
        <v>0</v>
      </c>
      <c r="BB275" s="9">
        <f t="shared" si="122"/>
        <v>0</v>
      </c>
      <c r="BC275" s="9">
        <f t="shared" si="123"/>
        <v>0</v>
      </c>
      <c r="BE275" s="1">
        <f t="shared" si="124"/>
        <v>0</v>
      </c>
    </row>
    <row r="276" spans="2:57" x14ac:dyDescent="0.2">
      <c r="B276" s="12"/>
      <c r="C276" s="20"/>
      <c r="D276" s="20"/>
      <c r="E276" s="20"/>
      <c r="F276" s="20"/>
      <c r="G276" s="20"/>
      <c r="H276" s="20"/>
      <c r="I276" s="21">
        <f t="shared" si="100"/>
        <v>0</v>
      </c>
      <c r="J276" s="20"/>
      <c r="K276" s="20"/>
      <c r="L276" s="20"/>
      <c r="M276" s="20"/>
      <c r="N276" s="20"/>
      <c r="O276" s="20"/>
      <c r="Q276" s="19"/>
      <c r="R276" s="19"/>
      <c r="S276" s="19"/>
      <c r="T276" s="19"/>
      <c r="U276" s="19"/>
      <c r="V276" s="19"/>
      <c r="W276" s="19"/>
      <c r="Y276">
        <f t="shared" si="101"/>
        <v>0</v>
      </c>
      <c r="Z276">
        <f t="shared" si="102"/>
        <v>0</v>
      </c>
      <c r="AA276" s="18" t="e">
        <f t="shared" si="103"/>
        <v>#DIV/0!</v>
      </c>
      <c r="AB276" s="18" t="e">
        <f t="shared" si="104"/>
        <v>#DIV/0!</v>
      </c>
      <c r="AC276" s="5" t="e">
        <f t="shared" si="105"/>
        <v>#DIV/0!</v>
      </c>
      <c r="AD276" s="1" t="e">
        <f t="shared" si="106"/>
        <v>#DIV/0!</v>
      </c>
      <c r="AE276" s="1" t="e">
        <f t="shared" si="107"/>
        <v>#DIV/0!</v>
      </c>
      <c r="AF276" s="1" t="e">
        <f t="array" ref="AF276">_xlfn.IFS(C276="Biomass_Corn", 1/I276*S276, C276="Biomass_Agri", 1/I276*V276, C276="Biomass_Wood", 1/I276*U276, C276="Biomass_Herb", 1/I276*T276)</f>
        <v>#N/A</v>
      </c>
      <c r="AG276" s="1" t="e">
        <f t="shared" si="108"/>
        <v>#DIV/0!</v>
      </c>
      <c r="AH276" s="1" t="e">
        <f t="shared" si="109"/>
        <v>#DIV/0!</v>
      </c>
      <c r="AI276" s="1" t="e">
        <f t="shared" si="110"/>
        <v>#DIV/0!</v>
      </c>
      <c r="AJ276" s="1" t="e">
        <f t="shared" si="111"/>
        <v>#DIV/0!</v>
      </c>
      <c r="AK276" s="1" t="e">
        <f t="shared" si="112"/>
        <v>#DIV/0!</v>
      </c>
      <c r="AL276" t="e">
        <f t="shared" si="113"/>
        <v>#DIV/0!</v>
      </c>
      <c r="AM276" s="1" t="e">
        <f t="shared" si="114"/>
        <v>#DIV/0!</v>
      </c>
      <c r="AN276" s="1" t="e">
        <f t="shared" si="115"/>
        <v>#DIV/0!</v>
      </c>
      <c r="AO276" t="e">
        <f t="shared" si="116"/>
        <v>#DIV/0!</v>
      </c>
      <c r="AQ276" s="17">
        <f t="shared" si="117"/>
        <v>0</v>
      </c>
      <c r="AR276" s="8">
        <v>0.243968185</v>
      </c>
      <c r="AS276" s="8">
        <v>0.24942761299999999</v>
      </c>
      <c r="AT276" s="9">
        <v>0.24635668499999999</v>
      </c>
      <c r="AU276" s="17">
        <v>0.23037490999999999</v>
      </c>
      <c r="AW276" s="9">
        <f t="shared" si="118"/>
        <v>0</v>
      </c>
      <c r="AY276" s="9">
        <f t="shared" si="119"/>
        <v>0</v>
      </c>
      <c r="AZ276" s="9">
        <f t="shared" si="120"/>
        <v>0</v>
      </c>
      <c r="BA276" s="9">
        <f t="shared" si="121"/>
        <v>0</v>
      </c>
      <c r="BB276" s="9">
        <f t="shared" si="122"/>
        <v>0</v>
      </c>
      <c r="BC276" s="9">
        <f t="shared" si="123"/>
        <v>0</v>
      </c>
      <c r="BE276" s="1">
        <f t="shared" si="124"/>
        <v>0</v>
      </c>
    </row>
    <row r="277" spans="2:57" x14ac:dyDescent="0.2">
      <c r="B277" s="12"/>
      <c r="C277" s="20"/>
      <c r="D277" s="20"/>
      <c r="E277" s="20"/>
      <c r="F277" s="20"/>
      <c r="G277" s="20"/>
      <c r="H277" s="20"/>
      <c r="I277" s="21">
        <f t="shared" si="100"/>
        <v>0</v>
      </c>
      <c r="J277" s="20"/>
      <c r="K277" s="20"/>
      <c r="L277" s="20"/>
      <c r="M277" s="20"/>
      <c r="N277" s="20"/>
      <c r="O277" s="20"/>
      <c r="Q277" s="19"/>
      <c r="R277" s="19"/>
      <c r="S277" s="19"/>
      <c r="T277" s="19"/>
      <c r="U277" s="19"/>
      <c r="V277" s="19"/>
      <c r="W277" s="19"/>
      <c r="Y277">
        <f t="shared" si="101"/>
        <v>0</v>
      </c>
      <c r="Z277">
        <f t="shared" si="102"/>
        <v>0</v>
      </c>
      <c r="AA277" s="18" t="e">
        <f t="shared" si="103"/>
        <v>#DIV/0!</v>
      </c>
      <c r="AB277" s="18" t="e">
        <f t="shared" si="104"/>
        <v>#DIV/0!</v>
      </c>
      <c r="AC277" s="5" t="e">
        <f t="shared" si="105"/>
        <v>#DIV/0!</v>
      </c>
      <c r="AD277" s="1" t="e">
        <f t="shared" si="106"/>
        <v>#DIV/0!</v>
      </c>
      <c r="AE277" s="1" t="e">
        <f t="shared" si="107"/>
        <v>#DIV/0!</v>
      </c>
      <c r="AF277" s="1" t="e">
        <f t="array" ref="AF277">_xlfn.IFS(C277="Biomass_Corn", 1/I277*S277, C277="Biomass_Agri", 1/I277*V277, C277="Biomass_Wood", 1/I277*U277, C277="Biomass_Herb", 1/I277*T277)</f>
        <v>#N/A</v>
      </c>
      <c r="AG277" s="1" t="e">
        <f t="shared" si="108"/>
        <v>#DIV/0!</v>
      </c>
      <c r="AH277" s="1" t="e">
        <f t="shared" si="109"/>
        <v>#DIV/0!</v>
      </c>
      <c r="AI277" s="1" t="e">
        <f t="shared" si="110"/>
        <v>#DIV/0!</v>
      </c>
      <c r="AJ277" s="1" t="e">
        <f t="shared" si="111"/>
        <v>#DIV/0!</v>
      </c>
      <c r="AK277" s="1" t="e">
        <f t="shared" si="112"/>
        <v>#DIV/0!</v>
      </c>
      <c r="AL277" t="e">
        <f t="shared" si="113"/>
        <v>#DIV/0!</v>
      </c>
      <c r="AM277" s="1" t="e">
        <f t="shared" si="114"/>
        <v>#DIV/0!</v>
      </c>
      <c r="AN277" s="1" t="e">
        <f t="shared" si="115"/>
        <v>#DIV/0!</v>
      </c>
      <c r="AO277" t="e">
        <f t="shared" si="116"/>
        <v>#DIV/0!</v>
      </c>
      <c r="AQ277" s="17">
        <f t="shared" si="117"/>
        <v>0</v>
      </c>
      <c r="AR277" s="8">
        <v>0.243968185</v>
      </c>
      <c r="AS277" s="8">
        <v>0.24942761299999999</v>
      </c>
      <c r="AT277" s="9">
        <v>0.24635668499999999</v>
      </c>
      <c r="AU277" s="17">
        <v>0.23037490999999999</v>
      </c>
      <c r="AW277" s="9">
        <f t="shared" si="118"/>
        <v>0</v>
      </c>
      <c r="AY277" s="9">
        <f t="shared" si="119"/>
        <v>0</v>
      </c>
      <c r="AZ277" s="9">
        <f t="shared" si="120"/>
        <v>0</v>
      </c>
      <c r="BA277" s="9">
        <f t="shared" si="121"/>
        <v>0</v>
      </c>
      <c r="BB277" s="9">
        <f t="shared" si="122"/>
        <v>0</v>
      </c>
      <c r="BC277" s="9">
        <f t="shared" si="123"/>
        <v>0</v>
      </c>
      <c r="BE277" s="1">
        <f t="shared" si="124"/>
        <v>0</v>
      </c>
    </row>
    <row r="278" spans="2:57" x14ac:dyDescent="0.2">
      <c r="B278" s="12"/>
      <c r="C278" s="20"/>
      <c r="D278" s="20"/>
      <c r="E278" s="20"/>
      <c r="F278" s="20"/>
      <c r="G278" s="20"/>
      <c r="H278" s="20"/>
      <c r="I278" s="21">
        <f t="shared" si="100"/>
        <v>0</v>
      </c>
      <c r="J278" s="20"/>
      <c r="K278" s="20"/>
      <c r="L278" s="20"/>
      <c r="M278" s="20"/>
      <c r="N278" s="20"/>
      <c r="O278" s="20"/>
      <c r="Q278" s="19"/>
      <c r="R278" s="19"/>
      <c r="S278" s="19"/>
      <c r="T278" s="19"/>
      <c r="U278" s="19"/>
      <c r="V278" s="19"/>
      <c r="W278" s="19"/>
      <c r="Y278">
        <f t="shared" si="101"/>
        <v>0</v>
      </c>
      <c r="Z278">
        <f t="shared" si="102"/>
        <v>0</v>
      </c>
      <c r="AA278" s="18" t="e">
        <f t="shared" si="103"/>
        <v>#DIV/0!</v>
      </c>
      <c r="AB278" s="18" t="e">
        <f t="shared" si="104"/>
        <v>#DIV/0!</v>
      </c>
      <c r="AC278" s="5" t="e">
        <f t="shared" si="105"/>
        <v>#DIV/0!</v>
      </c>
      <c r="AD278" s="1" t="e">
        <f t="shared" si="106"/>
        <v>#DIV/0!</v>
      </c>
      <c r="AE278" s="1" t="e">
        <f t="shared" si="107"/>
        <v>#DIV/0!</v>
      </c>
      <c r="AF278" s="1" t="e">
        <f t="array" ref="AF278">_xlfn.IFS(C278="Biomass_Corn", 1/I278*S278, C278="Biomass_Agri", 1/I278*V278, C278="Biomass_Wood", 1/I278*U278, C278="Biomass_Herb", 1/I278*T278)</f>
        <v>#N/A</v>
      </c>
      <c r="AG278" s="1" t="e">
        <f t="shared" si="108"/>
        <v>#DIV/0!</v>
      </c>
      <c r="AH278" s="1" t="e">
        <f t="shared" si="109"/>
        <v>#DIV/0!</v>
      </c>
      <c r="AI278" s="1" t="e">
        <f t="shared" si="110"/>
        <v>#DIV/0!</v>
      </c>
      <c r="AJ278" s="1" t="e">
        <f t="shared" si="111"/>
        <v>#DIV/0!</v>
      </c>
      <c r="AK278" s="1" t="e">
        <f t="shared" si="112"/>
        <v>#DIV/0!</v>
      </c>
      <c r="AL278" t="e">
        <f t="shared" si="113"/>
        <v>#DIV/0!</v>
      </c>
      <c r="AM278" s="1" t="e">
        <f t="shared" si="114"/>
        <v>#DIV/0!</v>
      </c>
      <c r="AN278" s="1" t="e">
        <f t="shared" si="115"/>
        <v>#DIV/0!</v>
      </c>
      <c r="AO278" t="e">
        <f t="shared" si="116"/>
        <v>#DIV/0!</v>
      </c>
      <c r="AQ278" s="17">
        <f t="shared" si="117"/>
        <v>0</v>
      </c>
      <c r="AR278" s="8">
        <v>0.243968185</v>
      </c>
      <c r="AS278" s="8">
        <v>0.24942761299999999</v>
      </c>
      <c r="AT278" s="9">
        <v>0.24635668499999999</v>
      </c>
      <c r="AU278" s="17">
        <v>0.23037490999999999</v>
      </c>
      <c r="AW278" s="9">
        <f t="shared" si="118"/>
        <v>0</v>
      </c>
      <c r="AY278" s="9">
        <f t="shared" si="119"/>
        <v>0</v>
      </c>
      <c r="AZ278" s="9">
        <f t="shared" si="120"/>
        <v>0</v>
      </c>
      <c r="BA278" s="9">
        <f t="shared" si="121"/>
        <v>0</v>
      </c>
      <c r="BB278" s="9">
        <f t="shared" si="122"/>
        <v>0</v>
      </c>
      <c r="BC278" s="9">
        <f t="shared" si="123"/>
        <v>0</v>
      </c>
      <c r="BE278" s="1">
        <f t="shared" si="124"/>
        <v>0</v>
      </c>
    </row>
    <row r="279" spans="2:57" x14ac:dyDescent="0.2">
      <c r="B279" s="12"/>
      <c r="C279" s="20"/>
      <c r="D279" s="20"/>
      <c r="E279" s="20"/>
      <c r="F279" s="20"/>
      <c r="G279" s="20"/>
      <c r="H279" s="20"/>
      <c r="I279" s="21">
        <f t="shared" si="100"/>
        <v>0</v>
      </c>
      <c r="J279" s="20"/>
      <c r="K279" s="20"/>
      <c r="L279" s="20"/>
      <c r="M279" s="20"/>
      <c r="N279" s="20"/>
      <c r="O279" s="20"/>
      <c r="Q279" s="19"/>
      <c r="R279" s="19"/>
      <c r="S279" s="19"/>
      <c r="T279" s="19"/>
      <c r="U279" s="19"/>
      <c r="V279" s="19"/>
      <c r="W279" s="19"/>
      <c r="Y279">
        <f t="shared" si="101"/>
        <v>0</v>
      </c>
      <c r="Z279">
        <f t="shared" si="102"/>
        <v>0</v>
      </c>
      <c r="AA279" s="18" t="e">
        <f t="shared" si="103"/>
        <v>#DIV/0!</v>
      </c>
      <c r="AB279" s="18" t="e">
        <f t="shared" si="104"/>
        <v>#DIV/0!</v>
      </c>
      <c r="AC279" s="5" t="e">
        <f t="shared" si="105"/>
        <v>#DIV/0!</v>
      </c>
      <c r="AD279" s="1" t="e">
        <f t="shared" si="106"/>
        <v>#DIV/0!</v>
      </c>
      <c r="AE279" s="1" t="e">
        <f t="shared" si="107"/>
        <v>#DIV/0!</v>
      </c>
      <c r="AF279" s="1" t="e">
        <f t="array" ref="AF279">_xlfn.IFS(C279="Biomass_Corn", 1/I279*S279, C279="Biomass_Agri", 1/I279*V279, C279="Biomass_Wood", 1/I279*U279, C279="Biomass_Herb", 1/I279*T279)</f>
        <v>#N/A</v>
      </c>
      <c r="AG279" s="1" t="e">
        <f t="shared" si="108"/>
        <v>#DIV/0!</v>
      </c>
      <c r="AH279" s="1" t="e">
        <f t="shared" si="109"/>
        <v>#DIV/0!</v>
      </c>
      <c r="AI279" s="1" t="e">
        <f t="shared" si="110"/>
        <v>#DIV/0!</v>
      </c>
      <c r="AJ279" s="1" t="e">
        <f t="shared" si="111"/>
        <v>#DIV/0!</v>
      </c>
      <c r="AK279" s="1" t="e">
        <f t="shared" si="112"/>
        <v>#DIV/0!</v>
      </c>
      <c r="AL279" t="e">
        <f t="shared" si="113"/>
        <v>#DIV/0!</v>
      </c>
      <c r="AM279" s="1" t="e">
        <f t="shared" si="114"/>
        <v>#DIV/0!</v>
      </c>
      <c r="AN279" s="1" t="e">
        <f t="shared" si="115"/>
        <v>#DIV/0!</v>
      </c>
      <c r="AO279" t="e">
        <f t="shared" si="116"/>
        <v>#DIV/0!</v>
      </c>
      <c r="AQ279" s="17">
        <f t="shared" si="117"/>
        <v>0</v>
      </c>
      <c r="AR279" s="8">
        <v>0.243968185</v>
      </c>
      <c r="AS279" s="8">
        <v>0.24942761299999999</v>
      </c>
      <c r="AT279" s="9">
        <v>0.24635668499999999</v>
      </c>
      <c r="AU279" s="17">
        <v>0.23037490999999999</v>
      </c>
      <c r="AW279" s="9">
        <f t="shared" si="118"/>
        <v>0</v>
      </c>
      <c r="AY279" s="9">
        <f t="shared" si="119"/>
        <v>0</v>
      </c>
      <c r="AZ279" s="9">
        <f t="shared" si="120"/>
        <v>0</v>
      </c>
      <c r="BA279" s="9">
        <f t="shared" si="121"/>
        <v>0</v>
      </c>
      <c r="BB279" s="9">
        <f t="shared" si="122"/>
        <v>0</v>
      </c>
      <c r="BC279" s="9">
        <f t="shared" si="123"/>
        <v>0</v>
      </c>
      <c r="BE279" s="1">
        <f t="shared" si="124"/>
        <v>0</v>
      </c>
    </row>
    <row r="280" spans="2:57" x14ac:dyDescent="0.2">
      <c r="B280" s="12"/>
      <c r="C280" s="20"/>
      <c r="D280" s="20"/>
      <c r="E280" s="20"/>
      <c r="F280" s="20"/>
      <c r="G280" s="20"/>
      <c r="H280" s="20"/>
      <c r="I280" s="21">
        <f t="shared" si="100"/>
        <v>0</v>
      </c>
      <c r="J280" s="20"/>
      <c r="K280" s="20"/>
      <c r="L280" s="20"/>
      <c r="M280" s="20"/>
      <c r="N280" s="20"/>
      <c r="O280" s="20"/>
      <c r="Q280" s="19"/>
      <c r="R280" s="19"/>
      <c r="S280" s="19"/>
      <c r="T280" s="19"/>
      <c r="U280" s="19"/>
      <c r="V280" s="19"/>
      <c r="W280" s="19"/>
      <c r="Y280">
        <f t="shared" si="101"/>
        <v>0</v>
      </c>
      <c r="Z280">
        <f t="shared" si="102"/>
        <v>0</v>
      </c>
      <c r="AA280" s="18" t="e">
        <f t="shared" si="103"/>
        <v>#DIV/0!</v>
      </c>
      <c r="AB280" s="18" t="e">
        <f t="shared" si="104"/>
        <v>#DIV/0!</v>
      </c>
      <c r="AC280" s="5" t="e">
        <f t="shared" si="105"/>
        <v>#DIV/0!</v>
      </c>
      <c r="AD280" s="1" t="e">
        <f t="shared" si="106"/>
        <v>#DIV/0!</v>
      </c>
      <c r="AE280" s="1" t="e">
        <f t="shared" si="107"/>
        <v>#DIV/0!</v>
      </c>
      <c r="AF280" s="1" t="e">
        <f t="array" ref="AF280">_xlfn.IFS(C280="Biomass_Corn", 1/I280*S280, C280="Biomass_Agri", 1/I280*V280, C280="Biomass_Wood", 1/I280*U280, C280="Biomass_Herb", 1/I280*T280)</f>
        <v>#N/A</v>
      </c>
      <c r="AG280" s="1" t="e">
        <f t="shared" si="108"/>
        <v>#DIV/0!</v>
      </c>
      <c r="AH280" s="1" t="e">
        <f t="shared" si="109"/>
        <v>#DIV/0!</v>
      </c>
      <c r="AI280" s="1" t="e">
        <f t="shared" si="110"/>
        <v>#DIV/0!</v>
      </c>
      <c r="AJ280" s="1" t="e">
        <f t="shared" si="111"/>
        <v>#DIV/0!</v>
      </c>
      <c r="AK280" s="1" t="e">
        <f t="shared" si="112"/>
        <v>#DIV/0!</v>
      </c>
      <c r="AL280" t="e">
        <f t="shared" si="113"/>
        <v>#DIV/0!</v>
      </c>
      <c r="AM280" s="1" t="e">
        <f t="shared" si="114"/>
        <v>#DIV/0!</v>
      </c>
      <c r="AN280" s="1" t="e">
        <f t="shared" si="115"/>
        <v>#DIV/0!</v>
      </c>
      <c r="AO280" t="e">
        <f t="shared" si="116"/>
        <v>#DIV/0!</v>
      </c>
      <c r="AQ280" s="17">
        <f t="shared" si="117"/>
        <v>0</v>
      </c>
      <c r="AR280" s="8">
        <v>0.243968185</v>
      </c>
      <c r="AS280" s="8">
        <v>0.24942761299999999</v>
      </c>
      <c r="AT280" s="9">
        <v>0.24635668499999999</v>
      </c>
      <c r="AU280" s="17">
        <v>0.23037490999999999</v>
      </c>
      <c r="AW280" s="9">
        <f t="shared" si="118"/>
        <v>0</v>
      </c>
      <c r="AY280" s="9">
        <f t="shared" si="119"/>
        <v>0</v>
      </c>
      <c r="AZ280" s="9">
        <f t="shared" si="120"/>
        <v>0</v>
      </c>
      <c r="BA280" s="9">
        <f t="shared" si="121"/>
        <v>0</v>
      </c>
      <c r="BB280" s="9">
        <f t="shared" si="122"/>
        <v>0</v>
      </c>
      <c r="BC280" s="9">
        <f t="shared" si="123"/>
        <v>0</v>
      </c>
      <c r="BE280" s="1">
        <f t="shared" si="124"/>
        <v>0</v>
      </c>
    </row>
    <row r="281" spans="2:57" x14ac:dyDescent="0.2">
      <c r="B281" s="12"/>
      <c r="C281" s="20"/>
      <c r="D281" s="20"/>
      <c r="E281" s="20"/>
      <c r="F281" s="20"/>
      <c r="G281" s="20"/>
      <c r="H281" s="20"/>
      <c r="I281" s="21">
        <f t="shared" si="100"/>
        <v>0</v>
      </c>
      <c r="J281" s="20"/>
      <c r="K281" s="20"/>
      <c r="L281" s="20"/>
      <c r="M281" s="20"/>
      <c r="N281" s="20"/>
      <c r="O281" s="20"/>
      <c r="Q281" s="19"/>
      <c r="R281" s="19"/>
      <c r="S281" s="19"/>
      <c r="T281" s="19"/>
      <c r="U281" s="19"/>
      <c r="V281" s="19"/>
      <c r="W281" s="19"/>
      <c r="Y281">
        <f t="shared" si="101"/>
        <v>0</v>
      </c>
      <c r="Z281">
        <f t="shared" si="102"/>
        <v>0</v>
      </c>
      <c r="AA281" s="18" t="e">
        <f t="shared" si="103"/>
        <v>#DIV/0!</v>
      </c>
      <c r="AB281" s="18" t="e">
        <f t="shared" si="104"/>
        <v>#DIV/0!</v>
      </c>
      <c r="AC281" s="5" t="e">
        <f t="shared" si="105"/>
        <v>#DIV/0!</v>
      </c>
      <c r="AD281" s="1" t="e">
        <f t="shared" si="106"/>
        <v>#DIV/0!</v>
      </c>
      <c r="AE281" s="1" t="e">
        <f t="shared" si="107"/>
        <v>#DIV/0!</v>
      </c>
      <c r="AF281" s="1" t="e">
        <f t="array" ref="AF281">_xlfn.IFS(C281="Biomass_Corn", 1/I281*S281, C281="Biomass_Agri", 1/I281*V281, C281="Biomass_Wood", 1/I281*U281, C281="Biomass_Herb", 1/I281*T281)</f>
        <v>#N/A</v>
      </c>
      <c r="AG281" s="1" t="e">
        <f t="shared" si="108"/>
        <v>#DIV/0!</v>
      </c>
      <c r="AH281" s="1" t="e">
        <f t="shared" si="109"/>
        <v>#DIV/0!</v>
      </c>
      <c r="AI281" s="1" t="e">
        <f t="shared" si="110"/>
        <v>#DIV/0!</v>
      </c>
      <c r="AJ281" s="1" t="e">
        <f t="shared" si="111"/>
        <v>#DIV/0!</v>
      </c>
      <c r="AK281" s="1" t="e">
        <f t="shared" si="112"/>
        <v>#DIV/0!</v>
      </c>
      <c r="AL281" t="e">
        <f t="shared" si="113"/>
        <v>#DIV/0!</v>
      </c>
      <c r="AM281" s="1" t="e">
        <f t="shared" si="114"/>
        <v>#DIV/0!</v>
      </c>
      <c r="AN281" s="1" t="e">
        <f t="shared" si="115"/>
        <v>#DIV/0!</v>
      </c>
      <c r="AO281" t="e">
        <f t="shared" si="116"/>
        <v>#DIV/0!</v>
      </c>
      <c r="AQ281" s="17">
        <f t="shared" si="117"/>
        <v>0</v>
      </c>
      <c r="AR281" s="8">
        <v>0.243968185</v>
      </c>
      <c r="AS281" s="8">
        <v>0.24942761299999999</v>
      </c>
      <c r="AT281" s="9">
        <v>0.24635668499999999</v>
      </c>
      <c r="AU281" s="17">
        <v>0.23037490999999999</v>
      </c>
      <c r="AW281" s="9">
        <f t="shared" si="118"/>
        <v>0</v>
      </c>
      <c r="AY281" s="9">
        <f t="shared" si="119"/>
        <v>0</v>
      </c>
      <c r="AZ281" s="9">
        <f t="shared" si="120"/>
        <v>0</v>
      </c>
      <c r="BA281" s="9">
        <f t="shared" si="121"/>
        <v>0</v>
      </c>
      <c r="BB281" s="9">
        <f t="shared" si="122"/>
        <v>0</v>
      </c>
      <c r="BC281" s="9">
        <f t="shared" si="123"/>
        <v>0</v>
      </c>
      <c r="BE281" s="1">
        <f t="shared" si="124"/>
        <v>0</v>
      </c>
    </row>
    <row r="282" spans="2:57" x14ac:dyDescent="0.2">
      <c r="B282" s="12"/>
      <c r="C282" s="20"/>
      <c r="D282" s="20"/>
      <c r="E282" s="20"/>
      <c r="F282" s="20"/>
      <c r="G282" s="20"/>
      <c r="H282" s="20"/>
      <c r="I282" s="21">
        <f t="shared" si="100"/>
        <v>0</v>
      </c>
      <c r="J282" s="20"/>
      <c r="K282" s="20"/>
      <c r="L282" s="20"/>
      <c r="M282" s="20"/>
      <c r="N282" s="20"/>
      <c r="O282" s="20"/>
      <c r="Q282" s="19"/>
      <c r="R282" s="19"/>
      <c r="S282" s="19"/>
      <c r="T282" s="19"/>
      <c r="U282" s="19"/>
      <c r="V282" s="19"/>
      <c r="W282" s="19"/>
      <c r="Y282">
        <f t="shared" si="101"/>
        <v>0</v>
      </c>
      <c r="Z282">
        <f t="shared" si="102"/>
        <v>0</v>
      </c>
      <c r="AA282" s="18" t="e">
        <f t="shared" si="103"/>
        <v>#DIV/0!</v>
      </c>
      <c r="AB282" s="18" t="e">
        <f t="shared" si="104"/>
        <v>#DIV/0!</v>
      </c>
      <c r="AC282" s="5" t="e">
        <f t="shared" si="105"/>
        <v>#DIV/0!</v>
      </c>
      <c r="AD282" s="1" t="e">
        <f t="shared" si="106"/>
        <v>#DIV/0!</v>
      </c>
      <c r="AE282" s="1" t="e">
        <f t="shared" si="107"/>
        <v>#DIV/0!</v>
      </c>
      <c r="AF282" s="1" t="e">
        <f t="array" ref="AF282">_xlfn.IFS(C282="Biomass_Corn", 1/I282*S282, C282="Biomass_Agri", 1/I282*V282, C282="Biomass_Wood", 1/I282*U282, C282="Biomass_Herb", 1/I282*T282)</f>
        <v>#N/A</v>
      </c>
      <c r="AG282" s="1" t="e">
        <f t="shared" si="108"/>
        <v>#DIV/0!</v>
      </c>
      <c r="AH282" s="1" t="e">
        <f t="shared" si="109"/>
        <v>#DIV/0!</v>
      </c>
      <c r="AI282" s="1" t="e">
        <f t="shared" si="110"/>
        <v>#DIV/0!</v>
      </c>
      <c r="AJ282" s="1" t="e">
        <f t="shared" si="111"/>
        <v>#DIV/0!</v>
      </c>
      <c r="AK282" s="1" t="e">
        <f t="shared" si="112"/>
        <v>#DIV/0!</v>
      </c>
      <c r="AL282" t="e">
        <f t="shared" si="113"/>
        <v>#DIV/0!</v>
      </c>
      <c r="AM282" s="1" t="e">
        <f t="shared" si="114"/>
        <v>#DIV/0!</v>
      </c>
      <c r="AN282" s="1" t="e">
        <f t="shared" si="115"/>
        <v>#DIV/0!</v>
      </c>
      <c r="AO282" t="e">
        <f t="shared" si="116"/>
        <v>#DIV/0!</v>
      </c>
      <c r="AQ282" s="17">
        <f t="shared" si="117"/>
        <v>0</v>
      </c>
      <c r="AR282" s="8">
        <v>0.243968185</v>
      </c>
      <c r="AS282" s="8">
        <v>0.24942761299999999</v>
      </c>
      <c r="AT282" s="9">
        <v>0.24635668499999999</v>
      </c>
      <c r="AU282" s="17">
        <v>0.23037490999999999</v>
      </c>
      <c r="AW282" s="9">
        <f t="shared" si="118"/>
        <v>0</v>
      </c>
      <c r="AY282" s="9">
        <f t="shared" si="119"/>
        <v>0</v>
      </c>
      <c r="AZ282" s="9">
        <f t="shared" si="120"/>
        <v>0</v>
      </c>
      <c r="BA282" s="9">
        <f t="shared" si="121"/>
        <v>0</v>
      </c>
      <c r="BB282" s="9">
        <f t="shared" si="122"/>
        <v>0</v>
      </c>
      <c r="BC282" s="9">
        <f t="shared" si="123"/>
        <v>0</v>
      </c>
      <c r="BE282" s="1">
        <f t="shared" si="124"/>
        <v>0</v>
      </c>
    </row>
    <row r="283" spans="2:57" x14ac:dyDescent="0.2">
      <c r="B283" s="12"/>
      <c r="C283" s="20"/>
      <c r="D283" s="20"/>
      <c r="E283" s="20"/>
      <c r="F283" s="20"/>
      <c r="G283" s="20"/>
      <c r="H283" s="20"/>
      <c r="I283" s="21">
        <f t="shared" si="100"/>
        <v>0</v>
      </c>
      <c r="J283" s="20"/>
      <c r="K283" s="20"/>
      <c r="L283" s="20"/>
      <c r="M283" s="20"/>
      <c r="N283" s="20"/>
      <c r="O283" s="20"/>
      <c r="Q283" s="19"/>
      <c r="R283" s="19"/>
      <c r="S283" s="19"/>
      <c r="T283" s="19"/>
      <c r="U283" s="19"/>
      <c r="V283" s="19"/>
      <c r="W283" s="19"/>
      <c r="Y283">
        <f t="shared" si="101"/>
        <v>0</v>
      </c>
      <c r="Z283">
        <f t="shared" si="102"/>
        <v>0</v>
      </c>
      <c r="AA283" s="18" t="e">
        <f t="shared" si="103"/>
        <v>#DIV/0!</v>
      </c>
      <c r="AB283" s="18" t="e">
        <f t="shared" si="104"/>
        <v>#DIV/0!</v>
      </c>
      <c r="AC283" s="5" t="e">
        <f t="shared" si="105"/>
        <v>#DIV/0!</v>
      </c>
      <c r="AD283" s="1" t="e">
        <f t="shared" si="106"/>
        <v>#DIV/0!</v>
      </c>
      <c r="AE283" s="1" t="e">
        <f t="shared" si="107"/>
        <v>#DIV/0!</v>
      </c>
      <c r="AF283" s="1" t="e">
        <f t="array" ref="AF283">_xlfn.IFS(C283="Biomass_Corn", 1/I283*S283, C283="Biomass_Agri", 1/I283*V283, C283="Biomass_Wood", 1/I283*U283, C283="Biomass_Herb", 1/I283*T283)</f>
        <v>#N/A</v>
      </c>
      <c r="AG283" s="1" t="e">
        <f t="shared" si="108"/>
        <v>#DIV/0!</v>
      </c>
      <c r="AH283" s="1" t="e">
        <f t="shared" si="109"/>
        <v>#DIV/0!</v>
      </c>
      <c r="AI283" s="1" t="e">
        <f t="shared" si="110"/>
        <v>#DIV/0!</v>
      </c>
      <c r="AJ283" s="1" t="e">
        <f t="shared" si="111"/>
        <v>#DIV/0!</v>
      </c>
      <c r="AK283" s="1" t="e">
        <f t="shared" si="112"/>
        <v>#DIV/0!</v>
      </c>
      <c r="AL283" t="e">
        <f t="shared" si="113"/>
        <v>#DIV/0!</v>
      </c>
      <c r="AM283" s="1" t="e">
        <f t="shared" si="114"/>
        <v>#DIV/0!</v>
      </c>
      <c r="AN283" s="1" t="e">
        <f t="shared" si="115"/>
        <v>#DIV/0!</v>
      </c>
      <c r="AO283" t="e">
        <f t="shared" si="116"/>
        <v>#DIV/0!</v>
      </c>
      <c r="AQ283" s="17">
        <f t="shared" si="117"/>
        <v>0</v>
      </c>
      <c r="AR283" s="8">
        <v>0.243968185</v>
      </c>
      <c r="AS283" s="8">
        <v>0.24942761299999999</v>
      </c>
      <c r="AT283" s="9">
        <v>0.24635668499999999</v>
      </c>
      <c r="AU283" s="17">
        <v>0.23037490999999999</v>
      </c>
      <c r="AW283" s="9">
        <f t="shared" si="118"/>
        <v>0</v>
      </c>
      <c r="AY283" s="9">
        <f t="shared" si="119"/>
        <v>0</v>
      </c>
      <c r="AZ283" s="9">
        <f t="shared" si="120"/>
        <v>0</v>
      </c>
      <c r="BA283" s="9">
        <f t="shared" si="121"/>
        <v>0</v>
      </c>
      <c r="BB283" s="9">
        <f t="shared" si="122"/>
        <v>0</v>
      </c>
      <c r="BC283" s="9">
        <f t="shared" si="123"/>
        <v>0</v>
      </c>
      <c r="BE283" s="1">
        <f t="shared" si="124"/>
        <v>0</v>
      </c>
    </row>
    <row r="284" spans="2:57" x14ac:dyDescent="0.2">
      <c r="B284" s="12"/>
      <c r="C284" s="20"/>
      <c r="D284" s="20"/>
      <c r="E284" s="20"/>
      <c r="F284" s="20"/>
      <c r="G284" s="20"/>
      <c r="H284" s="20"/>
      <c r="I284" s="21">
        <f t="shared" si="100"/>
        <v>0</v>
      </c>
      <c r="J284" s="20"/>
      <c r="K284" s="20"/>
      <c r="L284" s="20"/>
      <c r="M284" s="20"/>
      <c r="N284" s="20"/>
      <c r="O284" s="20"/>
      <c r="Q284" s="19"/>
      <c r="R284" s="19"/>
      <c r="S284" s="19"/>
      <c r="T284" s="19"/>
      <c r="U284" s="19"/>
      <c r="V284" s="19"/>
      <c r="W284" s="19"/>
      <c r="Y284">
        <f t="shared" si="101"/>
        <v>0</v>
      </c>
      <c r="Z284">
        <f t="shared" si="102"/>
        <v>0</v>
      </c>
      <c r="AA284" s="18" t="e">
        <f t="shared" si="103"/>
        <v>#DIV/0!</v>
      </c>
      <c r="AB284" s="18" t="e">
        <f t="shared" si="104"/>
        <v>#DIV/0!</v>
      </c>
      <c r="AC284" s="5" t="e">
        <f t="shared" si="105"/>
        <v>#DIV/0!</v>
      </c>
      <c r="AD284" s="1" t="e">
        <f t="shared" si="106"/>
        <v>#DIV/0!</v>
      </c>
      <c r="AE284" s="1" t="e">
        <f t="shared" si="107"/>
        <v>#DIV/0!</v>
      </c>
      <c r="AF284" s="1" t="e">
        <f t="array" ref="AF284">_xlfn.IFS(C284="Biomass_Corn", 1/I284*S284, C284="Biomass_Agri", 1/I284*V284, C284="Biomass_Wood", 1/I284*U284, C284="Biomass_Herb", 1/I284*T284)</f>
        <v>#N/A</v>
      </c>
      <c r="AG284" s="1" t="e">
        <f t="shared" si="108"/>
        <v>#DIV/0!</v>
      </c>
      <c r="AH284" s="1" t="e">
        <f t="shared" si="109"/>
        <v>#DIV/0!</v>
      </c>
      <c r="AI284" s="1" t="e">
        <f t="shared" si="110"/>
        <v>#DIV/0!</v>
      </c>
      <c r="AJ284" s="1" t="e">
        <f t="shared" si="111"/>
        <v>#DIV/0!</v>
      </c>
      <c r="AK284" s="1" t="e">
        <f t="shared" si="112"/>
        <v>#DIV/0!</v>
      </c>
      <c r="AL284" t="e">
        <f t="shared" si="113"/>
        <v>#DIV/0!</v>
      </c>
      <c r="AM284" s="1" t="e">
        <f t="shared" si="114"/>
        <v>#DIV/0!</v>
      </c>
      <c r="AN284" s="1" t="e">
        <f t="shared" si="115"/>
        <v>#DIV/0!</v>
      </c>
      <c r="AO284" t="e">
        <f t="shared" si="116"/>
        <v>#DIV/0!</v>
      </c>
      <c r="AQ284" s="17">
        <f t="shared" si="117"/>
        <v>0</v>
      </c>
      <c r="AR284" s="8">
        <v>0.243968185</v>
      </c>
      <c r="AS284" s="8">
        <v>0.24942761299999999</v>
      </c>
      <c r="AT284" s="9">
        <v>0.24635668499999999</v>
      </c>
      <c r="AU284" s="17">
        <v>0.23037490999999999</v>
      </c>
      <c r="AW284" s="9">
        <f t="shared" si="118"/>
        <v>0</v>
      </c>
      <c r="AY284" s="9">
        <f t="shared" si="119"/>
        <v>0</v>
      </c>
      <c r="AZ284" s="9">
        <f t="shared" si="120"/>
        <v>0</v>
      </c>
      <c r="BA284" s="9">
        <f t="shared" si="121"/>
        <v>0</v>
      </c>
      <c r="BB284" s="9">
        <f t="shared" si="122"/>
        <v>0</v>
      </c>
      <c r="BC284" s="9">
        <f t="shared" si="123"/>
        <v>0</v>
      </c>
      <c r="BE284" s="1">
        <f t="shared" si="124"/>
        <v>0</v>
      </c>
    </row>
    <row r="285" spans="2:57" x14ac:dyDescent="0.2">
      <c r="B285" s="12"/>
      <c r="C285" s="20"/>
      <c r="D285" s="20"/>
      <c r="E285" s="20"/>
      <c r="F285" s="20"/>
      <c r="G285" s="20"/>
      <c r="H285" s="20"/>
      <c r="I285" s="21">
        <f t="shared" si="100"/>
        <v>0</v>
      </c>
      <c r="J285" s="20"/>
      <c r="K285" s="20"/>
      <c r="L285" s="20"/>
      <c r="M285" s="20"/>
      <c r="N285" s="20"/>
      <c r="O285" s="20"/>
      <c r="Q285" s="19"/>
      <c r="R285" s="19"/>
      <c r="S285" s="19"/>
      <c r="T285" s="19"/>
      <c r="U285" s="19"/>
      <c r="V285" s="19"/>
      <c r="W285" s="19"/>
      <c r="Y285">
        <f t="shared" si="101"/>
        <v>0</v>
      </c>
      <c r="Z285">
        <f t="shared" si="102"/>
        <v>0</v>
      </c>
      <c r="AA285" s="18" t="e">
        <f t="shared" si="103"/>
        <v>#DIV/0!</v>
      </c>
      <c r="AB285" s="18" t="e">
        <f t="shared" si="104"/>
        <v>#DIV/0!</v>
      </c>
      <c r="AC285" s="5" t="e">
        <f t="shared" si="105"/>
        <v>#DIV/0!</v>
      </c>
      <c r="AD285" s="1" t="e">
        <f t="shared" si="106"/>
        <v>#DIV/0!</v>
      </c>
      <c r="AE285" s="1" t="e">
        <f t="shared" si="107"/>
        <v>#DIV/0!</v>
      </c>
      <c r="AF285" s="1" t="e">
        <f t="array" ref="AF285">_xlfn.IFS(C285="Biomass_Corn", 1/I285*S285, C285="Biomass_Agri", 1/I285*V285, C285="Biomass_Wood", 1/I285*U285, C285="Biomass_Herb", 1/I285*T285)</f>
        <v>#N/A</v>
      </c>
      <c r="AG285" s="1" t="e">
        <f t="shared" si="108"/>
        <v>#DIV/0!</v>
      </c>
      <c r="AH285" s="1" t="e">
        <f t="shared" si="109"/>
        <v>#DIV/0!</v>
      </c>
      <c r="AI285" s="1" t="e">
        <f t="shared" si="110"/>
        <v>#DIV/0!</v>
      </c>
      <c r="AJ285" s="1" t="e">
        <f t="shared" si="111"/>
        <v>#DIV/0!</v>
      </c>
      <c r="AK285" s="1" t="e">
        <f t="shared" si="112"/>
        <v>#DIV/0!</v>
      </c>
      <c r="AL285" t="e">
        <f t="shared" si="113"/>
        <v>#DIV/0!</v>
      </c>
      <c r="AM285" s="1" t="e">
        <f t="shared" si="114"/>
        <v>#DIV/0!</v>
      </c>
      <c r="AN285" s="1" t="e">
        <f t="shared" si="115"/>
        <v>#DIV/0!</v>
      </c>
      <c r="AO285" t="e">
        <f t="shared" si="116"/>
        <v>#DIV/0!</v>
      </c>
      <c r="AQ285" s="17">
        <f t="shared" si="117"/>
        <v>0</v>
      </c>
      <c r="AR285" s="8">
        <v>0.243968185</v>
      </c>
      <c r="AS285" s="8">
        <v>0.24942761299999999</v>
      </c>
      <c r="AT285" s="9">
        <v>0.24635668499999999</v>
      </c>
      <c r="AU285" s="17">
        <v>0.23037490999999999</v>
      </c>
      <c r="AW285" s="9">
        <f t="shared" si="118"/>
        <v>0</v>
      </c>
      <c r="AY285" s="9">
        <f t="shared" si="119"/>
        <v>0</v>
      </c>
      <c r="AZ285" s="9">
        <f t="shared" si="120"/>
        <v>0</v>
      </c>
      <c r="BA285" s="9">
        <f t="shared" si="121"/>
        <v>0</v>
      </c>
      <c r="BB285" s="9">
        <f t="shared" si="122"/>
        <v>0</v>
      </c>
      <c r="BC285" s="9">
        <f t="shared" si="123"/>
        <v>0</v>
      </c>
      <c r="BE285" s="1">
        <f t="shared" si="124"/>
        <v>0</v>
      </c>
    </row>
    <row r="286" spans="2:57" x14ac:dyDescent="0.2">
      <c r="B286" s="12"/>
      <c r="C286" s="20"/>
      <c r="D286" s="20"/>
      <c r="E286" s="20"/>
      <c r="F286" s="20"/>
      <c r="G286" s="20"/>
      <c r="H286" s="20"/>
      <c r="I286" s="21">
        <f t="shared" si="100"/>
        <v>0</v>
      </c>
      <c r="J286" s="20"/>
      <c r="K286" s="20"/>
      <c r="L286" s="20"/>
      <c r="M286" s="20"/>
      <c r="N286" s="20"/>
      <c r="O286" s="20"/>
      <c r="Q286" s="19"/>
      <c r="R286" s="19"/>
      <c r="S286" s="19"/>
      <c r="T286" s="19"/>
      <c r="U286" s="19"/>
      <c r="V286" s="19"/>
      <c r="W286" s="19"/>
      <c r="Y286">
        <f t="shared" si="101"/>
        <v>0</v>
      </c>
      <c r="Z286">
        <f t="shared" si="102"/>
        <v>0</v>
      </c>
      <c r="AA286" s="18" t="e">
        <f t="shared" si="103"/>
        <v>#DIV/0!</v>
      </c>
      <c r="AB286" s="18" t="e">
        <f t="shared" si="104"/>
        <v>#DIV/0!</v>
      </c>
      <c r="AC286" s="5" t="e">
        <f t="shared" si="105"/>
        <v>#DIV/0!</v>
      </c>
      <c r="AD286" s="1" t="e">
        <f t="shared" si="106"/>
        <v>#DIV/0!</v>
      </c>
      <c r="AE286" s="1" t="e">
        <f t="shared" si="107"/>
        <v>#DIV/0!</v>
      </c>
      <c r="AF286" s="1" t="e">
        <f t="array" ref="AF286">_xlfn.IFS(C286="Biomass_Corn", 1/I286*S286, C286="Biomass_Agri", 1/I286*V286, C286="Biomass_Wood", 1/I286*U286, C286="Biomass_Herb", 1/I286*T286)</f>
        <v>#N/A</v>
      </c>
      <c r="AG286" s="1" t="e">
        <f t="shared" si="108"/>
        <v>#DIV/0!</v>
      </c>
      <c r="AH286" s="1" t="e">
        <f t="shared" si="109"/>
        <v>#DIV/0!</v>
      </c>
      <c r="AI286" s="1" t="e">
        <f t="shared" si="110"/>
        <v>#DIV/0!</v>
      </c>
      <c r="AJ286" s="1" t="e">
        <f t="shared" si="111"/>
        <v>#DIV/0!</v>
      </c>
      <c r="AK286" s="1" t="e">
        <f t="shared" si="112"/>
        <v>#DIV/0!</v>
      </c>
      <c r="AL286" t="e">
        <f t="shared" si="113"/>
        <v>#DIV/0!</v>
      </c>
      <c r="AM286" s="1" t="e">
        <f t="shared" si="114"/>
        <v>#DIV/0!</v>
      </c>
      <c r="AN286" s="1" t="e">
        <f t="shared" si="115"/>
        <v>#DIV/0!</v>
      </c>
      <c r="AO286" t="e">
        <f t="shared" si="116"/>
        <v>#DIV/0!</v>
      </c>
      <c r="AQ286" s="17">
        <f t="shared" si="117"/>
        <v>0</v>
      </c>
      <c r="AR286" s="8">
        <v>0.243968185</v>
      </c>
      <c r="AS286" s="8">
        <v>0.24942761299999999</v>
      </c>
      <c r="AT286" s="9">
        <v>0.24635668499999999</v>
      </c>
      <c r="AU286" s="17">
        <v>0.23037490999999999</v>
      </c>
      <c r="AW286" s="9">
        <f t="shared" si="118"/>
        <v>0</v>
      </c>
      <c r="AY286" s="9">
        <f t="shared" si="119"/>
        <v>0</v>
      </c>
      <c r="AZ286" s="9">
        <f t="shared" si="120"/>
        <v>0</v>
      </c>
      <c r="BA286" s="9">
        <f t="shared" si="121"/>
        <v>0</v>
      </c>
      <c r="BB286" s="9">
        <f t="shared" si="122"/>
        <v>0</v>
      </c>
      <c r="BC286" s="9">
        <f t="shared" si="123"/>
        <v>0</v>
      </c>
      <c r="BE286" s="1">
        <f t="shared" si="124"/>
        <v>0</v>
      </c>
    </row>
    <row r="287" spans="2:57" x14ac:dyDescent="0.2">
      <c r="B287" s="12"/>
      <c r="C287" s="20"/>
      <c r="D287" s="20"/>
      <c r="E287" s="20"/>
      <c r="F287" s="20"/>
      <c r="G287" s="20"/>
      <c r="H287" s="20"/>
      <c r="I287" s="21">
        <f t="shared" si="100"/>
        <v>0</v>
      </c>
      <c r="J287" s="20"/>
      <c r="K287" s="20"/>
      <c r="L287" s="20"/>
      <c r="M287" s="20"/>
      <c r="N287" s="20"/>
      <c r="O287" s="20"/>
      <c r="Q287" s="19"/>
      <c r="R287" s="19"/>
      <c r="S287" s="19"/>
      <c r="T287" s="19"/>
      <c r="U287" s="19"/>
      <c r="V287" s="19"/>
      <c r="W287" s="19"/>
      <c r="Y287">
        <f t="shared" si="101"/>
        <v>0</v>
      </c>
      <c r="Z287">
        <f t="shared" si="102"/>
        <v>0</v>
      </c>
      <c r="AA287" s="18" t="e">
        <f t="shared" si="103"/>
        <v>#DIV/0!</v>
      </c>
      <c r="AB287" s="18" t="e">
        <f t="shared" si="104"/>
        <v>#DIV/0!</v>
      </c>
      <c r="AC287" s="5" t="e">
        <f t="shared" si="105"/>
        <v>#DIV/0!</v>
      </c>
      <c r="AD287" s="1" t="e">
        <f t="shared" si="106"/>
        <v>#DIV/0!</v>
      </c>
      <c r="AE287" s="1" t="e">
        <f t="shared" si="107"/>
        <v>#DIV/0!</v>
      </c>
      <c r="AF287" s="1" t="e">
        <f t="array" ref="AF287">_xlfn.IFS(C287="Biomass_Corn", 1/I287*S287, C287="Biomass_Agri", 1/I287*V287, C287="Biomass_Wood", 1/I287*U287, C287="Biomass_Herb", 1/I287*T287)</f>
        <v>#N/A</v>
      </c>
      <c r="AG287" s="1" t="e">
        <f t="shared" si="108"/>
        <v>#DIV/0!</v>
      </c>
      <c r="AH287" s="1" t="e">
        <f t="shared" si="109"/>
        <v>#DIV/0!</v>
      </c>
      <c r="AI287" s="1" t="e">
        <f t="shared" si="110"/>
        <v>#DIV/0!</v>
      </c>
      <c r="AJ287" s="1" t="e">
        <f t="shared" si="111"/>
        <v>#DIV/0!</v>
      </c>
      <c r="AK287" s="1" t="e">
        <f t="shared" si="112"/>
        <v>#DIV/0!</v>
      </c>
      <c r="AL287" t="e">
        <f t="shared" si="113"/>
        <v>#DIV/0!</v>
      </c>
      <c r="AM287" s="1" t="e">
        <f t="shared" si="114"/>
        <v>#DIV/0!</v>
      </c>
      <c r="AN287" s="1" t="e">
        <f t="shared" si="115"/>
        <v>#DIV/0!</v>
      </c>
      <c r="AO287" t="e">
        <f t="shared" si="116"/>
        <v>#DIV/0!</v>
      </c>
      <c r="AQ287" s="17">
        <f t="shared" si="117"/>
        <v>0</v>
      </c>
      <c r="AR287" s="8">
        <v>0.243968185</v>
      </c>
      <c r="AS287" s="8">
        <v>0.24942761299999999</v>
      </c>
      <c r="AT287" s="9">
        <v>0.24635668499999999</v>
      </c>
      <c r="AU287" s="17">
        <v>0.23037490999999999</v>
      </c>
      <c r="AW287" s="9">
        <f t="shared" si="118"/>
        <v>0</v>
      </c>
      <c r="AY287" s="9">
        <f t="shared" si="119"/>
        <v>0</v>
      </c>
      <c r="AZ287" s="9">
        <f t="shared" si="120"/>
        <v>0</v>
      </c>
      <c r="BA287" s="9">
        <f t="shared" si="121"/>
        <v>0</v>
      </c>
      <c r="BB287" s="9">
        <f t="shared" si="122"/>
        <v>0</v>
      </c>
      <c r="BC287" s="9">
        <f t="shared" si="123"/>
        <v>0</v>
      </c>
      <c r="BE287" s="1">
        <f t="shared" si="124"/>
        <v>0</v>
      </c>
    </row>
    <row r="288" spans="2:57" x14ac:dyDescent="0.2">
      <c r="B288" s="12"/>
      <c r="C288" s="20"/>
      <c r="D288" s="20"/>
      <c r="E288" s="20"/>
      <c r="F288" s="20"/>
      <c r="G288" s="20"/>
      <c r="H288" s="20"/>
      <c r="I288" s="21">
        <f t="shared" si="100"/>
        <v>0</v>
      </c>
      <c r="J288" s="20"/>
      <c r="K288" s="20"/>
      <c r="L288" s="20"/>
      <c r="M288" s="20"/>
      <c r="N288" s="20"/>
      <c r="O288" s="20"/>
      <c r="Q288" s="19"/>
      <c r="R288" s="19"/>
      <c r="S288" s="19"/>
      <c r="T288" s="19"/>
      <c r="U288" s="19"/>
      <c r="V288" s="19"/>
      <c r="W288" s="19"/>
      <c r="Y288">
        <f t="shared" si="101"/>
        <v>0</v>
      </c>
      <c r="Z288">
        <f t="shared" si="102"/>
        <v>0</v>
      </c>
      <c r="AA288" s="18" t="e">
        <f t="shared" si="103"/>
        <v>#DIV/0!</v>
      </c>
      <c r="AB288" s="18" t="e">
        <f t="shared" si="104"/>
        <v>#DIV/0!</v>
      </c>
      <c r="AC288" s="5" t="e">
        <f t="shared" si="105"/>
        <v>#DIV/0!</v>
      </c>
      <c r="AD288" s="1" t="e">
        <f t="shared" si="106"/>
        <v>#DIV/0!</v>
      </c>
      <c r="AE288" s="1" t="e">
        <f t="shared" si="107"/>
        <v>#DIV/0!</v>
      </c>
      <c r="AF288" s="1" t="e">
        <f t="array" ref="AF288">_xlfn.IFS(C288="Biomass_Corn", 1/I288*S288, C288="Biomass_Agri", 1/I288*V288, C288="Biomass_Wood", 1/I288*U288, C288="Biomass_Herb", 1/I288*T288)</f>
        <v>#N/A</v>
      </c>
      <c r="AG288" s="1" t="e">
        <f t="shared" si="108"/>
        <v>#DIV/0!</v>
      </c>
      <c r="AH288" s="1" t="e">
        <f t="shared" si="109"/>
        <v>#DIV/0!</v>
      </c>
      <c r="AI288" s="1" t="e">
        <f t="shared" si="110"/>
        <v>#DIV/0!</v>
      </c>
      <c r="AJ288" s="1" t="e">
        <f t="shared" si="111"/>
        <v>#DIV/0!</v>
      </c>
      <c r="AK288" s="1" t="e">
        <f t="shared" si="112"/>
        <v>#DIV/0!</v>
      </c>
      <c r="AL288" t="e">
        <f t="shared" si="113"/>
        <v>#DIV/0!</v>
      </c>
      <c r="AM288" s="1" t="e">
        <f t="shared" si="114"/>
        <v>#DIV/0!</v>
      </c>
      <c r="AN288" s="1" t="e">
        <f t="shared" si="115"/>
        <v>#DIV/0!</v>
      </c>
      <c r="AO288" t="e">
        <f t="shared" si="116"/>
        <v>#DIV/0!</v>
      </c>
      <c r="AQ288" s="17">
        <f t="shared" si="117"/>
        <v>0</v>
      </c>
      <c r="AR288" s="8">
        <v>0.243968185</v>
      </c>
      <c r="AS288" s="8">
        <v>0.24942761299999999</v>
      </c>
      <c r="AT288" s="9">
        <v>0.24635668499999999</v>
      </c>
      <c r="AU288" s="17">
        <v>0.23037490999999999</v>
      </c>
      <c r="AW288" s="9">
        <f t="shared" si="118"/>
        <v>0</v>
      </c>
      <c r="AY288" s="9">
        <f t="shared" si="119"/>
        <v>0</v>
      </c>
      <c r="AZ288" s="9">
        <f t="shared" si="120"/>
        <v>0</v>
      </c>
      <c r="BA288" s="9">
        <f t="shared" si="121"/>
        <v>0</v>
      </c>
      <c r="BB288" s="9">
        <f t="shared" si="122"/>
        <v>0</v>
      </c>
      <c r="BC288" s="9">
        <f t="shared" si="123"/>
        <v>0</v>
      </c>
      <c r="BE288" s="1">
        <f t="shared" si="124"/>
        <v>0</v>
      </c>
    </row>
    <row r="289" spans="2:57" x14ac:dyDescent="0.2">
      <c r="B289" s="12"/>
      <c r="C289" s="20"/>
      <c r="D289" s="20"/>
      <c r="E289" s="20"/>
      <c r="F289" s="20"/>
      <c r="G289" s="20"/>
      <c r="H289" s="20"/>
      <c r="I289" s="21">
        <f t="shared" si="100"/>
        <v>0</v>
      </c>
      <c r="J289" s="20"/>
      <c r="K289" s="20"/>
      <c r="L289" s="20"/>
      <c r="M289" s="20"/>
      <c r="N289" s="20"/>
      <c r="O289" s="20"/>
      <c r="Q289" s="19"/>
      <c r="R289" s="19"/>
      <c r="S289" s="19"/>
      <c r="T289" s="19"/>
      <c r="U289" s="19"/>
      <c r="V289" s="19"/>
      <c r="W289" s="19"/>
      <c r="Y289">
        <f t="shared" si="101"/>
        <v>0</v>
      </c>
      <c r="Z289">
        <f t="shared" si="102"/>
        <v>0</v>
      </c>
      <c r="AA289" s="18" t="e">
        <f t="shared" si="103"/>
        <v>#DIV/0!</v>
      </c>
      <c r="AB289" s="18" t="e">
        <f t="shared" si="104"/>
        <v>#DIV/0!</v>
      </c>
      <c r="AC289" s="5" t="e">
        <f t="shared" si="105"/>
        <v>#DIV/0!</v>
      </c>
      <c r="AD289" s="1" t="e">
        <f t="shared" si="106"/>
        <v>#DIV/0!</v>
      </c>
      <c r="AE289" s="1" t="e">
        <f t="shared" si="107"/>
        <v>#DIV/0!</v>
      </c>
      <c r="AF289" s="1" t="e">
        <f t="array" ref="AF289">_xlfn.IFS(C289="Biomass_Corn", 1/I289*S289, C289="Biomass_Agri", 1/I289*V289, C289="Biomass_Wood", 1/I289*U289, C289="Biomass_Herb", 1/I289*T289)</f>
        <v>#N/A</v>
      </c>
      <c r="AG289" s="1" t="e">
        <f t="shared" si="108"/>
        <v>#DIV/0!</v>
      </c>
      <c r="AH289" s="1" t="e">
        <f t="shared" si="109"/>
        <v>#DIV/0!</v>
      </c>
      <c r="AI289" s="1" t="e">
        <f t="shared" si="110"/>
        <v>#DIV/0!</v>
      </c>
      <c r="AJ289" s="1" t="e">
        <f t="shared" si="111"/>
        <v>#DIV/0!</v>
      </c>
      <c r="AK289" s="1" t="e">
        <f t="shared" si="112"/>
        <v>#DIV/0!</v>
      </c>
      <c r="AL289" t="e">
        <f t="shared" si="113"/>
        <v>#DIV/0!</v>
      </c>
      <c r="AM289" s="1" t="e">
        <f t="shared" si="114"/>
        <v>#DIV/0!</v>
      </c>
      <c r="AN289" s="1" t="e">
        <f t="shared" si="115"/>
        <v>#DIV/0!</v>
      </c>
      <c r="AO289" t="e">
        <f t="shared" si="116"/>
        <v>#DIV/0!</v>
      </c>
      <c r="AQ289" s="17">
        <f t="shared" si="117"/>
        <v>0</v>
      </c>
      <c r="AR289" s="8">
        <v>0.243968185</v>
      </c>
      <c r="AS289" s="8">
        <v>0.24942761299999999</v>
      </c>
      <c r="AT289" s="9">
        <v>0.24635668499999999</v>
      </c>
      <c r="AU289" s="17">
        <v>0.23037490999999999</v>
      </c>
      <c r="AW289" s="9">
        <f t="shared" si="118"/>
        <v>0</v>
      </c>
      <c r="AY289" s="9">
        <f t="shared" si="119"/>
        <v>0</v>
      </c>
      <c r="AZ289" s="9">
        <f t="shared" si="120"/>
        <v>0</v>
      </c>
      <c r="BA289" s="9">
        <f t="shared" si="121"/>
        <v>0</v>
      </c>
      <c r="BB289" s="9">
        <f t="shared" si="122"/>
        <v>0</v>
      </c>
      <c r="BC289" s="9">
        <f t="shared" si="123"/>
        <v>0</v>
      </c>
      <c r="BE289" s="1">
        <f t="shared" si="124"/>
        <v>0</v>
      </c>
    </row>
    <row r="290" spans="2:57" x14ac:dyDescent="0.2">
      <c r="B290" s="12"/>
      <c r="C290" s="20"/>
      <c r="D290" s="20"/>
      <c r="E290" s="20"/>
      <c r="F290" s="20"/>
      <c r="G290" s="20"/>
      <c r="H290" s="20"/>
      <c r="I290" s="21">
        <f t="shared" si="100"/>
        <v>0</v>
      </c>
      <c r="J290" s="20"/>
      <c r="K290" s="20"/>
      <c r="L290" s="20"/>
      <c r="M290" s="20"/>
      <c r="N290" s="20"/>
      <c r="O290" s="20"/>
      <c r="Q290" s="19"/>
      <c r="R290" s="19"/>
      <c r="S290" s="19"/>
      <c r="T290" s="19"/>
      <c r="U290" s="19"/>
      <c r="V290" s="19"/>
      <c r="W290" s="19"/>
      <c r="Y290">
        <f t="shared" si="101"/>
        <v>0</v>
      </c>
      <c r="Z290">
        <f t="shared" si="102"/>
        <v>0</v>
      </c>
      <c r="AA290" s="18" t="e">
        <f t="shared" si="103"/>
        <v>#DIV/0!</v>
      </c>
      <c r="AB290" s="18" t="e">
        <f t="shared" si="104"/>
        <v>#DIV/0!</v>
      </c>
      <c r="AC290" s="5" t="e">
        <f t="shared" si="105"/>
        <v>#DIV/0!</v>
      </c>
      <c r="AD290" s="1" t="e">
        <f t="shared" si="106"/>
        <v>#DIV/0!</v>
      </c>
      <c r="AE290" s="1" t="e">
        <f t="shared" si="107"/>
        <v>#DIV/0!</v>
      </c>
      <c r="AF290" s="1" t="e">
        <f t="array" ref="AF290">_xlfn.IFS(C290="Biomass_Corn", 1/I290*S290, C290="Biomass_Agri", 1/I290*V290, C290="Biomass_Wood", 1/I290*U290, C290="Biomass_Herb", 1/I290*T290)</f>
        <v>#N/A</v>
      </c>
      <c r="AG290" s="1" t="e">
        <f t="shared" si="108"/>
        <v>#DIV/0!</v>
      </c>
      <c r="AH290" s="1" t="e">
        <f t="shared" si="109"/>
        <v>#DIV/0!</v>
      </c>
      <c r="AI290" s="1" t="e">
        <f t="shared" si="110"/>
        <v>#DIV/0!</v>
      </c>
      <c r="AJ290" s="1" t="e">
        <f t="shared" si="111"/>
        <v>#DIV/0!</v>
      </c>
      <c r="AK290" s="1" t="e">
        <f t="shared" si="112"/>
        <v>#DIV/0!</v>
      </c>
      <c r="AL290" t="e">
        <f t="shared" si="113"/>
        <v>#DIV/0!</v>
      </c>
      <c r="AM290" s="1" t="e">
        <f t="shared" si="114"/>
        <v>#DIV/0!</v>
      </c>
      <c r="AN290" s="1" t="e">
        <f t="shared" si="115"/>
        <v>#DIV/0!</v>
      </c>
      <c r="AO290" t="e">
        <f t="shared" si="116"/>
        <v>#DIV/0!</v>
      </c>
      <c r="AQ290" s="17">
        <f t="shared" si="117"/>
        <v>0</v>
      </c>
      <c r="AR290" s="8">
        <v>0.243968185</v>
      </c>
      <c r="AS290" s="8">
        <v>0.24942761299999999</v>
      </c>
      <c r="AT290" s="9">
        <v>0.24635668499999999</v>
      </c>
      <c r="AU290" s="17">
        <v>0.23037490999999999</v>
      </c>
      <c r="AW290" s="9">
        <f t="shared" si="118"/>
        <v>0</v>
      </c>
      <c r="AY290" s="9">
        <f t="shared" si="119"/>
        <v>0</v>
      </c>
      <c r="AZ290" s="9">
        <f t="shared" si="120"/>
        <v>0</v>
      </c>
      <c r="BA290" s="9">
        <f t="shared" si="121"/>
        <v>0</v>
      </c>
      <c r="BB290" s="9">
        <f t="shared" si="122"/>
        <v>0</v>
      </c>
      <c r="BC290" s="9">
        <f t="shared" si="123"/>
        <v>0</v>
      </c>
      <c r="BE290" s="1">
        <f t="shared" si="124"/>
        <v>0</v>
      </c>
    </row>
    <row r="291" spans="2:57" x14ac:dyDescent="0.2">
      <c r="B291" s="12"/>
      <c r="C291" s="20"/>
      <c r="D291" s="20"/>
      <c r="E291" s="20"/>
      <c r="F291" s="20"/>
      <c r="G291" s="20"/>
      <c r="H291" s="20"/>
      <c r="I291" s="21">
        <f t="shared" si="100"/>
        <v>0</v>
      </c>
      <c r="J291" s="20"/>
      <c r="K291" s="20"/>
      <c r="L291" s="20"/>
      <c r="M291" s="20"/>
      <c r="N291" s="20"/>
      <c r="O291" s="20"/>
      <c r="Q291" s="19"/>
      <c r="R291" s="19"/>
      <c r="S291" s="19"/>
      <c r="T291" s="19"/>
      <c r="U291" s="19"/>
      <c r="V291" s="19"/>
      <c r="W291" s="19"/>
      <c r="Y291">
        <f t="shared" si="101"/>
        <v>0</v>
      </c>
      <c r="Z291">
        <f t="shared" si="102"/>
        <v>0</v>
      </c>
      <c r="AA291" s="18" t="e">
        <f t="shared" si="103"/>
        <v>#DIV/0!</v>
      </c>
      <c r="AB291" s="18" t="e">
        <f t="shared" si="104"/>
        <v>#DIV/0!</v>
      </c>
      <c r="AC291" s="5" t="e">
        <f t="shared" si="105"/>
        <v>#DIV/0!</v>
      </c>
      <c r="AD291" s="1" t="e">
        <f t="shared" si="106"/>
        <v>#DIV/0!</v>
      </c>
      <c r="AE291" s="1" t="e">
        <f t="shared" si="107"/>
        <v>#DIV/0!</v>
      </c>
      <c r="AF291" s="1" t="e">
        <f t="array" ref="AF291">_xlfn.IFS(C291="Biomass_Corn", 1/I291*S291, C291="Biomass_Agri", 1/I291*V291, C291="Biomass_Wood", 1/I291*U291, C291="Biomass_Herb", 1/I291*T291)</f>
        <v>#N/A</v>
      </c>
      <c r="AG291" s="1" t="e">
        <f t="shared" si="108"/>
        <v>#DIV/0!</v>
      </c>
      <c r="AH291" s="1" t="e">
        <f t="shared" si="109"/>
        <v>#DIV/0!</v>
      </c>
      <c r="AI291" s="1" t="e">
        <f t="shared" si="110"/>
        <v>#DIV/0!</v>
      </c>
      <c r="AJ291" s="1" t="e">
        <f t="shared" si="111"/>
        <v>#DIV/0!</v>
      </c>
      <c r="AK291" s="1" t="e">
        <f t="shared" si="112"/>
        <v>#DIV/0!</v>
      </c>
      <c r="AL291" t="e">
        <f t="shared" si="113"/>
        <v>#DIV/0!</v>
      </c>
      <c r="AM291" s="1" t="e">
        <f t="shared" si="114"/>
        <v>#DIV/0!</v>
      </c>
      <c r="AN291" s="1" t="e">
        <f t="shared" si="115"/>
        <v>#DIV/0!</v>
      </c>
      <c r="AO291" t="e">
        <f t="shared" si="116"/>
        <v>#DIV/0!</v>
      </c>
      <c r="AQ291" s="17">
        <f t="shared" si="117"/>
        <v>0</v>
      </c>
      <c r="AR291" s="8">
        <v>0.243968185</v>
      </c>
      <c r="AS291" s="8">
        <v>0.24942761299999999</v>
      </c>
      <c r="AT291" s="9">
        <v>0.24635668499999999</v>
      </c>
      <c r="AU291" s="17">
        <v>0.23037490999999999</v>
      </c>
      <c r="AW291" s="9">
        <f t="shared" si="118"/>
        <v>0</v>
      </c>
      <c r="AY291" s="9">
        <f t="shared" si="119"/>
        <v>0</v>
      </c>
      <c r="AZ291" s="9">
        <f t="shared" si="120"/>
        <v>0</v>
      </c>
      <c r="BA291" s="9">
        <f t="shared" si="121"/>
        <v>0</v>
      </c>
      <c r="BB291" s="9">
        <f t="shared" si="122"/>
        <v>0</v>
      </c>
      <c r="BC291" s="9">
        <f t="shared" si="123"/>
        <v>0</v>
      </c>
      <c r="BE291" s="1">
        <f t="shared" si="124"/>
        <v>0</v>
      </c>
    </row>
    <row r="292" spans="2:57" x14ac:dyDescent="0.2">
      <c r="B292" s="12"/>
      <c r="C292" s="20"/>
      <c r="D292" s="20"/>
      <c r="E292" s="20"/>
      <c r="F292" s="20"/>
      <c r="G292" s="20"/>
      <c r="H292" s="20"/>
      <c r="I292" s="21">
        <f t="shared" si="100"/>
        <v>0</v>
      </c>
      <c r="J292" s="20"/>
      <c r="K292" s="20"/>
      <c r="L292" s="20"/>
      <c r="M292" s="20"/>
      <c r="N292" s="20"/>
      <c r="O292" s="20"/>
      <c r="Q292" s="19"/>
      <c r="R292" s="19"/>
      <c r="S292" s="19"/>
      <c r="T292" s="19"/>
      <c r="U292" s="19"/>
      <c r="V292" s="19"/>
      <c r="W292" s="19"/>
      <c r="Y292">
        <f t="shared" si="101"/>
        <v>0</v>
      </c>
      <c r="Z292">
        <f t="shared" si="102"/>
        <v>0</v>
      </c>
      <c r="AA292" s="18" t="e">
        <f t="shared" si="103"/>
        <v>#DIV/0!</v>
      </c>
      <c r="AB292" s="18" t="e">
        <f t="shared" si="104"/>
        <v>#DIV/0!</v>
      </c>
      <c r="AC292" s="5" t="e">
        <f t="shared" si="105"/>
        <v>#DIV/0!</v>
      </c>
      <c r="AD292" s="1" t="e">
        <f t="shared" si="106"/>
        <v>#DIV/0!</v>
      </c>
      <c r="AE292" s="1" t="e">
        <f t="shared" si="107"/>
        <v>#DIV/0!</v>
      </c>
      <c r="AF292" s="1" t="e">
        <f t="array" ref="AF292">_xlfn.IFS(C292="Biomass_Corn", 1/I292*S292, C292="Biomass_Agri", 1/I292*V292, C292="Biomass_Wood", 1/I292*U292, C292="Biomass_Herb", 1/I292*T292)</f>
        <v>#N/A</v>
      </c>
      <c r="AG292" s="1" t="e">
        <f t="shared" si="108"/>
        <v>#DIV/0!</v>
      </c>
      <c r="AH292" s="1" t="e">
        <f t="shared" si="109"/>
        <v>#DIV/0!</v>
      </c>
      <c r="AI292" s="1" t="e">
        <f t="shared" si="110"/>
        <v>#DIV/0!</v>
      </c>
      <c r="AJ292" s="1" t="e">
        <f t="shared" si="111"/>
        <v>#DIV/0!</v>
      </c>
      <c r="AK292" s="1" t="e">
        <f t="shared" si="112"/>
        <v>#DIV/0!</v>
      </c>
      <c r="AL292" t="e">
        <f t="shared" si="113"/>
        <v>#DIV/0!</v>
      </c>
      <c r="AM292" s="1" t="e">
        <f t="shared" si="114"/>
        <v>#DIV/0!</v>
      </c>
      <c r="AN292" s="1" t="e">
        <f t="shared" si="115"/>
        <v>#DIV/0!</v>
      </c>
      <c r="AO292" t="e">
        <f t="shared" si="116"/>
        <v>#DIV/0!</v>
      </c>
      <c r="AQ292" s="17">
        <f t="shared" si="117"/>
        <v>0</v>
      </c>
      <c r="AR292" s="8">
        <v>0.243968185</v>
      </c>
      <c r="AS292" s="8">
        <v>0.24942761299999999</v>
      </c>
      <c r="AT292" s="9">
        <v>0.24635668499999999</v>
      </c>
      <c r="AU292" s="17">
        <v>0.23037490999999999</v>
      </c>
      <c r="AW292" s="9">
        <f t="shared" si="118"/>
        <v>0</v>
      </c>
      <c r="AY292" s="9">
        <f t="shared" si="119"/>
        <v>0</v>
      </c>
      <c r="AZ292" s="9">
        <f t="shared" si="120"/>
        <v>0</v>
      </c>
      <c r="BA292" s="9">
        <f t="shared" si="121"/>
        <v>0</v>
      </c>
      <c r="BB292" s="9">
        <f t="shared" si="122"/>
        <v>0</v>
      </c>
      <c r="BC292" s="9">
        <f t="shared" si="123"/>
        <v>0</v>
      </c>
      <c r="BE292" s="1">
        <f t="shared" si="124"/>
        <v>0</v>
      </c>
    </row>
    <row r="293" spans="2:57" x14ac:dyDescent="0.2">
      <c r="B293" s="12"/>
      <c r="C293" s="20"/>
      <c r="D293" s="20"/>
      <c r="E293" s="20"/>
      <c r="F293" s="20"/>
      <c r="G293" s="20"/>
      <c r="H293" s="20"/>
      <c r="I293" s="21">
        <f t="shared" si="100"/>
        <v>0</v>
      </c>
      <c r="J293" s="20"/>
      <c r="K293" s="20"/>
      <c r="L293" s="20"/>
      <c r="M293" s="20"/>
      <c r="N293" s="20"/>
      <c r="O293" s="20"/>
      <c r="Q293" s="19"/>
      <c r="R293" s="19"/>
      <c r="S293" s="19"/>
      <c r="T293" s="19"/>
      <c r="U293" s="19"/>
      <c r="V293" s="19"/>
      <c r="W293" s="19"/>
      <c r="Y293">
        <f t="shared" si="101"/>
        <v>0</v>
      </c>
      <c r="Z293">
        <f t="shared" si="102"/>
        <v>0</v>
      </c>
      <c r="AA293" s="18" t="e">
        <f t="shared" si="103"/>
        <v>#DIV/0!</v>
      </c>
      <c r="AB293" s="18" t="e">
        <f t="shared" si="104"/>
        <v>#DIV/0!</v>
      </c>
      <c r="AC293" s="5" t="e">
        <f t="shared" si="105"/>
        <v>#DIV/0!</v>
      </c>
      <c r="AD293" s="1" t="e">
        <f t="shared" si="106"/>
        <v>#DIV/0!</v>
      </c>
      <c r="AE293" s="1" t="e">
        <f t="shared" si="107"/>
        <v>#DIV/0!</v>
      </c>
      <c r="AF293" s="1" t="e">
        <f t="array" ref="AF293">_xlfn.IFS(C293="Biomass_Corn", 1/I293*S293, C293="Biomass_Agri", 1/I293*V293, C293="Biomass_Wood", 1/I293*U293, C293="Biomass_Herb", 1/I293*T293)</f>
        <v>#N/A</v>
      </c>
      <c r="AG293" s="1" t="e">
        <f t="shared" si="108"/>
        <v>#DIV/0!</v>
      </c>
      <c r="AH293" s="1" t="e">
        <f t="shared" si="109"/>
        <v>#DIV/0!</v>
      </c>
      <c r="AI293" s="1" t="e">
        <f t="shared" si="110"/>
        <v>#DIV/0!</v>
      </c>
      <c r="AJ293" s="1" t="e">
        <f t="shared" si="111"/>
        <v>#DIV/0!</v>
      </c>
      <c r="AK293" s="1" t="e">
        <f t="shared" si="112"/>
        <v>#DIV/0!</v>
      </c>
      <c r="AL293" t="e">
        <f t="shared" si="113"/>
        <v>#DIV/0!</v>
      </c>
      <c r="AM293" s="1" t="e">
        <f t="shared" si="114"/>
        <v>#DIV/0!</v>
      </c>
      <c r="AN293" s="1" t="e">
        <f t="shared" si="115"/>
        <v>#DIV/0!</v>
      </c>
      <c r="AO293" t="e">
        <f t="shared" si="116"/>
        <v>#DIV/0!</v>
      </c>
      <c r="AQ293" s="17">
        <f t="shared" si="117"/>
        <v>0</v>
      </c>
      <c r="AR293" s="8">
        <v>0.243968185</v>
      </c>
      <c r="AS293" s="8">
        <v>0.24942761299999999</v>
      </c>
      <c r="AT293" s="9">
        <v>0.24635668499999999</v>
      </c>
      <c r="AU293" s="17">
        <v>0.23037490999999999</v>
      </c>
      <c r="AW293" s="9">
        <f t="shared" si="118"/>
        <v>0</v>
      </c>
      <c r="AY293" s="9">
        <f t="shared" si="119"/>
        <v>0</v>
      </c>
      <c r="AZ293" s="9">
        <f t="shared" si="120"/>
        <v>0</v>
      </c>
      <c r="BA293" s="9">
        <f t="shared" si="121"/>
        <v>0</v>
      </c>
      <c r="BB293" s="9">
        <f t="shared" si="122"/>
        <v>0</v>
      </c>
      <c r="BC293" s="9">
        <f t="shared" si="123"/>
        <v>0</v>
      </c>
      <c r="BE293" s="1">
        <f t="shared" si="124"/>
        <v>0</v>
      </c>
    </row>
    <row r="294" spans="2:57" x14ac:dyDescent="0.2">
      <c r="B294" s="12"/>
      <c r="C294" s="20"/>
      <c r="D294" s="20"/>
      <c r="E294" s="20"/>
      <c r="F294" s="20"/>
      <c r="G294" s="20"/>
      <c r="H294" s="20"/>
      <c r="I294" s="21">
        <f t="shared" si="100"/>
        <v>0</v>
      </c>
      <c r="J294" s="20"/>
      <c r="K294" s="20"/>
      <c r="L294" s="20"/>
      <c r="M294" s="20"/>
      <c r="N294" s="20"/>
      <c r="O294" s="20"/>
      <c r="Q294" s="19"/>
      <c r="R294" s="19"/>
      <c r="S294" s="19"/>
      <c r="T294" s="19"/>
      <c r="U294" s="19"/>
      <c r="V294" s="19"/>
      <c r="W294" s="19"/>
      <c r="Y294">
        <f t="shared" si="101"/>
        <v>0</v>
      </c>
      <c r="Z294">
        <f t="shared" si="102"/>
        <v>0</v>
      </c>
      <c r="AA294" s="18" t="e">
        <f t="shared" si="103"/>
        <v>#DIV/0!</v>
      </c>
      <c r="AB294" s="18" t="e">
        <f t="shared" si="104"/>
        <v>#DIV/0!</v>
      </c>
      <c r="AC294" s="5" t="e">
        <f t="shared" si="105"/>
        <v>#DIV/0!</v>
      </c>
      <c r="AD294" s="1" t="e">
        <f t="shared" si="106"/>
        <v>#DIV/0!</v>
      </c>
      <c r="AE294" s="1" t="e">
        <f t="shared" si="107"/>
        <v>#DIV/0!</v>
      </c>
      <c r="AF294" s="1" t="e">
        <f t="array" ref="AF294">_xlfn.IFS(C294="Biomass_Corn", 1/I294*S294, C294="Biomass_Agri", 1/I294*V294, C294="Biomass_Wood", 1/I294*U294, C294="Biomass_Herb", 1/I294*T294)</f>
        <v>#N/A</v>
      </c>
      <c r="AG294" s="1" t="e">
        <f t="shared" si="108"/>
        <v>#DIV/0!</v>
      </c>
      <c r="AH294" s="1" t="e">
        <f t="shared" si="109"/>
        <v>#DIV/0!</v>
      </c>
      <c r="AI294" s="1" t="e">
        <f t="shared" si="110"/>
        <v>#DIV/0!</v>
      </c>
      <c r="AJ294" s="1" t="e">
        <f t="shared" si="111"/>
        <v>#DIV/0!</v>
      </c>
      <c r="AK294" s="1" t="e">
        <f t="shared" si="112"/>
        <v>#DIV/0!</v>
      </c>
      <c r="AL294" t="e">
        <f t="shared" si="113"/>
        <v>#DIV/0!</v>
      </c>
      <c r="AM294" s="1" t="e">
        <f t="shared" si="114"/>
        <v>#DIV/0!</v>
      </c>
      <c r="AN294" s="1" t="e">
        <f t="shared" si="115"/>
        <v>#DIV/0!</v>
      </c>
      <c r="AO294" t="e">
        <f t="shared" si="116"/>
        <v>#DIV/0!</v>
      </c>
      <c r="AQ294" s="17">
        <f t="shared" si="117"/>
        <v>0</v>
      </c>
      <c r="AR294" s="8">
        <v>0.243968185</v>
      </c>
      <c r="AS294" s="8">
        <v>0.24942761299999999</v>
      </c>
      <c r="AT294" s="9">
        <v>0.24635668499999999</v>
      </c>
      <c r="AU294" s="17">
        <v>0.23037490999999999</v>
      </c>
      <c r="AW294" s="9">
        <f t="shared" si="118"/>
        <v>0</v>
      </c>
      <c r="AY294" s="9">
        <f t="shared" si="119"/>
        <v>0</v>
      </c>
      <c r="AZ294" s="9">
        <f t="shared" si="120"/>
        <v>0</v>
      </c>
      <c r="BA294" s="9">
        <f t="shared" si="121"/>
        <v>0</v>
      </c>
      <c r="BB294" s="9">
        <f t="shared" si="122"/>
        <v>0</v>
      </c>
      <c r="BC294" s="9">
        <f t="shared" si="123"/>
        <v>0</v>
      </c>
      <c r="BE294" s="1">
        <f t="shared" si="124"/>
        <v>0</v>
      </c>
    </row>
    <row r="295" spans="2:57" x14ac:dyDescent="0.2">
      <c r="B295" s="12"/>
      <c r="C295" s="20"/>
      <c r="D295" s="20"/>
      <c r="E295" s="20"/>
      <c r="F295" s="20"/>
      <c r="G295" s="20"/>
      <c r="H295" s="20"/>
      <c r="I295" s="21">
        <f t="shared" si="100"/>
        <v>0</v>
      </c>
      <c r="J295" s="20"/>
      <c r="K295" s="20"/>
      <c r="L295" s="20"/>
      <c r="M295" s="20"/>
      <c r="N295" s="20"/>
      <c r="O295" s="20"/>
      <c r="Q295" s="19"/>
      <c r="R295" s="19"/>
      <c r="S295" s="19"/>
      <c r="T295" s="19"/>
      <c r="U295" s="19"/>
      <c r="V295" s="19"/>
      <c r="W295" s="19"/>
      <c r="Y295">
        <f t="shared" si="101"/>
        <v>0</v>
      </c>
      <c r="Z295">
        <f t="shared" si="102"/>
        <v>0</v>
      </c>
      <c r="AA295" s="18" t="e">
        <f t="shared" si="103"/>
        <v>#DIV/0!</v>
      </c>
      <c r="AB295" s="18" t="e">
        <f t="shared" si="104"/>
        <v>#DIV/0!</v>
      </c>
      <c r="AC295" s="5" t="e">
        <f t="shared" si="105"/>
        <v>#DIV/0!</v>
      </c>
      <c r="AD295" s="1" t="e">
        <f t="shared" si="106"/>
        <v>#DIV/0!</v>
      </c>
      <c r="AE295" s="1" t="e">
        <f t="shared" si="107"/>
        <v>#DIV/0!</v>
      </c>
      <c r="AF295" s="1" t="e">
        <f t="array" ref="AF295">_xlfn.IFS(C295="Biomass_Corn", 1/I295*S295, C295="Biomass_Agri", 1/I295*V295, C295="Biomass_Wood", 1/I295*U295, C295="Biomass_Herb", 1/I295*T295)</f>
        <v>#N/A</v>
      </c>
      <c r="AG295" s="1" t="e">
        <f t="shared" si="108"/>
        <v>#DIV/0!</v>
      </c>
      <c r="AH295" s="1" t="e">
        <f t="shared" si="109"/>
        <v>#DIV/0!</v>
      </c>
      <c r="AI295" s="1" t="e">
        <f t="shared" si="110"/>
        <v>#DIV/0!</v>
      </c>
      <c r="AJ295" s="1" t="e">
        <f t="shared" si="111"/>
        <v>#DIV/0!</v>
      </c>
      <c r="AK295" s="1" t="e">
        <f t="shared" si="112"/>
        <v>#DIV/0!</v>
      </c>
      <c r="AL295" t="e">
        <f t="shared" si="113"/>
        <v>#DIV/0!</v>
      </c>
      <c r="AM295" s="1" t="e">
        <f t="shared" si="114"/>
        <v>#DIV/0!</v>
      </c>
      <c r="AN295" s="1" t="e">
        <f t="shared" si="115"/>
        <v>#DIV/0!</v>
      </c>
      <c r="AO295" t="e">
        <f t="shared" si="116"/>
        <v>#DIV/0!</v>
      </c>
      <c r="AQ295" s="17">
        <f t="shared" si="117"/>
        <v>0</v>
      </c>
      <c r="AR295" s="8">
        <v>0.243968185</v>
      </c>
      <c r="AS295" s="8">
        <v>0.24942761299999999</v>
      </c>
      <c r="AT295" s="9">
        <v>0.24635668499999999</v>
      </c>
      <c r="AU295" s="17">
        <v>0.23037490999999999</v>
      </c>
      <c r="AW295" s="9">
        <f t="shared" si="118"/>
        <v>0</v>
      </c>
      <c r="AY295" s="9">
        <f t="shared" si="119"/>
        <v>0</v>
      </c>
      <c r="AZ295" s="9">
        <f t="shared" si="120"/>
        <v>0</v>
      </c>
      <c r="BA295" s="9">
        <f t="shared" si="121"/>
        <v>0</v>
      </c>
      <c r="BB295" s="9">
        <f t="shared" si="122"/>
        <v>0</v>
      </c>
      <c r="BC295" s="9">
        <f t="shared" si="123"/>
        <v>0</v>
      </c>
      <c r="BE295" s="1">
        <f t="shared" si="124"/>
        <v>0</v>
      </c>
    </row>
    <row r="296" spans="2:57" x14ac:dyDescent="0.2">
      <c r="B296" s="12"/>
      <c r="C296" s="20"/>
      <c r="D296" s="20"/>
      <c r="E296" s="20"/>
      <c r="F296" s="20"/>
      <c r="G296" s="20"/>
      <c r="H296" s="20"/>
      <c r="I296" s="21">
        <f t="shared" si="100"/>
        <v>0</v>
      </c>
      <c r="J296" s="20"/>
      <c r="K296" s="20"/>
      <c r="L296" s="20"/>
      <c r="M296" s="20"/>
      <c r="N296" s="20"/>
      <c r="O296" s="20"/>
      <c r="Q296" s="19"/>
      <c r="R296" s="19"/>
      <c r="S296" s="19"/>
      <c r="T296" s="19"/>
      <c r="U296" s="19"/>
      <c r="V296" s="19"/>
      <c r="W296" s="19"/>
      <c r="Y296">
        <f t="shared" si="101"/>
        <v>0</v>
      </c>
      <c r="Z296">
        <f t="shared" si="102"/>
        <v>0</v>
      </c>
      <c r="AA296" s="18" t="e">
        <f t="shared" si="103"/>
        <v>#DIV/0!</v>
      </c>
      <c r="AB296" s="18" t="e">
        <f t="shared" si="104"/>
        <v>#DIV/0!</v>
      </c>
      <c r="AC296" s="5" t="e">
        <f t="shared" si="105"/>
        <v>#DIV/0!</v>
      </c>
      <c r="AD296" s="1" t="e">
        <f t="shared" si="106"/>
        <v>#DIV/0!</v>
      </c>
      <c r="AE296" s="1" t="e">
        <f t="shared" si="107"/>
        <v>#DIV/0!</v>
      </c>
      <c r="AF296" s="1" t="e">
        <f t="array" ref="AF296">_xlfn.IFS(C296="Biomass_Corn", 1/I296*S296, C296="Biomass_Agri", 1/I296*V296, C296="Biomass_Wood", 1/I296*U296, C296="Biomass_Herb", 1/I296*T296)</f>
        <v>#N/A</v>
      </c>
      <c r="AG296" s="1" t="e">
        <f t="shared" si="108"/>
        <v>#DIV/0!</v>
      </c>
      <c r="AH296" s="1" t="e">
        <f t="shared" si="109"/>
        <v>#DIV/0!</v>
      </c>
      <c r="AI296" s="1" t="e">
        <f t="shared" si="110"/>
        <v>#DIV/0!</v>
      </c>
      <c r="AJ296" s="1" t="e">
        <f t="shared" si="111"/>
        <v>#DIV/0!</v>
      </c>
      <c r="AK296" s="1" t="e">
        <f t="shared" si="112"/>
        <v>#DIV/0!</v>
      </c>
      <c r="AL296" t="e">
        <f t="shared" si="113"/>
        <v>#DIV/0!</v>
      </c>
      <c r="AM296" s="1" t="e">
        <f t="shared" si="114"/>
        <v>#DIV/0!</v>
      </c>
      <c r="AN296" s="1" t="e">
        <f t="shared" si="115"/>
        <v>#DIV/0!</v>
      </c>
      <c r="AO296" t="e">
        <f t="shared" si="116"/>
        <v>#DIV/0!</v>
      </c>
      <c r="AQ296" s="17">
        <f t="shared" si="117"/>
        <v>0</v>
      </c>
      <c r="AR296" s="8">
        <v>0.243968185</v>
      </c>
      <c r="AS296" s="8">
        <v>0.24942761299999999</v>
      </c>
      <c r="AT296" s="9">
        <v>0.24635668499999999</v>
      </c>
      <c r="AU296" s="17">
        <v>0.23037490999999999</v>
      </c>
      <c r="AW296" s="9">
        <f t="shared" si="118"/>
        <v>0</v>
      </c>
      <c r="AY296" s="9">
        <f t="shared" si="119"/>
        <v>0</v>
      </c>
      <c r="AZ296" s="9">
        <f t="shared" si="120"/>
        <v>0</v>
      </c>
      <c r="BA296" s="9">
        <f t="shared" si="121"/>
        <v>0</v>
      </c>
      <c r="BB296" s="9">
        <f t="shared" si="122"/>
        <v>0</v>
      </c>
      <c r="BC296" s="9">
        <f t="shared" si="123"/>
        <v>0</v>
      </c>
      <c r="BE296" s="1">
        <f t="shared" si="124"/>
        <v>0</v>
      </c>
    </row>
    <row r="297" spans="2:57" x14ac:dyDescent="0.2">
      <c r="B297" s="12"/>
      <c r="C297" s="20"/>
      <c r="D297" s="20"/>
      <c r="E297" s="20"/>
      <c r="F297" s="20"/>
      <c r="G297" s="20"/>
      <c r="H297" s="20"/>
      <c r="I297" s="21">
        <f t="shared" si="100"/>
        <v>0</v>
      </c>
      <c r="J297" s="20"/>
      <c r="K297" s="20"/>
      <c r="L297" s="20"/>
      <c r="M297" s="20"/>
      <c r="N297" s="20"/>
      <c r="O297" s="20"/>
      <c r="Q297" s="19"/>
      <c r="R297" s="19"/>
      <c r="S297" s="19"/>
      <c r="T297" s="19"/>
      <c r="U297" s="19"/>
      <c r="V297" s="19"/>
      <c r="W297" s="19"/>
      <c r="Y297">
        <f t="shared" si="101"/>
        <v>0</v>
      </c>
      <c r="Z297">
        <f t="shared" si="102"/>
        <v>0</v>
      </c>
      <c r="AA297" s="18" t="e">
        <f t="shared" si="103"/>
        <v>#DIV/0!</v>
      </c>
      <c r="AB297" s="18" t="e">
        <f t="shared" si="104"/>
        <v>#DIV/0!</v>
      </c>
      <c r="AC297" s="5" t="e">
        <f t="shared" si="105"/>
        <v>#DIV/0!</v>
      </c>
      <c r="AD297" s="1" t="e">
        <f t="shared" si="106"/>
        <v>#DIV/0!</v>
      </c>
      <c r="AE297" s="1" t="e">
        <f t="shared" si="107"/>
        <v>#DIV/0!</v>
      </c>
      <c r="AF297" s="1" t="e">
        <f t="array" ref="AF297">_xlfn.IFS(C297="Biomass_Corn", 1/I297*S297, C297="Biomass_Agri", 1/I297*V297, C297="Biomass_Wood", 1/I297*U297, C297="Biomass_Herb", 1/I297*T297)</f>
        <v>#N/A</v>
      </c>
      <c r="AG297" s="1" t="e">
        <f t="shared" si="108"/>
        <v>#DIV/0!</v>
      </c>
      <c r="AH297" s="1" t="e">
        <f t="shared" si="109"/>
        <v>#DIV/0!</v>
      </c>
      <c r="AI297" s="1" t="e">
        <f t="shared" si="110"/>
        <v>#DIV/0!</v>
      </c>
      <c r="AJ297" s="1" t="e">
        <f t="shared" si="111"/>
        <v>#DIV/0!</v>
      </c>
      <c r="AK297" s="1" t="e">
        <f t="shared" si="112"/>
        <v>#DIV/0!</v>
      </c>
      <c r="AL297" t="e">
        <f t="shared" si="113"/>
        <v>#DIV/0!</v>
      </c>
      <c r="AM297" s="1" t="e">
        <f t="shared" si="114"/>
        <v>#DIV/0!</v>
      </c>
      <c r="AN297" s="1" t="e">
        <f t="shared" si="115"/>
        <v>#DIV/0!</v>
      </c>
      <c r="AO297" t="e">
        <f t="shared" si="116"/>
        <v>#DIV/0!</v>
      </c>
      <c r="AQ297" s="17">
        <f t="shared" si="117"/>
        <v>0</v>
      </c>
      <c r="AR297" s="8">
        <v>0.243968185</v>
      </c>
      <c r="AS297" s="8">
        <v>0.24942761299999999</v>
      </c>
      <c r="AT297" s="9">
        <v>0.24635668499999999</v>
      </c>
      <c r="AU297" s="17">
        <v>0.23037490999999999</v>
      </c>
      <c r="AW297" s="9">
        <f t="shared" si="118"/>
        <v>0</v>
      </c>
      <c r="AY297" s="9">
        <f t="shared" si="119"/>
        <v>0</v>
      </c>
      <c r="AZ297" s="9">
        <f t="shared" si="120"/>
        <v>0</v>
      </c>
      <c r="BA297" s="9">
        <f t="shared" si="121"/>
        <v>0</v>
      </c>
      <c r="BB297" s="9">
        <f t="shared" si="122"/>
        <v>0</v>
      </c>
      <c r="BC297" s="9">
        <f t="shared" si="123"/>
        <v>0</v>
      </c>
      <c r="BE297" s="1">
        <f t="shared" si="124"/>
        <v>0</v>
      </c>
    </row>
    <row r="298" spans="2:57" x14ac:dyDescent="0.2">
      <c r="B298" s="12"/>
      <c r="C298" s="20"/>
      <c r="D298" s="20"/>
      <c r="E298" s="20"/>
      <c r="F298" s="20"/>
      <c r="G298" s="20"/>
      <c r="H298" s="20"/>
      <c r="I298" s="21">
        <f t="shared" si="100"/>
        <v>0</v>
      </c>
      <c r="J298" s="20"/>
      <c r="K298" s="20"/>
      <c r="L298" s="20"/>
      <c r="M298" s="20"/>
      <c r="N298" s="20"/>
      <c r="O298" s="20"/>
      <c r="Q298" s="19"/>
      <c r="R298" s="19"/>
      <c r="S298" s="19"/>
      <c r="T298" s="19"/>
      <c r="U298" s="19"/>
      <c r="V298" s="19"/>
      <c r="W298" s="19"/>
      <c r="Y298">
        <f t="shared" si="101"/>
        <v>0</v>
      </c>
      <c r="Z298">
        <f t="shared" si="102"/>
        <v>0</v>
      </c>
      <c r="AA298" s="18" t="e">
        <f t="shared" si="103"/>
        <v>#DIV/0!</v>
      </c>
      <c r="AB298" s="18" t="e">
        <f t="shared" si="104"/>
        <v>#DIV/0!</v>
      </c>
      <c r="AC298" s="5" t="e">
        <f t="shared" si="105"/>
        <v>#DIV/0!</v>
      </c>
      <c r="AD298" s="1" t="e">
        <f t="shared" si="106"/>
        <v>#DIV/0!</v>
      </c>
      <c r="AE298" s="1" t="e">
        <f t="shared" si="107"/>
        <v>#DIV/0!</v>
      </c>
      <c r="AF298" s="1" t="e">
        <f t="array" ref="AF298">_xlfn.IFS(C298="Biomass_Corn", 1/I298*S298, C298="Biomass_Agri", 1/I298*V298, C298="Biomass_Wood", 1/I298*U298, C298="Biomass_Herb", 1/I298*T298)</f>
        <v>#N/A</v>
      </c>
      <c r="AG298" s="1" t="e">
        <f t="shared" si="108"/>
        <v>#DIV/0!</v>
      </c>
      <c r="AH298" s="1" t="e">
        <f t="shared" si="109"/>
        <v>#DIV/0!</v>
      </c>
      <c r="AI298" s="1" t="e">
        <f t="shared" si="110"/>
        <v>#DIV/0!</v>
      </c>
      <c r="AJ298" s="1" t="e">
        <f t="shared" si="111"/>
        <v>#DIV/0!</v>
      </c>
      <c r="AK298" s="1" t="e">
        <f t="shared" si="112"/>
        <v>#DIV/0!</v>
      </c>
      <c r="AL298" t="e">
        <f t="shared" si="113"/>
        <v>#DIV/0!</v>
      </c>
      <c r="AM298" s="1" t="e">
        <f t="shared" si="114"/>
        <v>#DIV/0!</v>
      </c>
      <c r="AN298" s="1" t="e">
        <f t="shared" si="115"/>
        <v>#DIV/0!</v>
      </c>
      <c r="AO298" t="e">
        <f t="shared" si="116"/>
        <v>#DIV/0!</v>
      </c>
      <c r="AQ298" s="17">
        <f t="shared" si="117"/>
        <v>0</v>
      </c>
      <c r="AR298" s="8">
        <v>0.243968185</v>
      </c>
      <c r="AS298" s="8">
        <v>0.24942761299999999</v>
      </c>
      <c r="AT298" s="9">
        <v>0.24635668499999999</v>
      </c>
      <c r="AU298" s="17">
        <v>0.23037490999999999</v>
      </c>
      <c r="AW298" s="9">
        <f t="shared" si="118"/>
        <v>0</v>
      </c>
      <c r="AY298" s="9">
        <f t="shared" si="119"/>
        <v>0</v>
      </c>
      <c r="AZ298" s="9">
        <f t="shared" si="120"/>
        <v>0</v>
      </c>
      <c r="BA298" s="9">
        <f t="shared" si="121"/>
        <v>0</v>
      </c>
      <c r="BB298" s="9">
        <f t="shared" si="122"/>
        <v>0</v>
      </c>
      <c r="BC298" s="9">
        <f t="shared" si="123"/>
        <v>0</v>
      </c>
      <c r="BE298" s="1">
        <f t="shared" si="124"/>
        <v>0</v>
      </c>
    </row>
    <row r="299" spans="2:57" x14ac:dyDescent="0.2">
      <c r="B299" s="12"/>
      <c r="C299" s="20"/>
      <c r="D299" s="20"/>
      <c r="E299" s="20"/>
      <c r="F299" s="20"/>
      <c r="G299" s="20"/>
      <c r="H299" s="20"/>
      <c r="I299" s="21">
        <f t="shared" si="100"/>
        <v>0</v>
      </c>
      <c r="J299" s="20"/>
      <c r="K299" s="20"/>
      <c r="L299" s="20"/>
      <c r="M299" s="20"/>
      <c r="N299" s="20"/>
      <c r="O299" s="20"/>
      <c r="Q299" s="19"/>
      <c r="R299" s="19"/>
      <c r="S299" s="19"/>
      <c r="T299" s="19"/>
      <c r="U299" s="19"/>
      <c r="V299" s="19"/>
      <c r="W299" s="19"/>
      <c r="Y299">
        <f t="shared" si="101"/>
        <v>0</v>
      </c>
      <c r="Z299">
        <f t="shared" si="102"/>
        <v>0</v>
      </c>
      <c r="AA299" s="18" t="e">
        <f t="shared" si="103"/>
        <v>#DIV/0!</v>
      </c>
      <c r="AB299" s="18" t="e">
        <f t="shared" si="104"/>
        <v>#DIV/0!</v>
      </c>
      <c r="AC299" s="5" t="e">
        <f t="shared" si="105"/>
        <v>#DIV/0!</v>
      </c>
      <c r="AD299" s="1" t="e">
        <f t="shared" si="106"/>
        <v>#DIV/0!</v>
      </c>
      <c r="AE299" s="1" t="e">
        <f t="shared" si="107"/>
        <v>#DIV/0!</v>
      </c>
      <c r="AF299" s="1" t="e">
        <f t="array" ref="AF299">_xlfn.IFS(C299="Biomass_Corn", 1/I299*S299, C299="Biomass_Agri", 1/I299*V299, C299="Biomass_Wood", 1/I299*U299, C299="Biomass_Herb", 1/I299*T299)</f>
        <v>#N/A</v>
      </c>
      <c r="AG299" s="1" t="e">
        <f t="shared" si="108"/>
        <v>#DIV/0!</v>
      </c>
      <c r="AH299" s="1" t="e">
        <f t="shared" si="109"/>
        <v>#DIV/0!</v>
      </c>
      <c r="AI299" s="1" t="e">
        <f t="shared" si="110"/>
        <v>#DIV/0!</v>
      </c>
      <c r="AJ299" s="1" t="e">
        <f t="shared" si="111"/>
        <v>#DIV/0!</v>
      </c>
      <c r="AK299" s="1" t="e">
        <f t="shared" si="112"/>
        <v>#DIV/0!</v>
      </c>
      <c r="AL299" t="e">
        <f t="shared" si="113"/>
        <v>#DIV/0!</v>
      </c>
      <c r="AM299" s="1" t="e">
        <f t="shared" si="114"/>
        <v>#DIV/0!</v>
      </c>
      <c r="AN299" s="1" t="e">
        <f t="shared" si="115"/>
        <v>#DIV/0!</v>
      </c>
      <c r="AO299" t="e">
        <f t="shared" si="116"/>
        <v>#DIV/0!</v>
      </c>
      <c r="AQ299" s="17">
        <f t="shared" si="117"/>
        <v>0</v>
      </c>
      <c r="AR299" s="8">
        <v>0.243968185</v>
      </c>
      <c r="AS299" s="8">
        <v>0.24942761299999999</v>
      </c>
      <c r="AT299" s="9">
        <v>0.24635668499999999</v>
      </c>
      <c r="AU299" s="17">
        <v>0.23037490999999999</v>
      </c>
      <c r="AW299" s="9">
        <f t="shared" si="118"/>
        <v>0</v>
      </c>
      <c r="AY299" s="9">
        <f t="shared" si="119"/>
        <v>0</v>
      </c>
      <c r="AZ299" s="9">
        <f t="shared" si="120"/>
        <v>0</v>
      </c>
      <c r="BA299" s="9">
        <f t="shared" si="121"/>
        <v>0</v>
      </c>
      <c r="BB299" s="9">
        <f t="shared" si="122"/>
        <v>0</v>
      </c>
      <c r="BC299" s="9">
        <f t="shared" si="123"/>
        <v>0</v>
      </c>
      <c r="BE299" s="1">
        <f t="shared" si="124"/>
        <v>0</v>
      </c>
    </row>
    <row r="300" spans="2:57" x14ac:dyDescent="0.2">
      <c r="B300" s="12"/>
      <c r="C300" s="20"/>
      <c r="D300" s="20"/>
      <c r="E300" s="20"/>
      <c r="F300" s="20"/>
      <c r="G300" s="20"/>
      <c r="H300" s="20"/>
      <c r="I300" s="21">
        <f t="shared" si="100"/>
        <v>0</v>
      </c>
      <c r="J300" s="20"/>
      <c r="K300" s="20"/>
      <c r="L300" s="20"/>
      <c r="M300" s="20"/>
      <c r="N300" s="20"/>
      <c r="O300" s="20"/>
      <c r="Q300" s="19"/>
      <c r="R300" s="19"/>
      <c r="S300" s="19"/>
      <c r="T300" s="19"/>
      <c r="U300" s="19"/>
      <c r="V300" s="19"/>
      <c r="W300" s="19"/>
      <c r="Y300">
        <f t="shared" si="101"/>
        <v>0</v>
      </c>
      <c r="Z300">
        <f t="shared" si="102"/>
        <v>0</v>
      </c>
      <c r="AA300" s="18" t="e">
        <f t="shared" si="103"/>
        <v>#DIV/0!</v>
      </c>
      <c r="AB300" s="18" t="e">
        <f t="shared" si="104"/>
        <v>#DIV/0!</v>
      </c>
      <c r="AC300" s="5" t="e">
        <f t="shared" si="105"/>
        <v>#DIV/0!</v>
      </c>
      <c r="AD300" s="1" t="e">
        <f t="shared" si="106"/>
        <v>#DIV/0!</v>
      </c>
      <c r="AE300" s="1" t="e">
        <f t="shared" si="107"/>
        <v>#DIV/0!</v>
      </c>
      <c r="AF300" s="1" t="e">
        <f t="array" ref="AF300">_xlfn.IFS(C300="Biomass_Corn", 1/I300*S300, C300="Biomass_Agri", 1/I300*V300, C300="Biomass_Wood", 1/I300*U300, C300="Biomass_Herb", 1/I300*T300)</f>
        <v>#N/A</v>
      </c>
      <c r="AG300" s="1" t="e">
        <f t="shared" si="108"/>
        <v>#DIV/0!</v>
      </c>
      <c r="AH300" s="1" t="e">
        <f t="shared" si="109"/>
        <v>#DIV/0!</v>
      </c>
      <c r="AI300" s="1" t="e">
        <f t="shared" si="110"/>
        <v>#DIV/0!</v>
      </c>
      <c r="AJ300" s="1" t="e">
        <f t="shared" si="111"/>
        <v>#DIV/0!</v>
      </c>
      <c r="AK300" s="1" t="e">
        <f t="shared" si="112"/>
        <v>#DIV/0!</v>
      </c>
      <c r="AL300" t="e">
        <f t="shared" si="113"/>
        <v>#DIV/0!</v>
      </c>
      <c r="AM300" s="1" t="e">
        <f t="shared" si="114"/>
        <v>#DIV/0!</v>
      </c>
      <c r="AN300" s="1" t="e">
        <f t="shared" si="115"/>
        <v>#DIV/0!</v>
      </c>
      <c r="AO300" t="e">
        <f t="shared" si="116"/>
        <v>#DIV/0!</v>
      </c>
      <c r="AQ300" s="17">
        <f t="shared" si="117"/>
        <v>0</v>
      </c>
      <c r="AR300" s="8">
        <v>0.243968185</v>
      </c>
      <c r="AS300" s="8">
        <v>0.24942761299999999</v>
      </c>
      <c r="AT300" s="9">
        <v>0.24635668499999999</v>
      </c>
      <c r="AU300" s="17">
        <v>0.23037490999999999</v>
      </c>
      <c r="AW300" s="9">
        <f t="shared" si="118"/>
        <v>0</v>
      </c>
      <c r="AY300" s="9">
        <f t="shared" si="119"/>
        <v>0</v>
      </c>
      <c r="AZ300" s="9">
        <f t="shared" si="120"/>
        <v>0</v>
      </c>
      <c r="BA300" s="9">
        <f t="shared" si="121"/>
        <v>0</v>
      </c>
      <c r="BB300" s="9">
        <f t="shared" si="122"/>
        <v>0</v>
      </c>
      <c r="BC300" s="9">
        <f t="shared" si="123"/>
        <v>0</v>
      </c>
      <c r="BE300" s="1">
        <f t="shared" si="124"/>
        <v>0</v>
      </c>
    </row>
    <row r="301" spans="2:57" x14ac:dyDescent="0.2">
      <c r="B301" s="12"/>
      <c r="C301" s="20"/>
      <c r="D301" s="20"/>
      <c r="E301" s="20"/>
      <c r="F301" s="20"/>
      <c r="G301" s="20"/>
      <c r="H301" s="20"/>
      <c r="I301" s="21">
        <f t="shared" si="100"/>
        <v>0</v>
      </c>
      <c r="J301" s="20"/>
      <c r="K301" s="20"/>
      <c r="L301" s="20"/>
      <c r="M301" s="20"/>
      <c r="N301" s="20"/>
      <c r="O301" s="20"/>
      <c r="Q301" s="19"/>
      <c r="R301" s="19"/>
      <c r="S301" s="19"/>
      <c r="T301" s="19"/>
      <c r="U301" s="19"/>
      <c r="V301" s="19"/>
      <c r="W301" s="19"/>
      <c r="Y301">
        <f t="shared" si="101"/>
        <v>0</v>
      </c>
      <c r="Z301">
        <f t="shared" si="102"/>
        <v>0</v>
      </c>
      <c r="AA301" s="18" t="e">
        <f t="shared" si="103"/>
        <v>#DIV/0!</v>
      </c>
      <c r="AB301" s="18" t="e">
        <f t="shared" si="104"/>
        <v>#DIV/0!</v>
      </c>
      <c r="AC301" s="5" t="e">
        <f t="shared" si="105"/>
        <v>#DIV/0!</v>
      </c>
      <c r="AD301" s="1" t="e">
        <f t="shared" si="106"/>
        <v>#DIV/0!</v>
      </c>
      <c r="AE301" s="1" t="e">
        <f t="shared" si="107"/>
        <v>#DIV/0!</v>
      </c>
      <c r="AF301" s="1" t="e">
        <f t="array" ref="AF301">_xlfn.IFS(C301="Biomass_Corn", 1/I301*S301, C301="Biomass_Agri", 1/I301*V301, C301="Biomass_Wood", 1/I301*U301, C301="Biomass_Herb", 1/I301*T301)</f>
        <v>#N/A</v>
      </c>
      <c r="AG301" s="1" t="e">
        <f t="shared" si="108"/>
        <v>#DIV/0!</v>
      </c>
      <c r="AH301" s="1" t="e">
        <f t="shared" si="109"/>
        <v>#DIV/0!</v>
      </c>
      <c r="AI301" s="1" t="e">
        <f t="shared" si="110"/>
        <v>#DIV/0!</v>
      </c>
      <c r="AJ301" s="1" t="e">
        <f t="shared" si="111"/>
        <v>#DIV/0!</v>
      </c>
      <c r="AK301" s="1" t="e">
        <f t="shared" si="112"/>
        <v>#DIV/0!</v>
      </c>
      <c r="AL301" t="e">
        <f t="shared" si="113"/>
        <v>#DIV/0!</v>
      </c>
      <c r="AM301" s="1" t="e">
        <f t="shared" si="114"/>
        <v>#DIV/0!</v>
      </c>
      <c r="AN301" s="1" t="e">
        <f t="shared" si="115"/>
        <v>#DIV/0!</v>
      </c>
      <c r="AO301" t="e">
        <f t="shared" si="116"/>
        <v>#DIV/0!</v>
      </c>
      <c r="AQ301" s="17">
        <f t="shared" si="117"/>
        <v>0</v>
      </c>
      <c r="AR301" s="8">
        <v>0.243968185</v>
      </c>
      <c r="AS301" s="8">
        <v>0.24942761299999999</v>
      </c>
      <c r="AT301" s="9">
        <v>0.24635668499999999</v>
      </c>
      <c r="AU301" s="17">
        <v>0.23037490999999999</v>
      </c>
      <c r="AW301" s="9">
        <f t="shared" si="118"/>
        <v>0</v>
      </c>
      <c r="AY301" s="9">
        <f t="shared" si="119"/>
        <v>0</v>
      </c>
      <c r="AZ301" s="9">
        <f t="shared" si="120"/>
        <v>0</v>
      </c>
      <c r="BA301" s="9">
        <f t="shared" si="121"/>
        <v>0</v>
      </c>
      <c r="BB301" s="9">
        <f t="shared" si="122"/>
        <v>0</v>
      </c>
      <c r="BC301" s="9">
        <f t="shared" si="123"/>
        <v>0</v>
      </c>
      <c r="BE301" s="1">
        <f t="shared" si="124"/>
        <v>0</v>
      </c>
    </row>
    <row r="302" spans="2:57" x14ac:dyDescent="0.2">
      <c r="B302" s="12"/>
      <c r="C302" s="20"/>
      <c r="D302" s="20"/>
      <c r="E302" s="20"/>
      <c r="F302" s="20"/>
      <c r="G302" s="20"/>
      <c r="H302" s="20"/>
      <c r="I302" s="21">
        <f t="shared" si="100"/>
        <v>0</v>
      </c>
      <c r="J302" s="20"/>
      <c r="K302" s="20"/>
      <c r="L302" s="20"/>
      <c r="M302" s="20"/>
      <c r="N302" s="20"/>
      <c r="O302" s="20"/>
      <c r="Q302" s="19"/>
      <c r="R302" s="19"/>
      <c r="S302" s="19"/>
      <c r="T302" s="19"/>
      <c r="U302" s="19"/>
      <c r="V302" s="19"/>
      <c r="W302" s="19"/>
      <c r="Y302">
        <f t="shared" si="101"/>
        <v>0</v>
      </c>
      <c r="Z302">
        <f t="shared" si="102"/>
        <v>0</v>
      </c>
      <c r="AA302" s="18" t="e">
        <f t="shared" si="103"/>
        <v>#DIV/0!</v>
      </c>
      <c r="AB302" s="18" t="e">
        <f t="shared" si="104"/>
        <v>#DIV/0!</v>
      </c>
      <c r="AC302" s="5" t="e">
        <f t="shared" si="105"/>
        <v>#DIV/0!</v>
      </c>
      <c r="AD302" s="1" t="e">
        <f t="shared" si="106"/>
        <v>#DIV/0!</v>
      </c>
      <c r="AE302" s="1" t="e">
        <f t="shared" si="107"/>
        <v>#DIV/0!</v>
      </c>
      <c r="AF302" s="1" t="e">
        <f t="array" ref="AF302">_xlfn.IFS(C302="Biomass_Corn", 1/I302*S302, C302="Biomass_Agri", 1/I302*V302, C302="Biomass_Wood", 1/I302*U302, C302="Biomass_Herb", 1/I302*T302)</f>
        <v>#N/A</v>
      </c>
      <c r="AG302" s="1" t="e">
        <f t="shared" si="108"/>
        <v>#DIV/0!</v>
      </c>
      <c r="AH302" s="1" t="e">
        <f t="shared" si="109"/>
        <v>#DIV/0!</v>
      </c>
      <c r="AI302" s="1" t="e">
        <f t="shared" si="110"/>
        <v>#DIV/0!</v>
      </c>
      <c r="AJ302" s="1" t="e">
        <f t="shared" si="111"/>
        <v>#DIV/0!</v>
      </c>
      <c r="AK302" s="1" t="e">
        <f t="shared" si="112"/>
        <v>#DIV/0!</v>
      </c>
      <c r="AL302" t="e">
        <f t="shared" si="113"/>
        <v>#DIV/0!</v>
      </c>
      <c r="AM302" s="1" t="e">
        <f t="shared" si="114"/>
        <v>#DIV/0!</v>
      </c>
      <c r="AN302" s="1" t="e">
        <f t="shared" si="115"/>
        <v>#DIV/0!</v>
      </c>
      <c r="AO302" t="e">
        <f t="shared" si="116"/>
        <v>#DIV/0!</v>
      </c>
      <c r="AQ302" s="17">
        <f t="shared" si="117"/>
        <v>0</v>
      </c>
      <c r="AR302" s="8">
        <v>0.243968185</v>
      </c>
      <c r="AS302" s="8">
        <v>0.24942761299999999</v>
      </c>
      <c r="AT302" s="9">
        <v>0.24635668499999999</v>
      </c>
      <c r="AU302" s="17">
        <v>0.23037490999999999</v>
      </c>
      <c r="AW302" s="9">
        <f t="shared" si="118"/>
        <v>0</v>
      </c>
      <c r="AY302" s="9">
        <f t="shared" si="119"/>
        <v>0</v>
      </c>
      <c r="AZ302" s="9">
        <f t="shared" si="120"/>
        <v>0</v>
      </c>
      <c r="BA302" s="9">
        <f t="shared" si="121"/>
        <v>0</v>
      </c>
      <c r="BB302" s="9">
        <f t="shared" si="122"/>
        <v>0</v>
      </c>
      <c r="BC302" s="9">
        <f t="shared" si="123"/>
        <v>0</v>
      </c>
      <c r="BE302" s="1">
        <f t="shared" si="124"/>
        <v>0</v>
      </c>
    </row>
    <row r="303" spans="2:57" x14ac:dyDescent="0.2">
      <c r="B303" s="12"/>
      <c r="C303" s="20"/>
      <c r="D303" s="20"/>
      <c r="E303" s="20"/>
      <c r="F303" s="20"/>
      <c r="G303" s="20"/>
      <c r="H303" s="20"/>
      <c r="I303" s="21">
        <f t="shared" si="100"/>
        <v>0</v>
      </c>
      <c r="J303" s="20"/>
      <c r="K303" s="20"/>
      <c r="L303" s="20"/>
      <c r="M303" s="20"/>
      <c r="N303" s="20"/>
      <c r="O303" s="20"/>
      <c r="Q303" s="19"/>
      <c r="R303" s="19"/>
      <c r="S303" s="19"/>
      <c r="T303" s="19"/>
      <c r="U303" s="19"/>
      <c r="V303" s="19"/>
      <c r="W303" s="19"/>
      <c r="Y303">
        <f t="shared" si="101"/>
        <v>0</v>
      </c>
      <c r="Z303">
        <f t="shared" si="102"/>
        <v>0</v>
      </c>
      <c r="AA303" s="18" t="e">
        <f t="shared" si="103"/>
        <v>#DIV/0!</v>
      </c>
      <c r="AB303" s="18" t="e">
        <f t="shared" si="104"/>
        <v>#DIV/0!</v>
      </c>
      <c r="AC303" s="5" t="e">
        <f t="shared" si="105"/>
        <v>#DIV/0!</v>
      </c>
      <c r="AD303" s="1" t="e">
        <f t="shared" si="106"/>
        <v>#DIV/0!</v>
      </c>
      <c r="AE303" s="1" t="e">
        <f t="shared" si="107"/>
        <v>#DIV/0!</v>
      </c>
      <c r="AF303" s="1" t="e">
        <f t="array" ref="AF303">_xlfn.IFS(C303="Biomass_Corn", 1/I303*S303, C303="Biomass_Agri", 1/I303*V303, C303="Biomass_Wood", 1/I303*U303, C303="Biomass_Herb", 1/I303*T303)</f>
        <v>#N/A</v>
      </c>
      <c r="AG303" s="1" t="e">
        <f t="shared" si="108"/>
        <v>#DIV/0!</v>
      </c>
      <c r="AH303" s="1" t="e">
        <f t="shared" si="109"/>
        <v>#DIV/0!</v>
      </c>
      <c r="AI303" s="1" t="e">
        <f t="shared" si="110"/>
        <v>#DIV/0!</v>
      </c>
      <c r="AJ303" s="1" t="e">
        <f t="shared" si="111"/>
        <v>#DIV/0!</v>
      </c>
      <c r="AK303" s="1" t="e">
        <f t="shared" si="112"/>
        <v>#DIV/0!</v>
      </c>
      <c r="AL303" t="e">
        <f t="shared" si="113"/>
        <v>#DIV/0!</v>
      </c>
      <c r="AM303" s="1" t="e">
        <f t="shared" si="114"/>
        <v>#DIV/0!</v>
      </c>
      <c r="AN303" s="1" t="e">
        <f t="shared" si="115"/>
        <v>#DIV/0!</v>
      </c>
      <c r="AO303" t="e">
        <f t="shared" si="116"/>
        <v>#DIV/0!</v>
      </c>
      <c r="AQ303" s="17">
        <f t="shared" si="117"/>
        <v>0</v>
      </c>
      <c r="AR303" s="8">
        <v>0.243968185</v>
      </c>
      <c r="AS303" s="8">
        <v>0.24942761299999999</v>
      </c>
      <c r="AT303" s="9">
        <v>0.24635668499999999</v>
      </c>
      <c r="AU303" s="17">
        <v>0.23037490999999999</v>
      </c>
      <c r="AW303" s="9">
        <f t="shared" si="118"/>
        <v>0</v>
      </c>
      <c r="AY303" s="9">
        <f t="shared" si="119"/>
        <v>0</v>
      </c>
      <c r="AZ303" s="9">
        <f t="shared" si="120"/>
        <v>0</v>
      </c>
      <c r="BA303" s="9">
        <f t="shared" si="121"/>
        <v>0</v>
      </c>
      <c r="BB303" s="9">
        <f t="shared" si="122"/>
        <v>0</v>
      </c>
      <c r="BC303" s="9">
        <f t="shared" si="123"/>
        <v>0</v>
      </c>
      <c r="BE303" s="1">
        <f t="shared" si="124"/>
        <v>0</v>
      </c>
    </row>
    <row r="304" spans="2:57" x14ac:dyDescent="0.2">
      <c r="B304" s="12"/>
      <c r="C304" s="20"/>
      <c r="D304" s="20"/>
      <c r="E304" s="20"/>
      <c r="F304" s="20"/>
      <c r="G304" s="20"/>
      <c r="H304" s="20"/>
      <c r="I304" s="21">
        <f t="shared" si="100"/>
        <v>0</v>
      </c>
      <c r="J304" s="20"/>
      <c r="K304" s="20"/>
      <c r="L304" s="20"/>
      <c r="M304" s="20"/>
      <c r="N304" s="20"/>
      <c r="O304" s="20"/>
      <c r="Q304" s="19"/>
      <c r="R304" s="19"/>
      <c r="S304" s="19"/>
      <c r="T304" s="19"/>
      <c r="U304" s="19"/>
      <c r="V304" s="19"/>
      <c r="W304" s="19"/>
      <c r="Y304">
        <f t="shared" si="101"/>
        <v>0</v>
      </c>
      <c r="Z304">
        <f t="shared" si="102"/>
        <v>0</v>
      </c>
      <c r="AA304" s="18" t="e">
        <f t="shared" si="103"/>
        <v>#DIV/0!</v>
      </c>
      <c r="AB304" s="18" t="e">
        <f t="shared" si="104"/>
        <v>#DIV/0!</v>
      </c>
      <c r="AC304" s="5" t="e">
        <f t="shared" si="105"/>
        <v>#DIV/0!</v>
      </c>
      <c r="AD304" s="1" t="e">
        <f t="shared" si="106"/>
        <v>#DIV/0!</v>
      </c>
      <c r="AE304" s="1" t="e">
        <f t="shared" si="107"/>
        <v>#DIV/0!</v>
      </c>
      <c r="AF304" s="1" t="e">
        <f t="array" ref="AF304">_xlfn.IFS(C304="Biomass_Corn", 1/I304*S304, C304="Biomass_Agri", 1/I304*V304, C304="Biomass_Wood", 1/I304*U304, C304="Biomass_Herb", 1/I304*T304)</f>
        <v>#N/A</v>
      </c>
      <c r="AG304" s="1" t="e">
        <f t="shared" si="108"/>
        <v>#DIV/0!</v>
      </c>
      <c r="AH304" s="1" t="e">
        <f t="shared" si="109"/>
        <v>#DIV/0!</v>
      </c>
      <c r="AI304" s="1" t="e">
        <f t="shared" si="110"/>
        <v>#DIV/0!</v>
      </c>
      <c r="AJ304" s="1" t="e">
        <f t="shared" si="111"/>
        <v>#DIV/0!</v>
      </c>
      <c r="AK304" s="1" t="e">
        <f t="shared" si="112"/>
        <v>#DIV/0!</v>
      </c>
      <c r="AL304" t="e">
        <f t="shared" si="113"/>
        <v>#DIV/0!</v>
      </c>
      <c r="AM304" s="1" t="e">
        <f t="shared" si="114"/>
        <v>#DIV/0!</v>
      </c>
      <c r="AN304" s="1" t="e">
        <f t="shared" si="115"/>
        <v>#DIV/0!</v>
      </c>
      <c r="AO304" t="e">
        <f t="shared" si="116"/>
        <v>#DIV/0!</v>
      </c>
      <c r="AQ304" s="17">
        <f t="shared" si="117"/>
        <v>0</v>
      </c>
      <c r="AR304" s="8">
        <v>0.243968185</v>
      </c>
      <c r="AS304" s="8">
        <v>0.24942761299999999</v>
      </c>
      <c r="AT304" s="9">
        <v>0.24635668499999999</v>
      </c>
      <c r="AU304" s="17">
        <v>0.23037490999999999</v>
      </c>
      <c r="AW304" s="9">
        <f t="shared" si="118"/>
        <v>0</v>
      </c>
      <c r="AY304" s="9">
        <f t="shared" si="119"/>
        <v>0</v>
      </c>
      <c r="AZ304" s="9">
        <f t="shared" si="120"/>
        <v>0</v>
      </c>
      <c r="BA304" s="9">
        <f t="shared" si="121"/>
        <v>0</v>
      </c>
      <c r="BB304" s="9">
        <f t="shared" si="122"/>
        <v>0</v>
      </c>
      <c r="BC304" s="9">
        <f t="shared" si="123"/>
        <v>0</v>
      </c>
      <c r="BE304" s="1">
        <f t="shared" si="124"/>
        <v>0</v>
      </c>
    </row>
    <row r="305" spans="2:57" x14ac:dyDescent="0.2">
      <c r="B305" s="12"/>
      <c r="C305" s="20"/>
      <c r="D305" s="20"/>
      <c r="E305" s="20"/>
      <c r="F305" s="20"/>
      <c r="G305" s="20"/>
      <c r="H305" s="20"/>
      <c r="I305" s="21">
        <f t="shared" si="100"/>
        <v>0</v>
      </c>
      <c r="J305" s="20"/>
      <c r="K305" s="20"/>
      <c r="L305" s="20"/>
      <c r="M305" s="20"/>
      <c r="N305" s="20"/>
      <c r="O305" s="20"/>
      <c r="Q305" s="19"/>
      <c r="R305" s="19"/>
      <c r="S305" s="19"/>
      <c r="T305" s="19"/>
      <c r="U305" s="19"/>
      <c r="V305" s="19"/>
      <c r="W305" s="19"/>
      <c r="Y305">
        <f t="shared" si="101"/>
        <v>0</v>
      </c>
      <c r="Z305">
        <f t="shared" si="102"/>
        <v>0</v>
      </c>
      <c r="AA305" s="18" t="e">
        <f t="shared" si="103"/>
        <v>#DIV/0!</v>
      </c>
      <c r="AB305" s="18" t="e">
        <f t="shared" si="104"/>
        <v>#DIV/0!</v>
      </c>
      <c r="AC305" s="5" t="e">
        <f t="shared" si="105"/>
        <v>#DIV/0!</v>
      </c>
      <c r="AD305" s="1" t="e">
        <f t="shared" si="106"/>
        <v>#DIV/0!</v>
      </c>
      <c r="AE305" s="1" t="e">
        <f t="shared" si="107"/>
        <v>#DIV/0!</v>
      </c>
      <c r="AF305" s="1" t="e">
        <f t="array" ref="AF305">_xlfn.IFS(C305="Biomass_Corn", 1/I305*S305, C305="Biomass_Agri", 1/I305*V305, C305="Biomass_Wood", 1/I305*U305, C305="Biomass_Herb", 1/I305*T305)</f>
        <v>#N/A</v>
      </c>
      <c r="AG305" s="1" t="e">
        <f t="shared" si="108"/>
        <v>#DIV/0!</v>
      </c>
      <c r="AH305" s="1" t="e">
        <f t="shared" si="109"/>
        <v>#DIV/0!</v>
      </c>
      <c r="AI305" s="1" t="e">
        <f t="shared" si="110"/>
        <v>#DIV/0!</v>
      </c>
      <c r="AJ305" s="1" t="e">
        <f t="shared" si="111"/>
        <v>#DIV/0!</v>
      </c>
      <c r="AK305" s="1" t="e">
        <f t="shared" si="112"/>
        <v>#DIV/0!</v>
      </c>
      <c r="AL305" t="e">
        <f t="shared" si="113"/>
        <v>#DIV/0!</v>
      </c>
      <c r="AM305" s="1" t="e">
        <f t="shared" si="114"/>
        <v>#DIV/0!</v>
      </c>
      <c r="AN305" s="1" t="e">
        <f t="shared" si="115"/>
        <v>#DIV/0!</v>
      </c>
      <c r="AO305" t="e">
        <f t="shared" si="116"/>
        <v>#DIV/0!</v>
      </c>
      <c r="AQ305" s="17">
        <f t="shared" si="117"/>
        <v>0</v>
      </c>
      <c r="AR305" s="8">
        <v>0.243968185</v>
      </c>
      <c r="AS305" s="8">
        <v>0.24942761299999999</v>
      </c>
      <c r="AT305" s="9">
        <v>0.24635668499999999</v>
      </c>
      <c r="AU305" s="17">
        <v>0.23037490999999999</v>
      </c>
      <c r="AW305" s="9">
        <f t="shared" si="118"/>
        <v>0</v>
      </c>
      <c r="AY305" s="9">
        <f t="shared" si="119"/>
        <v>0</v>
      </c>
      <c r="AZ305" s="9">
        <f t="shared" si="120"/>
        <v>0</v>
      </c>
      <c r="BA305" s="9">
        <f t="shared" si="121"/>
        <v>0</v>
      </c>
      <c r="BB305" s="9">
        <f t="shared" si="122"/>
        <v>0</v>
      </c>
      <c r="BC305" s="9">
        <f t="shared" si="123"/>
        <v>0</v>
      </c>
      <c r="BE305" s="1">
        <f t="shared" si="124"/>
        <v>0</v>
      </c>
    </row>
    <row r="306" spans="2:57" x14ac:dyDescent="0.2">
      <c r="B306" s="12"/>
      <c r="C306" s="20"/>
      <c r="D306" s="20"/>
      <c r="E306" s="20"/>
      <c r="F306" s="20"/>
      <c r="G306" s="20"/>
      <c r="H306" s="20"/>
      <c r="I306" s="21">
        <f t="shared" si="100"/>
        <v>0</v>
      </c>
      <c r="J306" s="20"/>
      <c r="K306" s="20"/>
      <c r="L306" s="20"/>
      <c r="M306" s="20"/>
      <c r="N306" s="20"/>
      <c r="O306" s="20"/>
      <c r="Q306" s="19"/>
      <c r="R306" s="19"/>
      <c r="S306" s="19"/>
      <c r="T306" s="19"/>
      <c r="U306" s="19"/>
      <c r="V306" s="19"/>
      <c r="W306" s="19"/>
      <c r="Y306">
        <f t="shared" si="101"/>
        <v>0</v>
      </c>
      <c r="Z306">
        <f t="shared" si="102"/>
        <v>0</v>
      </c>
      <c r="AA306" s="18" t="e">
        <f t="shared" si="103"/>
        <v>#DIV/0!</v>
      </c>
      <c r="AB306" s="18" t="e">
        <f t="shared" si="104"/>
        <v>#DIV/0!</v>
      </c>
      <c r="AC306" s="5" t="e">
        <f t="shared" si="105"/>
        <v>#DIV/0!</v>
      </c>
      <c r="AD306" s="1" t="e">
        <f t="shared" si="106"/>
        <v>#DIV/0!</v>
      </c>
      <c r="AE306" s="1" t="e">
        <f t="shared" si="107"/>
        <v>#DIV/0!</v>
      </c>
      <c r="AF306" s="1" t="e">
        <f t="array" ref="AF306">_xlfn.IFS(C306="Biomass_Corn", 1/I306*S306, C306="Biomass_Agri", 1/I306*V306, C306="Biomass_Wood", 1/I306*U306, C306="Biomass_Herb", 1/I306*T306)</f>
        <v>#N/A</v>
      </c>
      <c r="AG306" s="1" t="e">
        <f t="shared" si="108"/>
        <v>#DIV/0!</v>
      </c>
      <c r="AH306" s="1" t="e">
        <f t="shared" si="109"/>
        <v>#DIV/0!</v>
      </c>
      <c r="AI306" s="1" t="e">
        <f t="shared" si="110"/>
        <v>#DIV/0!</v>
      </c>
      <c r="AJ306" s="1" t="e">
        <f t="shared" si="111"/>
        <v>#DIV/0!</v>
      </c>
      <c r="AK306" s="1" t="e">
        <f t="shared" si="112"/>
        <v>#DIV/0!</v>
      </c>
      <c r="AL306" t="e">
        <f t="shared" si="113"/>
        <v>#DIV/0!</v>
      </c>
      <c r="AM306" s="1" t="e">
        <f t="shared" si="114"/>
        <v>#DIV/0!</v>
      </c>
      <c r="AN306" s="1" t="e">
        <f t="shared" si="115"/>
        <v>#DIV/0!</v>
      </c>
      <c r="AO306" t="e">
        <f t="shared" si="116"/>
        <v>#DIV/0!</v>
      </c>
      <c r="AQ306" s="17">
        <f t="shared" si="117"/>
        <v>0</v>
      </c>
      <c r="AR306" s="8">
        <v>0.243968185</v>
      </c>
      <c r="AS306" s="8">
        <v>0.24942761299999999</v>
      </c>
      <c r="AT306" s="9">
        <v>0.24635668499999999</v>
      </c>
      <c r="AU306" s="17">
        <v>0.23037490999999999</v>
      </c>
      <c r="AW306" s="9">
        <f t="shared" si="118"/>
        <v>0</v>
      </c>
      <c r="AY306" s="9">
        <f t="shared" si="119"/>
        <v>0</v>
      </c>
      <c r="AZ306" s="9">
        <f t="shared" si="120"/>
        <v>0</v>
      </c>
      <c r="BA306" s="9">
        <f t="shared" si="121"/>
        <v>0</v>
      </c>
      <c r="BB306" s="9">
        <f t="shared" si="122"/>
        <v>0</v>
      </c>
      <c r="BC306" s="9">
        <f t="shared" si="123"/>
        <v>0</v>
      </c>
      <c r="BE306" s="1">
        <f t="shared" si="124"/>
        <v>0</v>
      </c>
    </row>
    <row r="307" spans="2:57" x14ac:dyDescent="0.2">
      <c r="B307" s="12"/>
      <c r="C307" s="20"/>
      <c r="D307" s="20"/>
      <c r="E307" s="20"/>
      <c r="F307" s="20"/>
      <c r="G307" s="20"/>
      <c r="H307" s="20"/>
      <c r="I307" s="21">
        <f t="shared" si="100"/>
        <v>0</v>
      </c>
      <c r="J307" s="20"/>
      <c r="K307" s="20"/>
      <c r="L307" s="20"/>
      <c r="M307" s="20"/>
      <c r="N307" s="20"/>
      <c r="O307" s="20"/>
      <c r="Q307" s="19"/>
      <c r="R307" s="19"/>
      <c r="S307" s="19"/>
      <c r="T307" s="19"/>
      <c r="U307" s="19"/>
      <c r="V307" s="19"/>
      <c r="W307" s="19"/>
      <c r="Y307">
        <f t="shared" si="101"/>
        <v>0</v>
      </c>
      <c r="Z307">
        <f t="shared" si="102"/>
        <v>0</v>
      </c>
      <c r="AA307" s="18" t="e">
        <f t="shared" si="103"/>
        <v>#DIV/0!</v>
      </c>
      <c r="AB307" s="18" t="e">
        <f t="shared" si="104"/>
        <v>#DIV/0!</v>
      </c>
      <c r="AC307" s="5" t="e">
        <f t="shared" si="105"/>
        <v>#DIV/0!</v>
      </c>
      <c r="AD307" s="1" t="e">
        <f t="shared" si="106"/>
        <v>#DIV/0!</v>
      </c>
      <c r="AE307" s="1" t="e">
        <f t="shared" si="107"/>
        <v>#DIV/0!</v>
      </c>
      <c r="AF307" s="1" t="e">
        <f t="array" ref="AF307">_xlfn.IFS(C307="Biomass_Corn", 1/I307*S307, C307="Biomass_Agri", 1/I307*V307, C307="Biomass_Wood", 1/I307*U307, C307="Biomass_Herb", 1/I307*T307)</f>
        <v>#N/A</v>
      </c>
      <c r="AG307" s="1" t="e">
        <f t="shared" si="108"/>
        <v>#DIV/0!</v>
      </c>
      <c r="AH307" s="1" t="e">
        <f t="shared" si="109"/>
        <v>#DIV/0!</v>
      </c>
      <c r="AI307" s="1" t="e">
        <f t="shared" si="110"/>
        <v>#DIV/0!</v>
      </c>
      <c r="AJ307" s="1" t="e">
        <f t="shared" si="111"/>
        <v>#DIV/0!</v>
      </c>
      <c r="AK307" s="1" t="e">
        <f t="shared" si="112"/>
        <v>#DIV/0!</v>
      </c>
      <c r="AL307" t="e">
        <f t="shared" si="113"/>
        <v>#DIV/0!</v>
      </c>
      <c r="AM307" s="1" t="e">
        <f t="shared" si="114"/>
        <v>#DIV/0!</v>
      </c>
      <c r="AN307" s="1" t="e">
        <f t="shared" si="115"/>
        <v>#DIV/0!</v>
      </c>
      <c r="AO307" t="e">
        <f t="shared" si="116"/>
        <v>#DIV/0!</v>
      </c>
      <c r="AQ307" s="17">
        <f t="shared" si="117"/>
        <v>0</v>
      </c>
      <c r="AR307" s="8">
        <v>0.243968185</v>
      </c>
      <c r="AS307" s="8">
        <v>0.24942761299999999</v>
      </c>
      <c r="AT307" s="9">
        <v>0.24635668499999999</v>
      </c>
      <c r="AU307" s="17">
        <v>0.23037490999999999</v>
      </c>
      <c r="AW307" s="9">
        <f t="shared" si="118"/>
        <v>0</v>
      </c>
      <c r="AY307" s="9">
        <f t="shared" si="119"/>
        <v>0</v>
      </c>
      <c r="AZ307" s="9">
        <f t="shared" si="120"/>
        <v>0</v>
      </c>
      <c r="BA307" s="9">
        <f t="shared" si="121"/>
        <v>0</v>
      </c>
      <c r="BB307" s="9">
        <f t="shared" si="122"/>
        <v>0</v>
      </c>
      <c r="BC307" s="9">
        <f t="shared" si="123"/>
        <v>0</v>
      </c>
      <c r="BE307" s="1">
        <f t="shared" si="124"/>
        <v>0</v>
      </c>
    </row>
    <row r="308" spans="2:57" x14ac:dyDescent="0.2">
      <c r="B308" s="12"/>
      <c r="C308" s="20"/>
      <c r="D308" s="20"/>
      <c r="E308" s="20"/>
      <c r="F308" s="20"/>
      <c r="G308" s="20"/>
      <c r="H308" s="20"/>
      <c r="I308" s="21">
        <f t="shared" si="100"/>
        <v>0</v>
      </c>
      <c r="J308" s="20"/>
      <c r="K308" s="20"/>
      <c r="L308" s="20"/>
      <c r="M308" s="20"/>
      <c r="N308" s="20"/>
      <c r="O308" s="20"/>
      <c r="Q308" s="19"/>
      <c r="R308" s="19"/>
      <c r="S308" s="19"/>
      <c r="T308" s="19"/>
      <c r="U308" s="19"/>
      <c r="V308" s="19"/>
      <c r="W308" s="19"/>
      <c r="Y308">
        <f t="shared" si="101"/>
        <v>0</v>
      </c>
      <c r="Z308">
        <f t="shared" si="102"/>
        <v>0</v>
      </c>
      <c r="AA308" s="18" t="e">
        <f t="shared" si="103"/>
        <v>#DIV/0!</v>
      </c>
      <c r="AB308" s="18" t="e">
        <f t="shared" si="104"/>
        <v>#DIV/0!</v>
      </c>
      <c r="AC308" s="5" t="e">
        <f t="shared" si="105"/>
        <v>#DIV/0!</v>
      </c>
      <c r="AD308" s="1" t="e">
        <f t="shared" si="106"/>
        <v>#DIV/0!</v>
      </c>
      <c r="AE308" s="1" t="e">
        <f t="shared" si="107"/>
        <v>#DIV/0!</v>
      </c>
      <c r="AF308" s="1" t="e">
        <f t="array" ref="AF308">_xlfn.IFS(C308="Biomass_Corn", 1/I308*S308, C308="Biomass_Agri", 1/I308*V308, C308="Biomass_Wood", 1/I308*U308, C308="Biomass_Herb", 1/I308*T308)</f>
        <v>#N/A</v>
      </c>
      <c r="AG308" s="1" t="e">
        <f t="shared" si="108"/>
        <v>#DIV/0!</v>
      </c>
      <c r="AH308" s="1" t="e">
        <f t="shared" si="109"/>
        <v>#DIV/0!</v>
      </c>
      <c r="AI308" s="1" t="e">
        <f t="shared" si="110"/>
        <v>#DIV/0!</v>
      </c>
      <c r="AJ308" s="1" t="e">
        <f t="shared" si="111"/>
        <v>#DIV/0!</v>
      </c>
      <c r="AK308" s="1" t="e">
        <f t="shared" si="112"/>
        <v>#DIV/0!</v>
      </c>
      <c r="AL308" t="e">
        <f t="shared" si="113"/>
        <v>#DIV/0!</v>
      </c>
      <c r="AM308" s="1" t="e">
        <f t="shared" si="114"/>
        <v>#DIV/0!</v>
      </c>
      <c r="AN308" s="1" t="e">
        <f t="shared" si="115"/>
        <v>#DIV/0!</v>
      </c>
      <c r="AO308" t="e">
        <f t="shared" si="116"/>
        <v>#DIV/0!</v>
      </c>
      <c r="AQ308" s="17">
        <f t="shared" si="117"/>
        <v>0</v>
      </c>
      <c r="AR308" s="8">
        <v>0.243968185</v>
      </c>
      <c r="AS308" s="8">
        <v>0.24942761299999999</v>
      </c>
      <c r="AT308" s="9">
        <v>0.24635668499999999</v>
      </c>
      <c r="AU308" s="17">
        <v>0.23037490999999999</v>
      </c>
      <c r="AW308" s="9">
        <f t="shared" si="118"/>
        <v>0</v>
      </c>
      <c r="AY308" s="9">
        <f t="shared" si="119"/>
        <v>0</v>
      </c>
      <c r="AZ308" s="9">
        <f t="shared" si="120"/>
        <v>0</v>
      </c>
      <c r="BA308" s="9">
        <f t="shared" si="121"/>
        <v>0</v>
      </c>
      <c r="BB308" s="9">
        <f t="shared" si="122"/>
        <v>0</v>
      </c>
      <c r="BC308" s="9">
        <f t="shared" si="123"/>
        <v>0</v>
      </c>
      <c r="BE308" s="1">
        <f t="shared" si="124"/>
        <v>0</v>
      </c>
    </row>
    <row r="309" spans="2:57" x14ac:dyDescent="0.2">
      <c r="B309" s="12"/>
      <c r="C309" s="20"/>
      <c r="D309" s="20"/>
      <c r="E309" s="20"/>
      <c r="F309" s="20"/>
      <c r="G309" s="20"/>
      <c r="H309" s="20"/>
      <c r="I309" s="21">
        <f t="shared" si="100"/>
        <v>0</v>
      </c>
      <c r="J309" s="20"/>
      <c r="K309" s="20"/>
      <c r="L309" s="20"/>
      <c r="M309" s="20"/>
      <c r="N309" s="20"/>
      <c r="O309" s="20"/>
      <c r="Q309" s="19"/>
      <c r="R309" s="19"/>
      <c r="S309" s="19"/>
      <c r="T309" s="19"/>
      <c r="U309" s="19"/>
      <c r="V309" s="19"/>
      <c r="W309" s="19"/>
      <c r="Y309">
        <f t="shared" si="101"/>
        <v>0</v>
      </c>
      <c r="Z309">
        <f t="shared" si="102"/>
        <v>0</v>
      </c>
      <c r="AA309" s="18" t="e">
        <f t="shared" si="103"/>
        <v>#DIV/0!</v>
      </c>
      <c r="AB309" s="18" t="e">
        <f t="shared" si="104"/>
        <v>#DIV/0!</v>
      </c>
      <c r="AC309" s="5" t="e">
        <f t="shared" si="105"/>
        <v>#DIV/0!</v>
      </c>
      <c r="AD309" s="1" t="e">
        <f t="shared" si="106"/>
        <v>#DIV/0!</v>
      </c>
      <c r="AE309" s="1" t="e">
        <f t="shared" si="107"/>
        <v>#DIV/0!</v>
      </c>
      <c r="AF309" s="1" t="e">
        <f t="array" ref="AF309">_xlfn.IFS(C309="Biomass_Corn", 1/I309*S309, C309="Biomass_Agri", 1/I309*V309, C309="Biomass_Wood", 1/I309*U309, C309="Biomass_Herb", 1/I309*T309)</f>
        <v>#N/A</v>
      </c>
      <c r="AG309" s="1" t="e">
        <f t="shared" si="108"/>
        <v>#DIV/0!</v>
      </c>
      <c r="AH309" s="1" t="e">
        <f t="shared" si="109"/>
        <v>#DIV/0!</v>
      </c>
      <c r="AI309" s="1" t="e">
        <f t="shared" si="110"/>
        <v>#DIV/0!</v>
      </c>
      <c r="AJ309" s="1" t="e">
        <f t="shared" si="111"/>
        <v>#DIV/0!</v>
      </c>
      <c r="AK309" s="1" t="e">
        <f t="shared" si="112"/>
        <v>#DIV/0!</v>
      </c>
      <c r="AL309" t="e">
        <f t="shared" si="113"/>
        <v>#DIV/0!</v>
      </c>
      <c r="AM309" s="1" t="e">
        <f t="shared" si="114"/>
        <v>#DIV/0!</v>
      </c>
      <c r="AN309" s="1" t="e">
        <f t="shared" si="115"/>
        <v>#DIV/0!</v>
      </c>
      <c r="AO309" t="e">
        <f t="shared" si="116"/>
        <v>#DIV/0!</v>
      </c>
      <c r="AQ309" s="17">
        <f t="shared" si="117"/>
        <v>0</v>
      </c>
      <c r="AR309" s="8">
        <v>0.243968185</v>
      </c>
      <c r="AS309" s="8">
        <v>0.24942761299999999</v>
      </c>
      <c r="AT309" s="9">
        <v>0.24635668499999999</v>
      </c>
      <c r="AU309" s="17">
        <v>0.23037490999999999</v>
      </c>
      <c r="AW309" s="9">
        <f t="shared" si="118"/>
        <v>0</v>
      </c>
      <c r="AY309" s="9">
        <f t="shared" si="119"/>
        <v>0</v>
      </c>
      <c r="AZ309" s="9">
        <f t="shared" si="120"/>
        <v>0</v>
      </c>
      <c r="BA309" s="9">
        <f t="shared" si="121"/>
        <v>0</v>
      </c>
      <c r="BB309" s="9">
        <f t="shared" si="122"/>
        <v>0</v>
      </c>
      <c r="BC309" s="9">
        <f t="shared" si="123"/>
        <v>0</v>
      </c>
      <c r="BE309" s="1">
        <f t="shared" si="124"/>
        <v>0</v>
      </c>
    </row>
    <row r="310" spans="2:57" x14ac:dyDescent="0.2">
      <c r="B310" s="12"/>
      <c r="C310" s="20"/>
      <c r="D310" s="20"/>
      <c r="E310" s="20"/>
      <c r="F310" s="20"/>
      <c r="G310" s="20"/>
      <c r="H310" s="20"/>
      <c r="I310" s="21">
        <f t="shared" si="100"/>
        <v>0</v>
      </c>
      <c r="J310" s="20"/>
      <c r="K310" s="20"/>
      <c r="L310" s="20"/>
      <c r="M310" s="20"/>
      <c r="N310" s="20"/>
      <c r="O310" s="20"/>
      <c r="Q310" s="19"/>
      <c r="R310" s="19"/>
      <c r="S310" s="19"/>
      <c r="T310" s="19"/>
      <c r="U310" s="19"/>
      <c r="V310" s="19"/>
      <c r="W310" s="19"/>
      <c r="Y310">
        <f t="shared" si="101"/>
        <v>0</v>
      </c>
      <c r="Z310">
        <f t="shared" si="102"/>
        <v>0</v>
      </c>
      <c r="AA310" s="18" t="e">
        <f t="shared" si="103"/>
        <v>#DIV/0!</v>
      </c>
      <c r="AB310" s="18" t="e">
        <f t="shared" si="104"/>
        <v>#DIV/0!</v>
      </c>
      <c r="AC310" s="5" t="e">
        <f t="shared" si="105"/>
        <v>#DIV/0!</v>
      </c>
      <c r="AD310" s="1" t="e">
        <f t="shared" si="106"/>
        <v>#DIV/0!</v>
      </c>
      <c r="AE310" s="1" t="e">
        <f t="shared" si="107"/>
        <v>#DIV/0!</v>
      </c>
      <c r="AF310" s="1" t="e">
        <f t="array" ref="AF310">_xlfn.IFS(C310="Biomass_Corn", 1/I310*S310, C310="Biomass_Agri", 1/I310*V310, C310="Biomass_Wood", 1/I310*U310, C310="Biomass_Herb", 1/I310*T310)</f>
        <v>#N/A</v>
      </c>
      <c r="AG310" s="1" t="e">
        <f t="shared" si="108"/>
        <v>#DIV/0!</v>
      </c>
      <c r="AH310" s="1" t="e">
        <f t="shared" si="109"/>
        <v>#DIV/0!</v>
      </c>
      <c r="AI310" s="1" t="e">
        <f t="shared" si="110"/>
        <v>#DIV/0!</v>
      </c>
      <c r="AJ310" s="1" t="e">
        <f t="shared" si="111"/>
        <v>#DIV/0!</v>
      </c>
      <c r="AK310" s="1" t="e">
        <f t="shared" si="112"/>
        <v>#DIV/0!</v>
      </c>
      <c r="AL310" t="e">
        <f t="shared" si="113"/>
        <v>#DIV/0!</v>
      </c>
      <c r="AM310" s="1" t="e">
        <f t="shared" si="114"/>
        <v>#DIV/0!</v>
      </c>
      <c r="AN310" s="1" t="e">
        <f t="shared" si="115"/>
        <v>#DIV/0!</v>
      </c>
      <c r="AO310" t="e">
        <f t="shared" si="116"/>
        <v>#DIV/0!</v>
      </c>
      <c r="AQ310" s="17">
        <f t="shared" si="117"/>
        <v>0</v>
      </c>
      <c r="AR310" s="8">
        <v>0.243968185</v>
      </c>
      <c r="AS310" s="8">
        <v>0.24942761299999999</v>
      </c>
      <c r="AT310" s="9">
        <v>0.24635668499999999</v>
      </c>
      <c r="AU310" s="17">
        <v>0.23037490999999999</v>
      </c>
      <c r="AW310" s="9">
        <f t="shared" si="118"/>
        <v>0</v>
      </c>
      <c r="AY310" s="9">
        <f t="shared" si="119"/>
        <v>0</v>
      </c>
      <c r="AZ310" s="9">
        <f t="shared" si="120"/>
        <v>0</v>
      </c>
      <c r="BA310" s="9">
        <f t="shared" si="121"/>
        <v>0</v>
      </c>
      <c r="BB310" s="9">
        <f t="shared" si="122"/>
        <v>0</v>
      </c>
      <c r="BC310" s="9">
        <f t="shared" si="123"/>
        <v>0</v>
      </c>
      <c r="BE310" s="1">
        <f t="shared" si="124"/>
        <v>0</v>
      </c>
    </row>
    <row r="311" spans="2:57" x14ac:dyDescent="0.2">
      <c r="B311" s="12"/>
      <c r="C311" s="20"/>
      <c r="D311" s="20"/>
      <c r="E311" s="20"/>
      <c r="F311" s="20"/>
      <c r="G311" s="20"/>
      <c r="H311" s="20"/>
      <c r="I311" s="21">
        <f t="shared" si="100"/>
        <v>0</v>
      </c>
      <c r="J311" s="20"/>
      <c r="K311" s="20"/>
      <c r="L311" s="20"/>
      <c r="M311" s="20"/>
      <c r="N311" s="20"/>
      <c r="O311" s="20"/>
      <c r="Q311" s="19"/>
      <c r="R311" s="19"/>
      <c r="S311" s="19"/>
      <c r="T311" s="19"/>
      <c r="U311" s="19"/>
      <c r="V311" s="19"/>
      <c r="W311" s="19"/>
      <c r="Y311">
        <f t="shared" si="101"/>
        <v>0</v>
      </c>
      <c r="Z311">
        <f t="shared" si="102"/>
        <v>0</v>
      </c>
      <c r="AA311" s="18" t="e">
        <f t="shared" si="103"/>
        <v>#DIV/0!</v>
      </c>
      <c r="AB311" s="18" t="e">
        <f t="shared" si="104"/>
        <v>#DIV/0!</v>
      </c>
      <c r="AC311" s="5" t="e">
        <f t="shared" si="105"/>
        <v>#DIV/0!</v>
      </c>
      <c r="AD311" s="1" t="e">
        <f t="shared" si="106"/>
        <v>#DIV/0!</v>
      </c>
      <c r="AE311" s="1" t="e">
        <f t="shared" si="107"/>
        <v>#DIV/0!</v>
      </c>
      <c r="AF311" s="1" t="e">
        <f t="array" ref="AF311">_xlfn.IFS(C311="Biomass_Corn", 1/I311*S311, C311="Biomass_Agri", 1/I311*V311, C311="Biomass_Wood", 1/I311*U311, C311="Biomass_Herb", 1/I311*T311)</f>
        <v>#N/A</v>
      </c>
      <c r="AG311" s="1" t="e">
        <f t="shared" si="108"/>
        <v>#DIV/0!</v>
      </c>
      <c r="AH311" s="1" t="e">
        <f t="shared" si="109"/>
        <v>#DIV/0!</v>
      </c>
      <c r="AI311" s="1" t="e">
        <f t="shared" si="110"/>
        <v>#DIV/0!</v>
      </c>
      <c r="AJ311" s="1" t="e">
        <f t="shared" si="111"/>
        <v>#DIV/0!</v>
      </c>
      <c r="AK311" s="1" t="e">
        <f t="shared" si="112"/>
        <v>#DIV/0!</v>
      </c>
      <c r="AL311" t="e">
        <f t="shared" si="113"/>
        <v>#DIV/0!</v>
      </c>
      <c r="AM311" s="1" t="e">
        <f t="shared" si="114"/>
        <v>#DIV/0!</v>
      </c>
      <c r="AN311" s="1" t="e">
        <f t="shared" si="115"/>
        <v>#DIV/0!</v>
      </c>
      <c r="AO311" t="e">
        <f t="shared" si="116"/>
        <v>#DIV/0!</v>
      </c>
      <c r="AQ311" s="17">
        <f t="shared" si="117"/>
        <v>0</v>
      </c>
      <c r="AR311" s="8">
        <v>0.243968185</v>
      </c>
      <c r="AS311" s="8">
        <v>0.24942761299999999</v>
      </c>
      <c r="AT311" s="9">
        <v>0.24635668499999999</v>
      </c>
      <c r="AU311" s="17">
        <v>0.23037490999999999</v>
      </c>
      <c r="AW311" s="9">
        <f t="shared" si="118"/>
        <v>0</v>
      </c>
      <c r="AY311" s="9">
        <f t="shared" si="119"/>
        <v>0</v>
      </c>
      <c r="AZ311" s="9">
        <f t="shared" si="120"/>
        <v>0</v>
      </c>
      <c r="BA311" s="9">
        <f t="shared" si="121"/>
        <v>0</v>
      </c>
      <c r="BB311" s="9">
        <f t="shared" si="122"/>
        <v>0</v>
      </c>
      <c r="BC311" s="9">
        <f t="shared" si="123"/>
        <v>0</v>
      </c>
      <c r="BE311" s="1">
        <f t="shared" si="124"/>
        <v>0</v>
      </c>
    </row>
    <row r="312" spans="2:57" x14ac:dyDescent="0.2">
      <c r="B312" s="12"/>
      <c r="C312" s="20"/>
      <c r="D312" s="20"/>
      <c r="E312" s="20"/>
      <c r="F312" s="20"/>
      <c r="G312" s="20"/>
      <c r="H312" s="20"/>
      <c r="I312" s="21">
        <f t="shared" si="100"/>
        <v>0</v>
      </c>
      <c r="J312" s="20"/>
      <c r="K312" s="20"/>
      <c r="L312" s="20"/>
      <c r="M312" s="20"/>
      <c r="N312" s="20"/>
      <c r="O312" s="20"/>
      <c r="Q312" s="19"/>
      <c r="R312" s="19"/>
      <c r="S312" s="19"/>
      <c r="T312" s="19"/>
      <c r="U312" s="19"/>
      <c r="V312" s="19"/>
      <c r="W312" s="19"/>
      <c r="Y312">
        <f t="shared" si="101"/>
        <v>0</v>
      </c>
      <c r="Z312">
        <f t="shared" si="102"/>
        <v>0</v>
      </c>
      <c r="AA312" s="18" t="e">
        <f t="shared" si="103"/>
        <v>#DIV/0!</v>
      </c>
      <c r="AB312" s="18" t="e">
        <f t="shared" si="104"/>
        <v>#DIV/0!</v>
      </c>
      <c r="AC312" s="5" t="e">
        <f t="shared" si="105"/>
        <v>#DIV/0!</v>
      </c>
      <c r="AD312" s="1" t="e">
        <f t="shared" si="106"/>
        <v>#DIV/0!</v>
      </c>
      <c r="AE312" s="1" t="e">
        <f t="shared" si="107"/>
        <v>#DIV/0!</v>
      </c>
      <c r="AF312" s="1" t="e">
        <f t="array" ref="AF312">_xlfn.IFS(C312="Biomass_Corn", 1/I312*S312, C312="Biomass_Agri", 1/I312*V312, C312="Biomass_Wood", 1/I312*U312, C312="Biomass_Herb", 1/I312*T312)</f>
        <v>#N/A</v>
      </c>
      <c r="AG312" s="1" t="e">
        <f t="shared" si="108"/>
        <v>#DIV/0!</v>
      </c>
      <c r="AH312" s="1" t="e">
        <f t="shared" si="109"/>
        <v>#DIV/0!</v>
      </c>
      <c r="AI312" s="1" t="e">
        <f t="shared" si="110"/>
        <v>#DIV/0!</v>
      </c>
      <c r="AJ312" s="1" t="e">
        <f t="shared" si="111"/>
        <v>#DIV/0!</v>
      </c>
      <c r="AK312" s="1" t="e">
        <f t="shared" si="112"/>
        <v>#DIV/0!</v>
      </c>
      <c r="AL312" t="e">
        <f t="shared" si="113"/>
        <v>#DIV/0!</v>
      </c>
      <c r="AM312" s="1" t="e">
        <f t="shared" si="114"/>
        <v>#DIV/0!</v>
      </c>
      <c r="AN312" s="1" t="e">
        <f t="shared" si="115"/>
        <v>#DIV/0!</v>
      </c>
      <c r="AO312" t="e">
        <f t="shared" si="116"/>
        <v>#DIV/0!</v>
      </c>
      <c r="AQ312" s="17">
        <f t="shared" si="117"/>
        <v>0</v>
      </c>
      <c r="AR312" s="8">
        <v>0.243968185</v>
      </c>
      <c r="AS312" s="8">
        <v>0.24942761299999999</v>
      </c>
      <c r="AT312" s="9">
        <v>0.24635668499999999</v>
      </c>
      <c r="AU312" s="17">
        <v>0.23037490999999999</v>
      </c>
      <c r="AW312" s="9">
        <f t="shared" si="118"/>
        <v>0</v>
      </c>
      <c r="AY312" s="9">
        <f t="shared" si="119"/>
        <v>0</v>
      </c>
      <c r="AZ312" s="9">
        <f t="shared" si="120"/>
        <v>0</v>
      </c>
      <c r="BA312" s="9">
        <f t="shared" si="121"/>
        <v>0</v>
      </c>
      <c r="BB312" s="9">
        <f t="shared" si="122"/>
        <v>0</v>
      </c>
      <c r="BC312" s="9">
        <f t="shared" si="123"/>
        <v>0</v>
      </c>
      <c r="BE312" s="1">
        <f t="shared" si="124"/>
        <v>0</v>
      </c>
    </row>
    <row r="313" spans="2:57" x14ac:dyDescent="0.2">
      <c r="B313" s="12"/>
      <c r="C313" s="20"/>
      <c r="D313" s="20"/>
      <c r="E313" s="20"/>
      <c r="F313" s="20"/>
      <c r="G313" s="20"/>
      <c r="H313" s="20"/>
      <c r="I313" s="21">
        <f t="shared" si="100"/>
        <v>0</v>
      </c>
      <c r="J313" s="20"/>
      <c r="K313" s="20"/>
      <c r="L313" s="20"/>
      <c r="M313" s="20"/>
      <c r="N313" s="20"/>
      <c r="O313" s="20"/>
      <c r="Q313" s="19"/>
      <c r="R313" s="19"/>
      <c r="S313" s="19"/>
      <c r="T313" s="19"/>
      <c r="U313" s="19"/>
      <c r="V313" s="19"/>
      <c r="W313" s="19"/>
      <c r="Y313">
        <f t="shared" si="101"/>
        <v>0</v>
      </c>
      <c r="Z313">
        <f t="shared" si="102"/>
        <v>0</v>
      </c>
      <c r="AA313" s="18" t="e">
        <f t="shared" si="103"/>
        <v>#DIV/0!</v>
      </c>
      <c r="AB313" s="18" t="e">
        <f t="shared" si="104"/>
        <v>#DIV/0!</v>
      </c>
      <c r="AC313" s="5" t="e">
        <f t="shared" si="105"/>
        <v>#DIV/0!</v>
      </c>
      <c r="AD313" s="1" t="e">
        <f t="shared" si="106"/>
        <v>#DIV/0!</v>
      </c>
      <c r="AE313" s="1" t="e">
        <f t="shared" si="107"/>
        <v>#DIV/0!</v>
      </c>
      <c r="AF313" s="1" t="e">
        <f t="array" ref="AF313">_xlfn.IFS(C313="Biomass_Corn", 1/I313*S313, C313="Biomass_Agri", 1/I313*V313, C313="Biomass_Wood", 1/I313*U313, C313="Biomass_Herb", 1/I313*T313)</f>
        <v>#N/A</v>
      </c>
      <c r="AG313" s="1" t="e">
        <f t="shared" si="108"/>
        <v>#DIV/0!</v>
      </c>
      <c r="AH313" s="1" t="e">
        <f t="shared" si="109"/>
        <v>#DIV/0!</v>
      </c>
      <c r="AI313" s="1" t="e">
        <f t="shared" si="110"/>
        <v>#DIV/0!</v>
      </c>
      <c r="AJ313" s="1" t="e">
        <f t="shared" si="111"/>
        <v>#DIV/0!</v>
      </c>
      <c r="AK313" s="1" t="e">
        <f t="shared" si="112"/>
        <v>#DIV/0!</v>
      </c>
      <c r="AL313" t="e">
        <f t="shared" si="113"/>
        <v>#DIV/0!</v>
      </c>
      <c r="AM313" s="1" t="e">
        <f t="shared" si="114"/>
        <v>#DIV/0!</v>
      </c>
      <c r="AN313" s="1" t="e">
        <f t="shared" si="115"/>
        <v>#DIV/0!</v>
      </c>
      <c r="AO313" t="e">
        <f t="shared" si="116"/>
        <v>#DIV/0!</v>
      </c>
      <c r="AQ313" s="17">
        <f t="shared" si="117"/>
        <v>0</v>
      </c>
      <c r="AR313" s="8">
        <v>0.243968185</v>
      </c>
      <c r="AS313" s="8">
        <v>0.24942761299999999</v>
      </c>
      <c r="AT313" s="9">
        <v>0.24635668499999999</v>
      </c>
      <c r="AU313" s="17">
        <v>0.23037490999999999</v>
      </c>
      <c r="AW313" s="9">
        <f t="shared" si="118"/>
        <v>0</v>
      </c>
      <c r="AY313" s="9">
        <f t="shared" si="119"/>
        <v>0</v>
      </c>
      <c r="AZ313" s="9">
        <f t="shared" si="120"/>
        <v>0</v>
      </c>
      <c r="BA313" s="9">
        <f t="shared" si="121"/>
        <v>0</v>
      </c>
      <c r="BB313" s="9">
        <f t="shared" si="122"/>
        <v>0</v>
      </c>
      <c r="BC313" s="9">
        <f t="shared" si="123"/>
        <v>0</v>
      </c>
      <c r="BE313" s="1">
        <f t="shared" si="124"/>
        <v>0</v>
      </c>
    </row>
    <row r="314" spans="2:57" x14ac:dyDescent="0.2">
      <c r="B314" s="12"/>
      <c r="C314" s="20"/>
      <c r="D314" s="20"/>
      <c r="E314" s="20"/>
      <c r="F314" s="20"/>
      <c r="G314" s="20"/>
      <c r="H314" s="20"/>
      <c r="I314" s="21">
        <f t="shared" si="100"/>
        <v>0</v>
      </c>
      <c r="J314" s="20"/>
      <c r="K314" s="20"/>
      <c r="L314" s="20"/>
      <c r="M314" s="20"/>
      <c r="N314" s="20"/>
      <c r="O314" s="20"/>
      <c r="Q314" s="19"/>
      <c r="R314" s="19"/>
      <c r="S314" s="19"/>
      <c r="T314" s="19"/>
      <c r="U314" s="19"/>
      <c r="V314" s="19"/>
      <c r="W314" s="19"/>
      <c r="Y314">
        <f t="shared" si="101"/>
        <v>0</v>
      </c>
      <c r="Z314">
        <f t="shared" si="102"/>
        <v>0</v>
      </c>
      <c r="AA314" s="18" t="e">
        <f t="shared" si="103"/>
        <v>#DIV/0!</v>
      </c>
      <c r="AB314" s="18" t="e">
        <f t="shared" si="104"/>
        <v>#DIV/0!</v>
      </c>
      <c r="AC314" s="5" t="e">
        <f t="shared" si="105"/>
        <v>#DIV/0!</v>
      </c>
      <c r="AD314" s="1" t="e">
        <f t="shared" si="106"/>
        <v>#DIV/0!</v>
      </c>
      <c r="AE314" s="1" t="e">
        <f t="shared" si="107"/>
        <v>#DIV/0!</v>
      </c>
      <c r="AF314" s="1" t="e">
        <f t="array" ref="AF314">_xlfn.IFS(C314="Biomass_Corn", 1/I314*S314, C314="Biomass_Agri", 1/I314*V314, C314="Biomass_Wood", 1/I314*U314, C314="Biomass_Herb", 1/I314*T314)</f>
        <v>#N/A</v>
      </c>
      <c r="AG314" s="1" t="e">
        <f t="shared" si="108"/>
        <v>#DIV/0!</v>
      </c>
      <c r="AH314" s="1" t="e">
        <f t="shared" si="109"/>
        <v>#DIV/0!</v>
      </c>
      <c r="AI314" s="1" t="e">
        <f t="shared" si="110"/>
        <v>#DIV/0!</v>
      </c>
      <c r="AJ314" s="1" t="e">
        <f t="shared" si="111"/>
        <v>#DIV/0!</v>
      </c>
      <c r="AK314" s="1" t="e">
        <f t="shared" si="112"/>
        <v>#DIV/0!</v>
      </c>
      <c r="AL314" t="e">
        <f t="shared" si="113"/>
        <v>#DIV/0!</v>
      </c>
      <c r="AM314" s="1" t="e">
        <f t="shared" si="114"/>
        <v>#DIV/0!</v>
      </c>
      <c r="AN314" s="1" t="e">
        <f t="shared" si="115"/>
        <v>#DIV/0!</v>
      </c>
      <c r="AO314" t="e">
        <f t="shared" si="116"/>
        <v>#DIV/0!</v>
      </c>
      <c r="AQ314" s="17">
        <f t="shared" si="117"/>
        <v>0</v>
      </c>
      <c r="AR314" s="8">
        <v>0.243968185</v>
      </c>
      <c r="AS314" s="8">
        <v>0.24942761299999999</v>
      </c>
      <c r="AT314" s="9">
        <v>0.24635668499999999</v>
      </c>
      <c r="AU314" s="17">
        <v>0.23037490999999999</v>
      </c>
      <c r="AW314" s="9">
        <f t="shared" si="118"/>
        <v>0</v>
      </c>
      <c r="AY314" s="9">
        <f t="shared" si="119"/>
        <v>0</v>
      </c>
      <c r="AZ314" s="9">
        <f t="shared" si="120"/>
        <v>0</v>
      </c>
      <c r="BA314" s="9">
        <f t="shared" si="121"/>
        <v>0</v>
      </c>
      <c r="BB314" s="9">
        <f t="shared" si="122"/>
        <v>0</v>
      </c>
      <c r="BC314" s="9">
        <f t="shared" si="123"/>
        <v>0</v>
      </c>
      <c r="BE314" s="1">
        <f t="shared" si="124"/>
        <v>0</v>
      </c>
    </row>
    <row r="315" spans="2:57" x14ac:dyDescent="0.2">
      <c r="B315" s="12"/>
      <c r="C315" s="20"/>
      <c r="D315" s="20"/>
      <c r="E315" s="20"/>
      <c r="F315" s="20"/>
      <c r="G315" s="20"/>
      <c r="H315" s="20"/>
      <c r="I315" s="21">
        <f t="shared" si="100"/>
        <v>0</v>
      </c>
      <c r="J315" s="20"/>
      <c r="K315" s="20"/>
      <c r="L315" s="20"/>
      <c r="M315" s="20"/>
      <c r="N315" s="20"/>
      <c r="O315" s="20"/>
      <c r="Q315" s="19"/>
      <c r="R315" s="19"/>
      <c r="S315" s="19"/>
      <c r="T315" s="19"/>
      <c r="U315" s="19"/>
      <c r="V315" s="19"/>
      <c r="W315" s="19"/>
      <c r="Y315">
        <f t="shared" si="101"/>
        <v>0</v>
      </c>
      <c r="Z315">
        <f t="shared" si="102"/>
        <v>0</v>
      </c>
      <c r="AA315" s="18" t="e">
        <f t="shared" si="103"/>
        <v>#DIV/0!</v>
      </c>
      <c r="AB315" s="18" t="e">
        <f t="shared" si="104"/>
        <v>#DIV/0!</v>
      </c>
      <c r="AC315" s="5" t="e">
        <f t="shared" si="105"/>
        <v>#DIV/0!</v>
      </c>
      <c r="AD315" s="1" t="e">
        <f t="shared" si="106"/>
        <v>#DIV/0!</v>
      </c>
      <c r="AE315" s="1" t="e">
        <f t="shared" si="107"/>
        <v>#DIV/0!</v>
      </c>
      <c r="AF315" s="1" t="e">
        <f t="array" ref="AF315">_xlfn.IFS(C315="Biomass_Corn", 1/I315*S315, C315="Biomass_Agri", 1/I315*V315, C315="Biomass_Wood", 1/I315*U315, C315="Biomass_Herb", 1/I315*T315)</f>
        <v>#N/A</v>
      </c>
      <c r="AG315" s="1" t="e">
        <f t="shared" si="108"/>
        <v>#DIV/0!</v>
      </c>
      <c r="AH315" s="1" t="e">
        <f t="shared" si="109"/>
        <v>#DIV/0!</v>
      </c>
      <c r="AI315" s="1" t="e">
        <f t="shared" si="110"/>
        <v>#DIV/0!</v>
      </c>
      <c r="AJ315" s="1" t="e">
        <f t="shared" si="111"/>
        <v>#DIV/0!</v>
      </c>
      <c r="AK315" s="1" t="e">
        <f t="shared" si="112"/>
        <v>#DIV/0!</v>
      </c>
      <c r="AL315" t="e">
        <f t="shared" si="113"/>
        <v>#DIV/0!</v>
      </c>
      <c r="AM315" s="1" t="e">
        <f t="shared" si="114"/>
        <v>#DIV/0!</v>
      </c>
      <c r="AN315" s="1" t="e">
        <f t="shared" si="115"/>
        <v>#DIV/0!</v>
      </c>
      <c r="AO315" t="e">
        <f t="shared" si="116"/>
        <v>#DIV/0!</v>
      </c>
      <c r="AQ315" s="17">
        <f t="shared" si="117"/>
        <v>0</v>
      </c>
      <c r="AR315" s="8">
        <v>0.243968185</v>
      </c>
      <c r="AS315" s="8">
        <v>0.24942761299999999</v>
      </c>
      <c r="AT315" s="9">
        <v>0.24635668499999999</v>
      </c>
      <c r="AU315" s="17">
        <v>0.23037490999999999</v>
      </c>
      <c r="AW315" s="9">
        <f t="shared" si="118"/>
        <v>0</v>
      </c>
      <c r="AY315" s="9">
        <f t="shared" si="119"/>
        <v>0</v>
      </c>
      <c r="AZ315" s="9">
        <f t="shared" si="120"/>
        <v>0</v>
      </c>
      <c r="BA315" s="9">
        <f t="shared" si="121"/>
        <v>0</v>
      </c>
      <c r="BB315" s="9">
        <f t="shared" si="122"/>
        <v>0</v>
      </c>
      <c r="BC315" s="9">
        <f t="shared" si="123"/>
        <v>0</v>
      </c>
      <c r="BE315" s="1">
        <f t="shared" si="124"/>
        <v>0</v>
      </c>
    </row>
    <row r="316" spans="2:57" x14ac:dyDescent="0.2">
      <c r="B316" s="12"/>
      <c r="C316" s="20"/>
      <c r="D316" s="20"/>
      <c r="E316" s="20"/>
      <c r="F316" s="20"/>
      <c r="G316" s="20"/>
      <c r="H316" s="20"/>
      <c r="I316" s="21">
        <f t="shared" si="100"/>
        <v>0</v>
      </c>
      <c r="J316" s="20"/>
      <c r="K316" s="20"/>
      <c r="L316" s="20"/>
      <c r="M316" s="20"/>
      <c r="N316" s="20"/>
      <c r="O316" s="20"/>
      <c r="Q316" s="19"/>
      <c r="R316" s="19"/>
      <c r="S316" s="19"/>
      <c r="T316" s="19"/>
      <c r="U316" s="19"/>
      <c r="V316" s="19"/>
      <c r="W316" s="19"/>
      <c r="Y316">
        <f t="shared" si="101"/>
        <v>0</v>
      </c>
      <c r="Z316">
        <f t="shared" si="102"/>
        <v>0</v>
      </c>
      <c r="AA316" s="18" t="e">
        <f t="shared" si="103"/>
        <v>#DIV/0!</v>
      </c>
      <c r="AB316" s="18" t="e">
        <f t="shared" si="104"/>
        <v>#DIV/0!</v>
      </c>
      <c r="AC316" s="5" t="e">
        <f t="shared" si="105"/>
        <v>#DIV/0!</v>
      </c>
      <c r="AD316" s="1" t="e">
        <f t="shared" si="106"/>
        <v>#DIV/0!</v>
      </c>
      <c r="AE316" s="1" t="e">
        <f t="shared" si="107"/>
        <v>#DIV/0!</v>
      </c>
      <c r="AF316" s="1" t="e">
        <f t="array" ref="AF316">_xlfn.IFS(C316="Biomass_Corn", 1/I316*S316, C316="Biomass_Agri", 1/I316*V316, C316="Biomass_Wood", 1/I316*U316, C316="Biomass_Herb", 1/I316*T316)</f>
        <v>#N/A</v>
      </c>
      <c r="AG316" s="1" t="e">
        <f t="shared" si="108"/>
        <v>#DIV/0!</v>
      </c>
      <c r="AH316" s="1" t="e">
        <f t="shared" si="109"/>
        <v>#DIV/0!</v>
      </c>
      <c r="AI316" s="1" t="e">
        <f t="shared" si="110"/>
        <v>#DIV/0!</v>
      </c>
      <c r="AJ316" s="1" t="e">
        <f t="shared" si="111"/>
        <v>#DIV/0!</v>
      </c>
      <c r="AK316" s="1" t="e">
        <f t="shared" si="112"/>
        <v>#DIV/0!</v>
      </c>
      <c r="AL316" t="e">
        <f t="shared" si="113"/>
        <v>#DIV/0!</v>
      </c>
      <c r="AM316" s="1" t="e">
        <f t="shared" si="114"/>
        <v>#DIV/0!</v>
      </c>
      <c r="AN316" s="1" t="e">
        <f t="shared" si="115"/>
        <v>#DIV/0!</v>
      </c>
      <c r="AO316" t="e">
        <f t="shared" si="116"/>
        <v>#DIV/0!</v>
      </c>
      <c r="AQ316" s="17">
        <f t="shared" si="117"/>
        <v>0</v>
      </c>
      <c r="AR316" s="8">
        <v>0.243968185</v>
      </c>
      <c r="AS316" s="8">
        <v>0.24942761299999999</v>
      </c>
      <c r="AT316" s="9">
        <v>0.24635668499999999</v>
      </c>
      <c r="AU316" s="17">
        <v>0.23037490999999999</v>
      </c>
      <c r="AW316" s="9">
        <f t="shared" si="118"/>
        <v>0</v>
      </c>
      <c r="AY316" s="9">
        <f t="shared" si="119"/>
        <v>0</v>
      </c>
      <c r="AZ316" s="9">
        <f t="shared" si="120"/>
        <v>0</v>
      </c>
      <c r="BA316" s="9">
        <f t="shared" si="121"/>
        <v>0</v>
      </c>
      <c r="BB316" s="9">
        <f t="shared" si="122"/>
        <v>0</v>
      </c>
      <c r="BC316" s="9">
        <f t="shared" si="123"/>
        <v>0</v>
      </c>
      <c r="BE316" s="1">
        <f t="shared" si="124"/>
        <v>0</v>
      </c>
    </row>
    <row r="317" spans="2:57" x14ac:dyDescent="0.2">
      <c r="B317" s="12"/>
      <c r="C317" s="20"/>
      <c r="D317" s="20"/>
      <c r="E317" s="20"/>
      <c r="F317" s="20"/>
      <c r="G317" s="20"/>
      <c r="H317" s="20"/>
      <c r="I317" s="21">
        <f t="shared" si="100"/>
        <v>0</v>
      </c>
      <c r="J317" s="20"/>
      <c r="K317" s="20"/>
      <c r="L317" s="20"/>
      <c r="M317" s="20"/>
      <c r="N317" s="20"/>
      <c r="O317" s="20"/>
      <c r="Q317" s="19"/>
      <c r="R317" s="19"/>
      <c r="S317" s="19"/>
      <c r="T317" s="19"/>
      <c r="U317" s="19"/>
      <c r="V317" s="19"/>
      <c r="W317" s="19"/>
      <c r="Y317">
        <f t="shared" si="101"/>
        <v>0</v>
      </c>
      <c r="Z317">
        <f t="shared" si="102"/>
        <v>0</v>
      </c>
      <c r="AA317" s="18" t="e">
        <f t="shared" si="103"/>
        <v>#DIV/0!</v>
      </c>
      <c r="AB317" s="18" t="e">
        <f t="shared" si="104"/>
        <v>#DIV/0!</v>
      </c>
      <c r="AC317" s="5" t="e">
        <f t="shared" si="105"/>
        <v>#DIV/0!</v>
      </c>
      <c r="AD317" s="1" t="e">
        <f t="shared" si="106"/>
        <v>#DIV/0!</v>
      </c>
      <c r="AE317" s="1" t="e">
        <f t="shared" si="107"/>
        <v>#DIV/0!</v>
      </c>
      <c r="AF317" s="1" t="e">
        <f t="array" ref="AF317">_xlfn.IFS(C317="Biomass_Corn", 1/I317*S317, C317="Biomass_Agri", 1/I317*V317, C317="Biomass_Wood", 1/I317*U317, C317="Biomass_Herb", 1/I317*T317)</f>
        <v>#N/A</v>
      </c>
      <c r="AG317" s="1" t="e">
        <f t="shared" si="108"/>
        <v>#DIV/0!</v>
      </c>
      <c r="AH317" s="1" t="e">
        <f t="shared" si="109"/>
        <v>#DIV/0!</v>
      </c>
      <c r="AI317" s="1" t="e">
        <f t="shared" si="110"/>
        <v>#DIV/0!</v>
      </c>
      <c r="AJ317" s="1" t="e">
        <f t="shared" si="111"/>
        <v>#DIV/0!</v>
      </c>
      <c r="AK317" s="1" t="e">
        <f t="shared" si="112"/>
        <v>#DIV/0!</v>
      </c>
      <c r="AL317" t="e">
        <f t="shared" si="113"/>
        <v>#DIV/0!</v>
      </c>
      <c r="AM317" s="1" t="e">
        <f t="shared" si="114"/>
        <v>#DIV/0!</v>
      </c>
      <c r="AN317" s="1" t="e">
        <f t="shared" si="115"/>
        <v>#DIV/0!</v>
      </c>
      <c r="AO317" t="e">
        <f t="shared" si="116"/>
        <v>#DIV/0!</v>
      </c>
      <c r="AQ317" s="17">
        <f t="shared" si="117"/>
        <v>0</v>
      </c>
      <c r="AR317" s="8">
        <v>0.243968185</v>
      </c>
      <c r="AS317" s="8">
        <v>0.24942761299999999</v>
      </c>
      <c r="AT317" s="9">
        <v>0.24635668499999999</v>
      </c>
      <c r="AU317" s="17">
        <v>0.23037490999999999</v>
      </c>
      <c r="AW317" s="9">
        <f t="shared" si="118"/>
        <v>0</v>
      </c>
      <c r="AY317" s="9">
        <f t="shared" si="119"/>
        <v>0</v>
      </c>
      <c r="AZ317" s="9">
        <f t="shared" si="120"/>
        <v>0</v>
      </c>
      <c r="BA317" s="9">
        <f t="shared" si="121"/>
        <v>0</v>
      </c>
      <c r="BB317" s="9">
        <f t="shared" si="122"/>
        <v>0</v>
      </c>
      <c r="BC317" s="9">
        <f t="shared" si="123"/>
        <v>0</v>
      </c>
      <c r="BE317" s="1">
        <f t="shared" si="124"/>
        <v>0</v>
      </c>
    </row>
    <row r="318" spans="2:57" x14ac:dyDescent="0.2">
      <c r="B318" s="12"/>
      <c r="C318" s="20"/>
      <c r="D318" s="20"/>
      <c r="E318" s="20"/>
      <c r="F318" s="20"/>
      <c r="G318" s="20"/>
      <c r="H318" s="20"/>
      <c r="I318" s="21">
        <f t="shared" si="100"/>
        <v>0</v>
      </c>
      <c r="J318" s="20"/>
      <c r="K318" s="20"/>
      <c r="L318" s="20"/>
      <c r="M318" s="20"/>
      <c r="N318" s="20"/>
      <c r="O318" s="20"/>
      <c r="Q318" s="19"/>
      <c r="R318" s="19"/>
      <c r="S318" s="19"/>
      <c r="T318" s="19"/>
      <c r="U318" s="19"/>
      <c r="V318" s="19"/>
      <c r="W318" s="19"/>
      <c r="Y318">
        <f t="shared" si="101"/>
        <v>0</v>
      </c>
      <c r="Z318">
        <f t="shared" si="102"/>
        <v>0</v>
      </c>
      <c r="AA318" s="18" t="e">
        <f t="shared" si="103"/>
        <v>#DIV/0!</v>
      </c>
      <c r="AB318" s="18" t="e">
        <f t="shared" si="104"/>
        <v>#DIV/0!</v>
      </c>
      <c r="AC318" s="5" t="e">
        <f t="shared" si="105"/>
        <v>#DIV/0!</v>
      </c>
      <c r="AD318" s="1" t="e">
        <f t="shared" si="106"/>
        <v>#DIV/0!</v>
      </c>
      <c r="AE318" s="1" t="e">
        <f t="shared" si="107"/>
        <v>#DIV/0!</v>
      </c>
      <c r="AF318" s="1" t="e">
        <f t="array" ref="AF318">_xlfn.IFS(C318="Biomass_Corn", 1/I318*S318, C318="Biomass_Agri", 1/I318*V318, C318="Biomass_Wood", 1/I318*U318, C318="Biomass_Herb", 1/I318*T318)</f>
        <v>#N/A</v>
      </c>
      <c r="AG318" s="1" t="e">
        <f t="shared" si="108"/>
        <v>#DIV/0!</v>
      </c>
      <c r="AH318" s="1" t="e">
        <f t="shared" si="109"/>
        <v>#DIV/0!</v>
      </c>
      <c r="AI318" s="1" t="e">
        <f t="shared" si="110"/>
        <v>#DIV/0!</v>
      </c>
      <c r="AJ318" s="1" t="e">
        <f t="shared" si="111"/>
        <v>#DIV/0!</v>
      </c>
      <c r="AK318" s="1" t="e">
        <f t="shared" si="112"/>
        <v>#DIV/0!</v>
      </c>
      <c r="AL318" t="e">
        <f t="shared" si="113"/>
        <v>#DIV/0!</v>
      </c>
      <c r="AM318" s="1" t="e">
        <f t="shared" si="114"/>
        <v>#DIV/0!</v>
      </c>
      <c r="AN318" s="1" t="e">
        <f t="shared" si="115"/>
        <v>#DIV/0!</v>
      </c>
      <c r="AO318" t="e">
        <f t="shared" si="116"/>
        <v>#DIV/0!</v>
      </c>
      <c r="AQ318" s="17">
        <f t="shared" si="117"/>
        <v>0</v>
      </c>
      <c r="AR318" s="8">
        <v>0.243968185</v>
      </c>
      <c r="AS318" s="8">
        <v>0.24942761299999999</v>
      </c>
      <c r="AT318" s="9">
        <v>0.24635668499999999</v>
      </c>
      <c r="AU318" s="17">
        <v>0.23037490999999999</v>
      </c>
      <c r="AW318" s="9">
        <f t="shared" si="118"/>
        <v>0</v>
      </c>
      <c r="AY318" s="9">
        <f t="shared" si="119"/>
        <v>0</v>
      </c>
      <c r="AZ318" s="9">
        <f t="shared" si="120"/>
        <v>0</v>
      </c>
      <c r="BA318" s="9">
        <f t="shared" si="121"/>
        <v>0</v>
      </c>
      <c r="BB318" s="9">
        <f t="shared" si="122"/>
        <v>0</v>
      </c>
      <c r="BC318" s="9">
        <f t="shared" si="123"/>
        <v>0</v>
      </c>
      <c r="BE318" s="1">
        <f t="shared" si="124"/>
        <v>0</v>
      </c>
    </row>
    <row r="319" spans="2:57" x14ac:dyDescent="0.2">
      <c r="B319" s="12"/>
      <c r="C319" s="20"/>
      <c r="D319" s="20"/>
      <c r="E319" s="20"/>
      <c r="F319" s="20"/>
      <c r="G319" s="20"/>
      <c r="H319" s="20"/>
      <c r="I319" s="21">
        <f t="shared" si="100"/>
        <v>0</v>
      </c>
      <c r="J319" s="20"/>
      <c r="K319" s="20"/>
      <c r="L319" s="20"/>
      <c r="M319" s="20"/>
      <c r="N319" s="20"/>
      <c r="O319" s="20"/>
      <c r="Q319" s="19"/>
      <c r="R319" s="19"/>
      <c r="S319" s="19"/>
      <c r="T319" s="19"/>
      <c r="U319" s="19"/>
      <c r="V319" s="19"/>
      <c r="W319" s="19"/>
      <c r="Y319">
        <f t="shared" si="101"/>
        <v>0</v>
      </c>
      <c r="Z319">
        <f t="shared" si="102"/>
        <v>0</v>
      </c>
      <c r="AA319" s="18" t="e">
        <f t="shared" si="103"/>
        <v>#DIV/0!</v>
      </c>
      <c r="AB319" s="18" t="e">
        <f t="shared" si="104"/>
        <v>#DIV/0!</v>
      </c>
      <c r="AC319" s="5" t="e">
        <f t="shared" si="105"/>
        <v>#DIV/0!</v>
      </c>
      <c r="AD319" s="1" t="e">
        <f t="shared" si="106"/>
        <v>#DIV/0!</v>
      </c>
      <c r="AE319" s="1" t="e">
        <f t="shared" si="107"/>
        <v>#DIV/0!</v>
      </c>
      <c r="AF319" s="1" t="e">
        <f t="array" ref="AF319">_xlfn.IFS(C319="Biomass_Corn", 1/I319*S319, C319="Biomass_Agri", 1/I319*V319, C319="Biomass_Wood", 1/I319*U319, C319="Biomass_Herb", 1/I319*T319)</f>
        <v>#N/A</v>
      </c>
      <c r="AG319" s="1" t="e">
        <f t="shared" si="108"/>
        <v>#DIV/0!</v>
      </c>
      <c r="AH319" s="1" t="e">
        <f t="shared" si="109"/>
        <v>#DIV/0!</v>
      </c>
      <c r="AI319" s="1" t="e">
        <f t="shared" si="110"/>
        <v>#DIV/0!</v>
      </c>
      <c r="AJ319" s="1" t="e">
        <f t="shared" si="111"/>
        <v>#DIV/0!</v>
      </c>
      <c r="AK319" s="1" t="e">
        <f t="shared" si="112"/>
        <v>#DIV/0!</v>
      </c>
      <c r="AL319" t="e">
        <f t="shared" si="113"/>
        <v>#DIV/0!</v>
      </c>
      <c r="AM319" s="1" t="e">
        <f t="shared" si="114"/>
        <v>#DIV/0!</v>
      </c>
      <c r="AN319" s="1" t="e">
        <f t="shared" si="115"/>
        <v>#DIV/0!</v>
      </c>
      <c r="AO319" t="e">
        <f t="shared" si="116"/>
        <v>#DIV/0!</v>
      </c>
      <c r="AQ319" s="17">
        <f t="shared" si="117"/>
        <v>0</v>
      </c>
      <c r="AR319" s="8">
        <v>0.243968185</v>
      </c>
      <c r="AS319" s="8">
        <v>0.24942761299999999</v>
      </c>
      <c r="AT319" s="9">
        <v>0.24635668499999999</v>
      </c>
      <c r="AU319" s="17">
        <v>0.23037490999999999</v>
      </c>
      <c r="AW319" s="9">
        <f t="shared" si="118"/>
        <v>0</v>
      </c>
      <c r="AY319" s="9">
        <f t="shared" si="119"/>
        <v>0</v>
      </c>
      <c r="AZ319" s="9">
        <f t="shared" si="120"/>
        <v>0</v>
      </c>
      <c r="BA319" s="9">
        <f t="shared" si="121"/>
        <v>0</v>
      </c>
      <c r="BB319" s="9">
        <f t="shared" si="122"/>
        <v>0</v>
      </c>
      <c r="BC319" s="9">
        <f t="shared" si="123"/>
        <v>0</v>
      </c>
      <c r="BE319" s="1">
        <f t="shared" si="124"/>
        <v>0</v>
      </c>
    </row>
    <row r="320" spans="2:57" x14ac:dyDescent="0.2">
      <c r="B320" s="12"/>
      <c r="C320" s="20"/>
      <c r="D320" s="20"/>
      <c r="E320" s="20"/>
      <c r="F320" s="20"/>
      <c r="G320" s="20"/>
      <c r="H320" s="20"/>
      <c r="I320" s="21">
        <f t="shared" si="100"/>
        <v>0</v>
      </c>
      <c r="J320" s="20"/>
      <c r="K320" s="20"/>
      <c r="L320" s="20"/>
      <c r="M320" s="20"/>
      <c r="N320" s="20"/>
      <c r="O320" s="20"/>
      <c r="Q320" s="19"/>
      <c r="R320" s="19"/>
      <c r="S320" s="19"/>
      <c r="T320" s="19"/>
      <c r="U320" s="19"/>
      <c r="V320" s="19"/>
      <c r="W320" s="19"/>
      <c r="Y320">
        <f t="shared" si="101"/>
        <v>0</v>
      </c>
      <c r="Z320">
        <f t="shared" si="102"/>
        <v>0</v>
      </c>
      <c r="AA320" s="18" t="e">
        <f t="shared" si="103"/>
        <v>#DIV/0!</v>
      </c>
      <c r="AB320" s="18" t="e">
        <f t="shared" si="104"/>
        <v>#DIV/0!</v>
      </c>
      <c r="AC320" s="5" t="e">
        <f t="shared" si="105"/>
        <v>#DIV/0!</v>
      </c>
      <c r="AD320" s="1" t="e">
        <f t="shared" si="106"/>
        <v>#DIV/0!</v>
      </c>
      <c r="AE320" s="1" t="e">
        <f t="shared" si="107"/>
        <v>#DIV/0!</v>
      </c>
      <c r="AF320" s="1" t="e">
        <f t="array" ref="AF320">_xlfn.IFS(C320="Biomass_Corn", 1/I320*S320, C320="Biomass_Agri", 1/I320*V320, C320="Biomass_Wood", 1/I320*U320, C320="Biomass_Herb", 1/I320*T320)</f>
        <v>#N/A</v>
      </c>
      <c r="AG320" s="1" t="e">
        <f t="shared" si="108"/>
        <v>#DIV/0!</v>
      </c>
      <c r="AH320" s="1" t="e">
        <f t="shared" si="109"/>
        <v>#DIV/0!</v>
      </c>
      <c r="AI320" s="1" t="e">
        <f t="shared" si="110"/>
        <v>#DIV/0!</v>
      </c>
      <c r="AJ320" s="1" t="e">
        <f t="shared" si="111"/>
        <v>#DIV/0!</v>
      </c>
      <c r="AK320" s="1" t="e">
        <f t="shared" si="112"/>
        <v>#DIV/0!</v>
      </c>
      <c r="AL320" t="e">
        <f t="shared" si="113"/>
        <v>#DIV/0!</v>
      </c>
      <c r="AM320" s="1" t="e">
        <f t="shared" si="114"/>
        <v>#DIV/0!</v>
      </c>
      <c r="AN320" s="1" t="e">
        <f t="shared" si="115"/>
        <v>#DIV/0!</v>
      </c>
      <c r="AO320" t="e">
        <f t="shared" si="116"/>
        <v>#DIV/0!</v>
      </c>
      <c r="AQ320" s="17">
        <f t="shared" si="117"/>
        <v>0</v>
      </c>
      <c r="AR320" s="8">
        <v>0.243968185</v>
      </c>
      <c r="AS320" s="8">
        <v>0.24942761299999999</v>
      </c>
      <c r="AT320" s="9">
        <v>0.24635668499999999</v>
      </c>
      <c r="AU320" s="17">
        <v>0.23037490999999999</v>
      </c>
      <c r="AW320" s="9">
        <f t="shared" si="118"/>
        <v>0</v>
      </c>
      <c r="AY320" s="9">
        <f t="shared" si="119"/>
        <v>0</v>
      </c>
      <c r="AZ320" s="9">
        <f t="shared" si="120"/>
        <v>0</v>
      </c>
      <c r="BA320" s="9">
        <f t="shared" si="121"/>
        <v>0</v>
      </c>
      <c r="BB320" s="9">
        <f t="shared" si="122"/>
        <v>0</v>
      </c>
      <c r="BC320" s="9">
        <f t="shared" si="123"/>
        <v>0</v>
      </c>
      <c r="BE320" s="1">
        <f t="shared" si="124"/>
        <v>0</v>
      </c>
    </row>
    <row r="321" spans="2:57" x14ac:dyDescent="0.2">
      <c r="B321" s="12"/>
      <c r="C321" s="20"/>
      <c r="D321" s="20"/>
      <c r="E321" s="20"/>
      <c r="F321" s="20"/>
      <c r="G321" s="20"/>
      <c r="H321" s="20"/>
      <c r="I321" s="21">
        <f t="shared" si="100"/>
        <v>0</v>
      </c>
      <c r="J321" s="20"/>
      <c r="K321" s="20"/>
      <c r="L321" s="20"/>
      <c r="M321" s="20"/>
      <c r="N321" s="20"/>
      <c r="O321" s="20"/>
      <c r="Q321" s="19"/>
      <c r="R321" s="19"/>
      <c r="S321" s="19"/>
      <c r="T321" s="19"/>
      <c r="U321" s="19"/>
      <c r="V321" s="19"/>
      <c r="W321" s="19"/>
      <c r="Y321">
        <f t="shared" si="101"/>
        <v>0</v>
      </c>
      <c r="Z321">
        <f t="shared" si="102"/>
        <v>0</v>
      </c>
      <c r="AA321" s="18" t="e">
        <f t="shared" si="103"/>
        <v>#DIV/0!</v>
      </c>
      <c r="AB321" s="18" t="e">
        <f t="shared" si="104"/>
        <v>#DIV/0!</v>
      </c>
      <c r="AC321" s="5" t="e">
        <f t="shared" si="105"/>
        <v>#DIV/0!</v>
      </c>
      <c r="AD321" s="1" t="e">
        <f t="shared" si="106"/>
        <v>#DIV/0!</v>
      </c>
      <c r="AE321" s="1" t="e">
        <f t="shared" si="107"/>
        <v>#DIV/0!</v>
      </c>
      <c r="AF321" s="1" t="e">
        <f t="array" ref="AF321">_xlfn.IFS(C321="Biomass_Corn", 1/I321*S321, C321="Biomass_Agri", 1/I321*V321, C321="Biomass_Wood", 1/I321*U321, C321="Biomass_Herb", 1/I321*T321)</f>
        <v>#N/A</v>
      </c>
      <c r="AG321" s="1" t="e">
        <f t="shared" si="108"/>
        <v>#DIV/0!</v>
      </c>
      <c r="AH321" s="1" t="e">
        <f t="shared" si="109"/>
        <v>#DIV/0!</v>
      </c>
      <c r="AI321" s="1" t="e">
        <f t="shared" si="110"/>
        <v>#DIV/0!</v>
      </c>
      <c r="AJ321" s="1" t="e">
        <f t="shared" si="111"/>
        <v>#DIV/0!</v>
      </c>
      <c r="AK321" s="1" t="e">
        <f t="shared" si="112"/>
        <v>#DIV/0!</v>
      </c>
      <c r="AL321" t="e">
        <f t="shared" si="113"/>
        <v>#DIV/0!</v>
      </c>
      <c r="AM321" s="1" t="e">
        <f t="shared" si="114"/>
        <v>#DIV/0!</v>
      </c>
      <c r="AN321" s="1" t="e">
        <f t="shared" si="115"/>
        <v>#DIV/0!</v>
      </c>
      <c r="AO321" t="e">
        <f t="shared" si="116"/>
        <v>#DIV/0!</v>
      </c>
      <c r="AQ321" s="17">
        <f t="shared" si="117"/>
        <v>0</v>
      </c>
      <c r="AR321" s="8">
        <v>0.243968185</v>
      </c>
      <c r="AS321" s="8">
        <v>0.24942761299999999</v>
      </c>
      <c r="AT321" s="9">
        <v>0.24635668499999999</v>
      </c>
      <c r="AU321" s="17">
        <v>0.23037490999999999</v>
      </c>
      <c r="AW321" s="9">
        <f t="shared" si="118"/>
        <v>0</v>
      </c>
      <c r="AY321" s="9">
        <f t="shared" si="119"/>
        <v>0</v>
      </c>
      <c r="AZ321" s="9">
        <f t="shared" si="120"/>
        <v>0</v>
      </c>
      <c r="BA321" s="9">
        <f t="shared" si="121"/>
        <v>0</v>
      </c>
      <c r="BB321" s="9">
        <f t="shared" si="122"/>
        <v>0</v>
      </c>
      <c r="BC321" s="9">
        <f t="shared" si="123"/>
        <v>0</v>
      </c>
      <c r="BE321" s="1">
        <f t="shared" si="124"/>
        <v>0</v>
      </c>
    </row>
    <row r="322" spans="2:57" x14ac:dyDescent="0.2">
      <c r="B322" s="12"/>
      <c r="C322" s="20"/>
      <c r="D322" s="20"/>
      <c r="E322" s="20"/>
      <c r="F322" s="20"/>
      <c r="G322" s="20"/>
      <c r="H322" s="20"/>
      <c r="I322" s="21">
        <f t="shared" si="100"/>
        <v>0</v>
      </c>
      <c r="J322" s="20"/>
      <c r="K322" s="20"/>
      <c r="L322" s="20"/>
      <c r="M322" s="20"/>
      <c r="N322" s="20"/>
      <c r="O322" s="20"/>
      <c r="Q322" s="19"/>
      <c r="R322" s="19"/>
      <c r="S322" s="19"/>
      <c r="T322" s="19"/>
      <c r="U322" s="19"/>
      <c r="V322" s="19"/>
      <c r="W322" s="19"/>
      <c r="Y322">
        <f t="shared" si="101"/>
        <v>0</v>
      </c>
      <c r="Z322">
        <f t="shared" si="102"/>
        <v>0</v>
      </c>
      <c r="AA322" s="18" t="e">
        <f t="shared" si="103"/>
        <v>#DIV/0!</v>
      </c>
      <c r="AB322" s="18" t="e">
        <f t="shared" si="104"/>
        <v>#DIV/0!</v>
      </c>
      <c r="AC322" s="5" t="e">
        <f t="shared" si="105"/>
        <v>#DIV/0!</v>
      </c>
      <c r="AD322" s="1" t="e">
        <f t="shared" si="106"/>
        <v>#DIV/0!</v>
      </c>
      <c r="AE322" s="1" t="e">
        <f t="shared" si="107"/>
        <v>#DIV/0!</v>
      </c>
      <c r="AF322" s="1" t="e">
        <f t="array" ref="AF322">_xlfn.IFS(C322="Biomass_Corn", 1/I322*S322, C322="Biomass_Agri", 1/I322*V322, C322="Biomass_Wood", 1/I322*U322, C322="Biomass_Herb", 1/I322*T322)</f>
        <v>#N/A</v>
      </c>
      <c r="AG322" s="1" t="e">
        <f t="shared" si="108"/>
        <v>#DIV/0!</v>
      </c>
      <c r="AH322" s="1" t="e">
        <f t="shared" si="109"/>
        <v>#DIV/0!</v>
      </c>
      <c r="AI322" s="1" t="e">
        <f t="shared" si="110"/>
        <v>#DIV/0!</v>
      </c>
      <c r="AJ322" s="1" t="e">
        <f t="shared" si="111"/>
        <v>#DIV/0!</v>
      </c>
      <c r="AK322" s="1" t="e">
        <f t="shared" si="112"/>
        <v>#DIV/0!</v>
      </c>
      <c r="AL322" t="e">
        <f t="shared" si="113"/>
        <v>#DIV/0!</v>
      </c>
      <c r="AM322" s="1" t="e">
        <f t="shared" si="114"/>
        <v>#DIV/0!</v>
      </c>
      <c r="AN322" s="1" t="e">
        <f t="shared" si="115"/>
        <v>#DIV/0!</v>
      </c>
      <c r="AO322" t="e">
        <f t="shared" si="116"/>
        <v>#DIV/0!</v>
      </c>
      <c r="AQ322" s="17">
        <f t="shared" si="117"/>
        <v>0</v>
      </c>
      <c r="AR322" s="8">
        <v>0.243968185</v>
      </c>
      <c r="AS322" s="8">
        <v>0.24942761299999999</v>
      </c>
      <c r="AT322" s="9">
        <v>0.24635668499999999</v>
      </c>
      <c r="AU322" s="17">
        <v>0.23037490999999999</v>
      </c>
      <c r="AW322" s="9">
        <f t="shared" si="118"/>
        <v>0</v>
      </c>
      <c r="AY322" s="9">
        <f t="shared" si="119"/>
        <v>0</v>
      </c>
      <c r="AZ322" s="9">
        <f t="shared" si="120"/>
        <v>0</v>
      </c>
      <c r="BA322" s="9">
        <f t="shared" si="121"/>
        <v>0</v>
      </c>
      <c r="BB322" s="9">
        <f t="shared" si="122"/>
        <v>0</v>
      </c>
      <c r="BC322" s="9">
        <f t="shared" si="123"/>
        <v>0</v>
      </c>
      <c r="BE322" s="1">
        <f t="shared" si="124"/>
        <v>0</v>
      </c>
    </row>
    <row r="323" spans="2:57" x14ac:dyDescent="0.2">
      <c r="B323" s="12"/>
      <c r="C323" s="20"/>
      <c r="D323" s="20"/>
      <c r="E323" s="20"/>
      <c r="F323" s="20"/>
      <c r="G323" s="20"/>
      <c r="H323" s="20"/>
      <c r="I323" s="21">
        <f t="shared" si="100"/>
        <v>0</v>
      </c>
      <c r="J323" s="20"/>
      <c r="K323" s="20"/>
      <c r="L323" s="20"/>
      <c r="M323" s="20"/>
      <c r="N323" s="20"/>
      <c r="O323" s="20"/>
      <c r="Q323" s="19"/>
      <c r="R323" s="19"/>
      <c r="S323" s="19"/>
      <c r="T323" s="19"/>
      <c r="U323" s="19"/>
      <c r="V323" s="19"/>
      <c r="W323" s="19"/>
      <c r="Y323">
        <f t="shared" si="101"/>
        <v>0</v>
      </c>
      <c r="Z323">
        <f t="shared" si="102"/>
        <v>0</v>
      </c>
      <c r="AA323" s="18" t="e">
        <f t="shared" si="103"/>
        <v>#DIV/0!</v>
      </c>
      <c r="AB323" s="18" t="e">
        <f t="shared" si="104"/>
        <v>#DIV/0!</v>
      </c>
      <c r="AC323" s="5" t="e">
        <f t="shared" si="105"/>
        <v>#DIV/0!</v>
      </c>
      <c r="AD323" s="1" t="e">
        <f t="shared" si="106"/>
        <v>#DIV/0!</v>
      </c>
      <c r="AE323" s="1" t="e">
        <f t="shared" si="107"/>
        <v>#DIV/0!</v>
      </c>
      <c r="AF323" s="1" t="e">
        <f t="array" ref="AF323">_xlfn.IFS(C323="Biomass_Corn", 1/I323*S323, C323="Biomass_Agri", 1/I323*V323, C323="Biomass_Wood", 1/I323*U323, C323="Biomass_Herb", 1/I323*T323)</f>
        <v>#N/A</v>
      </c>
      <c r="AG323" s="1" t="e">
        <f t="shared" si="108"/>
        <v>#DIV/0!</v>
      </c>
      <c r="AH323" s="1" t="e">
        <f t="shared" si="109"/>
        <v>#DIV/0!</v>
      </c>
      <c r="AI323" s="1" t="e">
        <f t="shared" si="110"/>
        <v>#DIV/0!</v>
      </c>
      <c r="AJ323" s="1" t="e">
        <f t="shared" si="111"/>
        <v>#DIV/0!</v>
      </c>
      <c r="AK323" s="1" t="e">
        <f t="shared" si="112"/>
        <v>#DIV/0!</v>
      </c>
      <c r="AL323" t="e">
        <f t="shared" si="113"/>
        <v>#DIV/0!</v>
      </c>
      <c r="AM323" s="1" t="e">
        <f t="shared" si="114"/>
        <v>#DIV/0!</v>
      </c>
      <c r="AN323" s="1" t="e">
        <f t="shared" si="115"/>
        <v>#DIV/0!</v>
      </c>
      <c r="AO323" t="e">
        <f t="shared" si="116"/>
        <v>#DIV/0!</v>
      </c>
      <c r="AQ323" s="17">
        <f t="shared" si="117"/>
        <v>0</v>
      </c>
      <c r="AR323" s="8">
        <v>0.243968185</v>
      </c>
      <c r="AS323" s="8">
        <v>0.24942761299999999</v>
      </c>
      <c r="AT323" s="9">
        <v>0.24635668499999999</v>
      </c>
      <c r="AU323" s="17">
        <v>0.23037490999999999</v>
      </c>
      <c r="AW323" s="9">
        <f t="shared" si="118"/>
        <v>0</v>
      </c>
      <c r="AY323" s="9">
        <f t="shared" si="119"/>
        <v>0</v>
      </c>
      <c r="AZ323" s="9">
        <f t="shared" si="120"/>
        <v>0</v>
      </c>
      <c r="BA323" s="9">
        <f t="shared" si="121"/>
        <v>0</v>
      </c>
      <c r="BB323" s="9">
        <f t="shared" si="122"/>
        <v>0</v>
      </c>
      <c r="BC323" s="9">
        <f t="shared" si="123"/>
        <v>0</v>
      </c>
      <c r="BE323" s="1">
        <f t="shared" si="124"/>
        <v>0</v>
      </c>
    </row>
    <row r="324" spans="2:57" x14ac:dyDescent="0.2">
      <c r="B324" s="12"/>
      <c r="C324" s="20"/>
      <c r="D324" s="20"/>
      <c r="E324" s="20"/>
      <c r="F324" s="20"/>
      <c r="G324" s="20"/>
      <c r="H324" s="20"/>
      <c r="I324" s="21">
        <f t="shared" ref="I324:I387" si="125">F324+G324+H324</f>
        <v>0</v>
      </c>
      <c r="J324" s="20"/>
      <c r="K324" s="20"/>
      <c r="L324" s="20"/>
      <c r="M324" s="20"/>
      <c r="N324" s="20"/>
      <c r="O324" s="20"/>
      <c r="Q324" s="19"/>
      <c r="R324" s="19"/>
      <c r="S324" s="19"/>
      <c r="T324" s="19"/>
      <c r="U324" s="19"/>
      <c r="V324" s="19"/>
      <c r="W324" s="19"/>
      <c r="Y324">
        <f t="shared" si="101"/>
        <v>0</v>
      </c>
      <c r="Z324">
        <f t="shared" si="102"/>
        <v>0</v>
      </c>
      <c r="AA324" s="18" t="e">
        <f t="shared" si="103"/>
        <v>#DIV/0!</v>
      </c>
      <c r="AB324" s="18" t="e">
        <f t="shared" si="104"/>
        <v>#DIV/0!</v>
      </c>
      <c r="AC324" s="5" t="e">
        <f t="shared" ref="AC324:AC387" si="126">AA324-AB324</f>
        <v>#DIV/0!</v>
      </c>
      <c r="AD324" s="1" t="e">
        <f t="shared" si="106"/>
        <v>#DIV/0!</v>
      </c>
      <c r="AE324" s="1" t="e">
        <f t="shared" si="107"/>
        <v>#DIV/0!</v>
      </c>
      <c r="AF324" s="1" t="e">
        <f t="array" ref="AF324">_xlfn.IFS(C324="Biomass_Corn", 1/I324*S324, C324="Biomass_Agri", 1/I324*V324, C324="Biomass_Wood", 1/I324*U324, C324="Biomass_Herb", 1/I324*T324)</f>
        <v>#N/A</v>
      </c>
      <c r="AG324" s="1" t="e">
        <f t="shared" si="108"/>
        <v>#DIV/0!</v>
      </c>
      <c r="AH324" s="1" t="e">
        <f t="shared" si="109"/>
        <v>#DIV/0!</v>
      </c>
      <c r="AI324" s="1" t="e">
        <f t="shared" si="110"/>
        <v>#DIV/0!</v>
      </c>
      <c r="AJ324" s="1" t="e">
        <f t="shared" si="111"/>
        <v>#DIV/0!</v>
      </c>
      <c r="AK324" s="1" t="e">
        <f t="shared" si="112"/>
        <v>#DIV/0!</v>
      </c>
      <c r="AL324" t="e">
        <f t="shared" si="113"/>
        <v>#DIV/0!</v>
      </c>
      <c r="AM324" s="1" t="e">
        <f t="shared" si="114"/>
        <v>#DIV/0!</v>
      </c>
      <c r="AN324" s="1" t="e">
        <f t="shared" si="115"/>
        <v>#DIV/0!</v>
      </c>
      <c r="AO324" t="e">
        <f t="shared" si="116"/>
        <v>#DIV/0!</v>
      </c>
      <c r="AQ324" s="17">
        <f t="shared" si="117"/>
        <v>0</v>
      </c>
      <c r="AR324" s="8">
        <v>0.243968185</v>
      </c>
      <c r="AS324" s="8">
        <v>0.24942761299999999</v>
      </c>
      <c r="AT324" s="9">
        <v>0.24635668499999999</v>
      </c>
      <c r="AU324" s="17">
        <v>0.23037490999999999</v>
      </c>
      <c r="AW324" s="9">
        <f t="shared" si="118"/>
        <v>0</v>
      </c>
      <c r="AY324" s="9">
        <f t="shared" si="119"/>
        <v>0</v>
      </c>
      <c r="AZ324" s="9">
        <f t="shared" si="120"/>
        <v>0</v>
      </c>
      <c r="BA324" s="9">
        <f t="shared" si="121"/>
        <v>0</v>
      </c>
      <c r="BB324" s="9">
        <f t="shared" si="122"/>
        <v>0</v>
      </c>
      <c r="BC324" s="9">
        <f t="shared" si="123"/>
        <v>0</v>
      </c>
      <c r="BE324" s="1">
        <f t="shared" si="124"/>
        <v>0</v>
      </c>
    </row>
    <row r="325" spans="2:57" x14ac:dyDescent="0.2">
      <c r="B325" s="12"/>
      <c r="C325" s="20"/>
      <c r="D325" s="20"/>
      <c r="E325" s="20"/>
      <c r="F325" s="20"/>
      <c r="G325" s="20"/>
      <c r="H325" s="20"/>
      <c r="I325" s="21">
        <f t="shared" si="125"/>
        <v>0</v>
      </c>
      <c r="J325" s="20"/>
      <c r="K325" s="20"/>
      <c r="L325" s="20"/>
      <c r="M325" s="20"/>
      <c r="N325" s="20"/>
      <c r="O325" s="20"/>
      <c r="Q325" s="19"/>
      <c r="R325" s="19"/>
      <c r="S325" s="19"/>
      <c r="T325" s="19"/>
      <c r="U325" s="19"/>
      <c r="V325" s="19"/>
      <c r="W325" s="19"/>
      <c r="Y325">
        <f t="shared" si="101"/>
        <v>0</v>
      </c>
      <c r="Z325">
        <f t="shared" si="102"/>
        <v>0</v>
      </c>
      <c r="AA325" s="18" t="e">
        <f t="shared" si="103"/>
        <v>#DIV/0!</v>
      </c>
      <c r="AB325" s="18" t="e">
        <f t="shared" si="104"/>
        <v>#DIV/0!</v>
      </c>
      <c r="AC325" s="5" t="e">
        <f t="shared" si="126"/>
        <v>#DIV/0!</v>
      </c>
      <c r="AD325" s="1" t="e">
        <f t="shared" si="106"/>
        <v>#DIV/0!</v>
      </c>
      <c r="AE325" s="1" t="e">
        <f t="shared" si="107"/>
        <v>#DIV/0!</v>
      </c>
      <c r="AF325" s="1" t="e">
        <f t="array" ref="AF325">_xlfn.IFS(C325="Biomass_Corn", 1/I325*S325, C325="Biomass_Agri", 1/I325*V325, C325="Biomass_Wood", 1/I325*U325, C325="Biomass_Herb", 1/I325*T325)</f>
        <v>#N/A</v>
      </c>
      <c r="AG325" s="1" t="e">
        <f t="shared" si="108"/>
        <v>#DIV/0!</v>
      </c>
      <c r="AH325" s="1" t="e">
        <f t="shared" si="109"/>
        <v>#DIV/0!</v>
      </c>
      <c r="AI325" s="1" t="e">
        <f t="shared" si="110"/>
        <v>#DIV/0!</v>
      </c>
      <c r="AJ325" s="1" t="e">
        <f t="shared" si="111"/>
        <v>#DIV/0!</v>
      </c>
      <c r="AK325" s="1" t="e">
        <f t="shared" si="112"/>
        <v>#DIV/0!</v>
      </c>
      <c r="AL325" t="e">
        <f t="shared" si="113"/>
        <v>#DIV/0!</v>
      </c>
      <c r="AM325" s="1" t="e">
        <f t="shared" si="114"/>
        <v>#DIV/0!</v>
      </c>
      <c r="AN325" s="1" t="e">
        <f t="shared" si="115"/>
        <v>#DIV/0!</v>
      </c>
      <c r="AO325" t="e">
        <f t="shared" si="116"/>
        <v>#DIV/0!</v>
      </c>
      <c r="AQ325" s="17">
        <f t="shared" si="117"/>
        <v>0</v>
      </c>
      <c r="AR325" s="8">
        <v>0.243968185</v>
      </c>
      <c r="AS325" s="8">
        <v>0.24942761299999999</v>
      </c>
      <c r="AT325" s="9">
        <v>0.24635668499999999</v>
      </c>
      <c r="AU325" s="17">
        <v>0.23037490999999999</v>
      </c>
      <c r="AW325" s="9">
        <f t="shared" si="118"/>
        <v>0</v>
      </c>
      <c r="AY325" s="9">
        <f t="shared" si="119"/>
        <v>0</v>
      </c>
      <c r="AZ325" s="9">
        <f t="shared" si="120"/>
        <v>0</v>
      </c>
      <c r="BA325" s="9">
        <f t="shared" si="121"/>
        <v>0</v>
      </c>
      <c r="BB325" s="9">
        <f t="shared" si="122"/>
        <v>0</v>
      </c>
      <c r="BC325" s="9">
        <f t="shared" si="123"/>
        <v>0</v>
      </c>
      <c r="BE325" s="1">
        <f t="shared" si="124"/>
        <v>0</v>
      </c>
    </row>
    <row r="326" spans="2:57" x14ac:dyDescent="0.2">
      <c r="B326" s="12"/>
      <c r="C326" s="20"/>
      <c r="D326" s="20"/>
      <c r="E326" s="20"/>
      <c r="F326" s="20"/>
      <c r="G326" s="20"/>
      <c r="H326" s="20"/>
      <c r="I326" s="21">
        <f t="shared" si="125"/>
        <v>0</v>
      </c>
      <c r="J326" s="20"/>
      <c r="K326" s="20"/>
      <c r="L326" s="20"/>
      <c r="M326" s="20"/>
      <c r="N326" s="20"/>
      <c r="O326" s="20"/>
      <c r="Q326" s="19"/>
      <c r="R326" s="19"/>
      <c r="S326" s="19"/>
      <c r="T326" s="19"/>
      <c r="U326" s="19"/>
      <c r="V326" s="19"/>
      <c r="W326" s="19"/>
      <c r="Y326">
        <f t="shared" si="101"/>
        <v>0</v>
      </c>
      <c r="Z326">
        <f t="shared" si="102"/>
        <v>0</v>
      </c>
      <c r="AA326" s="18" t="e">
        <f t="shared" si="103"/>
        <v>#DIV/0!</v>
      </c>
      <c r="AB326" s="18" t="e">
        <f t="shared" si="104"/>
        <v>#DIV/0!</v>
      </c>
      <c r="AC326" s="5" t="e">
        <f t="shared" si="126"/>
        <v>#DIV/0!</v>
      </c>
      <c r="AD326" s="1" t="e">
        <f t="shared" si="106"/>
        <v>#DIV/0!</v>
      </c>
      <c r="AE326" s="1" t="e">
        <f t="shared" si="107"/>
        <v>#DIV/0!</v>
      </c>
      <c r="AF326" s="1" t="e">
        <f t="array" ref="AF326">_xlfn.IFS(C326="Biomass_Corn", 1/I326*S326, C326="Biomass_Agri", 1/I326*V326, C326="Biomass_Wood", 1/I326*U326, C326="Biomass_Herb", 1/I326*T326)</f>
        <v>#N/A</v>
      </c>
      <c r="AG326" s="1" t="e">
        <f t="shared" si="108"/>
        <v>#DIV/0!</v>
      </c>
      <c r="AH326" s="1" t="e">
        <f t="shared" si="109"/>
        <v>#DIV/0!</v>
      </c>
      <c r="AI326" s="1" t="e">
        <f t="shared" si="110"/>
        <v>#DIV/0!</v>
      </c>
      <c r="AJ326" s="1" t="e">
        <f t="shared" si="111"/>
        <v>#DIV/0!</v>
      </c>
      <c r="AK326" s="1" t="e">
        <f t="shared" si="112"/>
        <v>#DIV/0!</v>
      </c>
      <c r="AL326" t="e">
        <f t="shared" si="113"/>
        <v>#DIV/0!</v>
      </c>
      <c r="AM326" s="1" t="e">
        <f t="shared" si="114"/>
        <v>#DIV/0!</v>
      </c>
      <c r="AN326" s="1" t="e">
        <f t="shared" si="115"/>
        <v>#DIV/0!</v>
      </c>
      <c r="AO326" t="e">
        <f t="shared" si="116"/>
        <v>#DIV/0!</v>
      </c>
      <c r="AQ326" s="17">
        <f t="shared" si="117"/>
        <v>0</v>
      </c>
      <c r="AR326" s="8">
        <v>0.243968185</v>
      </c>
      <c r="AS326" s="8">
        <v>0.24942761299999999</v>
      </c>
      <c r="AT326" s="9">
        <v>0.24635668499999999</v>
      </c>
      <c r="AU326" s="17">
        <v>0.23037490999999999</v>
      </c>
      <c r="AW326" s="9">
        <f t="shared" si="118"/>
        <v>0</v>
      </c>
      <c r="AY326" s="9">
        <f t="shared" si="119"/>
        <v>0</v>
      </c>
      <c r="AZ326" s="9">
        <f t="shared" si="120"/>
        <v>0</v>
      </c>
      <c r="BA326" s="9">
        <f t="shared" si="121"/>
        <v>0</v>
      </c>
      <c r="BB326" s="9">
        <f t="shared" si="122"/>
        <v>0</v>
      </c>
      <c r="BC326" s="9">
        <f t="shared" si="123"/>
        <v>0</v>
      </c>
      <c r="BE326" s="1">
        <f t="shared" si="124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74"/>
  <sheetViews>
    <sheetView tabSelected="1" zoomScale="75" zoomScaleNormal="112" workbookViewId="0">
      <selection activeCell="S14" sqref="A14:S49"/>
    </sheetView>
  </sheetViews>
  <sheetFormatPr baseColWidth="10" defaultRowHeight="16" x14ac:dyDescent="0.2"/>
  <cols>
    <col min="2" max="2" width="37.83203125" bestFit="1" customWidth="1"/>
    <col min="3" max="3" width="13.6640625" bestFit="1" customWidth="1"/>
    <col min="4" max="4" width="15.1640625" bestFit="1" customWidth="1"/>
    <col min="5" max="5" width="18.5" bestFit="1" customWidth="1"/>
    <col min="6" max="6" width="13.6640625" bestFit="1" customWidth="1"/>
    <col min="7" max="7" width="12.1640625" bestFit="1" customWidth="1"/>
    <col min="8" max="8" width="14.5" bestFit="1" customWidth="1"/>
    <col min="9" max="9" width="17.83203125" bestFit="1" customWidth="1"/>
    <col min="10" max="10" width="19.33203125" bestFit="1" customWidth="1"/>
    <col min="11" max="11" width="18.6640625" bestFit="1" customWidth="1"/>
  </cols>
  <sheetData>
    <row r="1" spans="2:11" x14ac:dyDescent="0.2">
      <c r="B1" t="s">
        <v>302</v>
      </c>
    </row>
    <row r="2" spans="2:11" x14ac:dyDescent="0.2">
      <c r="B2" s="2" t="s">
        <v>11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3" t="s">
        <v>42</v>
      </c>
      <c r="J2" s="3" t="s">
        <v>43</v>
      </c>
      <c r="K2" s="3" t="s">
        <v>303</v>
      </c>
    </row>
    <row r="3" spans="2:11" x14ac:dyDescent="0.2">
      <c r="B3" t="str">
        <f>lc_detailed!B4</f>
        <v>CA_Gasoline_Gasification_Non_CCS_Herb</v>
      </c>
      <c r="C3">
        <f>lc_detailed!AD4</f>
        <v>0</v>
      </c>
      <c r="D3">
        <f>lc_detailed!AE4</f>
        <v>0</v>
      </c>
      <c r="E3">
        <f>lc_detailed!AF4</f>
        <v>155233.10599584243</v>
      </c>
      <c r="F3">
        <f>lc_detailed!AG4</f>
        <v>22.352772898575573</v>
      </c>
      <c r="G3">
        <f>lc_detailed!AH4</f>
        <v>17.798124276971542</v>
      </c>
      <c r="H3">
        <f>lc_detailed!AI4</f>
        <v>10.909522866759056</v>
      </c>
      <c r="I3">
        <f>lc_detailed!AK4</f>
        <v>0</v>
      </c>
      <c r="J3">
        <f>lc_detailed!AL4</f>
        <v>-4.3709405316055957E-4</v>
      </c>
      <c r="K3">
        <f>lc_detailed!AB4</f>
        <v>155284.1659787907</v>
      </c>
    </row>
    <row r="4" spans="2:11" x14ac:dyDescent="0.2">
      <c r="B4" t="str">
        <f>lc_detailed!B5</f>
        <v>NW_Gasoline_Gasification_Non_CCS_Herb</v>
      </c>
      <c r="C4">
        <f>lc_detailed!AD5</f>
        <v>0</v>
      </c>
      <c r="D4">
        <f>lc_detailed!AE5</f>
        <v>0</v>
      </c>
      <c r="E4">
        <f>lc_detailed!AF5</f>
        <v>64.69287470986221</v>
      </c>
      <c r="F4">
        <f>lc_detailed!AG5</f>
        <v>22.303097616811737</v>
      </c>
      <c r="G4">
        <f>lc_detailed!AH5</f>
        <v>17.758570936437994</v>
      </c>
      <c r="H4">
        <f>lc_detailed!AI5</f>
        <v>10.885278285347423</v>
      </c>
      <c r="I4">
        <f>lc_detailed!AK5</f>
        <v>0</v>
      </c>
      <c r="J4">
        <f>lc_detailed!AL5</f>
        <v>2.8697672318398859E-4</v>
      </c>
      <c r="K4">
        <f>lc_detailed!AB5</f>
        <v>115.64010852518255</v>
      </c>
    </row>
    <row r="5" spans="2:11" x14ac:dyDescent="0.2">
      <c r="B5" t="str">
        <f>lc_detailed!B6</f>
        <v>SW_Gasoline_Gasification_Non_CCS_Herb</v>
      </c>
      <c r="C5">
        <f>lc_detailed!AD6</f>
        <v>0</v>
      </c>
      <c r="D5">
        <f>lc_detailed!AE6</f>
        <v>0</v>
      </c>
      <c r="E5">
        <f>lc_detailed!AF6</f>
        <v>59.797260253542142</v>
      </c>
      <c r="F5">
        <f>lc_detailed!AG6</f>
        <v>22.45167405631722</v>
      </c>
      <c r="G5">
        <f>lc_detailed!AH6</f>
        <v>17.876873124132889</v>
      </c>
      <c r="H5">
        <f>lc_detailed!AI6</f>
        <v>10.957792692020881</v>
      </c>
      <c r="I5">
        <f>lc_detailed!AK6</f>
        <v>0</v>
      </c>
      <c r="J5">
        <f>lc_detailed!AL6</f>
        <v>-6.1879148108939721E-4</v>
      </c>
      <c r="K5">
        <f>lc_detailed!AB6</f>
        <v>111.08298133453204</v>
      </c>
    </row>
    <row r="6" spans="2:11" x14ac:dyDescent="0.2">
      <c r="B6" t="str">
        <f>lc_detailed!B7</f>
        <v>TX_Gasoline_Gasification_Non_CCS_Herb</v>
      </c>
      <c r="C6">
        <f>lc_detailed!AD7</f>
        <v>0</v>
      </c>
      <c r="D6">
        <f>lc_detailed!AE7</f>
        <v>0</v>
      </c>
      <c r="E6">
        <f>lc_detailed!AF7</f>
        <v>65.950138888888887</v>
      </c>
      <c r="F6">
        <f>lc_detailed!AG7</f>
        <v>22.40155871244151</v>
      </c>
      <c r="G6">
        <f>lc_detailed!AH7</f>
        <v>17.836969389480803</v>
      </c>
      <c r="H6">
        <f>lc_detailed!AI7</f>
        <v>10.933333333333334</v>
      </c>
      <c r="I6">
        <f>lc_detailed!AK7</f>
        <v>0</v>
      </c>
      <c r="J6">
        <f>lc_detailed!AL7</f>
        <v>1.0888141248488626E-4</v>
      </c>
      <c r="K6">
        <f>lc_detailed!AB7</f>
        <v>117.12210920555702</v>
      </c>
    </row>
    <row r="7" spans="2:11" x14ac:dyDescent="0.2">
      <c r="B7" t="str">
        <f>lc_detailed!B8</f>
        <v>NCEN_Gasoline_Gasification_Non_CCS_Herb</v>
      </c>
      <c r="C7">
        <f>lc_detailed!AD8</f>
        <v>0</v>
      </c>
      <c r="D7">
        <f>lc_detailed!AE8</f>
        <v>0</v>
      </c>
      <c r="E7">
        <f>lc_detailed!AF8</f>
        <v>49.461319522851113</v>
      </c>
      <c r="F7">
        <f>lc_detailed!AG8</f>
        <v>22.169526466193158</v>
      </c>
      <c r="G7">
        <f>lc_detailed!AH8</f>
        <v>17.65221652800221</v>
      </c>
      <c r="H7">
        <f>lc_detailed!AI8</f>
        <v>10.820087379117371</v>
      </c>
      <c r="I7">
        <f>lc_detailed!AK8</f>
        <v>0</v>
      </c>
      <c r="J7">
        <f>lc_detailed!AL8</f>
        <v>5.6814143463221705E-5</v>
      </c>
      <c r="K7">
        <f>lc_detailed!AB8</f>
        <v>100.10320671030732</v>
      </c>
    </row>
    <row r="8" spans="2:11" x14ac:dyDescent="0.2">
      <c r="B8" t="str">
        <f>lc_detailed!B9</f>
        <v>CEN_Gasoline_Gasification_Non_CCS_Herb</v>
      </c>
      <c r="C8">
        <f>lc_detailed!AD9</f>
        <v>0</v>
      </c>
      <c r="D8">
        <f>lc_detailed!AE9</f>
        <v>0</v>
      </c>
      <c r="E8">
        <f>lc_detailed!AF9</f>
        <v>52.855525704973076</v>
      </c>
      <c r="F8">
        <f>lc_detailed!AG9</f>
        <v>22.303097616811737</v>
      </c>
      <c r="G8">
        <f>lc_detailed!AH9</f>
        <v>17.758570936437994</v>
      </c>
      <c r="H8">
        <f>lc_detailed!AI9</f>
        <v>10.885278285347423</v>
      </c>
      <c r="I8">
        <f>lc_detailed!AK9</f>
        <v>0</v>
      </c>
      <c r="J8">
        <f>lc_detailed!AL9</f>
        <v>2.8697672324167427E-4</v>
      </c>
      <c r="K8">
        <f>lc_detailed!AB9</f>
        <v>103.80275952029348</v>
      </c>
    </row>
    <row r="9" spans="2:11" x14ac:dyDescent="0.2">
      <c r="B9" t="str">
        <f>lc_detailed!B10</f>
        <v>SE_Gasoline_Gasification_Non_CCS_Herb</v>
      </c>
      <c r="C9">
        <f>lc_detailed!AD10</f>
        <v>0</v>
      </c>
      <c r="D9">
        <f>lc_detailed!AE10</f>
        <v>0</v>
      </c>
      <c r="E9">
        <f>lc_detailed!AF10</f>
        <v>48.277646302250801</v>
      </c>
      <c r="F9">
        <f>lc_detailed!AG10</f>
        <v>22.340609628633239</v>
      </c>
      <c r="G9">
        <f>lc_detailed!AH10</f>
        <v>17.788439420822804</v>
      </c>
      <c r="H9">
        <f>lc_detailed!AI10</f>
        <v>10.903586445708632</v>
      </c>
      <c r="I9">
        <f>lc_detailed!AK10</f>
        <v>0</v>
      </c>
      <c r="J9">
        <f>lc_detailed!AL10</f>
        <v>-5.7321655362612724E-4</v>
      </c>
      <c r="K9">
        <f>lc_detailed!AB10</f>
        <v>99.309708580861837</v>
      </c>
    </row>
    <row r="10" spans="2:11" x14ac:dyDescent="0.2">
      <c r="B10" t="str">
        <f>lc_detailed!B11</f>
        <v>MIDAT_Gasoline_Gasification_Non_CCS_Herb</v>
      </c>
      <c r="C10">
        <f>lc_detailed!AD11</f>
        <v>0</v>
      </c>
      <c r="D10">
        <f>lc_detailed!AE11</f>
        <v>0</v>
      </c>
      <c r="E10">
        <f>lc_detailed!AF11</f>
        <v>48.559792886308848</v>
      </c>
      <c r="F10">
        <f>lc_detailed!AG11</f>
        <v>22.217514814917148</v>
      </c>
      <c r="G10">
        <f>lc_detailed!AH11</f>
        <v>17.690426668565603</v>
      </c>
      <c r="H10">
        <f>lc_detailed!AI11</f>
        <v>10.843508633836768</v>
      </c>
      <c r="I10">
        <f>lc_detailed!AK11</f>
        <v>0</v>
      </c>
      <c r="J10">
        <f>lc_detailed!AL11</f>
        <v>5.9937317074695287E-4</v>
      </c>
      <c r="K10">
        <f>lc_detailed!AB11</f>
        <v>99.311842376799106</v>
      </c>
    </row>
    <row r="11" spans="2:11" x14ac:dyDescent="0.2">
      <c r="B11" t="str">
        <f>lc_detailed!B12</f>
        <v>NE_Gasoline_Gasification_Non_CCS_Herb</v>
      </c>
      <c r="C11">
        <f>lc_detailed!AD12</f>
        <v>0</v>
      </c>
      <c r="D11">
        <f>lc_detailed!AE12</f>
        <v>0</v>
      </c>
      <c r="E11">
        <f>lc_detailed!AF12</f>
        <v>48.761883454224659</v>
      </c>
      <c r="F11">
        <f>lc_detailed!AG12</f>
        <v>22.133671027387809</v>
      </c>
      <c r="G11">
        <f>lc_detailed!AH12</f>
        <v>17.623667069786954</v>
      </c>
      <c r="H11">
        <f>lc_detailed!AI12</f>
        <v>10.802587727896491</v>
      </c>
      <c r="I11">
        <f>lc_detailed!AK12</f>
        <v>0</v>
      </c>
      <c r="J11">
        <f>lc_detailed!AL12</f>
        <v>-3.4856950732856947E-4</v>
      </c>
      <c r="K11">
        <f>lc_detailed!AB12</f>
        <v>99.321460709788596</v>
      </c>
    </row>
    <row r="12" spans="2:11" x14ac:dyDescent="0.2">
      <c r="B12" t="str">
        <f>lc_detailed!B13</f>
        <v>CA_Gasoline_Gasification_Non_CCS_Wood</v>
      </c>
      <c r="C12">
        <f>lc_detailed!AD13</f>
        <v>0</v>
      </c>
      <c r="D12">
        <f>lc_detailed!AE13</f>
        <v>0</v>
      </c>
      <c r="E12">
        <f>lc_detailed!AF13</f>
        <v>71.631780598958329</v>
      </c>
      <c r="F12">
        <f>lc_detailed!AG13</f>
        <v>21.00146129291392</v>
      </c>
      <c r="G12">
        <f>lc_detailed!AH13</f>
        <v>16.722158802638255</v>
      </c>
      <c r="H12">
        <f>lc_detailed!AI13</f>
        <v>10.25</v>
      </c>
      <c r="I12">
        <f>lc_detailed!AK13</f>
        <v>0</v>
      </c>
      <c r="J12">
        <f>lc_detailed!AL13</f>
        <v>1.0888141248198926E-4</v>
      </c>
      <c r="K12">
        <f>lc_detailed!AB13</f>
        <v>119.60550957592299</v>
      </c>
    </row>
    <row r="13" spans="2:11" x14ac:dyDescent="0.2">
      <c r="B13" t="str">
        <f>lc_detailed!B14</f>
        <v>NW_Gasoline_Gasification_Non_CCS_Wood</v>
      </c>
      <c r="C13">
        <f>lc_detailed!AD14</f>
        <v>0</v>
      </c>
      <c r="D13">
        <f>lc_detailed!AE14</f>
        <v>0</v>
      </c>
      <c r="E13">
        <f>lc_detailed!AF14</f>
        <v>69.461145440141664</v>
      </c>
      <c r="F13">
        <f>lc_detailed!AG14</f>
        <v>21.045501824074787</v>
      </c>
      <c r="G13">
        <f>lc_detailed!AH14</f>
        <v>16.757225541354817</v>
      </c>
      <c r="H13">
        <f>lc_detailed!AI14</f>
        <v>10.271494477841465</v>
      </c>
      <c r="I13">
        <f>lc_detailed!AK14</f>
        <v>0</v>
      </c>
      <c r="J13">
        <f>lc_detailed!AL14</f>
        <v>-5.7321655359346749E-4</v>
      </c>
      <c r="K13">
        <f>lc_detailed!AB14</f>
        <v>117.53479406685915</v>
      </c>
    </row>
    <row r="14" spans="2:11" x14ac:dyDescent="0.2">
      <c r="B14" t="str">
        <f>lc_detailed!B15</f>
        <v>SW_Gasoline_Gasification_Non_CCS_Wood</v>
      </c>
      <c r="C14">
        <f>lc_detailed!AD15</f>
        <v>0</v>
      </c>
      <c r="D14">
        <f>lc_detailed!AE15</f>
        <v>0</v>
      </c>
      <c r="E14">
        <f>lc_detailed!AF15</f>
        <v>64.663702257761059</v>
      </c>
      <c r="F14">
        <f>lc_detailed!AG15</f>
        <v>21.24249405657671</v>
      </c>
      <c r="G14">
        <f>lc_detailed!AH15</f>
        <v>16.914078216930058</v>
      </c>
      <c r="H14">
        <f>lc_detailed!AI15</f>
        <v>10.36763875823142</v>
      </c>
      <c r="I14">
        <f>lc_detailed!AK15</f>
        <v>0</v>
      </c>
      <c r="J14">
        <f>lc_detailed!AL15</f>
        <v>5.479138004456139E-4</v>
      </c>
      <c r="K14">
        <f>lc_detailed!AB15</f>
        <v>113.18846120329968</v>
      </c>
    </row>
    <row r="15" spans="2:11" x14ac:dyDescent="0.2">
      <c r="B15" t="str">
        <f>lc_detailed!B16</f>
        <v>TX_Gasoline_Gasification_Non_CCS_Wood</v>
      </c>
      <c r="C15">
        <f>lc_detailed!AD16</f>
        <v>0</v>
      </c>
      <c r="D15">
        <f>lc_detailed!AE16</f>
        <v>0</v>
      </c>
      <c r="E15">
        <f>lc_detailed!AF16</f>
        <v>72.335415540700694</v>
      </c>
      <c r="F15">
        <f>lc_detailed!AG16</f>
        <v>21.410677648642714</v>
      </c>
      <c r="G15">
        <f>lc_detailed!AH16</f>
        <v>17.047992362012661</v>
      </c>
      <c r="H15">
        <f>lc_detailed!AI16</f>
        <v>10.449722656805575</v>
      </c>
      <c r="I15">
        <f>lc_detailed!AK16</f>
        <v>0</v>
      </c>
      <c r="J15">
        <f>lc_detailed!AL16</f>
        <v>7.8710388831809642E-5</v>
      </c>
      <c r="K15">
        <f>lc_detailed!AB16</f>
        <v>121.24388691855049</v>
      </c>
    </row>
    <row r="16" spans="2:11" x14ac:dyDescent="0.2">
      <c r="B16" t="str">
        <f>lc_detailed!B17</f>
        <v>NCEN_Gasoline_Gasification_Non_CCS_Wood</v>
      </c>
      <c r="C16">
        <f>lc_detailed!AD17</f>
        <v>0</v>
      </c>
      <c r="D16">
        <f>lc_detailed!AE17</f>
        <v>0</v>
      </c>
      <c r="E16">
        <f>lc_detailed!AF17</f>
        <v>52.898197062018802</v>
      </c>
      <c r="F16">
        <f>lc_detailed!AG17</f>
        <v>21.331794607851347</v>
      </c>
      <c r="G16">
        <f>lc_detailed!AH17</f>
        <v>16.985182697649282</v>
      </c>
      <c r="H16">
        <f>lc_detailed!AI17</f>
        <v>10.411222899248971</v>
      </c>
      <c r="I16">
        <f>lc_detailed!AK17</f>
        <v>0</v>
      </c>
      <c r="J16">
        <f>lc_detailed!AL17</f>
        <v>3.7942019769573809E-4</v>
      </c>
      <c r="K16">
        <f>lc_detailed!AB17</f>
        <v>101.62677668696608</v>
      </c>
    </row>
    <row r="17" spans="2:11" x14ac:dyDescent="0.2">
      <c r="B17" t="str">
        <f>lc_detailed!B18</f>
        <v>CEN_Gasoline_Gasification_Non_CCS_Wood</v>
      </c>
      <c r="C17">
        <f>lc_detailed!AD18</f>
        <v>0</v>
      </c>
      <c r="D17">
        <f>lc_detailed!AE18</f>
        <v>0</v>
      </c>
      <c r="E17">
        <f>lc_detailed!AF18</f>
        <v>58.004543008214526</v>
      </c>
      <c r="F17">
        <f>lc_detailed!AG18</f>
        <v>21.320716818186238</v>
      </c>
      <c r="G17">
        <f>lc_detailed!AH18</f>
        <v>16.976362142004206</v>
      </c>
      <c r="H17">
        <f>lc_detailed!AI18</f>
        <v>10.405816259087905</v>
      </c>
      <c r="I17">
        <f>lc_detailed!AK18</f>
        <v>0</v>
      </c>
      <c r="J17">
        <f>lc_detailed!AL18</f>
        <v>2.490879342690322E-4</v>
      </c>
      <c r="K17">
        <f>lc_detailed!AB18</f>
        <v>106.70768731542714</v>
      </c>
    </row>
    <row r="18" spans="2:11" x14ac:dyDescent="0.2">
      <c r="B18" t="str">
        <f>lc_detailed!B19</f>
        <v>SE_Gasoline_Gasification_Non_CCS_Wood</v>
      </c>
      <c r="C18">
        <f>lc_detailed!AD19</f>
        <v>0</v>
      </c>
      <c r="D18">
        <f>lc_detailed!AE19</f>
        <v>0</v>
      </c>
      <c r="E18">
        <f>lc_detailed!AF19</f>
        <v>51.642160865475077</v>
      </c>
      <c r="F18">
        <f>lc_detailed!AG19</f>
        <v>21.24249405657671</v>
      </c>
      <c r="G18">
        <f>lc_detailed!AH19</f>
        <v>16.914078216930058</v>
      </c>
      <c r="H18">
        <f>lc_detailed!AI19</f>
        <v>10.36763875823142</v>
      </c>
      <c r="I18">
        <f>lc_detailed!AK19</f>
        <v>0</v>
      </c>
      <c r="J18">
        <f>lc_detailed!AL19</f>
        <v>5.4791380045660239E-4</v>
      </c>
      <c r="K18">
        <f>lc_detailed!AB19</f>
        <v>100.16691981101373</v>
      </c>
    </row>
    <row r="19" spans="2:11" x14ac:dyDescent="0.2">
      <c r="B19" t="str">
        <f>lc_detailed!B20</f>
        <v>MIDAT_Gasoline_Gasification_Non_CCS_Wood</v>
      </c>
      <c r="C19">
        <f>lc_detailed!AD20</f>
        <v>0</v>
      </c>
      <c r="D19">
        <f>lc_detailed!AE20</f>
        <v>0</v>
      </c>
      <c r="E19">
        <f>lc_detailed!AF20</f>
        <v>50.453211934643626</v>
      </c>
      <c r="F19">
        <f>lc_detailed!AG20</f>
        <v>21.388369578158699</v>
      </c>
      <c r="G19">
        <f>lc_detailed!AH20</f>
        <v>17.030229831491027</v>
      </c>
      <c r="H19">
        <f>lc_detailed!AI20</f>
        <v>10.438834951456311</v>
      </c>
      <c r="I19">
        <f>lc_detailed!AK20</f>
        <v>0</v>
      </c>
      <c r="J19">
        <f>lc_detailed!AL20</f>
        <v>-1.8246793899267367E-4</v>
      </c>
      <c r="K19">
        <f>lc_detailed!AB20</f>
        <v>99.310463827810665</v>
      </c>
    </row>
    <row r="20" spans="2:11" x14ac:dyDescent="0.2">
      <c r="B20" t="str">
        <f>lc_detailed!B21</f>
        <v>NE_Gasoline_Gasification_Non_CCS_Wood</v>
      </c>
      <c r="C20">
        <f>lc_detailed!AD21</f>
        <v>0</v>
      </c>
      <c r="D20">
        <f>lc_detailed!AE21</f>
        <v>0</v>
      </c>
      <c r="E20">
        <f>lc_detailed!AF21</f>
        <v>50.144866075683929</v>
      </c>
      <c r="F20">
        <f>lc_detailed!AG21</f>
        <v>21.523945460052467</v>
      </c>
      <c r="G20">
        <f>lc_detailed!AH21</f>
        <v>17.138180482886906</v>
      </c>
      <c r="H20">
        <f>lc_detailed!AI21</f>
        <v>10.505004289390907</v>
      </c>
      <c r="I20">
        <f>lc_detailed!AK21</f>
        <v>0</v>
      </c>
      <c r="J20">
        <f>lc_detailed!AL21</f>
        <v>1.6954268424979553E-4</v>
      </c>
      <c r="K20">
        <f>lc_detailed!AB21</f>
        <v>99.312165850698463</v>
      </c>
    </row>
    <row r="21" spans="2:11" x14ac:dyDescent="0.2">
      <c r="B21" t="str">
        <f>lc_detailed!B22</f>
        <v>CA_Gasoline_Gasification_Non_CCS_Agri</v>
      </c>
      <c r="C21">
        <f>lc_detailed!AD22</f>
        <v>0</v>
      </c>
      <c r="D21">
        <f>lc_detailed!AE22</f>
        <v>0</v>
      </c>
      <c r="E21">
        <f>lc_detailed!AF22</f>
        <v>65.399821806546882</v>
      </c>
      <c r="F21">
        <f>lc_detailed!AG22</f>
        <v>22.230638623815942</v>
      </c>
      <c r="G21">
        <f>lc_detailed!AH22</f>
        <v>17.700876342206893</v>
      </c>
      <c r="H21">
        <f>lc_detailed!AI22</f>
        <v>10.849913856756093</v>
      </c>
      <c r="I21">
        <f>lc_detailed!AK22</f>
        <v>0</v>
      </c>
      <c r="J21">
        <f>lc_detailed!AL22</f>
        <v>-5.2809030868772343E-4</v>
      </c>
      <c r="K21">
        <f>lc_detailed!AB22</f>
        <v>116.18072253901713</v>
      </c>
    </row>
    <row r="22" spans="2:11" x14ac:dyDescent="0.2">
      <c r="B22" t="str">
        <f>lc_detailed!B23</f>
        <v>NW_Gasoline_Gasification_Non_CCS_Agri</v>
      </c>
      <c r="C22">
        <f>lc_detailed!AD23</f>
        <v>0</v>
      </c>
      <c r="D22">
        <f>lc_detailed!AE23</f>
        <v>0</v>
      </c>
      <c r="E22">
        <f>lc_detailed!AF23</f>
        <v>60.450883049752314</v>
      </c>
      <c r="F22">
        <f>lc_detailed!AG23</f>
        <v>24.317005365217582</v>
      </c>
      <c r="G22">
        <f>lc_detailed!AH23</f>
        <v>19.362120552010179</v>
      </c>
      <c r="H22">
        <f>lc_detailed!AI23</f>
        <v>11.868188671117812</v>
      </c>
      <c r="I22">
        <f>lc_detailed!AK23</f>
        <v>0</v>
      </c>
      <c r="J22">
        <f>lc_detailed!AL23</f>
        <v>6.1145671768463126E-4</v>
      </c>
      <c r="K22">
        <f>lc_detailed!AB23</f>
        <v>115.99880909481556</v>
      </c>
    </row>
    <row r="23" spans="2:11" x14ac:dyDescent="0.2">
      <c r="B23" t="str">
        <f>lc_detailed!B24</f>
        <v>SW_Gasoline_Gasification_Non_CCS_Agri</v>
      </c>
      <c r="C23">
        <f>lc_detailed!AD24</f>
        <v>0</v>
      </c>
      <c r="D23">
        <f>lc_detailed!AE24</f>
        <v>0</v>
      </c>
      <c r="E23">
        <f>lc_detailed!AF24</f>
        <v>56.861844998942701</v>
      </c>
      <c r="F23">
        <f>lc_detailed!AG24</f>
        <v>23.874784502158008</v>
      </c>
      <c r="G23">
        <f>lc_detailed!AH24</f>
        <v>19.010007554024796</v>
      </c>
      <c r="H23">
        <f>lc_detailed!AI24</f>
        <v>11.652357792345104</v>
      </c>
      <c r="I23">
        <f>lc_detailed!AK24</f>
        <v>0</v>
      </c>
      <c r="J23">
        <f>lc_detailed!AL24</f>
        <v>1.5373919791210423E-4</v>
      </c>
      <c r="K23">
        <f>lc_detailed!AB24</f>
        <v>111.39914858666852</v>
      </c>
    </row>
    <row r="24" spans="2:11" x14ac:dyDescent="0.2">
      <c r="B24" t="str">
        <f>lc_detailed!B25</f>
        <v>TX_Gasoline_Gasification_Non_CCS_Agri</v>
      </c>
      <c r="C24">
        <f>lc_detailed!AD25</f>
        <v>0</v>
      </c>
      <c r="D24">
        <f>lc_detailed!AE25</f>
        <v>0</v>
      </c>
      <c r="E24">
        <f>lc_detailed!AF25</f>
        <v>57.890535084387032</v>
      </c>
      <c r="F24">
        <f>lc_detailed!AG25</f>
        <v>24.508353158019258</v>
      </c>
      <c r="G24">
        <f>lc_detailed!AH25</f>
        <v>19.514478910942263</v>
      </c>
      <c r="H24">
        <f>lc_detailed!AI25</f>
        <v>11.961578119064416</v>
      </c>
      <c r="I24">
        <f>lc_detailed!AK25</f>
        <v>0</v>
      </c>
      <c r="J24">
        <f>lc_detailed!AL25</f>
        <v>-2.2496791494538984E-4</v>
      </c>
      <c r="K24">
        <f>lc_detailed!AB25</f>
        <v>113.87472030449801</v>
      </c>
    </row>
    <row r="25" spans="2:11" x14ac:dyDescent="0.2">
      <c r="B25" t="str">
        <f>lc_detailed!B26</f>
        <v>NCEN_Gasoline_Gasification_Non_CCS_Agri</v>
      </c>
      <c r="C25">
        <f>lc_detailed!AD26</f>
        <v>0</v>
      </c>
      <c r="D25">
        <f>lc_detailed!AE26</f>
        <v>0</v>
      </c>
      <c r="E25">
        <f>lc_detailed!AF26</f>
        <v>46.442434429641963</v>
      </c>
      <c r="F25">
        <f>lc_detailed!AG26</f>
        <v>23.502051605059371</v>
      </c>
      <c r="G25">
        <f>lc_detailed!AH26</f>
        <v>18.713223506033152</v>
      </c>
      <c r="H25">
        <f>lc_detailed!AI26</f>
        <v>11.470441298917569</v>
      </c>
      <c r="I25">
        <f>lc_detailed!AK26</f>
        <v>0</v>
      </c>
      <c r="J25">
        <f>lc_detailed!AL26</f>
        <v>2.8551127711406407E-4</v>
      </c>
      <c r="K25">
        <f>lc_detailed!AB26</f>
        <v>100.12843635092916</v>
      </c>
    </row>
    <row r="26" spans="2:11" x14ac:dyDescent="0.2">
      <c r="B26" t="str">
        <f>lc_detailed!B27</f>
        <v>CEN_Gasoline_Gasification_Non_CCS_Agri</v>
      </c>
      <c r="C26">
        <f>lc_detailed!AD27</f>
        <v>0</v>
      </c>
      <c r="D26">
        <f>lc_detailed!AE27</f>
        <v>0</v>
      </c>
      <c r="E26">
        <f>lc_detailed!AF27</f>
        <v>49.501557862723509</v>
      </c>
      <c r="F26">
        <f>lc_detailed!AG27</f>
        <v>23.680741630896172</v>
      </c>
      <c r="G26">
        <f>lc_detailed!AH27</f>
        <v>18.855503271560643</v>
      </c>
      <c r="H26">
        <f>lc_detailed!AI27</f>
        <v>11.557652980965864</v>
      </c>
      <c r="I26">
        <f>lc_detailed!AK27</f>
        <v>0</v>
      </c>
      <c r="J26">
        <f>lc_detailed!AL27</f>
        <v>-5.2514672682846936E-4</v>
      </c>
      <c r="K26">
        <f>lc_detailed!AB27</f>
        <v>103.59493059941936</v>
      </c>
    </row>
    <row r="27" spans="2:11" x14ac:dyDescent="0.2">
      <c r="B27" t="str">
        <f>lc_detailed!B28</f>
        <v>SE_Gasoline_Gasification_Non_CCS_Agri</v>
      </c>
      <c r="C27">
        <f>lc_detailed!AD28</f>
        <v>0</v>
      </c>
      <c r="D27">
        <f>lc_detailed!AE28</f>
        <v>0</v>
      </c>
      <c r="E27">
        <f>lc_detailed!AF28</f>
        <v>45.413056223220821</v>
      </c>
      <c r="F27">
        <f>lc_detailed!AG28</f>
        <v>23.597837999938388</v>
      </c>
      <c r="G27">
        <f>lc_detailed!AH28</f>
        <v>18.789492261047812</v>
      </c>
      <c r="H27">
        <f>lc_detailed!AI28</f>
        <v>11.517190929041696</v>
      </c>
      <c r="I27">
        <f>lc_detailed!AK28</f>
        <v>0</v>
      </c>
      <c r="J27">
        <f>lc_detailed!AL28</f>
        <v>-4.6299617100136384E-5</v>
      </c>
      <c r="K27">
        <f>lc_detailed!AB28</f>
        <v>99.317531113631631</v>
      </c>
    </row>
    <row r="28" spans="2:11" x14ac:dyDescent="0.2">
      <c r="B28" t="str">
        <f>lc_detailed!B29</f>
        <v>MIDAT_Gasoline_Gasification_Non_CCS_Agri</v>
      </c>
      <c r="C28">
        <f>lc_detailed!AD29</f>
        <v>0</v>
      </c>
      <c r="D28">
        <f>lc_detailed!AE29</f>
        <v>0</v>
      </c>
      <c r="E28">
        <f>lc_detailed!AF29</f>
        <v>45.571182661248308</v>
      </c>
      <c r="F28">
        <f>lc_detailed!AG29</f>
        <v>23.528989457268981</v>
      </c>
      <c r="G28">
        <f>lc_detailed!AH29</f>
        <v>18.734672444093626</v>
      </c>
      <c r="H28">
        <f>lc_detailed!AI29</f>
        <v>11.4835886214442</v>
      </c>
      <c r="I28">
        <f>lc_detailed!AK29</f>
        <v>0</v>
      </c>
      <c r="J28">
        <f>lc_detailed!AL29</f>
        <v>5.7306624279722341E-4</v>
      </c>
      <c r="K28">
        <f>lc_detailed!AB29</f>
        <v>99.319006250297917</v>
      </c>
    </row>
    <row r="29" spans="2:11" x14ac:dyDescent="0.2">
      <c r="B29" t="str">
        <f>lc_detailed!B30</f>
        <v>NE_Gasoline_Gasification_Non_CCS_Agri</v>
      </c>
      <c r="C29">
        <f>lc_detailed!AD30</f>
        <v>0</v>
      </c>
      <c r="D29">
        <f>lc_detailed!AE30</f>
        <v>0</v>
      </c>
      <c r="E29">
        <f>lc_detailed!AF30</f>
        <v>46.199240317264113</v>
      </c>
      <c r="F29">
        <f>lc_detailed!AG30</f>
        <v>23.259962074722957</v>
      </c>
      <c r="G29">
        <f>lc_detailed!AH30</f>
        <v>18.52046265409626</v>
      </c>
      <c r="H29">
        <f>lc_detailed!AI30</f>
        <v>11.352286773794807</v>
      </c>
      <c r="I29">
        <f>lc_detailed!AK30</f>
        <v>0</v>
      </c>
      <c r="J29">
        <f>lc_detailed!AL30</f>
        <v>3.7109707062804153E-4</v>
      </c>
      <c r="K29">
        <f>lc_detailed!AB30</f>
        <v>99.332322916948769</v>
      </c>
    </row>
    <row r="30" spans="2:11" x14ac:dyDescent="0.2">
      <c r="B30" t="str">
        <f>lc_detailed!B31</f>
        <v>CA_Gasoline_Gasification_CCS_31_Herb</v>
      </c>
      <c r="C30">
        <f>lc_detailed!AD31</f>
        <v>0</v>
      </c>
      <c r="D30">
        <f>lc_detailed!AE31</f>
        <v>1.8800601176994653</v>
      </c>
      <c r="E30">
        <f>lc_detailed!AF31</f>
        <v>155233.10599584243</v>
      </c>
      <c r="F30">
        <f>lc_detailed!AG31</f>
        <v>27.285633770447575</v>
      </c>
      <c r="G30">
        <f>lc_detailed!AH31</f>
        <v>22.229374032760315</v>
      </c>
      <c r="H30">
        <f>lc_detailed!AI31</f>
        <v>11.674519897050089</v>
      </c>
      <c r="I30">
        <f>lc_detailed!AK31</f>
        <v>-18.634686629763777</v>
      </c>
      <c r="J30">
        <f>lc_detailed!AL31</f>
        <v>-4.3709405314899683E-4</v>
      </c>
      <c r="K30">
        <f>lc_detailed!AB31</f>
        <v>155277.54045993657</v>
      </c>
    </row>
    <row r="31" spans="2:11" x14ac:dyDescent="0.2">
      <c r="B31" t="str">
        <f>lc_detailed!B32</f>
        <v>NW_Gasoline_Gasification_CCS_31_Herb</v>
      </c>
      <c r="C31">
        <f>lc_detailed!AD32</f>
        <v>0</v>
      </c>
      <c r="D31">
        <f>lc_detailed!AE32</f>
        <v>1.3771625948441899</v>
      </c>
      <c r="E31">
        <f>lc_detailed!AF32</f>
        <v>64.69287470986221</v>
      </c>
      <c r="F31">
        <f>lc_detailed!AG32</f>
        <v>27.224996034279357</v>
      </c>
      <c r="G31">
        <f>lc_detailed!AH32</f>
        <v>22.179972984240674</v>
      </c>
      <c r="H31">
        <f>lc_detailed!AI32</f>
        <v>11.648575238283371</v>
      </c>
      <c r="I31">
        <f>lc_detailed!AK32</f>
        <v>-18.469916394543766</v>
      </c>
      <c r="J31">
        <f>lc_detailed!AL32</f>
        <v>2.8697672319552575E-4</v>
      </c>
      <c r="K31">
        <f>lc_detailed!AB32</f>
        <v>108.65395214368922</v>
      </c>
    </row>
    <row r="32" spans="2:11" x14ac:dyDescent="0.2">
      <c r="B32" t="str">
        <f>lc_detailed!B33</f>
        <v>SW_Gasoline_Gasification_CCS_31_Herb</v>
      </c>
      <c r="C32">
        <f>lc_detailed!AD33</f>
        <v>0</v>
      </c>
      <c r="D32">
        <f>lc_detailed!AE33</f>
        <v>1.4468708141685311</v>
      </c>
      <c r="E32">
        <f>lc_detailed!AF33</f>
        <v>59.797260253542142</v>
      </c>
      <c r="F32">
        <f>lc_detailed!AG33</f>
        <v>27.406360661104788</v>
      </c>
      <c r="G32">
        <f>lc_detailed!AH33</f>
        <v>22.32772920496592</v>
      </c>
      <c r="H32">
        <f>lc_detailed!AI33</f>
        <v>11.726174496644296</v>
      </c>
      <c r="I32">
        <f>lc_detailed!AK33</f>
        <v>-17.048658471428386</v>
      </c>
      <c r="J32">
        <f>lc_detailed!AL33</f>
        <v>-6.1879148111262526E-4</v>
      </c>
      <c r="K32">
        <f>lc_detailed!AB33</f>
        <v>105.65511816751618</v>
      </c>
    </row>
    <row r="33" spans="2:11" x14ac:dyDescent="0.2">
      <c r="B33" t="str">
        <f>lc_detailed!B34</f>
        <v>TX_Gasoline_Gasification_CCS_31_Herb</v>
      </c>
      <c r="C33">
        <f>lc_detailed!AD34</f>
        <v>0</v>
      </c>
      <c r="D33">
        <f>lc_detailed!AE34</f>
        <v>1.0417731593749999</v>
      </c>
      <c r="E33">
        <f>lc_detailed!AF34</f>
        <v>65.950138888888887</v>
      </c>
      <c r="F33">
        <f>lc_detailed!AG34</f>
        <v>27.345185748914819</v>
      </c>
      <c r="G33">
        <f>lc_detailed!AH34</f>
        <v>22.27789052370483</v>
      </c>
      <c r="H33">
        <f>lc_detailed!AI34</f>
        <v>11.7</v>
      </c>
      <c r="I33">
        <f>lc_detailed!AK34</f>
        <v>-16.127562291865271</v>
      </c>
      <c r="J33">
        <f>lc_detailed!AL34</f>
        <v>1.0888141248488626E-4</v>
      </c>
      <c r="K33">
        <f>lc_detailed!AB34</f>
        <v>112.18753491043073</v>
      </c>
    </row>
    <row r="34" spans="2:11" x14ac:dyDescent="0.2">
      <c r="B34" t="str">
        <f>lc_detailed!B35</f>
        <v>NCEN_Gasoline_Gasification_CCS_31_Herb</v>
      </c>
      <c r="C34">
        <f>lc_detailed!AD35</f>
        <v>0</v>
      </c>
      <c r="D34">
        <f>lc_detailed!AE35</f>
        <v>1.5695460188503263</v>
      </c>
      <c r="E34">
        <f>lc_detailed!AF35</f>
        <v>49.461319522851113</v>
      </c>
      <c r="F34">
        <f>lc_detailed!AG35</f>
        <v>27.061948097693918</v>
      </c>
      <c r="G34">
        <f>lc_detailed!AH35</f>
        <v>22.04713921544791</v>
      </c>
      <c r="H34">
        <f>lc_detailed!AI35</f>
        <v>11.5788130185067</v>
      </c>
      <c r="I34">
        <f>lc_detailed!AK35</f>
        <v>-12.40649933517034</v>
      </c>
      <c r="J34">
        <f>lc_detailed!AL35</f>
        <v>5.6814143451753672E-5</v>
      </c>
      <c r="K34">
        <f>lc_detailed!AB35</f>
        <v>99.312323352323105</v>
      </c>
    </row>
    <row r="35" spans="2:11" x14ac:dyDescent="0.2">
      <c r="B35" t="str">
        <f>lc_detailed!B36</f>
        <v>CEN_Gasoline_Gasification_CCS_31_Herb</v>
      </c>
      <c r="C35">
        <f>lc_detailed!AD36</f>
        <v>0</v>
      </c>
      <c r="D35">
        <f>lc_detailed!AE36</f>
        <v>1.2913229450343227</v>
      </c>
      <c r="E35">
        <f>lc_detailed!AF36</f>
        <v>52.855525704973076</v>
      </c>
      <c r="F35">
        <f>lc_detailed!AG36</f>
        <v>27.224996034279357</v>
      </c>
      <c r="G35">
        <f>lc_detailed!AH36</f>
        <v>22.179972984240674</v>
      </c>
      <c r="H35">
        <f>lc_detailed!AI36</f>
        <v>11.648575238283371</v>
      </c>
      <c r="I35">
        <f>lc_detailed!AK36</f>
        <v>-14.226534124516984</v>
      </c>
      <c r="J35">
        <f>lc_detailed!AL36</f>
        <v>2.8697672321860001E-4</v>
      </c>
      <c r="K35">
        <f>lc_detailed!AB36</f>
        <v>100.97414575901705</v>
      </c>
    </row>
    <row r="36" spans="2:11" x14ac:dyDescent="0.2">
      <c r="B36" t="str">
        <f>lc_detailed!B37</f>
        <v>SE_Gasoline_Gasification_CCS_31_Herb</v>
      </c>
      <c r="C36">
        <f>lc_detailed!AD37</f>
        <v>0</v>
      </c>
      <c r="D36">
        <f>lc_detailed!AE37</f>
        <v>1.9619657737323768</v>
      </c>
      <c r="E36">
        <f>lc_detailed!AF37</f>
        <v>48.277646302250801</v>
      </c>
      <c r="F36">
        <f>lc_detailed!AG37</f>
        <v>27.270786282370654</v>
      </c>
      <c r="G36">
        <f>lc_detailed!AH37</f>
        <v>22.217277910358121</v>
      </c>
      <c r="H36">
        <f>lc_detailed!AI37</f>
        <v>11.668167202572347</v>
      </c>
      <c r="I36">
        <f>lc_detailed!AK37</f>
        <v>-11.215023482819008</v>
      </c>
      <c r="J36">
        <f>lc_detailed!AL37</f>
        <v>-5.7321655361457073E-4</v>
      </c>
      <c r="K36">
        <f>lc_detailed!AB37</f>
        <v>100.18024677191167</v>
      </c>
    </row>
    <row r="37" spans="2:11" x14ac:dyDescent="0.2">
      <c r="B37" t="str">
        <f>lc_detailed!B38</f>
        <v>MIDAT_Gasoline_Gasification_CCS_31_Herb</v>
      </c>
      <c r="C37">
        <f>lc_detailed!AD38</f>
        <v>0</v>
      </c>
      <c r="D37">
        <f>lc_detailed!AE38</f>
        <v>2.0125919766812612</v>
      </c>
      <c r="E37">
        <f>lc_detailed!AF38</f>
        <v>48.559792886308848</v>
      </c>
      <c r="F37">
        <f>lc_detailed!AG38</f>
        <v>27.120526624594024</v>
      </c>
      <c r="G37">
        <f>lc_detailed!AH38</f>
        <v>22.094862643670453</v>
      </c>
      <c r="H37">
        <f>lc_detailed!AI38</f>
        <v>11.603876617307028</v>
      </c>
      <c r="I37">
        <f>lc_detailed!AK38</f>
        <v>-10.388446619115435</v>
      </c>
      <c r="J37">
        <f>lc_detailed!AL38</f>
        <v>5.9937317075844574E-4</v>
      </c>
      <c r="K37">
        <f>lc_detailed!AB38</f>
        <v>101.00380350261695</v>
      </c>
    </row>
    <row r="38" spans="2:11" x14ac:dyDescent="0.2">
      <c r="B38" t="str">
        <f>lc_detailed!B39</f>
        <v>NE_Gasoline_Gasification_CCS_31_Herb</v>
      </c>
      <c r="C38">
        <f>lc_detailed!AD39</f>
        <v>0</v>
      </c>
      <c r="D38">
        <f>lc_detailed!AE39</f>
        <v>2.4165373701725152</v>
      </c>
      <c r="E38">
        <f>lc_detailed!AF39</f>
        <v>48.761883454224659</v>
      </c>
      <c r="F38">
        <f>lc_detailed!AG39</f>
        <v>27.018179998927796</v>
      </c>
      <c r="G38">
        <f>lc_detailed!AH39</f>
        <v>22.011481717206891</v>
      </c>
      <c r="H38">
        <f>lc_detailed!AI39</f>
        <v>11.560086257596549</v>
      </c>
      <c r="I38">
        <f>lc_detailed!AK39</f>
        <v>-8.7965207843253967</v>
      </c>
      <c r="J38">
        <f>lc_detailed!AL39</f>
        <v>-3.4856950734001897E-4</v>
      </c>
      <c r="K38">
        <f>lc_detailed!AB39</f>
        <v>102.97129944429567</v>
      </c>
    </row>
    <row r="39" spans="2:11" x14ac:dyDescent="0.2">
      <c r="B39" t="str">
        <f>lc_detailed!B40</f>
        <v>CA_Gasoline_Gasification_CCS_31_Wood</v>
      </c>
      <c r="C39">
        <f>lc_detailed!AD40</f>
        <v>0</v>
      </c>
      <c r="D39">
        <f>lc_detailed!AE40</f>
        <v>1.7664032095424109</v>
      </c>
      <c r="E39">
        <f>lc_detailed!AF40</f>
        <v>71.631780598958329</v>
      </c>
      <c r="F39">
        <f>lc_detailed!AG40</f>
        <v>25.636111639607648</v>
      </c>
      <c r="G39">
        <f>lc_detailed!AH40</f>
        <v>20.88552236597328</v>
      </c>
      <c r="H39">
        <f>lc_detailed!AI40</f>
        <v>10.96875</v>
      </c>
      <c r="I39">
        <f>lc_detailed!AK40</f>
        <v>-18.795438549965404</v>
      </c>
      <c r="J39">
        <f>lc_detailed!AL40</f>
        <v>1.0888141248198926E-4</v>
      </c>
      <c r="K39">
        <f>lc_detailed!AB40</f>
        <v>112.09323814552874</v>
      </c>
    </row>
    <row r="40" spans="2:11" x14ac:dyDescent="0.2">
      <c r="B40" t="str">
        <f>lc_detailed!B41</f>
        <v>NW_Gasoline_Gasification_CCS_31_Wood</v>
      </c>
      <c r="C40">
        <f>lc_detailed!AD41</f>
        <v>0</v>
      </c>
      <c r="D40">
        <f>lc_detailed!AE41</f>
        <v>1.2995090816440655</v>
      </c>
      <c r="E40">
        <f>lc_detailed!AF41</f>
        <v>69.461145440141664</v>
      </c>
      <c r="F40">
        <f>lc_detailed!AG41</f>
        <v>25.689871135566555</v>
      </c>
      <c r="G40">
        <f>lc_detailed!AH41</f>
        <v>20.929319770627213</v>
      </c>
      <c r="H40">
        <f>lc_detailed!AI41</f>
        <v>10.991751712568153</v>
      </c>
      <c r="I40">
        <f>lc_detailed!AK41</f>
        <v>-18.31209098462859</v>
      </c>
      <c r="J40">
        <f>lc_detailed!AL41</f>
        <v>-5.7321655361524065E-4</v>
      </c>
      <c r="K40">
        <f>lc_detailed!AB41</f>
        <v>110.05893293936543</v>
      </c>
    </row>
    <row r="41" spans="2:11" x14ac:dyDescent="0.2">
      <c r="B41" t="str">
        <f>lc_detailed!B42</f>
        <v>SW_Gasoline_Gasification_CCS_31_Wood</v>
      </c>
      <c r="C41">
        <f>lc_detailed!AD42</f>
        <v>0</v>
      </c>
      <c r="D41">
        <f>lc_detailed!AE42</f>
        <v>1.3689466804797743</v>
      </c>
      <c r="E41">
        <f>lc_detailed!AF42</f>
        <v>64.663702257761059</v>
      </c>
      <c r="F41">
        <f>lc_detailed!AG42</f>
        <v>25.930336062940867</v>
      </c>
      <c r="G41">
        <f>lc_detailed!AH42</f>
        <v>21.125224504134028</v>
      </c>
      <c r="H41">
        <f>lc_detailed!AI42</f>
        <v>11.094637817497649</v>
      </c>
      <c r="I41">
        <f>lc_detailed!AK42</f>
        <v>-16.925432389672149</v>
      </c>
      <c r="J41">
        <f>lc_detailed!AL42</f>
        <v>5.479138004456139E-4</v>
      </c>
      <c r="K41">
        <f>lc_detailed!AB42</f>
        <v>107.25796284694168</v>
      </c>
    </row>
    <row r="42" spans="2:11" x14ac:dyDescent="0.2">
      <c r="B42" t="str">
        <f>lc_detailed!B43</f>
        <v>TX_Gasoline_Gasification_CCS_31_Wood</v>
      </c>
      <c r="C42">
        <f>lc_detailed!AD43</f>
        <v>0</v>
      </c>
      <c r="D42">
        <f>lc_detailed!AE43</f>
        <v>0.99569273659507895</v>
      </c>
      <c r="E42">
        <f>lc_detailed!AF43</f>
        <v>72.335415540700694</v>
      </c>
      <c r="F42">
        <f>lc_detailed!AG43</f>
        <v>26.1356347934444</v>
      </c>
      <c r="G42">
        <f>lc_detailed!AH43</f>
        <v>21.292479635798102</v>
      </c>
      <c r="H42">
        <f>lc_detailed!AI43</f>
        <v>11.182477599203526</v>
      </c>
      <c r="I42">
        <f>lc_detailed!AK43</f>
        <v>-16.476617028810335</v>
      </c>
      <c r="J42">
        <f>lc_detailed!AL43</f>
        <v>7.8710388809658674E-5</v>
      </c>
      <c r="K42">
        <f>lc_detailed!AB43</f>
        <v>115.46516198732027</v>
      </c>
    </row>
    <row r="43" spans="2:11" x14ac:dyDescent="0.2">
      <c r="B43" t="str">
        <f>lc_detailed!B44</f>
        <v>NCEN_Gasoline_Gasification_CCS_31_Wood</v>
      </c>
      <c r="C43">
        <f>lc_detailed!AD44</f>
        <v>0</v>
      </c>
      <c r="D43">
        <f>lc_detailed!AE44</f>
        <v>1.5102367365736147</v>
      </c>
      <c r="E43">
        <f>lc_detailed!AF44</f>
        <v>52.898197062018802</v>
      </c>
      <c r="F43">
        <f>lc_detailed!AG44</f>
        <v>26.039343663413288</v>
      </c>
      <c r="G43">
        <f>lc_detailed!AH44</f>
        <v>21.214032070185127</v>
      </c>
      <c r="H43">
        <f>lc_detailed!AI44</f>
        <v>11.141278163525577</v>
      </c>
      <c r="I43">
        <f>lc_detailed!AK44</f>
        <v>-12.345746077194349</v>
      </c>
      <c r="J43">
        <f>lc_detailed!AL44</f>
        <v>3.794201976847034E-4</v>
      </c>
      <c r="K43">
        <f>lc_detailed!AB44</f>
        <v>100.45772103871975</v>
      </c>
    </row>
    <row r="44" spans="2:11" x14ac:dyDescent="0.2">
      <c r="B44" t="str">
        <f>lc_detailed!B45</f>
        <v>CEN_Gasoline_Gasification_CCS_31_Wood</v>
      </c>
      <c r="C44">
        <f>lc_detailed!AD45</f>
        <v>0</v>
      </c>
      <c r="D44">
        <f>lc_detailed!AE45</f>
        <v>1.234444259937683</v>
      </c>
      <c r="E44">
        <f>lc_detailed!AF45</f>
        <v>58.004543008214526</v>
      </c>
      <c r="F44">
        <f>lc_detailed!AG45</f>
        <v>26.02582120187531</v>
      </c>
      <c r="G44">
        <f>lc_detailed!AH45</f>
        <v>21.203015435647693</v>
      </c>
      <c r="H44">
        <f>lc_detailed!AI45</f>
        <v>11.135492399206875</v>
      </c>
      <c r="I44">
        <f>lc_detailed!AK45</f>
        <v>-14.222214969813987</v>
      </c>
      <c r="J44">
        <f>lc_detailed!AL45</f>
        <v>2.490879342690322E-4</v>
      </c>
      <c r="K44">
        <f>lc_detailed!AB45</f>
        <v>103.38135042300236</v>
      </c>
    </row>
    <row r="45" spans="2:11" x14ac:dyDescent="0.2">
      <c r="B45" t="str">
        <f>lc_detailed!B46</f>
        <v>SE_Gasoline_Gasification_CCS_31_Wood</v>
      </c>
      <c r="C45">
        <f>lc_detailed!AD46</f>
        <v>0</v>
      </c>
      <c r="D45">
        <f>lc_detailed!AE46</f>
        <v>1.8655286037629351</v>
      </c>
      <c r="E45">
        <f>lc_detailed!AF46</f>
        <v>51.642160865475077</v>
      </c>
      <c r="F45">
        <f>lc_detailed!AG46</f>
        <v>25.930336062940867</v>
      </c>
      <c r="G45">
        <f>lc_detailed!AH46</f>
        <v>21.125224504134028</v>
      </c>
      <c r="H45">
        <f>lc_detailed!AI46</f>
        <v>11.094637817497649</v>
      </c>
      <c r="I45">
        <f>lc_detailed!AK46</f>
        <v>-11.348024086161626</v>
      </c>
      <c r="J45">
        <f>lc_detailed!AL46</f>
        <v>5.479138004346254E-4</v>
      </c>
      <c r="K45">
        <f>lc_detailed!AB46</f>
        <v>100.31041168144935</v>
      </c>
    </row>
    <row r="46" spans="2:11" x14ac:dyDescent="0.2">
      <c r="B46" t="str">
        <f>lc_detailed!B47</f>
        <v>MIDAT_Gasoline_Gasification_CCS_31_Wood</v>
      </c>
      <c r="C46">
        <f>lc_detailed!AD47</f>
        <v>0</v>
      </c>
      <c r="D46">
        <f>lc_detailed!AE47</f>
        <v>1.9374831688373193</v>
      </c>
      <c r="E46">
        <f>lc_detailed!AF47</f>
        <v>50.453211934643626</v>
      </c>
      <c r="F46">
        <f>lc_detailed!AG47</f>
        <v>26.108403727119242</v>
      </c>
      <c r="G46">
        <f>lc_detailed!AH47</f>
        <v>21.270294717399452</v>
      </c>
      <c r="H46">
        <f>lc_detailed!AI47</f>
        <v>11.170826426710869</v>
      </c>
      <c r="I46">
        <f>lc_detailed!AK47</f>
        <v>-10.410109719860833</v>
      </c>
      <c r="J46">
        <f>lc_detailed!AL47</f>
        <v>-1.8246793898160968E-4</v>
      </c>
      <c r="K46">
        <f>lc_detailed!AB47</f>
        <v>100.52992778691069</v>
      </c>
    </row>
    <row r="47" spans="2:11" x14ac:dyDescent="0.2">
      <c r="B47" t="str">
        <f>lc_detailed!B48</f>
        <v>NE_Gasoline_Gasification_CCS_31_Wood</v>
      </c>
      <c r="C47">
        <f>lc_detailed!AD48</f>
        <v>0</v>
      </c>
      <c r="D47">
        <f>lc_detailed!AE48</f>
        <v>2.3499679964255078</v>
      </c>
      <c r="E47">
        <f>lc_detailed!AF48</f>
        <v>50.144866075683929</v>
      </c>
      <c r="F47">
        <f>lc_detailed!AG48</f>
        <v>26.273898803647068</v>
      </c>
      <c r="G47">
        <f>lc_detailed!AH48</f>
        <v>21.405122150314053</v>
      </c>
      <c r="H47">
        <f>lc_detailed!AI48</f>
        <v>11.241635687732343</v>
      </c>
      <c r="I47">
        <f>lc_detailed!AK48</f>
        <v>-9.013107901255669</v>
      </c>
      <c r="J47">
        <f>lc_detailed!AL48</f>
        <v>1.6954268428319777E-4</v>
      </c>
      <c r="K47">
        <f>lc_detailed!AB48</f>
        <v>102.40255235523151</v>
      </c>
    </row>
    <row r="48" spans="2:11" x14ac:dyDescent="0.2">
      <c r="B48" t="str">
        <f>lc_detailed!B49</f>
        <v>CA_Gasoline_Gasification_CCS_31_Agri</v>
      </c>
      <c r="C48">
        <f>lc_detailed!AD49</f>
        <v>0</v>
      </c>
      <c r="D48">
        <f>lc_detailed!AE49</f>
        <v>1.8697875765690377</v>
      </c>
      <c r="E48">
        <f>lc_detailed!AF49</f>
        <v>65.399821806546882</v>
      </c>
      <c r="F48">
        <f>lc_detailed!AG49</f>
        <v>27.136546625553674</v>
      </c>
      <c r="G48">
        <f>lc_detailed!AH49</f>
        <v>22.107914002357344</v>
      </c>
      <c r="H48">
        <f>lc_detailed!AI49</f>
        <v>11.610730986955453</v>
      </c>
      <c r="I48">
        <f>lc_detailed!AK49</f>
        <v>-18.461791656144587</v>
      </c>
      <c r="J48">
        <f>lc_detailed!AL49</f>
        <v>-5.2809030866472425E-4</v>
      </c>
      <c r="K48">
        <f>lc_detailed!AB49</f>
        <v>109.66248125152914</v>
      </c>
    </row>
    <row r="49" spans="2:11" x14ac:dyDescent="0.2">
      <c r="B49" t="str">
        <f>lc_detailed!B50</f>
        <v>NW_Gasoline_Gasification_CCS_31_Agri</v>
      </c>
      <c r="C49">
        <f>lc_detailed!AD50</f>
        <v>0</v>
      </c>
      <c r="D49">
        <f>lc_detailed!AE50</f>
        <v>1.5015165508830497</v>
      </c>
      <c r="E49">
        <f>lc_detailed!AF50</f>
        <v>60.450883049752314</v>
      </c>
      <c r="F49">
        <f>lc_detailed!AG50</f>
        <v>29.683337534897845</v>
      </c>
      <c r="G49">
        <f>lc_detailed!AH50</f>
        <v>24.182762920411879</v>
      </c>
      <c r="H49">
        <f>lc_detailed!AI50</f>
        <v>12.700409218177903</v>
      </c>
      <c r="I49">
        <f>lc_detailed!AK50</f>
        <v>-19.793112401732003</v>
      </c>
      <c r="J49">
        <f>lc_detailed!AL50</f>
        <v>6.1145671768463126E-4</v>
      </c>
      <c r="K49">
        <f>lc_detailed!AB50</f>
        <v>108.72640832910868</v>
      </c>
    </row>
    <row r="50" spans="2:11" x14ac:dyDescent="0.2">
      <c r="B50" t="str">
        <f>lc_detailed!B51</f>
        <v>SW_Gasoline_Gasification_CCS_31_Agri</v>
      </c>
      <c r="C50">
        <f>lc_detailed!AD51</f>
        <v>0</v>
      </c>
      <c r="D50">
        <f>lc_detailed!AE51</f>
        <v>1.5385814351342781</v>
      </c>
      <c r="E50">
        <f>lc_detailed!AF51</f>
        <v>56.861844998942701</v>
      </c>
      <c r="F50">
        <f>lc_detailed!AG51</f>
        <v>29.143526363825483</v>
      </c>
      <c r="G50">
        <f>lc_detailed!AH51</f>
        <v>23.742983345204557</v>
      </c>
      <c r="H50">
        <f>lc_detailed!AI51</f>
        <v>12.46944385705223</v>
      </c>
      <c r="I50">
        <f>lc_detailed!AK51</f>
        <v>-18.222472580215651</v>
      </c>
      <c r="J50">
        <f>lc_detailed!AL51</f>
        <v>1.5373919793680452E-4</v>
      </c>
      <c r="K50">
        <f>lc_detailed!AB51</f>
        <v>105.53406115914153</v>
      </c>
    </row>
    <row r="51" spans="2:11" x14ac:dyDescent="0.2">
      <c r="B51" t="str">
        <f>lc_detailed!B52</f>
        <v>TX_Gasoline_Gasification_CCS_31_Agri</v>
      </c>
      <c r="C51">
        <f>lc_detailed!AD52</f>
        <v>0</v>
      </c>
      <c r="D51">
        <f>lc_detailed!AE52</f>
        <v>1.1397485696532264</v>
      </c>
      <c r="E51">
        <f>lc_detailed!AF52</f>
        <v>57.890535084387032</v>
      </c>
      <c r="F51">
        <f>lc_detailed!AG52</f>
        <v>29.916912394753503</v>
      </c>
      <c r="G51">
        <f>lc_detailed!AH52</f>
        <v>24.373054374444532</v>
      </c>
      <c r="H51">
        <f>lc_detailed!AI52</f>
        <v>12.800347316437835</v>
      </c>
      <c r="I51">
        <f>lc_detailed!AK52</f>
        <v>-17.085216946179834</v>
      </c>
      <c r="J51">
        <f>lc_detailed!AL52</f>
        <v>-2.2496791493271199E-4</v>
      </c>
      <c r="K51">
        <f>lc_detailed!AB52</f>
        <v>109.03515582558137</v>
      </c>
    </row>
    <row r="52" spans="2:11" x14ac:dyDescent="0.2">
      <c r="B52" t="str">
        <f>lc_detailed!B53</f>
        <v>NCEN_Gasoline_Gasification_CCS_31_Agri</v>
      </c>
      <c r="C52">
        <f>lc_detailed!AD53</f>
        <v>0</v>
      </c>
      <c r="D52">
        <f>lc_detailed!AE53</f>
        <v>1.6638854053913406</v>
      </c>
      <c r="E52">
        <f>lc_detailed!AF53</f>
        <v>46.442434429641963</v>
      </c>
      <c r="F52">
        <f>lc_detailed!AG53</f>
        <v>28.688537921426043</v>
      </c>
      <c r="G52">
        <f>lc_detailed!AH53</f>
        <v>23.372308126451365</v>
      </c>
      <c r="H52">
        <f>lc_detailed!AI53</f>
        <v>12.274771024146544</v>
      </c>
      <c r="I52">
        <f>lc_detailed!AK53</f>
        <v>-13.132974960503223</v>
      </c>
      <c r="J52">
        <f>lc_detailed!AL53</f>
        <v>2.8551127713837877E-4</v>
      </c>
      <c r="K52">
        <f>lc_detailed!AB53</f>
        <v>99.309247457831177</v>
      </c>
    </row>
    <row r="53" spans="2:11" x14ac:dyDescent="0.2">
      <c r="B53" t="str">
        <f>lc_detailed!B54</f>
        <v>CEN_Gasoline_Gasification_CCS_31_Agri</v>
      </c>
      <c r="C53">
        <f>lc_detailed!AD54</f>
        <v>0</v>
      </c>
      <c r="D53">
        <f>lc_detailed!AE54</f>
        <v>1.3710869023124115</v>
      </c>
      <c r="E53">
        <f>lc_detailed!AF54</f>
        <v>49.501557862723509</v>
      </c>
      <c r="F53">
        <f>lc_detailed!AG54</f>
        <v>28.906661669452195</v>
      </c>
      <c r="G53">
        <f>lc_detailed!AH54</f>
        <v>23.550011690938565</v>
      </c>
      <c r="H53">
        <f>lc_detailed!AI54</f>
        <v>12.368098159509202</v>
      </c>
      <c r="I53">
        <f>lc_detailed!AK54</f>
        <v>-15.175652894492293</v>
      </c>
      <c r="J53">
        <f>lc_detailed!AL54</f>
        <v>-5.2514672685296886E-4</v>
      </c>
      <c r="K53">
        <f>lc_detailed!AB54</f>
        <v>100.52123824371674</v>
      </c>
    </row>
    <row r="54" spans="2:11" x14ac:dyDescent="0.2">
      <c r="B54" t="str">
        <f>lc_detailed!B55</f>
        <v>SE_Gasoline_Gasification_CCS_31_Agri</v>
      </c>
      <c r="C54">
        <f>lc_detailed!AD55</f>
        <v>0</v>
      </c>
      <c r="D54">
        <f>lc_detailed!AE55</f>
        <v>2.072376325425854</v>
      </c>
      <c r="E54">
        <f>lc_detailed!AF55</f>
        <v>45.413056223220821</v>
      </c>
      <c r="F54">
        <f>lc_detailed!AG55</f>
        <v>28.805462676252631</v>
      </c>
      <c r="G54">
        <f>lc_detailed!AH55</f>
        <v>23.467565730896091</v>
      </c>
      <c r="H54">
        <f>lc_detailed!AI55</f>
        <v>12.324798829553767</v>
      </c>
      <c r="I54">
        <f>lc_detailed!AK55</f>
        <v>-11.829558728981485</v>
      </c>
      <c r="J54">
        <f>lc_detailed!AL55</f>
        <v>-4.6299617112343267E-5</v>
      </c>
      <c r="K54">
        <f>lc_detailed!AB55</f>
        <v>100.25365475675058</v>
      </c>
    </row>
    <row r="55" spans="2:11" x14ac:dyDescent="0.2">
      <c r="B55" t="str">
        <f>lc_detailed!B56</f>
        <v>MIDAT_Gasoline_Gasification_CCS_31_Agri</v>
      </c>
      <c r="C55">
        <f>lc_detailed!AD56</f>
        <v>0</v>
      </c>
      <c r="D55">
        <f>lc_detailed!AE56</f>
        <v>2.1313929931228506</v>
      </c>
      <c r="E55">
        <f>lc_detailed!AF56</f>
        <v>45.571182661248308</v>
      </c>
      <c r="F55">
        <f>lc_detailed!AG56</f>
        <v>28.721420480260644</v>
      </c>
      <c r="G55">
        <f>lc_detailed!AH56</f>
        <v>23.399097267786257</v>
      </c>
      <c r="H55">
        <f>lc_detailed!AI56</f>
        <v>12.288840262582056</v>
      </c>
      <c r="I55">
        <f>lc_detailed!AK56</f>
        <v>-10.998475202064053</v>
      </c>
      <c r="J55">
        <f>lc_detailed!AL56</f>
        <v>5.7306624279722341E-4</v>
      </c>
      <c r="K55">
        <f>lc_detailed!AB56</f>
        <v>101.11403152917887</v>
      </c>
    </row>
    <row r="56" spans="2:11" x14ac:dyDescent="0.2">
      <c r="B56" t="str">
        <f>lc_detailed!B57</f>
        <v>NE_Gasoline_Gasification_CCS_31_Agri</v>
      </c>
      <c r="C56">
        <f>lc_detailed!AD57</f>
        <v>0</v>
      </c>
      <c r="D56">
        <f>lc_detailed!AE57</f>
        <v>2.5395049701792334</v>
      </c>
      <c r="E56">
        <f>lc_detailed!AF57</f>
        <v>46.199240317264113</v>
      </c>
      <c r="F56">
        <f>lc_detailed!AG57</f>
        <v>28.393023521740975</v>
      </c>
      <c r="G56">
        <f>lc_detailed!AH57</f>
        <v>23.131555055515523</v>
      </c>
      <c r="H56">
        <f>lc_detailed!AI57</f>
        <v>12.148331273176762</v>
      </c>
      <c r="I56">
        <f>lc_detailed!AK57</f>
        <v>-9.2005400309277316</v>
      </c>
      <c r="J56">
        <f>lc_detailed!AL57</f>
        <v>3.7109707065210572E-4</v>
      </c>
      <c r="K56">
        <f>lc_detailed!AB57</f>
        <v>103.21148620401954</v>
      </c>
    </row>
    <row r="57" spans="2:11" x14ac:dyDescent="0.2">
      <c r="B57" t="str">
        <f>lc_detailed!B58</f>
        <v>CA_Gasoline_Gasification_CCS_99_Herb</v>
      </c>
      <c r="C57">
        <f>lc_detailed!AD58</f>
        <v>0</v>
      </c>
      <c r="D57">
        <f>lc_detailed!AE58</f>
        <v>20.942533261136408</v>
      </c>
      <c r="E57">
        <f>lc_detailed!AF58</f>
        <v>155233.10599584243</v>
      </c>
      <c r="F57">
        <f>lc_detailed!AG58</f>
        <v>37.070284920296992</v>
      </c>
      <c r="G57">
        <f>lc_detailed!AH58</f>
        <v>27.284719704774869</v>
      </c>
      <c r="H57">
        <f>lc_detailed!AI58</f>
        <v>14.224509998020194</v>
      </c>
      <c r="I57">
        <f>lc_detailed!AK58</f>
        <v>-59.639404743855657</v>
      </c>
      <c r="J57">
        <f>lc_detailed!AL58</f>
        <v>-4.3709405314899683E-4</v>
      </c>
      <c r="K57">
        <f>lc_detailed!AB58</f>
        <v>155272.98820188874</v>
      </c>
    </row>
    <row r="58" spans="2:11" x14ac:dyDescent="0.2">
      <c r="B58" t="str">
        <f>lc_detailed!B59</f>
        <v>NW_Gasoline_Gasification_CCS_99_Herb</v>
      </c>
      <c r="C58">
        <f>lc_detailed!AD59</f>
        <v>0</v>
      </c>
      <c r="D58">
        <f>lc_detailed!AE59</f>
        <v>15.340612343720677</v>
      </c>
      <c r="E58">
        <f>lc_detailed!AF59</f>
        <v>64.69287470986221</v>
      </c>
      <c r="F58">
        <f>lc_detailed!AG59</f>
        <v>36.987902441092416</v>
      </c>
      <c r="G58">
        <f>lc_detailed!AH59</f>
        <v>27.224083999964016</v>
      </c>
      <c r="H58">
        <f>lc_detailed!AI59</f>
        <v>14.192898414736529</v>
      </c>
      <c r="I58">
        <f>lc_detailed!AK59</f>
        <v>-59.112065650729647</v>
      </c>
      <c r="J58">
        <f>lc_detailed!AL59</f>
        <v>2.8697672318398859E-4</v>
      </c>
      <c r="K58">
        <f>lc_detailed!AB59</f>
        <v>99.326593235369387</v>
      </c>
    </row>
    <row r="59" spans="2:11" x14ac:dyDescent="0.2">
      <c r="B59" t="str">
        <f>lc_detailed!B60</f>
        <v>SW_Gasoline_Gasification_CCS_99_Herb</v>
      </c>
      <c r="C59">
        <f>lc_detailed!AD60</f>
        <v>0</v>
      </c>
      <c r="D59">
        <f>lc_detailed!AE60</f>
        <v>16.117112354561275</v>
      </c>
      <c r="E59">
        <f>lc_detailed!AF60</f>
        <v>59.797260253542142</v>
      </c>
      <c r="F59">
        <f>lc_detailed!AG60</f>
        <v>37.234304575176758</v>
      </c>
      <c r="G59">
        <f>lc_detailed!AH60</f>
        <v>27.405442551094779</v>
      </c>
      <c r="H59">
        <f>lc_detailed!AI60</f>
        <v>14.287447178722347</v>
      </c>
      <c r="I59">
        <f>lc_detailed!AK60</f>
        <v>-54.563399058896309</v>
      </c>
      <c r="J59">
        <f>lc_detailed!AL60</f>
        <v>-6.1879148114746729E-4</v>
      </c>
      <c r="K59">
        <f>lc_detailed!AB60</f>
        <v>100.27754906271984</v>
      </c>
    </row>
    <row r="60" spans="2:11" x14ac:dyDescent="0.2">
      <c r="B60" t="str">
        <f>lc_detailed!B61</f>
        <v>TX_Gasoline_Gasification_CCS_99_Herb</v>
      </c>
      <c r="C60">
        <f>lc_detailed!AD61</f>
        <v>0</v>
      </c>
      <c r="D60">
        <f>lc_detailed!AE61</f>
        <v>11.604612445833332</v>
      </c>
      <c r="E60">
        <f>lc_detailed!AF61</f>
        <v>65.950138888888887</v>
      </c>
      <c r="F60">
        <f>lc_detailed!AG61</f>
        <v>37.151192288178592</v>
      </c>
      <c r="G60">
        <f>lc_detailed!AH61</f>
        <v>27.344269688257512</v>
      </c>
      <c r="H60">
        <f>lc_detailed!AI61</f>
        <v>14.255555555555556</v>
      </c>
      <c r="I60">
        <f>lc_detailed!AK61</f>
        <v>-51.61547570754562</v>
      </c>
      <c r="J60">
        <f>lc_detailed!AL61</f>
        <v>1.0888141250806239E-4</v>
      </c>
      <c r="K60">
        <f>lc_detailed!AB61</f>
        <v>104.69040204058078</v>
      </c>
    </row>
    <row r="61" spans="2:11" x14ac:dyDescent="0.2">
      <c r="B61" t="str">
        <f>lc_detailed!B62</f>
        <v>NCEN_Gasoline_Gasification_CCS_99_Herb</v>
      </c>
      <c r="C61">
        <f>lc_detailed!AD62</f>
        <v>0</v>
      </c>
      <c r="D61">
        <f>lc_detailed!AE62</f>
        <v>17.48362693044033</v>
      </c>
      <c r="E61">
        <f>lc_detailed!AF62</f>
        <v>49.461319522851113</v>
      </c>
      <c r="F61">
        <f>lc_detailed!AG62</f>
        <v>36.766385377727175</v>
      </c>
      <c r="G61">
        <f>lc_detailed!AH62</f>
        <v>27.061041525466173</v>
      </c>
      <c r="H61">
        <f>lc_detailed!AI62</f>
        <v>14.107898483137793</v>
      </c>
      <c r="I61">
        <f>lc_detailed!AK62</f>
        <v>-39.706395390775569</v>
      </c>
      <c r="J61">
        <f>lc_detailed!AL62</f>
        <v>5.6814143440285632E-5</v>
      </c>
      <c r="K61">
        <f>lc_detailed!AB62</f>
        <v>105.17393326299047</v>
      </c>
    </row>
    <row r="62" spans="2:11" x14ac:dyDescent="0.2">
      <c r="B62" t="str">
        <f>lc_detailed!B63</f>
        <v>CEN_Gasoline_Gasification_CCS_99_Herb</v>
      </c>
      <c r="C62">
        <f>lc_detailed!AD63</f>
        <v>0</v>
      </c>
      <c r="D62">
        <f>lc_detailed!AE63</f>
        <v>14.384419664378488</v>
      </c>
      <c r="E62">
        <f>lc_detailed!AF63</f>
        <v>52.855525704973076</v>
      </c>
      <c r="F62">
        <f>lc_detailed!AG63</f>
        <v>36.987902441092416</v>
      </c>
      <c r="G62">
        <f>lc_detailed!AH63</f>
        <v>27.224083999964016</v>
      </c>
      <c r="H62">
        <f>lc_detailed!AI63</f>
        <v>14.192898414736529</v>
      </c>
      <c r="I62">
        <f>lc_detailed!AK63</f>
        <v>-45.531327873212454</v>
      </c>
      <c r="J62">
        <f>lc_detailed!AL63</f>
        <v>2.8697672323013711E-4</v>
      </c>
      <c r="K62">
        <f>lc_detailed!AB63</f>
        <v>100.11378932865532</v>
      </c>
    </row>
    <row r="63" spans="2:11" x14ac:dyDescent="0.2">
      <c r="B63" t="str">
        <f>lc_detailed!B64</f>
        <v>SE_Gasoline_Gasification_CCS_99_Herb</v>
      </c>
      <c r="C63">
        <f>lc_detailed!AD64</f>
        <v>0</v>
      </c>
      <c r="D63">
        <f>lc_detailed!AE64</f>
        <v>21.854904046302249</v>
      </c>
      <c r="E63">
        <f>lc_detailed!AF64</f>
        <v>48.277646302250801</v>
      </c>
      <c r="F63">
        <f>lc_detailed!AG64</f>
        <v>37.050113110545652</v>
      </c>
      <c r="G63">
        <f>lc_detailed!AH64</f>
        <v>27.269872714087132</v>
      </c>
      <c r="H63">
        <f>lc_detailed!AI64</f>
        <v>14.216769725451398</v>
      </c>
      <c r="I63">
        <f>lc_detailed!AK64</f>
        <v>-35.89313509760732</v>
      </c>
      <c r="J63">
        <f>lc_detailed!AL64</f>
        <v>-5.7321655363768375E-4</v>
      </c>
      <c r="K63">
        <f>lc_detailed!AB64</f>
        <v>112.77559758447629</v>
      </c>
    </row>
    <row r="64" spans="2:11" x14ac:dyDescent="0.2">
      <c r="B64" t="str">
        <f>lc_detailed!B65</f>
        <v>MIDAT_Gasoline_Gasification_CCS_99_Herb</v>
      </c>
      <c r="C64">
        <f>lc_detailed!AD65</f>
        <v>0</v>
      </c>
      <c r="D64">
        <f>lc_detailed!AE65</f>
        <v>22.418843959265999</v>
      </c>
      <c r="E64">
        <f>lc_detailed!AF65</f>
        <v>48.559792886308848</v>
      </c>
      <c r="F64">
        <f>lc_detailed!AG65</f>
        <v>36.845970213493395</v>
      </c>
      <c r="G64">
        <f>lc_detailed!AH65</f>
        <v>27.119618089992198</v>
      </c>
      <c r="H64">
        <f>lc_detailed!AI65</f>
        <v>14.1384365622079</v>
      </c>
      <c r="I64">
        <f>lc_detailed!AK65</f>
        <v>-33.247716201880564</v>
      </c>
      <c r="J64">
        <f>lc_detailed!AL65</f>
        <v>5.9937317078143147E-4</v>
      </c>
      <c r="K64">
        <f>lc_detailed!AB65</f>
        <v>115.83554488255852</v>
      </c>
    </row>
    <row r="65" spans="2:11" x14ac:dyDescent="0.2">
      <c r="B65" t="str">
        <f>lc_detailed!B66</f>
        <v>NE_Gasoline_Gasification_CCS_99_Herb</v>
      </c>
      <c r="C65">
        <f>lc_detailed!AD66</f>
        <v>0</v>
      </c>
      <c r="D65">
        <f>lc_detailed!AE66</f>
        <v>26.918508496177221</v>
      </c>
      <c r="E65">
        <f>lc_detailed!AF66</f>
        <v>48.761883454224659</v>
      </c>
      <c r="F65">
        <f>lc_detailed!AG66</f>
        <v>36.706922002042759</v>
      </c>
      <c r="G65">
        <f>lc_detailed!AH66</f>
        <v>27.017274892926459</v>
      </c>
      <c r="H65">
        <f>lc_detailed!AI66</f>
        <v>14.085081356596746</v>
      </c>
      <c r="I65">
        <f>lc_detailed!AK66</f>
        <v>-28.15283529137464</v>
      </c>
      <c r="J65">
        <f>lc_detailed!AL66</f>
        <v>-3.4856950734001897E-4</v>
      </c>
      <c r="K65">
        <f>lc_detailed!AB66</f>
        <v>125.33648634108586</v>
      </c>
    </row>
    <row r="66" spans="2:11" x14ac:dyDescent="0.2">
      <c r="B66" t="str">
        <f>lc_detailed!B67</f>
        <v>CA_Gasoline_Gasification_CCS_99_Wood</v>
      </c>
      <c r="C66">
        <f>lc_detailed!AD67</f>
        <v>0</v>
      </c>
      <c r="D66">
        <f>lc_detailed!AE67</f>
        <v>19.676476097842265</v>
      </c>
      <c r="E66">
        <f>lc_detailed!AF67</f>
        <v>71.631780598958329</v>
      </c>
      <c r="F66">
        <f>lc_detailed!AG67</f>
        <v>34.829242770167426</v>
      </c>
      <c r="G66">
        <f>lc_detailed!AH67</f>
        <v>25.635252832741418</v>
      </c>
      <c r="H66">
        <f>lc_detailed!AI67</f>
        <v>13.364583333333334</v>
      </c>
      <c r="I66">
        <f>lc_detailed!AK67</f>
        <v>-60.153883415954361</v>
      </c>
      <c r="J66">
        <f>lc_detailed!AL67</f>
        <v>1.0888141248198926E-4</v>
      </c>
      <c r="K66">
        <f>lc_detailed!AB67</f>
        <v>104.98356109850091</v>
      </c>
    </row>
    <row r="67" spans="2:11" x14ac:dyDescent="0.2">
      <c r="B67" t="str">
        <f>lc_detailed!B68</f>
        <v>NW_Gasoline_Gasification_CCS_99_Wood</v>
      </c>
      <c r="C67">
        <f>lc_detailed!AD68</f>
        <v>0</v>
      </c>
      <c r="D67">
        <f>lc_detailed!AE68</f>
        <v>14.475607407055314</v>
      </c>
      <c r="E67">
        <f>lc_detailed!AF68</f>
        <v>69.461145440141664</v>
      </c>
      <c r="F67">
        <f>lc_detailed!AG68</f>
        <v>34.902280466456048</v>
      </c>
      <c r="G67">
        <f>lc_detailed!AH68</f>
        <v>25.689010527763244</v>
      </c>
      <c r="H67">
        <f>lc_detailed!AI68</f>
        <v>13.392609161657113</v>
      </c>
      <c r="I67">
        <f>lc_detailed!AK68</f>
        <v>-58.606953131919596</v>
      </c>
      <c r="J67">
        <f>lc_detailed!AL68</f>
        <v>-5.7321655362612724E-4</v>
      </c>
      <c r="K67">
        <f>lc_detailed!AB68</f>
        <v>99.313126654600126</v>
      </c>
    </row>
    <row r="68" spans="2:11" x14ac:dyDescent="0.2">
      <c r="B68" t="str">
        <f>lc_detailed!B69</f>
        <v>SW_Gasoline_Gasification_CCS_99_Wood</v>
      </c>
      <c r="C68">
        <f>lc_detailed!AD69</f>
        <v>0</v>
      </c>
      <c r="D68">
        <f>lc_detailed!AE69</f>
        <v>15.249092898024461</v>
      </c>
      <c r="E68">
        <f>lc_detailed!AF69</f>
        <v>64.663702257761059</v>
      </c>
      <c r="F68">
        <f>lc_detailed!AG69</f>
        <v>35.228976318423349</v>
      </c>
      <c r="G68">
        <f>lc_detailed!AH69</f>
        <v>25.929467399589438</v>
      </c>
      <c r="H68">
        <f>lc_detailed!AI69</f>
        <v>13.517968015051741</v>
      </c>
      <c r="I68">
        <f>lc_detailed!AK69</f>
        <v>-54.169020000591082</v>
      </c>
      <c r="J68">
        <f>lc_detailed!AL69</f>
        <v>5.4791380045660239E-4</v>
      </c>
      <c r="K68">
        <f>lc_detailed!AB69</f>
        <v>100.42073480205941</v>
      </c>
    </row>
    <row r="69" spans="2:11" x14ac:dyDescent="0.2">
      <c r="B69" t="str">
        <f>lc_detailed!B70</f>
        <v>TX_Gasoline_Gasification_CCS_99_Wood</v>
      </c>
      <c r="C69">
        <f>lc_detailed!AD70</f>
        <v>0</v>
      </c>
      <c r="D69">
        <f>lc_detailed!AE70</f>
        <v>11.091309292561514</v>
      </c>
      <c r="E69">
        <f>lc_detailed!AF70</f>
        <v>72.335415540700694</v>
      </c>
      <c r="F69">
        <f>lc_detailed!AG70</f>
        <v>35.507895345834179</v>
      </c>
      <c r="G69">
        <f>lc_detailed!AH70</f>
        <v>26.134759252608514</v>
      </c>
      <c r="H69">
        <f>lc_detailed!AI70</f>
        <v>13.624994073863366</v>
      </c>
      <c r="I69">
        <f>lc_detailed!AK70</f>
        <v>-52.732608350987874</v>
      </c>
      <c r="J69">
        <f>lc_detailed!AL70</f>
        <v>7.8710388776432187E-5</v>
      </c>
      <c r="K69">
        <f>lc_detailed!AB70</f>
        <v>105.96184386496915</v>
      </c>
    </row>
    <row r="70" spans="2:11" x14ac:dyDescent="0.2">
      <c r="B70" t="str">
        <f>lc_detailed!B71</f>
        <v>NCEN_Gasoline_Gasification_CCS_99_Wood</v>
      </c>
      <c r="C70">
        <f>lc_detailed!AD71</f>
        <v>0</v>
      </c>
      <c r="D70">
        <f>lc_detailed!AE71</f>
        <v>16.822963686174482</v>
      </c>
      <c r="E70">
        <f>lc_detailed!AF71</f>
        <v>52.898197062018802</v>
      </c>
      <c r="F70">
        <f>lc_detailed!AG71</f>
        <v>35.377074135831101</v>
      </c>
      <c r="G70">
        <f>lc_detailed!AH71</f>
        <v>26.038471348319465</v>
      </c>
      <c r="H70">
        <f>lc_detailed!AI71</f>
        <v>13.574795711114259</v>
      </c>
      <c r="I70">
        <f>lc_detailed!AK71</f>
        <v>-39.511957554823425</v>
      </c>
      <c r="J70">
        <f>lc_detailed!AL71</f>
        <v>3.7942019769573809E-4</v>
      </c>
      <c r="K70">
        <f>lc_detailed!AB71</f>
        <v>105.19992380883238</v>
      </c>
    </row>
    <row r="71" spans="2:11" x14ac:dyDescent="0.2">
      <c r="B71" t="str">
        <f>lc_detailed!B72</f>
        <v>CEN_Gasoline_Gasification_CCS_99_Wood</v>
      </c>
      <c r="C71">
        <f>lc_detailed!AD72</f>
        <v>0</v>
      </c>
      <c r="D71">
        <f>lc_detailed!AE72</f>
        <v>13.750831544896611</v>
      </c>
      <c r="E71">
        <f>lc_detailed!AF72</f>
        <v>58.004543008214526</v>
      </c>
      <c r="F71">
        <f>lc_detailed!AG72</f>
        <v>35.358702508246644</v>
      </c>
      <c r="G71">
        <f>lc_detailed!AH72</f>
        <v>26.024949339782435</v>
      </c>
      <c r="H71">
        <f>lc_detailed!AI72</f>
        <v>13.567746199603437</v>
      </c>
      <c r="I71">
        <f>lc_detailed!AK72</f>
        <v>-45.517504629462685</v>
      </c>
      <c r="J71">
        <f>lc_detailed!AL72</f>
        <v>2.4908793428006119E-4</v>
      </c>
      <c r="K71">
        <f>lc_detailed!AB72</f>
        <v>101.18951705921526</v>
      </c>
    </row>
    <row r="72" spans="2:11" x14ac:dyDescent="0.2">
      <c r="B72" t="str">
        <f>lc_detailed!B73</f>
        <v>SE_Gasoline_Gasification_CCS_99_Wood</v>
      </c>
      <c r="C72">
        <f>lc_detailed!AD73</f>
        <v>0</v>
      </c>
      <c r="D72">
        <f>lc_detailed!AE73</f>
        <v>20.780662525682033</v>
      </c>
      <c r="E72">
        <f>lc_detailed!AF73</f>
        <v>51.642160865475077</v>
      </c>
      <c r="F72">
        <f>lc_detailed!AG73</f>
        <v>35.228976318423349</v>
      </c>
      <c r="G72">
        <f>lc_detailed!AH73</f>
        <v>25.929467399589438</v>
      </c>
      <c r="H72">
        <f>lc_detailed!AI73</f>
        <v>13.517968015051741</v>
      </c>
      <c r="I72">
        <f>lc_detailed!AK73</f>
        <v>-36.318797035021319</v>
      </c>
      <c r="J72">
        <f>lc_detailed!AL73</f>
        <v>5.4791380045660239E-4</v>
      </c>
      <c r="K72">
        <f>lc_detailed!AB73</f>
        <v>110.78098600300078</v>
      </c>
    </row>
    <row r="73" spans="2:11" x14ac:dyDescent="0.2">
      <c r="B73" t="str">
        <f>lc_detailed!B74</f>
        <v>MIDAT_Gasoline_Gasification_CCS_99_Wood</v>
      </c>
      <c r="C73">
        <f>lc_detailed!AD74</f>
        <v>0</v>
      </c>
      <c r="D73">
        <f>lc_detailed!AE74</f>
        <v>21.582185231352121</v>
      </c>
      <c r="E73">
        <f>lc_detailed!AF74</f>
        <v>50.453211934643626</v>
      </c>
      <c r="F73">
        <f>lc_detailed!AG74</f>
        <v>35.470899196290809</v>
      </c>
      <c r="G73">
        <f>lc_detailed!AH74</f>
        <v>26.107529098521027</v>
      </c>
      <c r="H73">
        <f>lc_detailed!AI74</f>
        <v>13.610798010892731</v>
      </c>
      <c r="I73">
        <f>lc_detailed!AK74</f>
        <v>-33.317047898143059</v>
      </c>
      <c r="J73">
        <f>lc_detailed!AL74</f>
        <v>-1.824679390037376E-4</v>
      </c>
      <c r="K73">
        <f>lc_detailed!AB74</f>
        <v>113.90739310561824</v>
      </c>
    </row>
    <row r="74" spans="2:11" x14ac:dyDescent="0.2">
      <c r="B74" t="str">
        <f>lc_detailed!B75</f>
        <v>NE_Gasoline_Gasification_CCS_99_Wood</v>
      </c>
      <c r="C74">
        <f>lc_detailed!AD75</f>
        <v>0</v>
      </c>
      <c r="D74">
        <f>lc_detailed!AE75</f>
        <v>26.176972993804217</v>
      </c>
      <c r="E74">
        <f>lc_detailed!AF75</f>
        <v>50.144866075683929</v>
      </c>
      <c r="F74">
        <f>lc_detailed!AG75</f>
        <v>35.695740946033766</v>
      </c>
      <c r="G74">
        <f>lc_detailed!AH75</f>
        <v>26.273018630982342</v>
      </c>
      <c r="H74">
        <f>lc_detailed!AI75</f>
        <v>13.697073682203795</v>
      </c>
      <c r="I74">
        <f>lc_detailed!AK75</f>
        <v>-28.846011784521458</v>
      </c>
      <c r="J74">
        <f>lc_detailed!AL75</f>
        <v>1.6954268430546595E-4</v>
      </c>
      <c r="K74">
        <f>lc_detailed!AB75</f>
        <v>123.14183008687091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2026-06-24T17:40:33Z</dcterms:modified>
</cp:coreProperties>
</file>